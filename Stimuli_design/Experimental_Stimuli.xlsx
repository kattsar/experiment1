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"/>
    </mc:Choice>
  </mc:AlternateContent>
  <xr:revisionPtr revIDLastSave="0" documentId="13_ncr:1_{4D71EB06-E6E2-4775-B1B1-8A7654865B30}" xr6:coauthVersionLast="47" xr6:coauthVersionMax="47" xr10:uidLastSave="{00000000-0000-0000-0000-000000000000}"/>
  <bookViews>
    <workbookView xWindow="-108" yWindow="492" windowWidth="23256" windowHeight="12576" firstSheet="4" activeTab="7" xr2:uid="{00000000-000D-0000-FFFF-FFFF00000000}"/>
  </bookViews>
  <sheets>
    <sheet name="List" sheetId="1" r:id="rId1"/>
    <sheet name="Final_list (45 items)" sheetId="7" r:id="rId2"/>
    <sheet name="Practice_items" sheetId="10" r:id="rId3"/>
    <sheet name="Semantic_category" sheetId="9" r:id="rId4"/>
    <sheet name="BSQ_cognate_remove" sheetId="3" r:id="rId5"/>
    <sheet name="ENG_cognate_remove" sheetId="2" r:id="rId6"/>
    <sheet name="Bimanual_transitions" sheetId="4" r:id="rId7"/>
    <sheet name="Bigram_frequency 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7" l="1"/>
  <c r="L47" i="7"/>
  <c r="K47" i="7"/>
  <c r="J47" i="7"/>
  <c r="I47" i="7"/>
  <c r="N8" i="10"/>
  <c r="M8" i="10"/>
  <c r="L8" i="10"/>
  <c r="J8" i="10"/>
  <c r="H8" i="10"/>
  <c r="N7" i="10"/>
  <c r="M7" i="10"/>
  <c r="L7" i="10"/>
  <c r="J7" i="10"/>
  <c r="H7" i="10"/>
  <c r="N6" i="10"/>
  <c r="M6" i="10"/>
  <c r="L6" i="10"/>
  <c r="J6" i="10"/>
  <c r="H6" i="10"/>
  <c r="N5" i="10"/>
  <c r="M5" i="10"/>
  <c r="L5" i="10"/>
  <c r="J5" i="10"/>
  <c r="H5" i="10"/>
  <c r="N4" i="10"/>
  <c r="M4" i="10"/>
  <c r="L4" i="10"/>
  <c r="J4" i="10"/>
  <c r="H4" i="10"/>
  <c r="N3" i="10"/>
  <c r="M3" i="10"/>
  <c r="L3" i="10"/>
  <c r="J3" i="10"/>
  <c r="H3" i="10"/>
  <c r="N2" i="10"/>
  <c r="M2" i="10"/>
  <c r="L2" i="10"/>
  <c r="J2" i="10"/>
  <c r="H2" i="10"/>
  <c r="H39" i="7" l="1"/>
  <c r="G39" i="7"/>
  <c r="H19" i="7"/>
  <c r="G19" i="7"/>
  <c r="H22" i="7"/>
  <c r="G22" i="7"/>
  <c r="N7" i="7"/>
  <c r="H7" i="7"/>
  <c r="G7" i="7"/>
  <c r="H25" i="7"/>
  <c r="G25" i="7"/>
  <c r="H11" i="7"/>
  <c r="G11" i="7"/>
  <c r="N32" i="7"/>
  <c r="H32" i="7"/>
  <c r="G32" i="7"/>
  <c r="N23" i="7"/>
  <c r="H23" i="7"/>
  <c r="G23" i="7"/>
  <c r="N3" i="7"/>
  <c r="H3" i="7"/>
  <c r="G3" i="7"/>
  <c r="H20" i="7"/>
  <c r="G20" i="7"/>
  <c r="H28" i="7"/>
  <c r="G28" i="7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J59" i="1"/>
  <c r="J19" i="1"/>
  <c r="J68" i="1"/>
  <c r="J58" i="1"/>
  <c r="J55" i="1"/>
  <c r="J79" i="1"/>
  <c r="J56" i="1"/>
  <c r="J30" i="1"/>
  <c r="J48" i="1"/>
  <c r="J71" i="1"/>
  <c r="J2" i="1"/>
  <c r="J12" i="1"/>
  <c r="J54" i="1"/>
  <c r="J26" i="1"/>
  <c r="J38" i="1"/>
  <c r="J7" i="1"/>
  <c r="J11" i="1"/>
  <c r="J24" i="1"/>
  <c r="J31" i="1"/>
  <c r="J15" i="1"/>
  <c r="J4" i="1"/>
  <c r="J18" i="1"/>
  <c r="J3" i="1"/>
  <c r="J52" i="1"/>
  <c r="J43" i="1"/>
  <c r="J40" i="1"/>
  <c r="J29" i="1"/>
  <c r="J32" i="1"/>
  <c r="J36" i="1"/>
  <c r="J41" i="1"/>
  <c r="J46" i="1"/>
  <c r="J50" i="1"/>
  <c r="J65" i="1"/>
  <c r="J78" i="1"/>
  <c r="J20" i="1"/>
  <c r="J34" i="1"/>
  <c r="J64" i="1"/>
  <c r="J53" i="1"/>
  <c r="J8" i="1"/>
  <c r="J45" i="1"/>
  <c r="J25" i="1"/>
  <c r="J13" i="1"/>
  <c r="J21" i="1"/>
  <c r="J66" i="1"/>
  <c r="J49" i="1"/>
  <c r="J17" i="1"/>
  <c r="J62" i="1"/>
  <c r="J9" i="1"/>
  <c r="J51" i="1"/>
  <c r="J10" i="1"/>
  <c r="J76" i="1"/>
  <c r="J57" i="1"/>
  <c r="J74" i="1"/>
  <c r="J72" i="1"/>
  <c r="J69" i="1"/>
  <c r="J22" i="1"/>
  <c r="J28" i="1"/>
  <c r="J33" i="1"/>
  <c r="J73" i="1"/>
  <c r="J63" i="1"/>
  <c r="J70" i="1"/>
  <c r="J35" i="1"/>
  <c r="J80" i="1"/>
  <c r="J16" i="1"/>
  <c r="J5" i="1"/>
  <c r="J23" i="1"/>
  <c r="J75" i="1"/>
  <c r="J44" i="1"/>
  <c r="J14" i="1"/>
  <c r="J60" i="1"/>
  <c r="J67" i="1"/>
  <c r="J61" i="1"/>
  <c r="J42" i="1"/>
  <c r="J77" i="1"/>
  <c r="J47" i="1"/>
  <c r="J39" i="1"/>
  <c r="J27" i="1"/>
  <c r="J37" i="1"/>
  <c r="J6" i="1"/>
  <c r="I59" i="1"/>
  <c r="I19" i="1"/>
  <c r="I68" i="1"/>
  <c r="I58" i="1"/>
  <c r="I55" i="1"/>
  <c r="I79" i="1"/>
  <c r="I56" i="1"/>
  <c r="I30" i="1"/>
  <c r="I48" i="1"/>
  <c r="I71" i="1"/>
  <c r="I2" i="1"/>
  <c r="I12" i="1"/>
  <c r="I54" i="1"/>
  <c r="I26" i="1"/>
  <c r="I38" i="1"/>
  <c r="I7" i="1"/>
  <c r="I11" i="1"/>
  <c r="I24" i="1"/>
  <c r="I31" i="1"/>
  <c r="I15" i="1"/>
  <c r="I4" i="1"/>
  <c r="I18" i="1"/>
  <c r="I3" i="1"/>
  <c r="I52" i="1"/>
  <c r="I43" i="1"/>
  <c r="I40" i="1"/>
  <c r="I29" i="1"/>
  <c r="I32" i="1"/>
  <c r="I36" i="1"/>
  <c r="I41" i="1"/>
  <c r="I46" i="1"/>
  <c r="I50" i="1"/>
  <c r="I65" i="1"/>
  <c r="I78" i="1"/>
  <c r="I20" i="1"/>
  <c r="I34" i="1"/>
  <c r="I64" i="1"/>
  <c r="I53" i="1"/>
  <c r="I8" i="1"/>
  <c r="I45" i="1"/>
  <c r="I25" i="1"/>
  <c r="I13" i="1"/>
  <c r="I21" i="1"/>
  <c r="I66" i="1"/>
  <c r="I49" i="1"/>
  <c r="I17" i="1"/>
  <c r="I62" i="1"/>
  <c r="I9" i="1"/>
  <c r="I51" i="1"/>
  <c r="I10" i="1"/>
  <c r="I76" i="1"/>
  <c r="I57" i="1"/>
  <c r="I74" i="1"/>
  <c r="I72" i="1"/>
  <c r="I69" i="1"/>
  <c r="I22" i="1"/>
  <c r="I28" i="1"/>
  <c r="I33" i="1"/>
  <c r="I73" i="1"/>
  <c r="I63" i="1"/>
  <c r="I70" i="1"/>
  <c r="I35" i="1"/>
  <c r="I80" i="1"/>
  <c r="I16" i="1"/>
  <c r="I5" i="1"/>
  <c r="I23" i="1"/>
  <c r="I75" i="1"/>
  <c r="I44" i="1"/>
  <c r="I14" i="1"/>
  <c r="I60" i="1"/>
  <c r="I67" i="1"/>
  <c r="I61" i="1"/>
  <c r="I42" i="1"/>
  <c r="I77" i="1"/>
  <c r="I47" i="1"/>
  <c r="I39" i="1"/>
  <c r="I27" i="1"/>
  <c r="I37" i="1"/>
  <c r="I6" i="1"/>
  <c r="P59" i="1"/>
  <c r="P19" i="1"/>
  <c r="P68" i="1"/>
  <c r="P58" i="1"/>
  <c r="P55" i="1"/>
  <c r="P79" i="1"/>
  <c r="P56" i="1"/>
  <c r="P30" i="1"/>
  <c r="P48" i="1"/>
  <c r="P71" i="1"/>
  <c r="P2" i="1"/>
  <c r="P12" i="1"/>
  <c r="P54" i="1"/>
  <c r="P26" i="1"/>
  <c r="P38" i="1"/>
  <c r="P7" i="1"/>
  <c r="P11" i="1"/>
  <c r="P24" i="1"/>
  <c r="P31" i="1"/>
  <c r="P15" i="1"/>
  <c r="P4" i="1"/>
  <c r="P18" i="1"/>
  <c r="P3" i="1"/>
  <c r="P52" i="1"/>
  <c r="P43" i="1"/>
  <c r="P40" i="1"/>
  <c r="P29" i="1"/>
  <c r="P32" i="1"/>
  <c r="P36" i="1"/>
  <c r="P41" i="1"/>
  <c r="P46" i="1"/>
  <c r="P50" i="1"/>
  <c r="P65" i="1"/>
  <c r="P78" i="1"/>
  <c r="P20" i="1"/>
  <c r="P34" i="1"/>
  <c r="P64" i="1"/>
  <c r="P53" i="1"/>
  <c r="P8" i="1"/>
  <c r="P45" i="1"/>
  <c r="P25" i="1"/>
  <c r="P13" i="1"/>
  <c r="P21" i="1"/>
  <c r="P66" i="1"/>
  <c r="P49" i="1"/>
  <c r="P17" i="1"/>
  <c r="P62" i="1"/>
  <c r="P9" i="1"/>
  <c r="P51" i="1"/>
  <c r="P10" i="1"/>
  <c r="P76" i="1"/>
  <c r="P57" i="1"/>
  <c r="P74" i="1"/>
  <c r="P72" i="1"/>
  <c r="P69" i="1"/>
  <c r="P22" i="1"/>
  <c r="P28" i="1"/>
  <c r="P33" i="1"/>
  <c r="P73" i="1"/>
  <c r="P63" i="1"/>
  <c r="P70" i="1"/>
  <c r="P35" i="1"/>
  <c r="P80" i="1"/>
  <c r="P16" i="1"/>
  <c r="P5" i="1"/>
  <c r="P23" i="1"/>
  <c r="P75" i="1"/>
  <c r="P44" i="1"/>
  <c r="P14" i="1"/>
  <c r="P60" i="1"/>
  <c r="P67" i="1"/>
  <c r="P61" i="1"/>
  <c r="P42" i="1"/>
  <c r="P77" i="1"/>
  <c r="P47" i="1"/>
  <c r="P39" i="1"/>
  <c r="P27" i="1"/>
  <c r="P37" i="1"/>
  <c r="P6" i="1"/>
  <c r="G47" i="7" l="1"/>
  <c r="G18" i="4"/>
</calcChain>
</file>

<file path=xl/sharedStrings.xml><?xml version="1.0" encoding="utf-8"?>
<sst xmlns="http://schemas.openxmlformats.org/spreadsheetml/2006/main" count="2116" uniqueCount="1113">
  <si>
    <t>Picture_no</t>
  </si>
  <si>
    <t>Code</t>
  </si>
  <si>
    <t>Spanish</t>
  </si>
  <si>
    <t>IPA_SP</t>
  </si>
  <si>
    <t>Basque_translation</t>
  </si>
  <si>
    <t>Bimanual_Transitions</t>
  </si>
  <si>
    <t>Imageability_SP</t>
  </si>
  <si>
    <t>H_Index_SP</t>
  </si>
  <si>
    <t>Name_Agreement_SP</t>
  </si>
  <si>
    <t>Visual_Complexity_SP</t>
  </si>
  <si>
    <t>Semantic_category</t>
  </si>
  <si>
    <t>Inverse_Phon_Sim2</t>
  </si>
  <si>
    <t>Inverse_Orth_Sim2</t>
  </si>
  <si>
    <t>No_graphemes_SP</t>
  </si>
  <si>
    <t>No_phonemes_SP</t>
  </si>
  <si>
    <t>No_Syllables_SP</t>
  </si>
  <si>
    <t>Log_Freq_SP</t>
  </si>
  <si>
    <t>PO_Sim</t>
  </si>
  <si>
    <t>English</t>
  </si>
  <si>
    <t>IPA_ENG</t>
  </si>
  <si>
    <t>No_graphemes_ENG</t>
  </si>
  <si>
    <t>No_phonemes_ENG</t>
  </si>
  <si>
    <t>No_Syllables_ENG</t>
  </si>
  <si>
    <t>Log_Freq_ENG</t>
  </si>
  <si>
    <t>Phon_Similarity</t>
  </si>
  <si>
    <t>Orth_Similarity</t>
  </si>
  <si>
    <t>Levenshtein_Basque</t>
  </si>
  <si>
    <t>1</t>
  </si>
  <si>
    <t>2</t>
  </si>
  <si>
    <t>3</t>
  </si>
  <si>
    <t>PICTURE_505</t>
  </si>
  <si>
    <t>PICTURE_745</t>
  </si>
  <si>
    <t>PICTURE_590</t>
  </si>
  <si>
    <t>PICTURE_235</t>
  </si>
  <si>
    <t>PICTURE_66</t>
  </si>
  <si>
    <t>PICTURE_576</t>
  </si>
  <si>
    <t>PICTURE_552</t>
  </si>
  <si>
    <t>PICTURE_461</t>
  </si>
  <si>
    <t>PICTURE_8</t>
  </si>
  <si>
    <t>PICTURE_349</t>
  </si>
  <si>
    <t>PICTURE_565</t>
  </si>
  <si>
    <t>PICTURE_473</t>
  </si>
  <si>
    <t>PICTURE_340</t>
  </si>
  <si>
    <t>PICTURE_99</t>
  </si>
  <si>
    <t>PICTURE_498</t>
  </si>
  <si>
    <t>PICTURE_673</t>
  </si>
  <si>
    <t>PICTURE_365</t>
  </si>
  <si>
    <t>PICTURE_128</t>
  </si>
  <si>
    <t>PICTURE_327</t>
  </si>
  <si>
    <t>PICTURE_495</t>
  </si>
  <si>
    <t>PICTURE_169</t>
  </si>
  <si>
    <t>PICTURE_389</t>
  </si>
  <si>
    <t>PICTURE_546</t>
  </si>
  <si>
    <t>PICTURE_540</t>
  </si>
  <si>
    <t>PICTURE_30</t>
  </si>
  <si>
    <t>PICTURE_680</t>
  </si>
  <si>
    <t>PICTURE_295</t>
  </si>
  <si>
    <t>PICTURE_452</t>
  </si>
  <si>
    <t>PICTURE_362</t>
  </si>
  <si>
    <t>PICTURE_532</t>
  </si>
  <si>
    <t>PICTURE_411</t>
  </si>
  <si>
    <t>PICTURE_151</t>
  </si>
  <si>
    <t>PICTURE_88</t>
  </si>
  <si>
    <t>PICTURE_186</t>
  </si>
  <si>
    <t>PICTURE_95</t>
  </si>
  <si>
    <t>PICTURE_16</t>
  </si>
  <si>
    <t>PICTURE_271</t>
  </si>
  <si>
    <t>PICTURE_277</t>
  </si>
  <si>
    <t>PICTURE_35</t>
  </si>
  <si>
    <t>PICTURE_178</t>
  </si>
  <si>
    <t>PICTURE_140</t>
  </si>
  <si>
    <t>PICTURE_218</t>
  </si>
  <si>
    <t>PICTURE_135</t>
  </si>
  <si>
    <t>PICTURE_517</t>
  </si>
  <si>
    <t>PICTURE_56</t>
  </si>
  <si>
    <t>PICTURE_388</t>
  </si>
  <si>
    <t>PICTURE_172</t>
  </si>
  <si>
    <t>PICTURE_462</t>
  </si>
  <si>
    <t>PICTURE_433</t>
  </si>
  <si>
    <t>PICTURE_338</t>
  </si>
  <si>
    <t>PICTURE_354</t>
  </si>
  <si>
    <t>PICTURE_383</t>
  </si>
  <si>
    <t>PICTURE_446</t>
  </si>
  <si>
    <t>PICTURE_485</t>
  </si>
  <si>
    <t>PICTURE_502</t>
  </si>
  <si>
    <t>PICTURE_633</t>
  </si>
  <si>
    <t>PICTURE_749</t>
  </si>
  <si>
    <t>PICTURE_242</t>
  </si>
  <si>
    <t>PICTURE_38</t>
  </si>
  <si>
    <t>PICTURE_622</t>
  </si>
  <si>
    <t>PICTURE_92</t>
  </si>
  <si>
    <t>PICTURE_545</t>
  </si>
  <si>
    <t>PICTURE_97</t>
  </si>
  <si>
    <t>PICTURE_152</t>
  </si>
  <si>
    <t>PICTURE_48</t>
  </si>
  <si>
    <t>PICTURE_557</t>
  </si>
  <si>
    <t>PICTURE_279</t>
  </si>
  <si>
    <t>PICTURE_171</t>
  </si>
  <si>
    <t>PICTURE_53</t>
  </si>
  <si>
    <t>PICTURE_247</t>
  </si>
  <si>
    <t>PICTURE_541</t>
  </si>
  <si>
    <t>PICTURE_636</t>
  </si>
  <si>
    <t>PICTURE_501</t>
  </si>
  <si>
    <t>PICTURE_523</t>
  </si>
  <si>
    <t>PICTURE_199</t>
  </si>
  <si>
    <t>PICTURE_596</t>
  </si>
  <si>
    <t>PICTURE_518</t>
  </si>
  <si>
    <t>PICTURE_747</t>
  </si>
  <si>
    <t>PICTURE_212</t>
  </si>
  <si>
    <t>PICTURE_588</t>
  </si>
  <si>
    <t>PICTURE_610</t>
  </si>
  <si>
    <t>PICTURE_161</t>
  </si>
  <si>
    <t>PICTURE_156</t>
  </si>
  <si>
    <t>PICTURE_503</t>
  </si>
  <si>
    <t>PICTURE_158</t>
  </si>
  <si>
    <t>PICTURE_193</t>
  </si>
  <si>
    <t>PICTURE_656</t>
  </si>
  <si>
    <t>PICTURE_290</t>
  </si>
  <si>
    <t>PICTURE_728</t>
  </si>
  <si>
    <t>PICTURE_570</t>
  </si>
  <si>
    <t>PICTURE_687</t>
  </si>
  <si>
    <t>PICTURE_607</t>
  </si>
  <si>
    <t>PICTURE_675</t>
  </si>
  <si>
    <t>PICTURE_663</t>
  </si>
  <si>
    <t>PICTURE_264</t>
  </si>
  <si>
    <t>PICTURE_260</t>
  </si>
  <si>
    <t>PICTURE_320</t>
  </si>
  <si>
    <t>PICTURE_377</t>
  </si>
  <si>
    <t>PICTURE_68</t>
  </si>
  <si>
    <t>PICTURE_612</t>
  </si>
  <si>
    <t>PICTURE_253</t>
  </si>
  <si>
    <t>PICTURE_664</t>
  </si>
  <si>
    <t>PICTURE_381</t>
  </si>
  <si>
    <t>PICTURE_91</t>
  </si>
  <si>
    <t>PICTURE_19</t>
  </si>
  <si>
    <t>PICTURE_141</t>
  </si>
  <si>
    <t>PICTURE_301</t>
  </si>
  <si>
    <t>PICTURE_531</t>
  </si>
  <si>
    <t>PICTURE_267</t>
  </si>
  <si>
    <t>PICTURE_719</t>
  </si>
  <si>
    <t>PICTURE_536</t>
  </si>
  <si>
    <t>PICTURE_464</t>
  </si>
  <si>
    <t>PICTURE_508</t>
  </si>
  <si>
    <t>PICTURE_159</t>
  </si>
  <si>
    <t>PICTURE_75</t>
  </si>
  <si>
    <t>PICTURE_175</t>
  </si>
  <si>
    <t>PICTURE_597</t>
  </si>
  <si>
    <t>PICTURE_646</t>
  </si>
  <si>
    <t>PICTURE_187</t>
  </si>
  <si>
    <t>PICTURE_466</t>
  </si>
  <si>
    <t>PICTURE_60</t>
  </si>
  <si>
    <t>PICTURE_255</t>
  </si>
  <si>
    <t>PICTURE_467</t>
  </si>
  <si>
    <t>PICTURE_123</t>
  </si>
  <si>
    <t>PICTURE_453</t>
  </si>
  <si>
    <t>PICTURE_733</t>
  </si>
  <si>
    <t>PICTURE_487</t>
  </si>
  <si>
    <t>PICTURE_494</t>
  </si>
  <si>
    <t>PICTURE_426</t>
  </si>
  <si>
    <t>PICTURE_400</t>
  </si>
  <si>
    <t>PICTURE_319</t>
  </si>
  <si>
    <t>PICTURE_391</t>
  </si>
  <si>
    <t>PICTURE_163</t>
  </si>
  <si>
    <t>PICTURE_606</t>
  </si>
  <si>
    <t>PICTURE_142</t>
  </si>
  <si>
    <t>PICTURE_336</t>
  </si>
  <si>
    <t>PICTURE_695</t>
  </si>
  <si>
    <t>PICTURE_87</t>
  </si>
  <si>
    <t>PICTURE_445</t>
  </si>
  <si>
    <t>PICTURE_480</t>
  </si>
  <si>
    <t>PICTURE_392</t>
  </si>
  <si>
    <t>PICTURE_442</t>
  </si>
  <si>
    <t>PICTURE_100</t>
  </si>
  <si>
    <t>PICTURE_528</t>
  </si>
  <si>
    <t>PICTURE_350</t>
  </si>
  <si>
    <t>PICTURE_155</t>
  </si>
  <si>
    <t>PICTURE_386</t>
  </si>
  <si>
    <t>PICTURE_720</t>
  </si>
  <si>
    <t>PICTURE_98</t>
  </si>
  <si>
    <t>PICTURE_513</t>
  </si>
  <si>
    <t>PICTURE_650</t>
  </si>
  <si>
    <t>PICTURE_341</t>
  </si>
  <si>
    <t>PICTURE_312</t>
  </si>
  <si>
    <t>PICTURE_379</t>
  </si>
  <si>
    <t>PICTURE_405</t>
  </si>
  <si>
    <t>PICTURE_465</t>
  </si>
  <si>
    <t>PICTURE_287</t>
  </si>
  <si>
    <t>PICTURE_308</t>
  </si>
  <si>
    <t>PICTURE_31</t>
  </si>
  <si>
    <t>PICTURE_418</t>
  </si>
  <si>
    <t>PICTURE_692</t>
  </si>
  <si>
    <t>PICTURE_42</t>
  </si>
  <si>
    <t>PICTURE_344</t>
  </si>
  <si>
    <t>PICTURE_449</t>
  </si>
  <si>
    <t>PICTURE_119</t>
  </si>
  <si>
    <t>PICTURE_37</t>
  </si>
  <si>
    <t>PICTURE_479</t>
  </si>
  <si>
    <t>PICTURE_575</t>
  </si>
  <si>
    <t>PICTURE_275</t>
  </si>
  <si>
    <t>PICTURE_32</t>
  </si>
  <si>
    <t>PICTURE_730</t>
  </si>
  <si>
    <t>PICTURE_236</t>
  </si>
  <si>
    <t>PICTURE_669</t>
  </si>
  <si>
    <t>PICTURE_148</t>
  </si>
  <si>
    <t>PICTURE_259</t>
  </si>
  <si>
    <t>PICTURE_303</t>
  </si>
  <si>
    <t>PICTURE_249</t>
  </si>
  <si>
    <t>PICTURE_234</t>
  </si>
  <si>
    <t>PICTURE_127</t>
  </si>
  <si>
    <t>PICTURE_215</t>
  </si>
  <si>
    <t>PICTURE_326</t>
  </si>
  <si>
    <t>PICTURE_601</t>
  </si>
  <si>
    <t>PICTURE_640</t>
  </si>
  <si>
    <t>PICTURE_114</t>
  </si>
  <si>
    <t>PICTURE_611</t>
  </si>
  <si>
    <t>PICTURE_489</t>
  </si>
  <si>
    <t>PICTURE_125</t>
  </si>
  <si>
    <t>libro</t>
  </si>
  <si>
    <t>pozo</t>
  </si>
  <si>
    <t>escoba</t>
  </si>
  <si>
    <t>aguja</t>
  </si>
  <si>
    <t>tejado</t>
  </si>
  <si>
    <t>guante</t>
  </si>
  <si>
    <t>manzana</t>
  </si>
  <si>
    <t>pistola</t>
  </si>
  <si>
    <t>pierna</t>
  </si>
  <si>
    <t>candado</t>
  </si>
  <si>
    <t>campana</t>
  </si>
  <si>
    <t>brazo</t>
  </si>
  <si>
    <t>espejo</t>
  </si>
  <si>
    <t>cuadro</t>
  </si>
  <si>
    <t>taza</t>
  </si>
  <si>
    <t>tenedor</t>
  </si>
  <si>
    <t>erizo</t>
  </si>
  <si>
    <t>muñeca</t>
  </si>
  <si>
    <t>casco</t>
  </si>
  <si>
    <t>puerto</t>
  </si>
  <si>
    <t>espalda</t>
  </si>
  <si>
    <t>antena</t>
  </si>
  <si>
    <t>puerta</t>
  </si>
  <si>
    <t>faro</t>
  </si>
  <si>
    <t>granja</t>
  </si>
  <si>
    <t>arco</t>
  </si>
  <si>
    <t>bandera</t>
  </si>
  <si>
    <t>reloj</t>
  </si>
  <si>
    <t>piscina</t>
  </si>
  <si>
    <t>payaso</t>
  </si>
  <si>
    <t>puño</t>
  </si>
  <si>
    <t>bandeja</t>
  </si>
  <si>
    <t>muleta</t>
  </si>
  <si>
    <t>motor</t>
  </si>
  <si>
    <t>maleta</t>
  </si>
  <si>
    <t>cazador</t>
  </si>
  <si>
    <t>conejo</t>
  </si>
  <si>
    <t>peluca</t>
  </si>
  <si>
    <t>oreja</t>
  </si>
  <si>
    <t>puente</t>
  </si>
  <si>
    <t>grifo</t>
  </si>
  <si>
    <t>pañal</t>
  </si>
  <si>
    <t>traje</t>
  </si>
  <si>
    <t>cuerda</t>
  </si>
  <si>
    <t>codo</t>
  </si>
  <si>
    <t>bolso</t>
  </si>
  <si>
    <t>loro</t>
  </si>
  <si>
    <t>mosca</t>
  </si>
  <si>
    <t>timbre</t>
  </si>
  <si>
    <t>regalo</t>
  </si>
  <si>
    <t>cabra</t>
  </si>
  <si>
    <t>moneda</t>
  </si>
  <si>
    <t>cerdo</t>
  </si>
  <si>
    <t>clavo</t>
  </si>
  <si>
    <t>pastor</t>
  </si>
  <si>
    <t>embudo</t>
  </si>
  <si>
    <t>basura</t>
  </si>
  <si>
    <t>cartero</t>
  </si>
  <si>
    <t>araña</t>
  </si>
  <si>
    <t>tiza</t>
  </si>
  <si>
    <t>foca</t>
  </si>
  <si>
    <t>braga</t>
  </si>
  <si>
    <t>pluma</t>
  </si>
  <si>
    <t>caracol</t>
  </si>
  <si>
    <t>bombero</t>
  </si>
  <si>
    <t>lobo</t>
  </si>
  <si>
    <t>piedra</t>
  </si>
  <si>
    <t>portero</t>
  </si>
  <si>
    <t>bolsa</t>
  </si>
  <si>
    <t>cerebro</t>
  </si>
  <si>
    <t>zapato</t>
  </si>
  <si>
    <t>oveja</t>
  </si>
  <si>
    <t>escudo</t>
  </si>
  <si>
    <t>cable</t>
  </si>
  <si>
    <t>falda</t>
  </si>
  <si>
    <t>carpeta</t>
  </si>
  <si>
    <t>copa</t>
  </si>
  <si>
    <t>bañera</t>
  </si>
  <si>
    <t>balanza</t>
  </si>
  <si>
    <t>pulsera</t>
  </si>
  <si>
    <t>miel</t>
  </si>
  <si>
    <t>corbata</t>
  </si>
  <si>
    <t>flauta</t>
  </si>
  <si>
    <t>lengua</t>
  </si>
  <si>
    <t>mando</t>
  </si>
  <si>
    <t>medusa</t>
  </si>
  <si>
    <t>pila</t>
  </si>
  <si>
    <t>jaula</t>
  </si>
  <si>
    <t>pulpo</t>
  </si>
  <si>
    <t>toro</t>
  </si>
  <si>
    <t>camisa</t>
  </si>
  <si>
    <t>jersey</t>
  </si>
  <si>
    <t>molino</t>
  </si>
  <si>
    <t>columna</t>
  </si>
  <si>
    <t>mano</t>
  </si>
  <si>
    <t>isla</t>
  </si>
  <si>
    <t>iglesia</t>
  </si>
  <si>
    <t>babero</t>
  </si>
  <si>
    <t>vela</t>
  </si>
  <si>
    <t>rana</t>
  </si>
  <si>
    <t>coro</t>
  </si>
  <si>
    <t>vestido</t>
  </si>
  <si>
    <t>fresa</t>
  </si>
  <si>
    <t>boca</t>
  </si>
  <si>
    <t>pavo</t>
  </si>
  <si>
    <t>girasol</t>
  </si>
  <si>
    <t>espada</t>
  </si>
  <si>
    <t>tortuga</t>
  </si>
  <si>
    <t>nudo</t>
  </si>
  <si>
    <t>baño</t>
  </si>
  <si>
    <t>rama</t>
  </si>
  <si>
    <t>goma</t>
  </si>
  <si>
    <t>caja</t>
  </si>
  <si>
    <t>barba</t>
  </si>
  <si>
    <t>globo</t>
  </si>
  <si>
    <t>pintor</t>
  </si>
  <si>
    <t>ventana</t>
  </si>
  <si>
    <t>tronco</t>
  </si>
  <si>
    <t>ciudad</t>
  </si>
  <si>
    <t>juez</t>
  </si>
  <si>
    <t>leñador</t>
  </si>
  <si>
    <t>pala</t>
  </si>
  <si>
    <t>pinza</t>
  </si>
  <si>
    <t>dardo</t>
  </si>
  <si>
    <t>tijeras</t>
  </si>
  <si>
    <t>gafas</t>
  </si>
  <si>
    <t>cesta</t>
  </si>
  <si>
    <t>bigote</t>
  </si>
  <si>
    <t>peine</t>
  </si>
  <si>
    <t>pato</t>
  </si>
  <si>
    <t>vaca</t>
  </si>
  <si>
    <t>cadena</t>
  </si>
  <si>
    <t>coco</t>
  </si>
  <si>
    <t>gato</t>
  </si>
  <si>
    <t>vaso</t>
  </si>
  <si>
    <t>regla</t>
  </si>
  <si>
    <t>naranja</t>
  </si>
  <si>
    <t>robot</t>
  </si>
  <si>
    <t>nido</t>
  </si>
  <si>
    <t>rosa</t>
  </si>
  <si>
    <t>tetera</t>
  </si>
  <si>
    <t>piña</t>
  </si>
  <si>
    <t>nariz</t>
  </si>
  <si>
    <t>cisne</t>
  </si>
  <si>
    <t>biblia</t>
  </si>
  <si>
    <t>bala</t>
  </si>
  <si>
    <t>bomba</t>
  </si>
  <si>
    <t>cometa</t>
  </si>
  <si>
    <t>tigre</t>
  </si>
  <si>
    <t>labios</t>
  </si>
  <si>
    <t>esponja</t>
  </si>
  <si>
    <t>aleta</t>
  </si>
  <si>
    <t>flor</t>
  </si>
  <si>
    <t>cebra</t>
  </si>
  <si>
    <t>ancla</t>
  </si>
  <si>
    <t>navaja</t>
  </si>
  <si>
    <t>vena</t>
  </si>
  <si>
    <t>dado</t>
  </si>
  <si>
    <t>minero</t>
  </si>
  <si>
    <t>cortina</t>
  </si>
  <si>
    <t>cereza</t>
  </si>
  <si>
    <t>pera</t>
  </si>
  <si>
    <t>fuente</t>
  </si>
  <si>
    <t>banco</t>
  </si>
  <si>
    <t>nuez</t>
  </si>
  <si>
    <t>donuts</t>
  </si>
  <si>
    <t>canguro</t>
  </si>
  <si>
    <t>pico</t>
  </si>
  <si>
    <t>capa</t>
  </si>
  <si>
    <t>corona</t>
  </si>
  <si>
    <t>cocina</t>
  </si>
  <si>
    <t>jirafa</t>
  </si>
  <si>
    <t>piloto</t>
  </si>
  <si>
    <t>pipa</t>
  </si>
  <si>
    <t>cono</t>
  </si>
  <si>
    <t>mimo</t>
  </si>
  <si>
    <t>patata</t>
  </si>
  <si>
    <t>plato</t>
  </si>
  <si>
    <t>saco</t>
  </si>
  <si>
    <t>bota</t>
  </si>
  <si>
    <t>tomate</t>
  </si>
  <si>
    <t>koala</t>
  </si>
  <si>
    <t>cactus</t>
  </si>
  <si>
    <t>fruta</t>
  </si>
  <si>
    <t>planta</t>
  </si>
  <si>
    <t>pizza</t>
  </si>
  <si>
    <t>kiwi</t>
  </si>
  <si>
    <t>liβɾo</t>
  </si>
  <si>
    <t>poθo</t>
  </si>
  <si>
    <t>eskoβa</t>
  </si>
  <si>
    <t>aɣuxa</t>
  </si>
  <si>
    <t>texaðo</t>
  </si>
  <si>
    <t>ɡwante</t>
  </si>
  <si>
    <t>manθana</t>
  </si>
  <si>
    <t>pjeɾna</t>
  </si>
  <si>
    <t>kandaðo</t>
  </si>
  <si>
    <t>kampana</t>
  </si>
  <si>
    <t>bɾaθo</t>
  </si>
  <si>
    <t>espexo</t>
  </si>
  <si>
    <t>kwaðɾo</t>
  </si>
  <si>
    <t>taθa</t>
  </si>
  <si>
    <t>teneðoɾ</t>
  </si>
  <si>
    <t>eɾiθo</t>
  </si>
  <si>
    <t>muɲeka</t>
  </si>
  <si>
    <t>kasko</t>
  </si>
  <si>
    <t>pweɾto</t>
  </si>
  <si>
    <t>espalða</t>
  </si>
  <si>
    <t>pweɾta</t>
  </si>
  <si>
    <t>faɾo</t>
  </si>
  <si>
    <t>ɡɾaŋxa</t>
  </si>
  <si>
    <t>aɾko</t>
  </si>
  <si>
    <t>bandeɾa</t>
  </si>
  <si>
    <t>ɾɾelox</t>
  </si>
  <si>
    <t>pisθina</t>
  </si>
  <si>
    <t>pajjaso</t>
  </si>
  <si>
    <t>puɲo</t>
  </si>
  <si>
    <t>bandexa</t>
  </si>
  <si>
    <t>motoɾ</t>
  </si>
  <si>
    <t>kaθaðoɾ</t>
  </si>
  <si>
    <t>konexo</t>
  </si>
  <si>
    <t>peluka</t>
  </si>
  <si>
    <t>oɾexa</t>
  </si>
  <si>
    <t>pwɛnte</t>
  </si>
  <si>
    <t>ɡɾifo</t>
  </si>
  <si>
    <t>paɲal</t>
  </si>
  <si>
    <t>tɾaxe</t>
  </si>
  <si>
    <t>kweɾða</t>
  </si>
  <si>
    <t>koðo</t>
  </si>
  <si>
    <t>loɾo</t>
  </si>
  <si>
    <t>moska</t>
  </si>
  <si>
    <t>timbɾe</t>
  </si>
  <si>
    <t>ɾɾeɣalo</t>
  </si>
  <si>
    <t>kaβɾa</t>
  </si>
  <si>
    <t>moneða</t>
  </si>
  <si>
    <t>θeɾðo</t>
  </si>
  <si>
    <t>klaβo</t>
  </si>
  <si>
    <t>pastoɾ</t>
  </si>
  <si>
    <t>embuðo</t>
  </si>
  <si>
    <t>basuɾa</t>
  </si>
  <si>
    <t>kaɾteɾo</t>
  </si>
  <si>
    <t>aɾaɲa</t>
  </si>
  <si>
    <t>tiθa</t>
  </si>
  <si>
    <t>foka</t>
  </si>
  <si>
    <t>bɾaɣa</t>
  </si>
  <si>
    <t>kaɾakol</t>
  </si>
  <si>
    <t>bombeɾo</t>
  </si>
  <si>
    <t>loβo</t>
  </si>
  <si>
    <t>pjeðɾa</t>
  </si>
  <si>
    <t>poɾteɾo</t>
  </si>
  <si>
    <t>θeɾeβɾo</t>
  </si>
  <si>
    <t>θapato</t>
  </si>
  <si>
    <t>oβexa</t>
  </si>
  <si>
    <t>eskuðo</t>
  </si>
  <si>
    <t>kaβle</t>
  </si>
  <si>
    <t>falða</t>
  </si>
  <si>
    <t>kaɾpeta</t>
  </si>
  <si>
    <t>kopa</t>
  </si>
  <si>
    <t>baɲeɾa</t>
  </si>
  <si>
    <t>balanθa</t>
  </si>
  <si>
    <t>pulseɾa</t>
  </si>
  <si>
    <t>mjel</t>
  </si>
  <si>
    <t>koɾβata</t>
  </si>
  <si>
    <t>flaʊta</t>
  </si>
  <si>
    <t>lɛŋɡwa</t>
  </si>
  <si>
    <t>meðusa</t>
  </si>
  <si>
    <t>xaʊla</t>
  </si>
  <si>
    <t>toɾo</t>
  </si>
  <si>
    <t>kamisa</t>
  </si>
  <si>
    <t>xeɾseɪ</t>
  </si>
  <si>
    <t>kolumna</t>
  </si>
  <si>
    <t>iɣlesja</t>
  </si>
  <si>
    <t>baβeɾo</t>
  </si>
  <si>
    <t>bela</t>
  </si>
  <si>
    <t>ɾɾana</t>
  </si>
  <si>
    <t>koɾo</t>
  </si>
  <si>
    <t>bestiðo</t>
  </si>
  <si>
    <t>fɾesa</t>
  </si>
  <si>
    <t>boka</t>
  </si>
  <si>
    <t>paβo</t>
  </si>
  <si>
    <t>xiɾasol</t>
  </si>
  <si>
    <t>espaða</t>
  </si>
  <si>
    <t>toɾtuɣa</t>
  </si>
  <si>
    <t>nuðo</t>
  </si>
  <si>
    <t>baɲo</t>
  </si>
  <si>
    <t>ɾɾama</t>
  </si>
  <si>
    <t>ɡoma</t>
  </si>
  <si>
    <t>kaxa</t>
  </si>
  <si>
    <t>baɾβa</t>
  </si>
  <si>
    <t>ɡloβo</t>
  </si>
  <si>
    <t>pintoɾ</t>
  </si>
  <si>
    <t>bentana</t>
  </si>
  <si>
    <t>tɾonko</t>
  </si>
  <si>
    <t>θjuðad</t>
  </si>
  <si>
    <t>xweθ</t>
  </si>
  <si>
    <t>leɲaðoɾ</t>
  </si>
  <si>
    <t>pinθa</t>
  </si>
  <si>
    <t>daɾðo</t>
  </si>
  <si>
    <t>tixeɾas</t>
  </si>
  <si>
    <t>ɡafas</t>
  </si>
  <si>
    <t>θesta</t>
  </si>
  <si>
    <t>biɣote</t>
  </si>
  <si>
    <t>peɪne</t>
  </si>
  <si>
    <t>baka</t>
  </si>
  <si>
    <t>kaðena</t>
  </si>
  <si>
    <t>koko</t>
  </si>
  <si>
    <t>ɡato</t>
  </si>
  <si>
    <t>baso</t>
  </si>
  <si>
    <t>ɾɾeɣla</t>
  </si>
  <si>
    <t>naɾaŋxa</t>
  </si>
  <si>
    <t>ɾɾoβot</t>
  </si>
  <si>
    <t>niðo</t>
  </si>
  <si>
    <t>ɾɾosa</t>
  </si>
  <si>
    <t>teteɾa</t>
  </si>
  <si>
    <t>piɲa</t>
  </si>
  <si>
    <t>naɾiθ</t>
  </si>
  <si>
    <t>θisne</t>
  </si>
  <si>
    <t>biβlia</t>
  </si>
  <si>
    <t>kometa</t>
  </si>
  <si>
    <t>tiɣɾe</t>
  </si>
  <si>
    <t>laβjos</t>
  </si>
  <si>
    <t>espoŋxa</t>
  </si>
  <si>
    <t>floɾ</t>
  </si>
  <si>
    <t>θeβɾa</t>
  </si>
  <si>
    <t>ankla</t>
  </si>
  <si>
    <t>naβaxa</t>
  </si>
  <si>
    <t>bena</t>
  </si>
  <si>
    <t>daðo</t>
  </si>
  <si>
    <t>mineɾo</t>
  </si>
  <si>
    <t>koɾtina</t>
  </si>
  <si>
    <t>θeɾeθa</t>
  </si>
  <si>
    <t>peɾa</t>
  </si>
  <si>
    <t>fwɛnte</t>
  </si>
  <si>
    <t>banko</t>
  </si>
  <si>
    <t>nweθ</t>
  </si>
  <si>
    <t>kaŋɡuɾo</t>
  </si>
  <si>
    <t>piko</t>
  </si>
  <si>
    <t>kapa</t>
  </si>
  <si>
    <t>koɾona</t>
  </si>
  <si>
    <t>koθina</t>
  </si>
  <si>
    <t>xiɾafa</t>
  </si>
  <si>
    <t>kono</t>
  </si>
  <si>
    <t>sako</t>
  </si>
  <si>
    <t>kaktus</t>
  </si>
  <si>
    <t>fɾuta</t>
  </si>
  <si>
    <t>pitsa</t>
  </si>
  <si>
    <t>liburu</t>
  </si>
  <si>
    <t>putzu</t>
  </si>
  <si>
    <t>erratza</t>
  </si>
  <si>
    <t>orratz</t>
  </si>
  <si>
    <t>teilatu</t>
  </si>
  <si>
    <t>eskularrua</t>
  </si>
  <si>
    <t>sagar</t>
  </si>
  <si>
    <t>hanka</t>
  </si>
  <si>
    <t>kandadu</t>
  </si>
  <si>
    <t>kanpai</t>
  </si>
  <si>
    <t>beso</t>
  </si>
  <si>
    <t>izpilu</t>
  </si>
  <si>
    <t>koadro</t>
  </si>
  <si>
    <t>sardexka</t>
  </si>
  <si>
    <t>triku</t>
  </si>
  <si>
    <t>panpin</t>
  </si>
  <si>
    <t>bizkar</t>
  </si>
  <si>
    <t>ate</t>
  </si>
  <si>
    <t>baserria</t>
  </si>
  <si>
    <t>arko</t>
  </si>
  <si>
    <t>erloju</t>
  </si>
  <si>
    <t>piszina</t>
  </si>
  <si>
    <t>pailazo</t>
  </si>
  <si>
    <t>ukabil</t>
  </si>
  <si>
    <t>motorra</t>
  </si>
  <si>
    <t>ehiztari</t>
  </si>
  <si>
    <t>untxi</t>
  </si>
  <si>
    <t>belarri</t>
  </si>
  <si>
    <t>zubi</t>
  </si>
  <si>
    <t>iturri</t>
  </si>
  <si>
    <t>fardel</t>
  </si>
  <si>
    <t>soka</t>
  </si>
  <si>
    <t>ukondo</t>
  </si>
  <si>
    <t>poltsa</t>
  </si>
  <si>
    <t>euli</t>
  </si>
  <si>
    <t>txirrin</t>
  </si>
  <si>
    <t>opari</t>
  </si>
  <si>
    <t>ahuntz</t>
  </si>
  <si>
    <t>txanpon</t>
  </si>
  <si>
    <t>txerri</t>
  </si>
  <si>
    <t>artzain</t>
  </si>
  <si>
    <t>inbutu</t>
  </si>
  <si>
    <t>postari</t>
  </si>
  <si>
    <t>armiarma</t>
  </si>
  <si>
    <t>kulero</t>
  </si>
  <si>
    <t>luma</t>
  </si>
  <si>
    <t>barraskilo</t>
  </si>
  <si>
    <t>suhiltzaile</t>
  </si>
  <si>
    <t>otso</t>
  </si>
  <si>
    <t>burmuin</t>
  </si>
  <si>
    <t>zapata</t>
  </si>
  <si>
    <t>ardi</t>
  </si>
  <si>
    <t>ezkutu</t>
  </si>
  <si>
    <t>gona</t>
  </si>
  <si>
    <t>bainera</t>
  </si>
  <si>
    <t>balantza</t>
  </si>
  <si>
    <t>pultsera</t>
  </si>
  <si>
    <t>eztia</t>
  </si>
  <si>
    <t>gorbata</t>
  </si>
  <si>
    <t>txirula</t>
  </si>
  <si>
    <t>mingain</t>
  </si>
  <si>
    <t>kaiola</t>
  </si>
  <si>
    <t>zezen</t>
  </si>
  <si>
    <t>alkandora</t>
  </si>
  <si>
    <t>jestse</t>
  </si>
  <si>
    <t>errota</t>
  </si>
  <si>
    <t>zutabe</t>
  </si>
  <si>
    <t>esku</t>
  </si>
  <si>
    <t>irla</t>
  </si>
  <si>
    <t>eliza</t>
  </si>
  <si>
    <t>kandel</t>
  </si>
  <si>
    <t>igel</t>
  </si>
  <si>
    <t>koro</t>
  </si>
  <si>
    <t>marrubi</t>
  </si>
  <si>
    <t>aho</t>
  </si>
  <si>
    <t>indioilar</t>
  </si>
  <si>
    <t>eguzki-lore</t>
  </si>
  <si>
    <t>ezpata</t>
  </si>
  <si>
    <t>dortoka</t>
  </si>
  <si>
    <t>korapilo</t>
  </si>
  <si>
    <t>adar</t>
  </si>
  <si>
    <t>borragoma</t>
  </si>
  <si>
    <t>bizar</t>
  </si>
  <si>
    <t>margolari</t>
  </si>
  <si>
    <t>leiho</t>
  </si>
  <si>
    <t>hiri</t>
  </si>
  <si>
    <t>epaile</t>
  </si>
  <si>
    <t>pintza</t>
  </si>
  <si>
    <t>guraizak</t>
  </si>
  <si>
    <t>betaurrekoak</t>
  </si>
  <si>
    <t>saski</t>
  </si>
  <si>
    <t>bibote</t>
  </si>
  <si>
    <t>orrazi</t>
  </si>
  <si>
    <t>ahate</t>
  </si>
  <si>
    <t>behi</t>
  </si>
  <si>
    <t>kate</t>
  </si>
  <si>
    <t>katu</t>
  </si>
  <si>
    <t>edalontzi</t>
  </si>
  <si>
    <t>erregela</t>
  </si>
  <si>
    <t>robota</t>
  </si>
  <si>
    <t>larrosa</t>
  </si>
  <si>
    <t>pi</t>
  </si>
  <si>
    <t>sudur</t>
  </si>
  <si>
    <t>zisne</t>
  </si>
  <si>
    <t>bonba</t>
  </si>
  <si>
    <t>ezpainak</t>
  </si>
  <si>
    <t>lore</t>
  </si>
  <si>
    <t>zebra</t>
  </si>
  <si>
    <t>aingura</t>
  </si>
  <si>
    <t>laban</t>
  </si>
  <si>
    <t>gortina</t>
  </si>
  <si>
    <t>gerezi</t>
  </si>
  <si>
    <t>udare</t>
  </si>
  <si>
    <t>banku</t>
  </si>
  <si>
    <t>kanguro</t>
  </si>
  <si>
    <t>moko</t>
  </si>
  <si>
    <t>sukalde</t>
  </si>
  <si>
    <t>girafa</t>
  </si>
  <si>
    <t>plater</t>
  </si>
  <si>
    <t>zaku</t>
  </si>
  <si>
    <t>landare</t>
  </si>
  <si>
    <t>object</t>
  </si>
  <si>
    <t>place</t>
  </si>
  <si>
    <t>clothes</t>
  </si>
  <si>
    <t>food</t>
  </si>
  <si>
    <t>body part</t>
  </si>
  <si>
    <t>animal</t>
  </si>
  <si>
    <t>job</t>
  </si>
  <si>
    <t>plant</t>
  </si>
  <si>
    <t>LP-LO</t>
  </si>
  <si>
    <t>HP-HO</t>
  </si>
  <si>
    <t>book</t>
  </si>
  <si>
    <t>well</t>
  </si>
  <si>
    <t>broom</t>
  </si>
  <si>
    <t>needle</t>
  </si>
  <si>
    <t>roof</t>
  </si>
  <si>
    <t>glove</t>
  </si>
  <si>
    <t>apple</t>
  </si>
  <si>
    <t>gun</t>
  </si>
  <si>
    <t>leg</t>
  </si>
  <si>
    <t>lock</t>
  </si>
  <si>
    <t>bell</t>
  </si>
  <si>
    <t>arm</t>
  </si>
  <si>
    <t>mirror</t>
  </si>
  <si>
    <t>painting</t>
  </si>
  <si>
    <t>mug</t>
  </si>
  <si>
    <t>fork</t>
  </si>
  <si>
    <t>hedgehog</t>
  </si>
  <si>
    <t>doll</t>
  </si>
  <si>
    <t>helmet</t>
  </si>
  <si>
    <t>harbour</t>
  </si>
  <si>
    <t>back</t>
  </si>
  <si>
    <t>aerial</t>
  </si>
  <si>
    <t>door</t>
  </si>
  <si>
    <t>lighthouse</t>
  </si>
  <si>
    <t>farm</t>
  </si>
  <si>
    <t>bow</t>
  </si>
  <si>
    <t>flag</t>
  </si>
  <si>
    <t>watch</t>
  </si>
  <si>
    <t>pool</t>
  </si>
  <si>
    <t>clown</t>
  </si>
  <si>
    <t>fist</t>
  </si>
  <si>
    <t>tray</t>
  </si>
  <si>
    <t>crutches</t>
  </si>
  <si>
    <t>engine</t>
  </si>
  <si>
    <t>suitcase</t>
  </si>
  <si>
    <t>hunter</t>
  </si>
  <si>
    <t>rabbit</t>
  </si>
  <si>
    <t>wig</t>
  </si>
  <si>
    <t>ear</t>
  </si>
  <si>
    <t>bridge</t>
  </si>
  <si>
    <t>tap</t>
  </si>
  <si>
    <t>nappy</t>
  </si>
  <si>
    <t>suit</t>
  </si>
  <si>
    <t>rope</t>
  </si>
  <si>
    <t>elbow</t>
  </si>
  <si>
    <t>bag</t>
  </si>
  <si>
    <t>parrot</t>
  </si>
  <si>
    <t>fly</t>
  </si>
  <si>
    <t>present</t>
  </si>
  <si>
    <t>goat</t>
  </si>
  <si>
    <t>coin</t>
  </si>
  <si>
    <t>pig</t>
  </si>
  <si>
    <t>nail</t>
  </si>
  <si>
    <t>farmer</t>
  </si>
  <si>
    <t>funnel</t>
  </si>
  <si>
    <t>bin</t>
  </si>
  <si>
    <t>postman</t>
  </si>
  <si>
    <t>spider</t>
  </si>
  <si>
    <t>chalk</t>
  </si>
  <si>
    <t>seal</t>
  </si>
  <si>
    <t>knickers</t>
  </si>
  <si>
    <t>feather</t>
  </si>
  <si>
    <t>snail</t>
  </si>
  <si>
    <t>fireman</t>
  </si>
  <si>
    <t>wolf</t>
  </si>
  <si>
    <t>rock</t>
  </si>
  <si>
    <t>goalkeeper</t>
  </si>
  <si>
    <t>brain</t>
  </si>
  <si>
    <t>shoe</t>
  </si>
  <si>
    <t>sheep</t>
  </si>
  <si>
    <t>shield</t>
  </si>
  <si>
    <t>wire</t>
  </si>
  <si>
    <t>skirt</t>
  </si>
  <si>
    <t>folder</t>
  </si>
  <si>
    <t>glass</t>
  </si>
  <si>
    <t>bath</t>
  </si>
  <si>
    <t>scales</t>
  </si>
  <si>
    <t>bracelet</t>
  </si>
  <si>
    <t>honey</t>
  </si>
  <si>
    <t>tie</t>
  </si>
  <si>
    <t>recorder</t>
  </si>
  <si>
    <t>tongue</t>
  </si>
  <si>
    <t>controller</t>
  </si>
  <si>
    <t>jellyfish</t>
  </si>
  <si>
    <t>battery</t>
  </si>
  <si>
    <t>cage</t>
  </si>
  <si>
    <t>octopus</t>
  </si>
  <si>
    <t>bull</t>
  </si>
  <si>
    <t>shirt</t>
  </si>
  <si>
    <t>jumper</t>
  </si>
  <si>
    <t>windmill</t>
  </si>
  <si>
    <t>pillar</t>
  </si>
  <si>
    <t>hand</t>
  </si>
  <si>
    <t>island</t>
  </si>
  <si>
    <t>church</t>
  </si>
  <si>
    <t>bib</t>
  </si>
  <si>
    <t>candle</t>
  </si>
  <si>
    <t>frog</t>
  </si>
  <si>
    <t>choir</t>
  </si>
  <si>
    <t>dress</t>
  </si>
  <si>
    <t>strawberry</t>
  </si>
  <si>
    <t>mouth</t>
  </si>
  <si>
    <t>turkey</t>
  </si>
  <si>
    <t>sunflower</t>
  </si>
  <si>
    <t>sword</t>
  </si>
  <si>
    <t>turtle</t>
  </si>
  <si>
    <t>knot</t>
  </si>
  <si>
    <t>bathroom</t>
  </si>
  <si>
    <t>branch</t>
  </si>
  <si>
    <t>rubber</t>
  </si>
  <si>
    <t>box</t>
  </si>
  <si>
    <t>beard</t>
  </si>
  <si>
    <t>balloon</t>
  </si>
  <si>
    <t>artist</t>
  </si>
  <si>
    <t>window</t>
  </si>
  <si>
    <t>stump</t>
  </si>
  <si>
    <t>city</t>
  </si>
  <si>
    <t>judge</t>
  </si>
  <si>
    <t>lumberjack</t>
  </si>
  <si>
    <t>shovel</t>
  </si>
  <si>
    <t>peg</t>
  </si>
  <si>
    <t>dart</t>
  </si>
  <si>
    <t>scissors</t>
  </si>
  <si>
    <t>glasses</t>
  </si>
  <si>
    <t>basket</t>
  </si>
  <si>
    <t>moustache</t>
  </si>
  <si>
    <t>comb</t>
  </si>
  <si>
    <t>duck</t>
  </si>
  <si>
    <t>cow</t>
  </si>
  <si>
    <t>chain</t>
  </si>
  <si>
    <t>coconut</t>
  </si>
  <si>
    <t>cat</t>
  </si>
  <si>
    <t>ruler</t>
  </si>
  <si>
    <t>orange</t>
  </si>
  <si>
    <t>nest</t>
  </si>
  <si>
    <t>rose</t>
  </si>
  <si>
    <t>teapot</t>
  </si>
  <si>
    <t>pineapple</t>
  </si>
  <si>
    <t>nose</t>
  </si>
  <si>
    <t>swan</t>
  </si>
  <si>
    <t>bible</t>
  </si>
  <si>
    <t>bullet</t>
  </si>
  <si>
    <t>bomb</t>
  </si>
  <si>
    <t>kite</t>
  </si>
  <si>
    <t>tiger</t>
  </si>
  <si>
    <t>lips</t>
  </si>
  <si>
    <t>sponge</t>
  </si>
  <si>
    <t>flipper</t>
  </si>
  <si>
    <t>flower</t>
  </si>
  <si>
    <t>anchor</t>
  </si>
  <si>
    <t>knife</t>
  </si>
  <si>
    <t>vein</t>
  </si>
  <si>
    <t>dice</t>
  </si>
  <si>
    <t>miner</t>
  </si>
  <si>
    <t>curtain</t>
  </si>
  <si>
    <t>cherry</t>
  </si>
  <si>
    <t>pear</t>
  </si>
  <si>
    <t>fountain</t>
  </si>
  <si>
    <t>bench</t>
  </si>
  <si>
    <t>nut</t>
  </si>
  <si>
    <t>doughnut</t>
  </si>
  <si>
    <t>kangaroo</t>
  </si>
  <si>
    <t>beak</t>
  </si>
  <si>
    <t>cape</t>
  </si>
  <si>
    <t>crown</t>
  </si>
  <si>
    <t>kitchen</t>
  </si>
  <si>
    <t>giraffe</t>
  </si>
  <si>
    <t>pilot</t>
  </si>
  <si>
    <t>pipe</t>
  </si>
  <si>
    <t>cone</t>
  </si>
  <si>
    <t>mime</t>
  </si>
  <si>
    <t>potato</t>
  </si>
  <si>
    <t>plate</t>
  </si>
  <si>
    <t>sack</t>
  </si>
  <si>
    <t>boot</t>
  </si>
  <si>
    <t>tomato</t>
  </si>
  <si>
    <t>fruit</t>
  </si>
  <si>
    <t>bʊk</t>
  </si>
  <si>
    <t>wɛl</t>
  </si>
  <si>
    <t>brʊm</t>
  </si>
  <si>
    <t>niːdl</t>
  </si>
  <si>
    <t>ruːf</t>
  </si>
  <si>
    <t>glʌv</t>
  </si>
  <si>
    <t>æpl</t>
  </si>
  <si>
    <t>gʌn</t>
  </si>
  <si>
    <t>lɛg</t>
  </si>
  <si>
    <t>lɒk</t>
  </si>
  <si>
    <t>bɛl</t>
  </si>
  <si>
    <t>ɑːm</t>
  </si>
  <si>
    <t>mɪrə</t>
  </si>
  <si>
    <t>peɪntɪŋ</t>
  </si>
  <si>
    <t>mʌg</t>
  </si>
  <si>
    <t>fɔːk</t>
  </si>
  <si>
    <t>hɛʤhɒg</t>
  </si>
  <si>
    <t>dɒl</t>
  </si>
  <si>
    <t>hɛlmɪt</t>
  </si>
  <si>
    <t>hɑːbə</t>
  </si>
  <si>
    <t>bæk</t>
  </si>
  <si>
    <t>eərɪəl</t>
  </si>
  <si>
    <t>dɔː</t>
  </si>
  <si>
    <t>laɪthaʊs</t>
  </si>
  <si>
    <t>fɑːm</t>
  </si>
  <si>
    <t>baʊ</t>
  </si>
  <si>
    <t>flæg</t>
  </si>
  <si>
    <t>wɒʧ</t>
  </si>
  <si>
    <t>puːl</t>
  </si>
  <si>
    <t>klaʊn</t>
  </si>
  <si>
    <t>fɪst</t>
  </si>
  <si>
    <t>treɪ</t>
  </si>
  <si>
    <t>krʌʧɪz</t>
  </si>
  <si>
    <t>ɛnʤɪn</t>
  </si>
  <si>
    <t>sjuːtkeɪs</t>
  </si>
  <si>
    <t>hʌntə</t>
  </si>
  <si>
    <t>ræbɪt</t>
  </si>
  <si>
    <t>wɪg</t>
  </si>
  <si>
    <t>ɪə</t>
  </si>
  <si>
    <t>brɪʤ</t>
  </si>
  <si>
    <t>tæp</t>
  </si>
  <si>
    <t>næpi</t>
  </si>
  <si>
    <t>sjuːt</t>
  </si>
  <si>
    <t>rəʊp</t>
  </si>
  <si>
    <t>ɛlbəʊ</t>
  </si>
  <si>
    <t>bæg</t>
  </si>
  <si>
    <t>pærət</t>
  </si>
  <si>
    <t>flaɪ</t>
  </si>
  <si>
    <t>prɛznt</t>
  </si>
  <si>
    <t>gəʊt</t>
  </si>
  <si>
    <t>kɔɪn</t>
  </si>
  <si>
    <t>pɪg</t>
  </si>
  <si>
    <t>neɪl</t>
  </si>
  <si>
    <t>fɑːmə</t>
  </si>
  <si>
    <t>fʌnl</t>
  </si>
  <si>
    <t>bɪn</t>
  </si>
  <si>
    <t>pəʊstmən</t>
  </si>
  <si>
    <t>spaɪdə</t>
  </si>
  <si>
    <t>ʧɔːk</t>
  </si>
  <si>
    <t>siːl</t>
  </si>
  <si>
    <t>nɪkəz</t>
  </si>
  <si>
    <t>fɛðə</t>
  </si>
  <si>
    <t>sneɪl</t>
  </si>
  <si>
    <t>faɪəmən</t>
  </si>
  <si>
    <t>wʊlf</t>
  </si>
  <si>
    <t>rɒk</t>
  </si>
  <si>
    <t>gəʊlkiːpə</t>
  </si>
  <si>
    <t>breɪn</t>
  </si>
  <si>
    <t>ʃuː</t>
  </si>
  <si>
    <t>ʃiːp</t>
  </si>
  <si>
    <t>ʃiːld</t>
  </si>
  <si>
    <t>waɪə</t>
  </si>
  <si>
    <t>skɜːt</t>
  </si>
  <si>
    <t>fəʊldə</t>
  </si>
  <si>
    <t>glɑːs</t>
  </si>
  <si>
    <t>bɑːθ</t>
  </si>
  <si>
    <t>skeɪlz</t>
  </si>
  <si>
    <t>breɪslɪt</t>
  </si>
  <si>
    <t>hʌni</t>
  </si>
  <si>
    <t>taɪ</t>
  </si>
  <si>
    <t>rɪkɔːdə</t>
  </si>
  <si>
    <t>tʌŋ</t>
  </si>
  <si>
    <t>kəntrəʊlə</t>
  </si>
  <si>
    <t>ʤɛlɪfɪʃ</t>
  </si>
  <si>
    <t>bætəri</t>
  </si>
  <si>
    <t>keɪʤ</t>
  </si>
  <si>
    <t>ɒktəpəs</t>
  </si>
  <si>
    <t>bʊl</t>
  </si>
  <si>
    <t>ʃɜːt</t>
  </si>
  <si>
    <t>ʤʌmpə</t>
  </si>
  <si>
    <t>wɪnmɪl</t>
  </si>
  <si>
    <t>pɪlə</t>
  </si>
  <si>
    <t>hænd</t>
  </si>
  <si>
    <t>aɪlənd</t>
  </si>
  <si>
    <t>ʧɜːʧ</t>
  </si>
  <si>
    <t>bɪb</t>
  </si>
  <si>
    <t>kændl</t>
  </si>
  <si>
    <t>frɒg</t>
  </si>
  <si>
    <t>kwaɪə</t>
  </si>
  <si>
    <t>drɛs</t>
  </si>
  <si>
    <t>strɔːbəri</t>
  </si>
  <si>
    <t>maʊθ</t>
  </si>
  <si>
    <t>tɜːki</t>
  </si>
  <si>
    <t>sʌnflaʊə</t>
  </si>
  <si>
    <t>sɔːd</t>
  </si>
  <si>
    <t>tɜːtl</t>
  </si>
  <si>
    <t>nɒt</t>
  </si>
  <si>
    <t>bɑːθruːm</t>
  </si>
  <si>
    <t>brɑːnʧ</t>
  </si>
  <si>
    <t>rʌbə</t>
  </si>
  <si>
    <t>bɒks</t>
  </si>
  <si>
    <t>bɪəd</t>
  </si>
  <si>
    <t>bəluːn</t>
  </si>
  <si>
    <t>ɑːtɪst</t>
  </si>
  <si>
    <t>wɪndəʊ</t>
  </si>
  <si>
    <t>stʌmp</t>
  </si>
  <si>
    <t>sɪti</t>
  </si>
  <si>
    <t>ʤʌʤ</t>
  </si>
  <si>
    <t>lʌmbəʤæk</t>
  </si>
  <si>
    <t>ʃʌvl</t>
  </si>
  <si>
    <t>pɛg</t>
  </si>
  <si>
    <t>dɑːt</t>
  </si>
  <si>
    <t>sɪzəz</t>
  </si>
  <si>
    <t>glɑːsɪz</t>
  </si>
  <si>
    <t>bɑːskɪt</t>
  </si>
  <si>
    <t>məstɑːʃ</t>
  </si>
  <si>
    <t>kəʊm</t>
  </si>
  <si>
    <t>dʌk</t>
  </si>
  <si>
    <t>kaʊ</t>
  </si>
  <si>
    <t>ʧeɪn</t>
  </si>
  <si>
    <t>kəʊkənʌt</t>
  </si>
  <si>
    <t>kæt</t>
  </si>
  <si>
    <t>ruːlə</t>
  </si>
  <si>
    <t>ɒrɪnʤ</t>
  </si>
  <si>
    <t>rəʊbɒt</t>
  </si>
  <si>
    <t>nɛst</t>
  </si>
  <si>
    <t>rəʊz</t>
  </si>
  <si>
    <t>tiːpɒt</t>
  </si>
  <si>
    <t>paɪnæpl</t>
  </si>
  <si>
    <t>nəʊz</t>
  </si>
  <si>
    <t>swɒn</t>
  </si>
  <si>
    <t>baɪbl</t>
  </si>
  <si>
    <t>bʊlɪt</t>
  </si>
  <si>
    <t>bɒm</t>
  </si>
  <si>
    <t>kaɪt</t>
  </si>
  <si>
    <t>taɪgə</t>
  </si>
  <si>
    <t>lɪps</t>
  </si>
  <si>
    <t>spʌnʤ</t>
  </si>
  <si>
    <t>flɪpə</t>
  </si>
  <si>
    <t>flaʊə</t>
  </si>
  <si>
    <t>ziːbrə</t>
  </si>
  <si>
    <t>æŋkə</t>
  </si>
  <si>
    <t>naɪf</t>
  </si>
  <si>
    <t>veɪn</t>
  </si>
  <si>
    <t>daɪs</t>
  </si>
  <si>
    <t>maɪnə</t>
  </si>
  <si>
    <t>kɜːtn</t>
  </si>
  <si>
    <t>ʧɛri</t>
  </si>
  <si>
    <t>peə</t>
  </si>
  <si>
    <t>faʊntɪn</t>
  </si>
  <si>
    <t>bɛnʧ</t>
  </si>
  <si>
    <t>nʌt</t>
  </si>
  <si>
    <t>dəʊnʌt</t>
  </si>
  <si>
    <t>kæŋgəruː</t>
  </si>
  <si>
    <t>biːk</t>
  </si>
  <si>
    <t>keɪp</t>
  </si>
  <si>
    <t>kraʊn</t>
  </si>
  <si>
    <t>kɪʧɪn</t>
  </si>
  <si>
    <t>ʤɪrɑːf</t>
  </si>
  <si>
    <t>paɪlət</t>
  </si>
  <si>
    <t>paɪp</t>
  </si>
  <si>
    <t>kəʊn</t>
  </si>
  <si>
    <t>maɪm</t>
  </si>
  <si>
    <t>pəteɪtəʊ</t>
  </si>
  <si>
    <t>pleɪt</t>
  </si>
  <si>
    <t>sæk</t>
  </si>
  <si>
    <t>buːt</t>
  </si>
  <si>
    <t>təmɑːtəʊ</t>
  </si>
  <si>
    <t>kəʊɑːlə</t>
  </si>
  <si>
    <t>kæktəs</t>
  </si>
  <si>
    <t>fruːt</t>
  </si>
  <si>
    <t>plɑːnt</t>
  </si>
  <si>
    <t>piːtsə</t>
  </si>
  <si>
    <t>kiːwiː</t>
  </si>
  <si>
    <t>Levenshtein_English</t>
  </si>
  <si>
    <t>Bin</t>
  </si>
  <si>
    <t>Frequency</t>
  </si>
  <si>
    <t>katilu</t>
  </si>
  <si>
    <t>erretilu</t>
  </si>
  <si>
    <t>jantzi</t>
  </si>
  <si>
    <t>iltze</t>
  </si>
  <si>
    <t>zabor</t>
  </si>
  <si>
    <t>klarion</t>
  </si>
  <si>
    <t>harri</t>
  </si>
  <si>
    <t>atezain</t>
  </si>
  <si>
    <t>kable</t>
  </si>
  <si>
    <t>olagarro</t>
  </si>
  <si>
    <t>adur-zapi</t>
  </si>
  <si>
    <t>soineko</t>
  </si>
  <si>
    <t>enbor</t>
  </si>
  <si>
    <t>egurgile</t>
  </si>
  <si>
    <t>aginte</t>
  </si>
  <si>
    <t>komun</t>
  </si>
  <si>
    <t>portu</t>
  </si>
  <si>
    <t>karpeta</t>
  </si>
  <si>
    <t xml:space="preserve"> </t>
  </si>
  <si>
    <t>No_letters_SP</t>
  </si>
  <si>
    <t>NA</t>
  </si>
  <si>
    <t>abs_tok_MBOF</t>
  </si>
  <si>
    <t>abs_type_MBOF</t>
  </si>
  <si>
    <t>Row Labels</t>
  </si>
  <si>
    <t>Grand Total</t>
  </si>
  <si>
    <t>Count of Semantic_category</t>
  </si>
  <si>
    <t>PICTURE_12</t>
  </si>
  <si>
    <t>sirena</t>
  </si>
  <si>
    <t>siɾena</t>
  </si>
  <si>
    <t>mermaid</t>
  </si>
  <si>
    <t>mɜːmeɪd</t>
  </si>
  <si>
    <t>person</t>
  </si>
  <si>
    <t>Levenshtein</t>
  </si>
  <si>
    <t>Length_graphemes_SP</t>
  </si>
  <si>
    <t>Length_graphemes_ENG</t>
  </si>
  <si>
    <t>Length_phonemes_SP</t>
  </si>
  <si>
    <t>Length_phonemes_ENG</t>
  </si>
  <si>
    <t>PICTURE_614</t>
  </si>
  <si>
    <t>reina</t>
  </si>
  <si>
    <t>ɾɾeɪna</t>
  </si>
  <si>
    <t>queen</t>
  </si>
  <si>
    <t>kwiːn</t>
  </si>
  <si>
    <t>PICTURE_110</t>
  </si>
  <si>
    <t>mesa</t>
  </si>
  <si>
    <t>table</t>
  </si>
  <si>
    <t>teɪbl</t>
  </si>
  <si>
    <t>furniture</t>
  </si>
  <si>
    <t>PICTURE_599</t>
  </si>
  <si>
    <t>nube</t>
  </si>
  <si>
    <t>nuβe</t>
  </si>
  <si>
    <t>cloud</t>
  </si>
  <si>
    <t>klaʊd</t>
  </si>
  <si>
    <t>nature</t>
  </si>
  <si>
    <r>
      <t>glα:s</t>
    </r>
    <r>
      <rPr>
        <sz val="11"/>
        <color theme="1"/>
        <rFont val="Calibri"/>
        <family val="2"/>
        <charset val="161"/>
      </rPr>
      <t>ɪ</t>
    </r>
    <r>
      <rPr>
        <sz val="8.4499999999999993"/>
        <color theme="1"/>
        <rFont val="Calibri"/>
        <family val="2"/>
      </rPr>
      <t>z</t>
    </r>
  </si>
  <si>
    <r>
      <t>fr</t>
    </r>
    <r>
      <rPr>
        <sz val="11"/>
        <color theme="1"/>
        <rFont val="Calibri"/>
        <family val="2"/>
        <charset val="161"/>
      </rPr>
      <t>ɒ</t>
    </r>
    <r>
      <rPr>
        <sz val="8.4499999999999993"/>
        <color theme="1"/>
        <rFont val="Calibri"/>
        <family val="2"/>
      </rPr>
      <t>g</t>
    </r>
  </si>
  <si>
    <r>
      <t>b</t>
    </r>
    <r>
      <rPr>
        <sz val="11"/>
        <color theme="1"/>
        <rFont val="Calibri"/>
        <family val="2"/>
        <charset val="161"/>
      </rPr>
      <t>ʊ</t>
    </r>
    <r>
      <rPr>
        <sz val="8.4499999999999993"/>
        <color theme="1"/>
        <rFont val="Calibri"/>
        <family val="2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</si>
</sst>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61"/>
    </font>
    <font>
      <sz val="8.4499999999999993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/>
    <xf numFmtId="2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9" fontId="2" fillId="0" borderId="1" xfId="0" applyNumberFormat="1" applyFont="1" applyBorder="1"/>
    <xf numFmtId="164" fontId="2" fillId="3" borderId="1" xfId="0" applyNumberFormat="1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/>
    <xf numFmtId="2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/>
    </xf>
    <xf numFmtId="0" fontId="2" fillId="3" borderId="3" xfId="0" applyFont="1" applyFill="1" applyBorder="1"/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9" fontId="2" fillId="3" borderId="3" xfId="0" applyNumberFormat="1" applyFont="1" applyFill="1" applyBorder="1"/>
    <xf numFmtId="1" fontId="2" fillId="3" borderId="3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0" fillId="4" borderId="0" xfId="0" applyFill="1"/>
    <xf numFmtId="165" fontId="0" fillId="0" borderId="0" xfId="0" applyNumberForma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0" applyNumberFormat="1" applyFont="1" applyBorder="1"/>
    <xf numFmtId="1" fontId="1" fillId="0" borderId="5" xfId="0" applyNumberFormat="1" applyFont="1" applyBorder="1" applyAlignment="1">
      <alignment horizontal="center"/>
    </xf>
    <xf numFmtId="0" fontId="0" fillId="5" borderId="0" xfId="0" applyFill="1"/>
    <xf numFmtId="0" fontId="5" fillId="0" borderId="0" xfId="0" applyFont="1"/>
    <xf numFmtId="0" fontId="5" fillId="0" borderId="3" xfId="0" applyFont="1" applyBorder="1"/>
    <xf numFmtId="2" fontId="0" fillId="5" borderId="0" xfId="0" applyNumberFormat="1" applyFill="1" applyAlignment="1">
      <alignment horizontal="center"/>
    </xf>
    <xf numFmtId="165" fontId="0" fillId="5" borderId="0" xfId="0" applyNumberFormat="1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/>
    </xf>
    <xf numFmtId="165" fontId="2" fillId="0" borderId="0" xfId="0" applyNumberFormat="1" applyFont="1"/>
    <xf numFmtId="165" fontId="0" fillId="0" borderId="3" xfId="0" applyNumberFormat="1" applyBorder="1"/>
    <xf numFmtId="1" fontId="2" fillId="0" borderId="0" xfId="0" applyNumberFormat="1" applyFont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165" fontId="0" fillId="6" borderId="0" xfId="0" applyNumberFormat="1" applyFill="1"/>
    <xf numFmtId="1" fontId="0" fillId="6" borderId="0" xfId="0" applyNumberFormat="1" applyFill="1" applyAlignment="1">
      <alignment horizontal="center"/>
    </xf>
    <xf numFmtId="165" fontId="2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7" borderId="11" xfId="0" applyFont="1" applyFill="1" applyBorder="1"/>
    <xf numFmtId="0" fontId="2" fillId="0" borderId="11" xfId="0" applyFont="1" applyBorder="1"/>
    <xf numFmtId="2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/>
    </xf>
    <xf numFmtId="2" fontId="2" fillId="7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2" fontId="2" fillId="7" borderId="13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0" fontId="2" fillId="7" borderId="10" xfId="0" applyFont="1" applyFill="1" applyBorder="1"/>
    <xf numFmtId="0" fontId="2" fillId="7" borderId="10" xfId="0" applyFont="1" applyFill="1" applyBorder="1" applyAlignment="1">
      <alignment horizontal="center" vertical="center"/>
    </xf>
    <xf numFmtId="2" fontId="2" fillId="7" borderId="10" xfId="0" applyNumberFormat="1" applyFont="1" applyFill="1" applyBorder="1" applyAlignment="1">
      <alignment horizontal="center"/>
    </xf>
    <xf numFmtId="2" fontId="2" fillId="7" borderId="14" xfId="0" applyNumberFormat="1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5" fillId="0" borderId="1" xfId="0" applyFont="1" applyBorder="1"/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2" fillId="0" borderId="1" xfId="0" applyNumberFormat="1" applyFont="1" applyBorder="1"/>
  </cellXfs>
  <cellStyles count="1">
    <cellStyle name="Normal" xfId="0" builtinId="0"/>
  </cellStyles>
  <dxfs count="1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Bimanual_transitions!$F$4:$F$16</c:f>
              <c:numCache>
                <c:formatCode>General</c:formatCode>
                <c:ptCount val="13"/>
                <c:pt idx="0">
                  <c:v>0</c:v>
                </c:pt>
                <c:pt idx="1">
                  <c:v>16.7</c:v>
                </c:pt>
                <c:pt idx="2">
                  <c:v>20</c:v>
                </c:pt>
                <c:pt idx="3">
                  <c:v>25</c:v>
                </c:pt>
                <c:pt idx="4">
                  <c:v>33.299999999999997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66.7</c:v>
                </c:pt>
                <c:pt idx="9">
                  <c:v>75</c:v>
                </c:pt>
                <c:pt idx="10">
                  <c:v>80</c:v>
                </c:pt>
                <c:pt idx="11">
                  <c:v>83.3</c:v>
                </c:pt>
                <c:pt idx="12">
                  <c:v>100</c:v>
                </c:pt>
              </c:numCache>
            </c:numRef>
          </c:cat>
          <c:val>
            <c:numRef>
              <c:f>Bimanual_transitions!$G$4:$G$16</c:f>
              <c:numCache>
                <c:formatCode>General</c:formatCode>
                <c:ptCount val="13"/>
                <c:pt idx="0">
                  <c:v>9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13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5-484A-A96C-4BAF0888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29824"/>
        <c:axId val="76831744"/>
      </c:barChart>
      <c:catAx>
        <c:axId val="7682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31744"/>
        <c:crosses val="autoZero"/>
        <c:auto val="1"/>
        <c:lblAlgn val="ctr"/>
        <c:lblOffset val="100"/>
        <c:noMultiLvlLbl val="0"/>
      </c:catAx>
      <c:valAx>
        <c:axId val="76831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2982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'Bigram_frequency '!$B$1</c:f>
              <c:strCache>
                <c:ptCount val="1"/>
                <c:pt idx="0">
                  <c:v>abs_type_MBOF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'Bigram_frequency '!$A$2:$A$80</c:f>
              <c:numCache>
                <c:formatCode>0.00</c:formatCode>
                <c:ptCount val="79"/>
                <c:pt idx="0">
                  <c:v>13362.893747</c:v>
                </c:pt>
                <c:pt idx="1">
                  <c:v>24200.320181999999</c:v>
                </c:pt>
                <c:pt idx="2">
                  <c:v>11912.671066999999</c:v>
                </c:pt>
                <c:pt idx="3">
                  <c:v>27298.13624</c:v>
                </c:pt>
                <c:pt idx="4">
                  <c:v>28352.082465</c:v>
                </c:pt>
                <c:pt idx="5">
                  <c:v>36499.951178000003</c:v>
                </c:pt>
                <c:pt idx="6">
                  <c:v>41516.996815999999</c:v>
                </c:pt>
                <c:pt idx="7">
                  <c:v>27596.778254000001</c:v>
                </c:pt>
                <c:pt idx="8">
                  <c:v>36364.261554999997</c:v>
                </c:pt>
                <c:pt idx="9">
                  <c:v>30582.349445</c:v>
                </c:pt>
                <c:pt idx="10">
                  <c:v>35265.644306000002</c:v>
                </c:pt>
                <c:pt idx="11">
                  <c:v>41065.366130000002</c:v>
                </c:pt>
                <c:pt idx="12">
                  <c:v>36080.838363000003</c:v>
                </c:pt>
                <c:pt idx="13">
                  <c:v>55849.965793000003</c:v>
                </c:pt>
                <c:pt idx="14">
                  <c:v>12909.463820000001</c:v>
                </c:pt>
                <c:pt idx="15">
                  <c:v>20645.240665000001</c:v>
                </c:pt>
                <c:pt idx="16">
                  <c:v>20399.820875000001</c:v>
                </c:pt>
                <c:pt idx="17">
                  <c:v>5250.035895</c:v>
                </c:pt>
                <c:pt idx="18">
                  <c:v>44016.175439999999</c:v>
                </c:pt>
                <c:pt idx="19">
                  <c:v>32716.393164000001</c:v>
                </c:pt>
                <c:pt idx="20">
                  <c:v>34693.929225</c:v>
                </c:pt>
                <c:pt idx="21">
                  <c:v>19047.121326</c:v>
                </c:pt>
                <c:pt idx="22">
                  <c:v>27908.385794999998</c:v>
                </c:pt>
                <c:pt idx="23">
                  <c:v>21952.291766999999</c:v>
                </c:pt>
                <c:pt idx="24">
                  <c:v>24817.077206999998</c:v>
                </c:pt>
                <c:pt idx="25">
                  <c:v>24357.135837000002</c:v>
                </c:pt>
                <c:pt idx="26">
                  <c:v>30828.726033999999</c:v>
                </c:pt>
                <c:pt idx="27">
                  <c:v>32298.847000000002</c:v>
                </c:pt>
                <c:pt idx="28">
                  <c:v>27234.653724</c:v>
                </c:pt>
                <c:pt idx="29">
                  <c:v>28339.975408999999</c:v>
                </c:pt>
                <c:pt idx="30">
                  <c:v>31091.018864999998</c:v>
                </c:pt>
                <c:pt idx="31">
                  <c:v>28698.595678000001</c:v>
                </c:pt>
                <c:pt idx="32">
                  <c:v>31667.708009000002</c:v>
                </c:pt>
                <c:pt idx="33">
                  <c:v>43557.05414</c:v>
                </c:pt>
                <c:pt idx="34">
                  <c:v>27847.333963000001</c:v>
                </c:pt>
                <c:pt idx="35">
                  <c:v>68163.829010999994</c:v>
                </c:pt>
                <c:pt idx="36">
                  <c:v>4851.4646620000003</c:v>
                </c:pt>
                <c:pt idx="37">
                  <c:v>19136.506370999999</c:v>
                </c:pt>
                <c:pt idx="38">
                  <c:v>23948.395594000001</c:v>
                </c:pt>
                <c:pt idx="39">
                  <c:v>34218.602203000002</c:v>
                </c:pt>
                <c:pt idx="40">
                  <c:v>36456.993459999998</c:v>
                </c:pt>
                <c:pt idx="41">
                  <c:v>34108.958313000003</c:v>
                </c:pt>
                <c:pt idx="42">
                  <c:v>17829.158454</c:v>
                </c:pt>
                <c:pt idx="43">
                  <c:v>24035.218084</c:v>
                </c:pt>
                <c:pt idx="44">
                  <c:v>23429.933396</c:v>
                </c:pt>
                <c:pt idx="45">
                  <c:v>50561.921961</c:v>
                </c:pt>
                <c:pt idx="46">
                  <c:v>20140.232795</c:v>
                </c:pt>
                <c:pt idx="47">
                  <c:v>33767.849301000002</c:v>
                </c:pt>
                <c:pt idx="48">
                  <c:v>41890.807099999998</c:v>
                </c:pt>
                <c:pt idx="49">
                  <c:v>31608.968986</c:v>
                </c:pt>
                <c:pt idx="50">
                  <c:v>35819.704752999998</c:v>
                </c:pt>
                <c:pt idx="51">
                  <c:v>21670.738641</c:v>
                </c:pt>
                <c:pt idx="52">
                  <c:v>39461.682474000001</c:v>
                </c:pt>
                <c:pt idx="53">
                  <c:v>28676.236914000001</c:v>
                </c:pt>
                <c:pt idx="54">
                  <c:v>29987.741708000001</c:v>
                </c:pt>
                <c:pt idx="55">
                  <c:v>40249.415204999998</c:v>
                </c:pt>
                <c:pt idx="56">
                  <c:v>35840.697824000003</c:v>
                </c:pt>
                <c:pt idx="57">
                  <c:v>35694.194691999997</c:v>
                </c:pt>
                <c:pt idx="58">
                  <c:v>51453.139793000002</c:v>
                </c:pt>
                <c:pt idx="59">
                  <c:v>28448.002828000001</c:v>
                </c:pt>
                <c:pt idx="60">
                  <c:v>35954.408175999997</c:v>
                </c:pt>
                <c:pt idx="61">
                  <c:v>48462.523824000004</c:v>
                </c:pt>
                <c:pt idx="62">
                  <c:v>13877.643717000001</c:v>
                </c:pt>
                <c:pt idx="63">
                  <c:v>16008.567972999999</c:v>
                </c:pt>
                <c:pt idx="64">
                  <c:v>6080.9645209999999</c:v>
                </c:pt>
                <c:pt idx="65">
                  <c:v>38455.44498</c:v>
                </c:pt>
                <c:pt idx="66">
                  <c:v>30112.865795000002</c:v>
                </c:pt>
                <c:pt idx="67">
                  <c:v>18872.278173999999</c:v>
                </c:pt>
                <c:pt idx="68">
                  <c:v>41541.643951999999</c:v>
                </c:pt>
                <c:pt idx="69">
                  <c:v>46934.786801000002</c:v>
                </c:pt>
                <c:pt idx="70">
                  <c:v>22767.711176000001</c:v>
                </c:pt>
                <c:pt idx="71">
                  <c:v>50534.333715000001</c:v>
                </c:pt>
                <c:pt idx="72">
                  <c:v>22892.294839999999</c:v>
                </c:pt>
                <c:pt idx="73">
                  <c:v>8128.1265460000004</c:v>
                </c:pt>
                <c:pt idx="74">
                  <c:v>11742.426191</c:v>
                </c:pt>
                <c:pt idx="75">
                  <c:v>17803.490819999999</c:v>
                </c:pt>
                <c:pt idx="76">
                  <c:v>32253.482766000001</c:v>
                </c:pt>
                <c:pt idx="77">
                  <c:v>28190.958065999999</c:v>
                </c:pt>
                <c:pt idx="78">
                  <c:v>16601.8439</c:v>
                </c:pt>
              </c:numCache>
            </c:numRef>
          </c:xVal>
          <c:yVal>
            <c:numRef>
              <c:f>'Bigram_frequency '!$B$2:$B$80</c:f>
              <c:numCache>
                <c:formatCode>0.00</c:formatCode>
                <c:ptCount val="79"/>
                <c:pt idx="0">
                  <c:v>8954.4</c:v>
                </c:pt>
                <c:pt idx="1">
                  <c:v>16433.25</c:v>
                </c:pt>
                <c:pt idx="2">
                  <c:v>8231.75</c:v>
                </c:pt>
                <c:pt idx="3">
                  <c:v>20793.333332999999</c:v>
                </c:pt>
                <c:pt idx="4">
                  <c:v>19134.333332999999</c:v>
                </c:pt>
                <c:pt idx="5">
                  <c:v>20184.666667000001</c:v>
                </c:pt>
                <c:pt idx="6">
                  <c:v>32695.666667000001</c:v>
                </c:pt>
                <c:pt idx="7">
                  <c:v>14215.2</c:v>
                </c:pt>
                <c:pt idx="8">
                  <c:v>30926.75</c:v>
                </c:pt>
                <c:pt idx="9">
                  <c:v>23177.833332999999</c:v>
                </c:pt>
                <c:pt idx="10">
                  <c:v>18521.666667000001</c:v>
                </c:pt>
                <c:pt idx="11">
                  <c:v>20589.333332999999</c:v>
                </c:pt>
                <c:pt idx="12">
                  <c:v>18336</c:v>
                </c:pt>
                <c:pt idx="13">
                  <c:v>21855.4</c:v>
                </c:pt>
                <c:pt idx="14">
                  <c:v>6140.3333329999996</c:v>
                </c:pt>
                <c:pt idx="15">
                  <c:v>12160.25</c:v>
                </c:pt>
                <c:pt idx="16">
                  <c:v>9569</c:v>
                </c:pt>
                <c:pt idx="17">
                  <c:v>4243.25</c:v>
                </c:pt>
                <c:pt idx="18">
                  <c:v>31132.5</c:v>
                </c:pt>
                <c:pt idx="19">
                  <c:v>19752.333332999999</c:v>
                </c:pt>
                <c:pt idx="20">
                  <c:v>21947.333332999999</c:v>
                </c:pt>
                <c:pt idx="21">
                  <c:v>14832.333333</c:v>
                </c:pt>
                <c:pt idx="22">
                  <c:v>14225.2</c:v>
                </c:pt>
                <c:pt idx="23">
                  <c:v>13657.6</c:v>
                </c:pt>
                <c:pt idx="24">
                  <c:v>18967.599999999999</c:v>
                </c:pt>
                <c:pt idx="25">
                  <c:v>15824.333333</c:v>
                </c:pt>
                <c:pt idx="26">
                  <c:v>16670.5</c:v>
                </c:pt>
                <c:pt idx="27">
                  <c:v>20057</c:v>
                </c:pt>
                <c:pt idx="28">
                  <c:v>13908.4</c:v>
                </c:pt>
                <c:pt idx="29">
                  <c:v>18296.75</c:v>
                </c:pt>
                <c:pt idx="30">
                  <c:v>23396.25</c:v>
                </c:pt>
                <c:pt idx="31">
                  <c:v>18888.400000000001</c:v>
                </c:pt>
                <c:pt idx="32">
                  <c:v>29047.5</c:v>
                </c:pt>
                <c:pt idx="33">
                  <c:v>26729.25</c:v>
                </c:pt>
                <c:pt idx="34">
                  <c:v>17703</c:v>
                </c:pt>
                <c:pt idx="35">
                  <c:v>30330.6</c:v>
                </c:pt>
                <c:pt idx="36">
                  <c:v>1624.666667</c:v>
                </c:pt>
                <c:pt idx="37">
                  <c:v>11952.25</c:v>
                </c:pt>
                <c:pt idx="38">
                  <c:v>16101.4</c:v>
                </c:pt>
                <c:pt idx="39">
                  <c:v>22088.75</c:v>
                </c:pt>
                <c:pt idx="40">
                  <c:v>23774.333332999999</c:v>
                </c:pt>
                <c:pt idx="41">
                  <c:v>26173</c:v>
                </c:pt>
                <c:pt idx="42">
                  <c:v>9262.3333330000005</c:v>
                </c:pt>
                <c:pt idx="43">
                  <c:v>13155</c:v>
                </c:pt>
                <c:pt idx="44">
                  <c:v>10510.25</c:v>
                </c:pt>
                <c:pt idx="45">
                  <c:v>27605.75</c:v>
                </c:pt>
                <c:pt idx="46">
                  <c:v>15032.333333</c:v>
                </c:pt>
                <c:pt idx="47">
                  <c:v>21486.2</c:v>
                </c:pt>
                <c:pt idx="48">
                  <c:v>22100.799999999999</c:v>
                </c:pt>
                <c:pt idx="49">
                  <c:v>16274.6</c:v>
                </c:pt>
                <c:pt idx="50">
                  <c:v>14927.8</c:v>
                </c:pt>
                <c:pt idx="51">
                  <c:v>16647</c:v>
                </c:pt>
                <c:pt idx="52">
                  <c:v>16802.2</c:v>
                </c:pt>
                <c:pt idx="53">
                  <c:v>21339.666667000001</c:v>
                </c:pt>
                <c:pt idx="54">
                  <c:v>20357</c:v>
                </c:pt>
                <c:pt idx="55">
                  <c:v>19626.666667000001</c:v>
                </c:pt>
                <c:pt idx="56">
                  <c:v>20860.2</c:v>
                </c:pt>
                <c:pt idx="57">
                  <c:v>20924.400000000001</c:v>
                </c:pt>
                <c:pt idx="58">
                  <c:v>27818.333332999999</c:v>
                </c:pt>
                <c:pt idx="59">
                  <c:v>20637.5</c:v>
                </c:pt>
                <c:pt idx="60">
                  <c:v>11338</c:v>
                </c:pt>
                <c:pt idx="61">
                  <c:v>34566</c:v>
                </c:pt>
                <c:pt idx="62">
                  <c:v>13162</c:v>
                </c:pt>
                <c:pt idx="63">
                  <c:v>12620.8</c:v>
                </c:pt>
                <c:pt idx="64">
                  <c:v>3853</c:v>
                </c:pt>
                <c:pt idx="65">
                  <c:v>21376</c:v>
                </c:pt>
                <c:pt idx="66">
                  <c:v>21702.6</c:v>
                </c:pt>
                <c:pt idx="67">
                  <c:v>11709.833333</c:v>
                </c:pt>
                <c:pt idx="68">
                  <c:v>23911.833332999999</c:v>
                </c:pt>
                <c:pt idx="69">
                  <c:v>25358.166667000001</c:v>
                </c:pt>
                <c:pt idx="70">
                  <c:v>17367.599999999999</c:v>
                </c:pt>
                <c:pt idx="71">
                  <c:v>17817</c:v>
                </c:pt>
                <c:pt idx="72">
                  <c:v>16832.599999999999</c:v>
                </c:pt>
                <c:pt idx="73">
                  <c:v>6519.6666670000004</c:v>
                </c:pt>
                <c:pt idx="74">
                  <c:v>4883.75</c:v>
                </c:pt>
                <c:pt idx="75">
                  <c:v>14642.75</c:v>
                </c:pt>
                <c:pt idx="76">
                  <c:v>23510.6</c:v>
                </c:pt>
                <c:pt idx="77">
                  <c:v>14613.6</c:v>
                </c:pt>
                <c:pt idx="78">
                  <c:v>12365.666667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5-408E-8CD4-73FD69646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904288"/>
        <c:axId val="573901408"/>
      </c:scatterChart>
      <c:valAx>
        <c:axId val="57390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3901408"/>
        <c:crosses val="autoZero"/>
        <c:crossBetween val="midCat"/>
      </c:valAx>
      <c:valAx>
        <c:axId val="5739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390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251459</xdr:colOff>
      <xdr:row>2</xdr:row>
      <xdr:rowOff>167640</xdr:rowOff>
    </xdr:from>
    <xdr:to>
      <xdr:col>16</xdr:col>
      <xdr:colOff>601578</xdr:colOff>
      <xdr:row>16</xdr:row>
      <xdr:rowOff>176464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F6561-1E5B-BB29-5156-97399D700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6</xdr:row>
      <xdr:rowOff>76200</xdr:rowOff>
    </xdr:from>
    <xdr:to>
      <xdr:col>13</xdr:col>
      <xdr:colOff>449580</xdr:colOff>
      <xdr:row>22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DA6F6D-06E4-5AA0-6FE6-241CF13A2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922;&#945;&#964;&#949;&#961;&#943;&#957;&#945;\Nextcloud\Multipic_Exp_1\Databases\Espal_Bigram_Absolute.xlsx" TargetMode="External"/><Relationship Id="rId1" Type="http://schemas.openxmlformats.org/officeDocument/2006/relationships/externalLinkPath" Target="Databases/Espal_Bigram_Absolu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922;&#945;&#964;&#949;&#961;&#943;&#957;&#945;\Nextcloud\Multipic_Exp_1\Phon_Orth_Similarity_11_11_022.xlsx" TargetMode="External"/><Relationship Id="rId1" Type="http://schemas.openxmlformats.org/officeDocument/2006/relationships/externalLinkPath" Target="Phon_Orth_Similarity_11_11_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922;&#945;&#964;&#949;&#961;&#943;&#957;&#945;\Nextcloud\Multipic_Exp.1\Clearpond_E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922;&#945;&#964;&#949;&#961;&#943;&#957;&#945;\Nextcloud\Multipic_Exp.1\Clearpond%20&amp;%20Celex_EN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922;&#945;&#964;&#949;&#961;&#943;&#957;&#945;\Nextcloud\Multipic_Exp.1\Espal_wordlis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niKonstanz/WS%2020-21/MA%20Thesis/SUBTLEX/SUBTLEX-U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itten_es_wordlist_bigram_abso"/>
    </sheetNames>
    <sheetDataSet>
      <sheetData sheetId="0">
        <row r="1">
          <cell r="A1" t="str">
            <v>word</v>
          </cell>
          <cell r="B1" t="str">
            <v>abs_tok_MBOF</v>
          </cell>
          <cell r="C1" t="str">
            <v>abs_type_MBOF</v>
          </cell>
        </row>
        <row r="2">
          <cell r="A2" t="str">
            <v>escoba</v>
          </cell>
          <cell r="B2">
            <v>35694.194691999997</v>
          </cell>
          <cell r="C2">
            <v>20924.400000000001</v>
          </cell>
        </row>
        <row r="3">
          <cell r="A3" t="str">
            <v>aguja</v>
          </cell>
          <cell r="B3">
            <v>5250.035895</v>
          </cell>
          <cell r="C3">
            <v>4243.25</v>
          </cell>
        </row>
        <row r="4">
          <cell r="A4" t="str">
            <v>tejado</v>
          </cell>
          <cell r="B4">
            <v>30112.865795000002</v>
          </cell>
          <cell r="C4">
            <v>21702.6</v>
          </cell>
        </row>
        <row r="5">
          <cell r="A5" t="str">
            <v>guante</v>
          </cell>
          <cell r="B5">
            <v>35840.697824000003</v>
          </cell>
          <cell r="C5">
            <v>20860.2</v>
          </cell>
        </row>
        <row r="6">
          <cell r="A6" t="str">
            <v>manzana</v>
          </cell>
          <cell r="B6">
            <v>28676.236914000001</v>
          </cell>
          <cell r="C6">
            <v>21339.666667000001</v>
          </cell>
        </row>
        <row r="7">
          <cell r="A7" t="str">
            <v>pierna</v>
          </cell>
          <cell r="B7">
            <v>28190.958065999999</v>
          </cell>
          <cell r="C7">
            <v>14613.6</v>
          </cell>
        </row>
        <row r="8">
          <cell r="A8" t="str">
            <v>campana</v>
          </cell>
          <cell r="B8">
            <v>29987.741708000001</v>
          </cell>
          <cell r="C8">
            <v>20357</v>
          </cell>
        </row>
        <row r="9">
          <cell r="A9" t="str">
            <v>espejo</v>
          </cell>
          <cell r="B9">
            <v>27234.653724</v>
          </cell>
          <cell r="C9">
            <v>13908.4</v>
          </cell>
        </row>
        <row r="10">
          <cell r="A10" t="str">
            <v>taza</v>
          </cell>
          <cell r="B10">
            <v>20140.232795</v>
          </cell>
          <cell r="C10">
            <v>15032.333333</v>
          </cell>
        </row>
        <row r="11">
          <cell r="A11" t="str">
            <v>tenedor</v>
          </cell>
          <cell r="B11">
            <v>46934.786801000002</v>
          </cell>
          <cell r="C11">
            <v>25358.166667000001</v>
          </cell>
        </row>
        <row r="12">
          <cell r="A12" t="str">
            <v>muñeca</v>
          </cell>
          <cell r="B12">
            <v>13362.893747</v>
          </cell>
          <cell r="C12">
            <v>8954.4</v>
          </cell>
        </row>
        <row r="13">
          <cell r="A13" t="str">
            <v>espalda</v>
          </cell>
          <cell r="B13">
            <v>35265.644306000002</v>
          </cell>
          <cell r="C13">
            <v>18521.666667000001</v>
          </cell>
        </row>
        <row r="14">
          <cell r="A14" t="str">
            <v>puerta</v>
          </cell>
          <cell r="B14">
            <v>39461.682474000001</v>
          </cell>
          <cell r="C14">
            <v>16802.2</v>
          </cell>
        </row>
        <row r="15">
          <cell r="A15" t="str">
            <v>granja</v>
          </cell>
          <cell r="B15">
            <v>24817.077206999998</v>
          </cell>
          <cell r="C15">
            <v>18967.599999999999</v>
          </cell>
        </row>
        <row r="16">
          <cell r="A16" t="str">
            <v>puño</v>
          </cell>
          <cell r="B16">
            <v>4851.4646620000003</v>
          </cell>
          <cell r="C16">
            <v>1624.666667</v>
          </cell>
        </row>
        <row r="17">
          <cell r="A17" t="str">
            <v>bandeja</v>
          </cell>
          <cell r="B17">
            <v>36499.951178000003</v>
          </cell>
          <cell r="C17">
            <v>20184.666667000001</v>
          </cell>
        </row>
        <row r="18">
          <cell r="A18" t="str">
            <v>cazador</v>
          </cell>
          <cell r="B18">
            <v>30582.349445</v>
          </cell>
          <cell r="C18">
            <v>23177.833332999999</v>
          </cell>
        </row>
        <row r="19">
          <cell r="A19" t="str">
            <v>conejo</v>
          </cell>
          <cell r="B19">
            <v>27908.385794999998</v>
          </cell>
          <cell r="C19">
            <v>14225.2</v>
          </cell>
        </row>
        <row r="20">
          <cell r="A20" t="str">
            <v>oreja</v>
          </cell>
          <cell r="B20">
            <v>28339.975408999999</v>
          </cell>
          <cell r="C20">
            <v>18296.75</v>
          </cell>
        </row>
        <row r="21">
          <cell r="A21" t="str">
            <v>puente</v>
          </cell>
          <cell r="B21">
            <v>55849.965793000003</v>
          </cell>
          <cell r="C21">
            <v>21855.4</v>
          </cell>
        </row>
        <row r="22">
          <cell r="A22" t="str">
            <v>grifo</v>
          </cell>
          <cell r="B22">
            <v>11912.671066999999</v>
          </cell>
          <cell r="C22">
            <v>8231.75</v>
          </cell>
        </row>
        <row r="23">
          <cell r="A23" t="str">
            <v>pañal</v>
          </cell>
          <cell r="B23">
            <v>20399.820875000001</v>
          </cell>
          <cell r="C23">
            <v>9569</v>
          </cell>
        </row>
        <row r="24">
          <cell r="A24" t="str">
            <v>traje</v>
          </cell>
          <cell r="B24">
            <v>24200.320181999999</v>
          </cell>
          <cell r="C24">
            <v>16433.25</v>
          </cell>
        </row>
        <row r="25">
          <cell r="A25" t="str">
            <v>cuerda</v>
          </cell>
          <cell r="B25">
            <v>35819.704752999998</v>
          </cell>
          <cell r="C25">
            <v>14927.8</v>
          </cell>
        </row>
        <row r="26">
          <cell r="A26" t="str">
            <v>mosca</v>
          </cell>
          <cell r="B26">
            <v>34108.958313000003</v>
          </cell>
          <cell r="C26">
            <v>26173</v>
          </cell>
        </row>
        <row r="27">
          <cell r="A27" t="str">
            <v>timbre</v>
          </cell>
          <cell r="B27">
            <v>23948.395594000001</v>
          </cell>
          <cell r="C27">
            <v>16101.4</v>
          </cell>
        </row>
        <row r="28">
          <cell r="A28" t="str">
            <v>regalo</v>
          </cell>
          <cell r="B28">
            <v>32298.847000000002</v>
          </cell>
          <cell r="C28">
            <v>20057</v>
          </cell>
        </row>
        <row r="29">
          <cell r="A29" t="str">
            <v>cabra</v>
          </cell>
          <cell r="B29">
            <v>31091.018864999998</v>
          </cell>
          <cell r="C29">
            <v>23396.25</v>
          </cell>
        </row>
        <row r="30">
          <cell r="A30" t="str">
            <v>moneda</v>
          </cell>
          <cell r="B30">
            <v>27847.333963000001</v>
          </cell>
          <cell r="C30">
            <v>17703</v>
          </cell>
        </row>
        <row r="31">
          <cell r="A31" t="str">
            <v>cerdo</v>
          </cell>
          <cell r="B31">
            <v>34218.602203000002</v>
          </cell>
          <cell r="C31">
            <v>22088.75</v>
          </cell>
        </row>
        <row r="32">
          <cell r="A32" t="str">
            <v>clavo</v>
          </cell>
          <cell r="B32">
            <v>23429.933396</v>
          </cell>
          <cell r="C32">
            <v>10510.25</v>
          </cell>
        </row>
        <row r="33">
          <cell r="A33" t="str">
            <v>pastor</v>
          </cell>
          <cell r="B33">
            <v>41890.807099999998</v>
          </cell>
          <cell r="C33">
            <v>22100.799999999999</v>
          </cell>
        </row>
        <row r="34">
          <cell r="A34" t="str">
            <v>embudo</v>
          </cell>
          <cell r="B34">
            <v>16008.567972999999</v>
          </cell>
          <cell r="C34">
            <v>12620.8</v>
          </cell>
        </row>
        <row r="35">
          <cell r="A35" t="str">
            <v>basura</v>
          </cell>
          <cell r="B35">
            <v>32253.482766000001</v>
          </cell>
          <cell r="C35">
            <v>23510.6</v>
          </cell>
        </row>
        <row r="36">
          <cell r="A36" t="str">
            <v>cartero</v>
          </cell>
          <cell r="B36">
            <v>44016.175439999999</v>
          </cell>
          <cell r="C36">
            <v>31132.5</v>
          </cell>
        </row>
        <row r="37">
          <cell r="A37" t="str">
            <v>araña</v>
          </cell>
          <cell r="B37">
            <v>31667.708009000002</v>
          </cell>
          <cell r="C37">
            <v>29047.5</v>
          </cell>
        </row>
        <row r="38">
          <cell r="A38" t="str">
            <v>tiza</v>
          </cell>
          <cell r="B38">
            <v>13877.643717000001</v>
          </cell>
          <cell r="C38">
            <v>13162</v>
          </cell>
        </row>
        <row r="39">
          <cell r="A39" t="str">
            <v>braga</v>
          </cell>
          <cell r="B39">
            <v>21670.738641</v>
          </cell>
          <cell r="C39">
            <v>16647</v>
          </cell>
        </row>
        <row r="40">
          <cell r="A40" t="str">
            <v>caracol</v>
          </cell>
          <cell r="B40">
            <v>41516.996815999999</v>
          </cell>
          <cell r="C40">
            <v>32695.666667000001</v>
          </cell>
        </row>
        <row r="41">
          <cell r="A41" t="str">
            <v>bombero</v>
          </cell>
          <cell r="B41">
            <v>24035.218084</v>
          </cell>
          <cell r="C41">
            <v>13155</v>
          </cell>
        </row>
        <row r="42">
          <cell r="A42" t="str">
            <v>piedra</v>
          </cell>
          <cell r="B42">
            <v>21952.291766999999</v>
          </cell>
          <cell r="C42">
            <v>13657.6</v>
          </cell>
        </row>
        <row r="43">
          <cell r="A43" t="str">
            <v>portero</v>
          </cell>
          <cell r="B43">
            <v>41065.366130000002</v>
          </cell>
          <cell r="C43">
            <v>20589.333332999999</v>
          </cell>
        </row>
        <row r="44">
          <cell r="A44" t="str">
            <v>cerebro</v>
          </cell>
          <cell r="B44">
            <v>32716.393164000001</v>
          </cell>
          <cell r="C44">
            <v>19752.333332999999</v>
          </cell>
        </row>
        <row r="45">
          <cell r="A45" t="str">
            <v>oveja</v>
          </cell>
          <cell r="B45">
            <v>6080.9645209999999</v>
          </cell>
          <cell r="C45">
            <v>3853</v>
          </cell>
        </row>
        <row r="46">
          <cell r="A46" t="str">
            <v>escudo</v>
          </cell>
          <cell r="B46">
            <v>33767.849301000002</v>
          </cell>
          <cell r="C46">
            <v>21486.2</v>
          </cell>
        </row>
        <row r="47">
          <cell r="A47" t="str">
            <v>falda</v>
          </cell>
          <cell r="B47">
            <v>20645.240665000001</v>
          </cell>
          <cell r="C47">
            <v>12160.25</v>
          </cell>
        </row>
        <row r="48">
          <cell r="A48" t="str">
            <v>miel</v>
          </cell>
          <cell r="B48">
            <v>35954.408175999997</v>
          </cell>
          <cell r="C48">
            <v>11338</v>
          </cell>
        </row>
        <row r="49">
          <cell r="A49" t="str">
            <v>flauta</v>
          </cell>
          <cell r="B49">
            <v>27596.778254000001</v>
          </cell>
          <cell r="C49">
            <v>14215.2</v>
          </cell>
        </row>
        <row r="50">
          <cell r="A50" t="str">
            <v>lengua</v>
          </cell>
          <cell r="B50">
            <v>31608.968986</v>
          </cell>
          <cell r="C50">
            <v>16274.6</v>
          </cell>
        </row>
        <row r="51">
          <cell r="A51" t="str">
            <v>mando</v>
          </cell>
          <cell r="B51">
            <v>36364.261554999997</v>
          </cell>
          <cell r="C51">
            <v>30926.75</v>
          </cell>
        </row>
        <row r="52">
          <cell r="A52" t="str">
            <v>pulpo</v>
          </cell>
          <cell r="B52">
            <v>11742.426191</v>
          </cell>
          <cell r="C52">
            <v>4883.75</v>
          </cell>
        </row>
        <row r="53">
          <cell r="A53" t="str">
            <v>toro</v>
          </cell>
          <cell r="B53">
            <v>40249.415204999998</v>
          </cell>
          <cell r="C53">
            <v>19626.666667000001</v>
          </cell>
        </row>
        <row r="54">
          <cell r="A54" t="str">
            <v>camisa</v>
          </cell>
          <cell r="B54">
            <v>22892.294839999999</v>
          </cell>
          <cell r="C54">
            <v>16832.599999999999</v>
          </cell>
        </row>
        <row r="55">
          <cell r="A55" t="str">
            <v>molino</v>
          </cell>
          <cell r="B55">
            <v>22767.711176000001</v>
          </cell>
          <cell r="C55">
            <v>17367.599999999999</v>
          </cell>
        </row>
        <row r="56">
          <cell r="A56" t="str">
            <v>columna</v>
          </cell>
          <cell r="B56">
            <v>18872.278173999999</v>
          </cell>
          <cell r="C56">
            <v>11709.833333</v>
          </cell>
        </row>
        <row r="57">
          <cell r="A57" t="str">
            <v>mano</v>
          </cell>
          <cell r="B57">
            <v>34693.929225</v>
          </cell>
          <cell r="C57">
            <v>21947.333332999999</v>
          </cell>
        </row>
        <row r="58">
          <cell r="A58" t="str">
            <v>iglesia</v>
          </cell>
          <cell r="B58">
            <v>30828.726033999999</v>
          </cell>
          <cell r="C58">
            <v>16670.5</v>
          </cell>
        </row>
        <row r="59">
          <cell r="A59" t="str">
            <v>babero</v>
          </cell>
          <cell r="B59">
            <v>28698.595678000001</v>
          </cell>
          <cell r="C59">
            <v>18888.400000000001</v>
          </cell>
        </row>
        <row r="60">
          <cell r="A60" t="str">
            <v>vela</v>
          </cell>
          <cell r="B60">
            <v>50534.333715000001</v>
          </cell>
          <cell r="C60">
            <v>17817</v>
          </cell>
        </row>
        <row r="61">
          <cell r="A61" t="str">
            <v>rana</v>
          </cell>
          <cell r="B61">
            <v>48462.523824000004</v>
          </cell>
          <cell r="C61">
            <v>34566</v>
          </cell>
        </row>
        <row r="62">
          <cell r="A62" t="str">
            <v>vestido</v>
          </cell>
          <cell r="B62">
            <v>41541.643951999999</v>
          </cell>
          <cell r="C62">
            <v>23911.833332999999</v>
          </cell>
        </row>
        <row r="63">
          <cell r="A63" t="str">
            <v>fresa</v>
          </cell>
          <cell r="B63">
            <v>43557.05414</v>
          </cell>
          <cell r="C63">
            <v>26729.25</v>
          </cell>
        </row>
        <row r="64">
          <cell r="A64" t="str">
            <v>boca</v>
          </cell>
          <cell r="B64">
            <v>16601.8439</v>
          </cell>
          <cell r="C64">
            <v>12365.666667</v>
          </cell>
        </row>
        <row r="65">
          <cell r="A65" t="str">
            <v>pavo</v>
          </cell>
          <cell r="B65">
            <v>12909.463820000001</v>
          </cell>
          <cell r="C65">
            <v>6140.3333329999996</v>
          </cell>
        </row>
        <row r="66">
          <cell r="A66" t="str">
            <v>girasol</v>
          </cell>
          <cell r="B66">
            <v>27298.13624</v>
          </cell>
          <cell r="C66">
            <v>20793.333332999999</v>
          </cell>
        </row>
        <row r="67">
          <cell r="A67" t="str">
            <v>nudo</v>
          </cell>
          <cell r="B67">
            <v>19047.121326</v>
          </cell>
          <cell r="C67">
            <v>14832.333333</v>
          </cell>
        </row>
        <row r="68">
          <cell r="A68" t="str">
            <v>baño</v>
          </cell>
          <cell r="B68">
            <v>8128.1265460000004</v>
          </cell>
          <cell r="C68">
            <v>6519.6666670000004</v>
          </cell>
        </row>
        <row r="69">
          <cell r="A69" t="str">
            <v>goma</v>
          </cell>
          <cell r="B69">
            <v>17829.158454</v>
          </cell>
          <cell r="C69">
            <v>9262.3333330000005</v>
          </cell>
        </row>
        <row r="70">
          <cell r="A70" t="str">
            <v>pintor</v>
          </cell>
          <cell r="B70">
            <v>36080.838363000003</v>
          </cell>
          <cell r="C70">
            <v>18336</v>
          </cell>
        </row>
        <row r="71">
          <cell r="A71" t="str">
            <v>ventana</v>
          </cell>
          <cell r="B71">
            <v>51453.139793000002</v>
          </cell>
          <cell r="C71">
            <v>27818.333332999999</v>
          </cell>
        </row>
        <row r="72">
          <cell r="A72" t="str">
            <v>tronco</v>
          </cell>
          <cell r="B72">
            <v>38455.44498</v>
          </cell>
          <cell r="C72">
            <v>21376</v>
          </cell>
        </row>
        <row r="73">
          <cell r="A73" t="str">
            <v>leñador</v>
          </cell>
          <cell r="B73">
            <v>28448.002828000001</v>
          </cell>
          <cell r="C73">
            <v>20637.5</v>
          </cell>
        </row>
        <row r="74">
          <cell r="A74" t="str">
            <v>tijeras</v>
          </cell>
          <cell r="B74">
            <v>36456.993459999998</v>
          </cell>
          <cell r="C74">
            <v>23774.333332999999</v>
          </cell>
        </row>
        <row r="75">
          <cell r="A75" t="str">
            <v>gafas</v>
          </cell>
          <cell r="B75">
            <v>17803.490819999999</v>
          </cell>
          <cell r="C75">
            <v>14642.75</v>
          </cell>
        </row>
        <row r="76">
          <cell r="A76" t="str">
            <v>cesta</v>
          </cell>
          <cell r="B76">
            <v>50561.921961</v>
          </cell>
          <cell r="C76">
            <v>27605.75</v>
          </cell>
        </row>
        <row r="77">
          <cell r="A77" t="str">
            <v>peine</v>
          </cell>
          <cell r="B77">
            <v>19136.506370999999</v>
          </cell>
          <cell r="C77">
            <v>11952.25</v>
          </cell>
        </row>
        <row r="78">
          <cell r="A78" t="str">
            <v>vaca</v>
          </cell>
          <cell r="B78">
            <v>24357.135837000002</v>
          </cell>
          <cell r="C78">
            <v>15824.333333</v>
          </cell>
        </row>
        <row r="79">
          <cell r="A79" t="str">
            <v>cadena</v>
          </cell>
          <cell r="B79">
            <v>68163.829010999994</v>
          </cell>
          <cell r="C79">
            <v>30330.6</v>
          </cell>
        </row>
        <row r="80">
          <cell r="A80" t="str">
            <v>vaso</v>
          </cell>
          <cell r="B80">
            <v>28352.082465</v>
          </cell>
          <cell r="C80">
            <v>19134.333332999999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moved"/>
      <sheetName val="Phon_Orth_Similarity_11_11_02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rpondEN_HE1IR"/>
      <sheetName val="Φύλλο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rpondEN_HE1IR"/>
      <sheetName val="WebCelex_Done"/>
      <sheetName val="Celex_E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ritten_es_wordlist_out_imageab"/>
      <sheetName val="Output_Espal_Zipf"/>
      <sheetName val="output_Zip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236.473990046296" createdVersion="8" refreshedVersion="8" minRefreshableVersion="3" recordCount="45" xr:uid="{01048DBE-B1EC-4657-AA4D-474617D15E25}">
  <cacheSource type="worksheet">
    <worksheetSource name="Table6"/>
  </cacheSource>
  <cacheFields count="30">
    <cacheField name="Picture_no" numFmtId="0">
      <sharedItems/>
    </cacheField>
    <cacheField name="Code" numFmtId="0">
      <sharedItems containsSemiMixedTypes="0" containsString="0" containsNumber="1" containsInteger="1" minValue="8" maxValue="733"/>
    </cacheField>
    <cacheField name="Spanish" numFmtId="0">
      <sharedItems/>
    </cacheField>
    <cacheField name="IPA_SP" numFmtId="0">
      <sharedItems/>
    </cacheField>
    <cacheField name="English" numFmtId="0">
      <sharedItems/>
    </cacheField>
    <cacheField name="Semantic_category" numFmtId="0">
      <sharedItems count="9">
        <s v="object"/>
        <s v="clothes"/>
        <s v="animal"/>
        <s v="job"/>
        <s v="body part"/>
        <s v="place"/>
        <s v="food"/>
        <s v="person"/>
        <s v="plant" u="1"/>
      </sharedItems>
    </cacheField>
    <cacheField name="abs_tok_MBOF" numFmtId="2">
      <sharedItems containsSemiMixedTypes="0" containsString="0" containsNumber="1" minValue="4726.6841549999999" maxValue="68163.829010999994"/>
    </cacheField>
    <cacheField name="abs_type_MBOF" numFmtId="2">
      <sharedItems containsSemiMixedTypes="0" containsString="0" containsNumber="1" minValue="2811.333333" maxValue="34566"/>
    </cacheField>
    <cacheField name="Bimanual_Transitions" numFmtId="165">
      <sharedItems containsSemiMixedTypes="0" containsString="0" containsNumber="1" minValue="0" maxValue="100"/>
    </cacheField>
    <cacheField name="Imageability_SP" numFmtId="2">
      <sharedItems containsMixedTypes="1" containsNumber="1" minValue="4.6580000000000004" maxValue="6.78"/>
    </cacheField>
    <cacheField name="H_Index_SP" numFmtId="2">
      <sharedItems containsSemiMixedTypes="0" containsString="0" containsNumber="1" minValue="0" maxValue="0.57421419200000001"/>
    </cacheField>
    <cacheField name="Name_Agreement_SP" numFmtId="2">
      <sharedItems containsSemiMixedTypes="0" containsString="0" containsNumber="1" minValue="90" maxValue="100"/>
    </cacheField>
    <cacheField name="Visual_Complexity_SP" numFmtId="2">
      <sharedItems containsSemiMixedTypes="0" containsString="0" containsNumber="1" minValue="1.35" maxValue="3.56"/>
    </cacheField>
    <cacheField name="No_letters_SP" numFmtId="0">
      <sharedItems containsSemiMixedTypes="0" containsString="0" containsNumber="1" containsInteger="1" minValue="4" maxValue="7"/>
    </cacheField>
    <cacheField name="No_graphemes_SP" numFmtId="1">
      <sharedItems containsSemiMixedTypes="0" containsString="0" containsNumber="1" containsInteger="1" minValue="4" maxValue="7"/>
    </cacheField>
    <cacheField name="No_phonemes_SP" numFmtId="1">
      <sharedItems containsSemiMixedTypes="0" containsString="0" containsNumber="1" containsInteger="1" minValue="4" maxValue="7"/>
    </cacheField>
    <cacheField name="No_Syllables_SP" numFmtId="1">
      <sharedItems containsSemiMixedTypes="0" containsString="0" containsNumber="1" containsInteger="1" minValue="2" maxValue="3"/>
    </cacheField>
    <cacheField name="Log_Freq_SP" numFmtId="2">
      <sharedItems containsSemiMixedTypes="0" containsString="0" containsNumber="1" minValue="3.1601300000000001" maxValue="5.3698079999999999"/>
    </cacheField>
    <cacheField name="Inverse_Phon_Sim2" numFmtId="2">
      <sharedItems containsString="0" containsBlank="1" containsNumber="1" minValue="0.17872340425531918" maxValue="0.62727272727272732"/>
    </cacheField>
    <cacheField name="Inverse_Orth_Sim2" numFmtId="2">
      <sharedItems containsString="0" containsBlank="1" containsNumber="1" minValue="0.25531914893617014" maxValue="0.78"/>
    </cacheField>
    <cacheField name="Basque_translation" numFmtId="0">
      <sharedItems containsBlank="1"/>
    </cacheField>
    <cacheField name="Levenshtein_Basque" numFmtId="0">
      <sharedItems containsString="0" containsBlank="1" containsNumber="1" containsInteger="1" minValue="4" maxValue="11"/>
    </cacheField>
    <cacheField name="IPA_ENG" numFmtId="0">
      <sharedItems containsBlank="1"/>
    </cacheField>
    <cacheField name="No_graphemes_ENG" numFmtId="1">
      <sharedItems containsString="0" containsBlank="1" containsNumber="1" containsInteger="1" minValue="3" maxValue="10"/>
    </cacheField>
    <cacheField name="No_phonemes_ENG" numFmtId="1">
      <sharedItems containsString="0" containsBlank="1" containsNumber="1" containsInteger="1" minValue="2" maxValue="8"/>
    </cacheField>
    <cacheField name="No_Syllables_ENG" numFmtId="1">
      <sharedItems containsBlank="1" containsMixedTypes="1" containsNumber="1" containsInteger="1" minValue="1" maxValue="2"/>
    </cacheField>
    <cacheField name="Log_Freq_ENG" numFmtId="2">
      <sharedItems containsString="0" containsBlank="1" containsNumber="1" minValue="3.4810655612053574" maxValue="6.2503084662146806"/>
    </cacheField>
    <cacheField name="Phon_Similarity" numFmtId="2">
      <sharedItems containsString="0" containsBlank="1" containsNumber="1" minValue="0.37272727272727268" maxValue="0.82127659574468082"/>
    </cacheField>
    <cacheField name="Orth_Similarity" numFmtId="2">
      <sharedItems containsString="0" containsBlank="1" containsNumber="1" minValue="0.223529411764706" maxValue="0.74468085106382986"/>
    </cacheField>
    <cacheField name="Levenshtein_English" numFmtId="1">
      <sharedItems containsString="0" containsBlank="1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PICTURE_128"/>
    <n v="128"/>
    <s v="muñeca"/>
    <s v="muɲeka"/>
    <s v="doll"/>
    <x v="0"/>
    <n v="13362.893747"/>
    <n v="8954.4"/>
    <n v="20"/>
    <s v="NA"/>
    <n v="0.46899559400000002"/>
    <n v="90"/>
    <n v="2.59"/>
    <n v="6"/>
    <n v="6"/>
    <n v="6"/>
    <n v="3"/>
    <n v="3.8510230000000001"/>
    <n v="0.28936170212765955"/>
    <n v="0.26382978723404249"/>
    <s v="panpin"/>
    <n v="6"/>
    <s v="dɒl"/>
    <n v="4"/>
    <n v="3"/>
    <s v="1"/>
    <n v="4.0723126832511021"/>
    <n v="0.71063829787234045"/>
    <n v="0.73617021276595751"/>
    <n v="6"/>
  </r>
  <r>
    <s v="PICTURE_135"/>
    <n v="135"/>
    <s v="traje"/>
    <s v="tɾaxe"/>
    <s v="suit"/>
    <x v="1"/>
    <n v="24200.320181999999"/>
    <n v="16433.25"/>
    <n v="50"/>
    <n v="5.9429999999999996"/>
    <n v="0"/>
    <n v="100"/>
    <n v="2.4"/>
    <n v="5"/>
    <n v="5"/>
    <n v="5"/>
    <n v="2"/>
    <n v="4.50122"/>
    <n v="0.36595744680851061"/>
    <n v="0.41860465116279078"/>
    <s v="jantzi"/>
    <n v="6"/>
    <s v="sjuːt"/>
    <n v="4"/>
    <n v="3"/>
    <s v="1"/>
    <n v="4.5882199055592778"/>
    <n v="0.63404255319148939"/>
    <n v="0.58139534883720922"/>
    <n v="5"/>
  </r>
  <r>
    <s v="PICTURE_142"/>
    <n v="142"/>
    <s v="vaso"/>
    <s v="baso"/>
    <s v="glass"/>
    <x v="0"/>
    <n v="28352.082465"/>
    <n v="19134.333332999999"/>
    <n v="33.299999999999997"/>
    <n v="6.6130000000000004"/>
    <n v="0"/>
    <n v="100"/>
    <n v="1.71"/>
    <n v="4"/>
    <n v="4"/>
    <n v="4"/>
    <n v="2"/>
    <n v="4.1775390000000003"/>
    <n v="0.62727272727272732"/>
    <n v="0.47843137254901968"/>
    <s v="edalontzi"/>
    <n v="7"/>
    <s v="glɑːs"/>
    <n v="5"/>
    <n v="4"/>
    <s v="1"/>
    <n v="4.9188940686549341"/>
    <n v="0.37272727272727268"/>
    <n v="0.52156862745098032"/>
    <n v="3"/>
  </r>
  <r>
    <s v="PICTURE_152"/>
    <n v="152"/>
    <s v="caracol"/>
    <s v="kaɾakol"/>
    <s v="snail"/>
    <x v="2"/>
    <n v="41516.996815999999"/>
    <n v="32695.666667000001"/>
    <n v="16.7"/>
    <n v="6.5350000000000001"/>
    <n v="0"/>
    <n v="100"/>
    <n v="2.9191919190000002"/>
    <n v="7"/>
    <n v="7"/>
    <n v="7"/>
    <n v="2"/>
    <n v="3.8360530000000002"/>
    <n v="0.41874999999999996"/>
    <n v="0.47499999999999998"/>
    <s v="barraskilo"/>
    <n v="6"/>
    <s v="sneɪl"/>
    <n v="5"/>
    <n v="4"/>
    <s v="1"/>
    <n v="3.6856302899133633"/>
    <n v="0.58125000000000004"/>
    <n v="0.52500000000000002"/>
    <n v="5"/>
  </r>
  <r>
    <s v="PICTURE_16"/>
    <n v="16"/>
    <s v="cazador"/>
    <s v="kaθaðoɾ"/>
    <s v="hunter"/>
    <x v="3"/>
    <n v="30582.349445"/>
    <n v="23177.833332999999"/>
    <n v="16.7"/>
    <n v="5.5119999999999996"/>
    <n v="0"/>
    <n v="100"/>
    <n v="3.17"/>
    <n v="7"/>
    <n v="7"/>
    <n v="7"/>
    <n v="2"/>
    <n v="4.0118689999999999"/>
    <n v="0.34375"/>
    <n v="0.46760563380281694"/>
    <s v="ehiztari"/>
    <n v="7"/>
    <s v="hʌntə"/>
    <n v="6"/>
    <n v="5"/>
    <s v="2"/>
    <n v="4.1814571526761704"/>
    <n v="0.65625"/>
    <n v="0.53239436619718306"/>
    <n v="6"/>
  </r>
  <r>
    <s v="PICTURE_169"/>
    <n v="169"/>
    <s v="espalda"/>
    <s v="espalða"/>
    <s v="back"/>
    <x v="4"/>
    <n v="36499.951178000003"/>
    <n v="20184.666667000001"/>
    <n v="66.7"/>
    <n v="6.48"/>
    <n v="0"/>
    <n v="100"/>
    <n v="2.0099999999999998"/>
    <n v="7"/>
    <n v="7"/>
    <n v="7"/>
    <n v="3"/>
    <n v="4.5110749999999999"/>
    <n v="0.29629629629629628"/>
    <n v="0.38688524590163942"/>
    <s v="bizkar"/>
    <n v="7"/>
    <s v="bæk"/>
    <n v="4"/>
    <n v="3"/>
    <s v="1"/>
    <n v="6.2503084662146806"/>
    <n v="0.70370370370370372"/>
    <n v="0.61311475409836058"/>
    <n v="6"/>
  </r>
  <r>
    <s v="PICTURE_175"/>
    <n v="175"/>
    <s v="pintor"/>
    <s v="pintoɾ"/>
    <s v="artist"/>
    <x v="3"/>
    <n v="36080.838363000003"/>
    <n v="18336"/>
    <n v="60"/>
    <n v="6.0620000000000003"/>
    <n v="0.194391858"/>
    <n v="97"/>
    <n v="2.93"/>
    <n v="6"/>
    <n v="6"/>
    <n v="6"/>
    <n v="3"/>
    <n v="4.5818450000000004"/>
    <n v="0.55081967213114758"/>
    <n v="0.49411764705882355"/>
    <s v="margolari"/>
    <n v="7"/>
    <s v="ɑːtɪst"/>
    <n v="6"/>
    <n v="5"/>
    <s v="2"/>
    <n v="4.7099621555838196"/>
    <n v="0.44918032786885242"/>
    <n v="0.50588235294117645"/>
    <n v="6"/>
  </r>
  <r>
    <s v="PICTURE_178"/>
    <n v="178"/>
    <s v="puente"/>
    <s v="pwɛnte"/>
    <s v="bridge"/>
    <x v="5"/>
    <n v="55849.965793000003"/>
    <n v="21855.4"/>
    <n v="60"/>
    <n v="5.6950000000000003"/>
    <n v="0.14257333"/>
    <n v="97.979797980000001"/>
    <n v="2.5858585860000001"/>
    <n v="6"/>
    <n v="6"/>
    <n v="6"/>
    <n v="3"/>
    <n v="4.8019379999999998"/>
    <n v="0.35555555555555562"/>
    <n v="0.57499999999999996"/>
    <s v="zubi"/>
    <n v="5"/>
    <s v="brɪʤ"/>
    <n v="6"/>
    <n v="4"/>
    <s v="1"/>
    <n v="4.7070946799012008"/>
    <n v="0.64444444444444438"/>
    <n v="0.42500000000000004"/>
    <n v="5"/>
  </r>
  <r>
    <s v="PICTURE_19"/>
    <n v="19"/>
    <s v="pavo"/>
    <s v="paβo"/>
    <s v="turkey"/>
    <x v="2"/>
    <n v="12909.463820000001"/>
    <n v="6140.3333329999996"/>
    <n v="66.7"/>
    <n v="4.6580000000000004"/>
    <n v="0.34297895099999998"/>
    <n v="94.845360819999996"/>
    <n v="3.51"/>
    <n v="4"/>
    <n v="4"/>
    <n v="4"/>
    <n v="3"/>
    <n v="4.1520530000000004"/>
    <n v="0.53333333333333333"/>
    <n v="0.38400000000000001"/>
    <s v="indioilar"/>
    <n v="8"/>
    <s v="tɜːki"/>
    <n v="6"/>
    <n v="4"/>
    <s v="2"/>
    <n v="4.3514502758133"/>
    <n v="0.46666666666666667"/>
    <n v="0.61599999999999999"/>
    <n v="6"/>
  </r>
  <r>
    <s v="PICTURE_199"/>
    <n v="199"/>
    <s v="falda"/>
    <s v="falða"/>
    <s v="skirt"/>
    <x v="1"/>
    <n v="30582.349445"/>
    <n v="23177.833332999999"/>
    <n v="50"/>
    <n v="6.5910000000000002"/>
    <n v="0"/>
    <n v="100"/>
    <n v="2.3199999999999998"/>
    <n v="5"/>
    <n v="5"/>
    <n v="5"/>
    <n v="3"/>
    <n v="3.921027"/>
    <n v="0.4392156862745098"/>
    <n v="0.52413793103448281"/>
    <s v="gona"/>
    <n v="4"/>
    <s v="skɜːt"/>
    <n v="5"/>
    <n v="4"/>
    <s v="1"/>
    <n v="3.8073342510749844"/>
    <n v="0.5607843137254902"/>
    <n v="0.47586206896551719"/>
    <n v="5"/>
  </r>
  <r>
    <s v="PICTURE_235"/>
    <n v="235"/>
    <s v="aguja"/>
    <s v="aɣuxa"/>
    <s v="needle"/>
    <x v="0"/>
    <n v="5250.035895"/>
    <n v="4243.25"/>
    <n v="50"/>
    <n v="5.93"/>
    <n v="0.33228663000000003"/>
    <n v="93.877551019999999"/>
    <n v="1.81"/>
    <n v="5"/>
    <n v="5"/>
    <n v="5"/>
    <n v="3"/>
    <n v="3.8020269999999998"/>
    <n v="0.18723404255319154"/>
    <n v="0.42448979591836733"/>
    <s v="orratz"/>
    <n v="6"/>
    <s v="niːdl"/>
    <n v="6"/>
    <n v="4"/>
    <s v="2"/>
    <n v="3.9287318365867443"/>
    <n v="0.81276595744680846"/>
    <n v="0.57551020408163267"/>
    <n v="6"/>
  </r>
  <r>
    <s v="PICTURE_242"/>
    <n v="242"/>
    <s v="cartero"/>
    <s v="kaɾteɾo"/>
    <s v="postman"/>
    <x v="3"/>
    <n v="44016.175439999999"/>
    <n v="31132.5"/>
    <n v="16.7"/>
    <n v="5.9509999999999996"/>
    <n v="0.14372616999999999"/>
    <n v="97.959183670000002"/>
    <n v="2.92"/>
    <n v="7"/>
    <n v="7"/>
    <n v="7"/>
    <n v="2"/>
    <n v="3.2691659999999998"/>
    <n v="0.40493827160493834"/>
    <n v="0.38974358974358969"/>
    <s v="postari"/>
    <n v="5"/>
    <s v="pəʊstmən"/>
    <n v="7"/>
    <n v="7"/>
    <s v="2"/>
    <n v="4.0224811057599119"/>
    <n v="0.59506172839506166"/>
    <n v="0.61025641025641031"/>
    <n v="6"/>
  </r>
  <r>
    <s v="PICTURE_264"/>
    <n v="264"/>
    <s v="mano"/>
    <s v="mano"/>
    <s v="hand"/>
    <x v="4"/>
    <n v="34693.929225"/>
    <n v="21947.333332999999"/>
    <n v="66.7"/>
    <n v="6.7169999999999996"/>
    <n v="0.24229218899999999"/>
    <n v="96"/>
    <n v="2.17"/>
    <n v="4"/>
    <n v="4"/>
    <n v="4"/>
    <n v="3"/>
    <n v="5.3698079999999999"/>
    <n v="0.49090909090909096"/>
    <n v="0.49090909090909096"/>
    <s v="esku"/>
    <n v="4"/>
    <s v="hænd"/>
    <n v="4"/>
    <n v="4"/>
    <s v="1"/>
    <n v="5.4366192566250202"/>
    <n v="0.50909090909090904"/>
    <n v="0.50909090909090904"/>
    <n v="2"/>
  </r>
  <r>
    <s v="PICTURE_271"/>
    <n v="271"/>
    <s v="conejo"/>
    <s v="konexo"/>
    <s v="rabbit"/>
    <x v="2"/>
    <n v="27908.385794999998"/>
    <n v="14225.2"/>
    <n v="60"/>
    <n v="6.0609999999999999"/>
    <n v="0"/>
    <n v="100"/>
    <n v="2.82"/>
    <n v="6"/>
    <n v="6"/>
    <n v="6"/>
    <n v="3"/>
    <n v="3.9318909999999998"/>
    <n v="0.34385964912280698"/>
    <n v="0.32666666666666666"/>
    <s v="untxi"/>
    <n v="5"/>
    <s v="ræbɪt"/>
    <n v="6"/>
    <n v="5"/>
    <s v="2"/>
    <n v="4.3894626751182368"/>
    <n v="0.65614035087719302"/>
    <n v="0.67333333333333334"/>
    <n v="6"/>
  </r>
  <r>
    <s v="PICTURE_30"/>
    <n v="30"/>
    <s v="granja"/>
    <s v="ɡɾaŋxa"/>
    <s v="farm"/>
    <x v="5"/>
    <n v="24817.077206999998"/>
    <n v="18967.599999999999"/>
    <n v="40"/>
    <n v="4.9930000000000003"/>
    <n v="0.39156941699999998"/>
    <n v="93.81443299"/>
    <n v="3.56"/>
    <n v="6"/>
    <n v="6"/>
    <n v="6"/>
    <n v="2"/>
    <n v="4.0460500000000001"/>
    <n v="0.32727272727272727"/>
    <n v="0.4814814814814814"/>
    <s v="baserria"/>
    <n v="7"/>
    <s v="fɑːm"/>
    <n v="4"/>
    <n v="3"/>
    <s v="1"/>
    <n v="4.8123434701828387"/>
    <n v="0.67272727272727273"/>
    <n v="0.5185185185185186"/>
    <n v="5"/>
  </r>
  <r>
    <s v="PICTURE_319"/>
    <n v="319"/>
    <s v="vaca"/>
    <s v="baka"/>
    <s v="cow"/>
    <x v="2"/>
    <n v="24357.135837000002"/>
    <n v="15824.333333"/>
    <n v="0"/>
    <n v="6.0229999999999997"/>
    <n v="0"/>
    <n v="100"/>
    <n v="2.65"/>
    <n v="4"/>
    <n v="4"/>
    <n v="4"/>
    <n v="2"/>
    <n v="4.1650790000000004"/>
    <n v="0.60606060606060608"/>
    <n v="0.48484848484848486"/>
    <s v="behi"/>
    <n v="4"/>
    <s v="kaʊ"/>
    <n v="3"/>
    <n v="2"/>
    <s v="1"/>
    <n v="4.4401069535264508"/>
    <n v="0.39393939393939392"/>
    <n v="0.51515151515151514"/>
    <n v="4"/>
  </r>
  <r>
    <s v="PICTURE_320"/>
    <n v="320"/>
    <s v="iglesia"/>
    <s v="iɣlesja"/>
    <s v="church"/>
    <x v="5"/>
    <n v="30828.726033999999"/>
    <n v="16670.5"/>
    <n v="83.3"/>
    <n v="5.7130000000000001"/>
    <n v="0.24793583799999999"/>
    <n v="95.87628866"/>
    <n v="2.88"/>
    <n v="7"/>
    <n v="7"/>
    <n v="7"/>
    <n v="2"/>
    <n v="5.3351069999999998"/>
    <n v="0.496"/>
    <n v="0.29859154929577469"/>
    <s v="eliza"/>
    <n v="5"/>
    <s v="ʧɜːʧ"/>
    <n v="6"/>
    <n v="3"/>
    <s v="1"/>
    <n v="5.0194414838122992"/>
    <n v="0.504"/>
    <n v="0.70140845070422531"/>
    <n v="7"/>
  </r>
  <r>
    <s v="PICTURE_338"/>
    <n v="338"/>
    <s v="regalo"/>
    <s v="ɾɾeɣalo"/>
    <s v="present"/>
    <x v="0"/>
    <n v="5250.035895"/>
    <n v="4243.25"/>
    <n v="20"/>
    <n v="6.03"/>
    <n v="0"/>
    <n v="100"/>
    <n v="1.85"/>
    <n v="6"/>
    <n v="6"/>
    <n v="6"/>
    <n v="3"/>
    <n v="4.178007"/>
    <n v="0.4"/>
    <n v="0.36619718309859151"/>
    <s v="opari"/>
    <n v="5"/>
    <s v="prɛznt"/>
    <n v="7"/>
    <n v="7"/>
    <s v="2"/>
    <n v="4.9011025140610665"/>
    <n v="0.6"/>
    <n v="0.63380281690140849"/>
    <n v="5"/>
  </r>
  <r>
    <s v="PICTURE_35"/>
    <n v="35"/>
    <s v="oreja"/>
    <s v="oɾexa"/>
    <s v="ear"/>
    <x v="4"/>
    <n v="44016.175439999999"/>
    <n v="31132.5"/>
    <n v="75"/>
    <n v="6.4509999999999996"/>
    <n v="0"/>
    <n v="100"/>
    <n v="2.0707070710000002"/>
    <n v="5"/>
    <n v="5"/>
    <n v="5"/>
    <n v="3"/>
    <n v="4.3224729999999996"/>
    <n v="0.34482758620689657"/>
    <n v="0.5"/>
    <s v="belarri"/>
    <n v="6"/>
    <s v="ɪə"/>
    <n v="3"/>
    <n v="2"/>
    <s v="1"/>
    <n v="4.4060223738974811"/>
    <n v="0.65517241379310343"/>
    <n v="0.5"/>
    <n v="4"/>
  </r>
  <r>
    <s v="PICTURE_381"/>
    <n v="381"/>
    <s v="fresa"/>
    <s v="fɾesa"/>
    <s v="strawberry"/>
    <x v="6"/>
    <n v="43557.05414"/>
    <n v="26729.25"/>
    <n v="0"/>
    <n v="6.67"/>
    <n v="0"/>
    <n v="100"/>
    <n v="2.17"/>
    <n v="5"/>
    <n v="5"/>
    <n v="5"/>
    <n v="2"/>
    <n v="3.2999390000000002"/>
    <n v="0.51830985915492955"/>
    <n v="0.46913580246913578"/>
    <s v="marrubi"/>
    <n v="6"/>
    <s v="strɔːbəri"/>
    <n v="10"/>
    <n v="8"/>
    <s v="3"/>
    <n v="3.986437969482445"/>
    <n v="0.48169014084507045"/>
    <n v="0.53086419753086422"/>
    <n v="8"/>
  </r>
  <r>
    <s v="PICTURE_446"/>
    <n v="446"/>
    <s v="cerdo"/>
    <s v="θeɾðo"/>
    <s v="pig"/>
    <x v="2"/>
    <n v="34693.929225"/>
    <n v="21947.333332999999"/>
    <n v="25"/>
    <n v="5.8040000000000003"/>
    <n v="0"/>
    <n v="100"/>
    <n v="2.57"/>
    <n v="5"/>
    <n v="5"/>
    <n v="5"/>
    <n v="2"/>
    <n v="4.1808079999999999"/>
    <n v="0.4"/>
    <n v="0.54545454545454541"/>
    <s v="txerri"/>
    <n v="4"/>
    <s v="pɪg"/>
    <n v="3"/>
    <n v="3"/>
    <s v="1"/>
    <n v="4.5111806424389407"/>
    <n v="0.6"/>
    <n v="0.45454545454545459"/>
    <n v="5"/>
  </r>
  <r>
    <s v="PICTURE_464"/>
    <n v="464"/>
    <s v="goma"/>
    <s v="ɡoma"/>
    <s v="rubber"/>
    <x v="0"/>
    <n v="19047.121326"/>
    <n v="14832.333333"/>
    <n v="66.7"/>
    <n v="6.1639999999999997"/>
    <n v="0"/>
    <n v="100"/>
    <n v="1.83"/>
    <n v="4"/>
    <n v="4"/>
    <n v="4"/>
    <n v="2"/>
    <n v="3.806457"/>
    <n v="0.54545454545454541"/>
    <n v="0.4"/>
    <s v="borragoma"/>
    <n v="5"/>
    <s v="rʌbə"/>
    <n v="6"/>
    <n v="4"/>
    <s v="2"/>
    <n v="4.0634642722815668"/>
    <n v="0.45454545454545459"/>
    <n v="0.6"/>
    <n v="6"/>
  </r>
  <r>
    <s v="PICTURE_48"/>
    <n v="48"/>
    <s v="bombero"/>
    <s v="bombeɾo"/>
    <s v="fireman"/>
    <x v="3"/>
    <n v="24035.218084"/>
    <n v="13155"/>
    <n v="50"/>
    <s v="NA"/>
    <n v="0"/>
    <n v="100"/>
    <n v="2.73"/>
    <n v="7"/>
    <n v="7"/>
    <n v="7"/>
    <n v="2"/>
    <n v="3.1601300000000001"/>
    <n v="0.42285714285714282"/>
    <n v="0.38918918918918921"/>
    <s v="suhiltzaile"/>
    <n v="11"/>
    <s v="faɪəmən"/>
    <n v="7"/>
    <n v="6"/>
    <s v="3"/>
    <n v="3.4810655612053574"/>
    <n v="0.57714285714285718"/>
    <n v="0.61081081081081079"/>
    <n v="7"/>
  </r>
  <r>
    <s v="PICTURE_498"/>
    <n v="498"/>
    <s v="taza"/>
    <s v="taθa"/>
    <s v="mug"/>
    <x v="0"/>
    <n v="21952.291766999999"/>
    <n v="13657.6"/>
    <n v="0"/>
    <n v="5.3410000000000002"/>
    <n v="0"/>
    <n v="100"/>
    <n v="1.52"/>
    <n v="4"/>
    <n v="4"/>
    <n v="4"/>
    <n v="2"/>
    <n v="3.790524"/>
    <n v="0.2810810810810811"/>
    <n v="0.2810810810810811"/>
    <s v="katilu"/>
    <n v="5"/>
    <s v="mʌg"/>
    <n v="3"/>
    <n v="3"/>
    <s v="1"/>
    <n v="3.9345342889085075"/>
    <n v="0.7189189189189189"/>
    <n v="0.7189189189189189"/>
    <n v="4"/>
  </r>
  <r>
    <s v="PICTURE_517"/>
    <n v="517"/>
    <s v="cuerda"/>
    <s v="kweɾða"/>
    <s v="rope"/>
    <x v="0"/>
    <n v="35819.704752999998"/>
    <n v="14927.8"/>
    <n v="40"/>
    <n v="6.5469999999999997"/>
    <n v="0.57421419200000001"/>
    <n v="91"/>
    <n v="1.94"/>
    <n v="6"/>
    <n v="6"/>
    <n v="6"/>
    <n v="3"/>
    <n v="4.3400429999999997"/>
    <n v="0.376"/>
    <n v="0.51200000000000001"/>
    <s v="soka"/>
    <n v="5"/>
    <s v="rəʊp"/>
    <n v="4"/>
    <n v="3"/>
    <s v="1"/>
    <n v="4.3027616046293762"/>
    <n v="0.624"/>
    <n v="0.48799999999999999"/>
    <n v="6"/>
  </r>
  <r>
    <s v="PICTURE_552"/>
    <n v="552"/>
    <s v="manzana"/>
    <s v="manθana"/>
    <s v="apple"/>
    <x v="6"/>
    <n v="28676.236914000001"/>
    <n v="21339.666667000001"/>
    <n v="83.3"/>
    <n v="6.58"/>
    <n v="0"/>
    <n v="100"/>
    <n v="2.13"/>
    <n v="7"/>
    <n v="7"/>
    <n v="7"/>
    <n v="3"/>
    <n v="3.9098839999999999"/>
    <n v="0.23703703703703705"/>
    <n v="0.30625000000000002"/>
    <s v="sagar"/>
    <n v="5"/>
    <s v="æpl"/>
    <n v="5"/>
    <n v="3"/>
    <s v="2"/>
    <n v="4.5841960442299765"/>
    <n v="0.76296296296296295"/>
    <n v="0.69374999999999998"/>
    <n v="6"/>
  </r>
  <r>
    <s v="PICTURE_576"/>
    <n v="576"/>
    <s v="guante"/>
    <s v="ɡwante"/>
    <s v="glove"/>
    <x v="1"/>
    <n v="30828.726033999999"/>
    <n v="16670.5"/>
    <n v="80"/>
    <n v="6.3280000000000003"/>
    <n v="0"/>
    <n v="100"/>
    <n v="1.92"/>
    <n v="6"/>
    <n v="6"/>
    <n v="6"/>
    <n v="2"/>
    <n v="3.5675309999999998"/>
    <n v="0.22978723404255319"/>
    <n v="0.512280701754386"/>
    <s v="eskularrua"/>
    <n v="8"/>
    <s v="glʌv"/>
    <n v="5"/>
    <n v="4"/>
    <s v="1"/>
    <n v="3.8100130227561766"/>
    <n v="0.77021276595744681"/>
    <n v="0.487719298245614"/>
    <n v="4"/>
  </r>
  <r>
    <s v="PICTURE_610"/>
    <n v="610"/>
    <s v="miel"/>
    <s v="mjel"/>
    <s v="honey"/>
    <x v="6"/>
    <n v="35954.408175999997"/>
    <n v="11338"/>
    <n v="66.7"/>
    <n v="5.4009999999999998"/>
    <n v="0"/>
    <n v="100"/>
    <n v="2.3838383840000001"/>
    <n v="4"/>
    <n v="4"/>
    <n v="4"/>
    <n v="3"/>
    <n v="4.2208699999999997"/>
    <n v="0.45999999999999996"/>
    <n v="0.45581395348837206"/>
    <s v="eztia"/>
    <n v="5"/>
    <s v="hʌni"/>
    <n v="5"/>
    <n v="4"/>
    <s v="2"/>
    <n v="4.5976297581684111"/>
    <n v="0.54"/>
    <n v="0.54418604651162794"/>
    <n v="4"/>
  </r>
  <r>
    <s v="PICTURE_687"/>
    <n v="687"/>
    <s v="camisa"/>
    <s v="kamisa"/>
    <s v="shirt"/>
    <x v="1"/>
    <n v="22892.294839999999"/>
    <n v="16832.599999999999"/>
    <n v="40"/>
    <n v="6.2809999999999997"/>
    <n v="0"/>
    <n v="100"/>
    <n v="1.86"/>
    <n v="6"/>
    <n v="6"/>
    <n v="6"/>
    <n v="2"/>
    <n v="4.1374940000000002"/>
    <n v="0.47659574468085109"/>
    <n v="0.38688524590163942"/>
    <s v="alkandora"/>
    <n v="7"/>
    <s v="ʃɜːt"/>
    <n v="5"/>
    <n v="3"/>
    <s v="1"/>
    <n v="4.4722189820282718"/>
    <n v="0.52340425531914891"/>
    <n v="0.61311475409836058"/>
    <n v="5"/>
  </r>
  <r>
    <s v="PICTURE_719"/>
    <n v="719"/>
    <s v="baño"/>
    <s v="baɲo"/>
    <s v="bathroom"/>
    <x v="5"/>
    <n v="8128.1265460000004"/>
    <n v="6519.6666670000004"/>
    <n v="33.299999999999997"/>
    <n v="6.3250000000000002"/>
    <n v="0.20062232399999999"/>
    <n v="96.875"/>
    <n v="2.8181818179999998"/>
    <n v="4"/>
    <n v="4"/>
    <n v="4"/>
    <n v="2"/>
    <n v="4.3063979999999997"/>
    <n v="0.54074074074074074"/>
    <n v="0.45614035087719296"/>
    <s v="komun"/>
    <n v="5"/>
    <s v="bɑːθruːm"/>
    <n v="8"/>
    <n v="6"/>
    <s v="2"/>
    <n v="4.8129738683344101"/>
    <n v="0.45925925925925926"/>
    <n v="0.54385964912280704"/>
    <n v="5"/>
  </r>
  <r>
    <s v="PICTURE_728"/>
    <n v="728"/>
    <s v="pulpo"/>
    <s v="pulpo"/>
    <s v="octopus"/>
    <x v="2"/>
    <n v="31091.018864999998"/>
    <n v="23396.25"/>
    <n v="0"/>
    <s v="NA"/>
    <n v="0.32984606999999999"/>
    <n v="93.939393940000002"/>
    <n v="2.71"/>
    <n v="5"/>
    <n v="5"/>
    <n v="5"/>
    <n v="3"/>
    <n v="3.1601300000000001"/>
    <n v="0.47499999999999998"/>
    <n v="0.55625000000000002"/>
    <s v="olagarro"/>
    <n v="7"/>
    <s v="ɒktəpəs"/>
    <n v="7"/>
    <n v="7"/>
    <s v="3"/>
    <n v="3.7767227731054778"/>
    <n v="0.52500000000000002"/>
    <n v="0.44374999999999998"/>
    <n v="6"/>
  </r>
  <r>
    <s v="PICTURE_8"/>
    <n v="8"/>
    <s v="pierna"/>
    <s v="pjeɾna"/>
    <s v="leg"/>
    <x v="4"/>
    <n v="28190.958065999999"/>
    <n v="14613.6"/>
    <n v="40"/>
    <n v="5.8680000000000003"/>
    <n v="0.327444919"/>
    <n v="94"/>
    <n v="1.99"/>
    <n v="6"/>
    <n v="6"/>
    <n v="6"/>
    <n v="3"/>
    <n v="4.1965260000000004"/>
    <n v="0.25531914893617014"/>
    <n v="0.25531914893617014"/>
    <s v="hanka"/>
    <n v="5"/>
    <s v="lɛg"/>
    <n v="3"/>
    <n v="3"/>
    <s v="1"/>
    <n v="4.8763203227975458"/>
    <n v="0.74468085106382986"/>
    <n v="0.74468085106382986"/>
    <n v="5"/>
  </r>
  <r>
    <s v="PICTURE_340"/>
    <n v="340"/>
    <s v="espejo"/>
    <s v="espexo"/>
    <s v="mirror"/>
    <x v="0"/>
    <n v="27234.653724"/>
    <n v="13908.4"/>
    <n v="60"/>
    <n v="5.5949999999999998"/>
    <n v="0"/>
    <n v="100"/>
    <n v="2.0299999999999998"/>
    <n v="6"/>
    <n v="6"/>
    <n v="6"/>
    <n v="3"/>
    <n v="4.4195039999999999"/>
    <n v="0.28000000000000003"/>
    <n v="0.31333333333333335"/>
    <s v="izpilu"/>
    <n v="5"/>
    <s v="mɪrə"/>
    <n v="6"/>
    <n v="4"/>
    <s v="2"/>
    <n v="4.4495485097592926"/>
    <n v="0.72"/>
    <n v="0.68666666666666665"/>
    <n v="6"/>
  </r>
  <r>
    <s v="PICTURE_391"/>
    <n v="391"/>
    <s v="cadena"/>
    <s v="kaðena"/>
    <s v="chain"/>
    <x v="0"/>
    <n v="68163.829010999994"/>
    <n v="30330.6"/>
    <n v="40"/>
    <n v="6.4429999999999996"/>
    <n v="0"/>
    <n v="100"/>
    <n v="2.08"/>
    <n v="6"/>
    <n v="6"/>
    <n v="6"/>
    <n v="2"/>
    <n v="4.8367310000000003"/>
    <n v="0.60799999999999998"/>
    <n v="0.68070175438596492"/>
    <s v="kate"/>
    <n v="4"/>
    <s v="ʧeɪn"/>
    <n v="5"/>
    <n v="3"/>
    <s v="1"/>
    <n v="4.4874965302074958"/>
    <n v="0.39200000000000002"/>
    <n v="0.31929824561403508"/>
    <n v="4"/>
  </r>
  <r>
    <s v="PICTURE_590"/>
    <n v="590"/>
    <s v="escoba"/>
    <s v="eskoβa"/>
    <s v="broom"/>
    <x v="0"/>
    <n v="35694.194691999997"/>
    <n v="20924.400000000001"/>
    <n v="40"/>
    <n v="5.8490000000000002"/>
    <n v="0"/>
    <n v="100"/>
    <n v="2.1800000000000002"/>
    <n v="6"/>
    <n v="6"/>
    <n v="6"/>
    <n v="3"/>
    <n v="3.3455539999999999"/>
    <n v="0.17872340425531918"/>
    <n v="0.37192982456140355"/>
    <s v="erratza"/>
    <n v="5"/>
    <s v="brʊm"/>
    <n v="5"/>
    <n v="4"/>
    <s v="1"/>
    <n v="3.5626135405320891"/>
    <n v="0.82127659574468082"/>
    <n v="0.62807017543859645"/>
    <n v="5"/>
  </r>
  <r>
    <s v="PICTURE_646"/>
    <n v="646"/>
    <s v="tronco"/>
    <s v="tɾonko"/>
    <s v="stump"/>
    <x v="0"/>
    <n v="38455.44498"/>
    <n v="21376"/>
    <n v="60"/>
    <n v="5.9089999999999998"/>
    <n v="0.28639695700000001"/>
    <n v="95"/>
    <n v="2.86"/>
    <n v="6"/>
    <n v="6"/>
    <n v="6"/>
    <n v="2"/>
    <n v="4.0991439999999999"/>
    <n v="0.55384615384615388"/>
    <n v="0.60923076923076924"/>
    <s v="enbor"/>
    <n v="5"/>
    <s v="stʌmp"/>
    <n v="5"/>
    <n v="5"/>
    <s v="1"/>
    <n v="3.5231049992484156"/>
    <n v="0.44615384615384612"/>
    <n v="0.39076923076923076"/>
    <n v="6"/>
  </r>
  <r>
    <s v="PICTURE_673"/>
    <n v="673"/>
    <s v="tenedor"/>
    <s v="teneðoɾ"/>
    <s v="fork"/>
    <x v="0"/>
    <n v="46934.786801000002"/>
    <n v="25358.166667000001"/>
    <n v="50"/>
    <n v="6.4130000000000003"/>
    <n v="0"/>
    <n v="100"/>
    <n v="1.35"/>
    <n v="7"/>
    <n v="7"/>
    <n v="7"/>
    <n v="3"/>
    <n v="3.279668"/>
    <n v="0.28148148148148144"/>
    <n v="0.46557377049180326"/>
    <s v="sardexka"/>
    <n v="7"/>
    <s v="fɔːk"/>
    <n v="4"/>
    <n v="3"/>
    <s v="1"/>
    <n v="3.973115700861845"/>
    <n v="0.71851851851851856"/>
    <n v="0.53442622950819674"/>
    <n v="6"/>
  </r>
  <r>
    <s v="PICTURE_663"/>
    <n v="663"/>
    <s v="columna"/>
    <s v="kolumna"/>
    <s v="pillar"/>
    <x v="0"/>
    <n v="19136.506370999999"/>
    <n v="11952.25"/>
    <n v="33.299999999999997"/>
    <n v="6.6449999999999996"/>
    <n v="0.46206632800000003"/>
    <n v="90.217391300000003"/>
    <n v="2.1"/>
    <n v="7"/>
    <n v="7"/>
    <n v="7"/>
    <n v="3"/>
    <n v="4.4305339999999998"/>
    <n v="0.48421052631578942"/>
    <n v="0.42253521126760563"/>
    <s v="zutabe"/>
    <n v="7"/>
    <s v="pɪlə"/>
    <n v="6"/>
    <n v="4"/>
    <s v="2"/>
    <n v="3.5408337662088472"/>
    <n v="0.51578947368421058"/>
    <n v="0.57746478873239437"/>
    <n v="6"/>
  </r>
  <r>
    <s v="PICTURE_12"/>
    <n v="12"/>
    <s v="sirena"/>
    <s v="siɾena"/>
    <s v="mermaid"/>
    <x v="7"/>
    <n v="47078.003234000003"/>
    <n v="24983.8"/>
    <n v="80"/>
    <n v="5.88"/>
    <n v="0"/>
    <n v="100"/>
    <n v="2.48"/>
    <n v="6"/>
    <n v="6"/>
    <n v="6"/>
    <n v="3"/>
    <n v="3.58"/>
    <m/>
    <m/>
    <m/>
    <m/>
    <m/>
    <m/>
    <m/>
    <m/>
    <m/>
    <m/>
    <m/>
    <m/>
  </r>
  <r>
    <s v="PICTURE_733"/>
    <n v="733"/>
    <s v="gafas"/>
    <s v="ɡafas"/>
    <s v="glasses"/>
    <x v="0"/>
    <n v="17803.490819999999"/>
    <n v="14642.75"/>
    <n v="0"/>
    <n v="5.8"/>
    <n v="0"/>
    <n v="100"/>
    <n v="1.96"/>
    <n v="5"/>
    <n v="5"/>
    <n v="5"/>
    <n v="2"/>
    <n v="3.81"/>
    <n v="0.57999999999999996"/>
    <n v="0.78"/>
    <s v="betaurrekoak"/>
    <m/>
    <s v="glα:sɪz"/>
    <n v="7"/>
    <n v="6"/>
    <n v="2"/>
    <n v="4.3720634600759096"/>
    <n v="0.422222222222222"/>
    <n v="0.223529411764706"/>
    <n v="4"/>
  </r>
  <r>
    <s v="PICTURE_614"/>
    <n v="614"/>
    <s v="reina"/>
    <s v="ɾɾeɪna"/>
    <s v="queen"/>
    <x v="7"/>
    <n v="31861.687972"/>
    <n v="21740.5"/>
    <n v="50"/>
    <n v="6.34"/>
    <n v="0"/>
    <n v="100"/>
    <n v="3.05"/>
    <n v="5"/>
    <n v="5"/>
    <n v="5"/>
    <n v="2"/>
    <n v="4.97"/>
    <m/>
    <m/>
    <m/>
    <m/>
    <m/>
    <m/>
    <m/>
    <m/>
    <m/>
    <m/>
    <m/>
    <m/>
  </r>
  <r>
    <s v="PICTURE_612"/>
    <n v="612"/>
    <s v="rana"/>
    <s v="ɾɾana"/>
    <s v="frog"/>
    <x v="2"/>
    <n v="48462.523824000004"/>
    <n v="34566"/>
    <n v="66.7"/>
    <n v="6.27"/>
    <n v="0"/>
    <n v="100"/>
    <n v="2.67"/>
    <n v="4"/>
    <n v="4"/>
    <n v="4"/>
    <n v="2"/>
    <n v="3.93"/>
    <n v="0.51"/>
    <n v="0.5"/>
    <s v="igel"/>
    <m/>
    <s v="frɒg"/>
    <n v="4"/>
    <n v="4"/>
    <n v="1"/>
    <n v="4.0484969179184196"/>
    <n v="0.49019607843137297"/>
    <n v="0.5"/>
    <n v="4"/>
  </r>
  <r>
    <s v="PICTURE_570"/>
    <n v="570"/>
    <s v="toro"/>
    <s v="toɾo"/>
    <s v="bull"/>
    <x v="2"/>
    <n v="40249.415204999998"/>
    <n v="19626.666667000001"/>
    <n v="100"/>
    <n v="5.86"/>
    <n v="0"/>
    <n v="100"/>
    <n v="2.5299999999999998"/>
    <n v="4"/>
    <n v="4"/>
    <n v="4"/>
    <n v="2"/>
    <n v="4.49"/>
    <n v="0.48"/>
    <n v="0.4"/>
    <s v="zezen"/>
    <m/>
    <s v="bʊl"/>
    <n v="4"/>
    <n v="3"/>
    <n v="1"/>
    <n v="4.2806320703320404"/>
    <n v="0.52432432432432396"/>
    <n v="0.6"/>
    <n v="4"/>
  </r>
  <r>
    <s v="PICTURE_110"/>
    <n v="110"/>
    <s v="mesa"/>
    <s v="mesa"/>
    <s v="table"/>
    <x v="0"/>
    <n v="46532.047709999999"/>
    <n v="26222.333332999999"/>
    <n v="33.299999999999997"/>
    <n v="6.78"/>
    <n v="0.28999999999999998"/>
    <n v="94.95"/>
    <n v="1.79"/>
    <n v="4"/>
    <n v="4"/>
    <n v="4"/>
    <n v="2"/>
    <n v="5"/>
    <m/>
    <m/>
    <m/>
    <m/>
    <m/>
    <m/>
    <m/>
    <m/>
    <m/>
    <m/>
    <m/>
    <m/>
  </r>
  <r>
    <s v="PICTURE_599"/>
    <n v="599"/>
    <s v="nube"/>
    <s v="nuβe"/>
    <s v="cloud"/>
    <x v="5"/>
    <n v="4726.6841549999999"/>
    <n v="2811.333333"/>
    <n v="33.299999999999997"/>
    <n v="6.62"/>
    <n v="0"/>
    <n v="100"/>
    <n v="1.37"/>
    <n v="4"/>
    <n v="4"/>
    <n v="4"/>
    <n v="2"/>
    <n v="4.18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EE10C-9CCB-402F-B316-3A298BACBF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0">
    <pivotField showAll="0"/>
    <pivotField showAll="0"/>
    <pivotField showAll="0"/>
    <pivotField showAll="0"/>
    <pivotField showAll="0"/>
    <pivotField axis="axisRow" dataField="1" showAll="0">
      <items count="10">
        <item x="2"/>
        <item x="4"/>
        <item x="1"/>
        <item x="6"/>
        <item x="3"/>
        <item x="0"/>
        <item x="5"/>
        <item m="1" x="8"/>
        <item x="7"/>
        <item t="default"/>
      </items>
    </pivotField>
    <pivotField numFmtId="2" showAll="0"/>
    <pivotField numFmtId="2" showAll="0"/>
    <pivotField numFmtId="165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2" showAll="0"/>
    <pivotField numFmtId="2" showAll="0"/>
    <pivotField numFmtId="2" showAll="0"/>
    <pivotField showAll="0"/>
    <pivotField showAll="0"/>
    <pivotField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Count of Semantic_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80" totalsRowShown="0" dataDxfId="195">
  <autoFilter ref="A1:AD80" xr:uid="{00000000-0009-0000-0100-000001000000}"/>
  <sortState xmlns:xlrd2="http://schemas.microsoft.com/office/spreadsheetml/2017/richdata2" ref="A2:AD80">
    <sortCondition ref="A1:A80"/>
  </sortState>
  <tableColumns count="30">
    <tableColumn id="2" xr3:uid="{00000000-0010-0000-0000-000002000000}" name="Picture_no" dataDxfId="194"/>
    <tableColumn id="3" xr3:uid="{00000000-0010-0000-0000-000003000000}" name="Code" dataDxfId="193"/>
    <tableColumn id="4" xr3:uid="{00000000-0010-0000-0000-000004000000}" name="Spanish" dataDxfId="192"/>
    <tableColumn id="5" xr3:uid="{00000000-0010-0000-0000-000005000000}" name="IPA_SP" dataDxfId="191"/>
    <tableColumn id="20" xr3:uid="{00000000-0010-0000-0000-000014000000}" name="English" dataDxfId="190"/>
    <tableColumn id="12" xr3:uid="{00000000-0010-0000-0000-00000C000000}" name="Semantic_category" dataDxfId="189"/>
    <tableColumn id="13" xr3:uid="{00000000-0010-0000-0000-00000D000000}" name="Inverse_Phon_Sim2" dataDxfId="188"/>
    <tableColumn id="14" xr3:uid="{00000000-0010-0000-0000-00000E000000}" name="Inverse_Orth_Sim2" dataDxfId="187"/>
    <tableColumn id="30" xr3:uid="{00000000-0010-0000-0000-00001E000000}" name="abs_tok_MBOF" dataDxfId="186">
      <calculatedColumnFormula>VLOOKUP(Table1[[#This Row],[Spanish]],[1]written_es_wordlist_bigram_abso!$1:$1048576, 2, 0)</calculatedColumnFormula>
    </tableColumn>
    <tableColumn id="31" xr3:uid="{00000000-0010-0000-0000-00001F000000}" name="abs_type_MBOF" dataDxfId="185">
      <calculatedColumnFormula>VLOOKUP(Table1[[#This Row],[Spanish]], [1]written_es_wordlist_bigram_abso!$1:$1048576, 3, 0)</calculatedColumnFormula>
    </tableColumn>
    <tableColumn id="7" xr3:uid="{00000000-0010-0000-0000-000007000000}" name="Bimanual_Transitions" dataDxfId="184"/>
    <tableColumn id="8" xr3:uid="{00000000-0010-0000-0000-000008000000}" name="Imageability_SP" dataDxfId="183"/>
    <tableColumn id="9" xr3:uid="{00000000-0010-0000-0000-000009000000}" name="H_Index_SP" dataDxfId="182"/>
    <tableColumn id="10" xr3:uid="{00000000-0010-0000-0000-00000A000000}" name="Name_Agreement_SP" dataDxfId="181"/>
    <tableColumn id="11" xr3:uid="{00000000-0010-0000-0000-00000B000000}" name="Visual_Complexity_SP" dataDxfId="180"/>
    <tableColumn id="1" xr3:uid="{00000000-0010-0000-0000-000001000000}" name="No_letters_SP" dataDxfId="179">
      <calculatedColumnFormula>LEN(Table1[[#This Row],[Spanish]])</calculatedColumnFormula>
    </tableColumn>
    <tableColumn id="15" xr3:uid="{00000000-0010-0000-0000-00000F000000}" name="No_graphemes_SP" dataDxfId="178"/>
    <tableColumn id="16" xr3:uid="{00000000-0010-0000-0000-000010000000}" name="No_phonemes_SP" dataDxfId="177"/>
    <tableColumn id="17" xr3:uid="{00000000-0010-0000-0000-000011000000}" name="No_Syllables_SP" dataDxfId="176"/>
    <tableColumn id="18" xr3:uid="{00000000-0010-0000-0000-000012000000}" name="Log_Freq_SP" dataDxfId="175"/>
    <tableColumn id="6" xr3:uid="{00000000-0010-0000-0000-000006000000}" name="Basque_translation" dataDxfId="174"/>
    <tableColumn id="29" xr3:uid="{00000000-0010-0000-0000-00001D000000}" name="Levenshtein_Basque" dataDxfId="173"/>
    <tableColumn id="21" xr3:uid="{00000000-0010-0000-0000-000015000000}" name="IPA_ENG" dataDxfId="172"/>
    <tableColumn id="22" xr3:uid="{00000000-0010-0000-0000-000016000000}" name="No_graphemes_ENG" dataDxfId="171"/>
    <tableColumn id="23" xr3:uid="{00000000-0010-0000-0000-000017000000}" name="No_phonemes_ENG" dataDxfId="170"/>
    <tableColumn id="24" xr3:uid="{00000000-0010-0000-0000-000018000000}" name="No_Syllables_ENG" dataDxfId="169"/>
    <tableColumn id="25" xr3:uid="{00000000-0010-0000-0000-000019000000}" name="Log_Freq_ENG" dataDxfId="168"/>
    <tableColumn id="26" xr3:uid="{00000000-0010-0000-0000-00001A000000}" name="Phon_Similarity" dataDxfId="167"/>
    <tableColumn id="27" xr3:uid="{00000000-0010-0000-0000-00001B000000}" name="Orth_Similarity" dataDxfId="166"/>
    <tableColumn id="28" xr3:uid="{00000000-0010-0000-0000-00001C000000}" name="Levenshtein_English" dataDxfId="16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40EDAA-BDB1-4FC0-9E6A-C39314CA540B}" name="Table6" displayName="Table6" ref="A1:AD47" totalsRowCount="1" headerRowDxfId="164" dataDxfId="162" headerRowBorderDxfId="163" tableBorderDxfId="161" totalsRowBorderDxfId="160">
  <autoFilter ref="A1:AD46" xr:uid="{0140EDAA-BDB1-4FC0-9E6A-C39314CA540B}"/>
  <sortState xmlns:xlrd2="http://schemas.microsoft.com/office/spreadsheetml/2017/richdata2" ref="A2:AD33">
    <sortCondition ref="A1:A33"/>
  </sortState>
  <tableColumns count="30">
    <tableColumn id="1" xr3:uid="{16B8B4BB-E67F-4087-B1EB-1F35C665573B}" name="Picture_no" dataDxfId="159" totalsRowDxfId="158"/>
    <tableColumn id="2" xr3:uid="{55D3C8A7-A371-4B8D-90C0-FA97280E0FC8}" name="Code" dataDxfId="157" totalsRowDxfId="156"/>
    <tableColumn id="3" xr3:uid="{BAD43AC7-8A30-4036-944F-8B8ADE4B2A25}" name="Spanish" dataDxfId="155" totalsRowDxfId="154"/>
    <tableColumn id="4" xr3:uid="{BE03D77D-12D7-4B97-8B32-FA51E543E261}" name="IPA_SP" dataDxfId="153" totalsRowDxfId="152"/>
    <tableColumn id="22" xr3:uid="{33A7A0DE-8E4D-473C-B8CE-A82E5BC5D96E}" name="English" dataDxfId="151" totalsRowDxfId="150"/>
    <tableColumn id="14" xr3:uid="{FA17F5F9-5418-416A-96AF-E9F20AD25388}" name="Semantic_category" dataDxfId="149" totalsRowDxfId="148"/>
    <tableColumn id="7" xr3:uid="{F95F3C65-0DB8-4D91-AE79-3CEEFBB1B173}" name="abs_tok_MBOF" totalsRowFunction="average" dataDxfId="147" totalsRowDxfId="146"/>
    <tableColumn id="8" xr3:uid="{EDBBAED7-FF90-4DDC-864B-EB46332A8E1E}" name="abs_type_MBOF" dataDxfId="145" totalsRowDxfId="144"/>
    <tableColumn id="9" xr3:uid="{CA6B126D-5204-4219-8164-B21C50868773}" name="Bimanual_Transitions" totalsRowFunction="average" dataDxfId="143" totalsRowDxfId="142"/>
    <tableColumn id="10" xr3:uid="{183281FA-7DB8-406F-A0AA-B3A168350533}" name="Imageability_SP" totalsRowFunction="average" dataDxfId="141" totalsRowDxfId="140"/>
    <tableColumn id="11" xr3:uid="{9E0CA76A-E70F-4013-86F4-D889E9AA89DA}" name="H_Index_SP" totalsRowFunction="average" dataDxfId="139" totalsRowDxfId="138"/>
    <tableColumn id="12" xr3:uid="{E8E7BC2C-2E61-486F-9420-D2E878E32693}" name="Name_Agreement_SP" totalsRowFunction="average" dataDxfId="137" totalsRowDxfId="136"/>
    <tableColumn id="13" xr3:uid="{4B9000DE-7169-4DD5-8EAB-6B1961687F1C}" name="Visual_Complexity_SP" totalsRowFunction="average" dataDxfId="135" totalsRowDxfId="134"/>
    <tableColumn id="15" xr3:uid="{FD4252DA-7916-49D1-A7BF-272DC8F63DE9}" name="No_letters_SP" dataDxfId="133" totalsRowDxfId="132"/>
    <tableColumn id="16" xr3:uid="{079A12A0-684C-4E1C-B7C1-C94C21B1B17E}" name="No_graphemes_SP" dataDxfId="131" totalsRowDxfId="130"/>
    <tableColumn id="17" xr3:uid="{4FF20F85-E3BC-45E2-BF1C-D55D625ABDC0}" name="No_phonemes_SP" dataDxfId="129" totalsRowDxfId="128"/>
    <tableColumn id="18" xr3:uid="{CF6443D8-2EB2-4FF1-B3C8-E743F5A8A4F4}" name="No_Syllables_SP" dataDxfId="127" totalsRowDxfId="126"/>
    <tableColumn id="19" xr3:uid="{802A55E8-741F-4613-BFFE-400DAEC83B7B}" name="Log_Freq_SP" dataDxfId="125" totalsRowDxfId="124"/>
    <tableColumn id="5" xr3:uid="{4A07A4DC-7EE4-4AED-B4E3-BE1985CFF0ED}" name="Inverse_Phon_Sim2" dataDxfId="123" totalsRowDxfId="122"/>
    <tableColumn id="6" xr3:uid="{A28BFA61-1E82-4561-991D-9C88792061E8}" name="Inverse_Orth_Sim2" dataDxfId="121" totalsRowDxfId="120"/>
    <tableColumn id="20" xr3:uid="{3E189D0E-3098-412D-B6DC-386D3949F214}" name="Basque_translation" dataDxfId="119" totalsRowDxfId="118"/>
    <tableColumn id="21" xr3:uid="{99A5521D-594D-4061-9332-CEA9A557ED4F}" name="Levenshtein_Basque" dataDxfId="117" totalsRowDxfId="116"/>
    <tableColumn id="23" xr3:uid="{65F9E0AD-F828-45E9-97E5-0D1DABC1F358}" name="IPA_ENG" dataDxfId="115" totalsRowDxfId="114"/>
    <tableColumn id="24" xr3:uid="{7C23D331-5743-4A1E-B9A5-9E7B009413AF}" name="No_graphemes_ENG" dataDxfId="113" totalsRowDxfId="112"/>
    <tableColumn id="25" xr3:uid="{7081DED2-20E5-40B3-829E-CF9808EA9EB1}" name="No_phonemes_ENG" dataDxfId="111" totalsRowDxfId="110"/>
    <tableColumn id="26" xr3:uid="{B683BD82-7BC1-4402-83CD-FE2BAD9F4015}" name="No_Syllables_ENG" dataDxfId="109" totalsRowDxfId="108"/>
    <tableColumn id="27" xr3:uid="{0F237F0D-60B1-46E0-AB0A-F4E1DFEF828E}" name="Log_Freq_ENG" dataDxfId="107" totalsRowDxfId="106"/>
    <tableColumn id="28" xr3:uid="{F0A8B3A3-55DD-41A4-BD7C-06DF6E4EDD12}" name="Phon_Similarity" dataDxfId="105" totalsRowDxfId="104"/>
    <tableColumn id="29" xr3:uid="{31B74188-D780-4E25-BFD9-DC33950202CF}" name="Orth_Similarity" dataDxfId="103" totalsRowDxfId="102"/>
    <tableColumn id="30" xr3:uid="{35BA4D81-8513-48C8-A6D4-3E1EDC287E6A}" name="Levenshtein_English" dataDxfId="101" totalsRow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0B7E80-3A7E-4000-B3F9-4530962B2964}" name="Table7" displayName="Table7" ref="A1:U8" totalsRowShown="0" headerRowDxfId="99" dataDxfId="97" headerRowBorderDxfId="98" tableBorderDxfId="96" totalsRowBorderDxfId="95">
  <autoFilter ref="A1:U8" xr:uid="{020B7E80-3A7E-4000-B3F9-4530962B2964}"/>
  <tableColumns count="21">
    <tableColumn id="1" xr3:uid="{156AD6FD-BCCB-4521-9D45-93830C70B7E3}" name="Picture_no" dataDxfId="94"/>
    <tableColumn id="3" xr3:uid="{A940185B-2190-4D26-B4BD-887FEFEEE6A6}" name="Spanish" dataDxfId="93"/>
    <tableColumn id="4" xr3:uid="{CF0FFD42-788B-42CE-ACA1-52A50F311E97}" name="IPA_SP" dataDxfId="92"/>
    <tableColumn id="5" xr3:uid="{9B3DF5D4-32E4-47E2-83DF-8CEC7B88DA20}" name="English" dataDxfId="91"/>
    <tableColumn id="6" xr3:uid="{0DB65A63-B595-4D75-B50F-FD75450CC4BE}" name="IPA_ENG" dataDxfId="90"/>
    <tableColumn id="7" xr3:uid="{D80D940B-50D9-4E89-9FA0-209B3F7390E3}" name="Semantic_category" dataDxfId="89"/>
    <tableColumn id="8" xr3:uid="{8F0560A9-75D1-41A0-98BB-2F2D14DD00F1}" name="Length_graphemes_SP" dataDxfId="88"/>
    <tableColumn id="9" xr3:uid="{6EF4E0FF-79C5-403D-B5E1-269C50A41235}" name="Length_graphemes_ENG" dataDxfId="87">
      <calculatedColumnFormula>LEN([2]!Table2[[#This Row],[English]])</calculatedColumnFormula>
    </tableColumn>
    <tableColumn id="10" xr3:uid="{FE0FAFC4-FCBF-4DFC-AFDA-084BD74C93BD}" name="Length_phonemes_SP" dataDxfId="86"/>
    <tableColumn id="11" xr3:uid="{D30A6ACA-0364-46FA-9EF0-DB4C989FCF59}" name="Length_phonemes_ENG" dataDxfId="85">
      <calculatedColumnFormula>VLOOKUP([2]!Table2[[#This Row],[English]], [3]clearpondEN_HE1IR!$1:$1048576, 4, 0)</calculatedColumnFormula>
    </tableColumn>
    <tableColumn id="12" xr3:uid="{F97717EA-4A2E-4E33-8188-CA7EA9D8AD33}" name="No_Syllables_SP" dataDxfId="84"/>
    <tableColumn id="13" xr3:uid="{C07F63B3-24C1-4EB0-8949-821058713AA0}" name="No_Syllables_ENG" dataDxfId="83">
      <calculatedColumnFormula>VLOOKUP([2]!Table2[[#This Row],[English]], [4]WebCelex_Done!$1:$1048576, 3, 0)</calculatedColumnFormula>
    </tableColumn>
    <tableColumn id="14" xr3:uid="{43B199A9-E7E5-4603-AB90-E7F1EB02DA04}" name="Log_Freq_SP" dataDxfId="82">
      <calculatedColumnFormula>VLOOKUP([2]!Table2[[#This Row],[Spanish]], [5]Output_Espal_Zipf!$1:$1048576, 2, 0)</calculatedColumnFormula>
    </tableColumn>
    <tableColumn id="15" xr3:uid="{B45FE3E2-270D-4353-8410-A60226EA565A}" name="Log_Freq_ENG" dataDxfId="81">
      <calculatedColumnFormula>VLOOKUP([2]!Table2[[#This Row],[English]], [6]Sheet1!$1:$1048576, 6, 0)</calculatedColumnFormula>
    </tableColumn>
    <tableColumn id="16" xr3:uid="{FB4D1929-5F62-4303-86C8-F848929C258C}" name="Imageability_SP" dataDxfId="80"/>
    <tableColumn id="17" xr3:uid="{98FC081D-EF5E-40A1-8EB9-DCD5E444A01F}" name="H_Index_SP" dataDxfId="79"/>
    <tableColumn id="18" xr3:uid="{2B2D947E-159D-4C3C-93F8-5C21EE07FFFE}" name="Name_Agreement_SP" dataDxfId="78"/>
    <tableColumn id="19" xr3:uid="{6F9BEB7D-ECCF-4FEB-B13C-31E8A48DCC47}" name="Phon_Similarity" dataDxfId="77"/>
    <tableColumn id="20" xr3:uid="{ADADEBC2-C45C-44F4-AB25-6C31F09A4CE0}" name="Visual_Complexity_SP" dataDxfId="76"/>
    <tableColumn id="21" xr3:uid="{13F56D41-EE38-4DBE-B980-F1A7177EB49D}" name="Orth_Similarity" dataDxfId="75"/>
    <tableColumn id="22" xr3:uid="{80543E15-CF63-4536-9C75-28E179D85302}" name="Levenshtein" dataDxfId="7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89" totalsRowShown="0" dataDxfId="73" tableBorderDxfId="72">
  <autoFilter ref="A1:AB89" xr:uid="{00000000-0009-0000-0100-000002000000}"/>
  <tableColumns count="28">
    <tableColumn id="1" xr3:uid="{00000000-0010-0000-0100-000001000000}" name="Picture_no" dataDxfId="71"/>
    <tableColumn id="2" xr3:uid="{00000000-0010-0000-0100-000002000000}" name="Code" dataDxfId="70"/>
    <tableColumn id="3" xr3:uid="{00000000-0010-0000-0100-000003000000}" name="Spanish" dataDxfId="69"/>
    <tableColumn id="4" xr3:uid="{00000000-0010-0000-0100-000004000000}" name="IPA_SP" dataDxfId="68"/>
    <tableColumn id="5" xr3:uid="{00000000-0010-0000-0100-000005000000}" name="Basque_translation" dataDxfId="67"/>
    <tableColumn id="6" xr3:uid="{00000000-0010-0000-0100-000006000000}" name="Levenshtein_Basque" dataDxfId="66"/>
    <tableColumn id="7" xr3:uid="{00000000-0010-0000-0100-000007000000}" name="Bimanual_Transitions"/>
    <tableColumn id="8" xr3:uid="{00000000-0010-0000-0100-000008000000}" name="Imageability_SP" dataDxfId="65"/>
    <tableColumn id="9" xr3:uid="{00000000-0010-0000-0100-000009000000}" name="H_Index_SP" dataDxfId="64"/>
    <tableColumn id="10" xr3:uid="{00000000-0010-0000-0100-00000A000000}" name="Name_Agreement_SP" dataDxfId="63"/>
    <tableColumn id="11" xr3:uid="{00000000-0010-0000-0100-00000B000000}" name="Visual_Complexity_SP" dataDxfId="62"/>
    <tableColumn id="12" xr3:uid="{00000000-0010-0000-0100-00000C000000}" name="Semantic_category" dataDxfId="61"/>
    <tableColumn id="13" xr3:uid="{00000000-0010-0000-0100-00000D000000}" name="Inverse_Phon_Sim2" dataDxfId="60"/>
    <tableColumn id="14" xr3:uid="{00000000-0010-0000-0100-00000E000000}" name="Inverse_Orth_Sim2" dataDxfId="59"/>
    <tableColumn id="15" xr3:uid="{00000000-0010-0000-0100-00000F000000}" name="No_graphemes_SP" dataDxfId="58"/>
    <tableColumn id="16" xr3:uid="{00000000-0010-0000-0100-000010000000}" name="No_phonemes_SP" dataDxfId="57"/>
    <tableColumn id="17" xr3:uid="{00000000-0010-0000-0100-000011000000}" name="No_Syllables_SP" dataDxfId="56"/>
    <tableColumn id="18" xr3:uid="{00000000-0010-0000-0100-000012000000}" name="Log_Freq_SP" dataDxfId="55"/>
    <tableColumn id="19" xr3:uid="{00000000-0010-0000-0100-000013000000}" name="PO_Sim" dataDxfId="54"/>
    <tableColumn id="20" xr3:uid="{00000000-0010-0000-0100-000014000000}" name="English" dataDxfId="53"/>
    <tableColumn id="21" xr3:uid="{00000000-0010-0000-0100-000015000000}" name="IPA_ENG" dataDxfId="52"/>
    <tableColumn id="22" xr3:uid="{00000000-0010-0000-0100-000016000000}" name="No_graphemes_ENG" dataDxfId="51"/>
    <tableColumn id="23" xr3:uid="{00000000-0010-0000-0100-000017000000}" name="No_phonemes_ENG" dataDxfId="50"/>
    <tableColumn id="24" xr3:uid="{00000000-0010-0000-0100-000018000000}" name="No_Syllables_ENG" dataDxfId="49"/>
    <tableColumn id="25" xr3:uid="{00000000-0010-0000-0100-000019000000}" name="Log_Freq_ENG" dataDxfId="48"/>
    <tableColumn id="26" xr3:uid="{00000000-0010-0000-0100-00001A000000}" name="Phon_Similarity" dataDxfId="47"/>
    <tableColumn id="27" xr3:uid="{00000000-0010-0000-0100-00001B000000}" name="Orth_Similarity" dataDxfId="46"/>
    <tableColumn id="28" xr3:uid="{00000000-0010-0000-0100-00001C000000}" name="Levenshtein_English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AB21" totalsRowShown="0" headerRowDxfId="44" dataDxfId="42" headerRowBorderDxfId="43" tableBorderDxfId="41" totalsRowBorderDxfId="40">
  <autoFilter ref="A1:AB21" xr:uid="{00000000-0009-0000-0100-000003000000}"/>
  <tableColumns count="28">
    <tableColumn id="1" xr3:uid="{00000000-0010-0000-0200-000001000000}" name="Picture_no" dataDxfId="39"/>
    <tableColumn id="2" xr3:uid="{00000000-0010-0000-0200-000002000000}" name="Code" dataDxfId="38"/>
    <tableColumn id="3" xr3:uid="{00000000-0010-0000-0200-000003000000}" name="Spanish" dataDxfId="37"/>
    <tableColumn id="4" xr3:uid="{00000000-0010-0000-0200-000004000000}" name="IPA_SP" dataDxfId="36"/>
    <tableColumn id="5" xr3:uid="{00000000-0010-0000-0200-000005000000}" name="Basque_translation" dataDxfId="35"/>
    <tableColumn id="6" xr3:uid="{00000000-0010-0000-0200-000006000000}" name="Levenshtein_Basque" dataDxfId="34"/>
    <tableColumn id="7" xr3:uid="{00000000-0010-0000-0200-000007000000}" name="Bimanual_Transitions" dataDxfId="33"/>
    <tableColumn id="8" xr3:uid="{00000000-0010-0000-0200-000008000000}" name="Imageability_SP" dataDxfId="32"/>
    <tableColumn id="9" xr3:uid="{00000000-0010-0000-0200-000009000000}" name="H_Index_SP" dataDxfId="31"/>
    <tableColumn id="10" xr3:uid="{00000000-0010-0000-0200-00000A000000}" name="Name_Agreement_SP"/>
    <tableColumn id="11" xr3:uid="{00000000-0010-0000-0200-00000B000000}" name="Visual_Complexity_SP" dataDxfId="30"/>
    <tableColumn id="12" xr3:uid="{00000000-0010-0000-0200-00000C000000}" name="Semantic_category" dataDxfId="29"/>
    <tableColumn id="13" xr3:uid="{00000000-0010-0000-0200-00000D000000}" name="Inverse_Phon_Sim2" dataDxfId="28"/>
    <tableColumn id="14" xr3:uid="{00000000-0010-0000-0200-00000E000000}" name="Inverse_Orth_Sim2" dataDxfId="27"/>
    <tableColumn id="15" xr3:uid="{00000000-0010-0000-0200-00000F000000}" name="No_graphemes_SP" dataDxfId="26"/>
    <tableColumn id="16" xr3:uid="{00000000-0010-0000-0200-000010000000}" name="No_phonemes_SP" dataDxfId="25"/>
    <tableColumn id="17" xr3:uid="{00000000-0010-0000-0200-000011000000}" name="No_Syllables_SP" dataDxfId="24"/>
    <tableColumn id="18" xr3:uid="{00000000-0010-0000-0200-000012000000}" name="Log_Freq_SP" dataDxfId="23"/>
    <tableColumn id="19" xr3:uid="{00000000-0010-0000-0200-000013000000}" name="PO_Sim" dataDxfId="22"/>
    <tableColumn id="20" xr3:uid="{00000000-0010-0000-0200-000014000000}" name="English" dataDxfId="21"/>
    <tableColumn id="21" xr3:uid="{00000000-0010-0000-0200-000015000000}" name="IPA_ENG" dataDxfId="20"/>
    <tableColumn id="22" xr3:uid="{00000000-0010-0000-0200-000016000000}" name="No_graphemes_ENG" dataDxfId="19"/>
    <tableColumn id="23" xr3:uid="{00000000-0010-0000-0200-000017000000}" name="No_phonemes_ENG" dataDxfId="18"/>
    <tableColumn id="24" xr3:uid="{00000000-0010-0000-0200-000018000000}" name="No_Syllables_ENG" dataDxfId="17"/>
    <tableColumn id="25" xr3:uid="{00000000-0010-0000-0200-000019000000}" name="Log_Freq_ENG" dataDxfId="16"/>
    <tableColumn id="26" xr3:uid="{00000000-0010-0000-0200-00001A000000}" name="Phon_Similarity" dataDxfId="15"/>
    <tableColumn id="27" xr3:uid="{00000000-0010-0000-0200-00001B000000}" name="Orth_Similarity" dataDxfId="14"/>
    <tableColumn id="28" xr3:uid="{00000000-0010-0000-0200-00001C000000}" name="Levenshtein_English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A80" totalsRowShown="0" headerRowDxfId="12" dataDxfId="10" headerRowBorderDxfId="11" tableBorderDxfId="9" totalsRowBorderDxfId="8">
  <autoFilter ref="A1:A80" xr:uid="{00000000-0009-0000-0100-000004000000}"/>
  <tableColumns count="1">
    <tableColumn id="1" xr3:uid="{00000000-0010-0000-0300-000001000000}" name="Bimanual_Transitions" dataDxfId="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D7940-7C80-4F5A-944E-C9B31BA21706}" name="Table5" displayName="Table5" ref="A1:B80" totalsRowShown="0" headerRowDxfId="6" dataDxfId="4" headerRowBorderDxfId="5" tableBorderDxfId="3" totalsRowBorderDxfId="2">
  <autoFilter ref="A1:B80" xr:uid="{3E7D7940-7C80-4F5A-944E-C9B31BA21706}"/>
  <tableColumns count="2">
    <tableColumn id="1" xr3:uid="{2ADB87C7-2493-40A6-84F6-D0FB683E0FBA}" name="abs_tok_MBOF" dataDxfId="1">
      <calculatedColumnFormula>VLOOKUP(Table1[[#This Row],[Spanish]],[1]written_es_wordlist_bigram_abso!$1:$1048576, 2, 0)</calculatedColumnFormula>
    </tableColumn>
    <tableColumn id="2" xr3:uid="{65DBD0BA-C00E-4CD1-8B36-6D66613A4100}" name="abs_type_MBOF" dataDxfId="0">
      <calculatedColumnFormula>VLOOKUP(Table1[[#This Row],[Spanish]], [1]written_es_wordlist_bigram_abso!$1:$1048576, 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"/>
  <sheetViews>
    <sheetView topLeftCell="A22" zoomScale="80" zoomScaleNormal="80" workbookViewId="0">
      <selection activeCell="A69" sqref="A69:AD69"/>
    </sheetView>
  </sheetViews>
  <sheetFormatPr defaultRowHeight="14.4" x14ac:dyDescent="0.3"/>
  <cols>
    <col min="1" max="1" width="12" customWidth="1"/>
    <col min="3" max="3" width="10.21875" bestFit="1" customWidth="1"/>
    <col min="4" max="4" width="9.6640625" bestFit="1" customWidth="1"/>
    <col min="5" max="5" width="10.5546875" bestFit="1" customWidth="1"/>
    <col min="6" max="6" width="22.6640625" style="6" bestFit="1" customWidth="1"/>
    <col min="7" max="7" width="23.44140625" bestFit="1" customWidth="1"/>
    <col min="8" max="8" width="23.109375" style="5" bestFit="1" customWidth="1"/>
    <col min="9" max="9" width="20.44140625" bestFit="1" customWidth="1"/>
    <col min="10" max="10" width="20.5546875" bestFit="1" customWidth="1"/>
    <col min="11" max="11" width="22.44140625" style="41" bestFit="1" customWidth="1"/>
    <col min="12" max="12" width="17.5546875" style="5" bestFit="1" customWidth="1"/>
    <col min="13" max="13" width="16.44140625" style="5" bestFit="1" customWidth="1"/>
    <col min="14" max="15" width="23" bestFit="1" customWidth="1"/>
    <col min="16" max="16" width="18.88671875" bestFit="1" customWidth="1"/>
    <col min="17" max="17" width="18.33203125" style="6" bestFit="1" customWidth="1"/>
    <col min="18" max="18" width="20" bestFit="1" customWidth="1"/>
    <col min="19" max="19" width="19.44140625" bestFit="1" customWidth="1"/>
    <col min="20" max="20" width="17.77734375" style="5" bestFit="1" customWidth="1"/>
    <col min="21" max="21" width="17" bestFit="1" customWidth="1"/>
    <col min="22" max="22" width="20.44140625" bestFit="1" customWidth="1"/>
    <col min="23" max="23" width="24.33203125" bestFit="1" customWidth="1"/>
    <col min="25" max="25" width="11.21875" bestFit="1" customWidth="1"/>
    <col min="26" max="26" width="21.6640625" bestFit="1" customWidth="1"/>
    <col min="27" max="27" width="21.109375" style="5" bestFit="1" customWidth="1"/>
    <col min="28" max="28" width="19.33203125" style="5" bestFit="1" customWidth="1"/>
    <col min="29" max="29" width="16.109375" bestFit="1" customWidth="1"/>
    <col min="30" max="30" width="17.21875" bestFit="1" customWidth="1"/>
    <col min="31" max="31" width="16.77734375" bestFit="1" customWidth="1"/>
    <col min="32" max="32" width="23.77734375" bestFit="1" customWidth="1"/>
    <col min="33" max="33" width="19.6640625" customWidth="1"/>
    <col min="34" max="34" width="18.109375" customWidth="1"/>
    <col min="35" max="35" width="15.109375" customWidth="1"/>
    <col min="36" max="36" width="16.109375" customWidth="1"/>
    <col min="37" max="37" width="15.44140625" customWidth="1"/>
    <col min="38" max="38" width="13.33203125" style="7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  <c r="F1" s="5" t="s">
        <v>10</v>
      </c>
      <c r="G1" s="5" t="s">
        <v>11</v>
      </c>
      <c r="H1" s="5" t="s">
        <v>12</v>
      </c>
      <c r="I1" s="6" t="s">
        <v>1078</v>
      </c>
      <c r="J1" s="6" t="s">
        <v>1079</v>
      </c>
      <c r="K1" s="41" t="s">
        <v>5</v>
      </c>
      <c r="L1" t="s">
        <v>6</v>
      </c>
      <c r="M1" s="6" t="s">
        <v>7</v>
      </c>
      <c r="N1" t="s">
        <v>8</v>
      </c>
      <c r="O1" t="s">
        <v>9</v>
      </c>
      <c r="P1" s="5" t="s">
        <v>1076</v>
      </c>
      <c r="Q1" t="s">
        <v>13</v>
      </c>
      <c r="R1" t="s">
        <v>14</v>
      </c>
      <c r="S1" t="s">
        <v>15</v>
      </c>
      <c r="T1" s="5" t="s">
        <v>16</v>
      </c>
      <c r="U1" t="s">
        <v>4</v>
      </c>
      <c r="V1" s="5" t="s">
        <v>26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s="7" t="s">
        <v>1054</v>
      </c>
      <c r="AL1"/>
    </row>
    <row r="2" spans="1:38" x14ac:dyDescent="0.3">
      <c r="A2" s="46" t="s">
        <v>47</v>
      </c>
      <c r="B2" s="46">
        <v>128</v>
      </c>
      <c r="C2" s="46" t="s">
        <v>234</v>
      </c>
      <c r="D2" s="46" t="s">
        <v>420</v>
      </c>
      <c r="E2" s="46" t="s">
        <v>710</v>
      </c>
      <c r="F2" s="51" t="s">
        <v>683</v>
      </c>
      <c r="G2" s="49">
        <v>0.28936170212765955</v>
      </c>
      <c r="H2" s="49">
        <v>0.26382978723404249</v>
      </c>
      <c r="I2" s="49">
        <f>VLOOKUP(Table1[[#This Row],[Spanish]],[1]written_es_wordlist_bigram_abso!$1:$1048576, 2, 0)</f>
        <v>13362.893747</v>
      </c>
      <c r="J2" s="49">
        <f>VLOOKUP(Table1[[#This Row],[Spanish]], [1]written_es_wordlist_bigram_abso!$1:$1048576, 3, 0)</f>
        <v>8954.4</v>
      </c>
      <c r="K2" s="50">
        <v>20</v>
      </c>
      <c r="L2" s="49" t="s">
        <v>1077</v>
      </c>
      <c r="M2" s="49">
        <v>0.46899559400000002</v>
      </c>
      <c r="N2" s="49">
        <v>90</v>
      </c>
      <c r="O2" s="49">
        <v>2.59</v>
      </c>
      <c r="P2" s="51">
        <f>LEN(Table1[[#This Row],[Spanish]])</f>
        <v>6</v>
      </c>
      <c r="Q2" s="52">
        <v>6</v>
      </c>
      <c r="R2" s="52">
        <v>6</v>
      </c>
      <c r="S2" s="52">
        <v>3</v>
      </c>
      <c r="T2" s="49">
        <v>3.8510230000000001</v>
      </c>
      <c r="U2" s="46" t="s">
        <v>577</v>
      </c>
      <c r="V2" s="51">
        <v>6</v>
      </c>
      <c r="W2" s="46" t="s">
        <v>887</v>
      </c>
      <c r="X2" s="52">
        <v>4</v>
      </c>
      <c r="Y2" s="52">
        <v>3</v>
      </c>
      <c r="Z2" s="52" t="s">
        <v>27</v>
      </c>
      <c r="AA2" s="49">
        <v>4.0723126832511021</v>
      </c>
      <c r="AB2" s="49">
        <v>0.71063829787234045</v>
      </c>
      <c r="AC2" s="49">
        <v>0.73617021276595751</v>
      </c>
      <c r="AD2" s="52">
        <v>6</v>
      </c>
      <c r="AL2"/>
    </row>
    <row r="3" spans="1:38" x14ac:dyDescent="0.3">
      <c r="A3" s="46" t="s">
        <v>72</v>
      </c>
      <c r="B3" s="46">
        <v>135</v>
      </c>
      <c r="C3" s="46" t="s">
        <v>259</v>
      </c>
      <c r="D3" s="46" t="s">
        <v>442</v>
      </c>
      <c r="E3" s="46" t="s">
        <v>735</v>
      </c>
      <c r="F3" s="51" t="s">
        <v>685</v>
      </c>
      <c r="G3" s="49">
        <v>0.36595744680851061</v>
      </c>
      <c r="H3" s="49">
        <v>0.41860465116279078</v>
      </c>
      <c r="I3" s="49">
        <f>VLOOKUP(Table1[[#This Row],[Spanish]],[1]written_es_wordlist_bigram_abso!$1:$1048576, 2, 0)</f>
        <v>24200.320181999999</v>
      </c>
      <c r="J3" s="49">
        <f>VLOOKUP(Table1[[#This Row],[Spanish]], [1]written_es_wordlist_bigram_abso!$1:$1048576, 3, 0)</f>
        <v>16433.25</v>
      </c>
      <c r="K3" s="50">
        <v>50</v>
      </c>
      <c r="L3" s="49">
        <v>5.9429999999999996</v>
      </c>
      <c r="M3" s="49">
        <v>0</v>
      </c>
      <c r="N3" s="49">
        <v>100</v>
      </c>
      <c r="O3" s="49">
        <v>2.4</v>
      </c>
      <c r="P3" s="51">
        <f>LEN(Table1[[#This Row],[Spanish]])</f>
        <v>5</v>
      </c>
      <c r="Q3" s="52">
        <v>5</v>
      </c>
      <c r="R3" s="52">
        <v>5</v>
      </c>
      <c r="S3" s="52">
        <v>2</v>
      </c>
      <c r="T3" s="49">
        <v>4.50122</v>
      </c>
      <c r="U3" s="46" t="s">
        <v>1059</v>
      </c>
      <c r="V3" s="51">
        <v>6</v>
      </c>
      <c r="W3" s="46" t="s">
        <v>912</v>
      </c>
      <c r="X3" s="52">
        <v>4</v>
      </c>
      <c r="Y3" s="52">
        <v>3</v>
      </c>
      <c r="Z3" s="52" t="s">
        <v>27</v>
      </c>
      <c r="AA3" s="49">
        <v>4.5882199055592778</v>
      </c>
      <c r="AB3" s="49">
        <v>0.63404255319148939</v>
      </c>
      <c r="AC3" s="49">
        <v>0.58139534883720922</v>
      </c>
      <c r="AD3" s="52">
        <v>5</v>
      </c>
      <c r="AL3"/>
    </row>
    <row r="4" spans="1:38" x14ac:dyDescent="0.3">
      <c r="A4" t="s">
        <v>70</v>
      </c>
      <c r="B4">
        <v>140</v>
      </c>
      <c r="C4" t="s">
        <v>257</v>
      </c>
      <c r="D4" t="s">
        <v>440</v>
      </c>
      <c r="E4" t="s">
        <v>733</v>
      </c>
      <c r="F4" s="5" t="s">
        <v>683</v>
      </c>
      <c r="G4" s="6">
        <v>0.35675675675675678</v>
      </c>
      <c r="H4" s="6">
        <v>0.40909090909090917</v>
      </c>
      <c r="I4" s="6">
        <f>VLOOKUP(Table1[[#This Row],[Spanish]],[1]written_es_wordlist_bigram_abso!$1:$1048576, 2, 0)</f>
        <v>11912.671066999999</v>
      </c>
      <c r="J4" s="6">
        <f>VLOOKUP(Table1[[#This Row],[Spanish]], [1]written_es_wordlist_bigram_abso!$1:$1048576, 3, 0)</f>
        <v>8231.75</v>
      </c>
      <c r="K4" s="41">
        <v>75</v>
      </c>
      <c r="L4" s="6">
        <v>5.8070000000000004</v>
      </c>
      <c r="M4" s="6">
        <v>0</v>
      </c>
      <c r="N4" s="6">
        <v>100</v>
      </c>
      <c r="O4" s="6">
        <v>2.15</v>
      </c>
      <c r="P4" s="5">
        <f>LEN(Table1[[#This Row],[Spanish]])</f>
        <v>5</v>
      </c>
      <c r="Q4" s="7">
        <v>5</v>
      </c>
      <c r="R4" s="7">
        <v>5</v>
      </c>
      <c r="S4" s="7">
        <v>2</v>
      </c>
      <c r="T4" s="6">
        <v>3.3605749999999999</v>
      </c>
      <c r="U4" t="s">
        <v>591</v>
      </c>
      <c r="V4" s="5">
        <v>6</v>
      </c>
      <c r="W4" t="s">
        <v>910</v>
      </c>
      <c r="X4" s="7">
        <v>3</v>
      </c>
      <c r="Y4" s="7">
        <v>3</v>
      </c>
      <c r="Z4" s="7" t="s">
        <v>27</v>
      </c>
      <c r="AA4" s="6">
        <v>4.3295070722771456</v>
      </c>
      <c r="AB4" s="6">
        <v>0.64324324324324322</v>
      </c>
      <c r="AC4" s="6">
        <v>0.59090909090909083</v>
      </c>
      <c r="AD4" s="7">
        <v>5</v>
      </c>
      <c r="AL4"/>
    </row>
    <row r="5" spans="1:38" x14ac:dyDescent="0.3">
      <c r="A5" t="s">
        <v>135</v>
      </c>
      <c r="B5">
        <v>141</v>
      </c>
      <c r="C5" t="s">
        <v>322</v>
      </c>
      <c r="D5" t="s">
        <v>496</v>
      </c>
      <c r="E5" t="s">
        <v>796</v>
      </c>
      <c r="F5" s="5" t="s">
        <v>690</v>
      </c>
      <c r="G5" s="6">
        <v>0.53506493506493502</v>
      </c>
      <c r="H5" s="6">
        <v>0.39523809523809517</v>
      </c>
      <c r="I5" s="6">
        <f>VLOOKUP(Table1[[#This Row],[Spanish]],[1]written_es_wordlist_bigram_abso!$1:$1048576, 2, 0)</f>
        <v>27298.13624</v>
      </c>
      <c r="J5" s="6">
        <f>VLOOKUP(Table1[[#This Row],[Spanish]], [1]written_es_wordlist_bigram_abso!$1:$1048576, 3, 0)</f>
        <v>20793.333332999999</v>
      </c>
      <c r="K5" s="41">
        <v>50</v>
      </c>
      <c r="L5" s="6" t="s">
        <v>1077</v>
      </c>
      <c r="M5" s="6">
        <v>0</v>
      </c>
      <c r="N5" s="6">
        <v>100</v>
      </c>
      <c r="O5" s="6">
        <v>2.83</v>
      </c>
      <c r="P5" s="5">
        <f>LEN(Table1[[#This Row],[Spanish]])</f>
        <v>7</v>
      </c>
      <c r="Q5" s="7">
        <v>7</v>
      </c>
      <c r="R5" s="7">
        <v>7</v>
      </c>
      <c r="S5" s="7">
        <v>2</v>
      </c>
      <c r="T5" s="6">
        <v>3.3104209999999998</v>
      </c>
      <c r="U5" t="s">
        <v>638</v>
      </c>
      <c r="V5" s="5">
        <v>9</v>
      </c>
      <c r="W5" t="s">
        <v>973</v>
      </c>
      <c r="X5" s="7">
        <v>9</v>
      </c>
      <c r="Y5" s="7">
        <v>7</v>
      </c>
      <c r="Z5" s="7" t="s">
        <v>29</v>
      </c>
      <c r="AA5" s="6">
        <v>3.5536709909140196</v>
      </c>
      <c r="AB5" s="6">
        <v>0.46493506493506498</v>
      </c>
      <c r="AC5" s="6">
        <v>0.60476190476190483</v>
      </c>
      <c r="AD5" s="7">
        <v>8</v>
      </c>
      <c r="AL5"/>
    </row>
    <row r="6" spans="1:38" x14ac:dyDescent="0.3">
      <c r="A6" s="46" t="s">
        <v>164</v>
      </c>
      <c r="B6" s="46">
        <v>142</v>
      </c>
      <c r="C6" s="46" t="s">
        <v>351</v>
      </c>
      <c r="D6" s="46" t="s">
        <v>523</v>
      </c>
      <c r="E6" s="46" t="s">
        <v>767</v>
      </c>
      <c r="F6" s="51" t="s">
        <v>683</v>
      </c>
      <c r="G6" s="49">
        <v>0.62727272727272732</v>
      </c>
      <c r="H6" s="49">
        <v>0.47843137254901968</v>
      </c>
      <c r="I6" s="49">
        <f>VLOOKUP(Table1[[#This Row],[Spanish]],[1]written_es_wordlist_bigram_abso!$1:$1048576, 2, 0)</f>
        <v>28352.082465</v>
      </c>
      <c r="J6" s="49">
        <f>VLOOKUP(Table1[[#This Row],[Spanish]], [1]written_es_wordlist_bigram_abso!$1:$1048576, 3, 0)</f>
        <v>19134.333332999999</v>
      </c>
      <c r="K6" s="50">
        <v>33.299999999999997</v>
      </c>
      <c r="L6" s="49">
        <v>6.6130000000000004</v>
      </c>
      <c r="M6" s="49">
        <v>0</v>
      </c>
      <c r="N6" s="49">
        <v>100</v>
      </c>
      <c r="O6" s="49">
        <v>1.71</v>
      </c>
      <c r="P6" s="51">
        <f>LEN(Table1[[#This Row],[Spanish]])</f>
        <v>4</v>
      </c>
      <c r="Q6" s="52">
        <v>4</v>
      </c>
      <c r="R6" s="52">
        <v>4</v>
      </c>
      <c r="S6" s="52">
        <v>2</v>
      </c>
      <c r="T6" s="49">
        <v>4.1775390000000003</v>
      </c>
      <c r="U6" s="46" t="s">
        <v>659</v>
      </c>
      <c r="V6" s="51">
        <v>7</v>
      </c>
      <c r="W6" s="46" t="s">
        <v>944</v>
      </c>
      <c r="X6" s="52">
        <v>5</v>
      </c>
      <c r="Y6" s="52">
        <v>4</v>
      </c>
      <c r="Z6" s="52" t="s">
        <v>27</v>
      </c>
      <c r="AA6" s="49">
        <v>4.9188940686549341</v>
      </c>
      <c r="AB6" s="49">
        <v>0.37272727272727268</v>
      </c>
      <c r="AC6" s="49">
        <v>0.52156862745098032</v>
      </c>
      <c r="AD6" s="52">
        <v>3</v>
      </c>
      <c r="AL6"/>
    </row>
    <row r="7" spans="1:38" x14ac:dyDescent="0.3">
      <c r="A7" t="s">
        <v>61</v>
      </c>
      <c r="B7">
        <v>151</v>
      </c>
      <c r="C7" t="s">
        <v>248</v>
      </c>
      <c r="D7" t="s">
        <v>433</v>
      </c>
      <c r="E7" t="s">
        <v>724</v>
      </c>
      <c r="F7" s="5" t="s">
        <v>683</v>
      </c>
      <c r="G7" s="6">
        <v>0.33684210526315783</v>
      </c>
      <c r="H7" s="6">
        <v>0.30943396226415087</v>
      </c>
      <c r="I7" s="6">
        <f>VLOOKUP(Table1[[#This Row],[Spanish]],[1]written_es_wordlist_bigram_abso!$1:$1048576, 2, 0)</f>
        <v>36499.951178000003</v>
      </c>
      <c r="J7" s="6">
        <f>VLOOKUP(Table1[[#This Row],[Spanish]], [1]written_es_wordlist_bigram_abso!$1:$1048576, 3, 0)</f>
        <v>20184.666667000001</v>
      </c>
      <c r="K7" s="41">
        <v>66.7</v>
      </c>
      <c r="L7" s="6">
        <v>5.5970000000000004</v>
      </c>
      <c r="M7" s="6">
        <v>0</v>
      </c>
      <c r="N7" s="6">
        <v>100</v>
      </c>
      <c r="O7" s="6">
        <v>1.61</v>
      </c>
      <c r="P7" s="5">
        <f>LEN(Table1[[#This Row],[Spanish]])</f>
        <v>7</v>
      </c>
      <c r="Q7" s="7">
        <v>7</v>
      </c>
      <c r="R7" s="7">
        <v>7</v>
      </c>
      <c r="S7" s="7">
        <v>2</v>
      </c>
      <c r="T7" s="6">
        <v>3.5792130000000002</v>
      </c>
      <c r="U7" t="s">
        <v>1058</v>
      </c>
      <c r="V7" s="5">
        <v>8</v>
      </c>
      <c r="W7" t="s">
        <v>901</v>
      </c>
      <c r="X7" s="7">
        <v>4</v>
      </c>
      <c r="Y7" s="7">
        <v>3</v>
      </c>
      <c r="Z7" s="7" t="s">
        <v>27</v>
      </c>
      <c r="AA7" s="6">
        <v>4.1508852473744184</v>
      </c>
      <c r="AB7" s="6">
        <v>0.66315789473684217</v>
      </c>
      <c r="AC7" s="6">
        <v>0.69056603773584913</v>
      </c>
      <c r="AD7" s="7">
        <v>7</v>
      </c>
      <c r="AL7"/>
    </row>
    <row r="8" spans="1:38" x14ac:dyDescent="0.3">
      <c r="A8" s="46" t="s">
        <v>93</v>
      </c>
      <c r="B8" s="46">
        <v>152</v>
      </c>
      <c r="C8" s="46" t="s">
        <v>280</v>
      </c>
      <c r="D8" s="46" t="s">
        <v>461</v>
      </c>
      <c r="E8" s="46" t="s">
        <v>755</v>
      </c>
      <c r="F8" s="51" t="s">
        <v>688</v>
      </c>
      <c r="G8" s="49">
        <v>0.41874999999999996</v>
      </c>
      <c r="H8" s="49">
        <v>0.47499999999999998</v>
      </c>
      <c r="I8" s="49">
        <f>VLOOKUP(Table1[[#This Row],[Spanish]],[1]written_es_wordlist_bigram_abso!$1:$1048576, 2, 0)</f>
        <v>41516.996815999999</v>
      </c>
      <c r="J8" s="49">
        <f>VLOOKUP(Table1[[#This Row],[Spanish]], [1]written_es_wordlist_bigram_abso!$1:$1048576, 3, 0)</f>
        <v>32695.666667000001</v>
      </c>
      <c r="K8" s="50">
        <v>16.7</v>
      </c>
      <c r="L8" s="49">
        <v>6.5350000000000001</v>
      </c>
      <c r="M8" s="49">
        <v>0</v>
      </c>
      <c r="N8" s="49">
        <v>100</v>
      </c>
      <c r="O8" s="49">
        <v>2.9191919190000002</v>
      </c>
      <c r="P8" s="51">
        <f>LEN(Table1[[#This Row],[Spanish]])</f>
        <v>7</v>
      </c>
      <c r="Q8" s="52">
        <v>7</v>
      </c>
      <c r="R8" s="52">
        <v>7</v>
      </c>
      <c r="S8" s="52">
        <v>2</v>
      </c>
      <c r="T8" s="49">
        <v>3.8360530000000002</v>
      </c>
      <c r="U8" s="46" t="s">
        <v>608</v>
      </c>
      <c r="V8" s="51">
        <v>6</v>
      </c>
      <c r="W8" s="46" t="s">
        <v>932</v>
      </c>
      <c r="X8" s="52">
        <v>5</v>
      </c>
      <c r="Y8" s="52">
        <v>4</v>
      </c>
      <c r="Z8" s="52" t="s">
        <v>27</v>
      </c>
      <c r="AA8" s="49">
        <v>3.6856302899133633</v>
      </c>
      <c r="AB8" s="49">
        <v>0.58125000000000004</v>
      </c>
      <c r="AC8" s="49">
        <v>0.52500000000000002</v>
      </c>
      <c r="AD8" s="52">
        <v>5</v>
      </c>
      <c r="AL8"/>
    </row>
    <row r="9" spans="1:38" x14ac:dyDescent="0.3">
      <c r="A9" t="s">
        <v>112</v>
      </c>
      <c r="B9">
        <v>156</v>
      </c>
      <c r="C9" t="s">
        <v>299</v>
      </c>
      <c r="D9" t="s">
        <v>479</v>
      </c>
      <c r="E9" t="s">
        <v>773</v>
      </c>
      <c r="F9" s="5" t="s">
        <v>683</v>
      </c>
      <c r="G9" s="6">
        <v>0.46666666666666667</v>
      </c>
      <c r="H9" s="6">
        <v>0.3783783783783784</v>
      </c>
      <c r="I9" s="6">
        <f>VLOOKUP(Table1[[#This Row],[Spanish]],[1]written_es_wordlist_bigram_abso!$1:$1048576, 2, 0)</f>
        <v>27596.778254000001</v>
      </c>
      <c r="J9" s="6">
        <f>VLOOKUP(Table1[[#This Row],[Spanish]], [1]written_es_wordlist_bigram_abso!$1:$1048576, 3, 0)</f>
        <v>14215.2</v>
      </c>
      <c r="K9" s="41">
        <v>80</v>
      </c>
      <c r="L9" s="6">
        <v>5.9710000000000001</v>
      </c>
      <c r="M9" s="6">
        <v>0</v>
      </c>
      <c r="N9" s="6">
        <v>100</v>
      </c>
      <c r="O9" s="6">
        <v>1.72</v>
      </c>
      <c r="P9" s="5">
        <f>LEN(Table1[[#This Row],[Spanish]])</f>
        <v>6</v>
      </c>
      <c r="Q9" s="7">
        <v>6</v>
      </c>
      <c r="R9" s="7">
        <v>6</v>
      </c>
      <c r="S9" s="7">
        <v>2</v>
      </c>
      <c r="T9" s="6">
        <v>3.8907129999999999</v>
      </c>
      <c r="U9" t="s">
        <v>621</v>
      </c>
      <c r="V9" s="5">
        <v>5</v>
      </c>
      <c r="W9" t="s">
        <v>950</v>
      </c>
      <c r="X9" s="7">
        <v>8</v>
      </c>
      <c r="Y9" s="7">
        <v>6</v>
      </c>
      <c r="Z9" s="7" t="s">
        <v>29</v>
      </c>
      <c r="AA9" s="6">
        <v>3.3850445853182105</v>
      </c>
      <c r="AB9" s="6">
        <v>0.53333333333333333</v>
      </c>
      <c r="AC9" s="6">
        <v>0.6216216216216216</v>
      </c>
      <c r="AD9" s="7">
        <v>8</v>
      </c>
      <c r="AL9"/>
    </row>
    <row r="10" spans="1:38" x14ac:dyDescent="0.3">
      <c r="A10" t="s">
        <v>114</v>
      </c>
      <c r="B10">
        <v>158</v>
      </c>
      <c r="C10" t="s">
        <v>301</v>
      </c>
      <c r="D10" t="s">
        <v>301</v>
      </c>
      <c r="E10" t="s">
        <v>775</v>
      </c>
      <c r="F10" s="5" t="s">
        <v>683</v>
      </c>
      <c r="G10" s="6">
        <v>0.47027027027027035</v>
      </c>
      <c r="H10" s="6">
        <v>0.39058823529411768</v>
      </c>
      <c r="I10" s="6">
        <f>VLOOKUP(Table1[[#This Row],[Spanish]],[1]written_es_wordlist_bigram_abso!$1:$1048576, 2, 0)</f>
        <v>36364.261554999997</v>
      </c>
      <c r="J10" s="6">
        <f>VLOOKUP(Table1[[#This Row],[Spanish]], [1]written_es_wordlist_bigram_abso!$1:$1048576, 3, 0)</f>
        <v>30926.75</v>
      </c>
      <c r="K10" s="41">
        <v>100</v>
      </c>
      <c r="L10" s="6">
        <v>4.4619999999999997</v>
      </c>
      <c r="M10" s="6">
        <v>0.19902377500000001</v>
      </c>
      <c r="N10" s="6">
        <v>96.907216489999996</v>
      </c>
      <c r="O10" s="6">
        <v>2.5099999999999998</v>
      </c>
      <c r="P10" s="5">
        <f>LEN(Table1[[#This Row],[Spanish]])</f>
        <v>5</v>
      </c>
      <c r="Q10" s="7">
        <v>5</v>
      </c>
      <c r="R10" s="7">
        <v>5</v>
      </c>
      <c r="S10" s="7">
        <v>3</v>
      </c>
      <c r="T10" s="6">
        <v>4.8193520000000003</v>
      </c>
      <c r="U10" t="s">
        <v>1071</v>
      </c>
      <c r="V10" s="5">
        <v>5</v>
      </c>
      <c r="W10" t="s">
        <v>952</v>
      </c>
      <c r="X10" s="7">
        <v>10</v>
      </c>
      <c r="Y10" s="7">
        <v>8</v>
      </c>
      <c r="Z10" s="7" t="s">
        <v>29</v>
      </c>
      <c r="AA10" s="6">
        <v>3.5113134745188574</v>
      </c>
      <c r="AB10" s="6">
        <v>0.52972972972972965</v>
      </c>
      <c r="AC10" s="6">
        <v>0.60941176470588232</v>
      </c>
      <c r="AD10" s="7">
        <v>8</v>
      </c>
      <c r="AL10"/>
    </row>
    <row r="11" spans="1:38" x14ac:dyDescent="0.3">
      <c r="A11" s="46" t="s">
        <v>65</v>
      </c>
      <c r="B11" s="46">
        <v>16</v>
      </c>
      <c r="C11" s="46" t="s">
        <v>252</v>
      </c>
      <c r="D11" s="46" t="s">
        <v>435</v>
      </c>
      <c r="E11" s="46" t="s">
        <v>728</v>
      </c>
      <c r="F11" s="51" t="s">
        <v>689</v>
      </c>
      <c r="G11" s="49">
        <v>0.34375</v>
      </c>
      <c r="H11" s="49">
        <v>0.46760563380281694</v>
      </c>
      <c r="I11" s="49">
        <f>VLOOKUP(Table1[[#This Row],[Spanish]],[1]written_es_wordlist_bigram_abso!$1:$1048576, 2, 0)</f>
        <v>30582.349445</v>
      </c>
      <c r="J11" s="49">
        <f>VLOOKUP(Table1[[#This Row],[Spanish]], [1]written_es_wordlist_bigram_abso!$1:$1048576, 3, 0)</f>
        <v>23177.833332999999</v>
      </c>
      <c r="K11" s="50">
        <v>16.7</v>
      </c>
      <c r="L11" s="49">
        <v>5.5119999999999996</v>
      </c>
      <c r="M11" s="49">
        <v>0</v>
      </c>
      <c r="N11" s="49">
        <v>100</v>
      </c>
      <c r="O11" s="49">
        <v>3.17</v>
      </c>
      <c r="P11" s="51">
        <f>LEN(Table1[[#This Row],[Spanish]])</f>
        <v>7</v>
      </c>
      <c r="Q11" s="52">
        <v>7</v>
      </c>
      <c r="R11" s="52">
        <v>7</v>
      </c>
      <c r="S11" s="52">
        <v>2</v>
      </c>
      <c r="T11" s="49">
        <v>4.0118689999999999</v>
      </c>
      <c r="U11" s="46" t="s">
        <v>587</v>
      </c>
      <c r="V11" s="51">
        <v>7</v>
      </c>
      <c r="W11" s="46" t="s">
        <v>905</v>
      </c>
      <c r="X11" s="52">
        <v>6</v>
      </c>
      <c r="Y11" s="52">
        <v>5</v>
      </c>
      <c r="Z11" s="52" t="s">
        <v>28</v>
      </c>
      <c r="AA11" s="49">
        <v>4.1814571526761704</v>
      </c>
      <c r="AB11" s="49">
        <v>0.65625</v>
      </c>
      <c r="AC11" s="49">
        <v>0.53239436619718306</v>
      </c>
      <c r="AD11" s="52">
        <v>6</v>
      </c>
      <c r="AL11"/>
    </row>
    <row r="12" spans="1:38" x14ac:dyDescent="0.3">
      <c r="A12" s="46" t="s">
        <v>50</v>
      </c>
      <c r="B12" s="46">
        <v>169</v>
      </c>
      <c r="C12" s="46" t="s">
        <v>237</v>
      </c>
      <c r="D12" s="46" t="s">
        <v>423</v>
      </c>
      <c r="E12" s="46" t="s">
        <v>713</v>
      </c>
      <c r="F12" s="51" t="s">
        <v>687</v>
      </c>
      <c r="G12" s="49">
        <v>0.29629629629629628</v>
      </c>
      <c r="H12" s="49">
        <v>0.38688524590163942</v>
      </c>
      <c r="I12" s="49">
        <f>VLOOKUP(Table1[[#This Row],[Spanish]],[1]written_es_wordlist_bigram_abso!$1:$1048576, 2, 0)</f>
        <v>35265.644306000002</v>
      </c>
      <c r="J12" s="49">
        <f>VLOOKUP(Table1[[#This Row],[Spanish]], [1]written_es_wordlist_bigram_abso!$1:$1048576, 3, 0)</f>
        <v>18521.666667000001</v>
      </c>
      <c r="K12" s="50">
        <v>66.7</v>
      </c>
      <c r="L12" s="49">
        <v>6.48</v>
      </c>
      <c r="M12" s="49">
        <v>0</v>
      </c>
      <c r="N12" s="49">
        <v>100</v>
      </c>
      <c r="O12" s="49">
        <v>2.0099999999999998</v>
      </c>
      <c r="P12" s="51">
        <f>LEN(Table1[[#This Row],[Spanish]])</f>
        <v>7</v>
      </c>
      <c r="Q12" s="52">
        <v>7</v>
      </c>
      <c r="R12" s="52">
        <v>7</v>
      </c>
      <c r="S12" s="52">
        <v>3</v>
      </c>
      <c r="T12" s="49">
        <v>4.5110749999999999</v>
      </c>
      <c r="U12" s="46" t="s">
        <v>578</v>
      </c>
      <c r="V12" s="51">
        <v>7</v>
      </c>
      <c r="W12" s="46" t="s">
        <v>890</v>
      </c>
      <c r="X12" s="52">
        <v>4</v>
      </c>
      <c r="Y12" s="52">
        <v>3</v>
      </c>
      <c r="Z12" s="52" t="s">
        <v>27</v>
      </c>
      <c r="AA12" s="49">
        <v>6.2503084662146806</v>
      </c>
      <c r="AB12" s="49">
        <v>0.70370370370370372</v>
      </c>
      <c r="AC12" s="49">
        <v>0.61311475409836058</v>
      </c>
      <c r="AD12" s="52">
        <v>6</v>
      </c>
      <c r="AL12"/>
    </row>
    <row r="13" spans="1:38" x14ac:dyDescent="0.3">
      <c r="A13" t="s">
        <v>97</v>
      </c>
      <c r="B13">
        <v>171</v>
      </c>
      <c r="C13" t="s">
        <v>284</v>
      </c>
      <c r="D13" t="s">
        <v>465</v>
      </c>
      <c r="E13" t="s">
        <v>759</v>
      </c>
      <c r="F13" s="5" t="s">
        <v>689</v>
      </c>
      <c r="G13" s="6">
        <v>0.42597402597402589</v>
      </c>
      <c r="H13" s="6">
        <v>0.53333333333333333</v>
      </c>
      <c r="I13" s="6">
        <f>VLOOKUP(Table1[[#This Row],[Spanish]],[1]written_es_wordlist_bigram_abso!$1:$1048576, 2, 0)</f>
        <v>41065.366130000002</v>
      </c>
      <c r="J13" s="6">
        <f>VLOOKUP(Table1[[#This Row],[Spanish]], [1]written_es_wordlist_bigram_abso!$1:$1048576, 3, 0)</f>
        <v>20589.333332999999</v>
      </c>
      <c r="K13" s="41">
        <v>33.299999999999997</v>
      </c>
      <c r="L13" s="6">
        <v>6.1689999999999996</v>
      </c>
      <c r="M13" s="6">
        <v>0</v>
      </c>
      <c r="N13" s="6">
        <v>100</v>
      </c>
      <c r="O13" s="6">
        <v>2.71</v>
      </c>
      <c r="P13" s="5">
        <f>LEN(Table1[[#This Row],[Spanish]])</f>
        <v>7</v>
      </c>
      <c r="Q13" s="7">
        <v>7</v>
      </c>
      <c r="R13" s="7">
        <v>7</v>
      </c>
      <c r="S13" s="7">
        <v>3</v>
      </c>
      <c r="T13" s="6">
        <v>4.2559069999999997</v>
      </c>
      <c r="U13" t="s">
        <v>1064</v>
      </c>
      <c r="V13" s="5">
        <v>7</v>
      </c>
      <c r="W13" t="s">
        <v>936</v>
      </c>
      <c r="X13" s="7">
        <v>10</v>
      </c>
      <c r="Y13" s="7">
        <v>9</v>
      </c>
      <c r="Z13" s="7" t="s">
        <v>29</v>
      </c>
      <c r="AA13" s="6">
        <v>4.1334862890149786</v>
      </c>
      <c r="AB13" s="6">
        <v>0.57402597402597411</v>
      </c>
      <c r="AC13" s="6">
        <v>0.46666666666666667</v>
      </c>
      <c r="AD13" s="7">
        <v>8</v>
      </c>
      <c r="AL13"/>
    </row>
    <row r="14" spans="1:38" x14ac:dyDescent="0.3">
      <c r="A14" s="46" t="s">
        <v>145</v>
      </c>
      <c r="B14" s="46">
        <v>175</v>
      </c>
      <c r="C14" s="46" t="s">
        <v>332</v>
      </c>
      <c r="D14" s="46" t="s">
        <v>506</v>
      </c>
      <c r="E14" s="46" t="s">
        <v>806</v>
      </c>
      <c r="F14" s="51" t="s">
        <v>689</v>
      </c>
      <c r="G14" s="49">
        <v>0.55081967213114758</v>
      </c>
      <c r="H14" s="49">
        <v>0.49411764705882355</v>
      </c>
      <c r="I14" s="49">
        <f>VLOOKUP(Table1[[#This Row],[Spanish]],[1]written_es_wordlist_bigram_abso!$1:$1048576, 2, 0)</f>
        <v>36080.838363000003</v>
      </c>
      <c r="J14" s="49">
        <f>VLOOKUP(Table1[[#This Row],[Spanish]], [1]written_es_wordlist_bigram_abso!$1:$1048576, 3, 0)</f>
        <v>18336</v>
      </c>
      <c r="K14" s="50">
        <v>60</v>
      </c>
      <c r="L14" s="49">
        <v>6.0620000000000003</v>
      </c>
      <c r="M14" s="49">
        <v>0.194391858</v>
      </c>
      <c r="N14" s="49">
        <v>97</v>
      </c>
      <c r="O14" s="49">
        <v>2.93</v>
      </c>
      <c r="P14" s="51">
        <f>LEN(Table1[[#This Row],[Spanish]])</f>
        <v>6</v>
      </c>
      <c r="Q14" s="52">
        <v>6</v>
      </c>
      <c r="R14" s="52">
        <v>6</v>
      </c>
      <c r="S14" s="52">
        <v>3</v>
      </c>
      <c r="T14" s="49">
        <v>4.5818450000000004</v>
      </c>
      <c r="U14" s="46" t="s">
        <v>645</v>
      </c>
      <c r="V14" s="51">
        <v>7</v>
      </c>
      <c r="W14" s="46" t="s">
        <v>983</v>
      </c>
      <c r="X14" s="52">
        <v>6</v>
      </c>
      <c r="Y14" s="52">
        <v>5</v>
      </c>
      <c r="Z14" s="52" t="s">
        <v>28</v>
      </c>
      <c r="AA14" s="49">
        <v>4.7099621555838196</v>
      </c>
      <c r="AB14" s="49">
        <v>0.44918032786885242</v>
      </c>
      <c r="AC14" s="49">
        <v>0.50588235294117645</v>
      </c>
      <c r="AD14" s="52">
        <v>6</v>
      </c>
      <c r="AL14"/>
    </row>
    <row r="15" spans="1:38" x14ac:dyDescent="0.3">
      <c r="A15" s="46" t="s">
        <v>69</v>
      </c>
      <c r="B15" s="46">
        <v>178</v>
      </c>
      <c r="C15" s="46" t="s">
        <v>256</v>
      </c>
      <c r="D15" s="46" t="s">
        <v>439</v>
      </c>
      <c r="E15" s="46" t="s">
        <v>732</v>
      </c>
      <c r="F15" s="51" t="s">
        <v>684</v>
      </c>
      <c r="G15" s="49">
        <v>0.35555555555555562</v>
      </c>
      <c r="H15" s="49">
        <v>0.57499999999999996</v>
      </c>
      <c r="I15" s="49">
        <f>VLOOKUP(Table1[[#This Row],[Spanish]],[1]written_es_wordlist_bigram_abso!$1:$1048576, 2, 0)</f>
        <v>55849.965793000003</v>
      </c>
      <c r="J15" s="49">
        <f>VLOOKUP(Table1[[#This Row],[Spanish]], [1]written_es_wordlist_bigram_abso!$1:$1048576, 3, 0)</f>
        <v>21855.4</v>
      </c>
      <c r="K15" s="50">
        <v>60</v>
      </c>
      <c r="L15" s="49">
        <v>5.6950000000000003</v>
      </c>
      <c r="M15" s="49">
        <v>0.14257333</v>
      </c>
      <c r="N15" s="49">
        <v>97.979797980000001</v>
      </c>
      <c r="O15" s="49">
        <v>2.5858585860000001</v>
      </c>
      <c r="P15" s="51">
        <f>LEN(Table1[[#This Row],[Spanish]])</f>
        <v>6</v>
      </c>
      <c r="Q15" s="52">
        <v>6</v>
      </c>
      <c r="R15" s="52">
        <v>6</v>
      </c>
      <c r="S15" s="52">
        <v>3</v>
      </c>
      <c r="T15" s="49">
        <v>4.8019379999999998</v>
      </c>
      <c r="U15" s="46" t="s">
        <v>590</v>
      </c>
      <c r="V15" s="51">
        <v>5</v>
      </c>
      <c r="W15" s="46" t="s">
        <v>909</v>
      </c>
      <c r="X15" s="52">
        <v>6</v>
      </c>
      <c r="Y15" s="52">
        <v>4</v>
      </c>
      <c r="Z15" s="52" t="s">
        <v>27</v>
      </c>
      <c r="AA15" s="49">
        <v>4.7070946799012008</v>
      </c>
      <c r="AB15" s="49">
        <v>0.64444444444444438</v>
      </c>
      <c r="AC15" s="49">
        <v>0.42500000000000004</v>
      </c>
      <c r="AD15" s="52">
        <v>5</v>
      </c>
      <c r="AL15"/>
    </row>
    <row r="16" spans="1:38" x14ac:dyDescent="0.3">
      <c r="A16" s="46" t="s">
        <v>134</v>
      </c>
      <c r="B16" s="46">
        <v>19</v>
      </c>
      <c r="C16" s="46" t="s">
        <v>321</v>
      </c>
      <c r="D16" s="46" t="s">
        <v>495</v>
      </c>
      <c r="E16" s="46" t="s">
        <v>795</v>
      </c>
      <c r="F16" s="51" t="s">
        <v>688</v>
      </c>
      <c r="G16" s="49">
        <v>0.53333333333333333</v>
      </c>
      <c r="H16" s="49">
        <v>0.38400000000000001</v>
      </c>
      <c r="I16" s="49">
        <f>VLOOKUP(Table1[[#This Row],[Spanish]],[1]written_es_wordlist_bigram_abso!$1:$1048576, 2, 0)</f>
        <v>12909.463820000001</v>
      </c>
      <c r="J16" s="49">
        <f>VLOOKUP(Table1[[#This Row],[Spanish]], [1]written_es_wordlist_bigram_abso!$1:$1048576, 3, 0)</f>
        <v>6140.3333329999996</v>
      </c>
      <c r="K16" s="50">
        <v>66.7</v>
      </c>
      <c r="L16" s="49">
        <v>4.6580000000000004</v>
      </c>
      <c r="M16" s="49">
        <v>0.34297895099999998</v>
      </c>
      <c r="N16" s="49">
        <v>94.845360819999996</v>
      </c>
      <c r="O16" s="49">
        <v>3.51</v>
      </c>
      <c r="P16" s="51">
        <f>LEN(Table1[[#This Row],[Spanish]])</f>
        <v>4</v>
      </c>
      <c r="Q16" s="52">
        <v>4</v>
      </c>
      <c r="R16" s="52">
        <v>4</v>
      </c>
      <c r="S16" s="52">
        <v>3</v>
      </c>
      <c r="T16" s="49">
        <v>4.1520530000000004</v>
      </c>
      <c r="U16" s="46" t="s">
        <v>637</v>
      </c>
      <c r="V16" s="51">
        <v>8</v>
      </c>
      <c r="W16" s="46" t="s">
        <v>972</v>
      </c>
      <c r="X16" s="52">
        <v>6</v>
      </c>
      <c r="Y16" s="52">
        <v>4</v>
      </c>
      <c r="Z16" s="52" t="s">
        <v>28</v>
      </c>
      <c r="AA16" s="49">
        <v>4.3514502758133</v>
      </c>
      <c r="AB16" s="49">
        <v>0.46666666666666667</v>
      </c>
      <c r="AC16" s="49">
        <v>0.61599999999999999</v>
      </c>
      <c r="AD16" s="52">
        <v>6</v>
      </c>
      <c r="AL16"/>
    </row>
    <row r="17" spans="1:38" x14ac:dyDescent="0.3">
      <c r="A17" s="46" t="s">
        <v>104</v>
      </c>
      <c r="B17" s="46">
        <v>199</v>
      </c>
      <c r="C17" s="46" t="s">
        <v>291</v>
      </c>
      <c r="D17" s="46" t="s">
        <v>471</v>
      </c>
      <c r="E17" s="46" t="s">
        <v>765</v>
      </c>
      <c r="F17" s="51" t="s">
        <v>685</v>
      </c>
      <c r="G17" s="49">
        <v>0.4392156862745098</v>
      </c>
      <c r="H17" s="49">
        <v>0.52413793103448281</v>
      </c>
      <c r="I17" s="49">
        <f>VLOOKUP(Table1[[#This Row],[Spanish]],[1]written_es_wordlist_bigram_abso!$1:$1048576, 2, 0)</f>
        <v>20645.240665000001</v>
      </c>
      <c r="J17" s="49">
        <f>VLOOKUP(Table1[[#This Row],[Spanish]], [1]written_es_wordlist_bigram_abso!$1:$1048576, 3, 0)</f>
        <v>12160.25</v>
      </c>
      <c r="K17" s="50">
        <v>50</v>
      </c>
      <c r="L17" s="49">
        <v>6.5910000000000002</v>
      </c>
      <c r="M17" s="49">
        <v>0</v>
      </c>
      <c r="N17" s="49">
        <v>100</v>
      </c>
      <c r="O17" s="49">
        <v>2.3199999999999998</v>
      </c>
      <c r="P17" s="51">
        <f>LEN(Table1[[#This Row],[Spanish]])</f>
        <v>5</v>
      </c>
      <c r="Q17" s="52">
        <v>5</v>
      </c>
      <c r="R17" s="52">
        <v>5</v>
      </c>
      <c r="S17" s="52">
        <v>3</v>
      </c>
      <c r="T17" s="49">
        <v>3.921027</v>
      </c>
      <c r="U17" s="46" t="s">
        <v>615</v>
      </c>
      <c r="V17" s="51">
        <v>4</v>
      </c>
      <c r="W17" s="46" t="s">
        <v>942</v>
      </c>
      <c r="X17" s="52">
        <v>5</v>
      </c>
      <c r="Y17" s="52">
        <v>4</v>
      </c>
      <c r="Z17" s="52" t="s">
        <v>27</v>
      </c>
      <c r="AA17" s="49">
        <v>3.8073342510749844</v>
      </c>
      <c r="AB17" s="49">
        <v>0.5607843137254902</v>
      </c>
      <c r="AC17" s="49">
        <v>0.47586206896551719</v>
      </c>
      <c r="AD17" s="52">
        <v>5</v>
      </c>
      <c r="AL17"/>
    </row>
    <row r="18" spans="1:38" x14ac:dyDescent="0.3">
      <c r="A18" t="s">
        <v>71</v>
      </c>
      <c r="B18">
        <v>218</v>
      </c>
      <c r="C18" t="s">
        <v>258</v>
      </c>
      <c r="D18" t="s">
        <v>441</v>
      </c>
      <c r="E18" t="s">
        <v>734</v>
      </c>
      <c r="F18" s="5" t="s">
        <v>683</v>
      </c>
      <c r="G18" s="6">
        <v>0.35744680851063837</v>
      </c>
      <c r="H18" s="6">
        <v>0.31489361702127661</v>
      </c>
      <c r="I18" s="6">
        <f>VLOOKUP(Table1[[#This Row],[Spanish]],[1]written_es_wordlist_bigram_abso!$1:$1048576, 2, 0)</f>
        <v>20399.820875000001</v>
      </c>
      <c r="J18" s="6">
        <f>VLOOKUP(Table1[[#This Row],[Spanish]], [1]written_es_wordlist_bigram_abso!$1:$1048576, 3, 0)</f>
        <v>9569</v>
      </c>
      <c r="K18" s="41">
        <v>100</v>
      </c>
      <c r="L18" s="6" t="s">
        <v>1077</v>
      </c>
      <c r="M18" s="6">
        <v>0.42958550499999998</v>
      </c>
      <c r="N18" s="6">
        <v>92.929292930000003</v>
      </c>
      <c r="O18" s="6">
        <v>2.48</v>
      </c>
      <c r="P18" s="5">
        <f>LEN(Table1[[#This Row],[Spanish]])</f>
        <v>5</v>
      </c>
      <c r="Q18" s="7">
        <v>5</v>
      </c>
      <c r="R18" s="7">
        <v>5</v>
      </c>
      <c r="S18" s="7">
        <v>3</v>
      </c>
      <c r="T18" s="6">
        <v>2.6086800000000001</v>
      </c>
      <c r="U18" t="s">
        <v>592</v>
      </c>
      <c r="V18" s="5">
        <v>4</v>
      </c>
      <c r="W18" t="s">
        <v>911</v>
      </c>
      <c r="X18" s="7">
        <v>5</v>
      </c>
      <c r="Y18" s="7">
        <v>4</v>
      </c>
      <c r="Z18" s="7" t="s">
        <v>28</v>
      </c>
      <c r="AA18" s="6">
        <v>3.3903409251281591</v>
      </c>
      <c r="AB18" s="6">
        <v>0.64255319148936163</v>
      </c>
      <c r="AC18" s="6">
        <v>0.68510638297872339</v>
      </c>
      <c r="AD18" s="7">
        <v>4</v>
      </c>
      <c r="AL18"/>
    </row>
    <row r="19" spans="1:38" x14ac:dyDescent="0.3">
      <c r="A19" s="46" t="s">
        <v>33</v>
      </c>
      <c r="B19" s="46">
        <v>235</v>
      </c>
      <c r="C19" s="46" t="s">
        <v>220</v>
      </c>
      <c r="D19" s="46" t="s">
        <v>407</v>
      </c>
      <c r="E19" s="46" t="s">
        <v>696</v>
      </c>
      <c r="F19" s="51" t="s">
        <v>683</v>
      </c>
      <c r="G19" s="49">
        <v>0.18723404255319154</v>
      </c>
      <c r="H19" s="49">
        <v>0.42448979591836733</v>
      </c>
      <c r="I19" s="49">
        <f>VLOOKUP(Table1[[#This Row],[Spanish]],[1]written_es_wordlist_bigram_abso!$1:$1048576, 2, 0)</f>
        <v>5250.035895</v>
      </c>
      <c r="J19" s="49">
        <f>VLOOKUP(Table1[[#This Row],[Spanish]], [1]written_es_wordlist_bigram_abso!$1:$1048576, 3, 0)</f>
        <v>4243.25</v>
      </c>
      <c r="K19" s="50">
        <v>50</v>
      </c>
      <c r="L19" s="49">
        <v>5.93</v>
      </c>
      <c r="M19" s="49">
        <v>0.33228663000000003</v>
      </c>
      <c r="N19" s="49">
        <v>93.877551019999999</v>
      </c>
      <c r="O19" s="49">
        <v>1.81</v>
      </c>
      <c r="P19" s="51">
        <f>LEN(Table1[[#This Row],[Spanish]])</f>
        <v>5</v>
      </c>
      <c r="Q19" s="52">
        <v>5</v>
      </c>
      <c r="R19" s="52">
        <v>5</v>
      </c>
      <c r="S19" s="52">
        <v>3</v>
      </c>
      <c r="T19" s="49">
        <v>3.8020269999999998</v>
      </c>
      <c r="U19" s="46" t="s">
        <v>565</v>
      </c>
      <c r="V19" s="51">
        <v>6</v>
      </c>
      <c r="W19" s="46" t="s">
        <v>873</v>
      </c>
      <c r="X19" s="52">
        <v>6</v>
      </c>
      <c r="Y19" s="52">
        <v>4</v>
      </c>
      <c r="Z19" s="52" t="s">
        <v>28</v>
      </c>
      <c r="AA19" s="49">
        <v>3.9287318365867443</v>
      </c>
      <c r="AB19" s="49">
        <v>0.81276595744680846</v>
      </c>
      <c r="AC19" s="49">
        <v>0.57551020408163267</v>
      </c>
      <c r="AD19" s="52">
        <v>6</v>
      </c>
      <c r="AL19"/>
    </row>
    <row r="20" spans="1:38" x14ac:dyDescent="0.3">
      <c r="A20" s="46" t="s">
        <v>87</v>
      </c>
      <c r="B20" s="46">
        <v>242</v>
      </c>
      <c r="C20" s="46" t="s">
        <v>274</v>
      </c>
      <c r="D20" s="46" t="s">
        <v>456</v>
      </c>
      <c r="E20" s="46" t="s">
        <v>749</v>
      </c>
      <c r="F20" s="51" t="s">
        <v>689</v>
      </c>
      <c r="G20" s="49">
        <v>0.40493827160493834</v>
      </c>
      <c r="H20" s="49">
        <v>0.38974358974358969</v>
      </c>
      <c r="I20" s="49">
        <f>VLOOKUP(Table1[[#This Row],[Spanish]],[1]written_es_wordlist_bigram_abso!$1:$1048576, 2, 0)</f>
        <v>44016.175439999999</v>
      </c>
      <c r="J20" s="49">
        <f>VLOOKUP(Table1[[#This Row],[Spanish]], [1]written_es_wordlist_bigram_abso!$1:$1048576, 3, 0)</f>
        <v>31132.5</v>
      </c>
      <c r="K20" s="50">
        <v>16.7</v>
      </c>
      <c r="L20" s="49">
        <v>5.9509999999999996</v>
      </c>
      <c r="M20" s="49">
        <v>0.14372616999999999</v>
      </c>
      <c r="N20" s="49">
        <v>97.959183670000002</v>
      </c>
      <c r="O20" s="49">
        <v>2.92</v>
      </c>
      <c r="P20" s="51">
        <f>LEN(Table1[[#This Row],[Spanish]])</f>
        <v>7</v>
      </c>
      <c r="Q20" s="52">
        <v>7</v>
      </c>
      <c r="R20" s="52">
        <v>7</v>
      </c>
      <c r="S20" s="52">
        <v>2</v>
      </c>
      <c r="T20" s="49">
        <v>3.2691659999999998</v>
      </c>
      <c r="U20" s="46" t="s">
        <v>604</v>
      </c>
      <c r="V20" s="51">
        <v>5</v>
      </c>
      <c r="W20" s="46" t="s">
        <v>926</v>
      </c>
      <c r="X20" s="52">
        <v>7</v>
      </c>
      <c r="Y20" s="52">
        <v>7</v>
      </c>
      <c r="Z20" s="52" t="s">
        <v>28</v>
      </c>
      <c r="AA20" s="49">
        <v>4.0224811057599119</v>
      </c>
      <c r="AB20" s="49">
        <v>0.59506172839506166</v>
      </c>
      <c r="AC20" s="49">
        <v>0.61025641025641031</v>
      </c>
      <c r="AD20" s="52">
        <v>6</v>
      </c>
      <c r="AL20"/>
    </row>
    <row r="21" spans="1:38" x14ac:dyDescent="0.3">
      <c r="A21" t="s">
        <v>99</v>
      </c>
      <c r="B21">
        <v>247</v>
      </c>
      <c r="C21" t="s">
        <v>286</v>
      </c>
      <c r="D21" t="s">
        <v>466</v>
      </c>
      <c r="E21" t="s">
        <v>760</v>
      </c>
      <c r="F21" s="5" t="s">
        <v>687</v>
      </c>
      <c r="G21" s="6">
        <v>0.42807017543859649</v>
      </c>
      <c r="H21" s="6">
        <v>0.52500000000000002</v>
      </c>
      <c r="I21" s="6">
        <f>VLOOKUP(Table1[[#This Row],[Spanish]],[1]written_es_wordlist_bigram_abso!$1:$1048576, 2, 0)</f>
        <v>32716.393164000001</v>
      </c>
      <c r="J21" s="6">
        <f>VLOOKUP(Table1[[#This Row],[Spanish]], [1]written_es_wordlist_bigram_abso!$1:$1048576, 3, 0)</f>
        <v>19752.333332999999</v>
      </c>
      <c r="K21" s="41">
        <v>16.7</v>
      </c>
      <c r="L21" s="6">
        <v>5.7080000000000002</v>
      </c>
      <c r="M21" s="6">
        <v>0</v>
      </c>
      <c r="N21" s="6">
        <v>100</v>
      </c>
      <c r="O21" s="6">
        <v>2.75</v>
      </c>
      <c r="P21" s="5">
        <f>LEN(Table1[[#This Row],[Spanish]])</f>
        <v>7</v>
      </c>
      <c r="Q21" s="7">
        <v>7</v>
      </c>
      <c r="R21" s="7">
        <v>7</v>
      </c>
      <c r="S21" s="7">
        <v>2</v>
      </c>
      <c r="T21" s="6">
        <v>4.5005069999999998</v>
      </c>
      <c r="U21" t="s">
        <v>611</v>
      </c>
      <c r="V21" s="5">
        <v>6</v>
      </c>
      <c r="W21" t="s">
        <v>937</v>
      </c>
      <c r="X21" s="7">
        <v>5</v>
      </c>
      <c r="Y21" s="7">
        <v>4</v>
      </c>
      <c r="Z21" s="7" t="s">
        <v>27</v>
      </c>
      <c r="AA21" s="6">
        <v>4.8371854995950576</v>
      </c>
      <c r="AB21" s="6">
        <v>0.57192982456140351</v>
      </c>
      <c r="AC21" s="6">
        <v>0.47499999999999998</v>
      </c>
      <c r="AD21" s="7">
        <v>6</v>
      </c>
      <c r="AL21"/>
    </row>
    <row r="22" spans="1:38" x14ac:dyDescent="0.3">
      <c r="A22" s="46" t="s">
        <v>124</v>
      </c>
      <c r="B22" s="46">
        <v>264</v>
      </c>
      <c r="C22" s="46" t="s">
        <v>311</v>
      </c>
      <c r="D22" s="46" t="s">
        <v>311</v>
      </c>
      <c r="E22" s="46" t="s">
        <v>785</v>
      </c>
      <c r="F22" s="51" t="s">
        <v>687</v>
      </c>
      <c r="G22" s="49">
        <v>0.49090909090909096</v>
      </c>
      <c r="H22" s="49">
        <v>0.49090909090909096</v>
      </c>
      <c r="I22" s="49">
        <f>VLOOKUP(Table1[[#This Row],[Spanish]],[1]written_es_wordlist_bigram_abso!$1:$1048576, 2, 0)</f>
        <v>34693.929225</v>
      </c>
      <c r="J22" s="49">
        <f>VLOOKUP(Table1[[#This Row],[Spanish]], [1]written_es_wordlist_bigram_abso!$1:$1048576, 3, 0)</f>
        <v>21947.333332999999</v>
      </c>
      <c r="K22" s="50">
        <v>66.7</v>
      </c>
      <c r="L22" s="49">
        <v>6.7169999999999996</v>
      </c>
      <c r="M22" s="49">
        <v>0.24229218899999999</v>
      </c>
      <c r="N22" s="49">
        <v>96</v>
      </c>
      <c r="O22" s="49">
        <v>2.17</v>
      </c>
      <c r="P22" s="51">
        <f>LEN(Table1[[#This Row],[Spanish]])</f>
        <v>4</v>
      </c>
      <c r="Q22" s="52">
        <v>4</v>
      </c>
      <c r="R22" s="52">
        <v>4</v>
      </c>
      <c r="S22" s="52">
        <v>3</v>
      </c>
      <c r="T22" s="49">
        <v>5.3698079999999999</v>
      </c>
      <c r="U22" s="46" t="s">
        <v>629</v>
      </c>
      <c r="V22" s="51">
        <v>4</v>
      </c>
      <c r="W22" s="46" t="s">
        <v>962</v>
      </c>
      <c r="X22" s="52">
        <v>4</v>
      </c>
      <c r="Y22" s="52">
        <v>4</v>
      </c>
      <c r="Z22" s="52" t="s">
        <v>27</v>
      </c>
      <c r="AA22" s="49">
        <v>5.4366192566250202</v>
      </c>
      <c r="AB22" s="49">
        <v>0.50909090909090904</v>
      </c>
      <c r="AC22" s="49">
        <v>0.50909090909090904</v>
      </c>
      <c r="AD22" s="52">
        <v>2</v>
      </c>
      <c r="AL22"/>
    </row>
    <row r="23" spans="1:38" x14ac:dyDescent="0.3">
      <c r="A23" t="s">
        <v>138</v>
      </c>
      <c r="B23">
        <v>267</v>
      </c>
      <c r="C23" t="s">
        <v>325</v>
      </c>
      <c r="D23" t="s">
        <v>499</v>
      </c>
      <c r="E23" t="s">
        <v>799</v>
      </c>
      <c r="F23" s="5" t="s">
        <v>683</v>
      </c>
      <c r="G23" s="6">
        <v>0.54054054054054057</v>
      </c>
      <c r="H23" s="6">
        <v>0.65454545454545454</v>
      </c>
      <c r="I23" s="6">
        <f>VLOOKUP(Table1[[#This Row],[Spanish]],[1]written_es_wordlist_bigram_abso!$1:$1048576, 2, 0)</f>
        <v>19047.121326</v>
      </c>
      <c r="J23" s="6">
        <f>VLOOKUP(Table1[[#This Row],[Spanish]], [1]written_es_wordlist_bigram_abso!$1:$1048576, 3, 0)</f>
        <v>14832.333333</v>
      </c>
      <c r="K23" s="41">
        <v>66.7</v>
      </c>
      <c r="L23" s="6">
        <v>5.2309999999999999</v>
      </c>
      <c r="M23" s="6">
        <v>0.57421419200000001</v>
      </c>
      <c r="N23" s="6">
        <v>91</v>
      </c>
      <c r="O23" s="6">
        <v>1.63</v>
      </c>
      <c r="P23" s="5">
        <f>LEN(Table1[[#This Row],[Spanish]])</f>
        <v>4</v>
      </c>
      <c r="Q23" s="7">
        <v>4</v>
      </c>
      <c r="R23" s="7">
        <v>4</v>
      </c>
      <c r="S23" s="7">
        <v>3</v>
      </c>
      <c r="T23" s="6">
        <v>3.8573400000000002</v>
      </c>
      <c r="U23" t="s">
        <v>641</v>
      </c>
      <c r="V23" s="5">
        <v>7</v>
      </c>
      <c r="W23" t="s">
        <v>976</v>
      </c>
      <c r="X23" s="7">
        <v>4</v>
      </c>
      <c r="Y23" s="7">
        <v>3</v>
      </c>
      <c r="Z23" s="7" t="s">
        <v>27</v>
      </c>
      <c r="AA23" s="6">
        <v>3.7422308905292985</v>
      </c>
      <c r="AB23" s="6">
        <v>0.45945945945945943</v>
      </c>
      <c r="AC23" s="6">
        <v>0.34545454545454546</v>
      </c>
      <c r="AD23" s="7">
        <v>4</v>
      </c>
      <c r="AL23"/>
    </row>
    <row r="24" spans="1:38" x14ac:dyDescent="0.3">
      <c r="A24" s="46" t="s">
        <v>66</v>
      </c>
      <c r="B24" s="46">
        <v>271</v>
      </c>
      <c r="C24" s="46" t="s">
        <v>253</v>
      </c>
      <c r="D24" s="46" t="s">
        <v>436</v>
      </c>
      <c r="E24" s="46" t="s">
        <v>729</v>
      </c>
      <c r="F24" s="51" t="s">
        <v>688</v>
      </c>
      <c r="G24" s="49">
        <v>0.34385964912280698</v>
      </c>
      <c r="H24" s="49">
        <v>0.32666666666666666</v>
      </c>
      <c r="I24" s="49">
        <f>VLOOKUP(Table1[[#This Row],[Spanish]],[1]written_es_wordlist_bigram_abso!$1:$1048576, 2, 0)</f>
        <v>27908.385794999998</v>
      </c>
      <c r="J24" s="49">
        <f>VLOOKUP(Table1[[#This Row],[Spanish]], [1]written_es_wordlist_bigram_abso!$1:$1048576, 3, 0)</f>
        <v>14225.2</v>
      </c>
      <c r="K24" s="50">
        <v>60</v>
      </c>
      <c r="L24" s="49">
        <v>6.0609999999999999</v>
      </c>
      <c r="M24" s="49">
        <v>0</v>
      </c>
      <c r="N24" s="49">
        <v>100</v>
      </c>
      <c r="O24" s="49">
        <v>2.82</v>
      </c>
      <c r="P24" s="51">
        <f>LEN(Table1[[#This Row],[Spanish]])</f>
        <v>6</v>
      </c>
      <c r="Q24" s="52">
        <v>6</v>
      </c>
      <c r="R24" s="52">
        <v>6</v>
      </c>
      <c r="S24" s="52">
        <v>3</v>
      </c>
      <c r="T24" s="49">
        <v>3.9318909999999998</v>
      </c>
      <c r="U24" s="46" t="s">
        <v>588</v>
      </c>
      <c r="V24" s="51">
        <v>5</v>
      </c>
      <c r="W24" s="46" t="s">
        <v>906</v>
      </c>
      <c r="X24" s="52">
        <v>6</v>
      </c>
      <c r="Y24" s="52">
        <v>5</v>
      </c>
      <c r="Z24" s="52" t="s">
        <v>28</v>
      </c>
      <c r="AA24" s="49">
        <v>4.3894626751182368</v>
      </c>
      <c r="AB24" s="49">
        <v>0.65614035087719302</v>
      </c>
      <c r="AC24" s="49">
        <v>0.67333333333333334</v>
      </c>
      <c r="AD24" s="52">
        <v>6</v>
      </c>
      <c r="AL24"/>
    </row>
    <row r="25" spans="1:38" x14ac:dyDescent="0.3">
      <c r="A25" t="s">
        <v>96</v>
      </c>
      <c r="B25">
        <v>279</v>
      </c>
      <c r="C25" t="s">
        <v>283</v>
      </c>
      <c r="D25" t="s">
        <v>464</v>
      </c>
      <c r="E25" t="s">
        <v>758</v>
      </c>
      <c r="F25" s="5" t="s">
        <v>683</v>
      </c>
      <c r="G25" s="6">
        <v>0.42553191489361697</v>
      </c>
      <c r="H25" s="6">
        <v>0.29629629629629628</v>
      </c>
      <c r="I25" s="6">
        <f>VLOOKUP(Table1[[#This Row],[Spanish]],[1]written_es_wordlist_bigram_abso!$1:$1048576, 2, 0)</f>
        <v>21952.291766999999</v>
      </c>
      <c r="J25" s="6">
        <f>VLOOKUP(Table1[[#This Row],[Spanish]], [1]written_es_wordlist_bigram_abso!$1:$1048576, 3, 0)</f>
        <v>13657.6</v>
      </c>
      <c r="K25" s="41">
        <v>20</v>
      </c>
      <c r="L25" s="6">
        <v>6.2370000000000001</v>
      </c>
      <c r="M25" s="6">
        <v>0.48726979399999998</v>
      </c>
      <c r="N25" s="6">
        <v>91.860465120000001</v>
      </c>
      <c r="O25" s="6">
        <v>2.5499999999999998</v>
      </c>
      <c r="P25" s="5">
        <f>LEN(Table1[[#This Row],[Spanish]])</f>
        <v>6</v>
      </c>
      <c r="Q25" s="7">
        <v>6</v>
      </c>
      <c r="R25" s="7">
        <v>6</v>
      </c>
      <c r="S25" s="7">
        <v>3</v>
      </c>
      <c r="T25" s="6">
        <v>4.9004219999999998</v>
      </c>
      <c r="U25" t="s">
        <v>1063</v>
      </c>
      <c r="V25" s="5">
        <v>5</v>
      </c>
      <c r="W25" t="s">
        <v>935</v>
      </c>
      <c r="X25" s="7">
        <v>4</v>
      </c>
      <c r="Y25" s="7">
        <v>3</v>
      </c>
      <c r="Z25" s="7" t="s">
        <v>27</v>
      </c>
      <c r="AA25" s="6">
        <v>5.0149042694238908</v>
      </c>
      <c r="AB25" s="6">
        <v>0.57446808510638303</v>
      </c>
      <c r="AC25" s="6">
        <v>0.70370370370370372</v>
      </c>
      <c r="AD25" s="7">
        <v>6</v>
      </c>
      <c r="AL25"/>
    </row>
    <row r="26" spans="1:38" x14ac:dyDescent="0.3">
      <c r="A26" s="46" t="s">
        <v>54</v>
      </c>
      <c r="B26" s="46">
        <v>30</v>
      </c>
      <c r="C26" s="46" t="s">
        <v>241</v>
      </c>
      <c r="D26" s="46" t="s">
        <v>426</v>
      </c>
      <c r="E26" s="46" t="s">
        <v>717</v>
      </c>
      <c r="F26" s="51" t="s">
        <v>684</v>
      </c>
      <c r="G26" s="49">
        <v>0.32727272727272727</v>
      </c>
      <c r="H26" s="49">
        <v>0.4814814814814814</v>
      </c>
      <c r="I26" s="49">
        <f>VLOOKUP(Table1[[#This Row],[Spanish]],[1]written_es_wordlist_bigram_abso!$1:$1048576, 2, 0)</f>
        <v>24817.077206999998</v>
      </c>
      <c r="J26" s="49">
        <f>VLOOKUP(Table1[[#This Row],[Spanish]], [1]written_es_wordlist_bigram_abso!$1:$1048576, 3, 0)</f>
        <v>18967.599999999999</v>
      </c>
      <c r="K26" s="50">
        <v>40</v>
      </c>
      <c r="L26" s="49">
        <v>4.9930000000000003</v>
      </c>
      <c r="M26" s="49">
        <v>0.39156941699999998</v>
      </c>
      <c r="N26" s="49">
        <v>93.81443299</v>
      </c>
      <c r="O26" s="49">
        <v>3.56</v>
      </c>
      <c r="P26" s="51">
        <f>LEN(Table1[[#This Row],[Spanish]])</f>
        <v>6</v>
      </c>
      <c r="Q26" s="52">
        <v>6</v>
      </c>
      <c r="R26" s="52">
        <v>6</v>
      </c>
      <c r="S26" s="52">
        <v>2</v>
      </c>
      <c r="T26" s="49">
        <v>4.0460500000000001</v>
      </c>
      <c r="U26" s="46" t="s">
        <v>580</v>
      </c>
      <c r="V26" s="51">
        <v>7</v>
      </c>
      <c r="W26" s="46" t="s">
        <v>894</v>
      </c>
      <c r="X26" s="52">
        <v>4</v>
      </c>
      <c r="Y26" s="52">
        <v>3</v>
      </c>
      <c r="Z26" s="52" t="s">
        <v>27</v>
      </c>
      <c r="AA26" s="49">
        <v>4.8123434701828387</v>
      </c>
      <c r="AB26" s="49">
        <v>0.67272727272727273</v>
      </c>
      <c r="AC26" s="49">
        <v>0.5185185185185186</v>
      </c>
      <c r="AD26" s="52">
        <v>5</v>
      </c>
      <c r="AL26"/>
    </row>
    <row r="27" spans="1:38" x14ac:dyDescent="0.3">
      <c r="A27" s="46" t="s">
        <v>160</v>
      </c>
      <c r="B27" s="46">
        <v>319</v>
      </c>
      <c r="C27" s="46" t="s">
        <v>347</v>
      </c>
      <c r="D27" s="46" t="s">
        <v>519</v>
      </c>
      <c r="E27" s="46" t="s">
        <v>821</v>
      </c>
      <c r="F27" s="51" t="s">
        <v>688</v>
      </c>
      <c r="G27" s="49">
        <v>0.60606060606060608</v>
      </c>
      <c r="H27" s="49">
        <v>0.48484848484848486</v>
      </c>
      <c r="I27" s="49">
        <f>VLOOKUP(Table1[[#This Row],[Spanish]],[1]written_es_wordlist_bigram_abso!$1:$1048576, 2, 0)</f>
        <v>24357.135837000002</v>
      </c>
      <c r="J27" s="49">
        <f>VLOOKUP(Table1[[#This Row],[Spanish]], [1]written_es_wordlist_bigram_abso!$1:$1048576, 3, 0)</f>
        <v>15824.333333</v>
      </c>
      <c r="K27" s="50">
        <v>0</v>
      </c>
      <c r="L27" s="49">
        <v>6.0229999999999997</v>
      </c>
      <c r="M27" s="49">
        <v>0</v>
      </c>
      <c r="N27" s="49">
        <v>100</v>
      </c>
      <c r="O27" s="49">
        <v>2.65</v>
      </c>
      <c r="P27" s="51">
        <f>LEN(Table1[[#This Row],[Spanish]])</f>
        <v>4</v>
      </c>
      <c r="Q27" s="52">
        <v>4</v>
      </c>
      <c r="R27" s="52">
        <v>4</v>
      </c>
      <c r="S27" s="52">
        <v>2</v>
      </c>
      <c r="T27" s="49">
        <v>4.1650790000000004</v>
      </c>
      <c r="U27" s="46" t="s">
        <v>656</v>
      </c>
      <c r="V27" s="51">
        <v>4</v>
      </c>
      <c r="W27" s="46" t="s">
        <v>998</v>
      </c>
      <c r="X27" s="52">
        <v>3</v>
      </c>
      <c r="Y27" s="52">
        <v>2</v>
      </c>
      <c r="Z27" s="52" t="s">
        <v>27</v>
      </c>
      <c r="AA27" s="49">
        <v>4.4401069535264508</v>
      </c>
      <c r="AB27" s="49">
        <v>0.39393939393939392</v>
      </c>
      <c r="AC27" s="49">
        <v>0.51515151515151514</v>
      </c>
      <c r="AD27" s="52">
        <v>4</v>
      </c>
      <c r="AL27"/>
    </row>
    <row r="28" spans="1:38" x14ac:dyDescent="0.3">
      <c r="A28" s="46" t="s">
        <v>126</v>
      </c>
      <c r="B28" s="46">
        <v>320</v>
      </c>
      <c r="C28" s="46" t="s">
        <v>313</v>
      </c>
      <c r="D28" s="46" t="s">
        <v>487</v>
      </c>
      <c r="E28" s="46" t="s">
        <v>787</v>
      </c>
      <c r="F28" s="51" t="s">
        <v>684</v>
      </c>
      <c r="G28" s="49">
        <v>0.496</v>
      </c>
      <c r="H28" s="49">
        <v>0.29859154929577469</v>
      </c>
      <c r="I28" s="49">
        <f>VLOOKUP(Table1[[#This Row],[Spanish]],[1]written_es_wordlist_bigram_abso!$1:$1048576, 2, 0)</f>
        <v>30828.726033999999</v>
      </c>
      <c r="J28" s="49">
        <f>VLOOKUP(Table1[[#This Row],[Spanish]], [1]written_es_wordlist_bigram_abso!$1:$1048576, 3, 0)</f>
        <v>16670.5</v>
      </c>
      <c r="K28" s="50">
        <v>83.3</v>
      </c>
      <c r="L28" s="49">
        <v>5.7130000000000001</v>
      </c>
      <c r="M28" s="49">
        <v>0.24793583799999999</v>
      </c>
      <c r="N28" s="49">
        <v>95.87628866</v>
      </c>
      <c r="O28" s="49">
        <v>2.88</v>
      </c>
      <c r="P28" s="51">
        <f>LEN(Table1[[#This Row],[Spanish]])</f>
        <v>7</v>
      </c>
      <c r="Q28" s="52">
        <v>7</v>
      </c>
      <c r="R28" s="52">
        <v>7</v>
      </c>
      <c r="S28" s="52">
        <v>2</v>
      </c>
      <c r="T28" s="49">
        <v>5.3351069999999998</v>
      </c>
      <c r="U28" s="46" t="s">
        <v>631</v>
      </c>
      <c r="V28" s="51">
        <v>5</v>
      </c>
      <c r="W28" s="46" t="s">
        <v>964</v>
      </c>
      <c r="X28" s="52">
        <v>6</v>
      </c>
      <c r="Y28" s="52">
        <v>3</v>
      </c>
      <c r="Z28" s="52" t="s">
        <v>27</v>
      </c>
      <c r="AA28" s="49">
        <v>5.0194414838122992</v>
      </c>
      <c r="AB28" s="49">
        <v>0.504</v>
      </c>
      <c r="AC28" s="49">
        <v>0.70140845070422531</v>
      </c>
      <c r="AD28" s="52">
        <v>7</v>
      </c>
      <c r="AL28"/>
    </row>
    <row r="29" spans="1:38" x14ac:dyDescent="0.3">
      <c r="A29" s="46" t="s">
        <v>79</v>
      </c>
      <c r="B29" s="46">
        <v>338</v>
      </c>
      <c r="C29" s="46" t="s">
        <v>266</v>
      </c>
      <c r="D29" s="46" t="s">
        <v>448</v>
      </c>
      <c r="E29" s="46" t="s">
        <v>741</v>
      </c>
      <c r="F29" s="51" t="s">
        <v>683</v>
      </c>
      <c r="G29" s="49">
        <v>0.4</v>
      </c>
      <c r="H29" s="49">
        <v>0.36619718309859151</v>
      </c>
      <c r="I29" s="49">
        <f>VLOOKUP(Table1[[#This Row],[Spanish]],[1]written_es_wordlist_bigram_abso!$1:$1048576, 2, 0)</f>
        <v>32298.847000000002</v>
      </c>
      <c r="J29" s="49">
        <f>VLOOKUP(Table1[[#This Row],[Spanish]], [1]written_es_wordlist_bigram_abso!$1:$1048576, 3, 0)</f>
        <v>20057</v>
      </c>
      <c r="K29" s="50">
        <v>20</v>
      </c>
      <c r="L29" s="49">
        <v>6.03</v>
      </c>
      <c r="M29" s="49">
        <v>0</v>
      </c>
      <c r="N29" s="49">
        <v>100</v>
      </c>
      <c r="O29" s="49">
        <v>1.85</v>
      </c>
      <c r="P29" s="51">
        <f>LEN(Table1[[#This Row],[Spanish]])</f>
        <v>6</v>
      </c>
      <c r="Q29" s="52">
        <v>6</v>
      </c>
      <c r="R29" s="52">
        <v>6</v>
      </c>
      <c r="S29" s="52">
        <v>3</v>
      </c>
      <c r="T29" s="49">
        <v>4.178007</v>
      </c>
      <c r="U29" s="46" t="s">
        <v>598</v>
      </c>
      <c r="V29" s="51">
        <v>5</v>
      </c>
      <c r="W29" s="46" t="s">
        <v>918</v>
      </c>
      <c r="X29" s="52">
        <v>7</v>
      </c>
      <c r="Y29" s="52">
        <v>7</v>
      </c>
      <c r="Z29" s="52" t="s">
        <v>28</v>
      </c>
      <c r="AA29" s="49">
        <v>4.9011025140610665</v>
      </c>
      <c r="AB29" s="49">
        <v>0.6</v>
      </c>
      <c r="AC29" s="49">
        <v>0.63380281690140849</v>
      </c>
      <c r="AD29" s="52">
        <v>5</v>
      </c>
      <c r="AL29"/>
    </row>
    <row r="30" spans="1:38" x14ac:dyDescent="0.3">
      <c r="A30" s="63" t="s">
        <v>42</v>
      </c>
      <c r="B30" s="63">
        <v>340</v>
      </c>
      <c r="C30" s="63" t="s">
        <v>229</v>
      </c>
      <c r="D30" s="63" t="s">
        <v>415</v>
      </c>
      <c r="E30" s="63" t="s">
        <v>705</v>
      </c>
      <c r="F30" s="64" t="s">
        <v>683</v>
      </c>
      <c r="G30" s="65">
        <v>0.28000000000000003</v>
      </c>
      <c r="H30" s="65">
        <v>0.31333333333333335</v>
      </c>
      <c r="I30" s="65">
        <f>VLOOKUP(Table1[[#This Row],[Spanish]],[1]written_es_wordlist_bigram_abso!$1:$1048576, 2, 0)</f>
        <v>27234.653724</v>
      </c>
      <c r="J30" s="65">
        <f>VLOOKUP(Table1[[#This Row],[Spanish]], [1]written_es_wordlist_bigram_abso!$1:$1048576, 3, 0)</f>
        <v>13908.4</v>
      </c>
      <c r="K30" s="66">
        <v>60</v>
      </c>
      <c r="L30" s="65">
        <v>5.5949999999999998</v>
      </c>
      <c r="M30" s="65">
        <v>0</v>
      </c>
      <c r="N30" s="65">
        <v>100</v>
      </c>
      <c r="O30" s="65">
        <v>2.0299999999999998</v>
      </c>
      <c r="P30" s="64">
        <f>LEN(Table1[[#This Row],[Spanish]])</f>
        <v>6</v>
      </c>
      <c r="Q30" s="67">
        <v>6</v>
      </c>
      <c r="R30" s="67">
        <v>6</v>
      </c>
      <c r="S30" s="67">
        <v>3</v>
      </c>
      <c r="T30" s="65">
        <v>4.4195039999999999</v>
      </c>
      <c r="U30" s="63" t="s">
        <v>573</v>
      </c>
      <c r="V30" s="64">
        <v>5</v>
      </c>
      <c r="W30" s="63" t="s">
        <v>882</v>
      </c>
      <c r="X30" s="67">
        <v>6</v>
      </c>
      <c r="Y30" s="67">
        <v>4</v>
      </c>
      <c r="Z30" s="67" t="s">
        <v>28</v>
      </c>
      <c r="AA30" s="65">
        <v>4.4495485097592926</v>
      </c>
      <c r="AB30" s="65">
        <v>0.72</v>
      </c>
      <c r="AC30" s="65">
        <v>0.68666666666666665</v>
      </c>
      <c r="AD30" s="67">
        <v>6</v>
      </c>
      <c r="AL30"/>
    </row>
    <row r="31" spans="1:38" x14ac:dyDescent="0.3">
      <c r="A31" s="46" t="s">
        <v>68</v>
      </c>
      <c r="B31" s="46">
        <v>35</v>
      </c>
      <c r="C31" s="46" t="s">
        <v>255</v>
      </c>
      <c r="D31" s="46" t="s">
        <v>438</v>
      </c>
      <c r="E31" s="46" t="s">
        <v>731</v>
      </c>
      <c r="F31" s="51" t="s">
        <v>687</v>
      </c>
      <c r="G31" s="49">
        <v>0.34482758620689657</v>
      </c>
      <c r="H31" s="49">
        <v>0.5</v>
      </c>
      <c r="I31" s="49">
        <f>VLOOKUP(Table1[[#This Row],[Spanish]],[1]written_es_wordlist_bigram_abso!$1:$1048576, 2, 0)</f>
        <v>28339.975408999999</v>
      </c>
      <c r="J31" s="49">
        <f>VLOOKUP(Table1[[#This Row],[Spanish]], [1]written_es_wordlist_bigram_abso!$1:$1048576, 3, 0)</f>
        <v>18296.75</v>
      </c>
      <c r="K31" s="50">
        <v>75</v>
      </c>
      <c r="L31" s="49">
        <v>6.4509999999999996</v>
      </c>
      <c r="M31" s="49">
        <v>0</v>
      </c>
      <c r="N31" s="49">
        <v>100</v>
      </c>
      <c r="O31" s="49">
        <v>2.0707070710000002</v>
      </c>
      <c r="P31" s="51">
        <f>LEN(Table1[[#This Row],[Spanish]])</f>
        <v>5</v>
      </c>
      <c r="Q31" s="52">
        <v>5</v>
      </c>
      <c r="R31" s="52">
        <v>5</v>
      </c>
      <c r="S31" s="52">
        <v>3</v>
      </c>
      <c r="T31" s="49">
        <v>4.3224729999999996</v>
      </c>
      <c r="U31" s="46" t="s">
        <v>589</v>
      </c>
      <c r="V31" s="51">
        <v>6</v>
      </c>
      <c r="W31" s="46" t="s">
        <v>908</v>
      </c>
      <c r="X31" s="52">
        <v>3</v>
      </c>
      <c r="Y31" s="52">
        <v>2</v>
      </c>
      <c r="Z31" s="52" t="s">
        <v>27</v>
      </c>
      <c r="AA31" s="49">
        <v>4.4060223738974811</v>
      </c>
      <c r="AB31" s="49">
        <v>0.65517241379310343</v>
      </c>
      <c r="AC31" s="49">
        <v>0.5</v>
      </c>
      <c r="AD31" s="52">
        <v>4</v>
      </c>
      <c r="AL31"/>
    </row>
    <row r="32" spans="1:38" x14ac:dyDescent="0.3">
      <c r="A32" t="s">
        <v>80</v>
      </c>
      <c r="B32">
        <v>354</v>
      </c>
      <c r="C32" t="s">
        <v>267</v>
      </c>
      <c r="D32" t="s">
        <v>449</v>
      </c>
      <c r="E32" t="s">
        <v>742</v>
      </c>
      <c r="F32" s="5" t="s">
        <v>688</v>
      </c>
      <c r="G32" s="6">
        <v>0.4</v>
      </c>
      <c r="H32" s="6">
        <v>0.46808510638297873</v>
      </c>
      <c r="I32" s="6">
        <f>VLOOKUP(Table1[[#This Row],[Spanish]],[1]written_es_wordlist_bigram_abso!$1:$1048576, 2, 0)</f>
        <v>31091.018864999998</v>
      </c>
      <c r="J32" s="6">
        <f>VLOOKUP(Table1[[#This Row],[Spanish]], [1]written_es_wordlist_bigram_abso!$1:$1048576, 3, 0)</f>
        <v>23396.25</v>
      </c>
      <c r="K32" s="41">
        <v>0</v>
      </c>
      <c r="L32" s="6">
        <v>6.1109999999999998</v>
      </c>
      <c r="M32" s="6">
        <v>0.291548959</v>
      </c>
      <c r="N32" s="6">
        <v>95.833333330000002</v>
      </c>
      <c r="O32" s="6">
        <v>2.62</v>
      </c>
      <c r="P32" s="5">
        <f>LEN(Table1[[#This Row],[Spanish]])</f>
        <v>5</v>
      </c>
      <c r="Q32" s="7">
        <v>5</v>
      </c>
      <c r="R32" s="7">
        <v>5</v>
      </c>
      <c r="S32" s="7">
        <v>2</v>
      </c>
      <c r="T32" s="6">
        <v>3.958618</v>
      </c>
      <c r="U32" t="s">
        <v>599</v>
      </c>
      <c r="V32" s="5">
        <v>6</v>
      </c>
      <c r="W32" t="s">
        <v>919</v>
      </c>
      <c r="X32" s="7">
        <v>4</v>
      </c>
      <c r="Y32" s="7">
        <v>3</v>
      </c>
      <c r="Z32" s="7" t="s">
        <v>27</v>
      </c>
      <c r="AA32" s="6">
        <v>4.1166811321165628</v>
      </c>
      <c r="AB32" s="6">
        <v>0.6</v>
      </c>
      <c r="AC32" s="6">
        <v>0.53191489361702127</v>
      </c>
      <c r="AD32" s="7">
        <v>5</v>
      </c>
      <c r="AL32"/>
    </row>
    <row r="33" spans="1:38" x14ac:dyDescent="0.3">
      <c r="A33" t="s">
        <v>127</v>
      </c>
      <c r="B33">
        <v>377</v>
      </c>
      <c r="C33" t="s">
        <v>314</v>
      </c>
      <c r="D33" t="s">
        <v>488</v>
      </c>
      <c r="E33" t="s">
        <v>788</v>
      </c>
      <c r="F33" s="5" t="s">
        <v>685</v>
      </c>
      <c r="G33" s="6">
        <v>0.5</v>
      </c>
      <c r="H33" s="6">
        <v>0.65531914893617016</v>
      </c>
      <c r="I33" s="6">
        <f>VLOOKUP(Table1[[#This Row],[Spanish]],[1]written_es_wordlist_bigram_abso!$1:$1048576, 2, 0)</f>
        <v>28698.595678000001</v>
      </c>
      <c r="J33" s="6">
        <f>VLOOKUP(Table1[[#This Row],[Spanish]], [1]written_es_wordlist_bigram_abso!$1:$1048576, 3, 0)</f>
        <v>18888.400000000001</v>
      </c>
      <c r="K33" s="41">
        <v>20</v>
      </c>
      <c r="L33" s="6" t="s">
        <v>1077</v>
      </c>
      <c r="M33" s="6">
        <v>0</v>
      </c>
      <c r="N33" s="6">
        <v>100</v>
      </c>
      <c r="O33" s="6">
        <v>2.5</v>
      </c>
      <c r="P33" s="5">
        <f>LEN(Table1[[#This Row],[Spanish]])</f>
        <v>6</v>
      </c>
      <c r="Q33" s="7">
        <v>6</v>
      </c>
      <c r="R33" s="7">
        <v>6</v>
      </c>
      <c r="S33" s="7">
        <v>2</v>
      </c>
      <c r="T33" s="6">
        <v>2.0915539999999999</v>
      </c>
      <c r="U33" t="s">
        <v>1067</v>
      </c>
      <c r="V33" s="5">
        <v>8</v>
      </c>
      <c r="W33" t="s">
        <v>965</v>
      </c>
      <c r="X33" s="7">
        <v>3</v>
      </c>
      <c r="Y33" s="7">
        <v>3</v>
      </c>
      <c r="Z33" s="7" t="s">
        <v>27</v>
      </c>
      <c r="AA33" s="6">
        <v>2.9287318365867443</v>
      </c>
      <c r="AB33" s="6">
        <v>0.5</v>
      </c>
      <c r="AC33" s="6">
        <v>0.34468085106382984</v>
      </c>
      <c r="AD33" s="7">
        <v>4</v>
      </c>
      <c r="AL33"/>
    </row>
    <row r="34" spans="1:38" x14ac:dyDescent="0.3">
      <c r="A34" t="s">
        <v>88</v>
      </c>
      <c r="B34">
        <v>38</v>
      </c>
      <c r="C34" t="s">
        <v>275</v>
      </c>
      <c r="D34" t="s">
        <v>457</v>
      </c>
      <c r="E34" t="s">
        <v>750</v>
      </c>
      <c r="F34" s="5" t="s">
        <v>688</v>
      </c>
      <c r="G34" s="6">
        <v>0.40754716981132078</v>
      </c>
      <c r="H34" s="6">
        <v>0.36</v>
      </c>
      <c r="I34" s="6">
        <f>VLOOKUP(Table1[[#This Row],[Spanish]],[1]written_es_wordlist_bigram_abso!$1:$1048576, 2, 0)</f>
        <v>31667.708009000002</v>
      </c>
      <c r="J34" s="6">
        <f>VLOOKUP(Table1[[#This Row],[Spanish]], [1]written_es_wordlist_bigram_abso!$1:$1048576, 3, 0)</f>
        <v>29047.5</v>
      </c>
      <c r="K34" s="41">
        <v>50</v>
      </c>
      <c r="L34" s="6">
        <v>6.1429999999999998</v>
      </c>
      <c r="M34" s="6">
        <v>0</v>
      </c>
      <c r="N34" s="6">
        <v>100</v>
      </c>
      <c r="O34" s="6">
        <v>2.21</v>
      </c>
      <c r="P34" s="5">
        <f>LEN(Table1[[#This Row],[Spanish]])</f>
        <v>5</v>
      </c>
      <c r="Q34" s="7">
        <v>5</v>
      </c>
      <c r="R34" s="7">
        <v>5</v>
      </c>
      <c r="S34" s="7">
        <v>3</v>
      </c>
      <c r="T34" s="6">
        <v>4.0837120000000002</v>
      </c>
      <c r="U34" t="s">
        <v>605</v>
      </c>
      <c r="V34" s="5">
        <v>4</v>
      </c>
      <c r="W34" t="s">
        <v>927</v>
      </c>
      <c r="X34" s="7">
        <v>6</v>
      </c>
      <c r="Y34" s="7">
        <v>5</v>
      </c>
      <c r="Z34" s="7" t="s">
        <v>28</v>
      </c>
      <c r="AA34" s="6">
        <v>4.2424017512647749</v>
      </c>
      <c r="AB34" s="6">
        <v>0.59245283018867922</v>
      </c>
      <c r="AC34" s="6">
        <v>0.64</v>
      </c>
      <c r="AD34" s="7">
        <v>6</v>
      </c>
      <c r="AL34"/>
    </row>
    <row r="35" spans="1:38" x14ac:dyDescent="0.3">
      <c r="A35" s="46" t="s">
        <v>132</v>
      </c>
      <c r="B35" s="46">
        <v>381</v>
      </c>
      <c r="C35" s="46" t="s">
        <v>319</v>
      </c>
      <c r="D35" s="46" t="s">
        <v>493</v>
      </c>
      <c r="E35" s="46" t="s">
        <v>793</v>
      </c>
      <c r="F35" s="51" t="s">
        <v>686</v>
      </c>
      <c r="G35" s="49">
        <v>0.51830985915492955</v>
      </c>
      <c r="H35" s="49">
        <v>0.46913580246913578</v>
      </c>
      <c r="I35" s="49">
        <f>VLOOKUP(Table1[[#This Row],[Spanish]],[1]written_es_wordlist_bigram_abso!$1:$1048576, 2, 0)</f>
        <v>43557.05414</v>
      </c>
      <c r="J35" s="49">
        <f>VLOOKUP(Table1[[#This Row],[Spanish]], [1]written_es_wordlist_bigram_abso!$1:$1048576, 3, 0)</f>
        <v>26729.25</v>
      </c>
      <c r="K35" s="50">
        <v>0</v>
      </c>
      <c r="L35" s="49">
        <v>6.67</v>
      </c>
      <c r="M35" s="49">
        <v>0</v>
      </c>
      <c r="N35" s="49">
        <v>100</v>
      </c>
      <c r="O35" s="49">
        <v>2.17</v>
      </c>
      <c r="P35" s="51">
        <f>LEN(Table1[[#This Row],[Spanish]])</f>
        <v>5</v>
      </c>
      <c r="Q35" s="52">
        <v>5</v>
      </c>
      <c r="R35" s="52">
        <v>5</v>
      </c>
      <c r="S35" s="52">
        <v>2</v>
      </c>
      <c r="T35" s="49">
        <v>3.2999390000000002</v>
      </c>
      <c r="U35" s="46" t="s">
        <v>635</v>
      </c>
      <c r="V35" s="51">
        <v>6</v>
      </c>
      <c r="W35" s="46" t="s">
        <v>970</v>
      </c>
      <c r="X35" s="52">
        <v>10</v>
      </c>
      <c r="Y35" s="52">
        <v>8</v>
      </c>
      <c r="Z35" s="52" t="s">
        <v>29</v>
      </c>
      <c r="AA35" s="49">
        <v>3.986437969482445</v>
      </c>
      <c r="AB35" s="49">
        <v>0.48169014084507045</v>
      </c>
      <c r="AC35" s="49">
        <v>0.53086419753086422</v>
      </c>
      <c r="AD35" s="52">
        <v>8</v>
      </c>
      <c r="AL35"/>
    </row>
    <row r="36" spans="1:38" x14ac:dyDescent="0.3">
      <c r="A36" t="s">
        <v>81</v>
      </c>
      <c r="B36">
        <v>383</v>
      </c>
      <c r="C36" t="s">
        <v>268</v>
      </c>
      <c r="D36" t="s">
        <v>450</v>
      </c>
      <c r="E36" t="s">
        <v>743</v>
      </c>
      <c r="F36" s="5" t="s">
        <v>683</v>
      </c>
      <c r="G36" s="6">
        <v>0.4</v>
      </c>
      <c r="H36" s="6">
        <v>0.43999999999999995</v>
      </c>
      <c r="I36" s="6">
        <f>VLOOKUP(Table1[[#This Row],[Spanish]],[1]written_es_wordlist_bigram_abso!$1:$1048576, 2, 0)</f>
        <v>27847.333963000001</v>
      </c>
      <c r="J36" s="6">
        <f>VLOOKUP(Table1[[#This Row],[Spanish]], [1]written_es_wordlist_bigram_abso!$1:$1048576, 3, 0)</f>
        <v>17703</v>
      </c>
      <c r="K36" s="41">
        <v>20</v>
      </c>
      <c r="L36" s="6">
        <v>6.2949999999999999</v>
      </c>
      <c r="M36" s="6">
        <v>0</v>
      </c>
      <c r="N36" s="6">
        <v>100</v>
      </c>
      <c r="O36" s="6">
        <v>2.2599999999999998</v>
      </c>
      <c r="P36" s="5">
        <f>LEN(Table1[[#This Row],[Spanish]])</f>
        <v>6</v>
      </c>
      <c r="Q36" s="7">
        <v>6</v>
      </c>
      <c r="R36" s="7">
        <v>6</v>
      </c>
      <c r="S36" s="7">
        <v>3</v>
      </c>
      <c r="T36" s="6">
        <v>4.6699520000000003</v>
      </c>
      <c r="U36" t="s">
        <v>600</v>
      </c>
      <c r="V36" s="5">
        <v>6</v>
      </c>
      <c r="W36" t="s">
        <v>920</v>
      </c>
      <c r="X36" s="7">
        <v>4</v>
      </c>
      <c r="Y36" s="7">
        <v>3</v>
      </c>
      <c r="Z36" s="7" t="s">
        <v>27</v>
      </c>
      <c r="AA36" s="6">
        <v>4.0523351619195616</v>
      </c>
      <c r="AB36" s="6">
        <v>0.6</v>
      </c>
      <c r="AC36" s="6">
        <v>0.56000000000000005</v>
      </c>
      <c r="AD36" s="7">
        <v>5</v>
      </c>
      <c r="AL36"/>
    </row>
    <row r="37" spans="1:38" x14ac:dyDescent="0.3">
      <c r="A37" s="63" t="s">
        <v>161</v>
      </c>
      <c r="B37" s="63">
        <v>391</v>
      </c>
      <c r="C37" s="63" t="s">
        <v>348</v>
      </c>
      <c r="D37" s="63" t="s">
        <v>520</v>
      </c>
      <c r="E37" s="63" t="s">
        <v>822</v>
      </c>
      <c r="F37" s="64" t="s">
        <v>683</v>
      </c>
      <c r="G37" s="65">
        <v>0.60799999999999998</v>
      </c>
      <c r="H37" s="65">
        <v>0.68070175438596492</v>
      </c>
      <c r="I37" s="65">
        <f>VLOOKUP(Table1[[#This Row],[Spanish]],[1]written_es_wordlist_bigram_abso!$1:$1048576, 2, 0)</f>
        <v>68163.829010999994</v>
      </c>
      <c r="J37" s="65">
        <f>VLOOKUP(Table1[[#This Row],[Spanish]], [1]written_es_wordlist_bigram_abso!$1:$1048576, 3, 0)</f>
        <v>30330.6</v>
      </c>
      <c r="K37" s="66">
        <v>40</v>
      </c>
      <c r="L37" s="65">
        <v>6.4429999999999996</v>
      </c>
      <c r="M37" s="65">
        <v>0</v>
      </c>
      <c r="N37" s="65">
        <v>100</v>
      </c>
      <c r="O37" s="65">
        <v>2.08</v>
      </c>
      <c r="P37" s="64">
        <f>LEN(Table1[[#This Row],[Spanish]])</f>
        <v>6</v>
      </c>
      <c r="Q37" s="67">
        <v>6</v>
      </c>
      <c r="R37" s="67">
        <v>6</v>
      </c>
      <c r="S37" s="67">
        <v>2</v>
      </c>
      <c r="T37" s="65">
        <v>4.8367310000000003</v>
      </c>
      <c r="U37" s="63" t="s">
        <v>657</v>
      </c>
      <c r="V37" s="64">
        <v>4</v>
      </c>
      <c r="W37" s="63" t="s">
        <v>999</v>
      </c>
      <c r="X37" s="67">
        <v>5</v>
      </c>
      <c r="Y37" s="67">
        <v>3</v>
      </c>
      <c r="Z37" s="67" t="s">
        <v>27</v>
      </c>
      <c r="AA37" s="65">
        <v>4.4874965302074958</v>
      </c>
      <c r="AB37" s="65">
        <v>0.39200000000000002</v>
      </c>
      <c r="AC37" s="65">
        <v>0.31929824561403508</v>
      </c>
      <c r="AD37" s="67">
        <v>4</v>
      </c>
      <c r="AL37"/>
    </row>
    <row r="38" spans="1:38" x14ac:dyDescent="0.3">
      <c r="A38" t="s">
        <v>60</v>
      </c>
      <c r="B38">
        <v>411</v>
      </c>
      <c r="C38" t="s">
        <v>247</v>
      </c>
      <c r="D38" t="s">
        <v>432</v>
      </c>
      <c r="E38" t="s">
        <v>723</v>
      </c>
      <c r="F38" s="5" t="s">
        <v>687</v>
      </c>
      <c r="G38" s="6">
        <v>0.33636363636363642</v>
      </c>
      <c r="H38" s="6">
        <v>0.31351351351351353</v>
      </c>
      <c r="I38" s="6">
        <f>VLOOKUP(Table1[[#This Row],[Spanish]],[1]written_es_wordlist_bigram_abso!$1:$1048576, 2, 0)</f>
        <v>4851.4646620000003</v>
      </c>
      <c r="J38" s="6">
        <f>VLOOKUP(Table1[[#This Row],[Spanish]], [1]written_es_wordlist_bigram_abso!$1:$1048576, 3, 0)</f>
        <v>1624.666667</v>
      </c>
      <c r="K38" s="41">
        <v>33.299999999999997</v>
      </c>
      <c r="L38" s="6">
        <v>5</v>
      </c>
      <c r="M38" s="6">
        <v>0.141440543</v>
      </c>
      <c r="N38" s="6">
        <v>98</v>
      </c>
      <c r="O38" s="6">
        <v>2.31</v>
      </c>
      <c r="P38" s="5">
        <f>LEN(Table1[[#This Row],[Spanish]])</f>
        <v>4</v>
      </c>
      <c r="Q38" s="7">
        <v>4</v>
      </c>
      <c r="R38" s="7">
        <v>4</v>
      </c>
      <c r="S38" s="7">
        <v>3</v>
      </c>
      <c r="T38" s="6">
        <v>3.776824</v>
      </c>
      <c r="U38" t="s">
        <v>585</v>
      </c>
      <c r="V38" s="5">
        <v>6</v>
      </c>
      <c r="W38" t="s">
        <v>900</v>
      </c>
      <c r="X38" s="7">
        <v>4</v>
      </c>
      <c r="Y38" s="7">
        <v>4</v>
      </c>
      <c r="Z38" s="7" t="s">
        <v>27</v>
      </c>
      <c r="AA38" s="6">
        <v>3.6834019911208649</v>
      </c>
      <c r="AB38" s="6">
        <v>0.66363636363636358</v>
      </c>
      <c r="AC38" s="6">
        <v>0.68648648648648647</v>
      </c>
      <c r="AD38" s="7">
        <v>4</v>
      </c>
      <c r="AL38"/>
    </row>
    <row r="39" spans="1:38" x14ac:dyDescent="0.3">
      <c r="A39" t="s">
        <v>158</v>
      </c>
      <c r="B39">
        <v>426</v>
      </c>
      <c r="C39" t="s">
        <v>345</v>
      </c>
      <c r="D39" t="s">
        <v>518</v>
      </c>
      <c r="E39" t="s">
        <v>819</v>
      </c>
      <c r="F39" s="5" t="s">
        <v>683</v>
      </c>
      <c r="G39" s="6">
        <v>0.60465116279069764</v>
      </c>
      <c r="H39" s="6">
        <v>0.48510638297872344</v>
      </c>
      <c r="I39" s="6">
        <f>VLOOKUP(Table1[[#This Row],[Spanish]],[1]written_es_wordlist_bigram_abso!$1:$1048576, 2, 0)</f>
        <v>19136.506370999999</v>
      </c>
      <c r="J39" s="6">
        <f>VLOOKUP(Table1[[#This Row],[Spanish]], [1]written_es_wordlist_bigram_abso!$1:$1048576, 3, 0)</f>
        <v>11952.25</v>
      </c>
      <c r="K39" s="41">
        <v>75</v>
      </c>
      <c r="L39" s="6">
        <v>6.2409999999999997</v>
      </c>
      <c r="M39" s="6">
        <v>0.14372616999999999</v>
      </c>
      <c r="N39" s="6">
        <v>97.959183670000002</v>
      </c>
      <c r="O39" s="6">
        <v>1.69</v>
      </c>
      <c r="P39" s="5">
        <f>LEN(Table1[[#This Row],[Spanish]])</f>
        <v>5</v>
      </c>
      <c r="Q39" s="7">
        <v>5</v>
      </c>
      <c r="R39" s="7">
        <v>5</v>
      </c>
      <c r="S39" s="7">
        <v>3</v>
      </c>
      <c r="T39" s="6">
        <v>3.2286079999999999</v>
      </c>
      <c r="U39" t="s">
        <v>654</v>
      </c>
      <c r="V39" s="5">
        <v>6</v>
      </c>
      <c r="W39" t="s">
        <v>996</v>
      </c>
      <c r="X39" s="7">
        <v>4</v>
      </c>
      <c r="Y39" s="7">
        <v>3</v>
      </c>
      <c r="Z39" s="7" t="s">
        <v>27</v>
      </c>
      <c r="AA39" s="6">
        <v>3.5900517888790286</v>
      </c>
      <c r="AB39" s="6">
        <v>0.39534883720930236</v>
      </c>
      <c r="AC39" s="6">
        <v>0.51489361702127656</v>
      </c>
      <c r="AD39" s="7">
        <v>5</v>
      </c>
      <c r="AL39"/>
    </row>
    <row r="40" spans="1:38" x14ac:dyDescent="0.3">
      <c r="A40" t="s">
        <v>78</v>
      </c>
      <c r="B40">
        <v>433</v>
      </c>
      <c r="C40" t="s">
        <v>265</v>
      </c>
      <c r="D40" t="s">
        <v>447</v>
      </c>
      <c r="E40" t="s">
        <v>703</v>
      </c>
      <c r="F40" s="5" t="s">
        <v>683</v>
      </c>
      <c r="G40" s="6">
        <v>0.39215686274509798</v>
      </c>
      <c r="H40" s="6">
        <v>0.34482758620689657</v>
      </c>
      <c r="I40" s="6">
        <f>VLOOKUP(Table1[[#This Row],[Spanish]],[1]written_es_wordlist_bigram_abso!$1:$1048576, 2, 0)</f>
        <v>23948.395594000001</v>
      </c>
      <c r="J40" s="6">
        <f>VLOOKUP(Table1[[#This Row],[Spanish]], [1]written_es_wordlist_bigram_abso!$1:$1048576, 3, 0)</f>
        <v>16101.4</v>
      </c>
      <c r="K40" s="41">
        <v>40</v>
      </c>
      <c r="L40" s="6">
        <v>6.133</v>
      </c>
      <c r="M40" s="6">
        <v>0.28454568299999999</v>
      </c>
      <c r="N40" s="6">
        <v>95.959595960000001</v>
      </c>
      <c r="O40" s="6">
        <v>2.0099999999999998</v>
      </c>
      <c r="P40" s="5">
        <f>LEN(Table1[[#This Row],[Spanish]])</f>
        <v>6</v>
      </c>
      <c r="Q40" s="7">
        <v>6</v>
      </c>
      <c r="R40" s="7">
        <v>6</v>
      </c>
      <c r="S40" s="7">
        <v>2</v>
      </c>
      <c r="T40" s="6">
        <v>3.8173360000000001</v>
      </c>
      <c r="U40" t="s">
        <v>597</v>
      </c>
      <c r="V40" s="5">
        <v>5</v>
      </c>
      <c r="W40" t="s">
        <v>880</v>
      </c>
      <c r="X40" s="7">
        <v>4</v>
      </c>
      <c r="Y40" s="7">
        <v>3</v>
      </c>
      <c r="Z40" s="7" t="s">
        <v>27</v>
      </c>
      <c r="AA40" s="6">
        <v>4.5372828914511434</v>
      </c>
      <c r="AB40" s="6">
        <v>0.60784313725490202</v>
      </c>
      <c r="AC40" s="6">
        <v>0.65517241379310343</v>
      </c>
      <c r="AD40" s="7">
        <v>6</v>
      </c>
      <c r="AL40"/>
    </row>
    <row r="41" spans="1:38" x14ac:dyDescent="0.3">
      <c r="A41" s="46" t="s">
        <v>82</v>
      </c>
      <c r="B41" s="46">
        <v>446</v>
      </c>
      <c r="C41" s="46" t="s">
        <v>269</v>
      </c>
      <c r="D41" s="46" t="s">
        <v>451</v>
      </c>
      <c r="E41" s="46" t="s">
        <v>744</v>
      </c>
      <c r="F41" s="51" t="s">
        <v>688</v>
      </c>
      <c r="G41" s="49">
        <v>0.4</v>
      </c>
      <c r="H41" s="49">
        <v>0.54545454545454541</v>
      </c>
      <c r="I41" s="49">
        <f>VLOOKUP(Table1[[#This Row],[Spanish]],[1]written_es_wordlist_bigram_abso!$1:$1048576, 2, 0)</f>
        <v>34218.602203000002</v>
      </c>
      <c r="J41" s="49">
        <f>VLOOKUP(Table1[[#This Row],[Spanish]], [1]written_es_wordlist_bigram_abso!$1:$1048576, 3, 0)</f>
        <v>22088.75</v>
      </c>
      <c r="K41" s="50">
        <v>25</v>
      </c>
      <c r="L41" s="49">
        <v>5.8040000000000003</v>
      </c>
      <c r="M41" s="49">
        <v>0</v>
      </c>
      <c r="N41" s="49">
        <v>100</v>
      </c>
      <c r="O41" s="49">
        <v>2.57</v>
      </c>
      <c r="P41" s="51">
        <f>LEN(Table1[[#This Row],[Spanish]])</f>
        <v>5</v>
      </c>
      <c r="Q41" s="52">
        <v>5</v>
      </c>
      <c r="R41" s="52">
        <v>5</v>
      </c>
      <c r="S41" s="52">
        <v>2</v>
      </c>
      <c r="T41" s="49">
        <v>4.1808079999999999</v>
      </c>
      <c r="U41" s="46" t="s">
        <v>601</v>
      </c>
      <c r="V41" s="51">
        <v>4</v>
      </c>
      <c r="W41" s="46" t="s">
        <v>921</v>
      </c>
      <c r="X41" s="52">
        <v>3</v>
      </c>
      <c r="Y41" s="52">
        <v>3</v>
      </c>
      <c r="Z41" s="52" t="s">
        <v>27</v>
      </c>
      <c r="AA41" s="49">
        <v>4.5111806424389407</v>
      </c>
      <c r="AB41" s="49">
        <v>0.6</v>
      </c>
      <c r="AC41" s="49">
        <v>0.45454545454545459</v>
      </c>
      <c r="AD41" s="52">
        <v>5</v>
      </c>
      <c r="AL41"/>
    </row>
    <row r="42" spans="1:38" x14ac:dyDescent="0.3">
      <c r="A42" t="s">
        <v>154</v>
      </c>
      <c r="B42">
        <v>453</v>
      </c>
      <c r="C42" t="s">
        <v>341</v>
      </c>
      <c r="D42" t="s">
        <v>514</v>
      </c>
      <c r="E42" t="s">
        <v>815</v>
      </c>
      <c r="F42" s="5" t="s">
        <v>683</v>
      </c>
      <c r="G42" s="6">
        <v>0.57499999999999996</v>
      </c>
      <c r="H42" s="6">
        <v>0.58765432098765435</v>
      </c>
      <c r="I42" s="6">
        <f>VLOOKUP(Table1[[#This Row],[Spanish]],[1]written_es_wordlist_bigram_abso!$1:$1048576, 2, 0)</f>
        <v>36456.993459999998</v>
      </c>
      <c r="J42" s="6">
        <f>VLOOKUP(Table1[[#This Row],[Spanish]], [1]written_es_wordlist_bigram_abso!$1:$1048576, 3, 0)</f>
        <v>23774.333332999999</v>
      </c>
      <c r="K42" s="41">
        <v>33.299999999999997</v>
      </c>
      <c r="L42" s="6">
        <v>6.2539999999999996</v>
      </c>
      <c r="M42" s="6">
        <v>0</v>
      </c>
      <c r="N42" s="6">
        <v>100</v>
      </c>
      <c r="O42" s="6">
        <v>1.6</v>
      </c>
      <c r="P42" s="5">
        <f>LEN(Table1[[#This Row],[Spanish]])</f>
        <v>7</v>
      </c>
      <c r="Q42" s="7">
        <v>7</v>
      </c>
      <c r="R42" s="7">
        <v>7</v>
      </c>
      <c r="S42" s="7">
        <v>3</v>
      </c>
      <c r="T42" s="6">
        <v>3.3827590000000001</v>
      </c>
      <c r="U42" t="s">
        <v>650</v>
      </c>
      <c r="V42" s="5">
        <v>7</v>
      </c>
      <c r="W42" t="s">
        <v>992</v>
      </c>
      <c r="X42" s="7">
        <v>8</v>
      </c>
      <c r="Y42" s="7">
        <v>5</v>
      </c>
      <c r="Z42" s="7" t="s">
        <v>28</v>
      </c>
      <c r="AA42" s="6">
        <v>3.9155821122189511</v>
      </c>
      <c r="AB42" s="6">
        <v>0.42500000000000004</v>
      </c>
      <c r="AC42" s="6">
        <v>0.41234567901234565</v>
      </c>
      <c r="AD42" s="7">
        <v>6</v>
      </c>
      <c r="AL42"/>
    </row>
    <row r="43" spans="1:38" x14ac:dyDescent="0.3">
      <c r="A43" t="s">
        <v>77</v>
      </c>
      <c r="B43">
        <v>462</v>
      </c>
      <c r="C43" t="s">
        <v>264</v>
      </c>
      <c r="D43" t="s">
        <v>446</v>
      </c>
      <c r="E43" t="s">
        <v>740</v>
      </c>
      <c r="F43" s="5" t="s">
        <v>688</v>
      </c>
      <c r="G43" s="6">
        <v>0.39148936170212767</v>
      </c>
      <c r="H43" s="6">
        <v>0.30000000000000004</v>
      </c>
      <c r="I43" s="6">
        <f>VLOOKUP(Table1[[#This Row],[Spanish]],[1]written_es_wordlist_bigram_abso!$1:$1048576, 2, 0)</f>
        <v>34108.958313000003</v>
      </c>
      <c r="J43" s="6">
        <f>VLOOKUP(Table1[[#This Row],[Spanish]], [1]written_es_wordlist_bigram_abso!$1:$1048576, 3, 0)</f>
        <v>26173</v>
      </c>
      <c r="K43" s="41">
        <v>25</v>
      </c>
      <c r="L43" s="6">
        <v>6.5019999999999998</v>
      </c>
      <c r="M43" s="6">
        <v>0.195909271</v>
      </c>
      <c r="N43" s="6">
        <v>96.969696970000001</v>
      </c>
      <c r="O43" s="6">
        <v>3.05</v>
      </c>
      <c r="P43" s="5">
        <f>LEN(Table1[[#This Row],[Spanish]])</f>
        <v>5</v>
      </c>
      <c r="Q43" s="7">
        <v>5</v>
      </c>
      <c r="R43" s="7">
        <v>5</v>
      </c>
      <c r="S43" s="7">
        <v>3</v>
      </c>
      <c r="T43" s="6">
        <v>3.9287429999999999</v>
      </c>
      <c r="U43" t="s">
        <v>596</v>
      </c>
      <c r="V43" s="5">
        <v>5</v>
      </c>
      <c r="W43" t="s">
        <v>917</v>
      </c>
      <c r="X43" s="7">
        <v>3</v>
      </c>
      <c r="Y43" s="7">
        <v>3</v>
      </c>
      <c r="Z43" s="7" t="s">
        <v>27</v>
      </c>
      <c r="AA43" s="6">
        <v>4.9039620321301731</v>
      </c>
      <c r="AB43" s="6">
        <v>0.60851063829787233</v>
      </c>
      <c r="AC43" s="6">
        <v>0.7</v>
      </c>
      <c r="AD43" s="7">
        <v>5</v>
      </c>
      <c r="AL43"/>
    </row>
    <row r="44" spans="1:38" x14ac:dyDescent="0.3">
      <c r="A44" s="46" t="s">
        <v>141</v>
      </c>
      <c r="B44" s="46">
        <v>464</v>
      </c>
      <c r="C44" s="46" t="s">
        <v>328</v>
      </c>
      <c r="D44" s="46" t="s">
        <v>502</v>
      </c>
      <c r="E44" s="46" t="s">
        <v>802</v>
      </c>
      <c r="F44" s="51" t="s">
        <v>683</v>
      </c>
      <c r="G44" s="49">
        <v>0.54545454545454541</v>
      </c>
      <c r="H44" s="49">
        <v>0.4</v>
      </c>
      <c r="I44" s="49">
        <f>VLOOKUP(Table1[[#This Row],[Spanish]],[1]written_es_wordlist_bigram_abso!$1:$1048576, 2, 0)</f>
        <v>17829.158454</v>
      </c>
      <c r="J44" s="49">
        <f>VLOOKUP(Table1[[#This Row],[Spanish]], [1]written_es_wordlist_bigram_abso!$1:$1048576, 3, 0)</f>
        <v>9262.3333330000005</v>
      </c>
      <c r="K44" s="50">
        <v>66.7</v>
      </c>
      <c r="L44" s="49">
        <v>6.1639999999999997</v>
      </c>
      <c r="M44" s="49">
        <v>0</v>
      </c>
      <c r="N44" s="49">
        <v>100</v>
      </c>
      <c r="O44" s="49">
        <v>1.83</v>
      </c>
      <c r="P44" s="51">
        <f>LEN(Table1[[#This Row],[Spanish]])</f>
        <v>4</v>
      </c>
      <c r="Q44" s="52">
        <v>4</v>
      </c>
      <c r="R44" s="52">
        <v>4</v>
      </c>
      <c r="S44" s="52">
        <v>2</v>
      </c>
      <c r="T44" s="49">
        <v>3.806457</v>
      </c>
      <c r="U44" s="46" t="s">
        <v>643</v>
      </c>
      <c r="V44" s="51">
        <v>5</v>
      </c>
      <c r="W44" s="46" t="s">
        <v>979</v>
      </c>
      <c r="X44" s="52">
        <v>6</v>
      </c>
      <c r="Y44" s="52">
        <v>4</v>
      </c>
      <c r="Z44" s="52" t="s">
        <v>28</v>
      </c>
      <c r="AA44" s="49">
        <v>4.0634642722815668</v>
      </c>
      <c r="AB44" s="49">
        <v>0.45454545454545459</v>
      </c>
      <c r="AC44" s="49">
        <v>0.6</v>
      </c>
      <c r="AD44" s="52">
        <v>6</v>
      </c>
      <c r="AL44"/>
    </row>
    <row r="45" spans="1:38" x14ac:dyDescent="0.3">
      <c r="A45" s="46" t="s">
        <v>94</v>
      </c>
      <c r="B45" s="46">
        <v>48</v>
      </c>
      <c r="C45" s="46" t="s">
        <v>281</v>
      </c>
      <c r="D45" s="46" t="s">
        <v>462</v>
      </c>
      <c r="E45" s="46" t="s">
        <v>756</v>
      </c>
      <c r="F45" s="51" t="s">
        <v>689</v>
      </c>
      <c r="G45" s="49">
        <v>0.42285714285714282</v>
      </c>
      <c r="H45" s="49">
        <v>0.38918918918918921</v>
      </c>
      <c r="I45" s="49">
        <f>VLOOKUP(Table1[[#This Row],[Spanish]],[1]written_es_wordlist_bigram_abso!$1:$1048576, 2, 0)</f>
        <v>24035.218084</v>
      </c>
      <c r="J45" s="49">
        <f>VLOOKUP(Table1[[#This Row],[Spanish]], [1]written_es_wordlist_bigram_abso!$1:$1048576, 3, 0)</f>
        <v>13155</v>
      </c>
      <c r="K45" s="50">
        <v>50</v>
      </c>
      <c r="L45" s="49" t="s">
        <v>1077</v>
      </c>
      <c r="M45" s="49">
        <v>0</v>
      </c>
      <c r="N45" s="49">
        <v>100</v>
      </c>
      <c r="O45" s="49">
        <v>2.73</v>
      </c>
      <c r="P45" s="51">
        <f>LEN(Table1[[#This Row],[Spanish]])</f>
        <v>7</v>
      </c>
      <c r="Q45" s="52">
        <v>7</v>
      </c>
      <c r="R45" s="52">
        <v>7</v>
      </c>
      <c r="S45" s="52">
        <v>2</v>
      </c>
      <c r="T45" s="49">
        <v>3.1601300000000001</v>
      </c>
      <c r="U45" s="46" t="s">
        <v>609</v>
      </c>
      <c r="V45" s="51">
        <v>11</v>
      </c>
      <c r="W45" s="46" t="s">
        <v>933</v>
      </c>
      <c r="X45" s="52">
        <v>7</v>
      </c>
      <c r="Y45" s="52">
        <v>6</v>
      </c>
      <c r="Z45" s="52" t="s">
        <v>29</v>
      </c>
      <c r="AA45" s="49">
        <v>3.4810655612053574</v>
      </c>
      <c r="AB45" s="49">
        <v>0.57714285714285718</v>
      </c>
      <c r="AC45" s="49">
        <v>0.61081081081081079</v>
      </c>
      <c r="AD45" s="52">
        <v>7</v>
      </c>
      <c r="AL45"/>
    </row>
    <row r="46" spans="1:38" x14ac:dyDescent="0.3">
      <c r="A46" t="s">
        <v>83</v>
      </c>
      <c r="B46">
        <v>485</v>
      </c>
      <c r="C46" t="s">
        <v>270</v>
      </c>
      <c r="D46" t="s">
        <v>452</v>
      </c>
      <c r="E46" t="s">
        <v>745</v>
      </c>
      <c r="F46" s="5" t="s">
        <v>683</v>
      </c>
      <c r="G46" s="6">
        <v>0.4</v>
      </c>
      <c r="H46" s="6">
        <v>0.37446808510638296</v>
      </c>
      <c r="I46" s="6">
        <f>VLOOKUP(Table1[[#This Row],[Spanish]],[1]written_es_wordlist_bigram_abso!$1:$1048576, 2, 0)</f>
        <v>23429.933396</v>
      </c>
      <c r="J46" s="6">
        <f>VLOOKUP(Table1[[#This Row],[Spanish]], [1]written_es_wordlist_bigram_abso!$1:$1048576, 3, 0)</f>
        <v>10510.25</v>
      </c>
      <c r="K46" s="41">
        <v>75</v>
      </c>
      <c r="L46" s="6">
        <v>5.8319999999999999</v>
      </c>
      <c r="M46" s="6">
        <v>0.48582821300000001</v>
      </c>
      <c r="N46" s="6">
        <v>91.919191920000003</v>
      </c>
      <c r="O46" s="6">
        <v>1.57</v>
      </c>
      <c r="P46" s="5">
        <f>LEN(Table1[[#This Row],[Spanish]])</f>
        <v>5</v>
      </c>
      <c r="Q46" s="7">
        <v>5</v>
      </c>
      <c r="R46" s="7">
        <v>5</v>
      </c>
      <c r="S46" s="7">
        <v>3</v>
      </c>
      <c r="T46" s="6">
        <v>3.794845</v>
      </c>
      <c r="U46" t="s">
        <v>1060</v>
      </c>
      <c r="V46" s="5">
        <v>4</v>
      </c>
      <c r="W46" t="s">
        <v>922</v>
      </c>
      <c r="X46" s="7">
        <v>4</v>
      </c>
      <c r="Y46" s="7">
        <v>3</v>
      </c>
      <c r="Z46" s="7" t="s">
        <v>27</v>
      </c>
      <c r="AA46" s="6">
        <v>4.1784664262745332</v>
      </c>
      <c r="AB46" s="6">
        <v>0.6</v>
      </c>
      <c r="AC46" s="6">
        <v>0.62553191489361704</v>
      </c>
      <c r="AD46" s="7">
        <v>4</v>
      </c>
      <c r="AL46"/>
    </row>
    <row r="47" spans="1:38" x14ac:dyDescent="0.3">
      <c r="A47" t="s">
        <v>156</v>
      </c>
      <c r="B47">
        <v>487</v>
      </c>
      <c r="C47" t="s">
        <v>343</v>
      </c>
      <c r="D47" t="s">
        <v>516</v>
      </c>
      <c r="E47" t="s">
        <v>817</v>
      </c>
      <c r="F47" s="5" t="s">
        <v>683</v>
      </c>
      <c r="G47" s="6">
        <v>0.58360655737704914</v>
      </c>
      <c r="H47" s="6">
        <v>0.60983606557377046</v>
      </c>
      <c r="I47" s="6">
        <f>VLOOKUP(Table1[[#This Row],[Spanish]],[1]written_es_wordlist_bigram_abso!$1:$1048576, 2, 0)</f>
        <v>50561.921961</v>
      </c>
      <c r="J47" s="6">
        <f>VLOOKUP(Table1[[#This Row],[Spanish]], [1]written_es_wordlist_bigram_abso!$1:$1048576, 3, 0)</f>
        <v>27605.75</v>
      </c>
      <c r="K47" s="41">
        <v>0</v>
      </c>
      <c r="L47" s="6">
        <v>6.0570000000000004</v>
      </c>
      <c r="M47" s="6">
        <v>0</v>
      </c>
      <c r="N47" s="6">
        <v>100</v>
      </c>
      <c r="O47" s="6">
        <v>2.5299999999999998</v>
      </c>
      <c r="P47" s="5">
        <f>LEN(Table1[[#This Row],[Spanish]])</f>
        <v>5</v>
      </c>
      <c r="Q47" s="7">
        <v>5</v>
      </c>
      <c r="R47" s="7">
        <v>5</v>
      </c>
      <c r="S47" s="7">
        <v>2</v>
      </c>
      <c r="T47" s="6">
        <v>3.6079850000000002</v>
      </c>
      <c r="U47" t="s">
        <v>652</v>
      </c>
      <c r="V47" s="5">
        <v>4</v>
      </c>
      <c r="W47" t="s">
        <v>994</v>
      </c>
      <c r="X47" s="7">
        <v>6</v>
      </c>
      <c r="Y47" s="7">
        <v>6</v>
      </c>
      <c r="Z47" s="7" t="s">
        <v>28</v>
      </c>
      <c r="AA47" s="6">
        <v>4.1628996921636805</v>
      </c>
      <c r="AB47" s="6">
        <v>0.41639344262295086</v>
      </c>
      <c r="AC47" s="6">
        <v>0.39016393442622954</v>
      </c>
      <c r="AD47" s="7">
        <v>5</v>
      </c>
      <c r="AL47"/>
    </row>
    <row r="48" spans="1:38" x14ac:dyDescent="0.3">
      <c r="A48" s="46" t="s">
        <v>44</v>
      </c>
      <c r="B48" s="46">
        <v>498</v>
      </c>
      <c r="C48" s="46" t="s">
        <v>231</v>
      </c>
      <c r="D48" s="46" t="s">
        <v>417</v>
      </c>
      <c r="E48" s="46" t="s">
        <v>707</v>
      </c>
      <c r="F48" s="51" t="s">
        <v>683</v>
      </c>
      <c r="G48" s="49">
        <v>0.2810810810810811</v>
      </c>
      <c r="H48" s="49">
        <v>0.2810810810810811</v>
      </c>
      <c r="I48" s="49">
        <f>VLOOKUP(Table1[[#This Row],[Spanish]],[1]written_es_wordlist_bigram_abso!$1:$1048576, 2, 0)</f>
        <v>20140.232795</v>
      </c>
      <c r="J48" s="49">
        <f>VLOOKUP(Table1[[#This Row],[Spanish]], [1]written_es_wordlist_bigram_abso!$1:$1048576, 3, 0)</f>
        <v>15032.333333</v>
      </c>
      <c r="K48" s="50">
        <v>0</v>
      </c>
      <c r="L48" s="49">
        <v>5.3410000000000002</v>
      </c>
      <c r="M48" s="49">
        <v>0</v>
      </c>
      <c r="N48" s="49">
        <v>100</v>
      </c>
      <c r="O48" s="49">
        <v>1.52</v>
      </c>
      <c r="P48" s="51">
        <f>LEN(Table1[[#This Row],[Spanish]])</f>
        <v>4</v>
      </c>
      <c r="Q48" s="52">
        <v>4</v>
      </c>
      <c r="R48" s="52">
        <v>4</v>
      </c>
      <c r="S48" s="52">
        <v>2</v>
      </c>
      <c r="T48" s="49">
        <v>3.790524</v>
      </c>
      <c r="U48" s="46" t="s">
        <v>1057</v>
      </c>
      <c r="V48" s="51">
        <v>5</v>
      </c>
      <c r="W48" s="46" t="s">
        <v>884</v>
      </c>
      <c r="X48" s="52">
        <v>3</v>
      </c>
      <c r="Y48" s="52">
        <v>3</v>
      </c>
      <c r="Z48" s="52" t="s">
        <v>27</v>
      </c>
      <c r="AA48" s="49">
        <v>3.9345342889085075</v>
      </c>
      <c r="AB48" s="49">
        <v>0.7189189189189189</v>
      </c>
      <c r="AC48" s="49">
        <v>0.7189189189189189</v>
      </c>
      <c r="AD48" s="52">
        <v>4</v>
      </c>
      <c r="AL48"/>
    </row>
    <row r="49" spans="1:38" x14ac:dyDescent="0.3">
      <c r="A49" t="s">
        <v>102</v>
      </c>
      <c r="B49">
        <v>501</v>
      </c>
      <c r="C49" t="s">
        <v>289</v>
      </c>
      <c r="D49" t="s">
        <v>469</v>
      </c>
      <c r="E49" t="s">
        <v>763</v>
      </c>
      <c r="F49" s="5" t="s">
        <v>683</v>
      </c>
      <c r="G49" s="6">
        <v>0.43703703703703711</v>
      </c>
      <c r="H49" s="6">
        <v>0.47499999999999998</v>
      </c>
      <c r="I49" s="6">
        <f>VLOOKUP(Table1[[#This Row],[Spanish]],[1]written_es_wordlist_bigram_abso!$1:$1048576, 2, 0)</f>
        <v>33767.849301000002</v>
      </c>
      <c r="J49" s="6">
        <f>VLOOKUP(Table1[[#This Row],[Spanish]], [1]written_es_wordlist_bigram_abso!$1:$1048576, 3, 0)</f>
        <v>21486.2</v>
      </c>
      <c r="K49" s="41">
        <v>60</v>
      </c>
      <c r="L49" s="6">
        <v>5.117</v>
      </c>
      <c r="M49" s="6">
        <v>0.141440543</v>
      </c>
      <c r="N49" s="6">
        <v>98</v>
      </c>
      <c r="O49" s="6">
        <v>2.29</v>
      </c>
      <c r="P49" s="5">
        <f>LEN(Table1[[#This Row],[Spanish]])</f>
        <v>6</v>
      </c>
      <c r="Q49" s="7">
        <v>6</v>
      </c>
      <c r="R49" s="7">
        <v>6</v>
      </c>
      <c r="S49" s="7">
        <v>3</v>
      </c>
      <c r="T49" s="6">
        <v>4.6411699999999998</v>
      </c>
      <c r="U49" t="s">
        <v>614</v>
      </c>
      <c r="V49" s="5">
        <v>4</v>
      </c>
      <c r="W49" t="s">
        <v>940</v>
      </c>
      <c r="X49" s="7">
        <v>6</v>
      </c>
      <c r="Y49" s="7">
        <v>4</v>
      </c>
      <c r="Z49" s="7" t="s">
        <v>27</v>
      </c>
      <c r="AA49" s="6">
        <v>3.7967950811027058</v>
      </c>
      <c r="AB49" s="6">
        <v>0.56296296296296289</v>
      </c>
      <c r="AC49" s="6">
        <v>0.52500000000000002</v>
      </c>
      <c r="AD49" s="7">
        <v>6</v>
      </c>
      <c r="AL49"/>
    </row>
    <row r="50" spans="1:38" x14ac:dyDescent="0.3">
      <c r="A50" t="s">
        <v>84</v>
      </c>
      <c r="B50">
        <v>502</v>
      </c>
      <c r="C50" t="s">
        <v>271</v>
      </c>
      <c r="D50" t="s">
        <v>453</v>
      </c>
      <c r="E50" t="s">
        <v>746</v>
      </c>
      <c r="F50" s="5" t="s">
        <v>689</v>
      </c>
      <c r="G50" s="6">
        <v>0.4</v>
      </c>
      <c r="H50" s="6">
        <v>0.52941176470588236</v>
      </c>
      <c r="I50" s="6">
        <f>VLOOKUP(Table1[[#This Row],[Spanish]],[1]written_es_wordlist_bigram_abso!$1:$1048576, 2, 0)</f>
        <v>41890.807099999998</v>
      </c>
      <c r="J50" s="6">
        <f>VLOOKUP(Table1[[#This Row],[Spanish]], [1]written_es_wordlist_bigram_abso!$1:$1048576, 3, 0)</f>
        <v>22100.799999999999</v>
      </c>
      <c r="K50" s="41">
        <v>60</v>
      </c>
      <c r="L50" s="6">
        <v>5.6479999999999997</v>
      </c>
      <c r="M50" s="6">
        <v>0.14372616999999999</v>
      </c>
      <c r="N50" s="6">
        <v>97.959183670000002</v>
      </c>
      <c r="O50" s="6">
        <v>2.99</v>
      </c>
      <c r="P50" s="5">
        <f>LEN(Table1[[#This Row],[Spanish]])</f>
        <v>6</v>
      </c>
      <c r="Q50" s="7">
        <v>6</v>
      </c>
      <c r="R50" s="7">
        <v>6</v>
      </c>
      <c r="S50" s="7">
        <v>3</v>
      </c>
      <c r="T50" s="6">
        <v>4.367108</v>
      </c>
      <c r="U50" t="s">
        <v>602</v>
      </c>
      <c r="V50" s="5">
        <v>6</v>
      </c>
      <c r="W50" t="s">
        <v>923</v>
      </c>
      <c r="X50" s="7">
        <v>6</v>
      </c>
      <c r="Y50" s="7">
        <v>4</v>
      </c>
      <c r="Z50" s="7" t="s">
        <v>28</v>
      </c>
      <c r="AA50" s="6">
        <v>4.3544147547770393</v>
      </c>
      <c r="AB50" s="6">
        <v>0.6</v>
      </c>
      <c r="AC50" s="6">
        <v>0.47058823529411764</v>
      </c>
      <c r="AD50" s="7">
        <v>4</v>
      </c>
      <c r="AL50"/>
    </row>
    <row r="51" spans="1:38" x14ac:dyDescent="0.3">
      <c r="A51" t="s">
        <v>113</v>
      </c>
      <c r="B51">
        <v>503</v>
      </c>
      <c r="C51" t="s">
        <v>300</v>
      </c>
      <c r="D51" t="s">
        <v>480</v>
      </c>
      <c r="E51" t="s">
        <v>774</v>
      </c>
      <c r="F51" s="5" t="s">
        <v>687</v>
      </c>
      <c r="G51" s="6">
        <v>0.47</v>
      </c>
      <c r="H51" s="6">
        <v>0.66666666666666663</v>
      </c>
      <c r="I51" s="6">
        <f>VLOOKUP(Table1[[#This Row],[Spanish]],[1]written_es_wordlist_bigram_abso!$1:$1048576, 2, 0)</f>
        <v>31608.968986</v>
      </c>
      <c r="J51" s="6">
        <f>VLOOKUP(Table1[[#This Row],[Spanish]], [1]written_es_wordlist_bigram_abso!$1:$1048576, 3, 0)</f>
        <v>16274.6</v>
      </c>
      <c r="K51" s="41">
        <v>100</v>
      </c>
      <c r="L51" s="6">
        <v>6.4059999999999997</v>
      </c>
      <c r="M51" s="6">
        <v>0</v>
      </c>
      <c r="N51" s="6">
        <v>100</v>
      </c>
      <c r="O51" s="6">
        <v>1.59</v>
      </c>
      <c r="P51" s="5">
        <f>LEN(Table1[[#This Row],[Spanish]])</f>
        <v>6</v>
      </c>
      <c r="Q51" s="7">
        <v>6</v>
      </c>
      <c r="R51" s="7">
        <v>6</v>
      </c>
      <c r="S51" s="7">
        <v>2</v>
      </c>
      <c r="T51" s="6">
        <v>5.0771459999999999</v>
      </c>
      <c r="U51" t="s">
        <v>622</v>
      </c>
      <c r="V51" s="5">
        <v>5</v>
      </c>
      <c r="W51" t="s">
        <v>951</v>
      </c>
      <c r="X51" s="7">
        <v>6</v>
      </c>
      <c r="Y51" s="7">
        <v>3</v>
      </c>
      <c r="Z51" s="7" t="s">
        <v>27</v>
      </c>
      <c r="AA51" s="6">
        <v>4.3630018455768642</v>
      </c>
      <c r="AB51" s="6">
        <v>0.53</v>
      </c>
      <c r="AC51" s="6">
        <v>0.33333333333333337</v>
      </c>
      <c r="AD51" s="7">
        <v>3</v>
      </c>
      <c r="AL51"/>
    </row>
    <row r="52" spans="1:38" x14ac:dyDescent="0.3">
      <c r="A52" s="46" t="s">
        <v>73</v>
      </c>
      <c r="B52" s="46">
        <v>517</v>
      </c>
      <c r="C52" s="46" t="s">
        <v>260</v>
      </c>
      <c r="D52" s="46" t="s">
        <v>443</v>
      </c>
      <c r="E52" s="46" t="s">
        <v>736</v>
      </c>
      <c r="F52" s="51" t="s">
        <v>683</v>
      </c>
      <c r="G52" s="49">
        <v>0.376</v>
      </c>
      <c r="H52" s="49">
        <v>0.51200000000000001</v>
      </c>
      <c r="I52" s="49">
        <f>VLOOKUP(Table1[[#This Row],[Spanish]],[1]written_es_wordlist_bigram_abso!$1:$1048576, 2, 0)</f>
        <v>35819.704752999998</v>
      </c>
      <c r="J52" s="49">
        <f>VLOOKUP(Table1[[#This Row],[Spanish]], [1]written_es_wordlist_bigram_abso!$1:$1048576, 3, 0)</f>
        <v>14927.8</v>
      </c>
      <c r="K52" s="50">
        <v>40</v>
      </c>
      <c r="L52" s="49">
        <v>6.5469999999999997</v>
      </c>
      <c r="M52" s="49">
        <v>0.57421419200000001</v>
      </c>
      <c r="N52" s="49">
        <v>91</v>
      </c>
      <c r="O52" s="49">
        <v>1.94</v>
      </c>
      <c r="P52" s="51">
        <f>LEN(Table1[[#This Row],[Spanish]])</f>
        <v>6</v>
      </c>
      <c r="Q52" s="52">
        <v>6</v>
      </c>
      <c r="R52" s="52">
        <v>6</v>
      </c>
      <c r="S52" s="52">
        <v>3</v>
      </c>
      <c r="T52" s="49">
        <v>4.3400429999999997</v>
      </c>
      <c r="U52" s="46" t="s">
        <v>593</v>
      </c>
      <c r="V52" s="51">
        <v>5</v>
      </c>
      <c r="W52" s="46" t="s">
        <v>913</v>
      </c>
      <c r="X52" s="52">
        <v>4</v>
      </c>
      <c r="Y52" s="52">
        <v>3</v>
      </c>
      <c r="Z52" s="52" t="s">
        <v>27</v>
      </c>
      <c r="AA52" s="49">
        <v>4.3027616046293762</v>
      </c>
      <c r="AB52" s="49">
        <v>0.624</v>
      </c>
      <c r="AC52" s="49">
        <v>0.48799999999999999</v>
      </c>
      <c r="AD52" s="52">
        <v>6</v>
      </c>
      <c r="AL52"/>
    </row>
    <row r="53" spans="1:38" x14ac:dyDescent="0.3">
      <c r="A53" s="46" t="s">
        <v>91</v>
      </c>
      <c r="B53" s="46">
        <v>545</v>
      </c>
      <c r="C53" s="46" t="s">
        <v>278</v>
      </c>
      <c r="D53" s="46" t="s">
        <v>460</v>
      </c>
      <c r="E53" s="46" t="s">
        <v>753</v>
      </c>
      <c r="F53" s="51" t="s">
        <v>685</v>
      </c>
      <c r="G53" s="49">
        <v>0.41481481481481475</v>
      </c>
      <c r="H53" s="49">
        <v>0.32533333333333325</v>
      </c>
      <c r="I53" s="49">
        <f>VLOOKUP(Table1[[#This Row],[Spanish]],[1]written_es_wordlist_bigram_abso!$1:$1048576, 2, 0)</f>
        <v>21670.738641</v>
      </c>
      <c r="J53" s="49">
        <f>VLOOKUP(Table1[[#This Row],[Spanish]], [1]written_es_wordlist_bigram_abso!$1:$1048576, 3, 0)</f>
        <v>16647</v>
      </c>
      <c r="K53" s="50">
        <v>0</v>
      </c>
      <c r="L53" s="49" t="s">
        <v>1077</v>
      </c>
      <c r="M53" s="49">
        <v>0</v>
      </c>
      <c r="N53" s="49">
        <v>100</v>
      </c>
      <c r="O53" s="49">
        <v>2.1800000000000002</v>
      </c>
      <c r="P53" s="51">
        <f>LEN(Table1[[#This Row],[Spanish]])</f>
        <v>5</v>
      </c>
      <c r="Q53" s="52">
        <v>5</v>
      </c>
      <c r="R53" s="52">
        <v>5</v>
      </c>
      <c r="S53" s="52">
        <v>2</v>
      </c>
      <c r="T53" s="49">
        <v>3.4010720000000001</v>
      </c>
      <c r="U53" s="46" t="s">
        <v>606</v>
      </c>
      <c r="V53" s="51">
        <v>6</v>
      </c>
      <c r="W53" s="46" t="s">
        <v>930</v>
      </c>
      <c r="X53" s="52">
        <v>8</v>
      </c>
      <c r="Y53" s="52">
        <v>5</v>
      </c>
      <c r="Z53" s="52" t="s">
        <v>28</v>
      </c>
      <c r="AA53" s="49">
        <v>3.6707077204926595</v>
      </c>
      <c r="AB53" s="49">
        <v>0.58518518518518525</v>
      </c>
      <c r="AC53" s="49">
        <v>0.67466666666666675</v>
      </c>
      <c r="AD53" s="52">
        <v>8</v>
      </c>
      <c r="AL53"/>
    </row>
    <row r="54" spans="1:38" x14ac:dyDescent="0.3">
      <c r="A54" s="46" t="s">
        <v>52</v>
      </c>
      <c r="B54" s="46">
        <v>546</v>
      </c>
      <c r="C54" s="46" t="s">
        <v>239</v>
      </c>
      <c r="D54" s="46" t="s">
        <v>424</v>
      </c>
      <c r="E54" s="46" t="s">
        <v>715</v>
      </c>
      <c r="F54" s="51" t="s">
        <v>683</v>
      </c>
      <c r="G54" s="49">
        <v>0.30000000000000004</v>
      </c>
      <c r="H54" s="49">
        <v>0.59199999999999997</v>
      </c>
      <c r="I54" s="49">
        <f>VLOOKUP(Table1[[#This Row],[Spanish]],[1]written_es_wordlist_bigram_abso!$1:$1048576, 2, 0)</f>
        <v>39461.682474000001</v>
      </c>
      <c r="J54" s="49">
        <f>VLOOKUP(Table1[[#This Row],[Spanish]], [1]written_es_wordlist_bigram_abso!$1:$1048576, 3, 0)</f>
        <v>16802.2</v>
      </c>
      <c r="K54" s="50">
        <v>20</v>
      </c>
      <c r="L54" s="49">
        <v>5.8040000000000003</v>
      </c>
      <c r="M54" s="49">
        <v>0</v>
      </c>
      <c r="N54" s="49">
        <v>100</v>
      </c>
      <c r="O54" s="49">
        <v>1.66</v>
      </c>
      <c r="P54" s="51">
        <f>LEN(Table1[[#This Row],[Spanish]])</f>
        <v>6</v>
      </c>
      <c r="Q54" s="52">
        <v>6</v>
      </c>
      <c r="R54" s="52">
        <v>6</v>
      </c>
      <c r="S54" s="52">
        <v>3</v>
      </c>
      <c r="T54" s="49">
        <v>5.2013360000000004</v>
      </c>
      <c r="U54" s="46" t="s">
        <v>579</v>
      </c>
      <c r="V54" s="51">
        <v>5</v>
      </c>
      <c r="W54" s="46" t="s">
        <v>892</v>
      </c>
      <c r="X54" s="52">
        <v>4</v>
      </c>
      <c r="Y54" s="52">
        <v>2</v>
      </c>
      <c r="Z54" s="52" t="s">
        <v>27</v>
      </c>
      <c r="AA54" s="49">
        <v>5.2597504522237077</v>
      </c>
      <c r="AB54" s="49">
        <v>0.7</v>
      </c>
      <c r="AC54" s="49">
        <v>0.40800000000000003</v>
      </c>
      <c r="AD54" s="52">
        <v>5</v>
      </c>
      <c r="AL54"/>
    </row>
    <row r="55" spans="1:38" x14ac:dyDescent="0.3">
      <c r="A55" s="46" t="s">
        <v>36</v>
      </c>
      <c r="B55" s="46">
        <v>552</v>
      </c>
      <c r="C55" s="46" t="s">
        <v>223</v>
      </c>
      <c r="D55" s="46" t="s">
        <v>410</v>
      </c>
      <c r="E55" s="46" t="s">
        <v>699</v>
      </c>
      <c r="F55" s="51" t="s">
        <v>686</v>
      </c>
      <c r="G55" s="49">
        <v>0.23703703703703705</v>
      </c>
      <c r="H55" s="49">
        <v>0.30625000000000002</v>
      </c>
      <c r="I55" s="49">
        <f>VLOOKUP(Table1[[#This Row],[Spanish]],[1]written_es_wordlist_bigram_abso!$1:$1048576, 2, 0)</f>
        <v>28676.236914000001</v>
      </c>
      <c r="J55" s="49">
        <f>VLOOKUP(Table1[[#This Row],[Spanish]], [1]written_es_wordlist_bigram_abso!$1:$1048576, 3, 0)</f>
        <v>21339.666667000001</v>
      </c>
      <c r="K55" s="50">
        <v>83.3</v>
      </c>
      <c r="L55" s="49">
        <v>6.58</v>
      </c>
      <c r="M55" s="49">
        <v>0</v>
      </c>
      <c r="N55" s="49">
        <v>100</v>
      </c>
      <c r="O55" s="49">
        <v>2.13</v>
      </c>
      <c r="P55" s="51">
        <f>LEN(Table1[[#This Row],[Spanish]])</f>
        <v>7</v>
      </c>
      <c r="Q55" s="52">
        <v>7</v>
      </c>
      <c r="R55" s="52">
        <v>7</v>
      </c>
      <c r="S55" s="52">
        <v>3</v>
      </c>
      <c r="T55" s="49">
        <v>3.9098839999999999</v>
      </c>
      <c r="U55" s="46" t="s">
        <v>568</v>
      </c>
      <c r="V55" s="51">
        <v>5</v>
      </c>
      <c r="W55" s="46" t="s">
        <v>876</v>
      </c>
      <c r="X55" s="52">
        <v>5</v>
      </c>
      <c r="Y55" s="52">
        <v>3</v>
      </c>
      <c r="Z55" s="52" t="s">
        <v>28</v>
      </c>
      <c r="AA55" s="49">
        <v>4.5841960442299765</v>
      </c>
      <c r="AB55" s="49">
        <v>0.76296296296296295</v>
      </c>
      <c r="AC55" s="49">
        <v>0.69374999999999998</v>
      </c>
      <c r="AD55" s="52">
        <v>6</v>
      </c>
      <c r="AL55"/>
    </row>
    <row r="56" spans="1:38" x14ac:dyDescent="0.3">
      <c r="A56" t="s">
        <v>40</v>
      </c>
      <c r="B56">
        <v>565</v>
      </c>
      <c r="C56" t="s">
        <v>227</v>
      </c>
      <c r="D56" t="s">
        <v>413</v>
      </c>
      <c r="E56" t="s">
        <v>703</v>
      </c>
      <c r="F56" s="5" t="s">
        <v>683</v>
      </c>
      <c r="G56" s="6">
        <v>0.2592592592592593</v>
      </c>
      <c r="H56" s="6">
        <v>0.22950819672131151</v>
      </c>
      <c r="I56" s="6">
        <f>VLOOKUP(Table1[[#This Row],[Spanish]],[1]written_es_wordlist_bigram_abso!$1:$1048576, 2, 0)</f>
        <v>29987.741708000001</v>
      </c>
      <c r="J56" s="6">
        <f>VLOOKUP(Table1[[#This Row],[Spanish]], [1]written_es_wordlist_bigram_abso!$1:$1048576, 3, 0)</f>
        <v>20357</v>
      </c>
      <c r="K56" s="41">
        <v>66.7</v>
      </c>
      <c r="L56" s="6">
        <v>6.4880000000000004</v>
      </c>
      <c r="M56" s="6">
        <v>0</v>
      </c>
      <c r="N56" s="6">
        <v>100</v>
      </c>
      <c r="O56" s="6">
        <v>2.06</v>
      </c>
      <c r="P56" s="5">
        <f>LEN(Table1[[#This Row],[Spanish]])</f>
        <v>7</v>
      </c>
      <c r="Q56" s="7">
        <v>7</v>
      </c>
      <c r="R56" s="7">
        <v>7</v>
      </c>
      <c r="S56" s="7">
        <v>2</v>
      </c>
      <c r="T56" s="6">
        <v>4.0740629999999998</v>
      </c>
      <c r="U56" t="s">
        <v>571</v>
      </c>
      <c r="V56" s="5">
        <v>4</v>
      </c>
      <c r="W56" t="s">
        <v>880</v>
      </c>
      <c r="X56" s="7">
        <v>4</v>
      </c>
      <c r="Y56" s="7">
        <v>3</v>
      </c>
      <c r="Z56" s="7" t="s">
        <v>27</v>
      </c>
      <c r="AA56" s="6">
        <v>4.5372828914511434</v>
      </c>
      <c r="AB56" s="6">
        <v>0.7407407407407407</v>
      </c>
      <c r="AC56" s="6">
        <v>0.77049180327868849</v>
      </c>
      <c r="AD56" s="7">
        <v>7</v>
      </c>
      <c r="AL56"/>
    </row>
    <row r="57" spans="1:38" x14ac:dyDescent="0.3">
      <c r="A57" s="46" t="s">
        <v>119</v>
      </c>
      <c r="B57" s="46">
        <v>570</v>
      </c>
      <c r="C57" s="46" t="s">
        <v>306</v>
      </c>
      <c r="D57" s="46" t="s">
        <v>483</v>
      </c>
      <c r="E57" s="46" t="s">
        <v>780</v>
      </c>
      <c r="F57" s="51" t="s">
        <v>688</v>
      </c>
      <c r="G57" s="49">
        <v>0.4756756756756757</v>
      </c>
      <c r="H57" s="49">
        <v>0.4</v>
      </c>
      <c r="I57" s="49">
        <f>VLOOKUP(Table1[[#This Row],[Spanish]],[1]written_es_wordlist_bigram_abso!$1:$1048576, 2, 0)</f>
        <v>40249.415204999998</v>
      </c>
      <c r="J57" s="49">
        <f>VLOOKUP(Table1[[#This Row],[Spanish]], [1]written_es_wordlist_bigram_abso!$1:$1048576, 3, 0)</f>
        <v>19626.666667000001</v>
      </c>
      <c r="K57" s="50">
        <v>100</v>
      </c>
      <c r="L57" s="49">
        <v>5.8579999999999997</v>
      </c>
      <c r="M57" s="49">
        <v>0</v>
      </c>
      <c r="N57" s="49">
        <v>100</v>
      </c>
      <c r="O57" s="49">
        <v>2.5299999999999998</v>
      </c>
      <c r="P57" s="51">
        <f>LEN(Table1[[#This Row],[Spanish]])</f>
        <v>4</v>
      </c>
      <c r="Q57" s="52">
        <v>4</v>
      </c>
      <c r="R57" s="52">
        <v>4</v>
      </c>
      <c r="S57" s="52">
        <v>2</v>
      </c>
      <c r="T57" s="49">
        <v>4.4924099999999996</v>
      </c>
      <c r="U57" s="46" t="s">
        <v>624</v>
      </c>
      <c r="V57" s="51">
        <v>5</v>
      </c>
      <c r="W57" s="46" t="s">
        <v>957</v>
      </c>
      <c r="X57" s="52">
        <v>4</v>
      </c>
      <c r="Y57" s="52">
        <v>3</v>
      </c>
      <c r="Z57" s="52" t="s">
        <v>27</v>
      </c>
      <c r="AA57" s="49">
        <v>4.2806320703320404</v>
      </c>
      <c r="AB57" s="49">
        <v>0.5243243243243243</v>
      </c>
      <c r="AC57" s="49">
        <v>0.6</v>
      </c>
      <c r="AD57" s="52">
        <v>4</v>
      </c>
      <c r="AL57"/>
    </row>
    <row r="58" spans="1:38" x14ac:dyDescent="0.3">
      <c r="A58" s="46" t="s">
        <v>35</v>
      </c>
      <c r="B58" s="46">
        <v>576</v>
      </c>
      <c r="C58" s="46" t="s">
        <v>222</v>
      </c>
      <c r="D58" s="46" t="s">
        <v>409</v>
      </c>
      <c r="E58" s="46" t="s">
        <v>698</v>
      </c>
      <c r="F58" s="51" t="s">
        <v>685</v>
      </c>
      <c r="G58" s="49">
        <v>0.22978723404255319</v>
      </c>
      <c r="H58" s="49">
        <v>0.512280701754386</v>
      </c>
      <c r="I58" s="49">
        <f>VLOOKUP(Table1[[#This Row],[Spanish]],[1]written_es_wordlist_bigram_abso!$1:$1048576, 2, 0)</f>
        <v>35840.697824000003</v>
      </c>
      <c r="J58" s="49">
        <f>VLOOKUP(Table1[[#This Row],[Spanish]], [1]written_es_wordlist_bigram_abso!$1:$1048576, 3, 0)</f>
        <v>20860.2</v>
      </c>
      <c r="K58" s="50">
        <v>80</v>
      </c>
      <c r="L58" s="49">
        <v>6.3280000000000003</v>
      </c>
      <c r="M58" s="49">
        <v>0</v>
      </c>
      <c r="N58" s="49">
        <v>100</v>
      </c>
      <c r="O58" s="49">
        <v>1.92</v>
      </c>
      <c r="P58" s="51">
        <f>LEN(Table1[[#This Row],[Spanish]])</f>
        <v>6</v>
      </c>
      <c r="Q58" s="52">
        <v>6</v>
      </c>
      <c r="R58" s="52">
        <v>6</v>
      </c>
      <c r="S58" s="52">
        <v>2</v>
      </c>
      <c r="T58" s="49">
        <v>3.5675309999999998</v>
      </c>
      <c r="U58" s="46" t="s">
        <v>567</v>
      </c>
      <c r="V58" s="51">
        <v>8</v>
      </c>
      <c r="W58" s="46" t="s">
        <v>875</v>
      </c>
      <c r="X58" s="52">
        <v>5</v>
      </c>
      <c r="Y58" s="52">
        <v>4</v>
      </c>
      <c r="Z58" s="52" t="s">
        <v>27</v>
      </c>
      <c r="AA58" s="49">
        <v>3.8100130227561766</v>
      </c>
      <c r="AB58" s="49">
        <v>0.77021276595744681</v>
      </c>
      <c r="AC58" s="49">
        <v>0.487719298245614</v>
      </c>
      <c r="AD58" s="52">
        <v>4</v>
      </c>
      <c r="AL58"/>
    </row>
    <row r="59" spans="1:38" x14ac:dyDescent="0.3">
      <c r="A59" s="63" t="s">
        <v>32</v>
      </c>
      <c r="B59" s="63">
        <v>590</v>
      </c>
      <c r="C59" s="63" t="s">
        <v>219</v>
      </c>
      <c r="D59" s="63" t="s">
        <v>406</v>
      </c>
      <c r="E59" s="63" t="s">
        <v>695</v>
      </c>
      <c r="F59" s="64" t="s">
        <v>683</v>
      </c>
      <c r="G59" s="65">
        <v>0.17872340425531918</v>
      </c>
      <c r="H59" s="65">
        <v>0.37192982456140355</v>
      </c>
      <c r="I59" s="65">
        <f>VLOOKUP(Table1[[#This Row],[Spanish]],[1]written_es_wordlist_bigram_abso!$1:$1048576, 2, 0)</f>
        <v>35694.194691999997</v>
      </c>
      <c r="J59" s="65">
        <f>VLOOKUP(Table1[[#This Row],[Spanish]], [1]written_es_wordlist_bigram_abso!$1:$1048576, 3, 0)</f>
        <v>20924.400000000001</v>
      </c>
      <c r="K59" s="66">
        <v>40</v>
      </c>
      <c r="L59" s="65">
        <v>5.8490000000000002</v>
      </c>
      <c r="M59" s="65">
        <v>0</v>
      </c>
      <c r="N59" s="65">
        <v>100</v>
      </c>
      <c r="O59" s="65">
        <v>2.1800000000000002</v>
      </c>
      <c r="P59" s="64">
        <f>LEN(Table1[[#This Row],[Spanish]])</f>
        <v>6</v>
      </c>
      <c r="Q59" s="67">
        <v>6</v>
      </c>
      <c r="R59" s="67">
        <v>6</v>
      </c>
      <c r="S59" s="67">
        <v>3</v>
      </c>
      <c r="T59" s="65">
        <v>3.3455539999999999</v>
      </c>
      <c r="U59" s="63" t="s">
        <v>564</v>
      </c>
      <c r="V59" s="64">
        <v>5</v>
      </c>
      <c r="W59" s="63" t="s">
        <v>872</v>
      </c>
      <c r="X59" s="67">
        <v>5</v>
      </c>
      <c r="Y59" s="67">
        <v>4</v>
      </c>
      <c r="Z59" s="67" t="s">
        <v>27</v>
      </c>
      <c r="AA59" s="65">
        <v>3.5626135405320891</v>
      </c>
      <c r="AB59" s="65">
        <v>0.82127659574468082</v>
      </c>
      <c r="AC59" s="65">
        <v>0.62807017543859645</v>
      </c>
      <c r="AD59" s="67">
        <v>5</v>
      </c>
      <c r="AL59"/>
    </row>
    <row r="60" spans="1:38" x14ac:dyDescent="0.3">
      <c r="A60" t="s">
        <v>146</v>
      </c>
      <c r="B60">
        <v>597</v>
      </c>
      <c r="C60" t="s">
        <v>333</v>
      </c>
      <c r="D60" t="s">
        <v>507</v>
      </c>
      <c r="E60" t="s">
        <v>807</v>
      </c>
      <c r="F60" s="5" t="s">
        <v>683</v>
      </c>
      <c r="G60" s="6">
        <v>0.55238095238095242</v>
      </c>
      <c r="H60" s="6">
        <v>0.50793650793650791</v>
      </c>
      <c r="I60" s="6">
        <f>VLOOKUP(Table1[[#This Row],[Spanish]],[1]written_es_wordlist_bigram_abso!$1:$1048576, 2, 0)</f>
        <v>51453.139793000002</v>
      </c>
      <c r="J60" s="6">
        <f>VLOOKUP(Table1[[#This Row],[Spanish]], [1]written_es_wordlist_bigram_abso!$1:$1048576, 3, 0)</f>
        <v>27818.333332999999</v>
      </c>
      <c r="K60" s="41">
        <v>66.7</v>
      </c>
      <c r="L60" s="6">
        <v>6.5179999999999998</v>
      </c>
      <c r="M60" s="6">
        <v>0.14372616999999999</v>
      </c>
      <c r="N60" s="6">
        <v>97.959183670000002</v>
      </c>
      <c r="O60" s="6">
        <v>2.5299999999999998</v>
      </c>
      <c r="P60" s="5">
        <f>LEN(Table1[[#This Row],[Spanish]])</f>
        <v>7</v>
      </c>
      <c r="Q60" s="7">
        <v>7</v>
      </c>
      <c r="R60" s="7">
        <v>7</v>
      </c>
      <c r="S60" s="7">
        <v>3</v>
      </c>
      <c r="T60" s="6">
        <v>4.6187430000000003</v>
      </c>
      <c r="U60" t="s">
        <v>646</v>
      </c>
      <c r="V60" s="5">
        <v>6</v>
      </c>
      <c r="W60" t="s">
        <v>984</v>
      </c>
      <c r="X60" s="7">
        <v>6</v>
      </c>
      <c r="Y60" s="7">
        <v>5</v>
      </c>
      <c r="Z60" s="7" t="s">
        <v>28</v>
      </c>
      <c r="AA60" s="6">
        <v>4.8353629746752276</v>
      </c>
      <c r="AB60" s="6">
        <v>0.44761904761904758</v>
      </c>
      <c r="AC60" s="6">
        <v>0.49206349206349209</v>
      </c>
      <c r="AD60" s="7">
        <v>6</v>
      </c>
      <c r="AL60"/>
    </row>
    <row r="61" spans="1:38" x14ac:dyDescent="0.3">
      <c r="A61" t="s">
        <v>150</v>
      </c>
      <c r="B61">
        <v>60</v>
      </c>
      <c r="C61" t="s">
        <v>337</v>
      </c>
      <c r="D61" t="s">
        <v>511</v>
      </c>
      <c r="E61" t="s">
        <v>811</v>
      </c>
      <c r="F61" s="5" t="s">
        <v>689</v>
      </c>
      <c r="G61" s="6">
        <v>0.562962962962963</v>
      </c>
      <c r="H61" s="6">
        <v>0.50476190476190474</v>
      </c>
      <c r="I61" s="6">
        <f>VLOOKUP(Table1[[#This Row],[Spanish]],[1]written_es_wordlist_bigram_abso!$1:$1048576, 2, 0)</f>
        <v>28448.002828000001</v>
      </c>
      <c r="J61" s="6">
        <f>VLOOKUP(Table1[[#This Row],[Spanish]], [1]written_es_wordlist_bigram_abso!$1:$1048576, 3, 0)</f>
        <v>20637.5</v>
      </c>
      <c r="K61" s="41">
        <v>83.3</v>
      </c>
      <c r="L61" s="6" t="s">
        <v>1077</v>
      </c>
      <c r="M61" s="6">
        <v>0.36663735200000003</v>
      </c>
      <c r="N61" s="6">
        <v>94.382022469999995</v>
      </c>
      <c r="O61" s="6">
        <v>3.16</v>
      </c>
      <c r="P61" s="5">
        <f>LEN(Table1[[#This Row],[Spanish]])</f>
        <v>7</v>
      </c>
      <c r="Q61" s="7">
        <v>7</v>
      </c>
      <c r="R61" s="7">
        <v>7</v>
      </c>
      <c r="S61" s="7">
        <v>3</v>
      </c>
      <c r="T61" s="6">
        <v>2.9431340000000001</v>
      </c>
      <c r="U61" t="s">
        <v>1070</v>
      </c>
      <c r="V61" s="5">
        <v>8</v>
      </c>
      <c r="W61" t="s">
        <v>988</v>
      </c>
      <c r="X61" s="7">
        <v>10</v>
      </c>
      <c r="Y61" s="7">
        <v>8</v>
      </c>
      <c r="Z61" s="7" t="s">
        <v>29</v>
      </c>
      <c r="AA61" s="6">
        <v>2.6042207450732402</v>
      </c>
      <c r="AB61" s="6">
        <v>0.437037037037037</v>
      </c>
      <c r="AC61" s="6">
        <v>0.49523809523809526</v>
      </c>
      <c r="AD61" s="7">
        <v>8</v>
      </c>
      <c r="AL61"/>
    </row>
    <row r="62" spans="1:38" x14ac:dyDescent="0.3">
      <c r="A62" s="46" t="s">
        <v>110</v>
      </c>
      <c r="B62" s="46">
        <v>610</v>
      </c>
      <c r="C62" s="46" t="s">
        <v>297</v>
      </c>
      <c r="D62" s="46" t="s">
        <v>477</v>
      </c>
      <c r="E62" s="46" t="s">
        <v>771</v>
      </c>
      <c r="F62" s="51" t="s">
        <v>686</v>
      </c>
      <c r="G62" s="49">
        <v>0.45999999999999996</v>
      </c>
      <c r="H62" s="49">
        <v>0.45581395348837206</v>
      </c>
      <c r="I62" s="49">
        <f>VLOOKUP(Table1[[#This Row],[Spanish]],[1]written_es_wordlist_bigram_abso!$1:$1048576, 2, 0)</f>
        <v>35954.408175999997</v>
      </c>
      <c r="J62" s="49">
        <f>VLOOKUP(Table1[[#This Row],[Spanish]], [1]written_es_wordlist_bigram_abso!$1:$1048576, 3, 0)</f>
        <v>11338</v>
      </c>
      <c r="K62" s="50">
        <v>66.7</v>
      </c>
      <c r="L62" s="49">
        <v>5.4009999999999998</v>
      </c>
      <c r="M62" s="49">
        <v>0</v>
      </c>
      <c r="N62" s="49">
        <v>100</v>
      </c>
      <c r="O62" s="49">
        <v>2.3838383840000001</v>
      </c>
      <c r="P62" s="51">
        <f>LEN(Table1[[#This Row],[Spanish]])</f>
        <v>4</v>
      </c>
      <c r="Q62" s="52">
        <v>4</v>
      </c>
      <c r="R62" s="52">
        <v>4</v>
      </c>
      <c r="S62" s="52">
        <v>3</v>
      </c>
      <c r="T62" s="49">
        <v>4.2208699999999997</v>
      </c>
      <c r="U62" s="46" t="s">
        <v>619</v>
      </c>
      <c r="V62" s="51">
        <v>5</v>
      </c>
      <c r="W62" s="46" t="s">
        <v>948</v>
      </c>
      <c r="X62" s="52">
        <v>5</v>
      </c>
      <c r="Y62" s="52">
        <v>4</v>
      </c>
      <c r="Z62" s="52" t="s">
        <v>28</v>
      </c>
      <c r="AA62" s="49">
        <v>4.5976297581684111</v>
      </c>
      <c r="AB62" s="49">
        <v>0.54</v>
      </c>
      <c r="AC62" s="49">
        <v>0.54418604651162794</v>
      </c>
      <c r="AD62" s="52">
        <v>4</v>
      </c>
      <c r="AL62"/>
    </row>
    <row r="63" spans="1:38" x14ac:dyDescent="0.3">
      <c r="A63" s="46" t="s">
        <v>129</v>
      </c>
      <c r="B63" s="46">
        <v>612</v>
      </c>
      <c r="C63" s="46" t="s">
        <v>316</v>
      </c>
      <c r="D63" s="46" t="s">
        <v>490</v>
      </c>
      <c r="E63" s="46" t="s">
        <v>790</v>
      </c>
      <c r="F63" s="51" t="s">
        <v>688</v>
      </c>
      <c r="G63" s="49">
        <v>0.50980392156862742</v>
      </c>
      <c r="H63" s="49">
        <v>0.5</v>
      </c>
      <c r="I63" s="49">
        <f>VLOOKUP(Table1[[#This Row],[Spanish]],[1]written_es_wordlist_bigram_abso!$1:$1048576, 2, 0)</f>
        <v>48462.523824000004</v>
      </c>
      <c r="J63" s="49">
        <f>VLOOKUP(Table1[[#This Row],[Spanish]], [1]written_es_wordlist_bigram_abso!$1:$1048576, 3, 0)</f>
        <v>34566</v>
      </c>
      <c r="K63" s="50">
        <v>66.7</v>
      </c>
      <c r="L63" s="49">
        <v>6.2670000000000003</v>
      </c>
      <c r="M63" s="49">
        <v>0</v>
      </c>
      <c r="N63" s="49">
        <v>100</v>
      </c>
      <c r="O63" s="49">
        <v>2.67</v>
      </c>
      <c r="P63" s="51">
        <f>LEN(Table1[[#This Row],[Spanish]])</f>
        <v>4</v>
      </c>
      <c r="Q63" s="52">
        <v>4</v>
      </c>
      <c r="R63" s="52">
        <v>4</v>
      </c>
      <c r="S63" s="52">
        <v>2</v>
      </c>
      <c r="T63" s="49">
        <v>3.934196</v>
      </c>
      <c r="U63" s="46" t="s">
        <v>633</v>
      </c>
      <c r="V63" s="51">
        <v>4</v>
      </c>
      <c r="W63" s="46" t="s">
        <v>967</v>
      </c>
      <c r="X63" s="52">
        <v>4</v>
      </c>
      <c r="Y63" s="52">
        <v>4</v>
      </c>
      <c r="Z63" s="52" t="s">
        <v>27</v>
      </c>
      <c r="AA63" s="49">
        <v>4.0484969179184214</v>
      </c>
      <c r="AB63" s="49">
        <v>0.49019607843137258</v>
      </c>
      <c r="AC63" s="49">
        <v>0.5</v>
      </c>
      <c r="AD63" s="52">
        <v>4</v>
      </c>
      <c r="AL63"/>
    </row>
    <row r="64" spans="1:38" x14ac:dyDescent="0.3">
      <c r="A64" t="s">
        <v>89</v>
      </c>
      <c r="B64">
        <v>622</v>
      </c>
      <c r="C64" t="s">
        <v>276</v>
      </c>
      <c r="D64" t="s">
        <v>458</v>
      </c>
      <c r="E64" t="s">
        <v>751</v>
      </c>
      <c r="F64" s="5" t="s">
        <v>683</v>
      </c>
      <c r="G64" s="6">
        <v>0.41081081081081083</v>
      </c>
      <c r="H64" s="6">
        <v>0.4</v>
      </c>
      <c r="I64" s="6">
        <f>VLOOKUP(Table1[[#This Row],[Spanish]],[1]written_es_wordlist_bigram_abso!$1:$1048576, 2, 0)</f>
        <v>13877.643717000001</v>
      </c>
      <c r="J64" s="6">
        <f>VLOOKUP(Table1[[#This Row],[Spanish]], [1]written_es_wordlist_bigram_abso!$1:$1048576, 3, 0)</f>
        <v>13162</v>
      </c>
      <c r="K64" s="41">
        <v>66.7</v>
      </c>
      <c r="L64" s="6" t="s">
        <v>1077</v>
      </c>
      <c r="M64" s="6">
        <v>0.28229218900000003</v>
      </c>
      <c r="N64" s="6">
        <v>96</v>
      </c>
      <c r="O64" s="6">
        <v>2.06</v>
      </c>
      <c r="P64" s="5">
        <f>LEN(Table1[[#This Row],[Spanish]])</f>
        <v>4</v>
      </c>
      <c r="Q64" s="7">
        <v>4</v>
      </c>
      <c r="R64" s="7">
        <v>4</v>
      </c>
      <c r="S64" s="7">
        <v>2</v>
      </c>
      <c r="T64" s="6">
        <v>3.1298180000000002</v>
      </c>
      <c r="U64" t="s">
        <v>1062</v>
      </c>
      <c r="V64" s="5">
        <v>6</v>
      </c>
      <c r="W64" t="s">
        <v>928</v>
      </c>
      <c r="X64" s="7">
        <v>5</v>
      </c>
      <c r="Y64" s="7">
        <v>3</v>
      </c>
      <c r="Z64" s="7" t="s">
        <v>27</v>
      </c>
      <c r="AA64" s="6">
        <v>3.8709575265376426</v>
      </c>
      <c r="AB64" s="6">
        <v>0.58918918918918917</v>
      </c>
      <c r="AC64" s="6">
        <v>0.6</v>
      </c>
      <c r="AD64" s="7">
        <v>5</v>
      </c>
      <c r="AL64"/>
    </row>
    <row r="65" spans="1:38" x14ac:dyDescent="0.3">
      <c r="A65" t="s">
        <v>85</v>
      </c>
      <c r="B65">
        <v>633</v>
      </c>
      <c r="C65" t="s">
        <v>272</v>
      </c>
      <c r="D65" t="s">
        <v>454</v>
      </c>
      <c r="E65" t="s">
        <v>747</v>
      </c>
      <c r="F65" s="5" t="s">
        <v>683</v>
      </c>
      <c r="G65" s="6">
        <v>0.4</v>
      </c>
      <c r="H65" s="6">
        <v>0.38124999999999998</v>
      </c>
      <c r="I65" s="6">
        <f>VLOOKUP(Table1[[#This Row],[Spanish]],[1]written_es_wordlist_bigram_abso!$1:$1048576, 2, 0)</f>
        <v>16008.567972999999</v>
      </c>
      <c r="J65" s="6">
        <f>VLOOKUP(Table1[[#This Row],[Spanish]], [1]written_es_wordlist_bigram_abso!$1:$1048576, 3, 0)</f>
        <v>12620.8</v>
      </c>
      <c r="K65" s="41">
        <v>100</v>
      </c>
      <c r="L65" s="6" t="s">
        <v>1077</v>
      </c>
      <c r="M65" s="6">
        <v>0.33729006700000003</v>
      </c>
      <c r="N65" s="6">
        <v>93.75</v>
      </c>
      <c r="O65" s="6">
        <v>2</v>
      </c>
      <c r="P65" s="5">
        <f>LEN(Table1[[#This Row],[Spanish]])</f>
        <v>6</v>
      </c>
      <c r="Q65" s="7">
        <v>6</v>
      </c>
      <c r="R65" s="7">
        <v>6</v>
      </c>
      <c r="S65" s="7">
        <v>3</v>
      </c>
      <c r="T65" s="6">
        <v>3.1381109999999999</v>
      </c>
      <c r="U65" t="s">
        <v>603</v>
      </c>
      <c r="V65" s="5">
        <v>4</v>
      </c>
      <c r="W65" t="s">
        <v>924</v>
      </c>
      <c r="X65" s="7">
        <v>6</v>
      </c>
      <c r="Y65" s="7">
        <v>4</v>
      </c>
      <c r="Z65" s="7" t="s">
        <v>28</v>
      </c>
      <c r="AA65" s="6">
        <v>3.2639374502615852</v>
      </c>
      <c r="AB65" s="6">
        <v>0.6</v>
      </c>
      <c r="AC65" s="6">
        <v>0.61875000000000002</v>
      </c>
      <c r="AD65" s="7">
        <v>6</v>
      </c>
      <c r="AL65"/>
    </row>
    <row r="66" spans="1:38" x14ac:dyDescent="0.3">
      <c r="A66" s="46" t="s">
        <v>101</v>
      </c>
      <c r="B66" s="46">
        <v>636</v>
      </c>
      <c r="C66" s="46" t="s">
        <v>288</v>
      </c>
      <c r="D66" s="46" t="s">
        <v>468</v>
      </c>
      <c r="E66" s="46" t="s">
        <v>762</v>
      </c>
      <c r="F66" s="51" t="s">
        <v>688</v>
      </c>
      <c r="G66" s="49">
        <v>0.43636363636363629</v>
      </c>
      <c r="H66" s="49">
        <v>0.41739130434782612</v>
      </c>
      <c r="I66" s="49">
        <f>VLOOKUP(Table1[[#This Row],[Spanish]],[1]written_es_wordlist_bigram_abso!$1:$1048576, 2, 0)</f>
        <v>6080.9645209999999</v>
      </c>
      <c r="J66" s="49">
        <f>VLOOKUP(Table1[[#This Row],[Spanish]], [1]written_es_wordlist_bigram_abso!$1:$1048576, 3, 0)</f>
        <v>3853</v>
      </c>
      <c r="K66" s="50">
        <v>75</v>
      </c>
      <c r="L66" s="49">
        <v>6.3220000000000001</v>
      </c>
      <c r="M66" s="49">
        <v>0</v>
      </c>
      <c r="N66" s="49">
        <v>100</v>
      </c>
      <c r="O66" s="49">
        <v>2.7777777779999999</v>
      </c>
      <c r="P66" s="51">
        <f>LEN(Table1[[#This Row],[Spanish]])</f>
        <v>5</v>
      </c>
      <c r="Q66" s="52">
        <v>5</v>
      </c>
      <c r="R66" s="52">
        <v>5</v>
      </c>
      <c r="S66" s="52">
        <v>3</v>
      </c>
      <c r="T66" s="49">
        <v>4.3206559999999996</v>
      </c>
      <c r="U66" s="46" t="s">
        <v>613</v>
      </c>
      <c r="V66" s="51">
        <v>5</v>
      </c>
      <c r="W66" s="46" t="s">
        <v>939</v>
      </c>
      <c r="X66" s="52">
        <v>5</v>
      </c>
      <c r="Y66" s="52">
        <v>3</v>
      </c>
      <c r="Z66" s="52" t="s">
        <v>27</v>
      </c>
      <c r="AA66" s="49">
        <v>4.6665937831910931</v>
      </c>
      <c r="AB66" s="49">
        <v>0.56363636363636371</v>
      </c>
      <c r="AC66" s="49">
        <v>0.58260869565217388</v>
      </c>
      <c r="AD66" s="52">
        <v>4</v>
      </c>
      <c r="AL66"/>
    </row>
    <row r="67" spans="1:38" x14ac:dyDescent="0.3">
      <c r="A67" s="63" t="s">
        <v>147</v>
      </c>
      <c r="B67" s="63">
        <v>646</v>
      </c>
      <c r="C67" s="63" t="s">
        <v>334</v>
      </c>
      <c r="D67" s="63" t="s">
        <v>508</v>
      </c>
      <c r="E67" s="63" t="s">
        <v>808</v>
      </c>
      <c r="F67" s="64" t="s">
        <v>690</v>
      </c>
      <c r="G67" s="65">
        <v>0.55384615384615388</v>
      </c>
      <c r="H67" s="65">
        <v>0.60923076923076924</v>
      </c>
      <c r="I67" s="65">
        <f>VLOOKUP(Table1[[#This Row],[Spanish]],[1]written_es_wordlist_bigram_abso!$1:$1048576, 2, 0)</f>
        <v>38455.44498</v>
      </c>
      <c r="J67" s="65">
        <f>VLOOKUP(Table1[[#This Row],[Spanish]], [1]written_es_wordlist_bigram_abso!$1:$1048576, 3, 0)</f>
        <v>21376</v>
      </c>
      <c r="K67" s="66">
        <v>60</v>
      </c>
      <c r="L67" s="65">
        <v>5.9089999999999998</v>
      </c>
      <c r="M67" s="65">
        <v>0.28639695700000001</v>
      </c>
      <c r="N67" s="65">
        <v>95</v>
      </c>
      <c r="O67" s="65">
        <v>2.86</v>
      </c>
      <c r="P67" s="64">
        <f>LEN(Table1[[#This Row],[Spanish]])</f>
        <v>6</v>
      </c>
      <c r="Q67" s="67">
        <v>6</v>
      </c>
      <c r="R67" s="67">
        <v>6</v>
      </c>
      <c r="S67" s="67">
        <v>2</v>
      </c>
      <c r="T67" s="65">
        <v>4.0991439999999999</v>
      </c>
      <c r="U67" s="63" t="s">
        <v>1069</v>
      </c>
      <c r="V67" s="64">
        <v>5</v>
      </c>
      <c r="W67" s="63" t="s">
        <v>985</v>
      </c>
      <c r="X67" s="67">
        <v>5</v>
      </c>
      <c r="Y67" s="67">
        <v>5</v>
      </c>
      <c r="Z67" s="67" t="s">
        <v>27</v>
      </c>
      <c r="AA67" s="65">
        <v>3.5231049992484156</v>
      </c>
      <c r="AB67" s="65">
        <v>0.44615384615384612</v>
      </c>
      <c r="AC67" s="65">
        <v>0.39076923076923076</v>
      </c>
      <c r="AD67" s="67">
        <v>6</v>
      </c>
      <c r="AL67"/>
    </row>
    <row r="68" spans="1:38" x14ac:dyDescent="0.3">
      <c r="A68" t="s">
        <v>34</v>
      </c>
      <c r="B68">
        <v>66</v>
      </c>
      <c r="C68" t="s">
        <v>221</v>
      </c>
      <c r="D68" t="s">
        <v>408</v>
      </c>
      <c r="E68" t="s">
        <v>697</v>
      </c>
      <c r="F68" s="5" t="s">
        <v>684</v>
      </c>
      <c r="G68" s="6">
        <v>0.21276595744680848</v>
      </c>
      <c r="H68" s="6">
        <v>0.18260869565217397</v>
      </c>
      <c r="I68" s="6">
        <f>VLOOKUP(Table1[[#This Row],[Spanish]],[1]written_es_wordlist_bigram_abso!$1:$1048576, 2, 0)</f>
        <v>30112.865795000002</v>
      </c>
      <c r="J68" s="6">
        <f>VLOOKUP(Table1[[#This Row],[Spanish]], [1]written_es_wordlist_bigram_abso!$1:$1048576, 3, 0)</f>
        <v>21702.6</v>
      </c>
      <c r="K68" s="41">
        <v>60</v>
      </c>
      <c r="L68" s="6">
        <v>6.1369999999999996</v>
      </c>
      <c r="M68" s="6">
        <v>0</v>
      </c>
      <c r="N68" s="6">
        <v>100</v>
      </c>
      <c r="O68" s="6">
        <v>2.41</v>
      </c>
      <c r="P68" s="5">
        <f>LEN(Table1[[#This Row],[Spanish]])</f>
        <v>6</v>
      </c>
      <c r="Q68" s="7">
        <v>6</v>
      </c>
      <c r="R68" s="7">
        <v>6</v>
      </c>
      <c r="S68" s="7">
        <v>3</v>
      </c>
      <c r="T68" s="6">
        <v>3.7950710000000001</v>
      </c>
      <c r="U68" t="s">
        <v>566</v>
      </c>
      <c r="V68" s="5">
        <v>4</v>
      </c>
      <c r="W68" t="s">
        <v>874</v>
      </c>
      <c r="X68" s="7">
        <v>4</v>
      </c>
      <c r="Y68" s="7">
        <v>3</v>
      </c>
      <c r="Z68" s="7" t="s">
        <v>27</v>
      </c>
      <c r="AA68" s="6">
        <v>4.720426588550021</v>
      </c>
      <c r="AB68" s="6">
        <v>0.78723404255319152</v>
      </c>
      <c r="AC68" s="6">
        <v>0.81739130434782603</v>
      </c>
      <c r="AD68" s="7">
        <v>6</v>
      </c>
      <c r="AL68"/>
    </row>
    <row r="69" spans="1:38" x14ac:dyDescent="0.3">
      <c r="A69" s="63" t="s">
        <v>123</v>
      </c>
      <c r="B69" s="63">
        <v>663</v>
      </c>
      <c r="C69" s="63" t="s">
        <v>310</v>
      </c>
      <c r="D69" s="63" t="s">
        <v>486</v>
      </c>
      <c r="E69" s="63" t="s">
        <v>784</v>
      </c>
      <c r="F69" s="64" t="s">
        <v>683</v>
      </c>
      <c r="G69" s="65">
        <v>0.48421052631578942</v>
      </c>
      <c r="H69" s="65">
        <v>0.42253521126760563</v>
      </c>
      <c r="I69" s="65">
        <f>VLOOKUP(Table1[[#This Row],[Spanish]],[1]written_es_wordlist_bigram_abso!$1:$1048576, 2, 0)</f>
        <v>18872.278173999999</v>
      </c>
      <c r="J69" s="65">
        <f>VLOOKUP(Table1[[#This Row],[Spanish]], [1]written_es_wordlist_bigram_abso!$1:$1048576, 3, 0)</f>
        <v>11709.833333</v>
      </c>
      <c r="K69" s="66">
        <v>33.299999999999997</v>
      </c>
      <c r="L69" s="65">
        <v>6.6449999999999996</v>
      </c>
      <c r="M69" s="65">
        <v>0.46206632800000003</v>
      </c>
      <c r="N69" s="65">
        <v>90.217391300000003</v>
      </c>
      <c r="O69" s="65">
        <v>2.1</v>
      </c>
      <c r="P69" s="64">
        <f>LEN(Table1[[#This Row],[Spanish]])</f>
        <v>7</v>
      </c>
      <c r="Q69" s="67">
        <v>7</v>
      </c>
      <c r="R69" s="67">
        <v>7</v>
      </c>
      <c r="S69" s="67">
        <v>3</v>
      </c>
      <c r="T69" s="65">
        <v>4.4305339999999998</v>
      </c>
      <c r="U69" s="63" t="s">
        <v>628</v>
      </c>
      <c r="V69" s="64">
        <v>7</v>
      </c>
      <c r="W69" s="63" t="s">
        <v>961</v>
      </c>
      <c r="X69" s="67">
        <v>6</v>
      </c>
      <c r="Y69" s="67">
        <v>4</v>
      </c>
      <c r="Z69" s="67" t="s">
        <v>28</v>
      </c>
      <c r="AA69" s="65">
        <v>3.5408337662088472</v>
      </c>
      <c r="AB69" s="65">
        <v>0.51578947368421058</v>
      </c>
      <c r="AC69" s="65">
        <v>0.57746478873239437</v>
      </c>
      <c r="AD69" s="67">
        <v>6</v>
      </c>
      <c r="AL69"/>
    </row>
    <row r="70" spans="1:38" x14ac:dyDescent="0.3">
      <c r="A70" t="s">
        <v>131</v>
      </c>
      <c r="B70">
        <v>664</v>
      </c>
      <c r="C70" t="s">
        <v>318</v>
      </c>
      <c r="D70" t="s">
        <v>492</v>
      </c>
      <c r="E70" t="s">
        <v>792</v>
      </c>
      <c r="F70" s="5" t="s">
        <v>685</v>
      </c>
      <c r="G70" s="6">
        <v>0.5180327868852459</v>
      </c>
      <c r="H70" s="6">
        <v>0.56470588235294117</v>
      </c>
      <c r="I70" s="6">
        <f>VLOOKUP(Table1[[#This Row],[Spanish]],[1]written_es_wordlist_bigram_abso!$1:$1048576, 2, 0)</f>
        <v>41541.643951999999</v>
      </c>
      <c r="J70" s="6">
        <f>VLOOKUP(Table1[[#This Row],[Spanish]], [1]written_es_wordlist_bigram_abso!$1:$1048576, 3, 0)</f>
        <v>23911.833332999999</v>
      </c>
      <c r="K70" s="41">
        <v>50</v>
      </c>
      <c r="L70" s="6" t="s">
        <v>1077</v>
      </c>
      <c r="M70" s="6">
        <v>0</v>
      </c>
      <c r="N70" s="6">
        <v>100</v>
      </c>
      <c r="O70" s="6">
        <v>2.17</v>
      </c>
      <c r="P70" s="5">
        <f>LEN(Table1[[#This Row],[Spanish]])</f>
        <v>7</v>
      </c>
      <c r="Q70" s="7">
        <v>7</v>
      </c>
      <c r="R70" s="7">
        <v>7</v>
      </c>
      <c r="S70" s="7">
        <v>3</v>
      </c>
      <c r="T70" s="6">
        <v>4.4944940000000004</v>
      </c>
      <c r="U70" t="s">
        <v>1068</v>
      </c>
      <c r="V70" s="5">
        <v>6</v>
      </c>
      <c r="W70" t="s">
        <v>969</v>
      </c>
      <c r="X70" s="7">
        <v>5</v>
      </c>
      <c r="Y70" s="7">
        <v>4</v>
      </c>
      <c r="Z70" s="7" t="s">
        <v>27</v>
      </c>
      <c r="AA70" s="6">
        <v>4.8472587937595346</v>
      </c>
      <c r="AB70" s="6">
        <v>0.4819672131147541</v>
      </c>
      <c r="AC70" s="6">
        <v>0.43529411764705883</v>
      </c>
      <c r="AD70" s="7">
        <v>6</v>
      </c>
      <c r="AL70"/>
    </row>
    <row r="71" spans="1:38" x14ac:dyDescent="0.3">
      <c r="A71" s="63" t="s">
        <v>45</v>
      </c>
      <c r="B71" s="63">
        <v>673</v>
      </c>
      <c r="C71" s="63" t="s">
        <v>232</v>
      </c>
      <c r="D71" s="63" t="s">
        <v>418</v>
      </c>
      <c r="E71" s="63" t="s">
        <v>708</v>
      </c>
      <c r="F71" s="64" t="s">
        <v>683</v>
      </c>
      <c r="G71" s="65">
        <v>0.28148148148148144</v>
      </c>
      <c r="H71" s="65">
        <v>0.46557377049180326</v>
      </c>
      <c r="I71" s="65">
        <f>VLOOKUP(Table1[[#This Row],[Spanish]],[1]written_es_wordlist_bigram_abso!$1:$1048576, 2, 0)</f>
        <v>46934.786801000002</v>
      </c>
      <c r="J71" s="65">
        <f>VLOOKUP(Table1[[#This Row],[Spanish]], [1]written_es_wordlist_bigram_abso!$1:$1048576, 3, 0)</f>
        <v>25358.166667000001</v>
      </c>
      <c r="K71" s="66">
        <v>50</v>
      </c>
      <c r="L71" s="65">
        <v>6.4130000000000003</v>
      </c>
      <c r="M71" s="65">
        <v>0</v>
      </c>
      <c r="N71" s="65">
        <v>100</v>
      </c>
      <c r="O71" s="65">
        <v>1.35</v>
      </c>
      <c r="P71" s="64">
        <f>LEN(Table1[[#This Row],[Spanish]])</f>
        <v>7</v>
      </c>
      <c r="Q71" s="67">
        <v>7</v>
      </c>
      <c r="R71" s="67">
        <v>7</v>
      </c>
      <c r="S71" s="67">
        <v>3</v>
      </c>
      <c r="T71" s="65">
        <v>3.279668</v>
      </c>
      <c r="U71" s="63" t="s">
        <v>575</v>
      </c>
      <c r="V71" s="64">
        <v>7</v>
      </c>
      <c r="W71" s="63" t="s">
        <v>885</v>
      </c>
      <c r="X71" s="67">
        <v>4</v>
      </c>
      <c r="Y71" s="67">
        <v>3</v>
      </c>
      <c r="Z71" s="67" t="s">
        <v>27</v>
      </c>
      <c r="AA71" s="65">
        <v>3.973115700861845</v>
      </c>
      <c r="AB71" s="65">
        <v>0.71851851851851856</v>
      </c>
      <c r="AC71" s="65">
        <v>0.53442622950819674</v>
      </c>
      <c r="AD71" s="67">
        <v>6</v>
      </c>
      <c r="AL71"/>
    </row>
    <row r="72" spans="1:38" x14ac:dyDescent="0.3">
      <c r="A72" t="s">
        <v>122</v>
      </c>
      <c r="B72">
        <v>675</v>
      </c>
      <c r="C72" t="s">
        <v>309</v>
      </c>
      <c r="D72" t="s">
        <v>309</v>
      </c>
      <c r="E72" t="s">
        <v>783</v>
      </c>
      <c r="F72" s="5" t="s">
        <v>684</v>
      </c>
      <c r="G72" s="6">
        <v>0.48</v>
      </c>
      <c r="H72" s="6">
        <v>0.39459459459459456</v>
      </c>
      <c r="I72" s="6">
        <f>VLOOKUP(Table1[[#This Row],[Spanish]],[1]written_es_wordlist_bigram_abso!$1:$1048576, 2, 0)</f>
        <v>22767.711176000001</v>
      </c>
      <c r="J72" s="6">
        <f>VLOOKUP(Table1[[#This Row],[Spanish]], [1]written_es_wordlist_bigram_abso!$1:$1048576, 3, 0)</f>
        <v>17367.599999999999</v>
      </c>
      <c r="K72" s="41">
        <v>0</v>
      </c>
      <c r="L72" s="6">
        <v>6.0979999999999999</v>
      </c>
      <c r="M72" s="6">
        <v>0</v>
      </c>
      <c r="N72" s="6">
        <v>100</v>
      </c>
      <c r="O72" s="6">
        <v>2.64</v>
      </c>
      <c r="P72" s="5">
        <f>LEN(Table1[[#This Row],[Spanish]])</f>
        <v>6</v>
      </c>
      <c r="Q72" s="7">
        <v>6</v>
      </c>
      <c r="R72" s="7">
        <v>6</v>
      </c>
      <c r="S72" s="7">
        <v>3</v>
      </c>
      <c r="T72" s="6">
        <v>3.9827680000000001</v>
      </c>
      <c r="U72" t="s">
        <v>627</v>
      </c>
      <c r="V72" s="5">
        <v>6</v>
      </c>
      <c r="W72" t="s">
        <v>960</v>
      </c>
      <c r="X72" s="7">
        <v>8</v>
      </c>
      <c r="Y72" s="7">
        <v>7</v>
      </c>
      <c r="Z72" s="7" t="s">
        <v>28</v>
      </c>
      <c r="AA72" s="6">
        <v>3.5052954408298582</v>
      </c>
      <c r="AB72" s="6">
        <v>0.52</v>
      </c>
      <c r="AC72" s="6">
        <v>0.60540540540540544</v>
      </c>
      <c r="AD72" s="7">
        <v>7</v>
      </c>
      <c r="AL72"/>
    </row>
    <row r="73" spans="1:38" x14ac:dyDescent="0.3">
      <c r="A73" t="s">
        <v>128</v>
      </c>
      <c r="B73">
        <v>68</v>
      </c>
      <c r="C73" t="s">
        <v>315</v>
      </c>
      <c r="D73" t="s">
        <v>489</v>
      </c>
      <c r="E73" t="s">
        <v>789</v>
      </c>
      <c r="F73" s="5" t="s">
        <v>683</v>
      </c>
      <c r="G73" s="6">
        <v>0.50196078431372548</v>
      </c>
      <c r="H73" s="6">
        <v>0.48888888888888893</v>
      </c>
      <c r="I73" s="6">
        <f>VLOOKUP(Table1[[#This Row],[Spanish]],[1]written_es_wordlist_bigram_abso!$1:$1048576, 2, 0)</f>
        <v>50534.333715000001</v>
      </c>
      <c r="J73" s="6">
        <f>VLOOKUP(Table1[[#This Row],[Spanish]], [1]written_es_wordlist_bigram_abso!$1:$1048576, 3, 0)</f>
        <v>17817</v>
      </c>
      <c r="K73" s="41">
        <v>66.7</v>
      </c>
      <c r="L73" s="6">
        <v>5.7809999999999997</v>
      </c>
      <c r="M73" s="6">
        <v>0</v>
      </c>
      <c r="N73" s="6">
        <v>100</v>
      </c>
      <c r="O73" s="6">
        <v>1.96</v>
      </c>
      <c r="P73" s="5">
        <f>LEN(Table1[[#This Row],[Spanish]])</f>
        <v>4</v>
      </c>
      <c r="Q73" s="7">
        <v>4</v>
      </c>
      <c r="R73" s="7">
        <v>4</v>
      </c>
      <c r="S73" s="7">
        <v>2</v>
      </c>
      <c r="T73" s="6">
        <v>4.2966009999999999</v>
      </c>
      <c r="U73" t="s">
        <v>632</v>
      </c>
      <c r="V73" s="5">
        <v>5</v>
      </c>
      <c r="W73" t="s">
        <v>966</v>
      </c>
      <c r="X73" s="7">
        <v>6</v>
      </c>
      <c r="Y73" s="7">
        <v>5</v>
      </c>
      <c r="Z73" s="7" t="s">
        <v>28</v>
      </c>
      <c r="AA73" s="6">
        <v>3.7859937791259064</v>
      </c>
      <c r="AB73" s="6">
        <v>0.49803921568627452</v>
      </c>
      <c r="AC73" s="6">
        <v>0.51111111111111107</v>
      </c>
      <c r="AD73" s="7">
        <v>5</v>
      </c>
      <c r="AL73"/>
    </row>
    <row r="74" spans="1:38" x14ac:dyDescent="0.3">
      <c r="A74" s="46" t="s">
        <v>120</v>
      </c>
      <c r="B74" s="46">
        <v>687</v>
      </c>
      <c r="C74" s="46" t="s">
        <v>307</v>
      </c>
      <c r="D74" s="46" t="s">
        <v>484</v>
      </c>
      <c r="E74" s="46" t="s">
        <v>781</v>
      </c>
      <c r="F74" s="51" t="s">
        <v>685</v>
      </c>
      <c r="G74" s="49">
        <v>0.47659574468085109</v>
      </c>
      <c r="H74" s="49">
        <v>0.38688524590163942</v>
      </c>
      <c r="I74" s="49">
        <f>VLOOKUP(Table1[[#This Row],[Spanish]],[1]written_es_wordlist_bigram_abso!$1:$1048576, 2, 0)</f>
        <v>22892.294839999999</v>
      </c>
      <c r="J74" s="49">
        <f>VLOOKUP(Table1[[#This Row],[Spanish]], [1]written_es_wordlist_bigram_abso!$1:$1048576, 3, 0)</f>
        <v>16832.599999999999</v>
      </c>
      <c r="K74" s="50">
        <v>40</v>
      </c>
      <c r="L74" s="49">
        <v>6.2809999999999997</v>
      </c>
      <c r="M74" s="49">
        <v>0</v>
      </c>
      <c r="N74" s="49">
        <v>100</v>
      </c>
      <c r="O74" s="49">
        <v>1.86</v>
      </c>
      <c r="P74" s="51">
        <f>LEN(Table1[[#This Row],[Spanish]])</f>
        <v>6</v>
      </c>
      <c r="Q74" s="52">
        <v>6</v>
      </c>
      <c r="R74" s="52">
        <v>6</v>
      </c>
      <c r="S74" s="52">
        <v>2</v>
      </c>
      <c r="T74" s="49">
        <v>4.1374940000000002</v>
      </c>
      <c r="U74" s="46" t="s">
        <v>625</v>
      </c>
      <c r="V74" s="51">
        <v>7</v>
      </c>
      <c r="W74" s="46" t="s">
        <v>958</v>
      </c>
      <c r="X74" s="52">
        <v>5</v>
      </c>
      <c r="Y74" s="52">
        <v>3</v>
      </c>
      <c r="Z74" s="52" t="s">
        <v>27</v>
      </c>
      <c r="AA74" s="49">
        <v>4.4722189820282718</v>
      </c>
      <c r="AB74" s="49">
        <v>0.52340425531914891</v>
      </c>
      <c r="AC74" s="49">
        <v>0.61311475409836058</v>
      </c>
      <c r="AD74" s="52">
        <v>5</v>
      </c>
      <c r="AL74"/>
    </row>
    <row r="75" spans="1:38" x14ac:dyDescent="0.3">
      <c r="A75" s="46" t="s">
        <v>139</v>
      </c>
      <c r="B75" s="46">
        <v>719</v>
      </c>
      <c r="C75" s="46" t="s">
        <v>326</v>
      </c>
      <c r="D75" s="46" t="s">
        <v>500</v>
      </c>
      <c r="E75" s="46" t="s">
        <v>800</v>
      </c>
      <c r="F75" s="51" t="s">
        <v>684</v>
      </c>
      <c r="G75" s="49">
        <v>0.54074074074074074</v>
      </c>
      <c r="H75" s="49">
        <v>0.45614035087719296</v>
      </c>
      <c r="I75" s="49">
        <f>VLOOKUP(Table1[[#This Row],[Spanish]],[1]written_es_wordlist_bigram_abso!$1:$1048576, 2, 0)</f>
        <v>8128.1265460000004</v>
      </c>
      <c r="J75" s="49">
        <f>VLOOKUP(Table1[[#This Row],[Spanish]], [1]written_es_wordlist_bigram_abso!$1:$1048576, 3, 0)</f>
        <v>6519.6666670000004</v>
      </c>
      <c r="K75" s="50">
        <v>33.299999999999997</v>
      </c>
      <c r="L75" s="49">
        <v>6.3250000000000002</v>
      </c>
      <c r="M75" s="49">
        <v>0.20062232399999999</v>
      </c>
      <c r="N75" s="49">
        <v>96.875</v>
      </c>
      <c r="O75" s="49">
        <v>2.8181818179999998</v>
      </c>
      <c r="P75" s="51">
        <f>LEN(Table1[[#This Row],[Spanish]])</f>
        <v>4</v>
      </c>
      <c r="Q75" s="52">
        <v>4</v>
      </c>
      <c r="R75" s="52">
        <v>4</v>
      </c>
      <c r="S75" s="52">
        <v>2</v>
      </c>
      <c r="T75" s="49">
        <v>4.3063979999999997</v>
      </c>
      <c r="U75" s="46" t="s">
        <v>1072</v>
      </c>
      <c r="V75" s="51">
        <v>5</v>
      </c>
      <c r="W75" s="46" t="s">
        <v>977</v>
      </c>
      <c r="X75" s="52">
        <v>8</v>
      </c>
      <c r="Y75" s="52">
        <v>6</v>
      </c>
      <c r="Z75" s="52" t="s">
        <v>28</v>
      </c>
      <c r="AA75" s="49">
        <v>4.8129738683344101</v>
      </c>
      <c r="AB75" s="49">
        <v>0.45925925925925926</v>
      </c>
      <c r="AC75" s="49">
        <v>0.54385964912280704</v>
      </c>
      <c r="AD75" s="52">
        <v>5</v>
      </c>
      <c r="AL75"/>
    </row>
    <row r="76" spans="1:38" x14ac:dyDescent="0.3">
      <c r="A76" s="46" t="s">
        <v>118</v>
      </c>
      <c r="B76" s="46">
        <v>728</v>
      </c>
      <c r="C76" s="46" t="s">
        <v>305</v>
      </c>
      <c r="D76" s="46" t="s">
        <v>305</v>
      </c>
      <c r="E76" s="46" t="s">
        <v>779</v>
      </c>
      <c r="F76" s="51" t="s">
        <v>688</v>
      </c>
      <c r="G76" s="49">
        <v>0.47499999999999998</v>
      </c>
      <c r="H76" s="49">
        <v>0.55625000000000002</v>
      </c>
      <c r="I76" s="49">
        <f>VLOOKUP(Table1[[#This Row],[Spanish]],[1]written_es_wordlist_bigram_abso!$1:$1048576, 2, 0)</f>
        <v>11742.426191</v>
      </c>
      <c r="J76" s="49">
        <f>VLOOKUP(Table1[[#This Row],[Spanish]], [1]written_es_wordlist_bigram_abso!$1:$1048576, 3, 0)</f>
        <v>4883.75</v>
      </c>
      <c r="K76" s="50">
        <v>0</v>
      </c>
      <c r="L76" s="49" t="s">
        <v>1077</v>
      </c>
      <c r="M76" s="49">
        <v>0.32984606999999999</v>
      </c>
      <c r="N76" s="49">
        <v>93.939393940000002</v>
      </c>
      <c r="O76" s="49">
        <v>2.71</v>
      </c>
      <c r="P76" s="51">
        <f>LEN(Table1[[#This Row],[Spanish]])</f>
        <v>5</v>
      </c>
      <c r="Q76" s="52">
        <v>5</v>
      </c>
      <c r="R76" s="52">
        <v>5</v>
      </c>
      <c r="S76" s="52">
        <v>3</v>
      </c>
      <c r="T76" s="49">
        <v>3.1601300000000001</v>
      </c>
      <c r="U76" s="46" t="s">
        <v>1066</v>
      </c>
      <c r="V76" s="51">
        <v>7</v>
      </c>
      <c r="W76" s="46" t="s">
        <v>956</v>
      </c>
      <c r="X76" s="52">
        <v>7</v>
      </c>
      <c r="Y76" s="52">
        <v>7</v>
      </c>
      <c r="Z76" s="52" t="s">
        <v>29</v>
      </c>
      <c r="AA76" s="49">
        <v>3.7767227731054778</v>
      </c>
      <c r="AB76" s="49">
        <v>0.52500000000000002</v>
      </c>
      <c r="AC76" s="49">
        <v>0.44374999999999998</v>
      </c>
      <c r="AD76" s="52">
        <v>6</v>
      </c>
      <c r="AL76"/>
    </row>
    <row r="77" spans="1:38" x14ac:dyDescent="0.3">
      <c r="A77" s="46" t="s">
        <v>155</v>
      </c>
      <c r="B77" s="46">
        <v>733</v>
      </c>
      <c r="C77" s="46" t="s">
        <v>342</v>
      </c>
      <c r="D77" s="46" t="s">
        <v>515</v>
      </c>
      <c r="E77" s="46" t="s">
        <v>816</v>
      </c>
      <c r="F77" s="51" t="s">
        <v>683</v>
      </c>
      <c r="G77" s="49">
        <v>0.57777777777777772</v>
      </c>
      <c r="H77" s="49">
        <v>0.77647058823529413</v>
      </c>
      <c r="I77" s="49">
        <f>VLOOKUP(Table1[[#This Row],[Spanish]],[1]written_es_wordlist_bigram_abso!$1:$1048576, 2, 0)</f>
        <v>17803.490819999999</v>
      </c>
      <c r="J77" s="49">
        <f>VLOOKUP(Table1[[#This Row],[Spanish]], [1]written_es_wordlist_bigram_abso!$1:$1048576, 3, 0)</f>
        <v>14642.75</v>
      </c>
      <c r="K77" s="50">
        <v>0</v>
      </c>
      <c r="L77" s="49">
        <v>5.8010000000000002</v>
      </c>
      <c r="M77" s="49">
        <v>0</v>
      </c>
      <c r="N77" s="49">
        <v>100</v>
      </c>
      <c r="O77" s="49">
        <v>1.96</v>
      </c>
      <c r="P77" s="51">
        <f>LEN(Table1[[#This Row],[Spanish]])</f>
        <v>5</v>
      </c>
      <c r="Q77" s="52">
        <v>5</v>
      </c>
      <c r="R77" s="52">
        <v>5</v>
      </c>
      <c r="S77" s="52">
        <v>2</v>
      </c>
      <c r="T77" s="49">
        <v>3.8088739999999999</v>
      </c>
      <c r="U77" s="46" t="s">
        <v>651</v>
      </c>
      <c r="V77" s="51">
        <v>10</v>
      </c>
      <c r="W77" s="46" t="s">
        <v>993</v>
      </c>
      <c r="X77" s="52">
        <v>7</v>
      </c>
      <c r="Y77" s="52">
        <v>6</v>
      </c>
      <c r="Z77" s="52" t="s">
        <v>28</v>
      </c>
      <c r="AA77" s="49">
        <v>4.3720634600759105</v>
      </c>
      <c r="AB77" s="49">
        <v>0.42222222222222228</v>
      </c>
      <c r="AC77" s="49">
        <v>0.22352941176470587</v>
      </c>
      <c r="AD77" s="52">
        <v>4</v>
      </c>
      <c r="AL77"/>
    </row>
    <row r="78" spans="1:38" x14ac:dyDescent="0.3">
      <c r="A78" t="s">
        <v>86</v>
      </c>
      <c r="B78">
        <v>749</v>
      </c>
      <c r="C78" t="s">
        <v>273</v>
      </c>
      <c r="D78" t="s">
        <v>455</v>
      </c>
      <c r="E78" t="s">
        <v>748</v>
      </c>
      <c r="F78" s="5" t="s">
        <v>683</v>
      </c>
      <c r="G78" s="6">
        <v>0.4</v>
      </c>
      <c r="H78" s="6">
        <v>0.4</v>
      </c>
      <c r="I78" s="6">
        <f>VLOOKUP(Table1[[#This Row],[Spanish]],[1]written_es_wordlist_bigram_abso!$1:$1048576, 2, 0)</f>
        <v>32253.482766000001</v>
      </c>
      <c r="J78" s="6">
        <f>VLOOKUP(Table1[[#This Row],[Spanish]], [1]written_es_wordlist_bigram_abso!$1:$1048576, 3, 0)</f>
        <v>23510.6</v>
      </c>
      <c r="K78" s="41">
        <v>40</v>
      </c>
      <c r="L78" s="6" t="s">
        <v>1077</v>
      </c>
      <c r="M78" s="6">
        <v>0.24229218899999999</v>
      </c>
      <c r="N78" s="6">
        <v>96</v>
      </c>
      <c r="O78" s="6">
        <v>2.71</v>
      </c>
      <c r="P78" s="5">
        <f>LEN(Table1[[#This Row],[Spanish]])</f>
        <v>6</v>
      </c>
      <c r="Q78" s="7">
        <v>6</v>
      </c>
      <c r="R78" s="7">
        <v>6</v>
      </c>
      <c r="S78" s="7">
        <v>2</v>
      </c>
      <c r="T78" s="6">
        <v>4.060651</v>
      </c>
      <c r="U78" t="s">
        <v>1061</v>
      </c>
      <c r="V78" s="5">
        <v>4</v>
      </c>
      <c r="W78" t="s">
        <v>925</v>
      </c>
      <c r="X78" s="7">
        <v>3</v>
      </c>
      <c r="Y78" s="7">
        <v>3</v>
      </c>
      <c r="Z78" s="7" t="s">
        <v>27</v>
      </c>
      <c r="AA78" s="6">
        <v>4.4875666738694271</v>
      </c>
      <c r="AB78" s="6">
        <v>0.6</v>
      </c>
      <c r="AC78" s="6">
        <v>0.6</v>
      </c>
      <c r="AD78" s="7">
        <v>5</v>
      </c>
      <c r="AL78"/>
    </row>
    <row r="79" spans="1:38" x14ac:dyDescent="0.3">
      <c r="A79" s="46" t="s">
        <v>38</v>
      </c>
      <c r="B79" s="46">
        <v>8</v>
      </c>
      <c r="C79" s="46" t="s">
        <v>225</v>
      </c>
      <c r="D79" s="46" t="s">
        <v>411</v>
      </c>
      <c r="E79" s="46" t="s">
        <v>701</v>
      </c>
      <c r="F79" s="51" t="s">
        <v>687</v>
      </c>
      <c r="G79" s="49">
        <v>0.25531914893617014</v>
      </c>
      <c r="H79" s="49">
        <v>0.25531914893617014</v>
      </c>
      <c r="I79" s="49">
        <f>VLOOKUP(Table1[[#This Row],[Spanish]],[1]written_es_wordlist_bigram_abso!$1:$1048576, 2, 0)</f>
        <v>28190.958065999999</v>
      </c>
      <c r="J79" s="49">
        <f>VLOOKUP(Table1[[#This Row],[Spanish]], [1]written_es_wordlist_bigram_abso!$1:$1048576, 3, 0)</f>
        <v>14613.6</v>
      </c>
      <c r="K79" s="50">
        <v>40</v>
      </c>
      <c r="L79" s="49">
        <v>5.8680000000000003</v>
      </c>
      <c r="M79" s="49">
        <v>0.327444919</v>
      </c>
      <c r="N79" s="49">
        <v>94</v>
      </c>
      <c r="O79" s="49">
        <v>1.99</v>
      </c>
      <c r="P79" s="51">
        <f>LEN(Table1[[#This Row],[Spanish]])</f>
        <v>6</v>
      </c>
      <c r="Q79" s="52">
        <v>6</v>
      </c>
      <c r="R79" s="52">
        <v>6</v>
      </c>
      <c r="S79" s="52">
        <v>3</v>
      </c>
      <c r="T79" s="49">
        <v>4.1965260000000004</v>
      </c>
      <c r="U79" s="46" t="s">
        <v>569</v>
      </c>
      <c r="V79" s="51">
        <v>5</v>
      </c>
      <c r="W79" s="46" t="s">
        <v>878</v>
      </c>
      <c r="X79" s="52">
        <v>3</v>
      </c>
      <c r="Y79" s="52">
        <v>3</v>
      </c>
      <c r="Z79" s="52" t="s">
        <v>27</v>
      </c>
      <c r="AA79" s="49">
        <v>4.8763203227975458</v>
      </c>
      <c r="AB79" s="49">
        <v>0.74468085106382986</v>
      </c>
      <c r="AC79" s="49">
        <v>0.74468085106382986</v>
      </c>
      <c r="AD79" s="52">
        <v>5</v>
      </c>
      <c r="AL79"/>
    </row>
    <row r="80" spans="1:38" x14ac:dyDescent="0.3">
      <c r="A80" s="46" t="s">
        <v>133</v>
      </c>
      <c r="B80" s="46">
        <v>91</v>
      </c>
      <c r="C80" s="46" t="s">
        <v>320</v>
      </c>
      <c r="D80" s="46" t="s">
        <v>494</v>
      </c>
      <c r="E80" s="46" t="s">
        <v>794</v>
      </c>
      <c r="F80" s="51" t="s">
        <v>687</v>
      </c>
      <c r="G80" s="49">
        <v>0.52</v>
      </c>
      <c r="H80" s="49">
        <v>0.58723404255319145</v>
      </c>
      <c r="I80" s="49">
        <f>VLOOKUP(Table1[[#This Row],[Spanish]],[1]written_es_wordlist_bigram_abso!$1:$1048576, 2, 0)</f>
        <v>16601.8439</v>
      </c>
      <c r="J80" s="49">
        <f>VLOOKUP(Table1[[#This Row],[Spanish]], [1]written_es_wordlist_bigram_abso!$1:$1048576, 3, 0)</f>
        <v>12365.666667</v>
      </c>
      <c r="K80" s="50">
        <v>66.7</v>
      </c>
      <c r="L80" s="49">
        <v>6.2229999999999999</v>
      </c>
      <c r="M80" s="49">
        <v>0.38550036300000001</v>
      </c>
      <c r="N80" s="49">
        <v>93.939393940000002</v>
      </c>
      <c r="O80" s="49">
        <v>2.6969696970000001</v>
      </c>
      <c r="P80" s="51">
        <f>LEN(Table1[[#This Row],[Spanish]])</f>
        <v>4</v>
      </c>
      <c r="Q80" s="52">
        <v>4</v>
      </c>
      <c r="R80" s="52">
        <v>4</v>
      </c>
      <c r="S80" s="52">
        <v>2</v>
      </c>
      <c r="T80" s="49">
        <v>4.9355070000000003</v>
      </c>
      <c r="U80" s="46" t="s">
        <v>636</v>
      </c>
      <c r="V80" s="51">
        <v>4</v>
      </c>
      <c r="W80" s="46" t="s">
        <v>971</v>
      </c>
      <c r="X80" s="52">
        <v>5</v>
      </c>
      <c r="Y80" s="52">
        <v>3</v>
      </c>
      <c r="Z80" s="52" t="s">
        <v>27</v>
      </c>
      <c r="AA80" s="49">
        <v>4.7804549582058877</v>
      </c>
      <c r="AB80" s="49">
        <v>0.48</v>
      </c>
      <c r="AC80" s="49">
        <v>0.41276595744680855</v>
      </c>
      <c r="AD80" s="52">
        <v>4</v>
      </c>
      <c r="AL80"/>
    </row>
    <row r="81" spans="8:38" x14ac:dyDescent="0.3">
      <c r="AL81"/>
    </row>
    <row r="82" spans="8:38" x14ac:dyDescent="0.3">
      <c r="AL82"/>
    </row>
    <row r="83" spans="8:38" x14ac:dyDescent="0.3">
      <c r="AL83"/>
    </row>
    <row r="84" spans="8:38" x14ac:dyDescent="0.3">
      <c r="AL84"/>
    </row>
    <row r="85" spans="8:38" x14ac:dyDescent="0.3">
      <c r="AL85"/>
    </row>
    <row r="86" spans="8:38" x14ac:dyDescent="0.3">
      <c r="AL86"/>
    </row>
    <row r="87" spans="8:38" x14ac:dyDescent="0.3">
      <c r="AL87"/>
    </row>
    <row r="88" spans="8:38" x14ac:dyDescent="0.3">
      <c r="AL88"/>
    </row>
    <row r="89" spans="8:38" x14ac:dyDescent="0.3">
      <c r="AL89"/>
    </row>
    <row r="90" spans="8:38" x14ac:dyDescent="0.3">
      <c r="M90" s="5" t="s">
        <v>1075</v>
      </c>
      <c r="AL90"/>
    </row>
    <row r="91" spans="8:38" x14ac:dyDescent="0.3">
      <c r="H91" s="5" t="s">
        <v>1075</v>
      </c>
      <c r="AL91"/>
    </row>
    <row r="92" spans="8:38" x14ac:dyDescent="0.3">
      <c r="AL92"/>
    </row>
    <row r="93" spans="8:38" x14ac:dyDescent="0.3">
      <c r="J93" t="s">
        <v>1075</v>
      </c>
      <c r="AL93"/>
    </row>
    <row r="94" spans="8:38" x14ac:dyDescent="0.3">
      <c r="AL94"/>
    </row>
    <row r="95" spans="8:38" x14ac:dyDescent="0.3">
      <c r="AL95"/>
    </row>
    <row r="96" spans="8:38" x14ac:dyDescent="0.3">
      <c r="AL96"/>
    </row>
    <row r="97" spans="38:38" x14ac:dyDescent="0.3">
      <c r="AL97"/>
    </row>
    <row r="98" spans="38:38" x14ac:dyDescent="0.3">
      <c r="AL98"/>
    </row>
    <row r="99" spans="38:38" x14ac:dyDescent="0.3">
      <c r="AL99"/>
    </row>
    <row r="100" spans="38:38" x14ac:dyDescent="0.3">
      <c r="AL100"/>
    </row>
    <row r="101" spans="38:38" x14ac:dyDescent="0.3">
      <c r="AL101"/>
    </row>
    <row r="102" spans="38:38" x14ac:dyDescent="0.3">
      <c r="AL102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077E-4B7E-4B3B-AAFE-136DFDF6EC5E}">
  <dimension ref="A1:AD47"/>
  <sheetViews>
    <sheetView zoomScale="77" zoomScaleNormal="107" workbookViewId="0">
      <selection activeCell="C24" sqref="C24"/>
    </sheetView>
  </sheetViews>
  <sheetFormatPr defaultRowHeight="14.4" x14ac:dyDescent="0.3"/>
  <cols>
    <col min="1" max="1" width="12" customWidth="1"/>
    <col min="3" max="3" width="9.44140625" style="47" customWidth="1"/>
    <col min="6" max="6" width="19" customWidth="1"/>
    <col min="7" max="7" width="19.88671875" bestFit="1" customWidth="1"/>
    <col min="8" max="8" width="20.88671875" bestFit="1" customWidth="1"/>
    <col min="9" max="9" width="15.6640625" customWidth="1"/>
    <col min="10" max="10" width="16.6640625" customWidth="1"/>
    <col min="11" max="11" width="20.88671875" customWidth="1"/>
    <col min="12" max="12" width="16.33203125" customWidth="1"/>
    <col min="13" max="13" width="12.88671875" customWidth="1"/>
    <col min="14" max="14" width="21.33203125" customWidth="1"/>
    <col min="15" max="15" width="21.44140625" customWidth="1"/>
    <col min="16" max="16" width="22.88671875" customWidth="1"/>
    <col min="17" max="17" width="17.88671875" bestFit="1" customWidth="1"/>
    <col min="18" max="18" width="18.77734375" customWidth="1"/>
    <col min="19" max="19" width="18.33203125" customWidth="1"/>
    <col min="20" max="20" width="16.6640625" customWidth="1"/>
    <col min="21" max="21" width="19.5546875" customWidth="1"/>
    <col min="22" max="22" width="18.88671875" customWidth="1"/>
    <col min="23" max="23" width="13.6640625" customWidth="1"/>
    <col min="24" max="24" width="19" customWidth="1"/>
    <col min="25" max="25" width="20.109375" customWidth="1"/>
    <col min="26" max="26" width="19.44140625" bestFit="1" customWidth="1"/>
    <col min="27" max="27" width="10.33203125" customWidth="1"/>
    <col min="28" max="28" width="20.21875" customWidth="1"/>
    <col min="29" max="29" width="19.77734375" customWidth="1"/>
    <col min="30" max="30" width="18.109375" customWidth="1"/>
    <col min="31" max="31" width="15.109375" customWidth="1"/>
    <col min="32" max="32" width="16.109375" customWidth="1"/>
    <col min="33" max="33" width="15.44140625" customWidth="1"/>
    <col min="34" max="34" width="19.88671875" customWidth="1"/>
  </cols>
  <sheetData>
    <row r="1" spans="1:30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18</v>
      </c>
      <c r="F1" s="43" t="s">
        <v>10</v>
      </c>
      <c r="G1" s="39" t="s">
        <v>1078</v>
      </c>
      <c r="H1" s="39" t="s">
        <v>1079</v>
      </c>
      <c r="I1" s="44" t="s">
        <v>5</v>
      </c>
      <c r="J1" s="42" t="s">
        <v>6</v>
      </c>
      <c r="K1" s="39" t="s">
        <v>7</v>
      </c>
      <c r="L1" s="42" t="s">
        <v>8</v>
      </c>
      <c r="M1" s="42" t="s">
        <v>9</v>
      </c>
      <c r="N1" s="43" t="s">
        <v>1076</v>
      </c>
      <c r="O1" s="42" t="s">
        <v>13</v>
      </c>
      <c r="P1" s="42" t="s">
        <v>14</v>
      </c>
      <c r="Q1" s="42" t="s">
        <v>15</v>
      </c>
      <c r="R1" s="43" t="s">
        <v>16</v>
      </c>
      <c r="S1" s="43" t="s">
        <v>11</v>
      </c>
      <c r="T1" s="43" t="s">
        <v>12</v>
      </c>
      <c r="U1" s="42" t="s">
        <v>4</v>
      </c>
      <c r="V1" s="43" t="s">
        <v>26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5" t="s">
        <v>1054</v>
      </c>
    </row>
    <row r="2" spans="1:30" x14ac:dyDescent="0.3">
      <c r="A2" t="s">
        <v>47</v>
      </c>
      <c r="B2">
        <v>128</v>
      </c>
      <c r="C2" s="47" t="s">
        <v>234</v>
      </c>
      <c r="D2" t="s">
        <v>420</v>
      </c>
      <c r="E2" t="s">
        <v>710</v>
      </c>
      <c r="F2" s="5" t="s">
        <v>683</v>
      </c>
      <c r="G2" s="6">
        <v>13362.893747</v>
      </c>
      <c r="H2" s="6">
        <v>8954.4</v>
      </c>
      <c r="I2" s="41">
        <v>20</v>
      </c>
      <c r="J2" s="6" t="s">
        <v>1077</v>
      </c>
      <c r="K2" s="6">
        <v>0.46899559400000002</v>
      </c>
      <c r="L2" s="6">
        <v>90</v>
      </c>
      <c r="M2" s="6">
        <v>2.59</v>
      </c>
      <c r="N2" s="5">
        <v>6</v>
      </c>
      <c r="O2" s="7">
        <v>6</v>
      </c>
      <c r="P2" s="7">
        <v>6</v>
      </c>
      <c r="Q2" s="7">
        <v>3</v>
      </c>
      <c r="R2" s="6">
        <v>3.8510230000000001</v>
      </c>
      <c r="S2" s="6">
        <v>0.28936170212765955</v>
      </c>
      <c r="T2" s="6">
        <v>0.26382978723404249</v>
      </c>
      <c r="U2" t="s">
        <v>577</v>
      </c>
      <c r="V2" s="5">
        <v>6</v>
      </c>
      <c r="W2" t="s">
        <v>887</v>
      </c>
      <c r="X2" s="7">
        <v>4</v>
      </c>
      <c r="Y2" s="7">
        <v>3</v>
      </c>
      <c r="Z2" s="7" t="s">
        <v>27</v>
      </c>
      <c r="AA2" s="6">
        <v>4.0723126832511021</v>
      </c>
      <c r="AB2" s="6">
        <v>0.71063829787234045</v>
      </c>
      <c r="AC2" s="6">
        <v>0.73617021276595751</v>
      </c>
      <c r="AD2" s="7">
        <v>6</v>
      </c>
    </row>
    <row r="3" spans="1:30" x14ac:dyDescent="0.3">
      <c r="A3" s="54" t="s">
        <v>72</v>
      </c>
      <c r="B3" s="54">
        <v>135</v>
      </c>
      <c r="C3" s="47" t="s">
        <v>259</v>
      </c>
      <c r="D3" s="54" t="s">
        <v>442</v>
      </c>
      <c r="E3" s="54" t="s">
        <v>735</v>
      </c>
      <c r="F3" s="55" t="s">
        <v>685</v>
      </c>
      <c r="G3" s="57">
        <f>VLOOKUP(Table1[[#This Row],[Spanish]],[1]written_es_wordlist_bigram_abso!$1:$1048576, 2, 0)</f>
        <v>24200.320181999999</v>
      </c>
      <c r="H3" s="57">
        <f>VLOOKUP(Table1[[#This Row],[Spanish]], [1]written_es_wordlist_bigram_abso!$1:$1048576, 3, 0)</f>
        <v>16433.25</v>
      </c>
      <c r="I3" s="59">
        <v>50</v>
      </c>
      <c r="J3" s="57">
        <v>5.9429999999999996</v>
      </c>
      <c r="K3" s="57">
        <v>0</v>
      </c>
      <c r="L3" s="57">
        <v>100</v>
      </c>
      <c r="M3" s="57">
        <v>2.4</v>
      </c>
      <c r="N3" s="55">
        <f>LEN(Table1[[#This Row],[Spanish]])</f>
        <v>5</v>
      </c>
      <c r="O3" s="61">
        <v>5</v>
      </c>
      <c r="P3" s="61">
        <v>5</v>
      </c>
      <c r="Q3" s="61">
        <v>2</v>
      </c>
      <c r="R3" s="57">
        <v>4.50122</v>
      </c>
      <c r="S3" s="57">
        <v>0.36595744680851061</v>
      </c>
      <c r="T3" s="57">
        <v>0.41860465116279078</v>
      </c>
      <c r="U3" s="54" t="s">
        <v>1059</v>
      </c>
      <c r="V3" s="55">
        <v>6</v>
      </c>
      <c r="W3" s="54" t="s">
        <v>912</v>
      </c>
      <c r="X3" s="61">
        <v>4</v>
      </c>
      <c r="Y3" s="61">
        <v>3</v>
      </c>
      <c r="Z3" s="61" t="s">
        <v>27</v>
      </c>
      <c r="AA3" s="57">
        <v>4.5882199055592778</v>
      </c>
      <c r="AB3" s="57">
        <v>0.63404255319148939</v>
      </c>
      <c r="AC3" s="57">
        <v>0.58139534883720922</v>
      </c>
      <c r="AD3" s="61">
        <v>5</v>
      </c>
    </row>
    <row r="4" spans="1:30" x14ac:dyDescent="0.3">
      <c r="A4" t="s">
        <v>164</v>
      </c>
      <c r="B4">
        <v>142</v>
      </c>
      <c r="C4" s="47" t="s">
        <v>351</v>
      </c>
      <c r="D4" t="s">
        <v>523</v>
      </c>
      <c r="E4" t="s">
        <v>767</v>
      </c>
      <c r="F4" s="5" t="s">
        <v>683</v>
      </c>
      <c r="G4" s="6">
        <v>28352.082465</v>
      </c>
      <c r="H4" s="6">
        <v>19134.333332999999</v>
      </c>
      <c r="I4" s="41">
        <v>33.299999999999997</v>
      </c>
      <c r="J4" s="6">
        <v>6.6130000000000004</v>
      </c>
      <c r="K4" s="6">
        <v>0</v>
      </c>
      <c r="L4" s="6">
        <v>100</v>
      </c>
      <c r="M4" s="6">
        <v>1.71</v>
      </c>
      <c r="N4" s="5">
        <v>4</v>
      </c>
      <c r="O4" s="7">
        <v>4</v>
      </c>
      <c r="P4" s="7">
        <v>4</v>
      </c>
      <c r="Q4" s="7">
        <v>2</v>
      </c>
      <c r="R4" s="6">
        <v>4.1775390000000003</v>
      </c>
      <c r="S4" s="6">
        <v>0.62727272727272732</v>
      </c>
      <c r="T4" s="6">
        <v>0.47843137254901968</v>
      </c>
      <c r="U4" t="s">
        <v>659</v>
      </c>
      <c r="V4" s="5">
        <v>7</v>
      </c>
      <c r="W4" t="s">
        <v>944</v>
      </c>
      <c r="X4" s="7">
        <v>5</v>
      </c>
      <c r="Y4" s="7">
        <v>4</v>
      </c>
      <c r="Z4" s="7" t="s">
        <v>27</v>
      </c>
      <c r="AA4" s="6">
        <v>4.9188940686549341</v>
      </c>
      <c r="AB4" s="6">
        <v>0.37272727272727268</v>
      </c>
      <c r="AC4" s="6">
        <v>0.52156862745098032</v>
      </c>
      <c r="AD4" s="7">
        <v>3</v>
      </c>
    </row>
    <row r="5" spans="1:30" x14ac:dyDescent="0.3">
      <c r="A5" t="s">
        <v>93</v>
      </c>
      <c r="B5">
        <v>152</v>
      </c>
      <c r="C5" s="47" t="s">
        <v>280</v>
      </c>
      <c r="D5" t="s">
        <v>461</v>
      </c>
      <c r="E5" t="s">
        <v>755</v>
      </c>
      <c r="F5" s="5" t="s">
        <v>688</v>
      </c>
      <c r="G5" s="6">
        <v>41516.996815999999</v>
      </c>
      <c r="H5" s="6">
        <v>32695.666667000001</v>
      </c>
      <c r="I5" s="41">
        <v>16.7</v>
      </c>
      <c r="J5" s="6">
        <v>6.5350000000000001</v>
      </c>
      <c r="K5" s="6">
        <v>0</v>
      </c>
      <c r="L5" s="6">
        <v>100</v>
      </c>
      <c r="M5" s="6">
        <v>2.9191919190000002</v>
      </c>
      <c r="N5" s="5">
        <v>7</v>
      </c>
      <c r="O5" s="7">
        <v>7</v>
      </c>
      <c r="P5" s="7">
        <v>7</v>
      </c>
      <c r="Q5" s="7">
        <v>2</v>
      </c>
      <c r="R5" s="6">
        <v>3.8360530000000002</v>
      </c>
      <c r="S5" s="6">
        <v>0.41874999999999996</v>
      </c>
      <c r="T5" s="6">
        <v>0.47499999999999998</v>
      </c>
      <c r="U5" t="s">
        <v>608</v>
      </c>
      <c r="V5" s="5">
        <v>6</v>
      </c>
      <c r="W5" t="s">
        <v>932</v>
      </c>
      <c r="X5" s="7">
        <v>5</v>
      </c>
      <c r="Y5" s="7">
        <v>4</v>
      </c>
      <c r="Z5" s="7" t="s">
        <v>27</v>
      </c>
      <c r="AA5" s="6">
        <v>3.6856302899133633</v>
      </c>
      <c r="AB5" s="6">
        <v>0.58125000000000004</v>
      </c>
      <c r="AC5" s="6">
        <v>0.52500000000000002</v>
      </c>
      <c r="AD5" s="7">
        <v>5</v>
      </c>
    </row>
    <row r="6" spans="1:30" x14ac:dyDescent="0.3">
      <c r="A6" t="s">
        <v>65</v>
      </c>
      <c r="B6">
        <v>16</v>
      </c>
      <c r="C6" s="47" t="s">
        <v>252</v>
      </c>
      <c r="D6" t="s">
        <v>435</v>
      </c>
      <c r="E6" t="s">
        <v>728</v>
      </c>
      <c r="F6" s="5" t="s">
        <v>689</v>
      </c>
      <c r="G6" s="6">
        <v>30582.349445</v>
      </c>
      <c r="H6" s="6">
        <v>23177.833332999999</v>
      </c>
      <c r="I6" s="41">
        <v>16.7</v>
      </c>
      <c r="J6" s="6">
        <v>5.5119999999999996</v>
      </c>
      <c r="K6" s="6">
        <v>0</v>
      </c>
      <c r="L6" s="6">
        <v>100</v>
      </c>
      <c r="M6" s="6">
        <v>3.17</v>
      </c>
      <c r="N6" s="5">
        <v>7</v>
      </c>
      <c r="O6" s="7">
        <v>7</v>
      </c>
      <c r="P6" s="7">
        <v>7</v>
      </c>
      <c r="Q6" s="7">
        <v>2</v>
      </c>
      <c r="R6" s="6">
        <v>4.0118689999999999</v>
      </c>
      <c r="S6" s="6">
        <v>0.34375</v>
      </c>
      <c r="T6" s="6">
        <v>0.46760563380281694</v>
      </c>
      <c r="U6" t="s">
        <v>587</v>
      </c>
      <c r="V6" s="5">
        <v>7</v>
      </c>
      <c r="W6" t="s">
        <v>905</v>
      </c>
      <c r="X6" s="7">
        <v>6</v>
      </c>
      <c r="Y6" s="7">
        <v>5</v>
      </c>
      <c r="Z6" s="7" t="s">
        <v>28</v>
      </c>
      <c r="AA6" s="6">
        <v>4.1814571526761704</v>
      </c>
      <c r="AB6" s="6">
        <v>0.65625</v>
      </c>
      <c r="AC6" s="6">
        <v>0.53239436619718306</v>
      </c>
      <c r="AD6" s="7">
        <v>6</v>
      </c>
    </row>
    <row r="7" spans="1:30" x14ac:dyDescent="0.3">
      <c r="A7" t="s">
        <v>50</v>
      </c>
      <c r="B7">
        <v>169</v>
      </c>
      <c r="C7" t="s">
        <v>237</v>
      </c>
      <c r="D7" t="s">
        <v>423</v>
      </c>
      <c r="E7" t="s">
        <v>713</v>
      </c>
      <c r="F7" s="5" t="s">
        <v>687</v>
      </c>
      <c r="G7" s="6">
        <f>VLOOKUP(Table1[[#This Row],[Spanish]],[1]written_es_wordlist_bigram_abso!$1:$1048576, 2, 0)</f>
        <v>36499.951178000003</v>
      </c>
      <c r="H7" s="6">
        <f>VLOOKUP(Table1[[#This Row],[Spanish]], [1]written_es_wordlist_bigram_abso!$1:$1048576, 3, 0)</f>
        <v>20184.666667000001</v>
      </c>
      <c r="I7" s="41">
        <v>66.7</v>
      </c>
      <c r="J7" s="6">
        <v>6.48</v>
      </c>
      <c r="K7" s="6">
        <v>0</v>
      </c>
      <c r="L7" s="6">
        <v>100</v>
      </c>
      <c r="M7" s="6">
        <v>2.0099999999999998</v>
      </c>
      <c r="N7" s="5">
        <f>LEN(Table1[[#This Row],[Spanish]])</f>
        <v>7</v>
      </c>
      <c r="O7" s="7">
        <v>7</v>
      </c>
      <c r="P7" s="7">
        <v>7</v>
      </c>
      <c r="Q7" s="7">
        <v>3</v>
      </c>
      <c r="R7" s="6">
        <v>4.5110749999999999</v>
      </c>
      <c r="S7" s="6">
        <v>0.29629629629629628</v>
      </c>
      <c r="T7" s="6">
        <v>0.38688524590163942</v>
      </c>
      <c r="U7" t="s">
        <v>578</v>
      </c>
      <c r="V7" s="5">
        <v>7</v>
      </c>
      <c r="W7" t="s">
        <v>890</v>
      </c>
      <c r="X7" s="7">
        <v>4</v>
      </c>
      <c r="Y7" s="7">
        <v>3</v>
      </c>
      <c r="Z7" s="7" t="s">
        <v>27</v>
      </c>
      <c r="AA7" s="6">
        <v>6.2503084662146806</v>
      </c>
      <c r="AB7" s="6">
        <v>0.70370370370370372</v>
      </c>
      <c r="AC7" s="6">
        <v>0.61311475409836058</v>
      </c>
      <c r="AD7" s="7">
        <v>6</v>
      </c>
    </row>
    <row r="8" spans="1:30" x14ac:dyDescent="0.3">
      <c r="A8" t="s">
        <v>145</v>
      </c>
      <c r="B8">
        <v>175</v>
      </c>
      <c r="C8" s="47" t="s">
        <v>332</v>
      </c>
      <c r="D8" t="s">
        <v>506</v>
      </c>
      <c r="E8" t="s">
        <v>806</v>
      </c>
      <c r="F8" s="5" t="s">
        <v>689</v>
      </c>
      <c r="G8" s="6">
        <v>36080.838363000003</v>
      </c>
      <c r="H8" s="6">
        <v>18336</v>
      </c>
      <c r="I8" s="41">
        <v>60</v>
      </c>
      <c r="J8" s="6">
        <v>6.0620000000000003</v>
      </c>
      <c r="K8" s="6">
        <v>0.194391858</v>
      </c>
      <c r="L8" s="6">
        <v>97</v>
      </c>
      <c r="M8" s="6">
        <v>2.93</v>
      </c>
      <c r="N8" s="5">
        <v>6</v>
      </c>
      <c r="O8" s="7">
        <v>6</v>
      </c>
      <c r="P8" s="7">
        <v>6</v>
      </c>
      <c r="Q8" s="7">
        <v>3</v>
      </c>
      <c r="R8" s="6">
        <v>4.5818450000000004</v>
      </c>
      <c r="S8" s="6">
        <v>0.55081967213114758</v>
      </c>
      <c r="T8" s="6">
        <v>0.49411764705882355</v>
      </c>
      <c r="U8" t="s">
        <v>645</v>
      </c>
      <c r="V8" s="5">
        <v>7</v>
      </c>
      <c r="W8" t="s">
        <v>983</v>
      </c>
      <c r="X8" s="7">
        <v>6</v>
      </c>
      <c r="Y8" s="7">
        <v>5</v>
      </c>
      <c r="Z8" s="7" t="s">
        <v>28</v>
      </c>
      <c r="AA8" s="6">
        <v>4.7099621555838196</v>
      </c>
      <c r="AB8" s="6">
        <v>0.44918032786885242</v>
      </c>
      <c r="AC8" s="6">
        <v>0.50588235294117645</v>
      </c>
      <c r="AD8" s="7">
        <v>6</v>
      </c>
    </row>
    <row r="9" spans="1:30" x14ac:dyDescent="0.3">
      <c r="A9" t="s">
        <v>69</v>
      </c>
      <c r="B9">
        <v>178</v>
      </c>
      <c r="C9" s="47" t="s">
        <v>256</v>
      </c>
      <c r="D9" t="s">
        <v>439</v>
      </c>
      <c r="E9" t="s">
        <v>732</v>
      </c>
      <c r="F9" s="5" t="s">
        <v>684</v>
      </c>
      <c r="G9" s="6">
        <v>55849.965793000003</v>
      </c>
      <c r="H9" s="6">
        <v>21855.4</v>
      </c>
      <c r="I9" s="41">
        <v>60</v>
      </c>
      <c r="J9" s="6">
        <v>5.6950000000000003</v>
      </c>
      <c r="K9" s="6">
        <v>0.14257333</v>
      </c>
      <c r="L9" s="6">
        <v>97.979797980000001</v>
      </c>
      <c r="M9" s="6">
        <v>2.5858585860000001</v>
      </c>
      <c r="N9" s="5">
        <v>6</v>
      </c>
      <c r="O9" s="7">
        <v>6</v>
      </c>
      <c r="P9" s="7">
        <v>6</v>
      </c>
      <c r="Q9" s="7">
        <v>3</v>
      </c>
      <c r="R9" s="6">
        <v>4.8019379999999998</v>
      </c>
      <c r="S9" s="6">
        <v>0.35555555555555562</v>
      </c>
      <c r="T9" s="6">
        <v>0.57499999999999996</v>
      </c>
      <c r="U9" t="s">
        <v>590</v>
      </c>
      <c r="V9" s="5">
        <v>5</v>
      </c>
      <c r="W9" t="s">
        <v>909</v>
      </c>
      <c r="X9" s="7">
        <v>6</v>
      </c>
      <c r="Y9" s="7">
        <v>4</v>
      </c>
      <c r="Z9" s="7" t="s">
        <v>27</v>
      </c>
      <c r="AA9" s="6">
        <v>4.7070946799012008</v>
      </c>
      <c r="AB9" s="6">
        <v>0.64444444444444438</v>
      </c>
      <c r="AC9" s="6">
        <v>0.42500000000000004</v>
      </c>
      <c r="AD9" s="7">
        <v>5</v>
      </c>
    </row>
    <row r="10" spans="1:30" x14ac:dyDescent="0.3">
      <c r="A10" t="s">
        <v>134</v>
      </c>
      <c r="B10">
        <v>19</v>
      </c>
      <c r="C10" s="47" t="s">
        <v>321</v>
      </c>
      <c r="D10" t="s">
        <v>495</v>
      </c>
      <c r="E10" t="s">
        <v>795</v>
      </c>
      <c r="F10" s="5" t="s">
        <v>688</v>
      </c>
      <c r="G10" s="6">
        <v>12909.463820000001</v>
      </c>
      <c r="H10" s="6">
        <v>6140.3333329999996</v>
      </c>
      <c r="I10" s="41">
        <v>66.7</v>
      </c>
      <c r="J10" s="6">
        <v>4.6580000000000004</v>
      </c>
      <c r="K10" s="6">
        <v>0.34297895099999998</v>
      </c>
      <c r="L10" s="6">
        <v>94.845360819999996</v>
      </c>
      <c r="M10" s="6">
        <v>3.51</v>
      </c>
      <c r="N10" s="5">
        <v>4</v>
      </c>
      <c r="O10" s="7">
        <v>4</v>
      </c>
      <c r="P10" s="7">
        <v>4</v>
      </c>
      <c r="Q10" s="7">
        <v>3</v>
      </c>
      <c r="R10" s="6">
        <v>4.1520530000000004</v>
      </c>
      <c r="S10" s="6">
        <v>0.53333333333333333</v>
      </c>
      <c r="T10" s="6">
        <v>0.38400000000000001</v>
      </c>
      <c r="U10" t="s">
        <v>637</v>
      </c>
      <c r="V10" s="5">
        <v>8</v>
      </c>
      <c r="W10" t="s">
        <v>972</v>
      </c>
      <c r="X10" s="7">
        <v>6</v>
      </c>
      <c r="Y10" s="7">
        <v>4</v>
      </c>
      <c r="Z10" s="7" t="s">
        <v>28</v>
      </c>
      <c r="AA10" s="6">
        <v>4.3514502758133</v>
      </c>
      <c r="AB10" s="6">
        <v>0.46666666666666667</v>
      </c>
      <c r="AC10" s="6">
        <v>0.61599999999999999</v>
      </c>
      <c r="AD10" s="7">
        <v>6</v>
      </c>
    </row>
    <row r="11" spans="1:30" x14ac:dyDescent="0.3">
      <c r="A11" s="54" t="s">
        <v>104</v>
      </c>
      <c r="B11" s="54">
        <v>199</v>
      </c>
      <c r="C11" s="47" t="s">
        <v>291</v>
      </c>
      <c r="D11" s="54" t="s">
        <v>471</v>
      </c>
      <c r="E11" s="54" t="s">
        <v>765</v>
      </c>
      <c r="F11" s="55" t="s">
        <v>685</v>
      </c>
      <c r="G11" s="57">
        <f>VLOOKUP(Table1[[#This Row],[Spanish]],[1]written_es_wordlist_bigram_abso!$1:$1048576, 2, 0)</f>
        <v>30582.349445</v>
      </c>
      <c r="H11" s="57">
        <f>VLOOKUP(Table1[[#This Row],[Spanish]], [1]written_es_wordlist_bigram_abso!$1:$1048576, 3, 0)</f>
        <v>23177.833332999999</v>
      </c>
      <c r="I11" s="59">
        <v>50</v>
      </c>
      <c r="J11" s="57">
        <v>6.5910000000000002</v>
      </c>
      <c r="K11" s="57">
        <v>0</v>
      </c>
      <c r="L11" s="57">
        <v>100</v>
      </c>
      <c r="M11" s="57">
        <v>2.3199999999999998</v>
      </c>
      <c r="N11" s="55">
        <v>5</v>
      </c>
      <c r="O11" s="61">
        <v>5</v>
      </c>
      <c r="P11" s="61">
        <v>5</v>
      </c>
      <c r="Q11" s="61">
        <v>3</v>
      </c>
      <c r="R11" s="57">
        <v>3.921027</v>
      </c>
      <c r="S11" s="57">
        <v>0.4392156862745098</v>
      </c>
      <c r="T11" s="57">
        <v>0.52413793103448281</v>
      </c>
      <c r="U11" s="54" t="s">
        <v>615</v>
      </c>
      <c r="V11" s="55">
        <v>4</v>
      </c>
      <c r="W11" s="54" t="s">
        <v>942</v>
      </c>
      <c r="X11" s="61">
        <v>5</v>
      </c>
      <c r="Y11" s="61">
        <v>4</v>
      </c>
      <c r="Z11" s="61" t="s">
        <v>27</v>
      </c>
      <c r="AA11" s="57">
        <v>3.8073342510749844</v>
      </c>
      <c r="AB11" s="57">
        <v>0.5607843137254902</v>
      </c>
      <c r="AC11" s="57">
        <v>0.47586206896551719</v>
      </c>
      <c r="AD11" s="61">
        <v>5</v>
      </c>
    </row>
    <row r="12" spans="1:30" x14ac:dyDescent="0.3">
      <c r="A12" t="s">
        <v>33</v>
      </c>
      <c r="B12">
        <v>235</v>
      </c>
      <c r="C12" s="47" t="s">
        <v>220</v>
      </c>
      <c r="D12" t="s">
        <v>407</v>
      </c>
      <c r="E12" t="s">
        <v>696</v>
      </c>
      <c r="F12" s="5" t="s">
        <v>683</v>
      </c>
      <c r="G12" s="6">
        <v>5250.035895</v>
      </c>
      <c r="H12" s="6">
        <v>4243.25</v>
      </c>
      <c r="I12" s="41">
        <v>50</v>
      </c>
      <c r="J12" s="6">
        <v>5.93</v>
      </c>
      <c r="K12" s="6">
        <v>0.33228663000000003</v>
      </c>
      <c r="L12" s="6">
        <v>93.877551019999999</v>
      </c>
      <c r="M12" s="6">
        <v>1.81</v>
      </c>
      <c r="N12" s="5">
        <v>5</v>
      </c>
      <c r="O12" s="7">
        <v>5</v>
      </c>
      <c r="P12" s="7">
        <v>5</v>
      </c>
      <c r="Q12" s="7">
        <v>3</v>
      </c>
      <c r="R12" s="6">
        <v>3.8020269999999998</v>
      </c>
      <c r="S12" s="6">
        <v>0.18723404255319154</v>
      </c>
      <c r="T12" s="6">
        <v>0.42448979591836733</v>
      </c>
      <c r="U12" t="s">
        <v>565</v>
      </c>
      <c r="V12" s="5">
        <v>6</v>
      </c>
      <c r="W12" t="s">
        <v>873</v>
      </c>
      <c r="X12" s="7">
        <v>6</v>
      </c>
      <c r="Y12" s="7">
        <v>4</v>
      </c>
      <c r="Z12" s="7" t="s">
        <v>28</v>
      </c>
      <c r="AA12" s="6">
        <v>3.9287318365867443</v>
      </c>
      <c r="AB12" s="6">
        <v>0.81276595744680846</v>
      </c>
      <c r="AC12" s="6">
        <v>0.57551020408163267</v>
      </c>
      <c r="AD12" s="7">
        <v>6</v>
      </c>
    </row>
    <row r="13" spans="1:30" x14ac:dyDescent="0.3">
      <c r="A13" t="s">
        <v>87</v>
      </c>
      <c r="B13">
        <v>242</v>
      </c>
      <c r="C13" s="47" t="s">
        <v>274</v>
      </c>
      <c r="D13" t="s">
        <v>456</v>
      </c>
      <c r="E13" t="s">
        <v>749</v>
      </c>
      <c r="F13" s="5" t="s">
        <v>689</v>
      </c>
      <c r="G13" s="6">
        <v>44016.175439999999</v>
      </c>
      <c r="H13" s="6">
        <v>31132.5</v>
      </c>
      <c r="I13" s="41">
        <v>16.7</v>
      </c>
      <c r="J13" s="6">
        <v>5.9509999999999996</v>
      </c>
      <c r="K13" s="6">
        <v>0.14372616999999999</v>
      </c>
      <c r="L13" s="6">
        <v>97.959183670000002</v>
      </c>
      <c r="M13" s="6">
        <v>2.92</v>
      </c>
      <c r="N13" s="5">
        <v>7</v>
      </c>
      <c r="O13" s="7">
        <v>7</v>
      </c>
      <c r="P13" s="7">
        <v>7</v>
      </c>
      <c r="Q13" s="7">
        <v>2</v>
      </c>
      <c r="R13" s="6">
        <v>3.2691659999999998</v>
      </c>
      <c r="S13" s="6">
        <v>0.40493827160493834</v>
      </c>
      <c r="T13" s="6">
        <v>0.38974358974358969</v>
      </c>
      <c r="U13" t="s">
        <v>604</v>
      </c>
      <c r="V13" s="5">
        <v>5</v>
      </c>
      <c r="W13" t="s">
        <v>926</v>
      </c>
      <c r="X13" s="7">
        <v>7</v>
      </c>
      <c r="Y13" s="7">
        <v>7</v>
      </c>
      <c r="Z13" s="7" t="s">
        <v>28</v>
      </c>
      <c r="AA13" s="6">
        <v>4.0224811057599119</v>
      </c>
      <c r="AB13" s="6">
        <v>0.59506172839506166</v>
      </c>
      <c r="AC13" s="6">
        <v>0.61025641025641031</v>
      </c>
      <c r="AD13" s="7">
        <v>6</v>
      </c>
    </row>
    <row r="14" spans="1:30" x14ac:dyDescent="0.3">
      <c r="A14" t="s">
        <v>124</v>
      </c>
      <c r="B14">
        <v>264</v>
      </c>
      <c r="C14" s="47" t="s">
        <v>311</v>
      </c>
      <c r="D14" t="s">
        <v>311</v>
      </c>
      <c r="E14" t="s">
        <v>785</v>
      </c>
      <c r="F14" s="5" t="s">
        <v>687</v>
      </c>
      <c r="G14" s="6">
        <v>34693.929225</v>
      </c>
      <c r="H14" s="6">
        <v>21947.333332999999</v>
      </c>
      <c r="I14" s="41">
        <v>66.7</v>
      </c>
      <c r="J14" s="6">
        <v>6.7169999999999996</v>
      </c>
      <c r="K14" s="6">
        <v>0.24229218899999999</v>
      </c>
      <c r="L14" s="6">
        <v>96</v>
      </c>
      <c r="M14" s="6">
        <v>2.17</v>
      </c>
      <c r="N14" s="5">
        <v>4</v>
      </c>
      <c r="O14" s="7">
        <v>4</v>
      </c>
      <c r="P14" s="7">
        <v>4</v>
      </c>
      <c r="Q14" s="7">
        <v>3</v>
      </c>
      <c r="R14" s="6">
        <v>5.3698079999999999</v>
      </c>
      <c r="S14" s="6">
        <v>0.49090909090909096</v>
      </c>
      <c r="T14" s="6">
        <v>0.49090909090909096</v>
      </c>
      <c r="U14" t="s">
        <v>629</v>
      </c>
      <c r="V14" s="5">
        <v>4</v>
      </c>
      <c r="W14" t="s">
        <v>962</v>
      </c>
      <c r="X14" s="7">
        <v>4</v>
      </c>
      <c r="Y14" s="7">
        <v>4</v>
      </c>
      <c r="Z14" s="7" t="s">
        <v>27</v>
      </c>
      <c r="AA14" s="6">
        <v>5.4366192566250202</v>
      </c>
      <c r="AB14" s="6">
        <v>0.50909090909090904</v>
      </c>
      <c r="AC14" s="6">
        <v>0.50909090909090904</v>
      </c>
      <c r="AD14" s="7">
        <v>2</v>
      </c>
    </row>
    <row r="15" spans="1:30" x14ac:dyDescent="0.3">
      <c r="A15" t="s">
        <v>66</v>
      </c>
      <c r="B15">
        <v>271</v>
      </c>
      <c r="C15" s="47" t="s">
        <v>253</v>
      </c>
      <c r="D15" t="s">
        <v>436</v>
      </c>
      <c r="E15" t="s">
        <v>729</v>
      </c>
      <c r="F15" s="5" t="s">
        <v>688</v>
      </c>
      <c r="G15" s="6">
        <v>27908.385794999998</v>
      </c>
      <c r="H15" s="6">
        <v>14225.2</v>
      </c>
      <c r="I15" s="41">
        <v>60</v>
      </c>
      <c r="J15" s="6">
        <v>6.0609999999999999</v>
      </c>
      <c r="K15" s="6">
        <v>0</v>
      </c>
      <c r="L15" s="6">
        <v>100</v>
      </c>
      <c r="M15" s="6">
        <v>2.82</v>
      </c>
      <c r="N15" s="5">
        <v>6</v>
      </c>
      <c r="O15" s="7">
        <v>6</v>
      </c>
      <c r="P15" s="7">
        <v>6</v>
      </c>
      <c r="Q15" s="7">
        <v>3</v>
      </c>
      <c r="R15" s="6">
        <v>3.9318909999999998</v>
      </c>
      <c r="S15" s="6">
        <v>0.34385964912280698</v>
      </c>
      <c r="T15" s="6">
        <v>0.32666666666666666</v>
      </c>
      <c r="U15" t="s">
        <v>588</v>
      </c>
      <c r="V15" s="5">
        <v>5</v>
      </c>
      <c r="W15" t="s">
        <v>906</v>
      </c>
      <c r="X15" s="7">
        <v>6</v>
      </c>
      <c r="Y15" s="7">
        <v>5</v>
      </c>
      <c r="Z15" s="7" t="s">
        <v>28</v>
      </c>
      <c r="AA15" s="6">
        <v>4.3894626751182368</v>
      </c>
      <c r="AB15" s="6">
        <v>0.65614035087719302</v>
      </c>
      <c r="AC15" s="6">
        <v>0.67333333333333334</v>
      </c>
      <c r="AD15" s="7">
        <v>6</v>
      </c>
    </row>
    <row r="16" spans="1:30" x14ac:dyDescent="0.3">
      <c r="A16" t="s">
        <v>54</v>
      </c>
      <c r="B16">
        <v>30</v>
      </c>
      <c r="C16" s="47" t="s">
        <v>241</v>
      </c>
      <c r="D16" t="s">
        <v>426</v>
      </c>
      <c r="E16" t="s">
        <v>717</v>
      </c>
      <c r="F16" s="5" t="s">
        <v>684</v>
      </c>
      <c r="G16" s="6">
        <v>24817.077206999998</v>
      </c>
      <c r="H16" s="6">
        <v>18967.599999999999</v>
      </c>
      <c r="I16" s="41">
        <v>40</v>
      </c>
      <c r="J16" s="6">
        <v>4.9930000000000003</v>
      </c>
      <c r="K16" s="6">
        <v>0.39156941699999998</v>
      </c>
      <c r="L16" s="6">
        <v>93.81443299</v>
      </c>
      <c r="M16" s="6">
        <v>3.56</v>
      </c>
      <c r="N16" s="5">
        <v>6</v>
      </c>
      <c r="O16" s="7">
        <v>6</v>
      </c>
      <c r="P16" s="7">
        <v>6</v>
      </c>
      <c r="Q16" s="7">
        <v>2</v>
      </c>
      <c r="R16" s="6">
        <v>4.0460500000000001</v>
      </c>
      <c r="S16" s="6">
        <v>0.32727272727272727</v>
      </c>
      <c r="T16" s="6">
        <v>0.4814814814814814</v>
      </c>
      <c r="U16" t="s">
        <v>580</v>
      </c>
      <c r="V16" s="5">
        <v>7</v>
      </c>
      <c r="W16" t="s">
        <v>894</v>
      </c>
      <c r="X16" s="7">
        <v>4</v>
      </c>
      <c r="Y16" s="7">
        <v>3</v>
      </c>
      <c r="Z16" s="7" t="s">
        <v>27</v>
      </c>
      <c r="AA16" s="6">
        <v>4.8123434701828387</v>
      </c>
      <c r="AB16" s="6">
        <v>0.67272727272727273</v>
      </c>
      <c r="AC16" s="6">
        <v>0.5185185185185186</v>
      </c>
      <c r="AD16" s="7">
        <v>5</v>
      </c>
    </row>
    <row r="17" spans="1:30" x14ac:dyDescent="0.3">
      <c r="A17" t="s">
        <v>160</v>
      </c>
      <c r="B17">
        <v>319</v>
      </c>
      <c r="C17" s="47" t="s">
        <v>347</v>
      </c>
      <c r="D17" t="s">
        <v>519</v>
      </c>
      <c r="E17" t="s">
        <v>821</v>
      </c>
      <c r="F17" s="5" t="s">
        <v>688</v>
      </c>
      <c r="G17" s="6">
        <v>24357.135837000002</v>
      </c>
      <c r="H17" s="6">
        <v>15824.333333</v>
      </c>
      <c r="I17" s="41">
        <v>0</v>
      </c>
      <c r="J17" s="6">
        <v>6.0229999999999997</v>
      </c>
      <c r="K17" s="6">
        <v>0</v>
      </c>
      <c r="L17" s="6">
        <v>100</v>
      </c>
      <c r="M17" s="6">
        <v>2.65</v>
      </c>
      <c r="N17" s="5">
        <v>4</v>
      </c>
      <c r="O17" s="7">
        <v>4</v>
      </c>
      <c r="P17" s="7">
        <v>4</v>
      </c>
      <c r="Q17" s="7">
        <v>2</v>
      </c>
      <c r="R17" s="6">
        <v>4.1650790000000004</v>
      </c>
      <c r="S17" s="6">
        <v>0.60606060606060608</v>
      </c>
      <c r="T17" s="6">
        <v>0.48484848484848486</v>
      </c>
      <c r="U17" t="s">
        <v>656</v>
      </c>
      <c r="V17" s="5">
        <v>4</v>
      </c>
      <c r="W17" t="s">
        <v>998</v>
      </c>
      <c r="X17" s="7">
        <v>3</v>
      </c>
      <c r="Y17" s="7">
        <v>2</v>
      </c>
      <c r="Z17" s="7" t="s">
        <v>27</v>
      </c>
      <c r="AA17" s="6">
        <v>4.4401069535264508</v>
      </c>
      <c r="AB17" s="6">
        <v>0.39393939393939392</v>
      </c>
      <c r="AC17" s="6">
        <v>0.51515151515151514</v>
      </c>
      <c r="AD17" s="7">
        <v>4</v>
      </c>
    </row>
    <row r="18" spans="1:30" x14ac:dyDescent="0.3">
      <c r="A18" t="s">
        <v>126</v>
      </c>
      <c r="B18">
        <v>320</v>
      </c>
      <c r="C18" s="47" t="s">
        <v>313</v>
      </c>
      <c r="D18" t="s">
        <v>487</v>
      </c>
      <c r="E18" t="s">
        <v>787</v>
      </c>
      <c r="F18" s="5" t="s">
        <v>684</v>
      </c>
      <c r="G18" s="6">
        <v>30828.726033999999</v>
      </c>
      <c r="H18" s="6">
        <v>16670.5</v>
      </c>
      <c r="I18" s="41">
        <v>83.3</v>
      </c>
      <c r="J18" s="6">
        <v>5.7130000000000001</v>
      </c>
      <c r="K18" s="6">
        <v>0.24793583799999999</v>
      </c>
      <c r="L18" s="6">
        <v>95.87628866</v>
      </c>
      <c r="M18" s="6">
        <v>2.88</v>
      </c>
      <c r="N18" s="5">
        <v>7</v>
      </c>
      <c r="O18" s="7">
        <v>7</v>
      </c>
      <c r="P18" s="7">
        <v>7</v>
      </c>
      <c r="Q18" s="7">
        <v>2</v>
      </c>
      <c r="R18" s="6">
        <v>5.3351069999999998</v>
      </c>
      <c r="S18" s="6">
        <v>0.496</v>
      </c>
      <c r="T18" s="6">
        <v>0.29859154929577469</v>
      </c>
      <c r="U18" t="s">
        <v>631</v>
      </c>
      <c r="V18" s="5">
        <v>5</v>
      </c>
      <c r="W18" t="s">
        <v>964</v>
      </c>
      <c r="X18" s="7">
        <v>6</v>
      </c>
      <c r="Y18" s="7">
        <v>3</v>
      </c>
      <c r="Z18" s="7" t="s">
        <v>27</v>
      </c>
      <c r="AA18" s="6">
        <v>5.0194414838122992</v>
      </c>
      <c r="AB18" s="6">
        <v>0.504</v>
      </c>
      <c r="AC18" s="6">
        <v>0.70140845070422531</v>
      </c>
      <c r="AD18" s="7">
        <v>7</v>
      </c>
    </row>
    <row r="19" spans="1:30" x14ac:dyDescent="0.3">
      <c r="A19" t="s">
        <v>79</v>
      </c>
      <c r="B19">
        <v>338</v>
      </c>
      <c r="C19" t="s">
        <v>266</v>
      </c>
      <c r="D19" t="s">
        <v>448</v>
      </c>
      <c r="E19" t="s">
        <v>741</v>
      </c>
      <c r="F19" s="5" t="s">
        <v>683</v>
      </c>
      <c r="G19" s="6">
        <f>VLOOKUP(Table1[[#This Row],[Spanish]],[1]written_es_wordlist_bigram_abso!$1:$1048576, 2, 0)</f>
        <v>5250.035895</v>
      </c>
      <c r="H19" s="6">
        <f>VLOOKUP(Table1[[#This Row],[Spanish]], [1]written_es_wordlist_bigram_abso!$1:$1048576, 3, 0)</f>
        <v>4243.25</v>
      </c>
      <c r="I19" s="41">
        <v>20</v>
      </c>
      <c r="J19" s="6">
        <v>6.03</v>
      </c>
      <c r="K19" s="6">
        <v>0</v>
      </c>
      <c r="L19" s="6">
        <v>100</v>
      </c>
      <c r="M19" s="6">
        <v>1.85</v>
      </c>
      <c r="N19" s="5">
        <v>6</v>
      </c>
      <c r="O19" s="7">
        <v>6</v>
      </c>
      <c r="P19" s="7">
        <v>6</v>
      </c>
      <c r="Q19" s="7">
        <v>3</v>
      </c>
      <c r="R19" s="6">
        <v>4.178007</v>
      </c>
      <c r="S19" s="6">
        <v>0.4</v>
      </c>
      <c r="T19" s="6">
        <v>0.36619718309859151</v>
      </c>
      <c r="U19" t="s">
        <v>598</v>
      </c>
      <c r="V19" s="5">
        <v>5</v>
      </c>
      <c r="W19" t="s">
        <v>918</v>
      </c>
      <c r="X19" s="7">
        <v>7</v>
      </c>
      <c r="Y19" s="7">
        <v>7</v>
      </c>
      <c r="Z19" s="7" t="s">
        <v>28</v>
      </c>
      <c r="AA19" s="6">
        <v>4.9011025140610665</v>
      </c>
      <c r="AB19" s="6">
        <v>0.6</v>
      </c>
      <c r="AC19" s="6">
        <v>0.63380281690140849</v>
      </c>
      <c r="AD19" s="7">
        <v>5</v>
      </c>
    </row>
    <row r="20" spans="1:30" x14ac:dyDescent="0.3">
      <c r="A20" s="54" t="s">
        <v>68</v>
      </c>
      <c r="B20" s="54">
        <v>35</v>
      </c>
      <c r="C20" s="47" t="s">
        <v>255</v>
      </c>
      <c r="D20" s="54" t="s">
        <v>438</v>
      </c>
      <c r="E20" s="54" t="s">
        <v>731</v>
      </c>
      <c r="F20" s="55" t="s">
        <v>687</v>
      </c>
      <c r="G20" s="57">
        <f>VLOOKUP(Table1[[#This Row],[Spanish]],[1]written_es_wordlist_bigram_abso!$1:$1048576, 2, 0)</f>
        <v>44016.175439999999</v>
      </c>
      <c r="H20" s="57">
        <f>VLOOKUP(Table1[[#This Row],[Spanish]], [1]written_es_wordlist_bigram_abso!$1:$1048576, 3, 0)</f>
        <v>31132.5</v>
      </c>
      <c r="I20" s="59">
        <v>75</v>
      </c>
      <c r="J20" s="57">
        <v>6.4509999999999996</v>
      </c>
      <c r="K20" s="57">
        <v>0</v>
      </c>
      <c r="L20" s="57">
        <v>100</v>
      </c>
      <c r="M20" s="57">
        <v>2.0707070710000002</v>
      </c>
      <c r="N20" s="55">
        <v>5</v>
      </c>
      <c r="O20" s="61">
        <v>5</v>
      </c>
      <c r="P20" s="61">
        <v>5</v>
      </c>
      <c r="Q20" s="61">
        <v>3</v>
      </c>
      <c r="R20" s="57">
        <v>4.3224729999999996</v>
      </c>
      <c r="S20" s="57">
        <v>0.34482758620689657</v>
      </c>
      <c r="T20" s="57">
        <v>0.5</v>
      </c>
      <c r="U20" s="54" t="s">
        <v>589</v>
      </c>
      <c r="V20" s="55">
        <v>6</v>
      </c>
      <c r="W20" s="54" t="s">
        <v>908</v>
      </c>
      <c r="X20" s="61">
        <v>3</v>
      </c>
      <c r="Y20" s="61">
        <v>2</v>
      </c>
      <c r="Z20" s="61" t="s">
        <v>27</v>
      </c>
      <c r="AA20" s="57">
        <v>4.4060223738974811</v>
      </c>
      <c r="AB20" s="57">
        <v>0.65517241379310343</v>
      </c>
      <c r="AC20" s="57">
        <v>0.5</v>
      </c>
      <c r="AD20" s="61">
        <v>4</v>
      </c>
    </row>
    <row r="21" spans="1:30" x14ac:dyDescent="0.3">
      <c r="A21" t="s">
        <v>132</v>
      </c>
      <c r="B21">
        <v>381</v>
      </c>
      <c r="C21" s="47" t="s">
        <v>319</v>
      </c>
      <c r="D21" t="s">
        <v>493</v>
      </c>
      <c r="E21" t="s">
        <v>793</v>
      </c>
      <c r="F21" s="5" t="s">
        <v>686</v>
      </c>
      <c r="G21" s="6">
        <v>43557.05414</v>
      </c>
      <c r="H21" s="6">
        <v>26729.25</v>
      </c>
      <c r="I21" s="41">
        <v>0</v>
      </c>
      <c r="J21" s="6">
        <v>6.67</v>
      </c>
      <c r="K21" s="6">
        <v>0</v>
      </c>
      <c r="L21" s="6">
        <v>100</v>
      </c>
      <c r="M21" s="6">
        <v>2.17</v>
      </c>
      <c r="N21" s="5">
        <v>5</v>
      </c>
      <c r="O21" s="7">
        <v>5</v>
      </c>
      <c r="P21" s="7">
        <v>5</v>
      </c>
      <c r="Q21" s="7">
        <v>2</v>
      </c>
      <c r="R21" s="6">
        <v>3.2999390000000002</v>
      </c>
      <c r="S21" s="6">
        <v>0.51830985915492955</v>
      </c>
      <c r="T21" s="6">
        <v>0.46913580246913578</v>
      </c>
      <c r="U21" t="s">
        <v>635</v>
      </c>
      <c r="V21" s="5">
        <v>6</v>
      </c>
      <c r="W21" t="s">
        <v>970</v>
      </c>
      <c r="X21" s="7">
        <v>10</v>
      </c>
      <c r="Y21" s="7">
        <v>8</v>
      </c>
      <c r="Z21" s="7" t="s">
        <v>29</v>
      </c>
      <c r="AA21" s="6">
        <v>3.986437969482445</v>
      </c>
      <c r="AB21" s="6">
        <v>0.48169014084507045</v>
      </c>
      <c r="AC21" s="6">
        <v>0.53086419753086422</v>
      </c>
      <c r="AD21" s="7">
        <v>8</v>
      </c>
    </row>
    <row r="22" spans="1:30" x14ac:dyDescent="0.3">
      <c r="A22" t="s">
        <v>82</v>
      </c>
      <c r="B22">
        <v>446</v>
      </c>
      <c r="C22" t="s">
        <v>269</v>
      </c>
      <c r="D22" t="s">
        <v>451</v>
      </c>
      <c r="E22" t="s">
        <v>744</v>
      </c>
      <c r="F22" s="5" t="s">
        <v>688</v>
      </c>
      <c r="G22" s="6">
        <f>VLOOKUP(Table1[[#This Row],[Spanish]],[1]written_es_wordlist_bigram_abso!$1:$1048576, 2, 0)</f>
        <v>34693.929225</v>
      </c>
      <c r="H22" s="6">
        <f>VLOOKUP(Table1[[#This Row],[Spanish]], [1]written_es_wordlist_bigram_abso!$1:$1048576, 3, 0)</f>
        <v>21947.333332999999</v>
      </c>
      <c r="I22" s="41">
        <v>25</v>
      </c>
      <c r="J22" s="6">
        <v>5.8040000000000003</v>
      </c>
      <c r="K22" s="6">
        <v>0</v>
      </c>
      <c r="L22" s="6">
        <v>100</v>
      </c>
      <c r="M22" s="6">
        <v>2.57</v>
      </c>
      <c r="N22" s="5">
        <v>5</v>
      </c>
      <c r="O22" s="7">
        <v>5</v>
      </c>
      <c r="P22" s="7">
        <v>5</v>
      </c>
      <c r="Q22" s="7">
        <v>2</v>
      </c>
      <c r="R22" s="6">
        <v>4.1808079999999999</v>
      </c>
      <c r="S22" s="6">
        <v>0.4</v>
      </c>
      <c r="T22" s="6">
        <v>0.54545454545454541</v>
      </c>
      <c r="U22" t="s">
        <v>601</v>
      </c>
      <c r="V22" s="5">
        <v>4</v>
      </c>
      <c r="W22" t="s">
        <v>921</v>
      </c>
      <c r="X22" s="7">
        <v>3</v>
      </c>
      <c r="Y22" s="7">
        <v>3</v>
      </c>
      <c r="Z22" s="7" t="s">
        <v>27</v>
      </c>
      <c r="AA22" s="6">
        <v>4.5111806424389407</v>
      </c>
      <c r="AB22" s="6">
        <v>0.6</v>
      </c>
      <c r="AC22" s="6">
        <v>0.45454545454545459</v>
      </c>
      <c r="AD22" s="7">
        <v>5</v>
      </c>
    </row>
    <row r="23" spans="1:30" x14ac:dyDescent="0.3">
      <c r="A23" s="54" t="s">
        <v>141</v>
      </c>
      <c r="B23" s="54">
        <v>464</v>
      </c>
      <c r="C23" s="47" t="s">
        <v>328</v>
      </c>
      <c r="D23" s="54" t="s">
        <v>502</v>
      </c>
      <c r="E23" s="54" t="s">
        <v>802</v>
      </c>
      <c r="F23" s="55" t="s">
        <v>683</v>
      </c>
      <c r="G23" s="57">
        <f>VLOOKUP(Table1[[#This Row],[Spanish]],[1]written_es_wordlist_bigram_abso!$1:$1048576, 2, 0)</f>
        <v>19047.121326</v>
      </c>
      <c r="H23" s="57">
        <f>VLOOKUP(Table1[[#This Row],[Spanish]], [1]written_es_wordlist_bigram_abso!$1:$1048576, 3, 0)</f>
        <v>14832.333333</v>
      </c>
      <c r="I23" s="59">
        <v>66.7</v>
      </c>
      <c r="J23" s="57">
        <v>6.1639999999999997</v>
      </c>
      <c r="K23" s="57">
        <v>0</v>
      </c>
      <c r="L23" s="57">
        <v>100</v>
      </c>
      <c r="M23" s="57">
        <v>1.83</v>
      </c>
      <c r="N23" s="55">
        <f>LEN(Table1[[#This Row],[Spanish]])</f>
        <v>4</v>
      </c>
      <c r="O23" s="61">
        <v>4</v>
      </c>
      <c r="P23" s="61">
        <v>4</v>
      </c>
      <c r="Q23" s="61">
        <v>2</v>
      </c>
      <c r="R23" s="57">
        <v>3.806457</v>
      </c>
      <c r="S23" s="57">
        <v>0.54545454545454541</v>
      </c>
      <c r="T23" s="57">
        <v>0.4</v>
      </c>
      <c r="U23" s="54" t="s">
        <v>643</v>
      </c>
      <c r="V23" s="55">
        <v>5</v>
      </c>
      <c r="W23" s="54" t="s">
        <v>979</v>
      </c>
      <c r="X23" s="61">
        <v>6</v>
      </c>
      <c r="Y23" s="61">
        <v>4</v>
      </c>
      <c r="Z23" s="61" t="s">
        <v>28</v>
      </c>
      <c r="AA23" s="57">
        <v>4.0634642722815668</v>
      </c>
      <c r="AB23" s="57">
        <v>0.45454545454545459</v>
      </c>
      <c r="AC23" s="57">
        <v>0.6</v>
      </c>
      <c r="AD23" s="61">
        <v>6</v>
      </c>
    </row>
    <row r="24" spans="1:30" x14ac:dyDescent="0.3">
      <c r="A24" t="s">
        <v>94</v>
      </c>
      <c r="B24">
        <v>48</v>
      </c>
      <c r="C24" s="47" t="s">
        <v>281</v>
      </c>
      <c r="D24" t="s">
        <v>462</v>
      </c>
      <c r="E24" t="s">
        <v>756</v>
      </c>
      <c r="F24" s="5" t="s">
        <v>689</v>
      </c>
      <c r="G24" s="6">
        <v>24035.218084</v>
      </c>
      <c r="H24" s="6">
        <v>13155</v>
      </c>
      <c r="I24" s="41">
        <v>50</v>
      </c>
      <c r="J24" s="6" t="s">
        <v>1077</v>
      </c>
      <c r="K24" s="6">
        <v>0</v>
      </c>
      <c r="L24" s="6">
        <v>100</v>
      </c>
      <c r="M24" s="6">
        <v>2.73</v>
      </c>
      <c r="N24" s="5">
        <v>7</v>
      </c>
      <c r="O24" s="7">
        <v>7</v>
      </c>
      <c r="P24" s="7">
        <v>7</v>
      </c>
      <c r="Q24" s="7">
        <v>2</v>
      </c>
      <c r="R24" s="6">
        <v>3.1601300000000001</v>
      </c>
      <c r="S24" s="6">
        <v>0.42285714285714282</v>
      </c>
      <c r="T24" s="6">
        <v>0.38918918918918921</v>
      </c>
      <c r="U24" t="s">
        <v>609</v>
      </c>
      <c r="V24" s="5">
        <v>11</v>
      </c>
      <c r="W24" t="s">
        <v>933</v>
      </c>
      <c r="X24" s="7">
        <v>7</v>
      </c>
      <c r="Y24" s="7">
        <v>6</v>
      </c>
      <c r="Z24" s="7" t="s">
        <v>29</v>
      </c>
      <c r="AA24" s="6">
        <v>3.4810655612053574</v>
      </c>
      <c r="AB24" s="6">
        <v>0.57714285714285718</v>
      </c>
      <c r="AC24" s="6">
        <v>0.61081081081081079</v>
      </c>
      <c r="AD24" s="7">
        <v>7</v>
      </c>
    </row>
    <row r="25" spans="1:30" x14ac:dyDescent="0.3">
      <c r="A25" t="s">
        <v>44</v>
      </c>
      <c r="B25">
        <v>498</v>
      </c>
      <c r="C25" t="s">
        <v>231</v>
      </c>
      <c r="D25" t="s">
        <v>417</v>
      </c>
      <c r="E25" t="s">
        <v>707</v>
      </c>
      <c r="F25" s="5" t="s">
        <v>683</v>
      </c>
      <c r="G25" s="6">
        <f>VLOOKUP(Table1[[#This Row],[Spanish]],[1]written_es_wordlist_bigram_abso!$1:$1048576, 2, 0)</f>
        <v>21952.291766999999</v>
      </c>
      <c r="H25" s="6">
        <f>VLOOKUP(Table1[[#This Row],[Spanish]], [1]written_es_wordlist_bigram_abso!$1:$1048576, 3, 0)</f>
        <v>13657.6</v>
      </c>
      <c r="I25" s="41">
        <v>0</v>
      </c>
      <c r="J25" s="6">
        <v>5.3410000000000002</v>
      </c>
      <c r="K25" s="6">
        <v>0</v>
      </c>
      <c r="L25" s="6">
        <v>100</v>
      </c>
      <c r="M25" s="6">
        <v>1.52</v>
      </c>
      <c r="N25" s="5">
        <v>4</v>
      </c>
      <c r="O25" s="7">
        <v>4</v>
      </c>
      <c r="P25" s="7">
        <v>4</v>
      </c>
      <c r="Q25" s="7">
        <v>2</v>
      </c>
      <c r="R25" s="6">
        <v>3.790524</v>
      </c>
      <c r="S25" s="6">
        <v>0.2810810810810811</v>
      </c>
      <c r="T25" s="6">
        <v>0.2810810810810811</v>
      </c>
      <c r="U25" t="s">
        <v>1057</v>
      </c>
      <c r="V25" s="5">
        <v>5</v>
      </c>
      <c r="W25" t="s">
        <v>884</v>
      </c>
      <c r="X25" s="7">
        <v>3</v>
      </c>
      <c r="Y25" s="7">
        <v>3</v>
      </c>
      <c r="Z25" s="7" t="s">
        <v>27</v>
      </c>
      <c r="AA25" s="6">
        <v>3.9345342889085075</v>
      </c>
      <c r="AB25" s="6">
        <v>0.7189189189189189</v>
      </c>
      <c r="AC25" s="6">
        <v>0.7189189189189189</v>
      </c>
      <c r="AD25" s="7">
        <v>4</v>
      </c>
    </row>
    <row r="26" spans="1:30" x14ac:dyDescent="0.3">
      <c r="A26" s="53" t="s">
        <v>73</v>
      </c>
      <c r="B26" s="53">
        <v>517</v>
      </c>
      <c r="C26" s="48" t="s">
        <v>260</v>
      </c>
      <c r="D26" s="53" t="s">
        <v>443</v>
      </c>
      <c r="E26" s="53" t="s">
        <v>736</v>
      </c>
      <c r="F26" s="56" t="s">
        <v>683</v>
      </c>
      <c r="G26" s="58">
        <v>35819.704752999998</v>
      </c>
      <c r="H26" s="58">
        <v>14927.8</v>
      </c>
      <c r="I26" s="60">
        <v>40</v>
      </c>
      <c r="J26" s="58">
        <v>6.5469999999999997</v>
      </c>
      <c r="K26" s="58">
        <v>0.57421419200000001</v>
      </c>
      <c r="L26" s="58">
        <v>91</v>
      </c>
      <c r="M26" s="58">
        <v>1.94</v>
      </c>
      <c r="N26" s="56">
        <v>6</v>
      </c>
      <c r="O26" s="62">
        <v>6</v>
      </c>
      <c r="P26" s="62">
        <v>6</v>
      </c>
      <c r="Q26" s="62">
        <v>3</v>
      </c>
      <c r="R26" s="58">
        <v>4.3400429999999997</v>
      </c>
      <c r="S26" s="58">
        <v>0.376</v>
      </c>
      <c r="T26" s="58">
        <v>0.51200000000000001</v>
      </c>
      <c r="U26" s="53" t="s">
        <v>593</v>
      </c>
      <c r="V26" s="56">
        <v>5</v>
      </c>
      <c r="W26" s="53" t="s">
        <v>913</v>
      </c>
      <c r="X26" s="62">
        <v>4</v>
      </c>
      <c r="Y26" s="62">
        <v>3</v>
      </c>
      <c r="Z26" s="62" t="s">
        <v>27</v>
      </c>
      <c r="AA26" s="58">
        <v>4.3027616046293762</v>
      </c>
      <c r="AB26" s="58">
        <v>0.624</v>
      </c>
      <c r="AC26" s="58">
        <v>0.48799999999999999</v>
      </c>
      <c r="AD26" s="62">
        <v>6</v>
      </c>
    </row>
    <row r="27" spans="1:30" x14ac:dyDescent="0.3">
      <c r="A27" t="s">
        <v>36</v>
      </c>
      <c r="B27">
        <v>552</v>
      </c>
      <c r="C27" s="47" t="s">
        <v>223</v>
      </c>
      <c r="D27" t="s">
        <v>410</v>
      </c>
      <c r="E27" t="s">
        <v>699</v>
      </c>
      <c r="F27" s="5" t="s">
        <v>686</v>
      </c>
      <c r="G27" s="6">
        <v>28676.236914000001</v>
      </c>
      <c r="H27" s="6">
        <v>21339.666667000001</v>
      </c>
      <c r="I27" s="41">
        <v>83.3</v>
      </c>
      <c r="J27" s="6">
        <v>6.58</v>
      </c>
      <c r="K27" s="6">
        <v>0</v>
      </c>
      <c r="L27" s="6">
        <v>100</v>
      </c>
      <c r="M27" s="6">
        <v>2.13</v>
      </c>
      <c r="N27" s="5">
        <v>7</v>
      </c>
      <c r="O27" s="7">
        <v>7</v>
      </c>
      <c r="P27" s="7">
        <v>7</v>
      </c>
      <c r="Q27" s="7">
        <v>3</v>
      </c>
      <c r="R27" s="6">
        <v>3.9098839999999999</v>
      </c>
      <c r="S27" s="6">
        <v>0.23703703703703705</v>
      </c>
      <c r="T27" s="6">
        <v>0.30625000000000002</v>
      </c>
      <c r="U27" t="s">
        <v>568</v>
      </c>
      <c r="V27" s="5">
        <v>5</v>
      </c>
      <c r="W27" t="s">
        <v>876</v>
      </c>
      <c r="X27" s="7">
        <v>5</v>
      </c>
      <c r="Y27" s="7">
        <v>3</v>
      </c>
      <c r="Z27" s="7" t="s">
        <v>28</v>
      </c>
      <c r="AA27" s="6">
        <v>4.5841960442299765</v>
      </c>
      <c r="AB27" s="6">
        <v>0.76296296296296295</v>
      </c>
      <c r="AC27" s="6">
        <v>0.69374999999999998</v>
      </c>
      <c r="AD27" s="7">
        <v>6</v>
      </c>
    </row>
    <row r="28" spans="1:30" x14ac:dyDescent="0.3">
      <c r="A28" s="53" t="s">
        <v>35</v>
      </c>
      <c r="B28" s="53">
        <v>576</v>
      </c>
      <c r="C28" s="48" t="s">
        <v>222</v>
      </c>
      <c r="D28" s="53" t="s">
        <v>409</v>
      </c>
      <c r="E28" s="53" t="s">
        <v>698</v>
      </c>
      <c r="F28" s="56" t="s">
        <v>685</v>
      </c>
      <c r="G28" s="58">
        <f>VLOOKUP(Table1[[#This Row],[Spanish]],[1]written_es_wordlist_bigram_abso!$1:$1048576, 2, 0)</f>
        <v>30828.726033999999</v>
      </c>
      <c r="H28" s="58">
        <f>VLOOKUP(Table1[[#This Row],[Spanish]], [1]written_es_wordlist_bigram_abso!$1:$1048576, 3, 0)</f>
        <v>16670.5</v>
      </c>
      <c r="I28" s="60">
        <v>80</v>
      </c>
      <c r="J28" s="58">
        <v>6.3280000000000003</v>
      </c>
      <c r="K28" s="58">
        <v>0</v>
      </c>
      <c r="L28" s="58">
        <v>100</v>
      </c>
      <c r="M28" s="58">
        <v>1.92</v>
      </c>
      <c r="N28" s="56">
        <v>6</v>
      </c>
      <c r="O28" s="62">
        <v>6</v>
      </c>
      <c r="P28" s="62">
        <v>6</v>
      </c>
      <c r="Q28" s="62">
        <v>2</v>
      </c>
      <c r="R28" s="58">
        <v>3.5675309999999998</v>
      </c>
      <c r="S28" s="58">
        <v>0.22978723404255319</v>
      </c>
      <c r="T28" s="58">
        <v>0.512280701754386</v>
      </c>
      <c r="U28" s="53" t="s">
        <v>567</v>
      </c>
      <c r="V28" s="56">
        <v>8</v>
      </c>
      <c r="W28" s="53" t="s">
        <v>875</v>
      </c>
      <c r="X28" s="62">
        <v>5</v>
      </c>
      <c r="Y28" s="62">
        <v>4</v>
      </c>
      <c r="Z28" s="62" t="s">
        <v>27</v>
      </c>
      <c r="AA28" s="58">
        <v>3.8100130227561766</v>
      </c>
      <c r="AB28" s="58">
        <v>0.77021276595744681</v>
      </c>
      <c r="AC28" s="58">
        <v>0.487719298245614</v>
      </c>
      <c r="AD28" s="62">
        <v>4</v>
      </c>
    </row>
    <row r="29" spans="1:30" x14ac:dyDescent="0.3">
      <c r="A29" s="53" t="s">
        <v>110</v>
      </c>
      <c r="B29" s="53">
        <v>610</v>
      </c>
      <c r="C29" s="48" t="s">
        <v>297</v>
      </c>
      <c r="D29" s="53" t="s">
        <v>477</v>
      </c>
      <c r="E29" s="53" t="s">
        <v>771</v>
      </c>
      <c r="F29" s="56" t="s">
        <v>686</v>
      </c>
      <c r="G29" s="58">
        <v>35954.408175999997</v>
      </c>
      <c r="H29" s="58">
        <v>11338</v>
      </c>
      <c r="I29" s="60">
        <v>66.7</v>
      </c>
      <c r="J29" s="58">
        <v>5.4009999999999998</v>
      </c>
      <c r="K29" s="58">
        <v>0</v>
      </c>
      <c r="L29" s="58">
        <v>100</v>
      </c>
      <c r="M29" s="58">
        <v>2.3838383840000001</v>
      </c>
      <c r="N29" s="56">
        <v>4</v>
      </c>
      <c r="O29" s="62">
        <v>4</v>
      </c>
      <c r="P29" s="62">
        <v>4</v>
      </c>
      <c r="Q29" s="62">
        <v>3</v>
      </c>
      <c r="R29" s="58">
        <v>4.2208699999999997</v>
      </c>
      <c r="S29" s="58">
        <v>0.45999999999999996</v>
      </c>
      <c r="T29" s="58">
        <v>0.45581395348837206</v>
      </c>
      <c r="U29" s="53" t="s">
        <v>619</v>
      </c>
      <c r="V29" s="56">
        <v>5</v>
      </c>
      <c r="W29" s="53" t="s">
        <v>948</v>
      </c>
      <c r="X29" s="62">
        <v>5</v>
      </c>
      <c r="Y29" s="62">
        <v>4</v>
      </c>
      <c r="Z29" s="62" t="s">
        <v>28</v>
      </c>
      <c r="AA29" s="58">
        <v>4.5976297581684111</v>
      </c>
      <c r="AB29" s="58">
        <v>0.54</v>
      </c>
      <c r="AC29" s="58">
        <v>0.54418604651162794</v>
      </c>
      <c r="AD29" s="62">
        <v>4</v>
      </c>
    </row>
    <row r="30" spans="1:30" x14ac:dyDescent="0.3">
      <c r="A30" t="s">
        <v>120</v>
      </c>
      <c r="B30">
        <v>687</v>
      </c>
      <c r="C30" s="47" t="s">
        <v>307</v>
      </c>
      <c r="D30" t="s">
        <v>484</v>
      </c>
      <c r="E30" t="s">
        <v>781</v>
      </c>
      <c r="F30" s="5" t="s">
        <v>685</v>
      </c>
      <c r="G30" s="6">
        <v>22892.294839999999</v>
      </c>
      <c r="H30" s="6">
        <v>16832.599999999999</v>
      </c>
      <c r="I30" s="41">
        <v>40</v>
      </c>
      <c r="J30" s="6">
        <v>6.2809999999999997</v>
      </c>
      <c r="K30" s="6">
        <v>0</v>
      </c>
      <c r="L30" s="6">
        <v>100</v>
      </c>
      <c r="M30" s="6">
        <v>1.86</v>
      </c>
      <c r="N30" s="5">
        <v>6</v>
      </c>
      <c r="O30" s="7">
        <v>6</v>
      </c>
      <c r="P30" s="7">
        <v>6</v>
      </c>
      <c r="Q30" s="7">
        <v>2</v>
      </c>
      <c r="R30" s="6">
        <v>4.1374940000000002</v>
      </c>
      <c r="S30" s="6">
        <v>0.47659574468085109</v>
      </c>
      <c r="T30" s="6">
        <v>0.38688524590163942</v>
      </c>
      <c r="U30" t="s">
        <v>625</v>
      </c>
      <c r="V30" s="5">
        <v>7</v>
      </c>
      <c r="W30" t="s">
        <v>958</v>
      </c>
      <c r="X30" s="7">
        <v>5</v>
      </c>
      <c r="Y30" s="7">
        <v>3</v>
      </c>
      <c r="Z30" s="7" t="s">
        <v>27</v>
      </c>
      <c r="AA30" s="6">
        <v>4.4722189820282718</v>
      </c>
      <c r="AB30" s="6">
        <v>0.52340425531914891</v>
      </c>
      <c r="AC30" s="6">
        <v>0.61311475409836058</v>
      </c>
      <c r="AD30" s="7">
        <v>5</v>
      </c>
    </row>
    <row r="31" spans="1:30" x14ac:dyDescent="0.3">
      <c r="A31" s="53" t="s">
        <v>139</v>
      </c>
      <c r="B31" s="53">
        <v>719</v>
      </c>
      <c r="C31" s="48" t="s">
        <v>326</v>
      </c>
      <c r="D31" s="53" t="s">
        <v>500</v>
      </c>
      <c r="E31" s="53" t="s">
        <v>800</v>
      </c>
      <c r="F31" s="56" t="s">
        <v>684</v>
      </c>
      <c r="G31" s="58">
        <v>8128.1265460000004</v>
      </c>
      <c r="H31" s="58">
        <v>6519.6666670000004</v>
      </c>
      <c r="I31" s="60">
        <v>33.299999999999997</v>
      </c>
      <c r="J31" s="58">
        <v>6.3250000000000002</v>
      </c>
      <c r="K31" s="58">
        <v>0.20062232399999999</v>
      </c>
      <c r="L31" s="58">
        <v>96.875</v>
      </c>
      <c r="M31" s="58">
        <v>2.8181818179999998</v>
      </c>
      <c r="N31" s="56">
        <v>4</v>
      </c>
      <c r="O31" s="62">
        <v>4</v>
      </c>
      <c r="P31" s="62">
        <v>4</v>
      </c>
      <c r="Q31" s="62">
        <v>2</v>
      </c>
      <c r="R31" s="58">
        <v>4.3063979999999997</v>
      </c>
      <c r="S31" s="58">
        <v>0.54074074074074074</v>
      </c>
      <c r="T31" s="58">
        <v>0.45614035087719296</v>
      </c>
      <c r="U31" s="53" t="s">
        <v>1072</v>
      </c>
      <c r="V31" s="56">
        <v>5</v>
      </c>
      <c r="W31" s="53" t="s">
        <v>977</v>
      </c>
      <c r="X31" s="62">
        <v>8</v>
      </c>
      <c r="Y31" s="62">
        <v>6</v>
      </c>
      <c r="Z31" s="62" t="s">
        <v>28</v>
      </c>
      <c r="AA31" s="58">
        <v>4.8129738683344101</v>
      </c>
      <c r="AB31" s="58">
        <v>0.45925925925925926</v>
      </c>
      <c r="AC31" s="58">
        <v>0.54385964912280704</v>
      </c>
      <c r="AD31" s="62">
        <v>5</v>
      </c>
    </row>
    <row r="32" spans="1:30" x14ac:dyDescent="0.3">
      <c r="A32" s="54" t="s">
        <v>118</v>
      </c>
      <c r="B32" s="54">
        <v>728</v>
      </c>
      <c r="C32" s="47" t="s">
        <v>305</v>
      </c>
      <c r="D32" s="54" t="s">
        <v>305</v>
      </c>
      <c r="E32" s="54" t="s">
        <v>779</v>
      </c>
      <c r="F32" s="55" t="s">
        <v>688</v>
      </c>
      <c r="G32" s="57">
        <f>VLOOKUP(Table1[[#This Row],[Spanish]],[1]written_es_wordlist_bigram_abso!$1:$1048576, 2, 0)</f>
        <v>31091.018864999998</v>
      </c>
      <c r="H32" s="57">
        <f>VLOOKUP(Table1[[#This Row],[Spanish]], [1]written_es_wordlist_bigram_abso!$1:$1048576, 3, 0)</f>
        <v>23396.25</v>
      </c>
      <c r="I32" s="59">
        <v>0</v>
      </c>
      <c r="J32" s="57" t="s">
        <v>1077</v>
      </c>
      <c r="K32" s="57">
        <v>0.32984606999999999</v>
      </c>
      <c r="L32" s="57">
        <v>93.939393940000002</v>
      </c>
      <c r="M32" s="57">
        <v>2.71</v>
      </c>
      <c r="N32" s="55">
        <f>LEN(Table1[[#This Row],[Spanish]])</f>
        <v>5</v>
      </c>
      <c r="O32" s="61">
        <v>5</v>
      </c>
      <c r="P32" s="61">
        <v>5</v>
      </c>
      <c r="Q32" s="61">
        <v>3</v>
      </c>
      <c r="R32" s="57">
        <v>3.1601300000000001</v>
      </c>
      <c r="S32" s="57">
        <v>0.47499999999999998</v>
      </c>
      <c r="T32" s="57">
        <v>0.55625000000000002</v>
      </c>
      <c r="U32" s="54" t="s">
        <v>1066</v>
      </c>
      <c r="V32" s="55">
        <v>7</v>
      </c>
      <c r="W32" s="54" t="s">
        <v>956</v>
      </c>
      <c r="X32" s="61">
        <v>7</v>
      </c>
      <c r="Y32" s="61">
        <v>7</v>
      </c>
      <c r="Z32" s="61" t="s">
        <v>29</v>
      </c>
      <c r="AA32" s="57">
        <v>3.7767227731054778</v>
      </c>
      <c r="AB32" s="57">
        <v>0.52500000000000002</v>
      </c>
      <c r="AC32" s="57">
        <v>0.44374999999999998</v>
      </c>
      <c r="AD32" s="61">
        <v>6</v>
      </c>
    </row>
    <row r="33" spans="1:30" x14ac:dyDescent="0.3">
      <c r="A33" s="53" t="s">
        <v>38</v>
      </c>
      <c r="B33" s="53">
        <v>8</v>
      </c>
      <c r="C33" s="48" t="s">
        <v>225</v>
      </c>
      <c r="D33" s="53" t="s">
        <v>411</v>
      </c>
      <c r="E33" s="53" t="s">
        <v>701</v>
      </c>
      <c r="F33" s="56" t="s">
        <v>687</v>
      </c>
      <c r="G33" s="58">
        <v>28190.958065999999</v>
      </c>
      <c r="H33" s="58">
        <v>14613.6</v>
      </c>
      <c r="I33" s="60">
        <v>40</v>
      </c>
      <c r="J33" s="58">
        <v>5.8680000000000003</v>
      </c>
      <c r="K33" s="58">
        <v>0.327444919</v>
      </c>
      <c r="L33" s="58">
        <v>94</v>
      </c>
      <c r="M33" s="58">
        <v>1.99</v>
      </c>
      <c r="N33" s="56">
        <v>6</v>
      </c>
      <c r="O33" s="62">
        <v>6</v>
      </c>
      <c r="P33" s="62">
        <v>6</v>
      </c>
      <c r="Q33" s="62">
        <v>3</v>
      </c>
      <c r="R33" s="58">
        <v>4.1965260000000004</v>
      </c>
      <c r="S33" s="58">
        <v>0.25531914893617014</v>
      </c>
      <c r="T33" s="58">
        <v>0.25531914893617014</v>
      </c>
      <c r="U33" s="53" t="s">
        <v>569</v>
      </c>
      <c r="V33" s="56">
        <v>5</v>
      </c>
      <c r="W33" s="53" t="s">
        <v>878</v>
      </c>
      <c r="X33" s="62">
        <v>3</v>
      </c>
      <c r="Y33" s="62">
        <v>3</v>
      </c>
      <c r="Z33" s="62" t="s">
        <v>27</v>
      </c>
      <c r="AA33" s="58">
        <v>4.8763203227975458</v>
      </c>
      <c r="AB33" s="58">
        <v>0.74468085106382986</v>
      </c>
      <c r="AC33" s="58">
        <v>0.74468085106382986</v>
      </c>
      <c r="AD33" s="62">
        <v>5</v>
      </c>
    </row>
    <row r="34" spans="1:30" x14ac:dyDescent="0.3">
      <c r="A34" s="20" t="s">
        <v>42</v>
      </c>
      <c r="B34" s="20">
        <v>340</v>
      </c>
      <c r="C34" s="48" t="s">
        <v>229</v>
      </c>
      <c r="D34" s="20" t="s">
        <v>415</v>
      </c>
      <c r="E34" s="20" t="s">
        <v>705</v>
      </c>
      <c r="F34" s="21" t="s">
        <v>683</v>
      </c>
      <c r="G34" s="23">
        <v>27234.653724</v>
      </c>
      <c r="H34" s="23">
        <v>13908.4</v>
      </c>
      <c r="I34" s="68">
        <v>60</v>
      </c>
      <c r="J34" s="23">
        <v>5.5949999999999998</v>
      </c>
      <c r="K34" s="23">
        <v>0</v>
      </c>
      <c r="L34" s="23">
        <v>100</v>
      </c>
      <c r="M34" s="23">
        <v>2.0299999999999998</v>
      </c>
      <c r="N34" s="21">
        <v>6</v>
      </c>
      <c r="O34" s="24">
        <v>6</v>
      </c>
      <c r="P34" s="24">
        <v>6</v>
      </c>
      <c r="Q34" s="24">
        <v>3</v>
      </c>
      <c r="R34" s="23">
        <v>4.4195039999999999</v>
      </c>
      <c r="S34" s="23">
        <v>0.28000000000000003</v>
      </c>
      <c r="T34" s="23">
        <v>0.31333333333333335</v>
      </c>
      <c r="U34" s="20" t="s">
        <v>573</v>
      </c>
      <c r="V34" s="21">
        <v>5</v>
      </c>
      <c r="W34" s="20" t="s">
        <v>882</v>
      </c>
      <c r="X34" s="24">
        <v>6</v>
      </c>
      <c r="Y34" s="24">
        <v>4</v>
      </c>
      <c r="Z34" s="24" t="s">
        <v>28</v>
      </c>
      <c r="AA34" s="23">
        <v>4.4495485097592926</v>
      </c>
      <c r="AB34" s="23">
        <v>0.72</v>
      </c>
      <c r="AC34" s="23">
        <v>0.68666666666666665</v>
      </c>
      <c r="AD34" s="24">
        <v>6</v>
      </c>
    </row>
    <row r="35" spans="1:30" x14ac:dyDescent="0.3">
      <c r="A35" s="20" t="s">
        <v>161</v>
      </c>
      <c r="B35" s="20">
        <v>391</v>
      </c>
      <c r="C35" s="48" t="s">
        <v>348</v>
      </c>
      <c r="D35" s="20" t="s">
        <v>520</v>
      </c>
      <c r="E35" s="20" t="s">
        <v>822</v>
      </c>
      <c r="F35" s="21" t="s">
        <v>683</v>
      </c>
      <c r="G35" s="23">
        <v>68163.829010999994</v>
      </c>
      <c r="H35" s="23">
        <v>30330.6</v>
      </c>
      <c r="I35" s="68">
        <v>40</v>
      </c>
      <c r="J35" s="23">
        <v>6.4429999999999996</v>
      </c>
      <c r="K35" s="23">
        <v>0</v>
      </c>
      <c r="L35" s="23">
        <v>100</v>
      </c>
      <c r="M35" s="23">
        <v>2.08</v>
      </c>
      <c r="N35" s="21">
        <v>6</v>
      </c>
      <c r="O35" s="24">
        <v>6</v>
      </c>
      <c r="P35" s="24">
        <v>6</v>
      </c>
      <c r="Q35" s="24">
        <v>2</v>
      </c>
      <c r="R35" s="23">
        <v>4.8367310000000003</v>
      </c>
      <c r="S35" s="23">
        <v>0.60799999999999998</v>
      </c>
      <c r="T35" s="23">
        <v>0.68070175438596492</v>
      </c>
      <c r="U35" s="20" t="s">
        <v>657</v>
      </c>
      <c r="V35" s="21">
        <v>4</v>
      </c>
      <c r="W35" s="20" t="s">
        <v>999</v>
      </c>
      <c r="X35" s="24">
        <v>5</v>
      </c>
      <c r="Y35" s="24">
        <v>3</v>
      </c>
      <c r="Z35" s="24" t="s">
        <v>27</v>
      </c>
      <c r="AA35" s="23">
        <v>4.4874965302074958</v>
      </c>
      <c r="AB35" s="23">
        <v>0.39200000000000002</v>
      </c>
      <c r="AC35" s="23">
        <v>0.31929824561403508</v>
      </c>
      <c r="AD35" s="24">
        <v>4</v>
      </c>
    </row>
    <row r="36" spans="1:30" x14ac:dyDescent="0.3">
      <c r="A36" s="20" t="s">
        <v>32</v>
      </c>
      <c r="B36" s="20">
        <v>590</v>
      </c>
      <c r="C36" s="48" t="s">
        <v>219</v>
      </c>
      <c r="D36" s="20" t="s">
        <v>406</v>
      </c>
      <c r="E36" s="20" t="s">
        <v>695</v>
      </c>
      <c r="F36" s="21" t="s">
        <v>683</v>
      </c>
      <c r="G36" s="23">
        <v>35694.194691999997</v>
      </c>
      <c r="H36" s="23">
        <v>20924.400000000001</v>
      </c>
      <c r="I36" s="68">
        <v>40</v>
      </c>
      <c r="J36" s="23">
        <v>5.8490000000000002</v>
      </c>
      <c r="K36" s="23">
        <v>0</v>
      </c>
      <c r="L36" s="23">
        <v>100</v>
      </c>
      <c r="M36" s="23">
        <v>2.1800000000000002</v>
      </c>
      <c r="N36" s="21">
        <v>6</v>
      </c>
      <c r="O36" s="24">
        <v>6</v>
      </c>
      <c r="P36" s="24">
        <v>6</v>
      </c>
      <c r="Q36" s="24">
        <v>3</v>
      </c>
      <c r="R36" s="23">
        <v>3.3455539999999999</v>
      </c>
      <c r="S36" s="23">
        <v>0.17872340425531918</v>
      </c>
      <c r="T36" s="23">
        <v>0.37192982456140355</v>
      </c>
      <c r="U36" s="20" t="s">
        <v>564</v>
      </c>
      <c r="V36" s="21">
        <v>5</v>
      </c>
      <c r="W36" s="20" t="s">
        <v>872</v>
      </c>
      <c r="X36" s="24">
        <v>5</v>
      </c>
      <c r="Y36" s="24">
        <v>4</v>
      </c>
      <c r="Z36" s="24" t="s">
        <v>27</v>
      </c>
      <c r="AA36" s="23">
        <v>3.5626135405320891</v>
      </c>
      <c r="AB36" s="23">
        <v>0.82127659574468082</v>
      </c>
      <c r="AC36" s="23">
        <v>0.62807017543859645</v>
      </c>
      <c r="AD36" s="24">
        <v>5</v>
      </c>
    </row>
    <row r="37" spans="1:30" x14ac:dyDescent="0.3">
      <c r="A37" s="20" t="s">
        <v>147</v>
      </c>
      <c r="B37" s="20">
        <v>646</v>
      </c>
      <c r="C37" s="48" t="s">
        <v>334</v>
      </c>
      <c r="D37" s="20" t="s">
        <v>508</v>
      </c>
      <c r="E37" s="20" t="s">
        <v>808</v>
      </c>
      <c r="F37" s="21" t="s">
        <v>683</v>
      </c>
      <c r="G37" s="23">
        <v>38455.44498</v>
      </c>
      <c r="H37" s="23">
        <v>21376</v>
      </c>
      <c r="I37" s="68">
        <v>60</v>
      </c>
      <c r="J37" s="23">
        <v>5.9089999999999998</v>
      </c>
      <c r="K37" s="23">
        <v>0.28639695700000001</v>
      </c>
      <c r="L37" s="23">
        <v>95</v>
      </c>
      <c r="M37" s="23">
        <v>2.86</v>
      </c>
      <c r="N37" s="21">
        <v>6</v>
      </c>
      <c r="O37" s="24">
        <v>6</v>
      </c>
      <c r="P37" s="24">
        <v>6</v>
      </c>
      <c r="Q37" s="24">
        <v>2</v>
      </c>
      <c r="R37" s="23">
        <v>4.0991439999999999</v>
      </c>
      <c r="S37" s="23">
        <v>0.55384615384615388</v>
      </c>
      <c r="T37" s="23">
        <v>0.60923076923076924</v>
      </c>
      <c r="U37" s="20" t="s">
        <v>1069</v>
      </c>
      <c r="V37" s="21">
        <v>5</v>
      </c>
      <c r="W37" s="20" t="s">
        <v>985</v>
      </c>
      <c r="X37" s="24">
        <v>5</v>
      </c>
      <c r="Y37" s="24">
        <v>5</v>
      </c>
      <c r="Z37" s="24" t="s">
        <v>27</v>
      </c>
      <c r="AA37" s="23">
        <v>3.5231049992484156</v>
      </c>
      <c r="AB37" s="23">
        <v>0.44615384615384612</v>
      </c>
      <c r="AC37" s="23">
        <v>0.39076923076923076</v>
      </c>
      <c r="AD37" s="24">
        <v>6</v>
      </c>
    </row>
    <row r="38" spans="1:30" x14ac:dyDescent="0.3">
      <c r="A38" s="20" t="s">
        <v>45</v>
      </c>
      <c r="B38" s="20">
        <v>673</v>
      </c>
      <c r="C38" s="48" t="s">
        <v>232</v>
      </c>
      <c r="D38" s="20" t="s">
        <v>418</v>
      </c>
      <c r="E38" s="20" t="s">
        <v>708</v>
      </c>
      <c r="F38" s="21" t="s">
        <v>683</v>
      </c>
      <c r="G38" s="23">
        <v>46934.786801000002</v>
      </c>
      <c r="H38" s="23">
        <v>25358.166667000001</v>
      </c>
      <c r="I38" s="68">
        <v>50</v>
      </c>
      <c r="J38" s="23">
        <v>6.4130000000000003</v>
      </c>
      <c r="K38" s="23">
        <v>0</v>
      </c>
      <c r="L38" s="23">
        <v>100</v>
      </c>
      <c r="M38" s="23">
        <v>1.35</v>
      </c>
      <c r="N38" s="21">
        <v>7</v>
      </c>
      <c r="O38" s="24">
        <v>7</v>
      </c>
      <c r="P38" s="24">
        <v>7</v>
      </c>
      <c r="Q38" s="24">
        <v>3</v>
      </c>
      <c r="R38" s="23">
        <v>3.279668</v>
      </c>
      <c r="S38" s="23">
        <v>0.28148148148148144</v>
      </c>
      <c r="T38" s="23">
        <v>0.46557377049180326</v>
      </c>
      <c r="U38" s="20" t="s">
        <v>575</v>
      </c>
      <c r="V38" s="21">
        <v>7</v>
      </c>
      <c r="W38" s="20" t="s">
        <v>885</v>
      </c>
      <c r="X38" s="24">
        <v>4</v>
      </c>
      <c r="Y38" s="24">
        <v>3</v>
      </c>
      <c r="Z38" s="24" t="s">
        <v>27</v>
      </c>
      <c r="AA38" s="23">
        <v>3.973115700861845</v>
      </c>
      <c r="AB38" s="23">
        <v>0.71851851851851856</v>
      </c>
      <c r="AC38" s="23">
        <v>0.53442622950819674</v>
      </c>
      <c r="AD38" s="24">
        <v>6</v>
      </c>
    </row>
    <row r="39" spans="1:30" x14ac:dyDescent="0.3">
      <c r="A39" s="20" t="s">
        <v>123</v>
      </c>
      <c r="B39" s="20">
        <v>663</v>
      </c>
      <c r="C39" s="48" t="s">
        <v>310</v>
      </c>
      <c r="D39" s="20" t="s">
        <v>486</v>
      </c>
      <c r="E39" s="20" t="s">
        <v>784</v>
      </c>
      <c r="F39" s="21" t="s">
        <v>683</v>
      </c>
      <c r="G39" s="23">
        <f>VLOOKUP(Table1[[#This Row],[Spanish]],[1]written_es_wordlist_bigram_abso!$1:$1048576, 2, 0)</f>
        <v>19136.506370999999</v>
      </c>
      <c r="H39" s="23">
        <f>VLOOKUP(Table1[[#This Row],[Spanish]], [1]written_es_wordlist_bigram_abso!$1:$1048576, 3, 0)</f>
        <v>11952.25</v>
      </c>
      <c r="I39" s="68">
        <v>33.299999999999997</v>
      </c>
      <c r="J39" s="23">
        <v>6.6449999999999996</v>
      </c>
      <c r="K39" s="23">
        <v>0.46206632800000003</v>
      </c>
      <c r="L39" s="23">
        <v>90.217391300000003</v>
      </c>
      <c r="M39" s="23">
        <v>2.1</v>
      </c>
      <c r="N39" s="21">
        <v>7</v>
      </c>
      <c r="O39" s="24">
        <v>7</v>
      </c>
      <c r="P39" s="24">
        <v>7</v>
      </c>
      <c r="Q39" s="24">
        <v>3</v>
      </c>
      <c r="R39" s="23">
        <v>4.4305339999999998</v>
      </c>
      <c r="S39" s="23">
        <v>0.48421052631578942</v>
      </c>
      <c r="T39" s="23">
        <v>0.42253521126760563</v>
      </c>
      <c r="U39" s="20" t="s">
        <v>628</v>
      </c>
      <c r="V39" s="21">
        <v>7</v>
      </c>
      <c r="W39" s="20" t="s">
        <v>961</v>
      </c>
      <c r="X39" s="24">
        <v>6</v>
      </c>
      <c r="Y39" s="24">
        <v>4</v>
      </c>
      <c r="Z39" s="24" t="s">
        <v>28</v>
      </c>
      <c r="AA39" s="23">
        <v>3.5408337662088472</v>
      </c>
      <c r="AB39" s="23">
        <v>0.51578947368421058</v>
      </c>
      <c r="AC39" s="23">
        <v>0.57746478873239437</v>
      </c>
      <c r="AD39" s="24">
        <v>6</v>
      </c>
    </row>
    <row r="40" spans="1:30" x14ac:dyDescent="0.3">
      <c r="A40" s="2" t="s">
        <v>1083</v>
      </c>
      <c r="B40" s="2">
        <v>12</v>
      </c>
      <c r="C40" s="88" t="s">
        <v>1084</v>
      </c>
      <c r="D40" s="2" t="s">
        <v>1085</v>
      </c>
      <c r="E40" s="2" t="s">
        <v>1086</v>
      </c>
      <c r="F40" s="89" t="s">
        <v>1088</v>
      </c>
      <c r="G40" s="15">
        <v>47078.003234000003</v>
      </c>
      <c r="H40" s="15">
        <v>24983.8</v>
      </c>
      <c r="I40" s="91">
        <v>80</v>
      </c>
      <c r="J40" s="15">
        <v>5.88</v>
      </c>
      <c r="K40" s="23">
        <v>0</v>
      </c>
      <c r="L40" s="15">
        <v>100</v>
      </c>
      <c r="M40" s="15">
        <v>2.48</v>
      </c>
      <c r="N40" s="13">
        <v>6</v>
      </c>
      <c r="O40" s="16">
        <v>6</v>
      </c>
      <c r="P40" s="16">
        <v>6</v>
      </c>
      <c r="Q40" s="16">
        <v>3</v>
      </c>
      <c r="R40" s="15">
        <v>3.58</v>
      </c>
      <c r="S40" s="23"/>
      <c r="T40" s="23"/>
      <c r="U40" s="2"/>
      <c r="V40" s="13"/>
      <c r="W40" s="2"/>
      <c r="X40" s="16"/>
      <c r="Y40" s="16"/>
      <c r="Z40" s="16"/>
      <c r="AA40" s="15"/>
      <c r="AB40" s="15"/>
      <c r="AC40" s="15"/>
      <c r="AD40" s="16"/>
    </row>
    <row r="41" spans="1:30" x14ac:dyDescent="0.3">
      <c r="A41" s="2" t="s">
        <v>155</v>
      </c>
      <c r="B41" s="2">
        <v>733</v>
      </c>
      <c r="C41" s="88" t="s">
        <v>342</v>
      </c>
      <c r="D41" s="2" t="s">
        <v>515</v>
      </c>
      <c r="E41" s="2" t="s">
        <v>816</v>
      </c>
      <c r="F41" s="74" t="s">
        <v>683</v>
      </c>
      <c r="G41" s="15">
        <v>17803.490819999999</v>
      </c>
      <c r="H41" s="15">
        <v>14642.75</v>
      </c>
      <c r="I41" s="91">
        <v>0</v>
      </c>
      <c r="J41" s="15">
        <v>5.8</v>
      </c>
      <c r="K41" s="23">
        <v>0</v>
      </c>
      <c r="L41" s="15">
        <v>100</v>
      </c>
      <c r="M41" s="15">
        <v>1.96</v>
      </c>
      <c r="N41" s="13">
        <v>5</v>
      </c>
      <c r="O41" s="16">
        <v>5</v>
      </c>
      <c r="P41" s="16">
        <v>5</v>
      </c>
      <c r="Q41" s="16">
        <v>2</v>
      </c>
      <c r="R41" s="15">
        <v>3.81</v>
      </c>
      <c r="S41" s="57">
        <v>0.57999999999999996</v>
      </c>
      <c r="T41" s="57">
        <v>0.78</v>
      </c>
      <c r="U41" t="s">
        <v>651</v>
      </c>
      <c r="V41" s="13"/>
      <c r="W41" s="2" t="s">
        <v>1110</v>
      </c>
      <c r="X41" s="16">
        <v>7</v>
      </c>
      <c r="Y41" s="16">
        <v>6</v>
      </c>
      <c r="Z41" s="16">
        <v>2</v>
      </c>
      <c r="AA41" s="15">
        <v>4.3720634600759096</v>
      </c>
      <c r="AB41" s="15">
        <v>0.422222222222222</v>
      </c>
      <c r="AC41" s="15">
        <v>0.223529411764706</v>
      </c>
      <c r="AD41" s="16">
        <v>4</v>
      </c>
    </row>
    <row r="42" spans="1:30" x14ac:dyDescent="0.3">
      <c r="A42" s="2" t="s">
        <v>1094</v>
      </c>
      <c r="B42" s="2">
        <v>614</v>
      </c>
      <c r="C42" s="88" t="s">
        <v>1095</v>
      </c>
      <c r="D42" s="2" t="s">
        <v>1096</v>
      </c>
      <c r="E42" s="2" t="s">
        <v>1097</v>
      </c>
      <c r="F42" s="74" t="s">
        <v>1088</v>
      </c>
      <c r="G42" s="15">
        <v>31861.687972</v>
      </c>
      <c r="H42" s="15">
        <v>21740.5</v>
      </c>
      <c r="I42" s="91">
        <v>50</v>
      </c>
      <c r="J42" s="15">
        <v>6.34</v>
      </c>
      <c r="K42" s="23">
        <v>0</v>
      </c>
      <c r="L42" s="15">
        <v>100</v>
      </c>
      <c r="M42" s="15">
        <v>3.05</v>
      </c>
      <c r="N42" s="13">
        <v>5</v>
      </c>
      <c r="O42" s="16">
        <v>5</v>
      </c>
      <c r="P42" s="16">
        <v>5</v>
      </c>
      <c r="Q42" s="16">
        <v>2</v>
      </c>
      <c r="R42" s="15">
        <v>4.97</v>
      </c>
      <c r="S42" s="57"/>
      <c r="T42" s="57"/>
      <c r="U42" s="2"/>
      <c r="V42" s="13"/>
      <c r="W42" s="2"/>
      <c r="X42" s="16"/>
      <c r="Y42" s="16"/>
      <c r="Z42" s="16"/>
      <c r="AA42" s="15"/>
      <c r="AB42" s="15"/>
      <c r="AC42" s="15"/>
      <c r="AD42" s="16"/>
    </row>
    <row r="43" spans="1:30" x14ac:dyDescent="0.3">
      <c r="A43" s="2" t="s">
        <v>129</v>
      </c>
      <c r="B43" s="2">
        <v>612</v>
      </c>
      <c r="C43" s="88" t="s">
        <v>316</v>
      </c>
      <c r="D43" s="2" t="s">
        <v>490</v>
      </c>
      <c r="E43" s="2" t="s">
        <v>790</v>
      </c>
      <c r="F43" s="74" t="s">
        <v>688</v>
      </c>
      <c r="G43" s="15">
        <v>48462.523824000004</v>
      </c>
      <c r="H43" s="15">
        <v>34566</v>
      </c>
      <c r="I43" s="91">
        <v>66.7</v>
      </c>
      <c r="J43" s="15">
        <v>6.27</v>
      </c>
      <c r="K43" s="23">
        <v>0</v>
      </c>
      <c r="L43" s="15">
        <v>100</v>
      </c>
      <c r="M43" s="15">
        <v>2.67</v>
      </c>
      <c r="N43" s="13">
        <v>4</v>
      </c>
      <c r="O43" s="16">
        <v>4</v>
      </c>
      <c r="P43" s="16">
        <v>4</v>
      </c>
      <c r="Q43" s="16">
        <v>2</v>
      </c>
      <c r="R43" s="15">
        <v>3.93</v>
      </c>
      <c r="S43" s="57">
        <v>0.51</v>
      </c>
      <c r="T43" s="57">
        <v>0.5</v>
      </c>
      <c r="U43" s="2" t="s">
        <v>633</v>
      </c>
      <c r="V43" s="13"/>
      <c r="W43" s="2" t="s">
        <v>1111</v>
      </c>
      <c r="X43" s="16">
        <v>4</v>
      </c>
      <c r="Y43" s="16">
        <v>4</v>
      </c>
      <c r="Z43" s="16">
        <v>1</v>
      </c>
      <c r="AA43" s="15">
        <v>4.0484969179184196</v>
      </c>
      <c r="AB43" s="15">
        <v>0.49019607843137297</v>
      </c>
      <c r="AC43" s="15">
        <v>0.5</v>
      </c>
      <c r="AD43" s="16">
        <v>4</v>
      </c>
    </row>
    <row r="44" spans="1:30" x14ac:dyDescent="0.3">
      <c r="A44" s="2" t="s">
        <v>119</v>
      </c>
      <c r="B44" s="2">
        <v>570</v>
      </c>
      <c r="C44" s="88" t="s">
        <v>306</v>
      </c>
      <c r="D44" s="2" t="s">
        <v>483</v>
      </c>
      <c r="E44" s="2" t="s">
        <v>780</v>
      </c>
      <c r="F44" s="74" t="s">
        <v>688</v>
      </c>
      <c r="G44" s="15">
        <v>40249.415204999998</v>
      </c>
      <c r="H44" s="15">
        <v>19626.666667000001</v>
      </c>
      <c r="I44" s="91">
        <v>100</v>
      </c>
      <c r="J44" s="15">
        <v>5.86</v>
      </c>
      <c r="K44" s="23">
        <v>0</v>
      </c>
      <c r="L44" s="15">
        <v>100</v>
      </c>
      <c r="M44" s="15">
        <v>2.5299999999999998</v>
      </c>
      <c r="N44" s="13">
        <v>4</v>
      </c>
      <c r="O44" s="16">
        <v>4</v>
      </c>
      <c r="P44" s="16">
        <v>4</v>
      </c>
      <c r="Q44" s="16">
        <v>2</v>
      </c>
      <c r="R44" s="15">
        <v>4.49</v>
      </c>
      <c r="S44" s="57">
        <v>0.48</v>
      </c>
      <c r="T44" s="57">
        <v>0.4</v>
      </c>
      <c r="U44" s="2" t="s">
        <v>624</v>
      </c>
      <c r="V44" s="13"/>
      <c r="W44" s="2" t="s">
        <v>1112</v>
      </c>
      <c r="X44" s="16">
        <v>4</v>
      </c>
      <c r="Y44" s="16">
        <v>3</v>
      </c>
      <c r="Z44" s="16">
        <v>1</v>
      </c>
      <c r="AA44" s="15">
        <v>4.2806320703320404</v>
      </c>
      <c r="AB44" s="15">
        <v>0.52432432432432396</v>
      </c>
      <c r="AC44" s="15">
        <v>0.6</v>
      </c>
      <c r="AD44" s="16">
        <v>4</v>
      </c>
    </row>
    <row r="45" spans="1:30" x14ac:dyDescent="0.3">
      <c r="A45" s="2" t="s">
        <v>1099</v>
      </c>
      <c r="B45" s="2">
        <v>110</v>
      </c>
      <c r="C45" s="88" t="s">
        <v>1100</v>
      </c>
      <c r="D45" s="2" t="s">
        <v>1100</v>
      </c>
      <c r="E45" s="2" t="s">
        <v>1101</v>
      </c>
      <c r="F45" s="74" t="s">
        <v>683</v>
      </c>
      <c r="G45" s="15">
        <v>46532.047709999999</v>
      </c>
      <c r="H45" s="15">
        <v>26222.333332999999</v>
      </c>
      <c r="I45" s="91">
        <v>33.299999999999997</v>
      </c>
      <c r="J45" s="15">
        <v>6.78</v>
      </c>
      <c r="K45" s="15">
        <v>0.28999999999999998</v>
      </c>
      <c r="L45" s="15">
        <v>94.95</v>
      </c>
      <c r="M45" s="15">
        <v>1.79</v>
      </c>
      <c r="N45" s="13">
        <v>4</v>
      </c>
      <c r="O45" s="16">
        <v>4</v>
      </c>
      <c r="P45" s="16">
        <v>4</v>
      </c>
      <c r="Q45" s="16">
        <v>2</v>
      </c>
      <c r="R45" s="15">
        <v>5</v>
      </c>
      <c r="S45" s="57"/>
      <c r="T45" s="57"/>
      <c r="U45" s="2"/>
      <c r="V45" s="13"/>
      <c r="W45" s="2"/>
      <c r="X45" s="16"/>
      <c r="Y45" s="16"/>
      <c r="Z45" s="16"/>
      <c r="AA45" s="15"/>
      <c r="AB45" s="15"/>
      <c r="AC45" s="15"/>
      <c r="AD45" s="16"/>
    </row>
    <row r="46" spans="1:30" x14ac:dyDescent="0.3">
      <c r="A46" s="20" t="s">
        <v>1104</v>
      </c>
      <c r="B46" s="20">
        <v>599</v>
      </c>
      <c r="C46" s="48" t="s">
        <v>1105</v>
      </c>
      <c r="D46" s="20" t="s">
        <v>1106</v>
      </c>
      <c r="E46" s="20" t="s">
        <v>1107</v>
      </c>
      <c r="F46" s="90" t="s">
        <v>684</v>
      </c>
      <c r="G46" s="23">
        <v>4726.6841549999999</v>
      </c>
      <c r="H46" s="23">
        <v>2811.333333</v>
      </c>
      <c r="I46" s="68">
        <v>33.299999999999997</v>
      </c>
      <c r="J46" s="23">
        <v>6.62</v>
      </c>
      <c r="K46" s="23">
        <v>0</v>
      </c>
      <c r="L46" s="23">
        <v>100</v>
      </c>
      <c r="M46" s="23">
        <v>1.37</v>
      </c>
      <c r="N46" s="21">
        <v>4</v>
      </c>
      <c r="O46" s="24">
        <v>4</v>
      </c>
      <c r="P46" s="24">
        <v>4</v>
      </c>
      <c r="Q46" s="24">
        <v>2</v>
      </c>
      <c r="R46" s="23">
        <v>4.18</v>
      </c>
      <c r="S46" s="57"/>
      <c r="T46" s="57"/>
      <c r="U46" s="20"/>
      <c r="V46" s="21"/>
      <c r="W46" s="20"/>
      <c r="X46" s="24"/>
      <c r="Y46" s="24"/>
      <c r="Z46" s="24"/>
      <c r="AA46" s="23"/>
      <c r="AB46" s="23"/>
      <c r="AC46" s="23"/>
      <c r="AD46" s="24"/>
    </row>
    <row r="47" spans="1:30" x14ac:dyDescent="0.3">
      <c r="A47" s="20"/>
      <c r="B47" s="20"/>
      <c r="C47" s="48"/>
      <c r="D47" s="20"/>
      <c r="E47" s="20"/>
      <c r="F47" s="21"/>
      <c r="G47" s="23">
        <f>SUBTOTAL(101,Table6[abs_tok_MBOF])</f>
        <v>30850.561005711112</v>
      </c>
      <c r="H47" s="23"/>
      <c r="I47" s="68">
        <f>SUBTOTAL(101,Table6[Bimanual_Transitions])</f>
        <v>44.964444444444439</v>
      </c>
      <c r="J47" s="23">
        <f>SUBTOTAL(101,Table6[Imageability_SP])</f>
        <v>6.0874047619047627</v>
      </c>
      <c r="K47" s="23">
        <f>SUBTOTAL(101,Table6[H_Index_SP])</f>
        <v>0.11060757259999998</v>
      </c>
      <c r="L47" s="23">
        <f>SUBTOTAL(101,Table6[Name_Agreement_SP])</f>
        <v>98.074097786222225</v>
      </c>
      <c r="M47" s="23">
        <f>SUBTOTAL(101,Table6[Visual_Complexity_SP])</f>
        <v>2.3532839506222221</v>
      </c>
      <c r="N47" s="21"/>
      <c r="O47" s="24"/>
      <c r="P47" s="24"/>
      <c r="Q47" s="24"/>
      <c r="R47" s="23"/>
      <c r="S47" s="23"/>
      <c r="T47" s="23"/>
      <c r="U47" s="20"/>
      <c r="V47" s="21"/>
      <c r="W47" s="20"/>
      <c r="X47" s="24"/>
      <c r="Y47" s="24"/>
      <c r="Z47" s="24"/>
      <c r="AA47" s="23"/>
      <c r="AB47" s="23"/>
      <c r="AC47" s="23"/>
      <c r="AD47" s="24"/>
    </row>
  </sheetData>
  <conditionalFormatting sqref="C40:E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{A3F6BCAA-FC07-42C2-AAEB-54FA51652AE3}</x14:id>
        </ext>
      </extLst>
    </cfRule>
  </conditionalFormatting>
  <conditionalFormatting sqref="F40:F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{9F7F2FBD-481A-4400-8AD1-968E874CE3CA}</x14:id>
        </ext>
      </extLst>
    </cfRule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F6BCAA-FC07-42C2-AAEB-54FA51652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C40:E46</xm:sqref>
        </x14:conditionalFormatting>
        <x14:conditionalFormatting xmlns:xm="http://schemas.microsoft.com/office/excel/2006/main">
          <x14:cfRule type="dataBar" id="{9F7F2FBD-481A-4400-8AD1-968E874CE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F40:F46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93D-3D86-47BB-BC29-3DC52776EF8D}">
  <dimension ref="A1:U8"/>
  <sheetViews>
    <sheetView workbookViewId="0">
      <selection activeCell="M2" sqref="M2:M8"/>
    </sheetView>
  </sheetViews>
  <sheetFormatPr defaultRowHeight="14.4" x14ac:dyDescent="0.3"/>
  <cols>
    <col min="1" max="1" width="12" customWidth="1"/>
    <col min="2" max="2" width="9.44140625" customWidth="1"/>
    <col min="5" max="5" width="10.33203125" customWidth="1"/>
    <col min="6" max="6" width="19" customWidth="1"/>
    <col min="7" max="7" width="22.109375" customWidth="1"/>
    <col min="8" max="8" width="23.5546875" customWidth="1"/>
    <col min="9" max="9" width="21.6640625" customWidth="1"/>
    <col min="10" max="10" width="23.109375" customWidth="1"/>
    <col min="11" max="11" width="16.6640625" customWidth="1"/>
    <col min="12" max="12" width="18.109375" customWidth="1"/>
    <col min="13" max="13" width="21.5546875" bestFit="1" customWidth="1"/>
    <col min="14" max="14" width="15.109375" customWidth="1"/>
    <col min="15" max="15" width="16.33203125" customWidth="1"/>
    <col min="16" max="16" width="12.88671875" customWidth="1"/>
    <col min="17" max="17" width="21.33203125" customWidth="1"/>
    <col min="18" max="18" width="16.109375" customWidth="1"/>
    <col min="19" max="19" width="21.44140625" customWidth="1"/>
    <col min="20" max="20" width="15.44140625" customWidth="1"/>
    <col min="21" max="21" width="13" customWidth="1"/>
  </cols>
  <sheetData>
    <row r="1" spans="1:21" x14ac:dyDescent="0.3">
      <c r="A1" s="27" t="s">
        <v>0</v>
      </c>
      <c r="B1" s="27" t="s">
        <v>2</v>
      </c>
      <c r="C1" s="27" t="s">
        <v>3</v>
      </c>
      <c r="D1" s="27" t="s">
        <v>18</v>
      </c>
      <c r="E1" s="27" t="s">
        <v>19</v>
      </c>
      <c r="F1" s="27" t="s">
        <v>10</v>
      </c>
      <c r="G1" s="81" t="s">
        <v>1090</v>
      </c>
      <c r="H1" s="81" t="s">
        <v>1091</v>
      </c>
      <c r="I1" s="81" t="s">
        <v>1092</v>
      </c>
      <c r="J1" s="81" t="s">
        <v>1093</v>
      </c>
      <c r="K1" s="81" t="s">
        <v>15</v>
      </c>
      <c r="L1" s="81" t="s">
        <v>22</v>
      </c>
      <c r="M1" s="29" t="s">
        <v>16</v>
      </c>
      <c r="N1" s="29" t="s">
        <v>23</v>
      </c>
      <c r="O1" s="29" t="s">
        <v>6</v>
      </c>
      <c r="P1" s="29" t="s">
        <v>7</v>
      </c>
      <c r="Q1" s="29" t="s">
        <v>8</v>
      </c>
      <c r="R1" s="29" t="s">
        <v>24</v>
      </c>
      <c r="S1" s="82" t="s">
        <v>9</v>
      </c>
      <c r="T1" s="29" t="s">
        <v>25</v>
      </c>
      <c r="U1" s="28" t="s">
        <v>1089</v>
      </c>
    </row>
    <row r="2" spans="1:21" x14ac:dyDescent="0.3">
      <c r="A2" s="72" t="s">
        <v>1083</v>
      </c>
      <c r="B2" s="72" t="s">
        <v>1084</v>
      </c>
      <c r="C2" s="72" t="s">
        <v>1085</v>
      </c>
      <c r="D2" s="72" t="s">
        <v>1086</v>
      </c>
      <c r="E2" s="72" t="s">
        <v>1087</v>
      </c>
      <c r="F2" s="72" t="s">
        <v>1088</v>
      </c>
      <c r="G2" s="75">
        <v>6</v>
      </c>
      <c r="H2" s="75">
        <f>LEN([2]!Table2[[#This Row],[English]])</f>
        <v>5</v>
      </c>
      <c r="I2" s="75">
        <v>6</v>
      </c>
      <c r="J2" s="75">
        <f>VLOOKUP([2]!Table2[[#This Row],[English]], [3]clearpondEN_HE1IR!$1:$1048576, 4, 0)</f>
        <v>3</v>
      </c>
      <c r="K2" s="75">
        <v>3</v>
      </c>
      <c r="L2" s="75" t="str">
        <f>VLOOKUP([2]!Table2[[#This Row],[English]], [4]WebCelex_Done!$1:$1048576, 3, 0)</f>
        <v>1</v>
      </c>
      <c r="M2" s="73">
        <f>VLOOKUP([2]!Table2[[#This Row],[Spanish]], [5]Output_Espal_Zipf!$1:$1048576, 2, 0)</f>
        <v>3.9308990000000001</v>
      </c>
      <c r="N2" s="73">
        <f>VLOOKUP([2]!Table2[[#This Row],[English]], [6]Sheet1!$1:$1048576, 6, 0)</f>
        <v>4.4148183000960763</v>
      </c>
      <c r="O2" s="73">
        <v>5.8810000000000002</v>
      </c>
      <c r="P2" s="73">
        <v>0</v>
      </c>
      <c r="Q2" s="73">
        <v>100</v>
      </c>
      <c r="R2" s="73">
        <v>0.64</v>
      </c>
      <c r="S2" s="76">
        <v>2.48</v>
      </c>
      <c r="T2" s="73">
        <v>0.45671641791044781</v>
      </c>
      <c r="U2" s="74">
        <v>6</v>
      </c>
    </row>
    <row r="3" spans="1:21" x14ac:dyDescent="0.3">
      <c r="A3" s="72" t="s">
        <v>155</v>
      </c>
      <c r="B3" s="72" t="s">
        <v>342</v>
      </c>
      <c r="C3" s="72" t="s">
        <v>515</v>
      </c>
      <c r="D3" s="72" t="s">
        <v>816</v>
      </c>
      <c r="E3" s="72" t="s">
        <v>993</v>
      </c>
      <c r="F3" s="72" t="s">
        <v>683</v>
      </c>
      <c r="G3" s="75">
        <v>5</v>
      </c>
      <c r="H3" s="75">
        <f>LEN([2]!Table2[[#This Row],[English]])</f>
        <v>4</v>
      </c>
      <c r="I3" s="75">
        <v>5</v>
      </c>
      <c r="J3" s="75">
        <f>VLOOKUP([2]!Table2[[#This Row],[English]], [3]clearpondEN_HE1IR!$1:$1048576, 4, 0)</f>
        <v>3</v>
      </c>
      <c r="K3" s="75">
        <v>2</v>
      </c>
      <c r="L3" s="75" t="str">
        <f>VLOOKUP([2]!Table2[[#This Row],[English]], [4]WebCelex_Done!$1:$1048576, 3, 0)</f>
        <v>1</v>
      </c>
      <c r="M3" s="73">
        <f>VLOOKUP([2]!Table2[[#This Row],[Spanish]], [5]Output_Espal_Zipf!$1:$1048576, 2, 0)</f>
        <v>4.3070940000000002</v>
      </c>
      <c r="N3" s="73">
        <f>VLOOKUP([2]!Table2[[#This Row],[English]], [6]Sheet1!$1:$1048576, 6, 0)</f>
        <v>4.7184939204313601</v>
      </c>
      <c r="O3" s="73">
        <v>5.8010000000000002</v>
      </c>
      <c r="P3" s="73">
        <v>0</v>
      </c>
      <c r="Q3" s="73">
        <v>100</v>
      </c>
      <c r="R3" s="73">
        <v>0.42222222222222228</v>
      </c>
      <c r="S3" s="76">
        <v>1.96</v>
      </c>
      <c r="T3" s="73">
        <v>0.22352941176470587</v>
      </c>
      <c r="U3" s="74">
        <v>4</v>
      </c>
    </row>
    <row r="4" spans="1:21" x14ac:dyDescent="0.3">
      <c r="A4" s="72" t="s">
        <v>1094</v>
      </c>
      <c r="B4" s="72" t="s">
        <v>1095</v>
      </c>
      <c r="C4" s="72" t="s">
        <v>1096</v>
      </c>
      <c r="D4" s="72" t="s">
        <v>1097</v>
      </c>
      <c r="E4" s="72" t="s">
        <v>1098</v>
      </c>
      <c r="F4" s="72" t="s">
        <v>1088</v>
      </c>
      <c r="G4" s="75">
        <v>5</v>
      </c>
      <c r="H4" s="75">
        <f>LEN([2]!Table2[[#This Row],[English]])</f>
        <v>5</v>
      </c>
      <c r="I4" s="75">
        <v>5</v>
      </c>
      <c r="J4" s="75">
        <f>VLOOKUP([2]!Table2[[#This Row],[English]], [3]clearpondEN_HE1IR!$1:$1048576, 4, 0)</f>
        <v>4</v>
      </c>
      <c r="K4" s="75">
        <v>2</v>
      </c>
      <c r="L4" s="75" t="str">
        <f>VLOOKUP([2]!Table2[[#This Row],[English]], [4]WebCelex_Done!$1:$1048576, 3, 0)</f>
        <v>2</v>
      </c>
      <c r="M4" s="73">
        <f>VLOOKUP([2]!Table2[[#This Row],[Spanish]], [5]Output_Espal_Zipf!$1:$1048576, 2, 0)</f>
        <v>5.0010680000000001</v>
      </c>
      <c r="N4" s="73">
        <f>VLOOKUP([2]!Table2[[#This Row],[English]], [6]Sheet1!$1:$1048576, 6, 0)</f>
        <v>5.1023610540617961</v>
      </c>
      <c r="O4" s="73">
        <v>6.3440000000000003</v>
      </c>
      <c r="P4" s="73">
        <v>0</v>
      </c>
      <c r="Q4" s="73">
        <v>100</v>
      </c>
      <c r="R4" s="73">
        <v>0.6</v>
      </c>
      <c r="S4" s="76">
        <v>3.05</v>
      </c>
      <c r="T4" s="73">
        <v>0.46086956521739131</v>
      </c>
      <c r="U4" s="74">
        <v>4</v>
      </c>
    </row>
    <row r="5" spans="1:21" x14ac:dyDescent="0.3">
      <c r="A5" s="71" t="s">
        <v>129</v>
      </c>
      <c r="B5" s="71" t="s">
        <v>316</v>
      </c>
      <c r="C5" s="71" t="s">
        <v>490</v>
      </c>
      <c r="D5" s="71" t="s">
        <v>790</v>
      </c>
      <c r="E5" s="71" t="s">
        <v>967</v>
      </c>
      <c r="F5" s="71" t="s">
        <v>688</v>
      </c>
      <c r="G5" s="79">
        <v>4</v>
      </c>
      <c r="H5" s="79">
        <f>LEN([2]!Table2[[#This Row],[English]])</f>
        <v>6</v>
      </c>
      <c r="I5" s="79">
        <v>4</v>
      </c>
      <c r="J5" s="79">
        <f>VLOOKUP([2]!Table2[[#This Row],[English]], [3]clearpondEN_HE1IR!$1:$1048576, 4, 0)</f>
        <v>6</v>
      </c>
      <c r="K5" s="79">
        <v>2</v>
      </c>
      <c r="L5" s="79" t="str">
        <f>VLOOKUP([2]!Table2[[#This Row],[English]], [4]WebCelex_Done!$1:$1048576, 3, 0)</f>
        <v>2</v>
      </c>
      <c r="M5" s="77">
        <f>VLOOKUP([2]!Table2[[#This Row],[Spanish]], [5]Output_Espal_Zipf!$1:$1048576, 2, 0)</f>
        <v>4.1700679999999997</v>
      </c>
      <c r="N5" s="77">
        <f>VLOOKUP([2]!Table2[[#This Row],[English]], [6]Sheet1!$1:$1048576, 6, 0)</f>
        <v>4.2768886181608794</v>
      </c>
      <c r="O5" s="77">
        <v>6.2670000000000003</v>
      </c>
      <c r="P5" s="77">
        <v>0</v>
      </c>
      <c r="Q5" s="77">
        <v>100</v>
      </c>
      <c r="R5" s="77">
        <v>0.49019607843137258</v>
      </c>
      <c r="S5" s="80">
        <v>2.67</v>
      </c>
      <c r="T5" s="77">
        <v>0.5</v>
      </c>
      <c r="U5" s="78">
        <v>4</v>
      </c>
    </row>
    <row r="6" spans="1:21" x14ac:dyDescent="0.3">
      <c r="A6" s="72" t="s">
        <v>119</v>
      </c>
      <c r="B6" s="72" t="s">
        <v>306</v>
      </c>
      <c r="C6" s="72" t="s">
        <v>483</v>
      </c>
      <c r="D6" s="72" t="s">
        <v>780</v>
      </c>
      <c r="E6" s="72" t="s">
        <v>957</v>
      </c>
      <c r="F6" s="72" t="s">
        <v>688</v>
      </c>
      <c r="G6" s="75">
        <v>4</v>
      </c>
      <c r="H6" s="75">
        <f>LEN([2]!Table2[[#This Row],[English]])</f>
        <v>4</v>
      </c>
      <c r="I6" s="75">
        <v>4</v>
      </c>
      <c r="J6" s="75">
        <f>VLOOKUP([2]!Table2[[#This Row],[English]], [3]clearpondEN_HE1IR!$1:$1048576, 4, 0)</f>
        <v>3</v>
      </c>
      <c r="K6" s="75">
        <v>2</v>
      </c>
      <c r="L6" s="75" t="str">
        <f>VLOOKUP([2]!Table2[[#This Row],[English]], [4]WebCelex_Done!$1:$1048576, 3, 0)</f>
        <v>1</v>
      </c>
      <c r="M6" s="73">
        <f>VLOOKUP([2]!Table2[[#This Row],[Spanish]], [5]Output_Espal_Zipf!$1:$1048576, 2, 0)</f>
        <v>3.7794110000000001</v>
      </c>
      <c r="N6" s="73">
        <f>VLOOKUP([2]!Table2[[#This Row],[English]], [6]Sheet1!$1:$1048576, 6, 0)</f>
        <v>3.8110133175904917</v>
      </c>
      <c r="O6" s="73">
        <v>5.8579999999999997</v>
      </c>
      <c r="P6" s="73">
        <v>0</v>
      </c>
      <c r="Q6" s="73">
        <v>100</v>
      </c>
      <c r="R6" s="73">
        <v>0.5243243243243243</v>
      </c>
      <c r="S6" s="76">
        <v>2.5299999999999998</v>
      </c>
      <c r="T6" s="73">
        <v>0.6</v>
      </c>
      <c r="U6" s="74">
        <v>4</v>
      </c>
    </row>
    <row r="7" spans="1:21" x14ac:dyDescent="0.3">
      <c r="A7" s="71" t="s">
        <v>1099</v>
      </c>
      <c r="B7" s="71" t="s">
        <v>1100</v>
      </c>
      <c r="C7" s="71" t="s">
        <v>1100</v>
      </c>
      <c r="D7" s="71" t="s">
        <v>1101</v>
      </c>
      <c r="E7" s="71" t="s">
        <v>1102</v>
      </c>
      <c r="F7" s="71" t="s">
        <v>1103</v>
      </c>
      <c r="G7" s="79">
        <v>4</v>
      </c>
      <c r="H7" s="79">
        <f>LEN([2]!Table2[[#This Row],[English]])</f>
        <v>5</v>
      </c>
      <c r="I7" s="79">
        <v>4</v>
      </c>
      <c r="J7" s="79">
        <f>VLOOKUP([2]!Table2[[#This Row],[English]], [3]clearpondEN_HE1IR!$1:$1048576, 4, 0)</f>
        <v>4</v>
      </c>
      <c r="K7" s="79">
        <v>3</v>
      </c>
      <c r="L7" s="79" t="str">
        <f>VLOOKUP([2]!Table2[[#This Row],[English]], [4]WebCelex_Done!$1:$1048576, 3, 0)</f>
        <v>1</v>
      </c>
      <c r="M7" s="77">
        <f>VLOOKUP([2]!Table2[[#This Row],[Spanish]], [5]Output_Espal_Zipf!$1:$1048576, 2, 0)</f>
        <v>4.1426049999999996</v>
      </c>
      <c r="N7" s="77">
        <f>VLOOKUP([2]!Table2[[#This Row],[English]], [6]Sheet1!$1:$1048576, 6, 0)</f>
        <v>4.7258494789021839</v>
      </c>
      <c r="O7" s="77">
        <v>6.782</v>
      </c>
      <c r="P7" s="77">
        <v>0.28853851400000002</v>
      </c>
      <c r="Q7" s="77">
        <v>94.949494950000002</v>
      </c>
      <c r="R7" s="77">
        <v>0.68510638297872339</v>
      </c>
      <c r="S7" s="80">
        <v>1.79</v>
      </c>
      <c r="T7" s="77">
        <v>0.65957446808510634</v>
      </c>
      <c r="U7" s="78">
        <v>5</v>
      </c>
    </row>
    <row r="8" spans="1:21" x14ac:dyDescent="0.3">
      <c r="A8" s="83" t="s">
        <v>1104</v>
      </c>
      <c r="B8" s="83" t="s">
        <v>1105</v>
      </c>
      <c r="C8" s="83" t="s">
        <v>1106</v>
      </c>
      <c r="D8" s="83" t="s">
        <v>1107</v>
      </c>
      <c r="E8" s="83" t="s">
        <v>1108</v>
      </c>
      <c r="F8" s="83" t="s">
        <v>1109</v>
      </c>
      <c r="G8" s="84">
        <v>4</v>
      </c>
      <c r="H8" s="84">
        <f>LEN([2]!Table2[[#This Row],[English]])</f>
        <v>3</v>
      </c>
      <c r="I8" s="84">
        <v>4</v>
      </c>
      <c r="J8" s="84">
        <f>VLOOKUP([2]!Table2[[#This Row],[English]], [3]clearpondEN_HE1IR!$1:$1048576, 4, 0)</f>
        <v>3</v>
      </c>
      <c r="K8" s="84">
        <v>3</v>
      </c>
      <c r="L8" s="84" t="str">
        <f>VLOOKUP([2]!Table2[[#This Row],[English]], [4]WebCelex_Done!$1:$1048576, 3, 0)</f>
        <v>1</v>
      </c>
      <c r="M8" s="85">
        <f>VLOOKUP([2]!Table2[[#This Row],[Spanish]], [5]Output_Espal_Zipf!$1:$1048576, 2, 0)</f>
        <v>3.471765</v>
      </c>
      <c r="N8" s="85">
        <f>VLOOKUP([2]!Table2[[#This Row],[English]], [6]Sheet1!$1:$1048576, 6, 0)</f>
        <v>3.9899814423327085</v>
      </c>
      <c r="O8" s="85">
        <v>6.6180000000000003</v>
      </c>
      <c r="P8" s="85">
        <v>0</v>
      </c>
      <c r="Q8" s="85">
        <v>100</v>
      </c>
      <c r="R8" s="85">
        <v>0.75</v>
      </c>
      <c r="S8" s="86">
        <v>1.37</v>
      </c>
      <c r="T8" s="85">
        <v>0.54893617021276597</v>
      </c>
      <c r="U8" s="87">
        <v>5</v>
      </c>
    </row>
  </sheetData>
  <conditionalFormatting sqref="B2:F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{3F091FC7-9441-4C1E-B797-0842C8CD93F6}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091FC7-9441-4C1E-B797-0842C8CD9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B2:F8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D27-358C-4E41-ADD4-450796E22E4C}">
  <dimension ref="A3:B12"/>
  <sheetViews>
    <sheetView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25.21875" bestFit="1" customWidth="1"/>
  </cols>
  <sheetData>
    <row r="3" spans="1:2" x14ac:dyDescent="0.3">
      <c r="A3" s="69" t="s">
        <v>1080</v>
      </c>
      <c r="B3" t="s">
        <v>1082</v>
      </c>
    </row>
    <row r="4" spans="1:2" x14ac:dyDescent="0.3">
      <c r="A4" s="70" t="s">
        <v>688</v>
      </c>
      <c r="B4">
        <v>8</v>
      </c>
    </row>
    <row r="5" spans="1:2" x14ac:dyDescent="0.3">
      <c r="A5" s="70" t="s">
        <v>687</v>
      </c>
      <c r="B5">
        <v>4</v>
      </c>
    </row>
    <row r="6" spans="1:2" x14ac:dyDescent="0.3">
      <c r="A6" s="70" t="s">
        <v>685</v>
      </c>
      <c r="B6">
        <v>4</v>
      </c>
    </row>
    <row r="7" spans="1:2" x14ac:dyDescent="0.3">
      <c r="A7" s="70" t="s">
        <v>686</v>
      </c>
      <c r="B7">
        <v>3</v>
      </c>
    </row>
    <row r="8" spans="1:2" x14ac:dyDescent="0.3">
      <c r="A8" s="70" t="s">
        <v>689</v>
      </c>
      <c r="B8">
        <v>4</v>
      </c>
    </row>
    <row r="9" spans="1:2" x14ac:dyDescent="0.3">
      <c r="A9" s="70" t="s">
        <v>683</v>
      </c>
      <c r="B9">
        <v>15</v>
      </c>
    </row>
    <row r="10" spans="1:2" x14ac:dyDescent="0.3">
      <c r="A10" s="70" t="s">
        <v>684</v>
      </c>
      <c r="B10">
        <v>5</v>
      </c>
    </row>
    <row r="11" spans="1:2" x14ac:dyDescent="0.3">
      <c r="A11" s="70" t="s">
        <v>1088</v>
      </c>
      <c r="B11">
        <v>2</v>
      </c>
    </row>
    <row r="12" spans="1:2" x14ac:dyDescent="0.3">
      <c r="A12" s="70" t="s">
        <v>1081</v>
      </c>
      <c r="B12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9"/>
  <sheetViews>
    <sheetView zoomScale="68" workbookViewId="0">
      <selection activeCell="A89" sqref="A89:AB89"/>
    </sheetView>
  </sheetViews>
  <sheetFormatPr defaultRowHeight="14.4" x14ac:dyDescent="0.3"/>
  <cols>
    <col min="1" max="1" width="12.5546875" customWidth="1"/>
    <col min="3" max="3" width="9.6640625" customWidth="1"/>
    <col min="4" max="4" width="9" customWidth="1"/>
    <col min="5" max="5" width="19.88671875" customWidth="1"/>
    <col min="6" max="6" width="21.33203125" customWidth="1"/>
    <col min="7" max="7" width="21.6640625" customWidth="1"/>
    <col min="8" max="8" width="16.6640625" customWidth="1"/>
    <col min="9" max="9" width="13.33203125" customWidth="1"/>
    <col min="10" max="10" width="22.6640625" customWidth="1"/>
    <col min="11" max="11" width="22.33203125" customWidth="1"/>
    <col min="12" max="12" width="19.6640625" customWidth="1"/>
    <col min="13" max="13" width="20.44140625" customWidth="1"/>
    <col min="14" max="14" width="20.109375" customWidth="1"/>
    <col min="15" max="15" width="19.5546875" customWidth="1"/>
    <col min="16" max="16" width="19.109375" customWidth="1"/>
    <col min="17" max="17" width="17.109375" customWidth="1"/>
    <col min="18" max="18" width="14.33203125" customWidth="1"/>
    <col min="19" max="19" width="9.6640625" customWidth="1"/>
    <col min="20" max="20" width="9" customWidth="1"/>
    <col min="21" max="21" width="10.6640625" customWidth="1"/>
    <col min="22" max="22" width="21.33203125" customWidth="1"/>
    <col min="23" max="23" width="20.6640625" customWidth="1"/>
    <col min="24" max="24" width="18.6640625" customWidth="1"/>
    <col min="25" max="25" width="15.88671875" customWidth="1"/>
    <col min="26" max="26" width="16.6640625" customWidth="1"/>
    <col min="27" max="27" width="16.5546875" customWidth="1"/>
    <col min="28" max="28" width="20.8867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26</v>
      </c>
      <c r="G1" t="s">
        <v>5</v>
      </c>
      <c r="H1" t="s">
        <v>6</v>
      </c>
      <c r="I1" s="6" t="s">
        <v>7</v>
      </c>
      <c r="J1" t="s">
        <v>8</v>
      </c>
      <c r="K1" t="s">
        <v>9</v>
      </c>
      <c r="L1" s="5" t="s">
        <v>10</v>
      </c>
      <c r="M1" s="5" t="s">
        <v>11</v>
      </c>
      <c r="N1" s="5" t="s">
        <v>12</v>
      </c>
      <c r="O1" t="s">
        <v>13</v>
      </c>
      <c r="P1" t="s">
        <v>14</v>
      </c>
      <c r="Q1" t="s">
        <v>15</v>
      </c>
      <c r="R1" s="5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7" t="s">
        <v>1054</v>
      </c>
    </row>
    <row r="2" spans="1:28" x14ac:dyDescent="0.3">
      <c r="A2" s="1" t="s">
        <v>30</v>
      </c>
      <c r="B2" s="1">
        <v>505</v>
      </c>
      <c r="C2" s="1" t="s">
        <v>217</v>
      </c>
      <c r="D2" s="1" t="s">
        <v>404</v>
      </c>
      <c r="E2" s="1" t="s">
        <v>562</v>
      </c>
      <c r="F2" s="8">
        <v>2</v>
      </c>
      <c r="G2" s="9">
        <v>0.5</v>
      </c>
      <c r="H2" s="10">
        <v>6.2610000000000001</v>
      </c>
      <c r="I2" s="10">
        <v>0.28853851400000002</v>
      </c>
      <c r="J2" s="10">
        <v>94.949494950000002</v>
      </c>
      <c r="K2" s="10">
        <v>2</v>
      </c>
      <c r="L2" s="8" t="s">
        <v>683</v>
      </c>
      <c r="M2" s="10">
        <v>0.12972972972972974</v>
      </c>
      <c r="N2" s="10">
        <v>0.42553191489361697</v>
      </c>
      <c r="O2" s="11">
        <v>5</v>
      </c>
      <c r="P2" s="11">
        <v>5</v>
      </c>
      <c r="Q2" s="11">
        <v>2</v>
      </c>
      <c r="R2" s="10">
        <v>5.3240080000000001</v>
      </c>
      <c r="S2" s="1" t="e">
        <v>#N/A</v>
      </c>
      <c r="T2" s="1" t="s">
        <v>693</v>
      </c>
      <c r="U2" s="1" t="s">
        <v>870</v>
      </c>
      <c r="V2" s="11">
        <v>4</v>
      </c>
      <c r="W2" s="11">
        <v>3</v>
      </c>
      <c r="X2" s="11" t="s">
        <v>27</v>
      </c>
      <c r="Y2" s="10">
        <v>5.2096588145190843</v>
      </c>
      <c r="Z2" s="10">
        <v>0.87027027027027026</v>
      </c>
      <c r="AA2" s="10">
        <v>0.57446808510638303</v>
      </c>
      <c r="AB2" s="12">
        <v>4</v>
      </c>
    </row>
    <row r="3" spans="1:28" x14ac:dyDescent="0.3">
      <c r="A3" s="2" t="s">
        <v>31</v>
      </c>
      <c r="B3" s="2">
        <v>745</v>
      </c>
      <c r="C3" s="2" t="s">
        <v>218</v>
      </c>
      <c r="D3" s="2" t="s">
        <v>405</v>
      </c>
      <c r="E3" s="2" t="s">
        <v>563</v>
      </c>
      <c r="F3" s="13">
        <v>3</v>
      </c>
      <c r="G3" s="14">
        <v>0.66700000000000004</v>
      </c>
      <c r="H3" s="15">
        <v>6.1689999999999996</v>
      </c>
      <c r="I3" s="15">
        <v>0</v>
      </c>
      <c r="J3" s="15">
        <v>100</v>
      </c>
      <c r="K3" s="15">
        <v>2.87</v>
      </c>
      <c r="L3" s="13" t="s">
        <v>684</v>
      </c>
      <c r="M3" s="15">
        <v>0.1454545454545455</v>
      </c>
      <c r="N3" s="15">
        <v>0.21999999999999997</v>
      </c>
      <c r="O3" s="16">
        <v>4</v>
      </c>
      <c r="P3" s="16">
        <v>4</v>
      </c>
      <c r="Q3" s="16">
        <v>3</v>
      </c>
      <c r="R3" s="15">
        <v>4.2303550000000003</v>
      </c>
      <c r="S3" s="2" t="s">
        <v>691</v>
      </c>
      <c r="T3" s="2" t="s">
        <v>694</v>
      </c>
      <c r="U3" s="2" t="s">
        <v>871</v>
      </c>
      <c r="V3" s="16">
        <v>4</v>
      </c>
      <c r="W3" s="16">
        <v>3</v>
      </c>
      <c r="X3" s="16" t="s">
        <v>27</v>
      </c>
      <c r="Y3" s="15">
        <v>6.4289217524815321</v>
      </c>
      <c r="Z3" s="15">
        <v>0.8545454545454545</v>
      </c>
      <c r="AA3" s="15">
        <v>0.78</v>
      </c>
      <c r="AB3" s="17">
        <v>4</v>
      </c>
    </row>
    <row r="4" spans="1:28" x14ac:dyDescent="0.3">
      <c r="A4" s="1" t="s">
        <v>37</v>
      </c>
      <c r="B4" s="1">
        <v>461</v>
      </c>
      <c r="C4" s="1" t="s">
        <v>224</v>
      </c>
      <c r="D4" s="1" t="s">
        <v>224</v>
      </c>
      <c r="E4" s="1" t="s">
        <v>224</v>
      </c>
      <c r="F4" s="8">
        <v>0</v>
      </c>
      <c r="G4" s="9">
        <v>0.5</v>
      </c>
      <c r="H4" s="10">
        <v>6.0110000000000001</v>
      </c>
      <c r="I4" s="10">
        <v>0.14257333</v>
      </c>
      <c r="J4" s="10">
        <v>97.979797980000001</v>
      </c>
      <c r="K4" s="10">
        <v>2.06</v>
      </c>
      <c r="L4" s="8" t="s">
        <v>683</v>
      </c>
      <c r="M4" s="10">
        <v>0.25185185185185177</v>
      </c>
      <c r="N4" s="10">
        <v>0.21481481481481479</v>
      </c>
      <c r="O4" s="11">
        <v>7</v>
      </c>
      <c r="P4" s="11">
        <v>7</v>
      </c>
      <c r="Q4" s="11">
        <v>3</v>
      </c>
      <c r="R4" s="10">
        <v>4.1211510000000002</v>
      </c>
      <c r="S4" s="1" t="s">
        <v>691</v>
      </c>
      <c r="T4" s="1" t="s">
        <v>700</v>
      </c>
      <c r="U4" s="1" t="s">
        <v>877</v>
      </c>
      <c r="V4" s="11">
        <v>3</v>
      </c>
      <c r="W4" s="11">
        <v>3</v>
      </c>
      <c r="X4" s="11" t="s">
        <v>27</v>
      </c>
      <c r="Y4" s="10">
        <v>4.5989885430885487</v>
      </c>
      <c r="Z4" s="10">
        <v>0.74814814814814823</v>
      </c>
      <c r="AA4" s="10">
        <v>0.78518518518518521</v>
      </c>
      <c r="AB4" s="12">
        <v>7</v>
      </c>
    </row>
    <row r="5" spans="1:28" x14ac:dyDescent="0.3">
      <c r="A5" s="2" t="s">
        <v>39</v>
      </c>
      <c r="B5" s="2">
        <v>349</v>
      </c>
      <c r="C5" s="2" t="s">
        <v>226</v>
      </c>
      <c r="D5" s="2" t="s">
        <v>412</v>
      </c>
      <c r="E5" s="2" t="s">
        <v>570</v>
      </c>
      <c r="F5" s="13">
        <v>2</v>
      </c>
      <c r="G5" s="18">
        <v>0.5</v>
      </c>
      <c r="H5" s="15">
        <v>6.2220000000000004</v>
      </c>
      <c r="I5" s="15">
        <v>0.19902377500000001</v>
      </c>
      <c r="J5" s="15">
        <v>96.907216489999996</v>
      </c>
      <c r="K5" s="15">
        <v>1.7</v>
      </c>
      <c r="L5" s="13" t="s">
        <v>683</v>
      </c>
      <c r="M5" s="15">
        <v>0.2592592592592593</v>
      </c>
      <c r="N5" s="15">
        <v>0.32786885245901631</v>
      </c>
      <c r="O5" s="16">
        <v>7</v>
      </c>
      <c r="P5" s="16">
        <v>7</v>
      </c>
      <c r="Q5" s="16">
        <v>2</v>
      </c>
      <c r="R5" s="15">
        <v>3.027644</v>
      </c>
      <c r="S5" s="2" t="s">
        <v>691</v>
      </c>
      <c r="T5" s="2" t="s">
        <v>702</v>
      </c>
      <c r="U5" s="2" t="s">
        <v>879</v>
      </c>
      <c r="V5" s="16">
        <v>4</v>
      </c>
      <c r="W5" s="16">
        <v>3</v>
      </c>
      <c r="X5" s="16" t="s">
        <v>27</v>
      </c>
      <c r="Y5" s="15">
        <v>4.4221368882975129</v>
      </c>
      <c r="Z5" s="15">
        <v>0.7407407407407407</v>
      </c>
      <c r="AA5" s="15">
        <v>0.67213114754098369</v>
      </c>
      <c r="AB5" s="17">
        <v>7</v>
      </c>
    </row>
    <row r="6" spans="1:28" x14ac:dyDescent="0.3">
      <c r="A6" s="1" t="s">
        <v>41</v>
      </c>
      <c r="B6" s="1">
        <v>473</v>
      </c>
      <c r="C6" s="1" t="s">
        <v>228</v>
      </c>
      <c r="D6" s="1" t="s">
        <v>414</v>
      </c>
      <c r="E6" s="1" t="s">
        <v>572</v>
      </c>
      <c r="F6" s="8">
        <v>3</v>
      </c>
      <c r="G6" s="9">
        <v>0.25</v>
      </c>
      <c r="H6" s="10">
        <v>6.0860000000000003</v>
      </c>
      <c r="I6" s="10">
        <v>0</v>
      </c>
      <c r="J6" s="10">
        <v>100</v>
      </c>
      <c r="K6" s="10">
        <v>1.63</v>
      </c>
      <c r="L6" s="8" t="s">
        <v>687</v>
      </c>
      <c r="M6" s="10">
        <v>0.27027027027027029</v>
      </c>
      <c r="N6" s="10">
        <v>0.4</v>
      </c>
      <c r="O6" s="11">
        <v>5</v>
      </c>
      <c r="P6" s="11">
        <v>5</v>
      </c>
      <c r="Q6" s="11">
        <v>2</v>
      </c>
      <c r="R6" s="10">
        <v>4.6882380000000001</v>
      </c>
      <c r="S6" s="1" t="e">
        <v>#N/A</v>
      </c>
      <c r="T6" s="1" t="s">
        <v>704</v>
      </c>
      <c r="U6" s="1" t="s">
        <v>881</v>
      </c>
      <c r="V6" s="11">
        <v>3</v>
      </c>
      <c r="W6" s="11">
        <v>2</v>
      </c>
      <c r="X6" s="11" t="s">
        <v>27</v>
      </c>
      <c r="Y6" s="10">
        <v>4.7021161847442832</v>
      </c>
      <c r="Z6" s="10">
        <v>0.72972972972972971</v>
      </c>
      <c r="AA6" s="10">
        <v>0.6</v>
      </c>
      <c r="AB6" s="12">
        <v>4</v>
      </c>
    </row>
    <row r="7" spans="1:28" x14ac:dyDescent="0.3">
      <c r="A7" s="2" t="s">
        <v>43</v>
      </c>
      <c r="B7" s="2">
        <v>99</v>
      </c>
      <c r="C7" s="2" t="s">
        <v>230</v>
      </c>
      <c r="D7" s="2" t="s">
        <v>416</v>
      </c>
      <c r="E7" s="2" t="s">
        <v>574</v>
      </c>
      <c r="F7" s="13">
        <v>2</v>
      </c>
      <c r="G7" s="18">
        <v>0.6</v>
      </c>
      <c r="H7" s="15">
        <v>6.6559999999999997</v>
      </c>
      <c r="I7" s="15">
        <v>0.14372616999999999</v>
      </c>
      <c r="J7" s="15">
        <v>97.959183670000002</v>
      </c>
      <c r="K7" s="15">
        <v>2.74</v>
      </c>
      <c r="L7" s="13" t="s">
        <v>683</v>
      </c>
      <c r="M7" s="15">
        <v>0.28059701492537314</v>
      </c>
      <c r="N7" s="15">
        <v>0.35135135135135132</v>
      </c>
      <c r="O7" s="16">
        <v>6</v>
      </c>
      <c r="P7" s="16">
        <v>6</v>
      </c>
      <c r="Q7" s="16">
        <v>3</v>
      </c>
      <c r="R7" s="15">
        <v>4.6494090000000003</v>
      </c>
      <c r="S7" s="2" t="s">
        <v>691</v>
      </c>
      <c r="T7" s="2" t="s">
        <v>706</v>
      </c>
      <c r="U7" s="2" t="s">
        <v>883</v>
      </c>
      <c r="V7" s="16">
        <v>8</v>
      </c>
      <c r="W7" s="16">
        <v>6</v>
      </c>
      <c r="X7" s="16" t="s">
        <v>28</v>
      </c>
      <c r="Y7" s="15">
        <v>4.7656626949470624</v>
      </c>
      <c r="Z7" s="15">
        <v>0.71940298507462686</v>
      </c>
      <c r="AA7" s="15">
        <v>0.64864864864864868</v>
      </c>
      <c r="AB7" s="17">
        <v>8</v>
      </c>
    </row>
    <row r="8" spans="1:28" x14ac:dyDescent="0.3">
      <c r="A8" s="1" t="s">
        <v>46</v>
      </c>
      <c r="B8" s="1">
        <v>365</v>
      </c>
      <c r="C8" s="1" t="s">
        <v>233</v>
      </c>
      <c r="D8" s="1" t="s">
        <v>419</v>
      </c>
      <c r="E8" s="1" t="s">
        <v>576</v>
      </c>
      <c r="F8" s="8">
        <v>3</v>
      </c>
      <c r="G8" s="9">
        <v>0.75</v>
      </c>
      <c r="H8" s="10">
        <v>0</v>
      </c>
      <c r="I8" s="10">
        <v>0.14731066700000001</v>
      </c>
      <c r="J8" s="10">
        <v>97.894736839999993</v>
      </c>
      <c r="K8" s="10">
        <v>3.09</v>
      </c>
      <c r="L8" s="8" t="s">
        <v>688</v>
      </c>
      <c r="M8" s="10">
        <v>0.28771929824561404</v>
      </c>
      <c r="N8" s="10">
        <v>0.32835820895522394</v>
      </c>
      <c r="O8" s="11">
        <v>5</v>
      </c>
      <c r="P8" s="11">
        <v>5</v>
      </c>
      <c r="Q8" s="11">
        <v>3</v>
      </c>
      <c r="R8" s="10">
        <v>3.2098710000000001</v>
      </c>
      <c r="S8" s="1" t="s">
        <v>691</v>
      </c>
      <c r="T8" s="1" t="s">
        <v>709</v>
      </c>
      <c r="U8" s="1" t="s">
        <v>886</v>
      </c>
      <c r="V8" s="11">
        <v>8</v>
      </c>
      <c r="W8" s="11">
        <v>6</v>
      </c>
      <c r="X8" s="11" t="s">
        <v>28</v>
      </c>
      <c r="Y8" s="10">
        <v>3.7218602429400405</v>
      </c>
      <c r="Z8" s="10">
        <v>0.71228070175438596</v>
      </c>
      <c r="AA8" s="10">
        <v>0.67164179104477606</v>
      </c>
      <c r="AB8" s="12">
        <v>6</v>
      </c>
    </row>
    <row r="9" spans="1:28" x14ac:dyDescent="0.3">
      <c r="A9" s="2" t="s">
        <v>48</v>
      </c>
      <c r="B9" s="2">
        <v>327</v>
      </c>
      <c r="C9" s="2" t="s">
        <v>235</v>
      </c>
      <c r="D9" s="2" t="s">
        <v>421</v>
      </c>
      <c r="E9" s="2" t="s">
        <v>421</v>
      </c>
      <c r="F9" s="13">
        <v>2</v>
      </c>
      <c r="G9" s="18">
        <v>0.25</v>
      </c>
      <c r="H9" s="15">
        <v>5.7969999999999997</v>
      </c>
      <c r="I9" s="15">
        <v>0</v>
      </c>
      <c r="J9" s="15">
        <v>100</v>
      </c>
      <c r="K9" s="15">
        <v>2.33</v>
      </c>
      <c r="L9" s="13" t="s">
        <v>685</v>
      </c>
      <c r="M9" s="15">
        <v>0.29508196721311475</v>
      </c>
      <c r="N9" s="15">
        <v>0.29508196721311475</v>
      </c>
      <c r="O9" s="16">
        <v>5</v>
      </c>
      <c r="P9" s="16">
        <v>5</v>
      </c>
      <c r="Q9" s="16">
        <v>2</v>
      </c>
      <c r="R9" s="15">
        <v>4.3576740000000003</v>
      </c>
      <c r="S9" s="2" t="s">
        <v>691</v>
      </c>
      <c r="T9" s="2" t="s">
        <v>711</v>
      </c>
      <c r="U9" s="2" t="s">
        <v>888</v>
      </c>
      <c r="V9" s="16">
        <v>6</v>
      </c>
      <c r="W9" s="16">
        <v>6</v>
      </c>
      <c r="X9" s="16" t="s">
        <v>28</v>
      </c>
      <c r="Y9" s="15">
        <v>4.0757659741624206</v>
      </c>
      <c r="Z9" s="15">
        <v>0.70491803278688525</v>
      </c>
      <c r="AA9" s="15">
        <v>0.70491803278688525</v>
      </c>
      <c r="AB9" s="17">
        <v>6</v>
      </c>
    </row>
    <row r="10" spans="1:28" x14ac:dyDescent="0.3">
      <c r="A10" s="1" t="s">
        <v>53</v>
      </c>
      <c r="B10" s="1">
        <v>540</v>
      </c>
      <c r="C10" s="1" t="s">
        <v>240</v>
      </c>
      <c r="D10" s="1" t="s">
        <v>425</v>
      </c>
      <c r="E10" s="1" t="s">
        <v>240</v>
      </c>
      <c r="F10" s="8">
        <v>0</v>
      </c>
      <c r="G10" s="19">
        <v>0.33300000000000002</v>
      </c>
      <c r="H10" s="10">
        <v>0</v>
      </c>
      <c r="I10" s="10">
        <v>0.141440543</v>
      </c>
      <c r="J10" s="10">
        <v>98</v>
      </c>
      <c r="K10" s="10">
        <v>2.3199999999999998</v>
      </c>
      <c r="L10" s="8" t="s">
        <v>684</v>
      </c>
      <c r="M10" s="10">
        <v>0.32666666666666666</v>
      </c>
      <c r="N10" s="10">
        <v>0.22162162162162158</v>
      </c>
      <c r="O10" s="11">
        <v>4</v>
      </c>
      <c r="P10" s="11">
        <v>4</v>
      </c>
      <c r="Q10" s="11">
        <v>3</v>
      </c>
      <c r="R10" s="10">
        <v>3.8971979999999999</v>
      </c>
      <c r="S10" s="1" t="e">
        <v>#N/A</v>
      </c>
      <c r="T10" s="1" t="s">
        <v>716</v>
      </c>
      <c r="U10" s="1" t="s">
        <v>893</v>
      </c>
      <c r="V10" s="11">
        <v>10</v>
      </c>
      <c r="W10" s="11">
        <v>6</v>
      </c>
      <c r="X10" s="11" t="s">
        <v>28</v>
      </c>
      <c r="Y10" s="10">
        <v>3.76614304793471</v>
      </c>
      <c r="Z10" s="10">
        <v>0.67333333333333334</v>
      </c>
      <c r="AA10" s="10">
        <v>0.77837837837837842</v>
      </c>
      <c r="AB10" s="12">
        <v>9</v>
      </c>
    </row>
    <row r="11" spans="1:28" x14ac:dyDescent="0.3">
      <c r="A11" s="2" t="s">
        <v>55</v>
      </c>
      <c r="B11" s="2">
        <v>680</v>
      </c>
      <c r="C11" s="2" t="s">
        <v>242</v>
      </c>
      <c r="D11" s="2" t="s">
        <v>427</v>
      </c>
      <c r="E11" s="2" t="s">
        <v>581</v>
      </c>
      <c r="F11" s="13">
        <v>1</v>
      </c>
      <c r="G11" s="14">
        <v>0.33300000000000002</v>
      </c>
      <c r="H11" s="15">
        <v>6.1630000000000003</v>
      </c>
      <c r="I11" s="15">
        <v>0.20390587600000001</v>
      </c>
      <c r="J11" s="15">
        <v>96.808510639999994</v>
      </c>
      <c r="K11" s="15">
        <v>2.2000000000000002</v>
      </c>
      <c r="L11" s="13" t="s">
        <v>683</v>
      </c>
      <c r="M11" s="15">
        <v>0.32727272727272727</v>
      </c>
      <c r="N11" s="15">
        <v>0.33939393939393936</v>
      </c>
      <c r="O11" s="16">
        <v>4</v>
      </c>
      <c r="P11" s="16">
        <v>4</v>
      </c>
      <c r="Q11" s="16">
        <v>2</v>
      </c>
      <c r="R11" s="15">
        <v>4.5486779999999998</v>
      </c>
      <c r="S11" s="2" t="s">
        <v>691</v>
      </c>
      <c r="T11" s="2" t="s">
        <v>718</v>
      </c>
      <c r="U11" s="2" t="s">
        <v>895</v>
      </c>
      <c r="V11" s="16">
        <v>3</v>
      </c>
      <c r="W11" s="16">
        <v>2</v>
      </c>
      <c r="X11" s="16" t="s">
        <v>27</v>
      </c>
      <c r="Y11" s="15">
        <v>4.2190919328493832</v>
      </c>
      <c r="Z11" s="15">
        <v>0.67272727272727273</v>
      </c>
      <c r="AA11" s="15">
        <v>0.66060606060606064</v>
      </c>
      <c r="AB11" s="17">
        <v>4</v>
      </c>
    </row>
    <row r="12" spans="1:28" x14ac:dyDescent="0.3">
      <c r="A12" s="1" t="s">
        <v>56</v>
      </c>
      <c r="B12" s="1">
        <v>295</v>
      </c>
      <c r="C12" s="1" t="s">
        <v>243</v>
      </c>
      <c r="D12" s="1" t="s">
        <v>428</v>
      </c>
      <c r="E12" s="1" t="s">
        <v>243</v>
      </c>
      <c r="F12" s="8">
        <v>0</v>
      </c>
      <c r="G12" s="19">
        <v>0.33300000000000002</v>
      </c>
      <c r="H12" s="10">
        <v>6.0510000000000002</v>
      </c>
      <c r="I12" s="10">
        <v>0</v>
      </c>
      <c r="J12" s="10">
        <v>100</v>
      </c>
      <c r="K12" s="10">
        <v>1.43</v>
      </c>
      <c r="L12" s="8" t="s">
        <v>683</v>
      </c>
      <c r="M12" s="10">
        <v>0.32786885245901631</v>
      </c>
      <c r="N12" s="10">
        <v>0.34754098360655739</v>
      </c>
      <c r="O12" s="11">
        <v>7</v>
      </c>
      <c r="P12" s="11">
        <v>7</v>
      </c>
      <c r="Q12" s="11">
        <v>2</v>
      </c>
      <c r="R12" s="10">
        <v>4.682061</v>
      </c>
      <c r="S12" s="1" t="s">
        <v>691</v>
      </c>
      <c r="T12" s="1" t="s">
        <v>719</v>
      </c>
      <c r="U12" s="1" t="s">
        <v>896</v>
      </c>
      <c r="V12" s="11">
        <v>4</v>
      </c>
      <c r="W12" s="11">
        <v>4</v>
      </c>
      <c r="X12" s="11" t="s">
        <v>27</v>
      </c>
      <c r="Y12" s="10">
        <v>4.4161431269976994</v>
      </c>
      <c r="Z12" s="10">
        <v>0.67213114754098369</v>
      </c>
      <c r="AA12" s="10">
        <v>0.65245901639344261</v>
      </c>
      <c r="AB12" s="12">
        <v>7</v>
      </c>
    </row>
    <row r="13" spans="1:28" x14ac:dyDescent="0.3">
      <c r="A13" s="2" t="s">
        <v>57</v>
      </c>
      <c r="B13" s="2">
        <v>452</v>
      </c>
      <c r="C13" s="2" t="s">
        <v>244</v>
      </c>
      <c r="D13" s="2" t="s">
        <v>429</v>
      </c>
      <c r="E13" s="2" t="s">
        <v>582</v>
      </c>
      <c r="F13" s="13">
        <v>3</v>
      </c>
      <c r="G13" s="18">
        <v>0.25</v>
      </c>
      <c r="H13" s="15">
        <v>6.0430000000000001</v>
      </c>
      <c r="I13" s="15">
        <v>0</v>
      </c>
      <c r="J13" s="15">
        <v>100</v>
      </c>
      <c r="K13" s="15">
        <v>2</v>
      </c>
      <c r="L13" s="13" t="s">
        <v>683</v>
      </c>
      <c r="M13" s="15">
        <v>0.33191489361702131</v>
      </c>
      <c r="N13" s="15">
        <v>7.999999999999996E-2</v>
      </c>
      <c r="O13" s="16">
        <v>5</v>
      </c>
      <c r="P13" s="16">
        <v>5</v>
      </c>
      <c r="Q13" s="16">
        <v>2</v>
      </c>
      <c r="R13" s="15">
        <v>4.4174040000000003</v>
      </c>
      <c r="S13" s="2" t="e">
        <v>#N/A</v>
      </c>
      <c r="T13" s="2" t="s">
        <v>720</v>
      </c>
      <c r="U13" s="2" t="s">
        <v>897</v>
      </c>
      <c r="V13" s="16">
        <v>5</v>
      </c>
      <c r="W13" s="16">
        <v>3</v>
      </c>
      <c r="X13" s="16" t="s">
        <v>27</v>
      </c>
      <c r="Y13" s="15">
        <v>5.302890392595101</v>
      </c>
      <c r="Z13" s="15">
        <v>0.66808510638297869</v>
      </c>
      <c r="AA13" s="15">
        <v>0.92</v>
      </c>
      <c r="AB13" s="17">
        <v>5</v>
      </c>
    </row>
    <row r="14" spans="1:28" x14ac:dyDescent="0.3">
      <c r="A14" s="1" t="s">
        <v>58</v>
      </c>
      <c r="B14" s="1">
        <v>362</v>
      </c>
      <c r="C14" s="1" t="s">
        <v>245</v>
      </c>
      <c r="D14" s="1" t="s">
        <v>430</v>
      </c>
      <c r="E14" s="1" t="s">
        <v>583</v>
      </c>
      <c r="F14" s="8">
        <v>1</v>
      </c>
      <c r="G14" s="9">
        <v>0.5</v>
      </c>
      <c r="H14" s="10">
        <v>6.54</v>
      </c>
      <c r="I14" s="10">
        <v>0</v>
      </c>
      <c r="J14" s="10">
        <v>100</v>
      </c>
      <c r="K14" s="10">
        <v>2.1</v>
      </c>
      <c r="L14" s="8" t="s">
        <v>684</v>
      </c>
      <c r="M14" s="10">
        <v>0.33333333333333326</v>
      </c>
      <c r="N14" s="10">
        <v>0.29473684210526319</v>
      </c>
      <c r="O14" s="11">
        <v>7</v>
      </c>
      <c r="P14" s="11">
        <v>7</v>
      </c>
      <c r="Q14" s="11">
        <v>3</v>
      </c>
      <c r="R14" s="10">
        <v>4.0165129999999998</v>
      </c>
      <c r="S14" s="1" t="s">
        <v>691</v>
      </c>
      <c r="T14" s="1" t="s">
        <v>721</v>
      </c>
      <c r="U14" s="1" t="s">
        <v>898</v>
      </c>
      <c r="V14" s="11">
        <v>4</v>
      </c>
      <c r="W14" s="11">
        <v>3</v>
      </c>
      <c r="X14" s="11" t="s">
        <v>27</v>
      </c>
      <c r="Y14" s="10">
        <v>4.5385944886398839</v>
      </c>
      <c r="Z14" s="10">
        <v>0.66666666666666674</v>
      </c>
      <c r="AA14" s="10">
        <v>0.70526315789473681</v>
      </c>
      <c r="AB14" s="12">
        <v>6</v>
      </c>
    </row>
    <row r="15" spans="1:28" x14ac:dyDescent="0.3">
      <c r="A15" s="2" t="s">
        <v>59</v>
      </c>
      <c r="B15" s="2">
        <v>532</v>
      </c>
      <c r="C15" s="2" t="s">
        <v>246</v>
      </c>
      <c r="D15" s="2" t="s">
        <v>431</v>
      </c>
      <c r="E15" s="2" t="s">
        <v>584</v>
      </c>
      <c r="F15" s="13">
        <v>3</v>
      </c>
      <c r="G15" s="18">
        <v>0.8</v>
      </c>
      <c r="H15" s="15">
        <v>6.3310000000000004</v>
      </c>
      <c r="I15" s="15">
        <v>0</v>
      </c>
      <c r="J15" s="15">
        <v>100</v>
      </c>
      <c r="K15" s="15">
        <v>2.94</v>
      </c>
      <c r="L15" s="13" t="s">
        <v>689</v>
      </c>
      <c r="M15" s="15">
        <v>0.33571428571428563</v>
      </c>
      <c r="N15" s="15">
        <v>0.32452830188679238</v>
      </c>
      <c r="O15" s="16">
        <v>6</v>
      </c>
      <c r="P15" s="16">
        <v>6</v>
      </c>
      <c r="Q15" s="16">
        <v>3</v>
      </c>
      <c r="R15" s="15">
        <v>3.5814379999999999</v>
      </c>
      <c r="S15" s="2" t="s">
        <v>691</v>
      </c>
      <c r="T15" s="2" t="s">
        <v>722</v>
      </c>
      <c r="U15" s="2" t="s">
        <v>899</v>
      </c>
      <c r="V15" s="16">
        <v>5</v>
      </c>
      <c r="W15" s="16">
        <v>4</v>
      </c>
      <c r="X15" s="16" t="s">
        <v>27</v>
      </c>
      <c r="Y15" s="15">
        <v>3.8984964135877904</v>
      </c>
      <c r="Z15" s="15">
        <v>0.66428571428571437</v>
      </c>
      <c r="AA15" s="15">
        <v>0.67547169811320762</v>
      </c>
      <c r="AB15" s="17">
        <v>6</v>
      </c>
    </row>
    <row r="16" spans="1:28" x14ac:dyDescent="0.3">
      <c r="A16" s="1" t="s">
        <v>62</v>
      </c>
      <c r="B16" s="1">
        <v>88</v>
      </c>
      <c r="C16" s="1" t="s">
        <v>249</v>
      </c>
      <c r="D16" s="1" t="s">
        <v>249</v>
      </c>
      <c r="E16" s="1" t="s">
        <v>249</v>
      </c>
      <c r="F16" s="8">
        <v>0</v>
      </c>
      <c r="G16" s="9">
        <v>0.2</v>
      </c>
      <c r="H16" s="10">
        <v>0</v>
      </c>
      <c r="I16" s="10">
        <v>0</v>
      </c>
      <c r="J16" s="10">
        <v>100</v>
      </c>
      <c r="K16" s="10">
        <v>1.65</v>
      </c>
      <c r="L16" s="8" t="s">
        <v>683</v>
      </c>
      <c r="M16" s="10">
        <v>0.33750000000000002</v>
      </c>
      <c r="N16" s="10">
        <v>0.32307692307692304</v>
      </c>
      <c r="O16" s="11">
        <v>6</v>
      </c>
      <c r="P16" s="11">
        <v>6</v>
      </c>
      <c r="Q16" s="11">
        <v>3</v>
      </c>
      <c r="R16" s="10">
        <v>3.519091</v>
      </c>
      <c r="S16" s="1" t="s">
        <v>691</v>
      </c>
      <c r="T16" s="1" t="s">
        <v>725</v>
      </c>
      <c r="U16" s="1" t="s">
        <v>902</v>
      </c>
      <c r="V16" s="11">
        <v>8</v>
      </c>
      <c r="W16" s="11">
        <v>6</v>
      </c>
      <c r="X16" s="11" t="s">
        <v>28</v>
      </c>
      <c r="Y16" s="10">
        <v>3.0866708332979695</v>
      </c>
      <c r="Z16" s="10">
        <v>0.66249999999999998</v>
      </c>
      <c r="AA16" s="10">
        <v>0.67692307692307696</v>
      </c>
      <c r="AB16" s="12">
        <v>7</v>
      </c>
    </row>
    <row r="17" spans="1:28" x14ac:dyDescent="0.3">
      <c r="A17" s="2" t="s">
        <v>63</v>
      </c>
      <c r="B17" s="2">
        <v>186</v>
      </c>
      <c r="C17" s="2" t="s">
        <v>250</v>
      </c>
      <c r="D17" s="2" t="s">
        <v>434</v>
      </c>
      <c r="E17" s="2" t="s">
        <v>586</v>
      </c>
      <c r="F17" s="13">
        <v>2</v>
      </c>
      <c r="G17" s="18">
        <v>0.75</v>
      </c>
      <c r="H17" s="15">
        <v>5.6520000000000001</v>
      </c>
      <c r="I17" s="15">
        <v>0</v>
      </c>
      <c r="J17" s="15">
        <v>100</v>
      </c>
      <c r="K17" s="15">
        <v>3.78</v>
      </c>
      <c r="L17" s="13" t="s">
        <v>683</v>
      </c>
      <c r="M17" s="15">
        <v>0.34074074074074079</v>
      </c>
      <c r="N17" s="15">
        <v>0.35789473684210527</v>
      </c>
      <c r="O17" s="16">
        <v>5</v>
      </c>
      <c r="P17" s="16">
        <v>5</v>
      </c>
      <c r="Q17" s="16">
        <v>3</v>
      </c>
      <c r="R17" s="15">
        <v>4.6928419999999997</v>
      </c>
      <c r="S17" s="2" t="s">
        <v>691</v>
      </c>
      <c r="T17" s="2" t="s">
        <v>726</v>
      </c>
      <c r="U17" s="2" t="s">
        <v>903</v>
      </c>
      <c r="V17" s="16">
        <v>6</v>
      </c>
      <c r="W17" s="16">
        <v>5</v>
      </c>
      <c r="X17" s="16" t="s">
        <v>28</v>
      </c>
      <c r="Y17" s="15">
        <v>4.5011686143267298</v>
      </c>
      <c r="Z17" s="15">
        <v>0.65925925925925921</v>
      </c>
      <c r="AA17" s="15">
        <v>0.64210526315789473</v>
      </c>
      <c r="AB17" s="17">
        <v>6</v>
      </c>
    </row>
    <row r="18" spans="1:28" x14ac:dyDescent="0.3">
      <c r="A18" s="1" t="s">
        <v>67</v>
      </c>
      <c r="B18" s="1">
        <v>277</v>
      </c>
      <c r="C18" s="1" t="s">
        <v>254</v>
      </c>
      <c r="D18" s="1" t="s">
        <v>437</v>
      </c>
      <c r="E18" s="1" t="s">
        <v>437</v>
      </c>
      <c r="F18" s="8">
        <v>1</v>
      </c>
      <c r="G18" s="9">
        <v>0.6</v>
      </c>
      <c r="H18" s="10">
        <v>0</v>
      </c>
      <c r="I18" s="10">
        <v>0.24602257799999999</v>
      </c>
      <c r="J18" s="10">
        <v>95.918367349999997</v>
      </c>
      <c r="K18" s="10">
        <v>2.2599999999999998</v>
      </c>
      <c r="L18" s="8" t="s">
        <v>685</v>
      </c>
      <c r="M18" s="10">
        <v>0.34418604651162799</v>
      </c>
      <c r="N18" s="10">
        <v>0.30697674418604648</v>
      </c>
      <c r="O18" s="11">
        <v>6</v>
      </c>
      <c r="P18" s="11">
        <v>6</v>
      </c>
      <c r="Q18" s="11">
        <v>3</v>
      </c>
      <c r="R18" s="10">
        <v>3.2870159999999999</v>
      </c>
      <c r="S18" s="1" t="s">
        <v>691</v>
      </c>
      <c r="T18" s="1" t="s">
        <v>730</v>
      </c>
      <c r="U18" s="1" t="s">
        <v>907</v>
      </c>
      <c r="V18" s="11">
        <v>3</v>
      </c>
      <c r="W18" s="11">
        <v>3</v>
      </c>
      <c r="X18" s="11" t="s">
        <v>27</v>
      </c>
      <c r="Y18" s="10">
        <v>3.8205658756084495</v>
      </c>
      <c r="Z18" s="10">
        <v>0.65581395348837201</v>
      </c>
      <c r="AA18" s="10">
        <v>0.69302325581395352</v>
      </c>
      <c r="AB18" s="12">
        <v>6</v>
      </c>
    </row>
    <row r="19" spans="1:28" x14ac:dyDescent="0.3">
      <c r="A19" s="2" t="s">
        <v>74</v>
      </c>
      <c r="B19" s="2">
        <v>56</v>
      </c>
      <c r="C19" s="2" t="s">
        <v>261</v>
      </c>
      <c r="D19" s="2" t="s">
        <v>444</v>
      </c>
      <c r="E19" s="2" t="s">
        <v>594</v>
      </c>
      <c r="F19" s="13">
        <v>3</v>
      </c>
      <c r="G19" s="18">
        <v>1</v>
      </c>
      <c r="H19" s="15">
        <v>4.2850000000000001</v>
      </c>
      <c r="I19" s="15">
        <v>0</v>
      </c>
      <c r="J19" s="15">
        <v>100</v>
      </c>
      <c r="K19" s="15">
        <v>1.91</v>
      </c>
      <c r="L19" s="13" t="s">
        <v>687</v>
      </c>
      <c r="M19" s="15">
        <v>0.38139534883720927</v>
      </c>
      <c r="N19" s="15">
        <v>0.45581395348837206</v>
      </c>
      <c r="O19" s="16">
        <v>4</v>
      </c>
      <c r="P19" s="16">
        <v>4</v>
      </c>
      <c r="Q19" s="16">
        <v>3</v>
      </c>
      <c r="R19" s="15">
        <v>3.8214000000000001</v>
      </c>
      <c r="S19" s="2" t="s">
        <v>691</v>
      </c>
      <c r="T19" s="2" t="s">
        <v>737</v>
      </c>
      <c r="U19" s="2" t="s">
        <v>914</v>
      </c>
      <c r="V19" s="16">
        <v>5</v>
      </c>
      <c r="W19" s="16">
        <v>4</v>
      </c>
      <c r="X19" s="16" t="s">
        <v>28</v>
      </c>
      <c r="Y19" s="15">
        <v>3.8543997070085796</v>
      </c>
      <c r="Z19" s="15">
        <v>0.61860465116279073</v>
      </c>
      <c r="AA19" s="15">
        <v>0.54418604651162794</v>
      </c>
      <c r="AB19" s="17">
        <v>4</v>
      </c>
    </row>
    <row r="20" spans="1:28" x14ac:dyDescent="0.3">
      <c r="A20" s="1" t="s">
        <v>75</v>
      </c>
      <c r="B20" s="1">
        <v>388</v>
      </c>
      <c r="C20" s="1" t="s">
        <v>262</v>
      </c>
      <c r="D20" s="1" t="s">
        <v>262</v>
      </c>
      <c r="E20" s="1" t="s">
        <v>595</v>
      </c>
      <c r="F20" s="8">
        <v>3</v>
      </c>
      <c r="G20" s="9">
        <v>0.75</v>
      </c>
      <c r="H20" s="10">
        <v>6.3090000000000002</v>
      </c>
      <c r="I20" s="10">
        <v>0.194391858</v>
      </c>
      <c r="J20" s="10">
        <v>97</v>
      </c>
      <c r="K20" s="10">
        <v>2.09</v>
      </c>
      <c r="L20" s="8" t="s">
        <v>683</v>
      </c>
      <c r="M20" s="10">
        <v>0.38181818181818183</v>
      </c>
      <c r="N20" s="10">
        <v>0.40909090909090917</v>
      </c>
      <c r="O20" s="11">
        <v>5</v>
      </c>
      <c r="P20" s="11">
        <v>5</v>
      </c>
      <c r="Q20" s="11">
        <v>2</v>
      </c>
      <c r="R20" s="10">
        <v>3.42875</v>
      </c>
      <c r="S20" s="1" t="s">
        <v>691</v>
      </c>
      <c r="T20" s="1" t="s">
        <v>738</v>
      </c>
      <c r="U20" s="1" t="s">
        <v>915</v>
      </c>
      <c r="V20" s="11">
        <v>3</v>
      </c>
      <c r="W20" s="11">
        <v>3</v>
      </c>
      <c r="X20" s="11" t="s">
        <v>27</v>
      </c>
      <c r="Y20" s="10">
        <v>4.8857871439537961</v>
      </c>
      <c r="Z20" s="10">
        <v>0.61818181818181817</v>
      </c>
      <c r="AA20" s="10">
        <v>0.59090909090909083</v>
      </c>
      <c r="AB20" s="12">
        <v>4</v>
      </c>
    </row>
    <row r="21" spans="1:28" x14ac:dyDescent="0.3">
      <c r="A21" s="2" t="s">
        <v>76</v>
      </c>
      <c r="B21" s="2">
        <v>172</v>
      </c>
      <c r="C21" s="2" t="s">
        <v>263</v>
      </c>
      <c r="D21" s="2" t="s">
        <v>445</v>
      </c>
      <c r="E21" s="2" t="s">
        <v>263</v>
      </c>
      <c r="F21" s="13">
        <v>0</v>
      </c>
      <c r="G21" s="14">
        <v>0.66700000000000004</v>
      </c>
      <c r="H21" s="15">
        <v>6.109</v>
      </c>
      <c r="I21" s="15">
        <v>0</v>
      </c>
      <c r="J21" s="15">
        <v>100</v>
      </c>
      <c r="K21" s="15">
        <v>3.16</v>
      </c>
      <c r="L21" s="13" t="s">
        <v>688</v>
      </c>
      <c r="M21" s="15">
        <v>0.38297872340425532</v>
      </c>
      <c r="N21" s="15">
        <v>0.46666666666666667</v>
      </c>
      <c r="O21" s="16">
        <v>4</v>
      </c>
      <c r="P21" s="16">
        <v>4</v>
      </c>
      <c r="Q21" s="16">
        <v>2</v>
      </c>
      <c r="R21" s="15">
        <v>3.849828</v>
      </c>
      <c r="S21" s="2" t="s">
        <v>691</v>
      </c>
      <c r="T21" s="2" t="s">
        <v>739</v>
      </c>
      <c r="U21" s="2" t="s">
        <v>916</v>
      </c>
      <c r="V21" s="16">
        <v>6</v>
      </c>
      <c r="W21" s="16">
        <v>5</v>
      </c>
      <c r="X21" s="16" t="s">
        <v>28</v>
      </c>
      <c r="Y21" s="15">
        <v>3.8409321323087724</v>
      </c>
      <c r="Z21" s="15">
        <v>0.61702127659574468</v>
      </c>
      <c r="AA21" s="15">
        <v>0.53333333333333333</v>
      </c>
      <c r="AB21" s="17">
        <v>4</v>
      </c>
    </row>
    <row r="22" spans="1:28" x14ac:dyDescent="0.3">
      <c r="A22" s="1" t="s">
        <v>90</v>
      </c>
      <c r="B22" s="1">
        <v>92</v>
      </c>
      <c r="C22" s="1" t="s">
        <v>277</v>
      </c>
      <c r="D22" s="1" t="s">
        <v>459</v>
      </c>
      <c r="E22" s="1" t="s">
        <v>459</v>
      </c>
      <c r="F22" s="8">
        <v>1</v>
      </c>
      <c r="G22" s="19">
        <v>0.66700000000000004</v>
      </c>
      <c r="H22" s="10">
        <v>5.899</v>
      </c>
      <c r="I22" s="10">
        <v>0.295181743</v>
      </c>
      <c r="J22" s="10">
        <v>94.791666669999998</v>
      </c>
      <c r="K22" s="10">
        <v>2.84</v>
      </c>
      <c r="L22" s="8" t="s">
        <v>688</v>
      </c>
      <c r="M22" s="10">
        <v>0.41081081081081083</v>
      </c>
      <c r="N22" s="10">
        <v>0.51</v>
      </c>
      <c r="O22" s="11">
        <v>4</v>
      </c>
      <c r="P22" s="11">
        <v>4</v>
      </c>
      <c r="Q22" s="11">
        <v>2</v>
      </c>
      <c r="R22" s="10">
        <v>3.3233450000000002</v>
      </c>
      <c r="S22" s="1" t="s">
        <v>691</v>
      </c>
      <c r="T22" s="1" t="s">
        <v>752</v>
      </c>
      <c r="U22" s="1" t="s">
        <v>929</v>
      </c>
      <c r="V22" s="11">
        <v>4</v>
      </c>
      <c r="W22" s="11">
        <v>3</v>
      </c>
      <c r="X22" s="11" t="s">
        <v>27</v>
      </c>
      <c r="Y22" s="10">
        <v>4.2835588975135455</v>
      </c>
      <c r="Z22" s="10">
        <v>0.58918918918918917</v>
      </c>
      <c r="AA22" s="10">
        <v>0.49</v>
      </c>
      <c r="AB22" s="12">
        <v>4</v>
      </c>
    </row>
    <row r="23" spans="1:28" x14ac:dyDescent="0.3">
      <c r="A23" s="2" t="s">
        <v>92</v>
      </c>
      <c r="B23" s="2">
        <v>97</v>
      </c>
      <c r="C23" s="2" t="s">
        <v>279</v>
      </c>
      <c r="D23" s="2" t="s">
        <v>279</v>
      </c>
      <c r="E23" s="2" t="s">
        <v>607</v>
      </c>
      <c r="F23" s="13">
        <v>1</v>
      </c>
      <c r="G23" s="18">
        <v>0.25</v>
      </c>
      <c r="H23" s="15">
        <v>5.9580000000000002</v>
      </c>
      <c r="I23" s="15">
        <v>0.141440543</v>
      </c>
      <c r="J23" s="15">
        <v>98</v>
      </c>
      <c r="K23" s="15">
        <v>1.82</v>
      </c>
      <c r="L23" s="13" t="s">
        <v>683</v>
      </c>
      <c r="M23" s="15">
        <v>0.41702127659574462</v>
      </c>
      <c r="N23" s="15">
        <v>0.27500000000000002</v>
      </c>
      <c r="O23" s="16">
        <v>5</v>
      </c>
      <c r="P23" s="16">
        <v>5</v>
      </c>
      <c r="Q23" s="16">
        <v>2</v>
      </c>
      <c r="R23" s="15">
        <v>4.2532370000000004</v>
      </c>
      <c r="S23" s="2" t="e">
        <v>#N/A</v>
      </c>
      <c r="T23" s="2" t="s">
        <v>754</v>
      </c>
      <c r="U23" s="2" t="s">
        <v>931</v>
      </c>
      <c r="V23" s="16">
        <v>7</v>
      </c>
      <c r="W23" s="16">
        <v>4</v>
      </c>
      <c r="X23" s="16" t="s">
        <v>28</v>
      </c>
      <c r="Y23" s="15">
        <v>3.8772935000573767</v>
      </c>
      <c r="Z23" s="15">
        <v>0.58297872340425538</v>
      </c>
      <c r="AA23" s="15">
        <v>0.72499999999999998</v>
      </c>
      <c r="AB23" s="17">
        <v>7</v>
      </c>
    </row>
    <row r="24" spans="1:28" x14ac:dyDescent="0.3">
      <c r="A24" s="1" t="s">
        <v>95</v>
      </c>
      <c r="B24" s="1">
        <v>557</v>
      </c>
      <c r="C24" s="1" t="s">
        <v>282</v>
      </c>
      <c r="D24" s="1" t="s">
        <v>463</v>
      </c>
      <c r="E24" s="1" t="s">
        <v>610</v>
      </c>
      <c r="F24" s="8">
        <v>3</v>
      </c>
      <c r="G24" s="19">
        <v>0.66700000000000004</v>
      </c>
      <c r="H24" s="10">
        <v>6.1029999999999998</v>
      </c>
      <c r="I24" s="10">
        <v>0.33757642300000001</v>
      </c>
      <c r="J24" s="10">
        <v>94.949494950000002</v>
      </c>
      <c r="K24" s="10">
        <v>3.05</v>
      </c>
      <c r="L24" s="8" t="s">
        <v>688</v>
      </c>
      <c r="M24" s="10">
        <v>0.42424242424242431</v>
      </c>
      <c r="N24" s="10">
        <v>0.48</v>
      </c>
      <c r="O24" s="11">
        <v>4</v>
      </c>
      <c r="P24" s="11">
        <v>4</v>
      </c>
      <c r="Q24" s="11">
        <v>2</v>
      </c>
      <c r="R24" s="10">
        <v>4.2665769999999998</v>
      </c>
      <c r="S24" s="1" t="s">
        <v>691</v>
      </c>
      <c r="T24" s="1" t="s">
        <v>757</v>
      </c>
      <c r="U24" s="1" t="s">
        <v>934</v>
      </c>
      <c r="V24" s="11">
        <v>4</v>
      </c>
      <c r="W24" s="11">
        <v>4</v>
      </c>
      <c r="X24" s="11" t="s">
        <v>27</v>
      </c>
      <c r="Y24" s="10">
        <v>4.1655577421727532</v>
      </c>
      <c r="Z24" s="10">
        <v>0.57575757575757569</v>
      </c>
      <c r="AA24" s="10">
        <v>0.52</v>
      </c>
      <c r="AB24" s="12">
        <v>3</v>
      </c>
    </row>
    <row r="25" spans="1:28" x14ac:dyDescent="0.3">
      <c r="A25" s="2" t="s">
        <v>98</v>
      </c>
      <c r="B25" s="2">
        <v>53</v>
      </c>
      <c r="C25" s="2" t="s">
        <v>285</v>
      </c>
      <c r="D25" s="2" t="s">
        <v>285</v>
      </c>
      <c r="E25" s="2" t="s">
        <v>595</v>
      </c>
      <c r="F25" s="13">
        <v>2</v>
      </c>
      <c r="G25" s="18">
        <v>0.5</v>
      </c>
      <c r="H25" s="15">
        <v>5.0350000000000001</v>
      </c>
      <c r="I25" s="15">
        <v>0</v>
      </c>
      <c r="J25" s="15">
        <v>100</v>
      </c>
      <c r="K25" s="15">
        <v>1.63</v>
      </c>
      <c r="L25" s="13" t="s">
        <v>683</v>
      </c>
      <c r="M25" s="15">
        <v>0.42727272727272725</v>
      </c>
      <c r="N25" s="15">
        <v>0.45454545454545459</v>
      </c>
      <c r="O25" s="16">
        <v>5</v>
      </c>
      <c r="P25" s="16">
        <v>5</v>
      </c>
      <c r="Q25" s="16">
        <v>2</v>
      </c>
      <c r="R25" s="15">
        <v>4.7386280000000003</v>
      </c>
      <c r="S25" s="2" t="s">
        <v>691</v>
      </c>
      <c r="T25" s="2" t="s">
        <v>738</v>
      </c>
      <c r="U25" s="2" t="s">
        <v>915</v>
      </c>
      <c r="V25" s="16">
        <v>3</v>
      </c>
      <c r="W25" s="16">
        <v>3</v>
      </c>
      <c r="X25" s="16" t="s">
        <v>27</v>
      </c>
      <c r="Y25" s="15">
        <v>4.8857871439537961</v>
      </c>
      <c r="Z25" s="15">
        <v>0.57272727272727275</v>
      </c>
      <c r="AA25" s="15">
        <v>0.54545454545454541</v>
      </c>
      <c r="AB25" s="17">
        <v>4</v>
      </c>
    </row>
    <row r="26" spans="1:28" x14ac:dyDescent="0.3">
      <c r="A26" s="1" t="s">
        <v>100</v>
      </c>
      <c r="B26" s="1">
        <v>541</v>
      </c>
      <c r="C26" s="1" t="s">
        <v>287</v>
      </c>
      <c r="D26" s="1" t="s">
        <v>467</v>
      </c>
      <c r="E26" s="1" t="s">
        <v>612</v>
      </c>
      <c r="F26" s="8">
        <v>1</v>
      </c>
      <c r="G26" s="9">
        <v>0.6</v>
      </c>
      <c r="H26" s="10">
        <v>5.6360000000000001</v>
      </c>
      <c r="I26" s="10">
        <v>0</v>
      </c>
      <c r="J26" s="10">
        <v>100</v>
      </c>
      <c r="K26" s="10">
        <v>2.48</v>
      </c>
      <c r="L26" s="8" t="s">
        <v>685</v>
      </c>
      <c r="M26" s="10">
        <v>0.42999999999999994</v>
      </c>
      <c r="N26" s="10">
        <v>0.32000000000000006</v>
      </c>
      <c r="O26" s="11">
        <v>6</v>
      </c>
      <c r="P26" s="11">
        <v>6</v>
      </c>
      <c r="Q26" s="11">
        <v>3</v>
      </c>
      <c r="R26" s="10">
        <v>3.5337860000000001</v>
      </c>
      <c r="S26" s="1" t="s">
        <v>691</v>
      </c>
      <c r="T26" s="1" t="s">
        <v>761</v>
      </c>
      <c r="U26" s="1" t="s">
        <v>938</v>
      </c>
      <c r="V26" s="11">
        <v>4</v>
      </c>
      <c r="W26" s="11">
        <v>2</v>
      </c>
      <c r="X26" s="11" t="s">
        <v>27</v>
      </c>
      <c r="Y26" s="10">
        <v>4.1489011187204472</v>
      </c>
      <c r="Z26" s="10">
        <v>0.57000000000000006</v>
      </c>
      <c r="AA26" s="10">
        <v>0.67999999999999994</v>
      </c>
      <c r="AB26" s="12">
        <v>6</v>
      </c>
    </row>
    <row r="27" spans="1:28" x14ac:dyDescent="0.3">
      <c r="A27" s="2" t="s">
        <v>107</v>
      </c>
      <c r="B27" s="2">
        <v>747</v>
      </c>
      <c r="C27" s="2" t="s">
        <v>294</v>
      </c>
      <c r="D27" s="2" t="s">
        <v>474</v>
      </c>
      <c r="E27" s="2" t="s">
        <v>616</v>
      </c>
      <c r="F27" s="13">
        <v>2</v>
      </c>
      <c r="G27" s="18">
        <v>0.4</v>
      </c>
      <c r="H27" s="15">
        <v>6.6920000000000002</v>
      </c>
      <c r="I27" s="15">
        <v>0</v>
      </c>
      <c r="J27" s="15">
        <v>100</v>
      </c>
      <c r="K27" s="15">
        <v>2.29</v>
      </c>
      <c r="L27" s="13" t="s">
        <v>683</v>
      </c>
      <c r="M27" s="15">
        <v>0.45106382978723403</v>
      </c>
      <c r="N27" s="15">
        <v>0.42553191489361697</v>
      </c>
      <c r="O27" s="16">
        <v>6</v>
      </c>
      <c r="P27" s="16">
        <v>6</v>
      </c>
      <c r="Q27" s="16">
        <v>2</v>
      </c>
      <c r="R27" s="15">
        <v>3.2568450000000002</v>
      </c>
      <c r="S27" s="2" t="s">
        <v>691</v>
      </c>
      <c r="T27" s="2" t="s">
        <v>768</v>
      </c>
      <c r="U27" s="2" t="s">
        <v>945</v>
      </c>
      <c r="V27" s="16">
        <v>4</v>
      </c>
      <c r="W27" s="16">
        <v>3</v>
      </c>
      <c r="X27" s="16" t="s">
        <v>27</v>
      </c>
      <c r="Y27" s="15">
        <v>4.6466844405939902</v>
      </c>
      <c r="Z27" s="15">
        <v>0.54893617021276597</v>
      </c>
      <c r="AA27" s="15">
        <v>0.57446808510638303</v>
      </c>
      <c r="AB27" s="17">
        <v>4</v>
      </c>
    </row>
    <row r="28" spans="1:28" x14ac:dyDescent="0.3">
      <c r="A28" s="1" t="s">
        <v>108</v>
      </c>
      <c r="B28" s="1">
        <v>212</v>
      </c>
      <c r="C28" s="1" t="s">
        <v>295</v>
      </c>
      <c r="D28" s="1" t="s">
        <v>475</v>
      </c>
      <c r="E28" s="1" t="s">
        <v>617</v>
      </c>
      <c r="F28" s="8">
        <v>1</v>
      </c>
      <c r="G28" s="19">
        <v>0.66700000000000004</v>
      </c>
      <c r="H28" s="10">
        <v>6.008</v>
      </c>
      <c r="I28" s="10">
        <v>0.39156941699999998</v>
      </c>
      <c r="J28" s="10">
        <v>93.81443299</v>
      </c>
      <c r="K28" s="10">
        <v>2.0202020200000002</v>
      </c>
      <c r="L28" s="8" t="s">
        <v>683</v>
      </c>
      <c r="M28" s="10">
        <v>0.45633802816901414</v>
      </c>
      <c r="N28" s="10">
        <v>0.55211267605633807</v>
      </c>
      <c r="O28" s="11">
        <v>7</v>
      </c>
      <c r="P28" s="11">
        <v>7</v>
      </c>
      <c r="Q28" s="11">
        <v>2</v>
      </c>
      <c r="R28" s="10">
        <v>3.9227159999999999</v>
      </c>
      <c r="S28" s="1" t="s">
        <v>691</v>
      </c>
      <c r="T28" s="1" t="s">
        <v>769</v>
      </c>
      <c r="U28" s="1" t="s">
        <v>946</v>
      </c>
      <c r="V28" s="11">
        <v>6</v>
      </c>
      <c r="W28" s="11">
        <v>5</v>
      </c>
      <c r="X28" s="11" t="s">
        <v>27</v>
      </c>
      <c r="Y28" s="10">
        <v>3.9171499640369292</v>
      </c>
      <c r="Z28" s="10">
        <v>0.54366197183098586</v>
      </c>
      <c r="AA28" s="10">
        <v>0.44788732394366193</v>
      </c>
      <c r="AB28" s="12">
        <v>6</v>
      </c>
    </row>
    <row r="29" spans="1:28" x14ac:dyDescent="0.3">
      <c r="A29" s="2" t="s">
        <v>109</v>
      </c>
      <c r="B29" s="2">
        <v>588</v>
      </c>
      <c r="C29" s="2" t="s">
        <v>296</v>
      </c>
      <c r="D29" s="2" t="s">
        <v>476</v>
      </c>
      <c r="E29" s="2" t="s">
        <v>618</v>
      </c>
      <c r="F29" s="13">
        <v>1</v>
      </c>
      <c r="G29" s="14">
        <v>0.16700000000000001</v>
      </c>
      <c r="H29" s="15">
        <v>5.9539999999999997</v>
      </c>
      <c r="I29" s="15">
        <v>0.43646981699999998</v>
      </c>
      <c r="J29" s="15">
        <v>91</v>
      </c>
      <c r="K29" s="15">
        <v>2.31</v>
      </c>
      <c r="L29" s="13" t="s">
        <v>683</v>
      </c>
      <c r="M29" s="15">
        <v>0.45925925925925926</v>
      </c>
      <c r="N29" s="15">
        <v>0.46913580246913578</v>
      </c>
      <c r="O29" s="16">
        <v>7</v>
      </c>
      <c r="P29" s="16">
        <v>7</v>
      </c>
      <c r="Q29" s="16">
        <v>3</v>
      </c>
      <c r="R29" s="15">
        <v>3.0915539999999999</v>
      </c>
      <c r="S29" s="2" t="s">
        <v>691</v>
      </c>
      <c r="T29" s="2" t="s">
        <v>770</v>
      </c>
      <c r="U29" s="2" t="s">
        <v>947</v>
      </c>
      <c r="V29" s="16">
        <v>8</v>
      </c>
      <c r="W29" s="16">
        <v>7</v>
      </c>
      <c r="X29" s="16" t="s">
        <v>28</v>
      </c>
      <c r="Y29" s="15">
        <v>3.7929930358880104</v>
      </c>
      <c r="Z29" s="15">
        <v>0.54074074074074074</v>
      </c>
      <c r="AA29" s="15">
        <v>0.53086419753086422</v>
      </c>
      <c r="AB29" s="17">
        <v>7</v>
      </c>
    </row>
    <row r="30" spans="1:28" x14ac:dyDescent="0.3">
      <c r="A30" s="1" t="s">
        <v>111</v>
      </c>
      <c r="B30" s="1">
        <v>161</v>
      </c>
      <c r="C30" s="1" t="s">
        <v>298</v>
      </c>
      <c r="D30" s="1" t="s">
        <v>478</v>
      </c>
      <c r="E30" s="1" t="s">
        <v>620</v>
      </c>
      <c r="F30" s="8">
        <v>1</v>
      </c>
      <c r="G30" s="19">
        <v>0.33300000000000002</v>
      </c>
      <c r="H30" s="10">
        <v>6.1479999999999997</v>
      </c>
      <c r="I30" s="10">
        <v>0</v>
      </c>
      <c r="J30" s="10">
        <v>100</v>
      </c>
      <c r="K30" s="10">
        <v>2.0499999999999998</v>
      </c>
      <c r="L30" s="8" t="s">
        <v>685</v>
      </c>
      <c r="M30" s="10">
        <v>0.46511627906976738</v>
      </c>
      <c r="N30" s="10">
        <v>0.38400000000000001</v>
      </c>
      <c r="O30" s="11">
        <v>7</v>
      </c>
      <c r="P30" s="11">
        <v>7</v>
      </c>
      <c r="Q30" s="11">
        <v>3</v>
      </c>
      <c r="R30" s="10">
        <v>3.716161</v>
      </c>
      <c r="S30" s="1" t="s">
        <v>691</v>
      </c>
      <c r="T30" s="1" t="s">
        <v>772</v>
      </c>
      <c r="U30" s="1" t="s">
        <v>949</v>
      </c>
      <c r="V30" s="11">
        <v>3</v>
      </c>
      <c r="W30" s="11">
        <v>2</v>
      </c>
      <c r="X30" s="11" t="s">
        <v>27</v>
      </c>
      <c r="Y30" s="10">
        <v>4.5805310901435714</v>
      </c>
      <c r="Z30" s="10">
        <v>0.53488372093023262</v>
      </c>
      <c r="AA30" s="10">
        <v>0.61599999999999999</v>
      </c>
      <c r="AB30" s="12">
        <v>7</v>
      </c>
    </row>
    <row r="31" spans="1:28" x14ac:dyDescent="0.3">
      <c r="A31" s="2" t="s">
        <v>115</v>
      </c>
      <c r="B31" s="2">
        <v>193</v>
      </c>
      <c r="C31" s="2" t="s">
        <v>302</v>
      </c>
      <c r="D31" s="2" t="s">
        <v>481</v>
      </c>
      <c r="E31" s="2" t="s">
        <v>302</v>
      </c>
      <c r="F31" s="13">
        <v>0</v>
      </c>
      <c r="G31" s="18">
        <v>0.6</v>
      </c>
      <c r="H31" s="15">
        <v>0</v>
      </c>
      <c r="I31" s="15">
        <v>0</v>
      </c>
      <c r="J31" s="15">
        <v>100</v>
      </c>
      <c r="K31" s="15">
        <v>2.61</v>
      </c>
      <c r="L31" s="13" t="s">
        <v>688</v>
      </c>
      <c r="M31" s="15">
        <v>0.4716417910447761</v>
      </c>
      <c r="N31" s="15">
        <v>0.35324675324675325</v>
      </c>
      <c r="O31" s="16">
        <v>6</v>
      </c>
      <c r="P31" s="16">
        <v>6</v>
      </c>
      <c r="Q31" s="16">
        <v>3</v>
      </c>
      <c r="R31" s="15">
        <v>3.2607330000000001</v>
      </c>
      <c r="S31" s="2" t="s">
        <v>691</v>
      </c>
      <c r="T31" s="2" t="s">
        <v>776</v>
      </c>
      <c r="U31" s="2" t="s">
        <v>953</v>
      </c>
      <c r="V31" s="16">
        <v>9</v>
      </c>
      <c r="W31" s="16">
        <v>7</v>
      </c>
      <c r="X31" s="16" t="s">
        <v>29</v>
      </c>
      <c r="Y31" s="15">
        <v>3.5578671055076274</v>
      </c>
      <c r="Z31" s="15">
        <v>0.5283582089552239</v>
      </c>
      <c r="AA31" s="15">
        <v>0.64675324675324675</v>
      </c>
      <c r="AB31" s="17">
        <v>7</v>
      </c>
    </row>
    <row r="32" spans="1:28" x14ac:dyDescent="0.3">
      <c r="A32" s="1" t="s">
        <v>116</v>
      </c>
      <c r="B32" s="1">
        <v>656</v>
      </c>
      <c r="C32" s="1" t="s">
        <v>303</v>
      </c>
      <c r="D32" s="1" t="s">
        <v>303</v>
      </c>
      <c r="E32" s="1" t="s">
        <v>303</v>
      </c>
      <c r="F32" s="8">
        <v>0</v>
      </c>
      <c r="G32" s="19">
        <v>0.33300000000000002</v>
      </c>
      <c r="H32" s="10">
        <v>6.0279999999999996</v>
      </c>
      <c r="I32" s="10">
        <v>0</v>
      </c>
      <c r="J32" s="10">
        <v>100</v>
      </c>
      <c r="K32" s="10">
        <v>1.91</v>
      </c>
      <c r="L32" s="8" t="s">
        <v>683</v>
      </c>
      <c r="M32" s="10">
        <v>0.47199999999999998</v>
      </c>
      <c r="N32" s="10">
        <v>0.42807017543859649</v>
      </c>
      <c r="O32" s="11">
        <v>4</v>
      </c>
      <c r="P32" s="11">
        <v>4</v>
      </c>
      <c r="Q32" s="11">
        <v>3</v>
      </c>
      <c r="R32" s="10">
        <v>3.946977</v>
      </c>
      <c r="S32" s="1" t="s">
        <v>691</v>
      </c>
      <c r="T32" s="1" t="s">
        <v>777</v>
      </c>
      <c r="U32" s="1" t="s">
        <v>954</v>
      </c>
      <c r="V32" s="11">
        <v>7</v>
      </c>
      <c r="W32" s="11">
        <v>6</v>
      </c>
      <c r="X32" s="11" t="s">
        <v>29</v>
      </c>
      <c r="Y32" s="10">
        <v>3.870667319723033</v>
      </c>
      <c r="Z32" s="10">
        <v>0.52800000000000002</v>
      </c>
      <c r="AA32" s="10">
        <v>0.57192982456140351</v>
      </c>
      <c r="AB32" s="12">
        <v>7</v>
      </c>
    </row>
    <row r="33" spans="1:28" x14ac:dyDescent="0.3">
      <c r="A33" s="2" t="s">
        <v>117</v>
      </c>
      <c r="B33" s="2">
        <v>290</v>
      </c>
      <c r="C33" s="2" t="s">
        <v>304</v>
      </c>
      <c r="D33" s="2" t="s">
        <v>482</v>
      </c>
      <c r="E33" s="2" t="s">
        <v>623</v>
      </c>
      <c r="F33" s="13">
        <v>3</v>
      </c>
      <c r="G33" s="18">
        <v>0.75</v>
      </c>
      <c r="H33" s="15">
        <v>6.4850000000000003</v>
      </c>
      <c r="I33" s="15">
        <v>0</v>
      </c>
      <c r="J33" s="15">
        <v>100</v>
      </c>
      <c r="K33" s="15">
        <v>2.57</v>
      </c>
      <c r="L33" s="13" t="s">
        <v>683</v>
      </c>
      <c r="M33" s="15">
        <v>0.47441860465116281</v>
      </c>
      <c r="N33" s="15">
        <v>0.25641025641025639</v>
      </c>
      <c r="O33" s="16">
        <v>5</v>
      </c>
      <c r="P33" s="16">
        <v>5</v>
      </c>
      <c r="Q33" s="16">
        <v>2</v>
      </c>
      <c r="R33" s="15">
        <v>3.8093119999999998</v>
      </c>
      <c r="S33" s="2" t="e">
        <v>#N/A</v>
      </c>
      <c r="T33" s="2" t="s">
        <v>778</v>
      </c>
      <c r="U33" s="2" t="s">
        <v>955</v>
      </c>
      <c r="V33" s="16">
        <v>4</v>
      </c>
      <c r="W33" s="16">
        <v>3</v>
      </c>
      <c r="X33" s="16" t="s">
        <v>27</v>
      </c>
      <c r="Y33" s="15">
        <v>4.0339929564408461</v>
      </c>
      <c r="Z33" s="15">
        <v>0.52558139534883719</v>
      </c>
      <c r="AA33" s="15">
        <v>0.74358974358974361</v>
      </c>
      <c r="AB33" s="17">
        <v>4</v>
      </c>
    </row>
    <row r="34" spans="1:28" x14ac:dyDescent="0.3">
      <c r="A34" s="1" t="s">
        <v>121</v>
      </c>
      <c r="B34" s="1">
        <v>607</v>
      </c>
      <c r="C34" s="1" t="s">
        <v>308</v>
      </c>
      <c r="D34" s="1" t="s">
        <v>485</v>
      </c>
      <c r="E34" s="1" t="s">
        <v>626</v>
      </c>
      <c r="F34" s="8">
        <v>3</v>
      </c>
      <c r="G34" s="9">
        <v>0.4</v>
      </c>
      <c r="H34" s="10">
        <v>6.2119999999999997</v>
      </c>
      <c r="I34" s="10">
        <v>0.44505030400000001</v>
      </c>
      <c r="J34" s="10">
        <v>92.783505149999996</v>
      </c>
      <c r="K34" s="10">
        <v>2.34</v>
      </c>
      <c r="L34" s="8" t="s">
        <v>685</v>
      </c>
      <c r="M34" s="10">
        <v>0.47719298245614028</v>
      </c>
      <c r="N34" s="10">
        <v>0.4642857142857143</v>
      </c>
      <c r="O34" s="11">
        <v>6</v>
      </c>
      <c r="P34" s="11">
        <v>6</v>
      </c>
      <c r="Q34" s="11">
        <v>2</v>
      </c>
      <c r="R34" s="10">
        <v>4.0162409999999999</v>
      </c>
      <c r="S34" s="1" t="s">
        <v>691</v>
      </c>
      <c r="T34" s="1" t="s">
        <v>782</v>
      </c>
      <c r="U34" s="1" t="s">
        <v>959</v>
      </c>
      <c r="V34" s="11">
        <v>6</v>
      </c>
      <c r="W34" s="11">
        <v>5</v>
      </c>
      <c r="X34" s="11" t="s">
        <v>28</v>
      </c>
      <c r="Y34" s="10">
        <v>3.8443383810006839</v>
      </c>
      <c r="Z34" s="10">
        <v>0.52280701754385972</v>
      </c>
      <c r="AA34" s="10">
        <v>0.5357142857142857</v>
      </c>
      <c r="AB34" s="12">
        <v>4</v>
      </c>
    </row>
    <row r="35" spans="1:28" x14ac:dyDescent="0.3">
      <c r="A35" s="2" t="s">
        <v>125</v>
      </c>
      <c r="B35" s="2">
        <v>260</v>
      </c>
      <c r="C35" s="2" t="s">
        <v>312</v>
      </c>
      <c r="D35" s="2" t="s">
        <v>312</v>
      </c>
      <c r="E35" s="2" t="s">
        <v>630</v>
      </c>
      <c r="F35" s="13">
        <v>1</v>
      </c>
      <c r="G35" s="18">
        <v>1</v>
      </c>
      <c r="H35" s="15">
        <v>6.15</v>
      </c>
      <c r="I35" s="15">
        <v>0</v>
      </c>
      <c r="J35" s="15">
        <v>100</v>
      </c>
      <c r="K35" s="15">
        <v>2.85</v>
      </c>
      <c r="L35" s="13" t="s">
        <v>684</v>
      </c>
      <c r="M35" s="15">
        <v>0.496</v>
      </c>
      <c r="N35" s="15">
        <v>0.7407407407407407</v>
      </c>
      <c r="O35" s="16">
        <v>4</v>
      </c>
      <c r="P35" s="16">
        <v>4</v>
      </c>
      <c r="Q35" s="16">
        <v>2</v>
      </c>
      <c r="R35" s="15">
        <v>5.1875299999999998</v>
      </c>
      <c r="S35" s="2" t="e">
        <v>#N/A</v>
      </c>
      <c r="T35" s="2" t="s">
        <v>786</v>
      </c>
      <c r="U35" s="2" t="s">
        <v>963</v>
      </c>
      <c r="V35" s="16">
        <v>6</v>
      </c>
      <c r="W35" s="16">
        <v>5</v>
      </c>
      <c r="X35" s="16" t="s">
        <v>28</v>
      </c>
      <c r="Y35" s="15">
        <v>4.964337096934254</v>
      </c>
      <c r="Z35" s="15">
        <v>0.504</v>
      </c>
      <c r="AA35" s="15">
        <v>0.2592592592592593</v>
      </c>
      <c r="AB35" s="17">
        <v>2</v>
      </c>
    </row>
    <row r="36" spans="1:28" x14ac:dyDescent="0.3">
      <c r="A36" s="1" t="s">
        <v>130</v>
      </c>
      <c r="B36" s="1">
        <v>253</v>
      </c>
      <c r="C36" s="1" t="s">
        <v>317</v>
      </c>
      <c r="D36" s="1" t="s">
        <v>491</v>
      </c>
      <c r="E36" s="1" t="s">
        <v>634</v>
      </c>
      <c r="F36" s="8">
        <v>1</v>
      </c>
      <c r="G36" s="9">
        <v>1</v>
      </c>
      <c r="H36" s="10">
        <v>5.3339999999999996</v>
      </c>
      <c r="I36" s="10">
        <v>0.28454568299999999</v>
      </c>
      <c r="J36" s="10">
        <v>95.959595960000001</v>
      </c>
      <c r="K36" s="10">
        <v>3.151515152</v>
      </c>
      <c r="L36" s="8" t="s">
        <v>689</v>
      </c>
      <c r="M36" s="10">
        <v>0.51282051282051277</v>
      </c>
      <c r="N36" s="10">
        <v>0.72340425531914898</v>
      </c>
      <c r="O36" s="11">
        <v>4</v>
      </c>
      <c r="P36" s="11">
        <v>4</v>
      </c>
      <c r="Q36" s="11">
        <v>3</v>
      </c>
      <c r="R36" s="10">
        <v>4.4132280000000002</v>
      </c>
      <c r="S36" s="1" t="e">
        <v>#N/A</v>
      </c>
      <c r="T36" s="1" t="s">
        <v>791</v>
      </c>
      <c r="U36" s="1" t="s">
        <v>968</v>
      </c>
      <c r="V36" s="11">
        <v>5</v>
      </c>
      <c r="W36" s="11">
        <v>4</v>
      </c>
      <c r="X36" s="11" t="s">
        <v>28</v>
      </c>
      <c r="Y36" s="10">
        <v>4.2412902334286553</v>
      </c>
      <c r="Z36" s="10">
        <v>0.48717948717948723</v>
      </c>
      <c r="AA36" s="10">
        <v>0.27659574468085102</v>
      </c>
      <c r="AB36" s="12">
        <v>3</v>
      </c>
    </row>
    <row r="37" spans="1:28" x14ac:dyDescent="0.3">
      <c r="A37" s="2" t="s">
        <v>136</v>
      </c>
      <c r="B37" s="2">
        <v>301</v>
      </c>
      <c r="C37" s="2" t="s">
        <v>323</v>
      </c>
      <c r="D37" s="2" t="s">
        <v>497</v>
      </c>
      <c r="E37" s="2" t="s">
        <v>639</v>
      </c>
      <c r="F37" s="13">
        <v>2</v>
      </c>
      <c r="G37" s="18">
        <v>0.4</v>
      </c>
      <c r="H37" s="15">
        <v>5.8760000000000003</v>
      </c>
      <c r="I37" s="15">
        <v>0</v>
      </c>
      <c r="J37" s="15">
        <v>100</v>
      </c>
      <c r="K37" s="15">
        <v>1.9898989899999999</v>
      </c>
      <c r="L37" s="13" t="s">
        <v>683</v>
      </c>
      <c r="M37" s="15">
        <v>0.53617021276595744</v>
      </c>
      <c r="N37" s="15">
        <v>0.52631578947368418</v>
      </c>
      <c r="O37" s="16">
        <v>6</v>
      </c>
      <c r="P37" s="16">
        <v>6</v>
      </c>
      <c r="Q37" s="16">
        <v>3</v>
      </c>
      <c r="R37" s="15">
        <v>4.5944839999999996</v>
      </c>
      <c r="S37" s="2" t="e">
        <v>#N/A</v>
      </c>
      <c r="T37" s="2" t="s">
        <v>797</v>
      </c>
      <c r="U37" s="2" t="s">
        <v>974</v>
      </c>
      <c r="V37" s="16">
        <v>5</v>
      </c>
      <c r="W37" s="16">
        <v>3</v>
      </c>
      <c r="X37" s="16" t="s">
        <v>27</v>
      </c>
      <c r="Y37" s="15">
        <v>4.0922837641817225</v>
      </c>
      <c r="Z37" s="15">
        <v>0.46382978723404256</v>
      </c>
      <c r="AA37" s="15">
        <v>0.47368421052631582</v>
      </c>
      <c r="AB37" s="17">
        <v>5</v>
      </c>
    </row>
    <row r="38" spans="1:28" x14ac:dyDescent="0.3">
      <c r="A38" s="1" t="s">
        <v>137</v>
      </c>
      <c r="B38" s="1">
        <v>531</v>
      </c>
      <c r="C38" s="1" t="s">
        <v>324</v>
      </c>
      <c r="D38" s="1" t="s">
        <v>498</v>
      </c>
      <c r="E38" s="1" t="s">
        <v>640</v>
      </c>
      <c r="F38" s="8">
        <v>3</v>
      </c>
      <c r="G38" s="19">
        <v>0.66700000000000004</v>
      </c>
      <c r="H38" s="10">
        <v>6.4180000000000001</v>
      </c>
      <c r="I38" s="10">
        <v>0</v>
      </c>
      <c r="J38" s="10">
        <v>100</v>
      </c>
      <c r="K38" s="10">
        <v>3</v>
      </c>
      <c r="L38" s="8" t="s">
        <v>688</v>
      </c>
      <c r="M38" s="10">
        <v>0.53770491803278686</v>
      </c>
      <c r="N38" s="10">
        <v>0.71549295774647892</v>
      </c>
      <c r="O38" s="11">
        <v>7</v>
      </c>
      <c r="P38" s="11">
        <v>7</v>
      </c>
      <c r="Q38" s="11">
        <v>3</v>
      </c>
      <c r="R38" s="10">
        <v>3.7508189999999999</v>
      </c>
      <c r="S38" s="1" t="e">
        <v>#N/A</v>
      </c>
      <c r="T38" s="1" t="s">
        <v>798</v>
      </c>
      <c r="U38" s="1" t="s">
        <v>975</v>
      </c>
      <c r="V38" s="11">
        <v>6</v>
      </c>
      <c r="W38" s="11">
        <v>4</v>
      </c>
      <c r="X38" s="11" t="s">
        <v>28</v>
      </c>
      <c r="Y38" s="10">
        <v>3.6402183983447589</v>
      </c>
      <c r="Z38" s="10">
        <v>0.46229508196721314</v>
      </c>
      <c r="AA38" s="10">
        <v>0.28450704225352108</v>
      </c>
      <c r="AB38" s="12">
        <v>4</v>
      </c>
    </row>
    <row r="39" spans="1:28" x14ac:dyDescent="0.3">
      <c r="A39" s="2" t="s">
        <v>140</v>
      </c>
      <c r="B39" s="2">
        <v>536</v>
      </c>
      <c r="C39" s="2" t="s">
        <v>327</v>
      </c>
      <c r="D39" s="2" t="s">
        <v>501</v>
      </c>
      <c r="E39" s="2" t="s">
        <v>642</v>
      </c>
      <c r="F39" s="13">
        <v>3</v>
      </c>
      <c r="G39" s="14">
        <v>0.66700000000000004</v>
      </c>
      <c r="H39" s="15">
        <v>6.1139999999999999</v>
      </c>
      <c r="I39" s="15">
        <v>0.33494448700000001</v>
      </c>
      <c r="J39" s="15">
        <v>95</v>
      </c>
      <c r="K39" s="15">
        <v>1.898989899</v>
      </c>
      <c r="L39" s="13" t="s">
        <v>690</v>
      </c>
      <c r="M39" s="15">
        <v>0.54482758620689653</v>
      </c>
      <c r="N39" s="15">
        <v>0.54482758620689653</v>
      </c>
      <c r="O39" s="16">
        <v>4</v>
      </c>
      <c r="P39" s="16">
        <v>4</v>
      </c>
      <c r="Q39" s="16">
        <v>2</v>
      </c>
      <c r="R39" s="15">
        <v>4.4487860000000001</v>
      </c>
      <c r="S39" s="2" t="e">
        <v>#N/A</v>
      </c>
      <c r="T39" s="2" t="s">
        <v>801</v>
      </c>
      <c r="U39" s="2" t="s">
        <v>978</v>
      </c>
      <c r="V39" s="16">
        <v>6</v>
      </c>
      <c r="W39" s="16">
        <v>5</v>
      </c>
      <c r="X39" s="16" t="s">
        <v>27</v>
      </c>
      <c r="Y39" s="15">
        <v>4.0993709159851388</v>
      </c>
      <c r="Z39" s="15">
        <v>0.45517241379310347</v>
      </c>
      <c r="AA39" s="15">
        <v>0.45517241379310347</v>
      </c>
      <c r="AB39" s="17">
        <v>4</v>
      </c>
    </row>
    <row r="40" spans="1:28" x14ac:dyDescent="0.3">
      <c r="A40" s="1" t="s">
        <v>142</v>
      </c>
      <c r="B40" s="1">
        <v>508</v>
      </c>
      <c r="C40" s="1" t="s">
        <v>329</v>
      </c>
      <c r="D40" s="1" t="s">
        <v>503</v>
      </c>
      <c r="E40" s="1" t="s">
        <v>503</v>
      </c>
      <c r="F40" s="8">
        <v>2</v>
      </c>
      <c r="G40" s="19">
        <v>0.66700000000000004</v>
      </c>
      <c r="H40" s="10">
        <v>6.2320000000000002</v>
      </c>
      <c r="I40" s="10">
        <v>0</v>
      </c>
      <c r="J40" s="10">
        <v>100</v>
      </c>
      <c r="K40" s="10">
        <v>1.56</v>
      </c>
      <c r="L40" s="8" t="s">
        <v>683</v>
      </c>
      <c r="M40" s="10">
        <v>0.54545454545454541</v>
      </c>
      <c r="N40" s="10">
        <v>0.25454545454545452</v>
      </c>
      <c r="O40" s="11">
        <v>4</v>
      </c>
      <c r="P40" s="11">
        <v>4</v>
      </c>
      <c r="Q40" s="11">
        <v>2</v>
      </c>
      <c r="R40" s="10">
        <v>4.7117990000000001</v>
      </c>
      <c r="S40" s="1" t="e">
        <v>#N/A</v>
      </c>
      <c r="T40" s="1" t="s">
        <v>803</v>
      </c>
      <c r="U40" s="1" t="s">
        <v>980</v>
      </c>
      <c r="V40" s="11">
        <v>3</v>
      </c>
      <c r="W40" s="11">
        <v>4</v>
      </c>
      <c r="X40" s="11" t="s">
        <v>27</v>
      </c>
      <c r="Y40" s="10">
        <v>5.1221493823262785</v>
      </c>
      <c r="Z40" s="10">
        <v>0.45454545454545459</v>
      </c>
      <c r="AA40" s="10">
        <v>0.74545454545454548</v>
      </c>
      <c r="AB40" s="12">
        <v>4</v>
      </c>
    </row>
    <row r="41" spans="1:28" x14ac:dyDescent="0.3">
      <c r="A41" s="2" t="s">
        <v>144</v>
      </c>
      <c r="B41" s="2">
        <v>75</v>
      </c>
      <c r="C41" s="2" t="s">
        <v>331</v>
      </c>
      <c r="D41" s="2" t="s">
        <v>505</v>
      </c>
      <c r="E41" s="2" t="s">
        <v>331</v>
      </c>
      <c r="F41" s="13">
        <v>0</v>
      </c>
      <c r="G41" s="18">
        <v>0.75</v>
      </c>
      <c r="H41" s="15">
        <v>6.2430000000000003</v>
      </c>
      <c r="I41" s="15">
        <v>0</v>
      </c>
      <c r="J41" s="15">
        <v>100</v>
      </c>
      <c r="K41" s="15">
        <v>1.43</v>
      </c>
      <c r="L41" s="13" t="s">
        <v>683</v>
      </c>
      <c r="M41" s="15">
        <v>0.55000000000000004</v>
      </c>
      <c r="N41" s="15">
        <v>0.55000000000000004</v>
      </c>
      <c r="O41" s="16">
        <v>5</v>
      </c>
      <c r="P41" s="16">
        <v>5</v>
      </c>
      <c r="Q41" s="16">
        <v>2</v>
      </c>
      <c r="R41" s="15">
        <v>4.2290239999999999</v>
      </c>
      <c r="S41" s="2" t="e">
        <v>#N/A</v>
      </c>
      <c r="T41" s="2" t="s">
        <v>805</v>
      </c>
      <c r="U41" s="2" t="s">
        <v>982</v>
      </c>
      <c r="V41" s="16">
        <v>7</v>
      </c>
      <c r="W41" s="16">
        <v>5</v>
      </c>
      <c r="X41" s="16" t="s">
        <v>28</v>
      </c>
      <c r="Y41" s="15">
        <v>4.2490117723316896</v>
      </c>
      <c r="Z41" s="15">
        <v>0.44999999999999996</v>
      </c>
      <c r="AA41" s="15">
        <v>0.44999999999999996</v>
      </c>
      <c r="AB41" s="17">
        <v>5</v>
      </c>
    </row>
    <row r="42" spans="1:28" x14ac:dyDescent="0.3">
      <c r="A42" s="1" t="s">
        <v>151</v>
      </c>
      <c r="B42" s="1">
        <v>255</v>
      </c>
      <c r="C42" s="1" t="s">
        <v>338</v>
      </c>
      <c r="D42" s="1" t="s">
        <v>338</v>
      </c>
      <c r="E42" s="1" t="s">
        <v>338</v>
      </c>
      <c r="F42" s="8">
        <v>0</v>
      </c>
      <c r="G42" s="9">
        <v>1</v>
      </c>
      <c r="H42" s="10">
        <v>6.2629999999999999</v>
      </c>
      <c r="I42" s="10">
        <v>0</v>
      </c>
      <c r="J42" s="10">
        <v>100</v>
      </c>
      <c r="K42" s="10">
        <v>1.76</v>
      </c>
      <c r="L42" s="8" t="s">
        <v>683</v>
      </c>
      <c r="M42" s="10">
        <v>0.5636363636363636</v>
      </c>
      <c r="N42" s="10">
        <v>0.47407407407407409</v>
      </c>
      <c r="O42" s="11">
        <v>4</v>
      </c>
      <c r="P42" s="11">
        <v>4</v>
      </c>
      <c r="Q42" s="11">
        <v>3</v>
      </c>
      <c r="R42" s="10">
        <v>3.614547</v>
      </c>
      <c r="S42" s="1" t="e">
        <v>#N/A</v>
      </c>
      <c r="T42" s="1" t="s">
        <v>812</v>
      </c>
      <c r="U42" s="1" t="s">
        <v>989</v>
      </c>
      <c r="V42" s="11">
        <v>6</v>
      </c>
      <c r="W42" s="11">
        <v>4</v>
      </c>
      <c r="X42" s="11" t="s">
        <v>28</v>
      </c>
      <c r="Y42" s="10">
        <v>3.5500417679956708</v>
      </c>
      <c r="Z42" s="10">
        <v>0.4363636363636364</v>
      </c>
      <c r="AA42" s="10">
        <v>0.52592592592592591</v>
      </c>
      <c r="AB42" s="12">
        <v>6</v>
      </c>
    </row>
    <row r="43" spans="1:28" x14ac:dyDescent="0.3">
      <c r="A43" s="2" t="s">
        <v>152</v>
      </c>
      <c r="B43" s="2">
        <v>467</v>
      </c>
      <c r="C43" s="2" t="s">
        <v>339</v>
      </c>
      <c r="D43" s="2" t="s">
        <v>512</v>
      </c>
      <c r="E43" s="2" t="s">
        <v>649</v>
      </c>
      <c r="F43" s="13">
        <v>1</v>
      </c>
      <c r="G43" s="18">
        <v>0.25</v>
      </c>
      <c r="H43" s="15">
        <v>0</v>
      </c>
      <c r="I43" s="15">
        <v>0</v>
      </c>
      <c r="J43" s="15">
        <v>100</v>
      </c>
      <c r="K43" s="15">
        <v>1.7</v>
      </c>
      <c r="L43" s="13" t="s">
        <v>683</v>
      </c>
      <c r="M43" s="15">
        <v>0.5636363636363636</v>
      </c>
      <c r="N43" s="15">
        <v>0.5636363636363636</v>
      </c>
      <c r="O43" s="16">
        <v>5</v>
      </c>
      <c r="P43" s="16">
        <v>5</v>
      </c>
      <c r="Q43" s="16">
        <v>3</v>
      </c>
      <c r="R43" s="15">
        <v>3.010081</v>
      </c>
      <c r="S43" s="2" t="e">
        <v>#N/A</v>
      </c>
      <c r="T43" s="2" t="s">
        <v>813</v>
      </c>
      <c r="U43" s="2" t="s">
        <v>990</v>
      </c>
      <c r="V43" s="16">
        <v>3</v>
      </c>
      <c r="W43" s="16">
        <v>3</v>
      </c>
      <c r="X43" s="16" t="s">
        <v>27</v>
      </c>
      <c r="Y43" s="15">
        <v>3.6651516385485716</v>
      </c>
      <c r="Z43" s="15">
        <v>0.4363636363636364</v>
      </c>
      <c r="AA43" s="15">
        <v>0.4363636363636364</v>
      </c>
      <c r="AB43" s="17">
        <v>4</v>
      </c>
    </row>
    <row r="44" spans="1:28" x14ac:dyDescent="0.3">
      <c r="A44" s="1" t="s">
        <v>157</v>
      </c>
      <c r="B44" s="1">
        <v>494</v>
      </c>
      <c r="C44" s="1" t="s">
        <v>344</v>
      </c>
      <c r="D44" s="1" t="s">
        <v>517</v>
      </c>
      <c r="E44" s="1" t="s">
        <v>653</v>
      </c>
      <c r="F44" s="8">
        <v>1</v>
      </c>
      <c r="G44" s="9">
        <v>0.8</v>
      </c>
      <c r="H44" s="10">
        <v>6.5039999999999996</v>
      </c>
      <c r="I44" s="10">
        <v>0</v>
      </c>
      <c r="J44" s="10">
        <v>100</v>
      </c>
      <c r="K44" s="10">
        <v>2.41</v>
      </c>
      <c r="L44" s="8" t="s">
        <v>687</v>
      </c>
      <c r="M44" s="10">
        <v>0.59375</v>
      </c>
      <c r="N44" s="10">
        <v>0.48831168831168825</v>
      </c>
      <c r="O44" s="11">
        <v>6</v>
      </c>
      <c r="P44" s="11">
        <v>6</v>
      </c>
      <c r="Q44" s="11">
        <v>2</v>
      </c>
      <c r="R44" s="10">
        <v>3.5938370000000002</v>
      </c>
      <c r="S44" s="1" t="e">
        <v>#N/A</v>
      </c>
      <c r="T44" s="1" t="s">
        <v>818</v>
      </c>
      <c r="U44" s="1" t="s">
        <v>995</v>
      </c>
      <c r="V44" s="11">
        <v>9</v>
      </c>
      <c r="W44" s="11">
        <v>6</v>
      </c>
      <c r="X44" s="11" t="s">
        <v>28</v>
      </c>
      <c r="Y44" s="10">
        <v>3.8049766947827939</v>
      </c>
      <c r="Z44" s="10">
        <v>0.40625</v>
      </c>
      <c r="AA44" s="10">
        <v>0.51168831168831175</v>
      </c>
      <c r="AB44" s="12">
        <v>7</v>
      </c>
    </row>
    <row r="45" spans="1:28" x14ac:dyDescent="0.3">
      <c r="A45" s="2" t="s">
        <v>159</v>
      </c>
      <c r="B45" s="2">
        <v>400</v>
      </c>
      <c r="C45" s="2" t="s">
        <v>346</v>
      </c>
      <c r="D45" s="2" t="s">
        <v>346</v>
      </c>
      <c r="E45" s="2" t="s">
        <v>655</v>
      </c>
      <c r="F45" s="13">
        <v>3</v>
      </c>
      <c r="G45" s="14">
        <v>0.66700000000000004</v>
      </c>
      <c r="H45" s="15">
        <v>6.5730000000000004</v>
      </c>
      <c r="I45" s="15">
        <v>0</v>
      </c>
      <c r="J45" s="15">
        <v>100</v>
      </c>
      <c r="K45" s="15">
        <v>3.22</v>
      </c>
      <c r="L45" s="13" t="s">
        <v>688</v>
      </c>
      <c r="M45" s="15">
        <v>0.60540540540540544</v>
      </c>
      <c r="N45" s="15">
        <v>0.45454545454545459</v>
      </c>
      <c r="O45" s="16">
        <v>4</v>
      </c>
      <c r="P45" s="16">
        <v>4</v>
      </c>
      <c r="Q45" s="16">
        <v>3</v>
      </c>
      <c r="R45" s="15">
        <v>4.1599349999999999</v>
      </c>
      <c r="S45" s="2" t="e">
        <v>#N/A</v>
      </c>
      <c r="T45" s="2" t="s">
        <v>820</v>
      </c>
      <c r="U45" s="2" t="s">
        <v>997</v>
      </c>
      <c r="V45" s="16">
        <v>4</v>
      </c>
      <c r="W45" s="16">
        <v>3</v>
      </c>
      <c r="X45" s="16" t="s">
        <v>27</v>
      </c>
      <c r="Y45" s="15">
        <v>4.5295201008510695</v>
      </c>
      <c r="Z45" s="15">
        <v>0.39459459459459456</v>
      </c>
      <c r="AA45" s="15">
        <v>0.54545454545454541</v>
      </c>
      <c r="AB45" s="17">
        <v>4</v>
      </c>
    </row>
    <row r="46" spans="1:28" x14ac:dyDescent="0.3">
      <c r="A46" s="1" t="s">
        <v>162</v>
      </c>
      <c r="B46" s="1">
        <v>163</v>
      </c>
      <c r="C46" s="1" t="s">
        <v>349</v>
      </c>
      <c r="D46" s="1" t="s">
        <v>521</v>
      </c>
      <c r="E46" s="1" t="s">
        <v>521</v>
      </c>
      <c r="F46" s="8">
        <v>2</v>
      </c>
      <c r="G46" s="9">
        <v>1</v>
      </c>
      <c r="H46" s="10">
        <v>0</v>
      </c>
      <c r="I46" s="10">
        <v>0</v>
      </c>
      <c r="J46" s="10">
        <v>100</v>
      </c>
      <c r="K46" s="10">
        <v>2.29</v>
      </c>
      <c r="L46" s="8" t="s">
        <v>686</v>
      </c>
      <c r="M46" s="10">
        <v>0.61333333333333329</v>
      </c>
      <c r="N46" s="10">
        <v>0.70175438596491224</v>
      </c>
      <c r="O46" s="11">
        <v>4</v>
      </c>
      <c r="P46" s="11">
        <v>4</v>
      </c>
      <c r="Q46" s="11">
        <v>3</v>
      </c>
      <c r="R46" s="10">
        <v>3.7968769999999998</v>
      </c>
      <c r="S46" s="1" t="s">
        <v>692</v>
      </c>
      <c r="T46" s="1" t="s">
        <v>823</v>
      </c>
      <c r="U46" s="1" t="s">
        <v>1000</v>
      </c>
      <c r="V46" s="11">
        <v>7</v>
      </c>
      <c r="W46" s="11">
        <v>7</v>
      </c>
      <c r="X46" s="11" t="s">
        <v>29</v>
      </c>
      <c r="Y46" s="10">
        <v>4.0825912553793149</v>
      </c>
      <c r="Z46" s="10">
        <v>0.38666666666666671</v>
      </c>
      <c r="AA46" s="10">
        <v>0.29824561403508776</v>
      </c>
      <c r="AB46" s="12">
        <v>3</v>
      </c>
    </row>
    <row r="47" spans="1:28" x14ac:dyDescent="0.3">
      <c r="A47" s="2" t="s">
        <v>163</v>
      </c>
      <c r="B47" s="2">
        <v>606</v>
      </c>
      <c r="C47" s="2" t="s">
        <v>350</v>
      </c>
      <c r="D47" s="2" t="s">
        <v>522</v>
      </c>
      <c r="E47" s="2" t="s">
        <v>658</v>
      </c>
      <c r="F47" s="13">
        <v>2</v>
      </c>
      <c r="G47" s="14">
        <v>0.33300000000000002</v>
      </c>
      <c r="H47" s="15">
        <v>0</v>
      </c>
      <c r="I47" s="15">
        <v>0</v>
      </c>
      <c r="J47" s="15">
        <v>100</v>
      </c>
      <c r="K47" s="15">
        <v>2.96</v>
      </c>
      <c r="L47" s="13" t="s">
        <v>688</v>
      </c>
      <c r="M47" s="15">
        <v>0.62666666666666671</v>
      </c>
      <c r="N47" s="15">
        <v>0.76756756756756761</v>
      </c>
      <c r="O47" s="16">
        <v>4</v>
      </c>
      <c r="P47" s="16">
        <v>4</v>
      </c>
      <c r="Q47" s="16">
        <v>2</v>
      </c>
      <c r="R47" s="15">
        <v>4.5861109999999998</v>
      </c>
      <c r="S47" s="2" t="s">
        <v>692</v>
      </c>
      <c r="T47" s="2" t="s">
        <v>824</v>
      </c>
      <c r="U47" s="2" t="s">
        <v>1001</v>
      </c>
      <c r="V47" s="16">
        <v>3</v>
      </c>
      <c r="W47" s="16">
        <v>3</v>
      </c>
      <c r="X47" s="16" t="s">
        <v>27</v>
      </c>
      <c r="Y47" s="15">
        <v>4.8295619402709846</v>
      </c>
      <c r="Z47" s="15">
        <v>0.37333333333333329</v>
      </c>
      <c r="AA47" s="15">
        <v>0.23243243243243239</v>
      </c>
      <c r="AB47" s="17">
        <v>2</v>
      </c>
    </row>
    <row r="48" spans="1:28" x14ac:dyDescent="0.3">
      <c r="A48" s="1" t="s">
        <v>165</v>
      </c>
      <c r="B48" s="1">
        <v>336</v>
      </c>
      <c r="C48" s="1" t="s">
        <v>352</v>
      </c>
      <c r="D48" s="1" t="s">
        <v>524</v>
      </c>
      <c r="E48" s="1" t="s">
        <v>660</v>
      </c>
      <c r="F48" s="8">
        <v>3</v>
      </c>
      <c r="G48" s="9">
        <v>0.5</v>
      </c>
      <c r="H48" s="10">
        <v>5.585</v>
      </c>
      <c r="I48" s="10">
        <v>0</v>
      </c>
      <c r="J48" s="10">
        <v>100</v>
      </c>
      <c r="K48" s="10">
        <v>1.6</v>
      </c>
      <c r="L48" s="8" t="s">
        <v>683</v>
      </c>
      <c r="M48" s="10">
        <v>0.62962962962962965</v>
      </c>
      <c r="N48" s="10">
        <v>0.6074074074074074</v>
      </c>
      <c r="O48" s="11">
        <v>5</v>
      </c>
      <c r="P48" s="11">
        <v>5</v>
      </c>
      <c r="Q48" s="11">
        <v>2</v>
      </c>
      <c r="R48" s="10">
        <v>4.5097240000000003</v>
      </c>
      <c r="S48" s="1" t="s">
        <v>692</v>
      </c>
      <c r="T48" s="1" t="s">
        <v>825</v>
      </c>
      <c r="U48" s="1" t="s">
        <v>1002</v>
      </c>
      <c r="V48" s="11">
        <v>5</v>
      </c>
      <c r="W48" s="11">
        <v>4</v>
      </c>
      <c r="X48" s="11" t="s">
        <v>28</v>
      </c>
      <c r="Y48" s="10">
        <v>3.6327518336594045</v>
      </c>
      <c r="Z48" s="10">
        <v>0.37037037037037035</v>
      </c>
      <c r="AA48" s="10">
        <v>0.3925925925925926</v>
      </c>
      <c r="AB48" s="12">
        <v>4</v>
      </c>
    </row>
    <row r="49" spans="1:28" x14ac:dyDescent="0.3">
      <c r="A49" s="2" t="s">
        <v>167</v>
      </c>
      <c r="B49" s="2">
        <v>87</v>
      </c>
      <c r="C49" s="2" t="s">
        <v>354</v>
      </c>
      <c r="D49" s="2" t="s">
        <v>526</v>
      </c>
      <c r="E49" s="2" t="s">
        <v>661</v>
      </c>
      <c r="F49" s="13">
        <v>1</v>
      </c>
      <c r="G49" s="18">
        <v>1</v>
      </c>
      <c r="H49" s="15">
        <v>6.0990000000000002</v>
      </c>
      <c r="I49" s="15">
        <v>0</v>
      </c>
      <c r="J49" s="15">
        <v>100</v>
      </c>
      <c r="K49" s="15">
        <v>2.54</v>
      </c>
      <c r="L49" s="13" t="s">
        <v>683</v>
      </c>
      <c r="M49" s="15">
        <v>0.63157894736842102</v>
      </c>
      <c r="N49" s="15">
        <v>1</v>
      </c>
      <c r="O49" s="16">
        <v>5</v>
      </c>
      <c r="P49" s="16">
        <v>5</v>
      </c>
      <c r="Q49" s="16">
        <v>2</v>
      </c>
      <c r="R49" s="15">
        <v>3.9864229999999998</v>
      </c>
      <c r="S49" s="2" t="e">
        <v>#N/A</v>
      </c>
      <c r="T49" s="2" t="s">
        <v>354</v>
      </c>
      <c r="U49" s="2" t="s">
        <v>1004</v>
      </c>
      <c r="V49" s="16">
        <v>5</v>
      </c>
      <c r="W49" s="16">
        <v>5</v>
      </c>
      <c r="X49" s="16" t="s">
        <v>28</v>
      </c>
      <c r="Y49" s="15">
        <v>4.0928062761539987</v>
      </c>
      <c r="Z49" s="15">
        <v>0.36842105263157898</v>
      </c>
      <c r="AA49" s="15">
        <v>0</v>
      </c>
      <c r="AB49" s="17">
        <v>0</v>
      </c>
    </row>
    <row r="50" spans="1:28" x14ac:dyDescent="0.3">
      <c r="A50" s="1" t="s">
        <v>169</v>
      </c>
      <c r="B50" s="1">
        <v>480</v>
      </c>
      <c r="C50" s="1" t="s">
        <v>356</v>
      </c>
      <c r="D50" s="1" t="s">
        <v>528</v>
      </c>
      <c r="E50" s="1" t="s">
        <v>662</v>
      </c>
      <c r="F50" s="8">
        <v>3</v>
      </c>
      <c r="G50" s="19">
        <v>0.66700000000000004</v>
      </c>
      <c r="H50" s="10">
        <v>0</v>
      </c>
      <c r="I50" s="10">
        <v>0.24229218899999999</v>
      </c>
      <c r="J50" s="10">
        <v>96</v>
      </c>
      <c r="K50" s="10">
        <v>2.44</v>
      </c>
      <c r="L50" s="8" t="s">
        <v>690</v>
      </c>
      <c r="M50" s="10">
        <v>0.63829787234042556</v>
      </c>
      <c r="N50" s="10">
        <v>0.95</v>
      </c>
      <c r="O50" s="11">
        <v>4</v>
      </c>
      <c r="P50" s="11">
        <v>4</v>
      </c>
      <c r="Q50" s="11">
        <v>2</v>
      </c>
      <c r="R50" s="10">
        <v>4.7773190000000003</v>
      </c>
      <c r="S50" s="1" t="e">
        <v>#N/A</v>
      </c>
      <c r="T50" s="1" t="s">
        <v>828</v>
      </c>
      <c r="U50" s="1" t="s">
        <v>1006</v>
      </c>
      <c r="V50" s="11">
        <v>4</v>
      </c>
      <c r="W50" s="11">
        <v>3</v>
      </c>
      <c r="X50" s="11" t="s">
        <v>27</v>
      </c>
      <c r="Y50" s="10">
        <v>4.643855150575126</v>
      </c>
      <c r="Z50" s="10">
        <v>0.36170212765957444</v>
      </c>
      <c r="AA50" s="10">
        <v>5.0000000000000044E-2</v>
      </c>
      <c r="AB50" s="12">
        <v>1</v>
      </c>
    </row>
    <row r="51" spans="1:28" x14ac:dyDescent="0.3">
      <c r="A51" s="2" t="s">
        <v>170</v>
      </c>
      <c r="B51" s="2">
        <v>392</v>
      </c>
      <c r="C51" s="2" t="s">
        <v>357</v>
      </c>
      <c r="D51" s="2" t="s">
        <v>529</v>
      </c>
      <c r="E51" s="2" t="s">
        <v>357</v>
      </c>
      <c r="F51" s="13">
        <v>0</v>
      </c>
      <c r="G51" s="18">
        <v>0</v>
      </c>
      <c r="H51" s="15">
        <v>0</v>
      </c>
      <c r="I51" s="15">
        <v>0.195909271</v>
      </c>
      <c r="J51" s="15">
        <v>96.969696970000001</v>
      </c>
      <c r="K51" s="15">
        <v>1.82</v>
      </c>
      <c r="L51" s="13" t="s">
        <v>683</v>
      </c>
      <c r="M51" s="15">
        <v>0.63859649122807016</v>
      </c>
      <c r="N51" s="15">
        <v>0.56666666666666665</v>
      </c>
      <c r="O51" s="16">
        <v>6</v>
      </c>
      <c r="P51" s="16">
        <v>6</v>
      </c>
      <c r="Q51" s="16">
        <v>3</v>
      </c>
      <c r="R51" s="15">
        <v>2.852214</v>
      </c>
      <c r="S51" s="2" t="s">
        <v>692</v>
      </c>
      <c r="T51" s="2" t="s">
        <v>829</v>
      </c>
      <c r="U51" s="2" t="s">
        <v>1007</v>
      </c>
      <c r="V51" s="16">
        <v>6</v>
      </c>
      <c r="W51" s="16">
        <v>5</v>
      </c>
      <c r="X51" s="16" t="s">
        <v>28</v>
      </c>
      <c r="Y51" s="15">
        <v>3.779238346024858</v>
      </c>
      <c r="Z51" s="15">
        <v>0.36140350877192984</v>
      </c>
      <c r="AA51" s="15">
        <v>0.43333333333333335</v>
      </c>
      <c r="AB51" s="17">
        <v>4</v>
      </c>
    </row>
    <row r="52" spans="1:28" x14ac:dyDescent="0.3">
      <c r="A52" s="1" t="s">
        <v>171</v>
      </c>
      <c r="B52" s="1">
        <v>442</v>
      </c>
      <c r="C52" s="1" t="s">
        <v>358</v>
      </c>
      <c r="D52" s="1" t="s">
        <v>530</v>
      </c>
      <c r="E52" s="1" t="s">
        <v>663</v>
      </c>
      <c r="F52" s="8">
        <v>2</v>
      </c>
      <c r="G52" s="19">
        <v>0.33300000000000002</v>
      </c>
      <c r="H52" s="10">
        <v>0</v>
      </c>
      <c r="I52" s="10">
        <v>0</v>
      </c>
      <c r="J52" s="10">
        <v>100</v>
      </c>
      <c r="K52" s="10">
        <v>2.36</v>
      </c>
      <c r="L52" s="8" t="s">
        <v>688</v>
      </c>
      <c r="M52" s="10">
        <v>0.63859649122807016</v>
      </c>
      <c r="N52" s="10">
        <v>0.43333333333333335</v>
      </c>
      <c r="O52" s="11">
        <v>4</v>
      </c>
      <c r="P52" s="11">
        <v>4</v>
      </c>
      <c r="Q52" s="11">
        <v>3</v>
      </c>
      <c r="R52" s="10">
        <v>3.3959990000000002</v>
      </c>
      <c r="S52" s="1" t="e">
        <v>#N/A</v>
      </c>
      <c r="T52" s="1" t="s">
        <v>830</v>
      </c>
      <c r="U52" s="1" t="s">
        <v>1008</v>
      </c>
      <c r="V52" s="11">
        <v>9</v>
      </c>
      <c r="W52" s="11">
        <v>6</v>
      </c>
      <c r="X52" s="11" t="s">
        <v>29</v>
      </c>
      <c r="Y52" s="10">
        <v>3.8449548388499704</v>
      </c>
      <c r="Z52" s="10">
        <v>0.36140350877192984</v>
      </c>
      <c r="AA52" s="10">
        <v>0.56666666666666665</v>
      </c>
      <c r="AB52" s="12">
        <v>6</v>
      </c>
    </row>
    <row r="53" spans="1:28" x14ac:dyDescent="0.3">
      <c r="A53" s="2" t="s">
        <v>173</v>
      </c>
      <c r="B53" s="2">
        <v>528</v>
      </c>
      <c r="C53" s="2" t="s">
        <v>360</v>
      </c>
      <c r="D53" s="2" t="s">
        <v>532</v>
      </c>
      <c r="E53" s="2" t="s">
        <v>665</v>
      </c>
      <c r="F53" s="13">
        <v>1</v>
      </c>
      <c r="G53" s="18">
        <v>1</v>
      </c>
      <c r="H53" s="15">
        <v>6.3330000000000002</v>
      </c>
      <c r="I53" s="15">
        <v>0</v>
      </c>
      <c r="J53" s="15">
        <v>100</v>
      </c>
      <c r="K53" s="15">
        <v>2.63</v>
      </c>
      <c r="L53" s="13" t="s">
        <v>688</v>
      </c>
      <c r="M53" s="15">
        <v>0.65531914893617016</v>
      </c>
      <c r="N53" s="15">
        <v>0.5957446808510638</v>
      </c>
      <c r="O53" s="16">
        <v>5</v>
      </c>
      <c r="P53" s="16">
        <v>5</v>
      </c>
      <c r="Q53" s="16">
        <v>2</v>
      </c>
      <c r="R53" s="15">
        <v>4.0459230000000002</v>
      </c>
      <c r="S53" s="2" t="s">
        <v>692</v>
      </c>
      <c r="T53" s="2" t="s">
        <v>832</v>
      </c>
      <c r="U53" s="2" t="s">
        <v>1010</v>
      </c>
      <c r="V53" s="16">
        <v>4</v>
      </c>
      <c r="W53" s="16">
        <v>4</v>
      </c>
      <c r="X53" s="16" t="s">
        <v>27</v>
      </c>
      <c r="Y53" s="15">
        <v>3.983761261582953</v>
      </c>
      <c r="Z53" s="15">
        <v>0.34468085106382984</v>
      </c>
      <c r="AA53" s="15">
        <v>0.4042553191489362</v>
      </c>
      <c r="AB53" s="17">
        <v>4</v>
      </c>
    </row>
    <row r="54" spans="1:28" x14ac:dyDescent="0.3">
      <c r="A54" s="1" t="s">
        <v>174</v>
      </c>
      <c r="B54" s="1">
        <v>350</v>
      </c>
      <c r="C54" s="1" t="s">
        <v>361</v>
      </c>
      <c r="D54" s="1" t="s">
        <v>533</v>
      </c>
      <c r="E54" s="1" t="s">
        <v>361</v>
      </c>
      <c r="F54" s="8">
        <v>0</v>
      </c>
      <c r="G54" s="9">
        <v>0.8</v>
      </c>
      <c r="H54" s="10">
        <v>5.702</v>
      </c>
      <c r="I54" s="10">
        <v>0</v>
      </c>
      <c r="J54" s="10">
        <v>100</v>
      </c>
      <c r="K54" s="10">
        <v>1.76</v>
      </c>
      <c r="L54" s="8" t="s">
        <v>683</v>
      </c>
      <c r="M54" s="10">
        <v>0.68</v>
      </c>
      <c r="N54" s="10">
        <v>0.96140350877192982</v>
      </c>
      <c r="O54" s="11">
        <v>6</v>
      </c>
      <c r="P54" s="11">
        <v>6</v>
      </c>
      <c r="Q54" s="11">
        <v>2</v>
      </c>
      <c r="R54" s="10">
        <v>4.2399620000000002</v>
      </c>
      <c r="S54" s="1" t="e">
        <v>#N/A</v>
      </c>
      <c r="T54" s="1" t="s">
        <v>833</v>
      </c>
      <c r="U54" s="1" t="s">
        <v>1011</v>
      </c>
      <c r="V54" s="11">
        <v>5</v>
      </c>
      <c r="W54" s="11">
        <v>4</v>
      </c>
      <c r="X54" s="11" t="s">
        <v>28</v>
      </c>
      <c r="Y54" s="10">
        <v>4.2202616628209659</v>
      </c>
      <c r="Z54" s="10">
        <v>0.31999999999999995</v>
      </c>
      <c r="AA54" s="10">
        <v>3.8596491228070184E-2</v>
      </c>
      <c r="AB54" s="12">
        <v>2</v>
      </c>
    </row>
    <row r="55" spans="1:28" x14ac:dyDescent="0.3">
      <c r="A55" s="2" t="s">
        <v>175</v>
      </c>
      <c r="B55" s="2">
        <v>155</v>
      </c>
      <c r="C55" s="2" t="s">
        <v>362</v>
      </c>
      <c r="D55" s="2" t="s">
        <v>362</v>
      </c>
      <c r="E55" s="2" t="s">
        <v>362</v>
      </c>
      <c r="F55" s="13">
        <v>0</v>
      </c>
      <c r="G55" s="14">
        <v>0.66700000000000004</v>
      </c>
      <c r="H55" s="15">
        <v>5.5750000000000002</v>
      </c>
      <c r="I55" s="15">
        <v>0.151096971</v>
      </c>
      <c r="J55" s="15">
        <v>97.826086959999998</v>
      </c>
      <c r="K55" s="15">
        <v>1.96</v>
      </c>
      <c r="L55" s="13" t="s">
        <v>683</v>
      </c>
      <c r="M55" s="15">
        <v>0.68085106382978722</v>
      </c>
      <c r="N55" s="15">
        <v>0.6074074074074074</v>
      </c>
      <c r="O55" s="16">
        <v>4</v>
      </c>
      <c r="P55" s="16">
        <v>4</v>
      </c>
      <c r="Q55" s="16">
        <v>2</v>
      </c>
      <c r="R55" s="15">
        <v>3.9906250000000001</v>
      </c>
      <c r="S55" s="2" t="s">
        <v>692</v>
      </c>
      <c r="T55" s="2" t="s">
        <v>834</v>
      </c>
      <c r="U55" s="2" t="s">
        <v>1012</v>
      </c>
      <c r="V55" s="16">
        <v>6</v>
      </c>
      <c r="W55" s="16">
        <v>5</v>
      </c>
      <c r="X55" s="16" t="s">
        <v>28</v>
      </c>
      <c r="Y55" s="15">
        <v>4.0757659741624206</v>
      </c>
      <c r="Z55" s="15">
        <v>0.31914893617021278</v>
      </c>
      <c r="AA55" s="15">
        <v>0.3925925925925926</v>
      </c>
      <c r="AB55" s="17">
        <v>4</v>
      </c>
    </row>
    <row r="56" spans="1:28" x14ac:dyDescent="0.3">
      <c r="A56" s="1" t="s">
        <v>176</v>
      </c>
      <c r="B56" s="1">
        <v>386</v>
      </c>
      <c r="C56" s="1" t="s">
        <v>363</v>
      </c>
      <c r="D56" s="1" t="s">
        <v>363</v>
      </c>
      <c r="E56" s="1" t="s">
        <v>666</v>
      </c>
      <c r="F56" s="8">
        <v>1</v>
      </c>
      <c r="G56" s="9">
        <v>0.5</v>
      </c>
      <c r="H56" s="10">
        <v>5.7919999999999998</v>
      </c>
      <c r="I56" s="10">
        <v>0</v>
      </c>
      <c r="J56" s="10">
        <v>100</v>
      </c>
      <c r="K56" s="10">
        <v>1.65</v>
      </c>
      <c r="L56" s="8" t="s">
        <v>683</v>
      </c>
      <c r="M56" s="10">
        <v>0.68181818181818177</v>
      </c>
      <c r="N56" s="10">
        <v>0.94117647058823528</v>
      </c>
      <c r="O56" s="11">
        <v>5</v>
      </c>
      <c r="P56" s="11">
        <v>5</v>
      </c>
      <c r="Q56" s="11">
        <v>2</v>
      </c>
      <c r="R56" s="10">
        <v>4.4692819999999998</v>
      </c>
      <c r="S56" s="1" t="e">
        <v>#N/A</v>
      </c>
      <c r="T56" s="1" t="s">
        <v>835</v>
      </c>
      <c r="U56" s="1" t="s">
        <v>1013</v>
      </c>
      <c r="V56" s="11">
        <v>4</v>
      </c>
      <c r="W56" s="11">
        <v>3</v>
      </c>
      <c r="X56" s="11" t="s">
        <v>27</v>
      </c>
      <c r="Y56" s="10">
        <v>4.4911290611258803</v>
      </c>
      <c r="Z56" s="10">
        <v>0.31818181818181823</v>
      </c>
      <c r="AA56" s="10">
        <v>5.8823529411764719E-2</v>
      </c>
      <c r="AB56" s="12">
        <v>1</v>
      </c>
    </row>
    <row r="57" spans="1:28" x14ac:dyDescent="0.3">
      <c r="A57" s="2" t="s">
        <v>177</v>
      </c>
      <c r="B57" s="2">
        <v>720</v>
      </c>
      <c r="C57" s="2" t="s">
        <v>364</v>
      </c>
      <c r="D57" s="2" t="s">
        <v>534</v>
      </c>
      <c r="E57" s="2" t="s">
        <v>534</v>
      </c>
      <c r="F57" s="13">
        <v>1</v>
      </c>
      <c r="G57" s="18">
        <v>0.4</v>
      </c>
      <c r="H57" s="15">
        <v>6.0659999999999998</v>
      </c>
      <c r="I57" s="15">
        <v>0</v>
      </c>
      <c r="J57" s="15">
        <v>100</v>
      </c>
      <c r="K57" s="15">
        <v>2.65</v>
      </c>
      <c r="L57" s="13" t="s">
        <v>683</v>
      </c>
      <c r="M57" s="15">
        <v>0.69599999999999995</v>
      </c>
      <c r="N57" s="15">
        <v>0.70399999999999996</v>
      </c>
      <c r="O57" s="16">
        <v>6</v>
      </c>
      <c r="P57" s="16">
        <v>6</v>
      </c>
      <c r="Q57" s="16">
        <v>3</v>
      </c>
      <c r="R57" s="15">
        <v>3.7812830000000002</v>
      </c>
      <c r="S57" s="2" t="s">
        <v>692</v>
      </c>
      <c r="T57" s="2" t="s">
        <v>836</v>
      </c>
      <c r="U57" s="2" t="s">
        <v>1014</v>
      </c>
      <c r="V57" s="16">
        <v>4</v>
      </c>
      <c r="W57" s="16">
        <v>3</v>
      </c>
      <c r="X57" s="16" t="s">
        <v>27</v>
      </c>
      <c r="Y57" s="15">
        <v>3.8852260398939578</v>
      </c>
      <c r="Z57" s="15">
        <v>0.30400000000000005</v>
      </c>
      <c r="AA57" s="15">
        <v>0.29600000000000004</v>
      </c>
      <c r="AB57" s="17">
        <v>5</v>
      </c>
    </row>
    <row r="58" spans="1:28" x14ac:dyDescent="0.3">
      <c r="A58" s="1" t="s">
        <v>178</v>
      </c>
      <c r="B58" s="1">
        <v>98</v>
      </c>
      <c r="C58" s="1" t="s">
        <v>365</v>
      </c>
      <c r="D58" s="1" t="s">
        <v>535</v>
      </c>
      <c r="E58" s="1" t="s">
        <v>365</v>
      </c>
      <c r="F58" s="8">
        <v>0</v>
      </c>
      <c r="G58" s="9">
        <v>0.5</v>
      </c>
      <c r="H58" s="10">
        <v>6.3630000000000004</v>
      </c>
      <c r="I58" s="10">
        <v>0.327444919</v>
      </c>
      <c r="J58" s="10">
        <v>94</v>
      </c>
      <c r="K58" s="10">
        <v>3.03</v>
      </c>
      <c r="L58" s="8" t="s">
        <v>688</v>
      </c>
      <c r="M58" s="10">
        <v>0.69599999999999995</v>
      </c>
      <c r="N58" s="10">
        <v>0.88888888888888884</v>
      </c>
      <c r="O58" s="11">
        <v>5</v>
      </c>
      <c r="P58" s="11">
        <v>5</v>
      </c>
      <c r="Q58" s="11">
        <v>2</v>
      </c>
      <c r="R58" s="10">
        <v>4.4228209999999999</v>
      </c>
      <c r="S58" s="1" t="e">
        <v>#N/A</v>
      </c>
      <c r="T58" s="1" t="s">
        <v>837</v>
      </c>
      <c r="U58" s="1" t="s">
        <v>1015</v>
      </c>
      <c r="V58" s="11">
        <v>5</v>
      </c>
      <c r="W58" s="11">
        <v>4</v>
      </c>
      <c r="X58" s="11" t="s">
        <v>28</v>
      </c>
      <c r="Y58" s="10">
        <v>4.3586823405272153</v>
      </c>
      <c r="Z58" s="10">
        <v>0.30400000000000005</v>
      </c>
      <c r="AA58" s="10">
        <v>0.11111111111111116</v>
      </c>
      <c r="AB58" s="12">
        <v>2</v>
      </c>
    </row>
    <row r="59" spans="1:28" x14ac:dyDescent="0.3">
      <c r="A59" s="2" t="s">
        <v>180</v>
      </c>
      <c r="B59" s="2">
        <v>650</v>
      </c>
      <c r="C59" s="2" t="s">
        <v>367</v>
      </c>
      <c r="D59" s="2" t="s">
        <v>537</v>
      </c>
      <c r="E59" s="2" t="s">
        <v>367</v>
      </c>
      <c r="F59" s="13">
        <v>0</v>
      </c>
      <c r="G59" s="14">
        <v>0.33300000000000002</v>
      </c>
      <c r="H59" s="15">
        <v>6.2119999999999997</v>
      </c>
      <c r="I59" s="15">
        <v>0.43587529699999999</v>
      </c>
      <c r="J59" s="15">
        <v>92.957746479999997</v>
      </c>
      <c r="K59" s="15">
        <v>3.13</v>
      </c>
      <c r="L59" s="13" t="s">
        <v>683</v>
      </c>
      <c r="M59" s="15">
        <v>0.71176470588235297</v>
      </c>
      <c r="N59" s="15">
        <v>0.78805970149253735</v>
      </c>
      <c r="O59" s="16">
        <v>7</v>
      </c>
      <c r="P59" s="16">
        <v>7</v>
      </c>
      <c r="Q59" s="16">
        <v>3</v>
      </c>
      <c r="R59" s="15">
        <v>3.279668</v>
      </c>
      <c r="S59" s="2" t="s">
        <v>692</v>
      </c>
      <c r="T59" s="2" t="s">
        <v>839</v>
      </c>
      <c r="U59" s="2" t="s">
        <v>1017</v>
      </c>
      <c r="V59" s="16">
        <v>6</v>
      </c>
      <c r="W59" s="16">
        <v>5</v>
      </c>
      <c r="X59" s="16" t="s">
        <v>27</v>
      </c>
      <c r="Y59" s="15">
        <v>4.1219215514391019</v>
      </c>
      <c r="Z59" s="15">
        <v>0.28823529411764703</v>
      </c>
      <c r="AA59" s="15">
        <v>0.21194029850746265</v>
      </c>
      <c r="AB59" s="17">
        <v>3</v>
      </c>
    </row>
    <row r="60" spans="1:28" x14ac:dyDescent="0.3">
      <c r="A60" s="1" t="s">
        <v>181</v>
      </c>
      <c r="B60" s="1">
        <v>341</v>
      </c>
      <c r="C60" s="1" t="s">
        <v>368</v>
      </c>
      <c r="D60" s="1" t="s">
        <v>368</v>
      </c>
      <c r="E60" s="1" t="s">
        <v>368</v>
      </c>
      <c r="F60" s="8">
        <v>0</v>
      </c>
      <c r="G60" s="9">
        <v>0.5</v>
      </c>
      <c r="H60" s="10">
        <v>5.7460000000000004</v>
      </c>
      <c r="I60" s="10">
        <v>0</v>
      </c>
      <c r="J60" s="10">
        <v>100</v>
      </c>
      <c r="K60" s="10">
        <v>2.73</v>
      </c>
      <c r="L60" s="8" t="s">
        <v>685</v>
      </c>
      <c r="M60" s="10">
        <v>0.71199999999999997</v>
      </c>
      <c r="N60" s="10">
        <v>0.5625</v>
      </c>
      <c r="O60" s="11">
        <v>5</v>
      </c>
      <c r="P60" s="11">
        <v>5</v>
      </c>
      <c r="Q60" s="11">
        <v>3</v>
      </c>
      <c r="R60" s="10">
        <v>3.2150609999999999</v>
      </c>
      <c r="S60" s="1" t="e">
        <v>#N/A</v>
      </c>
      <c r="T60" s="1" t="s">
        <v>840</v>
      </c>
      <c r="U60" s="1" t="s">
        <v>1018</v>
      </c>
      <c r="V60" s="11">
        <v>7</v>
      </c>
      <c r="W60" s="11">
        <v>5</v>
      </c>
      <c r="X60" s="11" t="s">
        <v>28</v>
      </c>
      <c r="Y60" s="10">
        <v>3.1842864426950346</v>
      </c>
      <c r="Z60" s="10">
        <v>0.28800000000000003</v>
      </c>
      <c r="AA60" s="10">
        <v>0.4375</v>
      </c>
      <c r="AB60" s="12">
        <v>6</v>
      </c>
    </row>
    <row r="61" spans="1:28" x14ac:dyDescent="0.3">
      <c r="A61" s="2" t="s">
        <v>182</v>
      </c>
      <c r="B61" s="2">
        <v>312</v>
      </c>
      <c r="C61" s="2" t="s">
        <v>369</v>
      </c>
      <c r="D61" s="2" t="s">
        <v>538</v>
      </c>
      <c r="E61" s="2" t="s">
        <v>668</v>
      </c>
      <c r="F61" s="13">
        <v>2</v>
      </c>
      <c r="G61" s="14">
        <v>0.66700000000000004</v>
      </c>
      <c r="H61" s="15">
        <v>6.306</v>
      </c>
      <c r="I61" s="15">
        <v>0</v>
      </c>
      <c r="J61" s="15">
        <v>100</v>
      </c>
      <c r="K61" s="15">
        <v>2.76</v>
      </c>
      <c r="L61" s="13" t="s">
        <v>690</v>
      </c>
      <c r="M61" s="15">
        <v>0.72340425531914898</v>
      </c>
      <c r="N61" s="15">
        <v>0.88888888888888884</v>
      </c>
      <c r="O61" s="16">
        <v>4</v>
      </c>
      <c r="P61" s="16">
        <v>4</v>
      </c>
      <c r="Q61" s="16">
        <v>2</v>
      </c>
      <c r="R61" s="15">
        <v>4.5203699999999998</v>
      </c>
      <c r="S61" s="2" t="s">
        <v>692</v>
      </c>
      <c r="T61" s="2" t="s">
        <v>841</v>
      </c>
      <c r="U61" s="2" t="s">
        <v>1019</v>
      </c>
      <c r="V61" s="16">
        <v>6</v>
      </c>
      <c r="W61" s="16">
        <v>4</v>
      </c>
      <c r="X61" s="16" t="s">
        <v>28</v>
      </c>
      <c r="Y61" s="15">
        <v>4.5012365843529905</v>
      </c>
      <c r="Z61" s="15">
        <v>0.27659574468085102</v>
      </c>
      <c r="AA61" s="15">
        <v>0.11111111111111116</v>
      </c>
      <c r="AB61" s="17">
        <v>2</v>
      </c>
    </row>
    <row r="62" spans="1:28" x14ac:dyDescent="0.3">
      <c r="A62" s="1" t="s">
        <v>183</v>
      </c>
      <c r="B62" s="1">
        <v>379</v>
      </c>
      <c r="C62" s="1" t="s">
        <v>370</v>
      </c>
      <c r="D62" s="1" t="s">
        <v>539</v>
      </c>
      <c r="E62" s="1" t="s">
        <v>669</v>
      </c>
      <c r="F62" s="8">
        <v>1</v>
      </c>
      <c r="G62" s="9">
        <v>0</v>
      </c>
      <c r="H62" s="10">
        <v>0</v>
      </c>
      <c r="I62" s="10">
        <v>0</v>
      </c>
      <c r="J62" s="10">
        <v>100</v>
      </c>
      <c r="K62" s="10">
        <v>2.6464646460000001</v>
      </c>
      <c r="L62" s="8" t="s">
        <v>688</v>
      </c>
      <c r="M62" s="10">
        <v>0.72340425531914898</v>
      </c>
      <c r="N62" s="10">
        <v>0.80740740740740746</v>
      </c>
      <c r="O62" s="11">
        <v>5</v>
      </c>
      <c r="P62" s="11">
        <v>5</v>
      </c>
      <c r="Q62" s="11">
        <v>2</v>
      </c>
      <c r="R62" s="10">
        <v>3.106163</v>
      </c>
      <c r="S62" s="1" t="s">
        <v>692</v>
      </c>
      <c r="T62" s="1" t="s">
        <v>669</v>
      </c>
      <c r="U62" s="1" t="s">
        <v>1020</v>
      </c>
      <c r="V62" s="11">
        <v>5</v>
      </c>
      <c r="W62" s="11">
        <v>5</v>
      </c>
      <c r="X62" s="11" t="s">
        <v>28</v>
      </c>
      <c r="Y62" s="10">
        <v>3.6922473983487691</v>
      </c>
      <c r="Z62" s="10">
        <v>0.27659574468085102</v>
      </c>
      <c r="AA62" s="10">
        <v>0.19259259259259254</v>
      </c>
      <c r="AB62" s="12">
        <v>1</v>
      </c>
    </row>
    <row r="63" spans="1:28" x14ac:dyDescent="0.3">
      <c r="A63" s="2" t="s">
        <v>187</v>
      </c>
      <c r="B63" s="2">
        <v>308</v>
      </c>
      <c r="C63" s="2" t="s">
        <v>374</v>
      </c>
      <c r="D63" s="2" t="s">
        <v>543</v>
      </c>
      <c r="E63" s="2" t="s">
        <v>374</v>
      </c>
      <c r="F63" s="13">
        <v>0</v>
      </c>
      <c r="G63" s="14">
        <v>0.33300000000000002</v>
      </c>
      <c r="H63" s="15">
        <v>5.2729999999999997</v>
      </c>
      <c r="I63" s="15">
        <v>0</v>
      </c>
      <c r="J63" s="15">
        <v>100</v>
      </c>
      <c r="K63" s="15">
        <v>1.54</v>
      </c>
      <c r="L63" s="13" t="s">
        <v>683</v>
      </c>
      <c r="M63" s="15">
        <v>0.73</v>
      </c>
      <c r="N63" s="15">
        <v>0.66</v>
      </c>
      <c r="O63" s="16">
        <v>4</v>
      </c>
      <c r="P63" s="16">
        <v>4</v>
      </c>
      <c r="Q63" s="16">
        <v>3</v>
      </c>
      <c r="R63" s="15">
        <v>5.3154050000000002</v>
      </c>
      <c r="S63" s="2" t="s">
        <v>692</v>
      </c>
      <c r="T63" s="2" t="s">
        <v>845</v>
      </c>
      <c r="U63" s="2" t="s">
        <v>1024</v>
      </c>
      <c r="V63" s="16">
        <v>4</v>
      </c>
      <c r="W63" s="16">
        <v>3</v>
      </c>
      <c r="X63" s="16" t="s">
        <v>27</v>
      </c>
      <c r="Y63" s="15">
        <v>3.7089943914781069</v>
      </c>
      <c r="Z63" s="15">
        <v>0.27</v>
      </c>
      <c r="AA63" s="15">
        <v>0.33999999999999997</v>
      </c>
      <c r="AB63" s="17">
        <v>3</v>
      </c>
    </row>
    <row r="64" spans="1:28" x14ac:dyDescent="0.3">
      <c r="A64" s="1" t="s">
        <v>189</v>
      </c>
      <c r="B64" s="1">
        <v>418</v>
      </c>
      <c r="C64" s="1" t="s">
        <v>376</v>
      </c>
      <c r="D64" s="1" t="s">
        <v>545</v>
      </c>
      <c r="E64" s="1" t="s">
        <v>672</v>
      </c>
      <c r="F64" s="8">
        <v>1</v>
      </c>
      <c r="G64" s="19">
        <v>0.66700000000000004</v>
      </c>
      <c r="H64" s="10">
        <v>5.6390000000000002</v>
      </c>
      <c r="I64" s="10">
        <v>0</v>
      </c>
      <c r="J64" s="10">
        <v>100</v>
      </c>
      <c r="K64" s="10">
        <v>2.2200000000000002</v>
      </c>
      <c r="L64" s="8" t="s">
        <v>683</v>
      </c>
      <c r="M64" s="10">
        <v>0.73442622950819669</v>
      </c>
      <c r="N64" s="10">
        <v>0.9027027027027027</v>
      </c>
      <c r="O64" s="11">
        <v>7</v>
      </c>
      <c r="P64" s="11">
        <v>7</v>
      </c>
      <c r="Q64" s="11">
        <v>3</v>
      </c>
      <c r="R64" s="10">
        <v>3.836875</v>
      </c>
      <c r="S64" s="1" t="e">
        <v>#N/A</v>
      </c>
      <c r="T64" s="1" t="s">
        <v>847</v>
      </c>
      <c r="U64" s="1" t="s">
        <v>1026</v>
      </c>
      <c r="V64" s="11">
        <v>7</v>
      </c>
      <c r="W64" s="11">
        <v>5</v>
      </c>
      <c r="X64" s="11" t="s">
        <v>28</v>
      </c>
      <c r="Y64" s="10">
        <v>3.8519819165919351</v>
      </c>
      <c r="Z64" s="10">
        <v>0.26557377049180331</v>
      </c>
      <c r="AA64" s="10">
        <v>9.7297297297297303E-2</v>
      </c>
      <c r="AB64" s="12">
        <v>3</v>
      </c>
    </row>
    <row r="65" spans="1:28" x14ac:dyDescent="0.3">
      <c r="A65" s="2" t="s">
        <v>190</v>
      </c>
      <c r="B65" s="2">
        <v>692</v>
      </c>
      <c r="C65" s="2" t="s">
        <v>377</v>
      </c>
      <c r="D65" s="2" t="s">
        <v>546</v>
      </c>
      <c r="E65" s="2" t="s">
        <v>673</v>
      </c>
      <c r="F65" s="13">
        <v>2</v>
      </c>
      <c r="G65" s="18">
        <v>0</v>
      </c>
      <c r="H65" s="15">
        <v>0</v>
      </c>
      <c r="I65" s="15">
        <v>0</v>
      </c>
      <c r="J65" s="15">
        <v>100</v>
      </c>
      <c r="K65" s="15">
        <v>1.65</v>
      </c>
      <c r="L65" s="13" t="s">
        <v>686</v>
      </c>
      <c r="M65" s="15">
        <v>0.74399999999999999</v>
      </c>
      <c r="N65" s="15">
        <v>0.625</v>
      </c>
      <c r="O65" s="16">
        <v>6</v>
      </c>
      <c r="P65" s="16">
        <v>6</v>
      </c>
      <c r="Q65" s="16">
        <v>2</v>
      </c>
      <c r="R65" s="15">
        <v>3.1492599999999999</v>
      </c>
      <c r="S65" s="2" t="e">
        <v>#N/A</v>
      </c>
      <c r="T65" s="2" t="s">
        <v>848</v>
      </c>
      <c r="U65" s="2" t="s">
        <v>1027</v>
      </c>
      <c r="V65" s="16">
        <v>6</v>
      </c>
      <c r="W65" s="16">
        <v>4</v>
      </c>
      <c r="X65" s="16" t="s">
        <v>28</v>
      </c>
      <c r="Y65" s="15">
        <v>4.2270868907776498</v>
      </c>
      <c r="Z65" s="15">
        <v>0.25600000000000001</v>
      </c>
      <c r="AA65" s="15">
        <v>0.375</v>
      </c>
      <c r="AB65" s="17">
        <v>4</v>
      </c>
    </row>
    <row r="66" spans="1:28" x14ac:dyDescent="0.3">
      <c r="A66" s="1" t="s">
        <v>193</v>
      </c>
      <c r="B66" s="1">
        <v>449</v>
      </c>
      <c r="C66" s="1" t="s">
        <v>380</v>
      </c>
      <c r="D66" s="1" t="s">
        <v>549</v>
      </c>
      <c r="E66" s="1" t="s">
        <v>675</v>
      </c>
      <c r="F66" s="8">
        <v>2</v>
      </c>
      <c r="G66" s="9">
        <v>0.75</v>
      </c>
      <c r="H66" s="10">
        <v>5.7110000000000003</v>
      </c>
      <c r="I66" s="10">
        <v>0</v>
      </c>
      <c r="J66" s="10">
        <v>100</v>
      </c>
      <c r="K66" s="10">
        <v>1.919191919</v>
      </c>
      <c r="L66" s="8" t="s">
        <v>684</v>
      </c>
      <c r="M66" s="10">
        <v>0.77647058823529413</v>
      </c>
      <c r="N66" s="10">
        <v>0.7931034482758621</v>
      </c>
      <c r="O66" s="11">
        <v>5</v>
      </c>
      <c r="P66" s="11">
        <v>5</v>
      </c>
      <c r="Q66" s="11">
        <v>2</v>
      </c>
      <c r="R66" s="10">
        <v>5.0741820000000004</v>
      </c>
      <c r="S66" s="1" t="s">
        <v>692</v>
      </c>
      <c r="T66" s="1" t="s">
        <v>851</v>
      </c>
      <c r="U66" s="1" t="s">
        <v>1030</v>
      </c>
      <c r="V66" s="11">
        <v>5</v>
      </c>
      <c r="W66" s="11">
        <v>4</v>
      </c>
      <c r="X66" s="11" t="s">
        <v>27</v>
      </c>
      <c r="Y66" s="10">
        <v>4.1963837895665019</v>
      </c>
      <c r="Z66" s="10">
        <v>0.22352941176470587</v>
      </c>
      <c r="AA66" s="10">
        <v>0.2068965517241379</v>
      </c>
      <c r="AB66" s="12">
        <v>2</v>
      </c>
    </row>
    <row r="67" spans="1:28" x14ac:dyDescent="0.3">
      <c r="A67" s="2" t="s">
        <v>196</v>
      </c>
      <c r="B67" s="2">
        <v>479</v>
      </c>
      <c r="C67" s="2" t="s">
        <v>383</v>
      </c>
      <c r="D67" s="2" t="s">
        <v>551</v>
      </c>
      <c r="E67" s="2" t="s">
        <v>676</v>
      </c>
      <c r="F67" s="13">
        <v>1</v>
      </c>
      <c r="G67" s="14">
        <v>0.83299999999999996</v>
      </c>
      <c r="H67" s="15">
        <v>0</v>
      </c>
      <c r="I67" s="15">
        <v>0</v>
      </c>
      <c r="J67" s="15">
        <v>100</v>
      </c>
      <c r="K67" s="15">
        <v>2.5299999999999998</v>
      </c>
      <c r="L67" s="13" t="s">
        <v>688</v>
      </c>
      <c r="M67" s="15">
        <v>0.80597014925373134</v>
      </c>
      <c r="N67" s="15">
        <v>0.87272727272727268</v>
      </c>
      <c r="O67" s="16">
        <v>7</v>
      </c>
      <c r="P67" s="16">
        <v>7</v>
      </c>
      <c r="Q67" s="16">
        <v>2</v>
      </c>
      <c r="R67" s="15">
        <v>2.9917769999999999</v>
      </c>
      <c r="S67" s="2" t="s">
        <v>692</v>
      </c>
      <c r="T67" s="2" t="s">
        <v>854</v>
      </c>
      <c r="U67" s="2" t="s">
        <v>1033</v>
      </c>
      <c r="V67" s="16">
        <v>8</v>
      </c>
      <c r="W67" s="16">
        <v>7</v>
      </c>
      <c r="X67" s="16" t="s">
        <v>29</v>
      </c>
      <c r="Y67" s="15">
        <v>3.6205317219925024</v>
      </c>
      <c r="Z67" s="15">
        <v>0.19402985074626866</v>
      </c>
      <c r="AA67" s="15">
        <v>0.12727272727272732</v>
      </c>
      <c r="AB67" s="17">
        <v>3</v>
      </c>
    </row>
    <row r="68" spans="1:28" x14ac:dyDescent="0.3">
      <c r="A68" s="1" t="s">
        <v>197</v>
      </c>
      <c r="B68" s="1">
        <v>575</v>
      </c>
      <c r="C68" s="1" t="s">
        <v>384</v>
      </c>
      <c r="D68" s="1" t="s">
        <v>552</v>
      </c>
      <c r="E68" s="1" t="s">
        <v>677</v>
      </c>
      <c r="F68" s="8">
        <v>3</v>
      </c>
      <c r="G68" s="19">
        <v>0.66700000000000004</v>
      </c>
      <c r="H68" s="10">
        <v>5.944</v>
      </c>
      <c r="I68" s="10">
        <v>0.141440543</v>
      </c>
      <c r="J68" s="10">
        <v>98</v>
      </c>
      <c r="K68" s="10">
        <v>2.11</v>
      </c>
      <c r="L68" s="8" t="s">
        <v>687</v>
      </c>
      <c r="M68" s="10">
        <v>0.81081081081081086</v>
      </c>
      <c r="N68" s="10">
        <v>0.71</v>
      </c>
      <c r="O68" s="11">
        <v>4</v>
      </c>
      <c r="P68" s="11">
        <v>4</v>
      </c>
      <c r="Q68" s="11">
        <v>3</v>
      </c>
      <c r="R68" s="10">
        <v>4.475841</v>
      </c>
      <c r="S68" s="1" t="s">
        <v>692</v>
      </c>
      <c r="T68" s="1" t="s">
        <v>855</v>
      </c>
      <c r="U68" s="1" t="s">
        <v>1034</v>
      </c>
      <c r="V68" s="11">
        <v>4</v>
      </c>
      <c r="W68" s="11">
        <v>3</v>
      </c>
      <c r="X68" s="11" t="s">
        <v>27</v>
      </c>
      <c r="Y68" s="10">
        <v>3.8311864255401042</v>
      </c>
      <c r="Z68" s="10">
        <v>0.18918918918918914</v>
      </c>
      <c r="AA68" s="10">
        <v>0.29000000000000004</v>
      </c>
      <c r="AB68" s="12">
        <v>4</v>
      </c>
    </row>
    <row r="69" spans="1:28" x14ac:dyDescent="0.3">
      <c r="A69" s="2" t="s">
        <v>198</v>
      </c>
      <c r="B69" s="2">
        <v>275</v>
      </c>
      <c r="C69" s="2" t="s">
        <v>385</v>
      </c>
      <c r="D69" s="2" t="s">
        <v>553</v>
      </c>
      <c r="E69" s="2" t="s">
        <v>553</v>
      </c>
      <c r="F69" s="13">
        <v>1</v>
      </c>
      <c r="G69" s="14">
        <v>0.66700000000000004</v>
      </c>
      <c r="H69" s="15">
        <v>0</v>
      </c>
      <c r="I69" s="15">
        <v>0.30217361799999998</v>
      </c>
      <c r="J69" s="15">
        <v>94.623655909999997</v>
      </c>
      <c r="K69" s="15">
        <v>2.12</v>
      </c>
      <c r="L69" s="13" t="s">
        <v>685</v>
      </c>
      <c r="M69" s="15">
        <v>0.82</v>
      </c>
      <c r="N69" s="15">
        <v>0.95</v>
      </c>
      <c r="O69" s="16">
        <v>4</v>
      </c>
      <c r="P69" s="16">
        <v>4</v>
      </c>
      <c r="Q69" s="16">
        <v>2</v>
      </c>
      <c r="R69" s="15">
        <v>4.4931809999999999</v>
      </c>
      <c r="S69" s="2" t="s">
        <v>692</v>
      </c>
      <c r="T69" s="2" t="s">
        <v>856</v>
      </c>
      <c r="U69" s="2" t="s">
        <v>1035</v>
      </c>
      <c r="V69" s="16">
        <v>4</v>
      </c>
      <c r="W69" s="16">
        <v>3</v>
      </c>
      <c r="X69" s="16" t="s">
        <v>27</v>
      </c>
      <c r="Y69" s="15">
        <v>3.9505254135918002</v>
      </c>
      <c r="Z69" s="15">
        <v>0.18000000000000005</v>
      </c>
      <c r="AA69" s="15">
        <v>5.0000000000000044E-2</v>
      </c>
      <c r="AB69" s="17">
        <v>1</v>
      </c>
    </row>
    <row r="70" spans="1:28" x14ac:dyDescent="0.3">
      <c r="A70" s="1" t="s">
        <v>199</v>
      </c>
      <c r="B70" s="1">
        <v>32</v>
      </c>
      <c r="C70" s="1" t="s">
        <v>386</v>
      </c>
      <c r="D70" s="1" t="s">
        <v>554</v>
      </c>
      <c r="E70" s="1" t="s">
        <v>634</v>
      </c>
      <c r="F70" s="8">
        <v>3</v>
      </c>
      <c r="G70" s="9">
        <v>0.8</v>
      </c>
      <c r="H70" s="10">
        <v>5.5570000000000004</v>
      </c>
      <c r="I70" s="10">
        <v>0</v>
      </c>
      <c r="J70" s="10">
        <v>100</v>
      </c>
      <c r="K70" s="10">
        <v>3.04</v>
      </c>
      <c r="L70" s="8" t="s">
        <v>683</v>
      </c>
      <c r="M70" s="10">
        <v>0.82105263157894737</v>
      </c>
      <c r="N70" s="10">
        <v>0.84210526315789469</v>
      </c>
      <c r="O70" s="11">
        <v>6</v>
      </c>
      <c r="P70" s="11">
        <v>6</v>
      </c>
      <c r="Q70" s="11">
        <v>3</v>
      </c>
      <c r="R70" s="10">
        <v>4.7177049999999996</v>
      </c>
      <c r="S70" s="1" t="s">
        <v>692</v>
      </c>
      <c r="T70" s="1" t="s">
        <v>857</v>
      </c>
      <c r="U70" s="1" t="s">
        <v>1036</v>
      </c>
      <c r="V70" s="11">
        <v>5</v>
      </c>
      <c r="W70" s="11">
        <v>4</v>
      </c>
      <c r="X70" s="11" t="s">
        <v>27</v>
      </c>
      <c r="Y70" s="10">
        <v>4.5299656290462682</v>
      </c>
      <c r="Z70" s="10">
        <v>0.17894736842105263</v>
      </c>
      <c r="AA70" s="10">
        <v>0.15789473684210531</v>
      </c>
      <c r="AB70" s="12">
        <v>3</v>
      </c>
    </row>
    <row r="71" spans="1:28" x14ac:dyDescent="0.3">
      <c r="A71" s="2" t="s">
        <v>201</v>
      </c>
      <c r="B71" s="2">
        <v>236</v>
      </c>
      <c r="C71" s="2" t="s">
        <v>388</v>
      </c>
      <c r="D71" s="2" t="s">
        <v>556</v>
      </c>
      <c r="E71" s="2" t="s">
        <v>679</v>
      </c>
      <c r="F71" s="13">
        <v>1</v>
      </c>
      <c r="G71" s="18">
        <v>0.2</v>
      </c>
      <c r="H71" s="15">
        <v>0</v>
      </c>
      <c r="I71" s="15">
        <v>0</v>
      </c>
      <c r="J71" s="15">
        <v>100</v>
      </c>
      <c r="K71" s="15">
        <v>3.02</v>
      </c>
      <c r="L71" s="13" t="s">
        <v>688</v>
      </c>
      <c r="M71" s="15">
        <v>0.83508771929824566</v>
      </c>
      <c r="N71" s="15">
        <v>0.69841269841269837</v>
      </c>
      <c r="O71" s="16">
        <v>6</v>
      </c>
      <c r="P71" s="16">
        <v>6</v>
      </c>
      <c r="Q71" s="16">
        <v>3</v>
      </c>
      <c r="R71" s="15">
        <v>2.8192659999999998</v>
      </c>
      <c r="S71" s="2" t="s">
        <v>692</v>
      </c>
      <c r="T71" s="2" t="s">
        <v>859</v>
      </c>
      <c r="U71" s="2" t="s">
        <v>1038</v>
      </c>
      <c r="V71" s="16">
        <v>7</v>
      </c>
      <c r="W71" s="16">
        <v>5</v>
      </c>
      <c r="X71" s="16" t="s">
        <v>28</v>
      </c>
      <c r="Y71" s="15">
        <v>3.7770830339987231</v>
      </c>
      <c r="Z71" s="15">
        <v>0.16491228070175434</v>
      </c>
      <c r="AA71" s="15">
        <v>0.30158730158730163</v>
      </c>
      <c r="AB71" s="17">
        <v>3</v>
      </c>
    </row>
    <row r="72" spans="1:28" x14ac:dyDescent="0.3">
      <c r="A72" s="1" t="s">
        <v>202</v>
      </c>
      <c r="B72" s="1">
        <v>669</v>
      </c>
      <c r="C72" s="1" t="s">
        <v>389</v>
      </c>
      <c r="D72" s="1" t="s">
        <v>389</v>
      </c>
      <c r="E72" s="1" t="s">
        <v>389</v>
      </c>
      <c r="F72" s="8">
        <v>0</v>
      </c>
      <c r="G72" s="9">
        <v>0.4</v>
      </c>
      <c r="H72" s="10">
        <v>5.3890000000000002</v>
      </c>
      <c r="I72" s="10">
        <v>0.14489961800000001</v>
      </c>
      <c r="J72" s="10">
        <v>97.93814433</v>
      </c>
      <c r="K72" s="10">
        <v>3.24</v>
      </c>
      <c r="L72" s="8" t="s">
        <v>689</v>
      </c>
      <c r="M72" s="10">
        <v>0.84666666666666668</v>
      </c>
      <c r="N72" s="10">
        <v>0.94736842105263153</v>
      </c>
      <c r="O72" s="11">
        <v>6</v>
      </c>
      <c r="P72" s="11">
        <v>6</v>
      </c>
      <c r="Q72" s="11">
        <v>3</v>
      </c>
      <c r="R72" s="10">
        <v>4.5378540000000003</v>
      </c>
      <c r="S72" s="1" t="s">
        <v>692</v>
      </c>
      <c r="T72" s="1" t="s">
        <v>860</v>
      </c>
      <c r="U72" s="1" t="s">
        <v>1039</v>
      </c>
      <c r="V72" s="11">
        <v>5</v>
      </c>
      <c r="W72" s="11">
        <v>5</v>
      </c>
      <c r="X72" s="11" t="s">
        <v>28</v>
      </c>
      <c r="Y72" s="10">
        <v>4.3730688776144921</v>
      </c>
      <c r="Z72" s="10">
        <v>0.15333333333333332</v>
      </c>
      <c r="AA72" s="10">
        <v>5.2631578947368474E-2</v>
      </c>
      <c r="AB72" s="12">
        <v>1</v>
      </c>
    </row>
    <row r="73" spans="1:28" x14ac:dyDescent="0.3">
      <c r="A73" s="2" t="s">
        <v>203</v>
      </c>
      <c r="B73" s="2">
        <v>148</v>
      </c>
      <c r="C73" s="2" t="s">
        <v>390</v>
      </c>
      <c r="D73" s="2" t="s">
        <v>390</v>
      </c>
      <c r="E73" s="2" t="s">
        <v>390</v>
      </c>
      <c r="F73" s="13">
        <v>0</v>
      </c>
      <c r="G73" s="14">
        <v>0.33300000000000002</v>
      </c>
      <c r="H73" s="15">
        <v>6.2709999999999999</v>
      </c>
      <c r="I73" s="15">
        <v>0</v>
      </c>
      <c r="J73" s="15">
        <v>100</v>
      </c>
      <c r="K73" s="15">
        <v>1.79</v>
      </c>
      <c r="L73" s="13" t="s">
        <v>683</v>
      </c>
      <c r="M73" s="15">
        <v>0.85</v>
      </c>
      <c r="N73" s="15">
        <v>0.95</v>
      </c>
      <c r="O73" s="16">
        <v>4</v>
      </c>
      <c r="P73" s="16">
        <v>4</v>
      </c>
      <c r="Q73" s="16">
        <v>3</v>
      </c>
      <c r="R73" s="15">
        <v>3.6414599999999999</v>
      </c>
      <c r="S73" s="2" t="s">
        <v>692</v>
      </c>
      <c r="T73" s="2" t="s">
        <v>861</v>
      </c>
      <c r="U73" s="2" t="s">
        <v>1040</v>
      </c>
      <c r="V73" s="16">
        <v>4</v>
      </c>
      <c r="W73" s="16">
        <v>3</v>
      </c>
      <c r="X73" s="16" t="s">
        <v>27</v>
      </c>
      <c r="Y73" s="15">
        <v>4.2579095895592385</v>
      </c>
      <c r="Z73" s="15">
        <v>0.15000000000000002</v>
      </c>
      <c r="AA73" s="15">
        <v>5.0000000000000044E-2</v>
      </c>
      <c r="AB73" s="17">
        <v>1</v>
      </c>
    </row>
    <row r="74" spans="1:28" x14ac:dyDescent="0.3">
      <c r="A74" s="1" t="s">
        <v>205</v>
      </c>
      <c r="B74" s="1">
        <v>303</v>
      </c>
      <c r="C74" s="1" t="s">
        <v>392</v>
      </c>
      <c r="D74" s="1" t="s">
        <v>392</v>
      </c>
      <c r="E74" s="1" t="s">
        <v>392</v>
      </c>
      <c r="F74" s="8">
        <v>0</v>
      </c>
      <c r="G74" s="9">
        <v>0</v>
      </c>
      <c r="H74" s="10">
        <v>0</v>
      </c>
      <c r="I74" s="10">
        <v>0.29292995100000002</v>
      </c>
      <c r="J74" s="10">
        <v>94.845360819999996</v>
      </c>
      <c r="K74" s="10">
        <v>2.96</v>
      </c>
      <c r="L74" s="8" t="s">
        <v>689</v>
      </c>
      <c r="M74" s="10">
        <v>0.85</v>
      </c>
      <c r="N74" s="10">
        <v>0.9</v>
      </c>
      <c r="O74" s="11">
        <v>4</v>
      </c>
      <c r="P74" s="11">
        <v>4</v>
      </c>
      <c r="Q74" s="11">
        <v>3</v>
      </c>
      <c r="R74" s="10">
        <v>3.2855569999999998</v>
      </c>
      <c r="S74" s="1" t="s">
        <v>692</v>
      </c>
      <c r="T74" s="1" t="s">
        <v>863</v>
      </c>
      <c r="U74" s="1" t="s">
        <v>1042</v>
      </c>
      <c r="V74" s="11">
        <v>4</v>
      </c>
      <c r="W74" s="11">
        <v>3</v>
      </c>
      <c r="X74" s="11" t="s">
        <v>27</v>
      </c>
      <c r="Y74" s="10">
        <v>3.731965270280885</v>
      </c>
      <c r="Z74" s="10">
        <v>0.15000000000000002</v>
      </c>
      <c r="AA74" s="10">
        <v>9.9999999999999978E-2</v>
      </c>
      <c r="AB74" s="12">
        <v>1</v>
      </c>
    </row>
    <row r="75" spans="1:28" x14ac:dyDescent="0.3">
      <c r="A75" s="2" t="s">
        <v>206</v>
      </c>
      <c r="B75" s="2">
        <v>249</v>
      </c>
      <c r="C75" s="2" t="s">
        <v>393</v>
      </c>
      <c r="D75" s="2" t="s">
        <v>393</v>
      </c>
      <c r="E75" s="2" t="s">
        <v>393</v>
      </c>
      <c r="F75" s="13">
        <v>0</v>
      </c>
      <c r="G75" s="18">
        <v>0.2</v>
      </c>
      <c r="H75" s="15">
        <v>6.3129999999999997</v>
      </c>
      <c r="I75" s="15">
        <v>0</v>
      </c>
      <c r="J75" s="15">
        <v>100</v>
      </c>
      <c r="K75" s="15">
        <v>2.0499999999999998</v>
      </c>
      <c r="L75" s="13" t="s">
        <v>686</v>
      </c>
      <c r="M75" s="15">
        <v>0.8606060606060606</v>
      </c>
      <c r="N75" s="15">
        <v>0.8666666666666667</v>
      </c>
      <c r="O75" s="16">
        <v>6</v>
      </c>
      <c r="P75" s="16">
        <v>6</v>
      </c>
      <c r="Q75" s="16">
        <v>3</v>
      </c>
      <c r="R75" s="15">
        <v>3.5387119999999999</v>
      </c>
      <c r="S75" s="2" t="s">
        <v>692</v>
      </c>
      <c r="T75" s="2" t="s">
        <v>864</v>
      </c>
      <c r="U75" s="2" t="s">
        <v>1043</v>
      </c>
      <c r="V75" s="16">
        <v>6</v>
      </c>
      <c r="W75" s="16">
        <v>6</v>
      </c>
      <c r="X75" s="16" t="s">
        <v>29</v>
      </c>
      <c r="Y75" s="15">
        <v>4.4380680085517383</v>
      </c>
      <c r="Z75" s="15">
        <v>0.1393939393939394</v>
      </c>
      <c r="AA75" s="15">
        <v>0.1333333333333333</v>
      </c>
      <c r="AB75" s="17">
        <v>2</v>
      </c>
    </row>
    <row r="76" spans="1:28" x14ac:dyDescent="0.3">
      <c r="A76" s="1" t="s">
        <v>207</v>
      </c>
      <c r="B76" s="1">
        <v>234</v>
      </c>
      <c r="C76" s="1" t="s">
        <v>394</v>
      </c>
      <c r="D76" s="1" t="s">
        <v>394</v>
      </c>
      <c r="E76" s="1" t="s">
        <v>680</v>
      </c>
      <c r="F76" s="8">
        <v>2</v>
      </c>
      <c r="G76" s="9">
        <v>0.5</v>
      </c>
      <c r="H76" s="10">
        <v>0</v>
      </c>
      <c r="I76" s="10">
        <v>0.51755896599999995</v>
      </c>
      <c r="J76" s="10">
        <v>90.804597700000002</v>
      </c>
      <c r="K76" s="10">
        <v>2.04</v>
      </c>
      <c r="L76" s="8" t="s">
        <v>683</v>
      </c>
      <c r="M76" s="10">
        <v>0.8666666666666667</v>
      </c>
      <c r="N76" s="10">
        <v>0.92592592592592593</v>
      </c>
      <c r="O76" s="11">
        <v>5</v>
      </c>
      <c r="P76" s="11">
        <v>5</v>
      </c>
      <c r="Q76" s="11">
        <v>2</v>
      </c>
      <c r="R76" s="10">
        <v>4.2679499999999999</v>
      </c>
      <c r="S76" s="1" t="s">
        <v>692</v>
      </c>
      <c r="T76" s="1" t="s">
        <v>865</v>
      </c>
      <c r="U76" s="1" t="s">
        <v>1044</v>
      </c>
      <c r="V76" s="11">
        <v>5</v>
      </c>
      <c r="W76" s="11">
        <v>4</v>
      </c>
      <c r="X76" s="11" t="s">
        <v>27</v>
      </c>
      <c r="Y76" s="10">
        <v>4.7278707730744918</v>
      </c>
      <c r="Z76" s="10">
        <v>0.1333333333333333</v>
      </c>
      <c r="AA76" s="10">
        <v>7.407407407407407E-2</v>
      </c>
      <c r="AB76" s="12">
        <v>1</v>
      </c>
    </row>
    <row r="77" spans="1:28" x14ac:dyDescent="0.3">
      <c r="A77" s="2" t="s">
        <v>208</v>
      </c>
      <c r="B77" s="2">
        <v>127</v>
      </c>
      <c r="C77" s="2" t="s">
        <v>395</v>
      </c>
      <c r="D77" s="2" t="s">
        <v>558</v>
      </c>
      <c r="E77" s="2" t="s">
        <v>681</v>
      </c>
      <c r="F77" s="13">
        <v>3</v>
      </c>
      <c r="G77" s="14">
        <v>0.33300000000000002</v>
      </c>
      <c r="H77" s="15">
        <v>5.7670000000000003</v>
      </c>
      <c r="I77" s="15">
        <v>0</v>
      </c>
      <c r="J77" s="15">
        <v>100</v>
      </c>
      <c r="K77" s="15">
        <v>1.79</v>
      </c>
      <c r="L77" s="13" t="s">
        <v>683</v>
      </c>
      <c r="M77" s="15">
        <v>0.88648648648648654</v>
      </c>
      <c r="N77" s="15">
        <v>0.77272727272727271</v>
      </c>
      <c r="O77" s="16">
        <v>4</v>
      </c>
      <c r="P77" s="16">
        <v>4</v>
      </c>
      <c r="Q77" s="16">
        <v>2</v>
      </c>
      <c r="R77" s="15">
        <v>4.0386259999999998</v>
      </c>
      <c r="S77" s="2" t="s">
        <v>692</v>
      </c>
      <c r="T77" s="2" t="s">
        <v>866</v>
      </c>
      <c r="U77" s="2" t="s">
        <v>1045</v>
      </c>
      <c r="V77" s="16">
        <v>4</v>
      </c>
      <c r="W77" s="16">
        <v>3</v>
      </c>
      <c r="X77" s="16" t="s">
        <v>27</v>
      </c>
      <c r="Y77" s="15">
        <v>4.0040866747813162</v>
      </c>
      <c r="Z77" s="15">
        <v>0.11351351351351346</v>
      </c>
      <c r="AA77" s="15">
        <v>0.22727272727272729</v>
      </c>
      <c r="AB77" s="17">
        <v>1</v>
      </c>
    </row>
    <row r="78" spans="1:28" x14ac:dyDescent="0.3">
      <c r="A78" s="1" t="s">
        <v>210</v>
      </c>
      <c r="B78" s="1">
        <v>326</v>
      </c>
      <c r="C78" s="1" t="s">
        <v>397</v>
      </c>
      <c r="D78" s="1" t="s">
        <v>397</v>
      </c>
      <c r="E78" s="1" t="s">
        <v>397</v>
      </c>
      <c r="F78" s="8">
        <v>0</v>
      </c>
      <c r="G78" s="9">
        <v>0.4</v>
      </c>
      <c r="H78" s="10">
        <v>6.6280000000000001</v>
      </c>
      <c r="I78" s="10">
        <v>0</v>
      </c>
      <c r="J78" s="10">
        <v>100</v>
      </c>
      <c r="K78" s="10">
        <v>1.71</v>
      </c>
      <c r="L78" s="8" t="s">
        <v>686</v>
      </c>
      <c r="M78" s="10">
        <v>0.88888888888888884</v>
      </c>
      <c r="N78" s="10">
        <v>0.93333333333333335</v>
      </c>
      <c r="O78" s="11">
        <v>6</v>
      </c>
      <c r="P78" s="11">
        <v>6</v>
      </c>
      <c r="Q78" s="11">
        <v>3</v>
      </c>
      <c r="R78" s="10">
        <v>3.8427920000000002</v>
      </c>
      <c r="S78" s="1" t="s">
        <v>692</v>
      </c>
      <c r="T78" s="1" t="s">
        <v>868</v>
      </c>
      <c r="U78" s="1" t="s">
        <v>1047</v>
      </c>
      <c r="V78" s="11">
        <v>6</v>
      </c>
      <c r="W78" s="11">
        <v>6</v>
      </c>
      <c r="X78" s="11" t="s">
        <v>29</v>
      </c>
      <c r="Y78" s="10">
        <v>4.2669785767548145</v>
      </c>
      <c r="Z78" s="10">
        <v>0.11111111111111116</v>
      </c>
      <c r="AA78" s="10">
        <v>6.6666666666666652E-2</v>
      </c>
      <c r="AB78" s="12">
        <v>1</v>
      </c>
    </row>
    <row r="79" spans="1:28" x14ac:dyDescent="0.3">
      <c r="A79" s="2" t="s">
        <v>211</v>
      </c>
      <c r="B79" s="2">
        <v>601</v>
      </c>
      <c r="C79" s="2" t="s">
        <v>398</v>
      </c>
      <c r="D79" s="2" t="s">
        <v>398</v>
      </c>
      <c r="E79" s="2" t="s">
        <v>398</v>
      </c>
      <c r="F79" s="13">
        <v>0</v>
      </c>
      <c r="G79" s="18">
        <v>0.75</v>
      </c>
      <c r="H79" s="15">
        <v>0</v>
      </c>
      <c r="I79" s="15">
        <v>0</v>
      </c>
      <c r="J79" s="15">
        <v>100</v>
      </c>
      <c r="K79" s="15">
        <v>3.07</v>
      </c>
      <c r="L79" s="13" t="s">
        <v>688</v>
      </c>
      <c r="M79" s="15">
        <v>0.91428571428571426</v>
      </c>
      <c r="N79" s="15">
        <v>1</v>
      </c>
      <c r="O79" s="16">
        <v>5</v>
      </c>
      <c r="P79" s="16">
        <v>5</v>
      </c>
      <c r="Q79" s="16">
        <v>3</v>
      </c>
      <c r="R79" s="15">
        <v>2.7646229999999998</v>
      </c>
      <c r="S79" s="2" t="s">
        <v>692</v>
      </c>
      <c r="T79" s="2" t="s">
        <v>398</v>
      </c>
      <c r="U79" s="2" t="s">
        <v>1048</v>
      </c>
      <c r="V79" s="16">
        <v>5</v>
      </c>
      <c r="W79" s="16">
        <v>5</v>
      </c>
      <c r="X79" s="16" t="s">
        <v>29</v>
      </c>
      <c r="Y79" s="15">
        <v>3.4971394362119455</v>
      </c>
      <c r="Z79" s="15">
        <v>8.5714285714285743E-2</v>
      </c>
      <c r="AA79" s="15">
        <v>0</v>
      </c>
      <c r="AB79" s="17">
        <v>0</v>
      </c>
    </row>
    <row r="80" spans="1:28" x14ac:dyDescent="0.3">
      <c r="A80" s="1" t="s">
        <v>212</v>
      </c>
      <c r="B80" s="1">
        <v>640</v>
      </c>
      <c r="C80" s="1" t="s">
        <v>399</v>
      </c>
      <c r="D80" s="1" t="s">
        <v>559</v>
      </c>
      <c r="E80" s="1" t="s">
        <v>559</v>
      </c>
      <c r="F80" s="8">
        <v>2</v>
      </c>
      <c r="G80" s="9">
        <v>0.4</v>
      </c>
      <c r="H80" s="10">
        <v>6.5090000000000003</v>
      </c>
      <c r="I80" s="10">
        <v>0</v>
      </c>
      <c r="J80" s="10">
        <v>100</v>
      </c>
      <c r="K80" s="10">
        <v>2.676767677</v>
      </c>
      <c r="L80" s="8" t="s">
        <v>690</v>
      </c>
      <c r="M80" s="10">
        <v>0.92352941176470593</v>
      </c>
      <c r="N80" s="10">
        <v>1</v>
      </c>
      <c r="O80" s="11">
        <v>6</v>
      </c>
      <c r="P80" s="11">
        <v>6</v>
      </c>
      <c r="Q80" s="11">
        <v>2</v>
      </c>
      <c r="R80" s="10">
        <v>3.2751980000000001</v>
      </c>
      <c r="S80" s="1" t="s">
        <v>692</v>
      </c>
      <c r="T80" s="1" t="s">
        <v>399</v>
      </c>
      <c r="U80" s="1" t="s">
        <v>1049</v>
      </c>
      <c r="V80" s="11">
        <v>6</v>
      </c>
      <c r="W80" s="11">
        <v>6</v>
      </c>
      <c r="X80" s="11" t="s">
        <v>28</v>
      </c>
      <c r="Y80" s="10">
        <v>3.3537471228517028</v>
      </c>
      <c r="Z80" s="10">
        <v>7.6470588235294068E-2</v>
      </c>
      <c r="AA80" s="10">
        <v>0</v>
      </c>
      <c r="AB80" s="12">
        <v>0</v>
      </c>
    </row>
    <row r="81" spans="1:28" x14ac:dyDescent="0.3">
      <c r="A81" s="2" t="s">
        <v>213</v>
      </c>
      <c r="B81" s="2">
        <v>114</v>
      </c>
      <c r="C81" s="2" t="s">
        <v>400</v>
      </c>
      <c r="D81" s="2" t="s">
        <v>560</v>
      </c>
      <c r="E81" s="2" t="s">
        <v>400</v>
      </c>
      <c r="F81" s="13">
        <v>0</v>
      </c>
      <c r="G81" s="18">
        <v>0.5</v>
      </c>
      <c r="H81" s="15">
        <v>5.3330000000000002</v>
      </c>
      <c r="I81" s="15">
        <v>0.141440543</v>
      </c>
      <c r="J81" s="15">
        <v>98</v>
      </c>
      <c r="K81" s="15">
        <v>2.91</v>
      </c>
      <c r="L81" s="13" t="s">
        <v>686</v>
      </c>
      <c r="M81" s="15">
        <v>0.94117647058823528</v>
      </c>
      <c r="N81" s="15">
        <v>0.88888888888888884</v>
      </c>
      <c r="O81" s="16">
        <v>5</v>
      </c>
      <c r="P81" s="16">
        <v>5</v>
      </c>
      <c r="Q81" s="16">
        <v>2</v>
      </c>
      <c r="R81" s="15">
        <v>4.1426049999999996</v>
      </c>
      <c r="S81" s="2" t="s">
        <v>692</v>
      </c>
      <c r="T81" s="2" t="s">
        <v>869</v>
      </c>
      <c r="U81" s="2" t="s">
        <v>1050</v>
      </c>
      <c r="V81" s="16">
        <v>5</v>
      </c>
      <c r="W81" s="16">
        <v>4</v>
      </c>
      <c r="X81" s="16" t="s">
        <v>27</v>
      </c>
      <c r="Y81" s="15">
        <v>4.7258494789021839</v>
      </c>
      <c r="Z81" s="15">
        <v>5.8823529411764719E-2</v>
      </c>
      <c r="AA81" s="15">
        <v>0.11111111111111116</v>
      </c>
      <c r="AB81" s="17">
        <v>2</v>
      </c>
    </row>
    <row r="82" spans="1:28" x14ac:dyDescent="0.3">
      <c r="A82" s="1" t="s">
        <v>215</v>
      </c>
      <c r="B82" s="1">
        <v>489</v>
      </c>
      <c r="C82" s="1" t="s">
        <v>402</v>
      </c>
      <c r="D82" s="1" t="s">
        <v>561</v>
      </c>
      <c r="E82" s="1" t="s">
        <v>402</v>
      </c>
      <c r="F82" s="8">
        <v>0</v>
      </c>
      <c r="G82" s="9">
        <v>0.25</v>
      </c>
      <c r="H82" s="10">
        <v>0</v>
      </c>
      <c r="I82" s="10">
        <v>0</v>
      </c>
      <c r="J82" s="10">
        <v>100</v>
      </c>
      <c r="K82" s="10">
        <v>2.4300000000000002</v>
      </c>
      <c r="L82" s="8" t="s">
        <v>686</v>
      </c>
      <c r="M82" s="10">
        <v>0.97777777777777775</v>
      </c>
      <c r="N82" s="10">
        <v>1</v>
      </c>
      <c r="O82" s="11">
        <v>5</v>
      </c>
      <c r="P82" s="11">
        <v>5</v>
      </c>
      <c r="Q82" s="11">
        <v>3</v>
      </c>
      <c r="R82" s="10">
        <v>3.3410739999999999</v>
      </c>
      <c r="S82" s="1" t="s">
        <v>692</v>
      </c>
      <c r="T82" s="1" t="s">
        <v>402</v>
      </c>
      <c r="U82" s="1" t="s">
        <v>1052</v>
      </c>
      <c r="V82" s="11">
        <v>5</v>
      </c>
      <c r="W82" s="11">
        <v>5</v>
      </c>
      <c r="X82" s="11" t="s">
        <v>28</v>
      </c>
      <c r="Y82" s="10">
        <v>4.2516761640131016</v>
      </c>
      <c r="Z82" s="10">
        <v>2.2222222222222254E-2</v>
      </c>
      <c r="AA82" s="10">
        <v>0</v>
      </c>
      <c r="AB82" s="12">
        <v>0</v>
      </c>
    </row>
    <row r="83" spans="1:28" x14ac:dyDescent="0.3">
      <c r="A83" s="20" t="s">
        <v>216</v>
      </c>
      <c r="B83" s="20">
        <v>125</v>
      </c>
      <c r="C83" s="20" t="s">
        <v>403</v>
      </c>
      <c r="D83" s="20" t="s">
        <v>403</v>
      </c>
      <c r="E83" s="20" t="s">
        <v>403</v>
      </c>
      <c r="F83" s="21">
        <v>0</v>
      </c>
      <c r="G83" s="22">
        <v>0.66700000000000004</v>
      </c>
      <c r="H83" s="23">
        <v>0</v>
      </c>
      <c r="I83" s="23">
        <v>0</v>
      </c>
      <c r="J83" s="23">
        <v>100</v>
      </c>
      <c r="K83" s="23">
        <v>2.31</v>
      </c>
      <c r="L83" s="21" t="s">
        <v>686</v>
      </c>
      <c r="M83" s="23">
        <v>1</v>
      </c>
      <c r="N83" s="23">
        <v>1</v>
      </c>
      <c r="O83" s="24">
        <v>4</v>
      </c>
      <c r="P83" s="24">
        <v>4</v>
      </c>
      <c r="Q83" s="24">
        <v>3</v>
      </c>
      <c r="R83" s="23">
        <v>2.6731379999999998</v>
      </c>
      <c r="S83" s="20" t="s">
        <v>692</v>
      </c>
      <c r="T83" s="20" t="s">
        <v>403</v>
      </c>
      <c r="U83" s="20" t="s">
        <v>1053</v>
      </c>
      <c r="V83" s="24">
        <v>4</v>
      </c>
      <c r="W83" s="24">
        <v>4</v>
      </c>
      <c r="X83" s="24" t="s">
        <v>28</v>
      </c>
      <c r="Y83" s="23">
        <v>3.2743749361626628</v>
      </c>
      <c r="Z83" s="23">
        <v>0</v>
      </c>
      <c r="AA83" s="23">
        <v>0</v>
      </c>
      <c r="AB83" s="25">
        <v>0</v>
      </c>
    </row>
    <row r="84" spans="1:28" x14ac:dyDescent="0.3">
      <c r="A84" s="20" t="s">
        <v>51</v>
      </c>
      <c r="B84" s="20">
        <v>389</v>
      </c>
      <c r="C84" s="20" t="s">
        <v>238</v>
      </c>
      <c r="D84" s="20" t="s">
        <v>238</v>
      </c>
      <c r="E84" s="20" t="s">
        <v>714</v>
      </c>
      <c r="F84" s="23">
        <v>0.30000000000000004</v>
      </c>
      <c r="G84" s="6">
        <v>0.3214285714285714</v>
      </c>
      <c r="H84" s="23" t="s">
        <v>238</v>
      </c>
      <c r="I84" s="23">
        <v>0</v>
      </c>
      <c r="J84" s="23">
        <v>0.8</v>
      </c>
      <c r="K84" s="23">
        <v>6.5780000000000003</v>
      </c>
      <c r="L84" s="23">
        <v>0</v>
      </c>
      <c r="M84" s="23">
        <v>100</v>
      </c>
      <c r="N84" s="23">
        <v>2.56</v>
      </c>
      <c r="O84" s="24" t="s">
        <v>683</v>
      </c>
      <c r="P84" s="24">
        <v>6</v>
      </c>
      <c r="Q84" s="24">
        <v>6</v>
      </c>
      <c r="R84" s="23">
        <v>3</v>
      </c>
      <c r="S84" s="23">
        <v>4.2820330000000002</v>
      </c>
      <c r="T84" s="20" t="s">
        <v>691</v>
      </c>
      <c r="U84" s="20" t="s">
        <v>891</v>
      </c>
      <c r="V84" s="24">
        <v>6</v>
      </c>
      <c r="W84" s="24">
        <v>6</v>
      </c>
      <c r="X84" s="24" t="s">
        <v>28</v>
      </c>
      <c r="Y84" s="23">
        <v>3.7218602429400405</v>
      </c>
      <c r="Z84" s="23">
        <v>0.7</v>
      </c>
      <c r="AA84" s="23">
        <v>0.6785714285714286</v>
      </c>
      <c r="AB84" s="25">
        <v>5</v>
      </c>
    </row>
    <row r="85" spans="1:28" x14ac:dyDescent="0.3">
      <c r="A85" s="20" t="s">
        <v>64</v>
      </c>
      <c r="B85" s="20">
        <v>95</v>
      </c>
      <c r="C85" s="20" t="s">
        <v>251</v>
      </c>
      <c r="D85" s="20" t="s">
        <v>251</v>
      </c>
      <c r="E85" s="20" t="s">
        <v>727</v>
      </c>
      <c r="F85" s="23">
        <v>0.34285714285714286</v>
      </c>
      <c r="G85" s="6">
        <v>0.38285714285714278</v>
      </c>
      <c r="H85" s="23" t="s">
        <v>251</v>
      </c>
      <c r="I85" s="23">
        <v>0</v>
      </c>
      <c r="J85" s="23">
        <v>0.6</v>
      </c>
      <c r="K85" s="23">
        <v>4.87</v>
      </c>
      <c r="L85" s="23">
        <v>0</v>
      </c>
      <c r="M85" s="23">
        <v>100</v>
      </c>
      <c r="N85" s="23">
        <v>2.1</v>
      </c>
      <c r="O85" s="24" t="s">
        <v>683</v>
      </c>
      <c r="P85" s="24">
        <v>6</v>
      </c>
      <c r="Q85" s="24">
        <v>6</v>
      </c>
      <c r="R85" s="23">
        <v>3</v>
      </c>
      <c r="S85" s="23">
        <v>3.6456279999999999</v>
      </c>
      <c r="T85" s="20" t="s">
        <v>691</v>
      </c>
      <c r="U85" s="20" t="s">
        <v>904</v>
      </c>
      <c r="V85" s="24">
        <v>8</v>
      </c>
      <c r="W85" s="24">
        <v>6</v>
      </c>
      <c r="X85" s="24" t="s">
        <v>28</v>
      </c>
      <c r="Y85" s="23">
        <v>3.7842261963769865</v>
      </c>
      <c r="Z85" s="23">
        <v>0.65714285714285714</v>
      </c>
      <c r="AA85" s="23">
        <v>0.61714285714285722</v>
      </c>
      <c r="AB85" s="25">
        <v>7</v>
      </c>
    </row>
    <row r="86" spans="1:28" x14ac:dyDescent="0.3">
      <c r="A86" s="20" t="s">
        <v>103</v>
      </c>
      <c r="B86" s="20">
        <v>523</v>
      </c>
      <c r="C86" s="20" t="s">
        <v>290</v>
      </c>
      <c r="D86" s="20" t="s">
        <v>470</v>
      </c>
      <c r="E86" s="20" t="s">
        <v>764</v>
      </c>
      <c r="F86" s="23">
        <v>0.4375</v>
      </c>
      <c r="G86" s="6">
        <v>0.32558139534883723</v>
      </c>
      <c r="H86" s="23" t="s">
        <v>1065</v>
      </c>
      <c r="I86" s="23">
        <v>1</v>
      </c>
      <c r="J86" s="23">
        <v>0.5</v>
      </c>
      <c r="K86" s="23">
        <v>5.7119999999999997</v>
      </c>
      <c r="L86" s="23">
        <v>0</v>
      </c>
      <c r="M86" s="23">
        <v>100</v>
      </c>
      <c r="N86" s="23">
        <v>2.02</v>
      </c>
      <c r="O86" s="24" t="s">
        <v>683</v>
      </c>
      <c r="P86" s="24">
        <v>5</v>
      </c>
      <c r="Q86" s="24">
        <v>5</v>
      </c>
      <c r="R86" s="23">
        <v>2</v>
      </c>
      <c r="S86" s="23">
        <v>4.2192550000000004</v>
      </c>
      <c r="T86" s="20" t="e">
        <v>#N/A</v>
      </c>
      <c r="U86" s="20" t="s">
        <v>941</v>
      </c>
      <c r="V86" s="24">
        <v>4</v>
      </c>
      <c r="W86" s="24">
        <v>3</v>
      </c>
      <c r="X86" s="24" t="s">
        <v>28</v>
      </c>
      <c r="Y86" s="23">
        <v>4.287912483590457</v>
      </c>
      <c r="Z86" s="23">
        <v>0.5625</v>
      </c>
      <c r="AA86" s="23">
        <v>0.67441860465116277</v>
      </c>
      <c r="AB86" s="25">
        <v>4</v>
      </c>
    </row>
    <row r="87" spans="1:28" x14ac:dyDescent="0.3">
      <c r="A87" s="20" t="s">
        <v>106</v>
      </c>
      <c r="B87" s="20">
        <v>518</v>
      </c>
      <c r="C87" s="20" t="s">
        <v>293</v>
      </c>
      <c r="D87" s="20" t="s">
        <v>473</v>
      </c>
      <c r="E87" s="20" t="s">
        <v>767</v>
      </c>
      <c r="F87" s="23">
        <v>0.44545454545454544</v>
      </c>
      <c r="G87" s="6">
        <v>0.35294117647058831</v>
      </c>
      <c r="H87" s="23" t="s">
        <v>473</v>
      </c>
      <c r="I87" s="23">
        <v>1</v>
      </c>
      <c r="J87" s="23">
        <v>0.66700000000000004</v>
      </c>
      <c r="K87" s="23">
        <v>6.3879999999999999</v>
      </c>
      <c r="L87" s="23">
        <v>0.141440543</v>
      </c>
      <c r="M87" s="23">
        <v>98</v>
      </c>
      <c r="N87" s="23">
        <v>1.64</v>
      </c>
      <c r="O87" s="24" t="s">
        <v>683</v>
      </c>
      <c r="P87" s="24">
        <v>4</v>
      </c>
      <c r="Q87" s="24">
        <v>4</v>
      </c>
      <c r="R87" s="23">
        <v>3</v>
      </c>
      <c r="S87" s="23">
        <v>5.0708140000000004</v>
      </c>
      <c r="T87" s="20" t="s">
        <v>691</v>
      </c>
      <c r="U87" s="20" t="s">
        <v>944</v>
      </c>
      <c r="V87" s="24">
        <v>5</v>
      </c>
      <c r="W87" s="24">
        <v>4</v>
      </c>
      <c r="X87" s="24" t="s">
        <v>27</v>
      </c>
      <c r="Y87" s="23">
        <v>4.9188940686549341</v>
      </c>
      <c r="Z87" s="23">
        <v>0.55454545454545456</v>
      </c>
      <c r="AA87" s="23">
        <v>0.64705882352941169</v>
      </c>
      <c r="AB87" s="25">
        <v>5</v>
      </c>
    </row>
    <row r="88" spans="1:28" x14ac:dyDescent="0.3">
      <c r="A88" s="20" t="s">
        <v>49</v>
      </c>
      <c r="B88" s="20">
        <v>495</v>
      </c>
      <c r="C88" s="20" t="s">
        <v>236</v>
      </c>
      <c r="D88" s="20" t="s">
        <v>422</v>
      </c>
      <c r="E88" s="20" t="s">
        <v>712</v>
      </c>
      <c r="F88" s="23">
        <v>0.29600000000000004</v>
      </c>
      <c r="G88" s="6">
        <v>0.4716417910447761</v>
      </c>
      <c r="H88" s="23" t="s">
        <v>1073</v>
      </c>
      <c r="I88" s="23">
        <v>3</v>
      </c>
      <c r="J88" s="23">
        <v>0.4</v>
      </c>
      <c r="K88" s="23">
        <v>6.1260000000000003</v>
      </c>
      <c r="L88" s="23">
        <v>0.195909271</v>
      </c>
      <c r="M88" s="23">
        <v>96.969696970000001</v>
      </c>
      <c r="N88" s="23">
        <v>3.59</v>
      </c>
      <c r="O88" s="24" t="s">
        <v>684</v>
      </c>
      <c r="P88" s="24">
        <v>6</v>
      </c>
      <c r="Q88" s="24">
        <v>6</v>
      </c>
      <c r="R88" s="23">
        <v>3</v>
      </c>
      <c r="S88" s="23">
        <v>5.0618270000000001</v>
      </c>
      <c r="T88" s="20" t="e">
        <v>#N/A</v>
      </c>
      <c r="U88" s="20" t="s">
        <v>889</v>
      </c>
      <c r="V88" s="24">
        <v>7</v>
      </c>
      <c r="W88" s="24">
        <v>6</v>
      </c>
      <c r="X88" s="24" t="s">
        <v>28</v>
      </c>
      <c r="Y88" s="23">
        <v>4.1243563988665297</v>
      </c>
      <c r="Z88" s="23">
        <v>0.70399999999999996</v>
      </c>
      <c r="AA88" s="23">
        <v>0.5283582089552239</v>
      </c>
      <c r="AB88" s="25">
        <v>6</v>
      </c>
    </row>
    <row r="89" spans="1:28" x14ac:dyDescent="0.3">
      <c r="A89" s="20" t="s">
        <v>105</v>
      </c>
      <c r="B89" s="20">
        <v>596</v>
      </c>
      <c r="C89" s="20" t="s">
        <v>292</v>
      </c>
      <c r="D89" s="20" t="s">
        <v>472</v>
      </c>
      <c r="E89" s="20" t="s">
        <v>766</v>
      </c>
      <c r="F89" s="23">
        <v>0.44179104477611941</v>
      </c>
      <c r="G89" s="6">
        <v>0.38309859154929571</v>
      </c>
      <c r="H89" s="23" t="s">
        <v>1074</v>
      </c>
      <c r="I89" s="23">
        <v>1</v>
      </c>
      <c r="J89" s="23">
        <v>0.33300000000000002</v>
      </c>
      <c r="K89" s="23">
        <v>6.4690000000000003</v>
      </c>
      <c r="L89" s="23">
        <v>0.194391858</v>
      </c>
      <c r="M89" s="23">
        <v>97</v>
      </c>
      <c r="N89" s="23">
        <v>1.63</v>
      </c>
      <c r="O89" s="24" t="s">
        <v>683</v>
      </c>
      <c r="P89" s="24">
        <v>7</v>
      </c>
      <c r="Q89" s="24">
        <v>7</v>
      </c>
      <c r="R89" s="23">
        <v>2</v>
      </c>
      <c r="S89" s="23">
        <v>3.4093969999999998</v>
      </c>
      <c r="T89" s="20" t="s">
        <v>691</v>
      </c>
      <c r="U89" s="20" t="s">
        <v>943</v>
      </c>
      <c r="V89" s="24">
        <v>6</v>
      </c>
      <c r="W89" s="24">
        <v>5</v>
      </c>
      <c r="X89" s="24" t="s">
        <v>28</v>
      </c>
      <c r="Y89" s="23">
        <v>2.9437089925563971</v>
      </c>
      <c r="Z89" s="23">
        <v>0.55820895522388059</v>
      </c>
      <c r="AA89" s="23">
        <v>0.61690140845070429</v>
      </c>
      <c r="AB89" s="25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workbookViewId="0">
      <selection activeCell="E25" sqref="E25"/>
    </sheetView>
  </sheetViews>
  <sheetFormatPr defaultRowHeight="14.4" x14ac:dyDescent="0.3"/>
  <cols>
    <col min="1" max="1" width="12" customWidth="1"/>
    <col min="3" max="3" width="9.44140625" customWidth="1"/>
    <col min="5" max="5" width="19" customWidth="1"/>
    <col min="6" max="6" width="20.109375" customWidth="1"/>
    <col min="7" max="7" width="20.88671875" customWidth="1"/>
    <col min="8" max="8" width="16.33203125" customWidth="1"/>
    <col min="9" max="9" width="12.88671875" customWidth="1"/>
    <col min="10" max="10" width="21.33203125" customWidth="1"/>
    <col min="11" max="11" width="21.44140625" customWidth="1"/>
    <col min="12" max="12" width="19" customWidth="1"/>
    <col min="13" max="13" width="19.5546875" customWidth="1"/>
    <col min="14" max="14" width="18.88671875" customWidth="1"/>
    <col min="15" max="15" width="18.6640625" customWidth="1"/>
    <col min="16" max="16" width="18.33203125" customWidth="1"/>
    <col min="17" max="17" width="16.6640625" customWidth="1"/>
    <col min="18" max="18" width="13.6640625" customWidth="1"/>
    <col min="19" max="19" width="9.44140625" customWidth="1"/>
    <col min="21" max="21" width="10.33203125" customWidth="1"/>
    <col min="22" max="22" width="20.33203125" customWidth="1"/>
    <col min="23" max="23" width="19.6640625" customWidth="1"/>
    <col min="24" max="24" width="18.109375" customWidth="1"/>
    <col min="25" max="25" width="15.109375" customWidth="1"/>
    <col min="26" max="26" width="16.109375" customWidth="1"/>
    <col min="27" max="27" width="15.44140625" customWidth="1"/>
    <col min="28" max="28" width="19.88671875" customWidth="1"/>
  </cols>
  <sheetData>
    <row r="1" spans="1:28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26</v>
      </c>
      <c r="G1" s="27" t="s">
        <v>5</v>
      </c>
      <c r="H1" s="27" t="s">
        <v>6</v>
      </c>
      <c r="I1" s="29" t="s">
        <v>7</v>
      </c>
      <c r="J1" s="27" t="s">
        <v>8</v>
      </c>
      <c r="K1" s="27" t="s">
        <v>9</v>
      </c>
      <c r="L1" s="28" t="s">
        <v>10</v>
      </c>
      <c r="M1" s="28" t="s">
        <v>11</v>
      </c>
      <c r="N1" s="28" t="s">
        <v>12</v>
      </c>
      <c r="O1" s="27" t="s">
        <v>13</v>
      </c>
      <c r="P1" s="27" t="s">
        <v>14</v>
      </c>
      <c r="Q1" s="27" t="s">
        <v>15</v>
      </c>
      <c r="R1" s="28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30" t="s">
        <v>1054</v>
      </c>
    </row>
    <row r="2" spans="1:28" x14ac:dyDescent="0.3">
      <c r="A2" s="1" t="s">
        <v>143</v>
      </c>
      <c r="B2" s="1">
        <v>159</v>
      </c>
      <c r="C2" s="1" t="s">
        <v>330</v>
      </c>
      <c r="D2" s="1" t="s">
        <v>504</v>
      </c>
      <c r="E2" s="1" t="s">
        <v>804</v>
      </c>
      <c r="F2" s="10">
        <v>0.55000000000000004</v>
      </c>
      <c r="G2" s="10">
        <v>0.84444444444444444</v>
      </c>
      <c r="H2" s="1" t="s">
        <v>644</v>
      </c>
      <c r="I2" s="8">
        <v>4</v>
      </c>
      <c r="J2" s="9">
        <v>0</v>
      </c>
      <c r="K2" s="10">
        <v>6.0549999999999997</v>
      </c>
      <c r="L2" s="10">
        <v>0</v>
      </c>
      <c r="M2" s="10">
        <v>100</v>
      </c>
      <c r="N2" s="10">
        <v>2.58</v>
      </c>
      <c r="O2" s="8" t="s">
        <v>687</v>
      </c>
      <c r="P2" s="11">
        <v>5</v>
      </c>
      <c r="Q2" s="11">
        <v>5</v>
      </c>
      <c r="R2" s="11">
        <v>2</v>
      </c>
      <c r="S2" s="10">
        <v>4.1443289999999999</v>
      </c>
      <c r="T2" s="1" t="e">
        <v>#N/A</v>
      </c>
      <c r="U2" s="1" t="s">
        <v>981</v>
      </c>
      <c r="V2" s="11">
        <v>5</v>
      </c>
      <c r="W2" s="11">
        <v>4</v>
      </c>
      <c r="X2" s="11" t="s">
        <v>27</v>
      </c>
      <c r="Y2" s="10">
        <v>3.9792630910562838</v>
      </c>
      <c r="Z2" s="10">
        <v>0.44999999999999996</v>
      </c>
      <c r="AA2" s="10">
        <v>0.15555555555555556</v>
      </c>
      <c r="AB2" s="12">
        <v>3</v>
      </c>
    </row>
    <row r="3" spans="1:28" x14ac:dyDescent="0.3">
      <c r="A3" s="2" t="s">
        <v>148</v>
      </c>
      <c r="B3" s="2">
        <v>187</v>
      </c>
      <c r="C3" s="2" t="s">
        <v>335</v>
      </c>
      <c r="D3" s="2" t="s">
        <v>509</v>
      </c>
      <c r="E3" s="2" t="s">
        <v>809</v>
      </c>
      <c r="F3" s="15">
        <v>0.56000000000000005</v>
      </c>
      <c r="G3" s="15">
        <v>0.61599999999999999</v>
      </c>
      <c r="H3" s="2" t="s">
        <v>647</v>
      </c>
      <c r="I3" s="13">
        <v>5</v>
      </c>
      <c r="J3" s="18">
        <v>0.4</v>
      </c>
      <c r="K3" s="15">
        <v>6.1879999999999997</v>
      </c>
      <c r="L3" s="15">
        <v>0.44569317800000002</v>
      </c>
      <c r="M3" s="15">
        <v>90.721649479999996</v>
      </c>
      <c r="N3" s="15">
        <v>3.23</v>
      </c>
      <c r="O3" s="13" t="s">
        <v>684</v>
      </c>
      <c r="P3" s="16">
        <v>6</v>
      </c>
      <c r="Q3" s="16">
        <v>6</v>
      </c>
      <c r="R3" s="16">
        <v>3</v>
      </c>
      <c r="S3" s="15">
        <v>5.8179309999999997</v>
      </c>
      <c r="T3" s="2" t="e">
        <v>#N/A</v>
      </c>
      <c r="U3" s="2" t="s">
        <v>986</v>
      </c>
      <c r="V3" s="16">
        <v>4</v>
      </c>
      <c r="W3" s="16">
        <v>4</v>
      </c>
      <c r="X3" s="16" t="s">
        <v>28</v>
      </c>
      <c r="Y3" s="15">
        <v>5.3974245716235449</v>
      </c>
      <c r="Z3" s="15">
        <v>0.43999999999999995</v>
      </c>
      <c r="AA3" s="15">
        <v>0.38400000000000001</v>
      </c>
      <c r="AB3" s="17">
        <v>4</v>
      </c>
    </row>
    <row r="4" spans="1:28" x14ac:dyDescent="0.3">
      <c r="A4" s="1" t="s">
        <v>149</v>
      </c>
      <c r="B4" s="1">
        <v>466</v>
      </c>
      <c r="C4" s="1" t="s">
        <v>336</v>
      </c>
      <c r="D4" s="1" t="s">
        <v>510</v>
      </c>
      <c r="E4" s="1" t="s">
        <v>810</v>
      </c>
      <c r="F4" s="10">
        <v>0.56216216216216219</v>
      </c>
      <c r="G4" s="10">
        <v>0.5641025641025641</v>
      </c>
      <c r="H4" s="1" t="s">
        <v>648</v>
      </c>
      <c r="I4" s="8">
        <v>6</v>
      </c>
      <c r="J4" s="19">
        <v>0.33300000000000002</v>
      </c>
      <c r="K4" s="10">
        <v>5.9630000000000001</v>
      </c>
      <c r="L4" s="10">
        <v>0</v>
      </c>
      <c r="M4" s="10">
        <v>100</v>
      </c>
      <c r="N4" s="10">
        <v>2.93</v>
      </c>
      <c r="O4" s="8" t="s">
        <v>689</v>
      </c>
      <c r="P4" s="11">
        <v>4</v>
      </c>
      <c r="Q4" s="11">
        <v>4</v>
      </c>
      <c r="R4" s="11">
        <v>3</v>
      </c>
      <c r="S4" s="10">
        <v>4.9144439999999996</v>
      </c>
      <c r="T4" s="1" t="e">
        <v>#N/A</v>
      </c>
      <c r="U4" s="1" t="s">
        <v>987</v>
      </c>
      <c r="V4" s="11">
        <v>5</v>
      </c>
      <c r="W4" s="11">
        <v>3</v>
      </c>
      <c r="X4" s="11" t="s">
        <v>27</v>
      </c>
      <c r="Y4" s="10">
        <v>4.6861633846798538</v>
      </c>
      <c r="Z4" s="10">
        <v>0.43783783783783781</v>
      </c>
      <c r="AA4" s="10">
        <v>0.4358974358974359</v>
      </c>
      <c r="AB4" s="12">
        <v>3</v>
      </c>
    </row>
    <row r="5" spans="1:28" x14ac:dyDescent="0.3">
      <c r="A5" s="1" t="s">
        <v>153</v>
      </c>
      <c r="B5" s="1">
        <v>123</v>
      </c>
      <c r="C5" s="1" t="s">
        <v>340</v>
      </c>
      <c r="D5" s="1" t="s">
        <v>513</v>
      </c>
      <c r="E5" s="1" t="s">
        <v>814</v>
      </c>
      <c r="F5" s="10">
        <v>0.57272727272727275</v>
      </c>
      <c r="G5" s="10">
        <v>0.86274509803921573</v>
      </c>
      <c r="H5" s="1" t="e">
        <v>#N/A</v>
      </c>
      <c r="I5" s="8" t="e">
        <v>#N/A</v>
      </c>
      <c r="J5" s="9">
        <v>0.25</v>
      </c>
      <c r="K5" s="10">
        <v>6.2679999999999998</v>
      </c>
      <c r="L5" s="10">
        <v>0.20995735800000001</v>
      </c>
      <c r="M5" s="10">
        <v>95.959595960000001</v>
      </c>
      <c r="N5" s="10">
        <v>1.81</v>
      </c>
      <c r="O5" s="8" t="s">
        <v>683</v>
      </c>
      <c r="P5" s="11">
        <v>5</v>
      </c>
      <c r="Q5" s="11">
        <v>5</v>
      </c>
      <c r="R5" s="11">
        <v>3</v>
      </c>
      <c r="S5" s="10">
        <v>3.2811469999999998</v>
      </c>
      <c r="T5" s="1" t="e">
        <v>#N/A</v>
      </c>
      <c r="U5" s="1" t="s">
        <v>991</v>
      </c>
      <c r="V5" s="11">
        <v>4</v>
      </c>
      <c r="W5" s="11">
        <v>3</v>
      </c>
      <c r="X5" s="11" t="s">
        <v>27</v>
      </c>
      <c r="Y5" s="10">
        <v>3.9147960586434518</v>
      </c>
      <c r="Z5" s="10">
        <v>0.42727272727272725</v>
      </c>
      <c r="AA5" s="10">
        <v>0.13725490196078427</v>
      </c>
      <c r="AB5" s="12">
        <v>2</v>
      </c>
    </row>
    <row r="6" spans="1:28" x14ac:dyDescent="0.3">
      <c r="A6" s="2" t="s">
        <v>166</v>
      </c>
      <c r="B6" s="2">
        <v>695</v>
      </c>
      <c r="C6" s="2" t="s">
        <v>353</v>
      </c>
      <c r="D6" s="2" t="s">
        <v>525</v>
      </c>
      <c r="E6" s="2" t="s">
        <v>826</v>
      </c>
      <c r="F6" s="15">
        <v>0.63124999999999998</v>
      </c>
      <c r="G6" s="15">
        <v>0.64761904761904765</v>
      </c>
      <c r="H6" s="2" t="e">
        <v>#N/A</v>
      </c>
      <c r="I6" s="13" t="e">
        <v>#N/A</v>
      </c>
      <c r="J6" s="18">
        <v>0.5</v>
      </c>
      <c r="K6" s="15">
        <v>6.0510000000000002</v>
      </c>
      <c r="L6" s="15">
        <v>0</v>
      </c>
      <c r="M6" s="15">
        <v>100</v>
      </c>
      <c r="N6" s="15">
        <v>2.17</v>
      </c>
      <c r="O6" s="13" t="s">
        <v>686</v>
      </c>
      <c r="P6" s="16">
        <v>7</v>
      </c>
      <c r="Q6" s="16">
        <v>7</v>
      </c>
      <c r="R6" s="16">
        <v>3</v>
      </c>
      <c r="S6" s="15">
        <v>4.1749049999999999</v>
      </c>
      <c r="T6" s="2" t="s">
        <v>692</v>
      </c>
      <c r="U6" s="2" t="s">
        <v>1003</v>
      </c>
      <c r="V6" s="16">
        <v>6</v>
      </c>
      <c r="W6" s="16">
        <v>5</v>
      </c>
      <c r="X6" s="16" t="s">
        <v>28</v>
      </c>
      <c r="Y6" s="15">
        <v>4.6444909063628597</v>
      </c>
      <c r="Z6" s="15">
        <v>0.36875000000000002</v>
      </c>
      <c r="AA6" s="15">
        <v>0.35238095238095235</v>
      </c>
      <c r="AB6" s="17">
        <v>4</v>
      </c>
    </row>
    <row r="7" spans="1:28" x14ac:dyDescent="0.3">
      <c r="A7" s="1" t="s">
        <v>168</v>
      </c>
      <c r="B7" s="1">
        <v>445</v>
      </c>
      <c r="C7" s="1" t="s">
        <v>355</v>
      </c>
      <c r="D7" s="1" t="s">
        <v>527</v>
      </c>
      <c r="E7" s="1" t="s">
        <v>827</v>
      </c>
      <c r="F7" s="10">
        <v>0.63636363636363635</v>
      </c>
      <c r="G7" s="10">
        <v>0.65454545454545454</v>
      </c>
      <c r="H7" s="1" t="e">
        <v>#N/A</v>
      </c>
      <c r="I7" s="8" t="e">
        <v>#N/A</v>
      </c>
      <c r="J7" s="19">
        <v>0.66700000000000004</v>
      </c>
      <c r="K7" s="10">
        <v>6.33</v>
      </c>
      <c r="L7" s="10">
        <v>0</v>
      </c>
      <c r="M7" s="10">
        <v>100</v>
      </c>
      <c r="N7" s="10">
        <v>2.63</v>
      </c>
      <c r="O7" s="8" t="s">
        <v>683</v>
      </c>
      <c r="P7" s="11">
        <v>4</v>
      </c>
      <c r="Q7" s="11">
        <v>4</v>
      </c>
      <c r="R7" s="11">
        <v>3</v>
      </c>
      <c r="S7" s="10">
        <v>4.2613519999999996</v>
      </c>
      <c r="T7" s="1" t="s">
        <v>692</v>
      </c>
      <c r="U7" s="1" t="s">
        <v>1005</v>
      </c>
      <c r="V7" s="11">
        <v>4</v>
      </c>
      <c r="W7" s="11">
        <v>4</v>
      </c>
      <c r="X7" s="11" t="s">
        <v>27</v>
      </c>
      <c r="Y7" s="10">
        <v>4.4028799145370359</v>
      </c>
      <c r="Z7" s="10">
        <v>0.36363636363636365</v>
      </c>
      <c r="AA7" s="10">
        <v>0.34545454545454546</v>
      </c>
      <c r="AB7" s="12">
        <v>3</v>
      </c>
    </row>
    <row r="8" spans="1:28" x14ac:dyDescent="0.3">
      <c r="A8" s="2" t="s">
        <v>172</v>
      </c>
      <c r="B8" s="2">
        <v>100</v>
      </c>
      <c r="C8" s="2" t="s">
        <v>359</v>
      </c>
      <c r="D8" s="2" t="s">
        <v>531</v>
      </c>
      <c r="E8" s="2" t="s">
        <v>831</v>
      </c>
      <c r="F8" s="15">
        <v>0.65531914893617016</v>
      </c>
      <c r="G8" s="15">
        <v>0.55319148936170215</v>
      </c>
      <c r="H8" s="2" t="s">
        <v>664</v>
      </c>
      <c r="I8" s="13">
        <v>5</v>
      </c>
      <c r="J8" s="18">
        <v>0.75</v>
      </c>
      <c r="K8" s="15">
        <v>6.39</v>
      </c>
      <c r="L8" s="15">
        <v>0</v>
      </c>
      <c r="M8" s="15">
        <v>100</v>
      </c>
      <c r="N8" s="15">
        <v>1.61</v>
      </c>
      <c r="O8" s="13" t="s">
        <v>687</v>
      </c>
      <c r="P8" s="16">
        <v>5</v>
      </c>
      <c r="Q8" s="16">
        <v>5</v>
      </c>
      <c r="R8" s="16">
        <v>3</v>
      </c>
      <c r="S8" s="15">
        <v>4.3070940000000002</v>
      </c>
      <c r="T8" s="2" t="s">
        <v>692</v>
      </c>
      <c r="U8" s="2" t="s">
        <v>1009</v>
      </c>
      <c r="V8" s="16">
        <v>4</v>
      </c>
      <c r="W8" s="16">
        <v>3</v>
      </c>
      <c r="X8" s="16" t="s">
        <v>27</v>
      </c>
      <c r="Y8" s="15">
        <v>4.7184939204313601</v>
      </c>
      <c r="Z8" s="15">
        <v>0.34468085106382984</v>
      </c>
      <c r="AA8" s="15">
        <v>0.44680851063829785</v>
      </c>
      <c r="AB8" s="17">
        <v>4</v>
      </c>
    </row>
    <row r="9" spans="1:28" x14ac:dyDescent="0.3">
      <c r="A9" s="1" t="s">
        <v>179</v>
      </c>
      <c r="B9" s="1">
        <v>513</v>
      </c>
      <c r="C9" s="1" t="s">
        <v>366</v>
      </c>
      <c r="D9" s="1" t="s">
        <v>536</v>
      </c>
      <c r="E9" s="1" t="s">
        <v>838</v>
      </c>
      <c r="F9" s="10">
        <v>0.69787234042553192</v>
      </c>
      <c r="G9" s="10">
        <v>0.75555555555555554</v>
      </c>
      <c r="H9" s="1" t="s">
        <v>667</v>
      </c>
      <c r="I9" s="8">
        <v>7</v>
      </c>
      <c r="J9" s="9">
        <v>0.6</v>
      </c>
      <c r="K9" s="10">
        <v>0</v>
      </c>
      <c r="L9" s="10">
        <v>0.40217919000000002</v>
      </c>
      <c r="M9" s="10">
        <v>92</v>
      </c>
      <c r="N9" s="10">
        <v>2.04</v>
      </c>
      <c r="O9" s="8" t="s">
        <v>687</v>
      </c>
      <c r="P9" s="11">
        <v>6</v>
      </c>
      <c r="Q9" s="11">
        <v>6</v>
      </c>
      <c r="R9" s="11">
        <v>3</v>
      </c>
      <c r="S9" s="10">
        <v>4.5640790000000004</v>
      </c>
      <c r="T9" s="1" t="s">
        <v>692</v>
      </c>
      <c r="U9" s="1" t="s">
        <v>1016</v>
      </c>
      <c r="V9" s="11">
        <v>4</v>
      </c>
      <c r="W9" s="11">
        <v>4</v>
      </c>
      <c r="X9" s="11" t="s">
        <v>27</v>
      </c>
      <c r="Y9" s="10">
        <v>4.1250033926277592</v>
      </c>
      <c r="Z9" s="10">
        <v>0.30212765957446808</v>
      </c>
      <c r="AA9" s="10">
        <v>0.24444444444444446</v>
      </c>
      <c r="AB9" s="12">
        <v>3</v>
      </c>
    </row>
    <row r="10" spans="1:28" x14ac:dyDescent="0.3">
      <c r="A10" s="2" t="s">
        <v>184</v>
      </c>
      <c r="B10" s="2">
        <v>405</v>
      </c>
      <c r="C10" s="2" t="s">
        <v>371</v>
      </c>
      <c r="D10" s="2" t="s">
        <v>540</v>
      </c>
      <c r="E10" s="2" t="s">
        <v>842</v>
      </c>
      <c r="F10" s="15">
        <v>0.72340425531914898</v>
      </c>
      <c r="G10" s="15">
        <v>0.64262295081967213</v>
      </c>
      <c r="H10" s="2" t="s">
        <v>670</v>
      </c>
      <c r="I10" s="13">
        <v>4</v>
      </c>
      <c r="J10" s="18">
        <v>1</v>
      </c>
      <c r="K10" s="15">
        <v>5.7060000000000004</v>
      </c>
      <c r="L10" s="15">
        <v>0</v>
      </c>
      <c r="M10" s="15">
        <v>100</v>
      </c>
      <c r="N10" s="15">
        <v>2</v>
      </c>
      <c r="O10" s="13" t="s">
        <v>683</v>
      </c>
      <c r="P10" s="16">
        <v>5</v>
      </c>
      <c r="Q10" s="16">
        <v>5</v>
      </c>
      <c r="R10" s="16">
        <v>2</v>
      </c>
      <c r="S10" s="15">
        <v>3.3630279999999999</v>
      </c>
      <c r="T10" s="2" t="e">
        <v>#N/A</v>
      </c>
      <c r="U10" s="2" t="s">
        <v>1021</v>
      </c>
      <c r="V10" s="16">
        <v>6</v>
      </c>
      <c r="W10" s="16">
        <v>4</v>
      </c>
      <c r="X10" s="16" t="s">
        <v>28</v>
      </c>
      <c r="Y10" s="15">
        <v>3.6734593314834383</v>
      </c>
      <c r="Z10" s="15">
        <v>0.27659574468085102</v>
      </c>
      <c r="AA10" s="15">
        <v>0.35737704918032787</v>
      </c>
      <c r="AB10" s="17">
        <v>3</v>
      </c>
    </row>
    <row r="11" spans="1:28" x14ac:dyDescent="0.3">
      <c r="A11" s="1" t="s">
        <v>185</v>
      </c>
      <c r="B11" s="1">
        <v>465</v>
      </c>
      <c r="C11" s="1" t="s">
        <v>372</v>
      </c>
      <c r="D11" s="1" t="s">
        <v>541</v>
      </c>
      <c r="E11" s="1" t="s">
        <v>843</v>
      </c>
      <c r="F11" s="10">
        <v>0.72558139534883725</v>
      </c>
      <c r="G11" s="10">
        <v>0.60377358490566035</v>
      </c>
      <c r="H11" s="1" t="s">
        <v>671</v>
      </c>
      <c r="I11" s="8">
        <v>4</v>
      </c>
      <c r="J11" s="9">
        <v>0.6</v>
      </c>
      <c r="K11" s="10">
        <v>6.6150000000000002</v>
      </c>
      <c r="L11" s="10">
        <v>0.405020133</v>
      </c>
      <c r="M11" s="10">
        <v>91.919191920000003</v>
      </c>
      <c r="N11" s="10">
        <v>2.02</v>
      </c>
      <c r="O11" s="8" t="s">
        <v>683</v>
      </c>
      <c r="P11" s="11">
        <v>6</v>
      </c>
      <c r="Q11" s="11">
        <v>6</v>
      </c>
      <c r="R11" s="11">
        <v>3</v>
      </c>
      <c r="S11" s="10">
        <v>3.6041400000000001</v>
      </c>
      <c r="T11" s="1" t="e">
        <v>#N/A</v>
      </c>
      <c r="U11" s="1" t="s">
        <v>1022</v>
      </c>
      <c r="V11" s="11">
        <v>5</v>
      </c>
      <c r="W11" s="11">
        <v>3</v>
      </c>
      <c r="X11" s="11" t="s">
        <v>27</v>
      </c>
      <c r="Y11" s="10">
        <v>4.4875666738694271</v>
      </c>
      <c r="Z11" s="10">
        <v>0.27441860465116275</v>
      </c>
      <c r="AA11" s="10">
        <v>0.39622641509433965</v>
      </c>
      <c r="AB11" s="12">
        <v>6</v>
      </c>
    </row>
    <row r="12" spans="1:28" x14ac:dyDescent="0.3">
      <c r="A12" s="2" t="s">
        <v>186</v>
      </c>
      <c r="B12" s="2">
        <v>287</v>
      </c>
      <c r="C12" s="2" t="s">
        <v>373</v>
      </c>
      <c r="D12" s="2" t="s">
        <v>542</v>
      </c>
      <c r="E12" s="2" t="s">
        <v>844</v>
      </c>
      <c r="F12" s="15">
        <v>0.73</v>
      </c>
      <c r="G12" s="15">
        <v>0.85</v>
      </c>
      <c r="H12" s="2" t="e">
        <v>#N/A</v>
      </c>
      <c r="I12" s="13" t="e">
        <v>#N/A</v>
      </c>
      <c r="J12" s="14">
        <v>0.66700000000000004</v>
      </c>
      <c r="K12" s="15">
        <v>5.875</v>
      </c>
      <c r="L12" s="15">
        <v>0.33757642300000001</v>
      </c>
      <c r="M12" s="15">
        <v>94.949494950000002</v>
      </c>
      <c r="N12" s="15">
        <v>1.82</v>
      </c>
      <c r="O12" s="13" t="s">
        <v>687</v>
      </c>
      <c r="P12" s="16">
        <v>4</v>
      </c>
      <c r="Q12" s="16">
        <v>4</v>
      </c>
      <c r="R12" s="16">
        <v>2</v>
      </c>
      <c r="S12" s="15">
        <v>3.5967039999999999</v>
      </c>
      <c r="T12" s="2" t="s">
        <v>692</v>
      </c>
      <c r="U12" s="2" t="s">
        <v>1023</v>
      </c>
      <c r="V12" s="16">
        <v>4</v>
      </c>
      <c r="W12" s="16">
        <v>3</v>
      </c>
      <c r="X12" s="16" t="s">
        <v>27</v>
      </c>
      <c r="Y12" s="15">
        <v>3.5793971613482078</v>
      </c>
      <c r="Z12" s="15">
        <v>0.27</v>
      </c>
      <c r="AA12" s="15">
        <v>0.15000000000000002</v>
      </c>
      <c r="AB12" s="17">
        <v>2</v>
      </c>
    </row>
    <row r="13" spans="1:28" x14ac:dyDescent="0.3">
      <c r="A13" s="1" t="s">
        <v>188</v>
      </c>
      <c r="B13" s="1">
        <v>31</v>
      </c>
      <c r="C13" s="1" t="s">
        <v>375</v>
      </c>
      <c r="D13" s="1" t="s">
        <v>544</v>
      </c>
      <c r="E13" s="1" t="s">
        <v>846</v>
      </c>
      <c r="F13" s="10">
        <v>0.73207547169811316</v>
      </c>
      <c r="G13" s="10">
        <v>0.94736842105263153</v>
      </c>
      <c r="H13" s="1" t="e">
        <v>#N/A</v>
      </c>
      <c r="I13" s="8" t="e">
        <v>#N/A</v>
      </c>
      <c r="J13" s="9">
        <v>0.4</v>
      </c>
      <c r="K13" s="10">
        <v>5.5609999999999999</v>
      </c>
      <c r="L13" s="10">
        <v>0</v>
      </c>
      <c r="M13" s="10">
        <v>100</v>
      </c>
      <c r="N13" s="10">
        <v>3.32</v>
      </c>
      <c r="O13" s="8" t="s">
        <v>689</v>
      </c>
      <c r="P13" s="11">
        <v>6</v>
      </c>
      <c r="Q13" s="11">
        <v>6</v>
      </c>
      <c r="R13" s="11">
        <v>3</v>
      </c>
      <c r="S13" s="10">
        <v>3.764138</v>
      </c>
      <c r="T13" s="1" t="e">
        <v>#N/A</v>
      </c>
      <c r="U13" s="1" t="s">
        <v>1025</v>
      </c>
      <c r="V13" s="11">
        <v>5</v>
      </c>
      <c r="W13" s="11">
        <v>4</v>
      </c>
      <c r="X13" s="11" t="s">
        <v>28</v>
      </c>
      <c r="Y13" s="10">
        <v>3.5488252560464559</v>
      </c>
      <c r="Z13" s="10">
        <v>0.26792452830188684</v>
      </c>
      <c r="AA13" s="10">
        <v>5.2631578947368474E-2</v>
      </c>
      <c r="AB13" s="12">
        <v>1</v>
      </c>
    </row>
    <row r="14" spans="1:28" x14ac:dyDescent="0.3">
      <c r="A14" s="2" t="s">
        <v>191</v>
      </c>
      <c r="B14" s="2">
        <v>42</v>
      </c>
      <c r="C14" s="2" t="s">
        <v>378</v>
      </c>
      <c r="D14" s="2" t="s">
        <v>547</v>
      </c>
      <c r="E14" s="2" t="s">
        <v>849</v>
      </c>
      <c r="F14" s="15">
        <v>0.75151515151515147</v>
      </c>
      <c r="G14" s="15">
        <v>0.85</v>
      </c>
      <c r="H14" s="2" t="s">
        <v>674</v>
      </c>
      <c r="I14" s="13">
        <v>4</v>
      </c>
      <c r="J14" s="14">
        <v>0.33300000000000002</v>
      </c>
      <c r="K14" s="15">
        <v>5.548</v>
      </c>
      <c r="L14" s="15">
        <v>0</v>
      </c>
      <c r="M14" s="15">
        <v>100</v>
      </c>
      <c r="N14" s="15">
        <v>1.88</v>
      </c>
      <c r="O14" s="13" t="s">
        <v>686</v>
      </c>
      <c r="P14" s="16">
        <v>4</v>
      </c>
      <c r="Q14" s="16">
        <v>4</v>
      </c>
      <c r="R14" s="16">
        <v>3</v>
      </c>
      <c r="S14" s="15">
        <v>3.5491969999999999</v>
      </c>
      <c r="T14" s="2" t="s">
        <v>692</v>
      </c>
      <c r="U14" s="2" t="s">
        <v>1028</v>
      </c>
      <c r="V14" s="16">
        <v>4</v>
      </c>
      <c r="W14" s="16">
        <v>2</v>
      </c>
      <c r="X14" s="16" t="s">
        <v>27</v>
      </c>
      <c r="Y14" s="15">
        <v>3.826391075216621</v>
      </c>
      <c r="Z14" s="15">
        <v>0.24848484848484853</v>
      </c>
      <c r="AA14" s="15">
        <v>0.15000000000000002</v>
      </c>
      <c r="AB14" s="17">
        <v>2</v>
      </c>
    </row>
    <row r="15" spans="1:28" x14ac:dyDescent="0.3">
      <c r="A15" s="1" t="s">
        <v>192</v>
      </c>
      <c r="B15" s="1">
        <v>344</v>
      </c>
      <c r="C15" s="1" t="s">
        <v>379</v>
      </c>
      <c r="D15" s="1" t="s">
        <v>548</v>
      </c>
      <c r="E15" s="1" t="s">
        <v>850</v>
      </c>
      <c r="F15" s="10">
        <v>0.75820895522388054</v>
      </c>
      <c r="G15" s="10">
        <v>0.78285714285714281</v>
      </c>
      <c r="H15" s="1" t="e">
        <v>#N/A</v>
      </c>
      <c r="I15" s="8" t="e">
        <v>#N/A</v>
      </c>
      <c r="J15" s="9">
        <v>0.8</v>
      </c>
      <c r="K15" s="10">
        <v>6.524</v>
      </c>
      <c r="L15" s="10">
        <v>0</v>
      </c>
      <c r="M15" s="10">
        <v>100</v>
      </c>
      <c r="N15" s="10">
        <v>2.42</v>
      </c>
      <c r="O15" s="8" t="s">
        <v>684</v>
      </c>
      <c r="P15" s="11">
        <v>6</v>
      </c>
      <c r="Q15" s="11">
        <v>6</v>
      </c>
      <c r="R15" s="11">
        <v>2</v>
      </c>
      <c r="S15" s="10">
        <v>5.0532870000000001</v>
      </c>
      <c r="T15" s="1" t="s">
        <v>692</v>
      </c>
      <c r="U15" s="1" t="s">
        <v>1029</v>
      </c>
      <c r="V15" s="11">
        <v>8</v>
      </c>
      <c r="W15" s="11">
        <v>6</v>
      </c>
      <c r="X15" s="11" t="s">
        <v>28</v>
      </c>
      <c r="Y15" s="10">
        <v>3.671626862596383</v>
      </c>
      <c r="Z15" s="10">
        <v>0.24179104477611946</v>
      </c>
      <c r="AA15" s="10">
        <v>0.21714285714285719</v>
      </c>
      <c r="AB15" s="12">
        <v>5</v>
      </c>
    </row>
    <row r="16" spans="1:28" x14ac:dyDescent="0.3">
      <c r="A16" s="2" t="s">
        <v>194</v>
      </c>
      <c r="B16" s="2">
        <v>119</v>
      </c>
      <c r="C16" s="2" t="s">
        <v>381</v>
      </c>
      <c r="D16" s="2" t="s">
        <v>550</v>
      </c>
      <c r="E16" s="2" t="s">
        <v>852</v>
      </c>
      <c r="F16" s="15">
        <v>0.77837837837837842</v>
      </c>
      <c r="G16" s="15">
        <v>0.70270270270270274</v>
      </c>
      <c r="H16" s="2" t="e">
        <v>#N/A</v>
      </c>
      <c r="I16" s="13" t="e">
        <v>#N/A</v>
      </c>
      <c r="J16" s="14">
        <v>0.33300000000000002</v>
      </c>
      <c r="K16" s="15">
        <v>5.3090000000000002</v>
      </c>
      <c r="L16" s="15">
        <v>0</v>
      </c>
      <c r="M16" s="15">
        <v>100</v>
      </c>
      <c r="N16" s="15">
        <v>3.03</v>
      </c>
      <c r="O16" s="13" t="s">
        <v>686</v>
      </c>
      <c r="P16" s="16">
        <v>4</v>
      </c>
      <c r="Q16" s="16">
        <v>4</v>
      </c>
      <c r="R16" s="16">
        <v>3</v>
      </c>
      <c r="S16" s="15">
        <v>3.471765</v>
      </c>
      <c r="T16" s="2" t="s">
        <v>692</v>
      </c>
      <c r="U16" s="2" t="s">
        <v>1031</v>
      </c>
      <c r="V16" s="16">
        <v>3</v>
      </c>
      <c r="W16" s="16">
        <v>3</v>
      </c>
      <c r="X16" s="16" t="s">
        <v>27</v>
      </c>
      <c r="Y16" s="15">
        <v>3.9899814423327085</v>
      </c>
      <c r="Z16" s="15">
        <v>0.22162162162162158</v>
      </c>
      <c r="AA16" s="15">
        <v>0.29729729729729726</v>
      </c>
      <c r="AB16" s="17">
        <v>2</v>
      </c>
    </row>
    <row r="17" spans="1:28" x14ac:dyDescent="0.3">
      <c r="A17" s="1" t="s">
        <v>195</v>
      </c>
      <c r="B17" s="1">
        <v>37</v>
      </c>
      <c r="C17" s="1" t="s">
        <v>382</v>
      </c>
      <c r="D17" s="1" t="s">
        <v>382</v>
      </c>
      <c r="E17" s="1" t="s">
        <v>853</v>
      </c>
      <c r="F17" s="10">
        <v>0.78125</v>
      </c>
      <c r="G17" s="10">
        <v>0.69230769230769229</v>
      </c>
      <c r="H17" s="1" t="e">
        <v>#N/A</v>
      </c>
      <c r="I17" s="8" t="e">
        <v>#N/A</v>
      </c>
      <c r="J17" s="9">
        <v>0.4</v>
      </c>
      <c r="K17" s="10">
        <v>0</v>
      </c>
      <c r="L17" s="10">
        <v>0.46708144000000001</v>
      </c>
      <c r="M17" s="10">
        <v>92</v>
      </c>
      <c r="N17" s="10">
        <v>2.0699999999999998</v>
      </c>
      <c r="O17" s="8" t="s">
        <v>686</v>
      </c>
      <c r="P17" s="11">
        <v>6</v>
      </c>
      <c r="Q17" s="11">
        <v>6</v>
      </c>
      <c r="R17" s="11">
        <v>3</v>
      </c>
      <c r="S17" s="10">
        <v>2.4360499999999998</v>
      </c>
      <c r="T17" s="1" t="s">
        <v>692</v>
      </c>
      <c r="U17" s="1" t="s">
        <v>1032</v>
      </c>
      <c r="V17" s="11">
        <v>8</v>
      </c>
      <c r="W17" s="11">
        <v>5</v>
      </c>
      <c r="X17" s="11" t="s">
        <v>28</v>
      </c>
      <c r="Y17" s="10">
        <v>3.5005564049157529</v>
      </c>
      <c r="Z17" s="10">
        <v>0.21875</v>
      </c>
      <c r="AA17" s="10">
        <v>0.30769230769230771</v>
      </c>
      <c r="AB17" s="12">
        <v>4</v>
      </c>
    </row>
    <row r="18" spans="1:28" x14ac:dyDescent="0.3">
      <c r="A18" s="2" t="s">
        <v>200</v>
      </c>
      <c r="B18" s="2">
        <v>730</v>
      </c>
      <c r="C18" s="2" t="s">
        <v>387</v>
      </c>
      <c r="D18" s="2" t="s">
        <v>555</v>
      </c>
      <c r="E18" s="2" t="s">
        <v>858</v>
      </c>
      <c r="F18" s="15">
        <v>0.82807017543859651</v>
      </c>
      <c r="G18" s="15">
        <v>0.6535211267605634</v>
      </c>
      <c r="H18" s="2" t="s">
        <v>678</v>
      </c>
      <c r="I18" s="13">
        <v>7</v>
      </c>
      <c r="J18" s="18">
        <v>0.8</v>
      </c>
      <c r="K18" s="15">
        <v>6.0590000000000002</v>
      </c>
      <c r="L18" s="15">
        <v>0</v>
      </c>
      <c r="M18" s="15">
        <v>100</v>
      </c>
      <c r="N18" s="15">
        <v>3.12</v>
      </c>
      <c r="O18" s="13" t="s">
        <v>684</v>
      </c>
      <c r="P18" s="16">
        <v>6</v>
      </c>
      <c r="Q18" s="16">
        <v>6</v>
      </c>
      <c r="R18" s="16">
        <v>3</v>
      </c>
      <c r="S18" s="15">
        <v>4.5865130000000001</v>
      </c>
      <c r="T18" s="2" t="e">
        <v>#N/A</v>
      </c>
      <c r="U18" s="2" t="s">
        <v>1037</v>
      </c>
      <c r="V18" s="16">
        <v>7</v>
      </c>
      <c r="W18" s="16">
        <v>5</v>
      </c>
      <c r="X18" s="16" t="s">
        <v>28</v>
      </c>
      <c r="Y18" s="15">
        <v>5.202997746184872</v>
      </c>
      <c r="Z18" s="15">
        <v>0.17192982456140349</v>
      </c>
      <c r="AA18" s="15">
        <v>0.3464788732394366</v>
      </c>
      <c r="AB18" s="17">
        <v>6</v>
      </c>
    </row>
    <row r="19" spans="1:28" x14ac:dyDescent="0.3">
      <c r="A19" s="1" t="s">
        <v>204</v>
      </c>
      <c r="B19" s="1">
        <v>259</v>
      </c>
      <c r="C19" s="1" t="s">
        <v>391</v>
      </c>
      <c r="D19" s="1" t="s">
        <v>557</v>
      </c>
      <c r="E19" s="1" t="s">
        <v>862</v>
      </c>
      <c r="F19" s="10">
        <v>0.85</v>
      </c>
      <c r="G19" s="10">
        <v>0.9</v>
      </c>
      <c r="H19" s="1" t="e">
        <v>#N/A</v>
      </c>
      <c r="I19" s="8" t="e">
        <v>#N/A</v>
      </c>
      <c r="J19" s="19">
        <v>0.33300000000000002</v>
      </c>
      <c r="K19" s="10">
        <v>5.4809999999999999</v>
      </c>
      <c r="L19" s="10">
        <v>0.33228663000000003</v>
      </c>
      <c r="M19" s="10">
        <v>93.877551019999999</v>
      </c>
      <c r="N19" s="10">
        <v>1.64</v>
      </c>
      <c r="O19" s="8" t="s">
        <v>683</v>
      </c>
      <c r="P19" s="11">
        <v>4</v>
      </c>
      <c r="Q19" s="11">
        <v>4</v>
      </c>
      <c r="R19" s="11">
        <v>3</v>
      </c>
      <c r="S19" s="10">
        <v>3.7442579999999999</v>
      </c>
      <c r="T19" s="1" t="s">
        <v>692</v>
      </c>
      <c r="U19" s="1" t="s">
        <v>1041</v>
      </c>
      <c r="V19" s="11">
        <v>4</v>
      </c>
      <c r="W19" s="11">
        <v>3</v>
      </c>
      <c r="X19" s="11" t="s">
        <v>27</v>
      </c>
      <c r="Y19" s="10">
        <v>3.6674753170823688</v>
      </c>
      <c r="Z19" s="10">
        <v>0.15000000000000002</v>
      </c>
      <c r="AA19" s="10">
        <v>9.9999999999999978E-2</v>
      </c>
      <c r="AB19" s="12">
        <v>1</v>
      </c>
    </row>
    <row r="20" spans="1:28" x14ac:dyDescent="0.3">
      <c r="A20" s="2" t="s">
        <v>209</v>
      </c>
      <c r="B20" s="2">
        <v>215</v>
      </c>
      <c r="C20" s="2" t="s">
        <v>396</v>
      </c>
      <c r="D20" s="2" t="s">
        <v>396</v>
      </c>
      <c r="E20" s="2" t="s">
        <v>867</v>
      </c>
      <c r="F20" s="15">
        <v>0.88648648648648654</v>
      </c>
      <c r="G20" s="15">
        <v>0.85</v>
      </c>
      <c r="H20" s="2" t="e">
        <v>#N/A</v>
      </c>
      <c r="I20" s="13" t="e">
        <v>#N/A</v>
      </c>
      <c r="J20" s="14">
        <v>0.66700000000000004</v>
      </c>
      <c r="K20" s="15">
        <v>6.7489999999999997</v>
      </c>
      <c r="L20" s="15">
        <v>0.28853851400000002</v>
      </c>
      <c r="M20" s="15">
        <v>94.949494950000002</v>
      </c>
      <c r="N20" s="15">
        <v>2.5</v>
      </c>
      <c r="O20" s="13" t="s">
        <v>685</v>
      </c>
      <c r="P20" s="16">
        <v>4</v>
      </c>
      <c r="Q20" s="16">
        <v>4</v>
      </c>
      <c r="R20" s="16">
        <v>2</v>
      </c>
      <c r="S20" s="15">
        <v>3.535434</v>
      </c>
      <c r="T20" s="2" t="s">
        <v>692</v>
      </c>
      <c r="U20" s="2" t="s">
        <v>1046</v>
      </c>
      <c r="V20" s="16">
        <v>4</v>
      </c>
      <c r="W20" s="16">
        <v>3</v>
      </c>
      <c r="X20" s="16" t="s">
        <v>27</v>
      </c>
      <c r="Y20" s="15">
        <v>4.425386394530511</v>
      </c>
      <c r="Z20" s="15">
        <v>0.11351351351351346</v>
      </c>
      <c r="AA20" s="15">
        <v>0.15000000000000002</v>
      </c>
      <c r="AB20" s="17">
        <v>2</v>
      </c>
    </row>
    <row r="21" spans="1:28" x14ac:dyDescent="0.3">
      <c r="A21" s="31" t="s">
        <v>214</v>
      </c>
      <c r="B21" s="31">
        <v>611</v>
      </c>
      <c r="C21" s="31" t="s">
        <v>401</v>
      </c>
      <c r="D21" s="31" t="s">
        <v>401</v>
      </c>
      <c r="E21" s="31" t="s">
        <v>690</v>
      </c>
      <c r="F21" s="32">
        <v>0.9538461538461539</v>
      </c>
      <c r="G21" s="32">
        <v>0.9538461538461539</v>
      </c>
      <c r="H21" s="31" t="s">
        <v>682</v>
      </c>
      <c r="I21" s="33">
        <v>4</v>
      </c>
      <c r="J21" s="34">
        <v>0.6</v>
      </c>
      <c r="K21" s="32">
        <v>5.9459999999999997</v>
      </c>
      <c r="L21" s="32">
        <v>0.626090653</v>
      </c>
      <c r="M21" s="32">
        <v>90</v>
      </c>
      <c r="N21" s="32">
        <v>2.5299999999999998</v>
      </c>
      <c r="O21" s="33" t="s">
        <v>690</v>
      </c>
      <c r="P21" s="35">
        <v>6</v>
      </c>
      <c r="Q21" s="35">
        <v>6</v>
      </c>
      <c r="R21" s="35">
        <v>2</v>
      </c>
      <c r="S21" s="32">
        <v>4.8787900000000004</v>
      </c>
      <c r="T21" s="31" t="s">
        <v>692</v>
      </c>
      <c r="U21" s="31" t="s">
        <v>1051</v>
      </c>
      <c r="V21" s="35">
        <v>5</v>
      </c>
      <c r="W21" s="35">
        <v>5</v>
      </c>
      <c r="X21" s="35" t="s">
        <v>27</v>
      </c>
      <c r="Y21" s="32">
        <v>4.8085417434614754</v>
      </c>
      <c r="Z21" s="32">
        <v>4.6153846153846101E-2</v>
      </c>
      <c r="AA21" s="32">
        <v>4.6153846153846101E-2</v>
      </c>
      <c r="AB21" s="36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"/>
  <sheetViews>
    <sheetView zoomScale="95" workbookViewId="0">
      <selection activeCell="J20" sqref="J20"/>
    </sheetView>
  </sheetViews>
  <sheetFormatPr defaultRowHeight="14.4" x14ac:dyDescent="0.3"/>
  <cols>
    <col min="1" max="1" width="21.44140625" style="5" bestFit="1" customWidth="1"/>
  </cols>
  <sheetData>
    <row r="1" spans="1:8" x14ac:dyDescent="0.3">
      <c r="A1" s="37" t="s">
        <v>5</v>
      </c>
    </row>
    <row r="2" spans="1:8" ht="15" thickBot="1" x14ac:dyDescent="0.35">
      <c r="A2" s="4">
        <v>0.4</v>
      </c>
    </row>
    <row r="3" spans="1:8" x14ac:dyDescent="0.3">
      <c r="A3" s="4">
        <v>0.5</v>
      </c>
      <c r="F3" s="38" t="s">
        <v>1055</v>
      </c>
      <c r="G3" s="38" t="s">
        <v>1056</v>
      </c>
    </row>
    <row r="4" spans="1:8" x14ac:dyDescent="0.3">
      <c r="A4" s="4">
        <v>0.6</v>
      </c>
      <c r="C4">
        <v>0</v>
      </c>
      <c r="F4">
        <v>0</v>
      </c>
      <c r="G4">
        <v>9</v>
      </c>
      <c r="H4" s="40">
        <v>2</v>
      </c>
    </row>
    <row r="5" spans="1:8" x14ac:dyDescent="0.3">
      <c r="A5" s="4">
        <v>0.8</v>
      </c>
      <c r="C5">
        <v>16.7</v>
      </c>
      <c r="F5">
        <v>16.7</v>
      </c>
      <c r="G5">
        <v>4</v>
      </c>
      <c r="H5" s="40">
        <v>2</v>
      </c>
    </row>
    <row r="6" spans="1:8" x14ac:dyDescent="0.3">
      <c r="A6" s="3">
        <v>0.83299999999999996</v>
      </c>
      <c r="C6">
        <v>20</v>
      </c>
      <c r="F6">
        <v>20</v>
      </c>
      <c r="G6">
        <v>6</v>
      </c>
      <c r="H6" s="40">
        <v>2</v>
      </c>
    </row>
    <row r="7" spans="1:8" x14ac:dyDescent="0.3">
      <c r="A7" s="4">
        <v>0.4</v>
      </c>
      <c r="C7">
        <v>25</v>
      </c>
      <c r="F7">
        <v>25</v>
      </c>
      <c r="G7">
        <v>2</v>
      </c>
      <c r="H7">
        <v>2</v>
      </c>
    </row>
    <row r="8" spans="1:8" x14ac:dyDescent="0.3">
      <c r="A8" s="3">
        <v>0.66700000000000004</v>
      </c>
      <c r="C8">
        <v>33.299999999999997</v>
      </c>
      <c r="F8">
        <v>33.299999999999997</v>
      </c>
      <c r="G8">
        <v>6</v>
      </c>
      <c r="H8">
        <v>2</v>
      </c>
    </row>
    <row r="9" spans="1:8" x14ac:dyDescent="0.3">
      <c r="A9" s="4">
        <v>0.6</v>
      </c>
      <c r="C9">
        <v>40</v>
      </c>
      <c r="F9">
        <v>40</v>
      </c>
      <c r="G9">
        <v>8</v>
      </c>
      <c r="H9">
        <v>3</v>
      </c>
    </row>
    <row r="10" spans="1:8" x14ac:dyDescent="0.3">
      <c r="A10" s="4">
        <v>0</v>
      </c>
      <c r="C10">
        <v>50</v>
      </c>
      <c r="F10">
        <v>50</v>
      </c>
      <c r="G10">
        <v>8</v>
      </c>
      <c r="H10" s="40">
        <v>3</v>
      </c>
    </row>
    <row r="11" spans="1:8" x14ac:dyDescent="0.3">
      <c r="A11" s="4">
        <v>0.5</v>
      </c>
      <c r="C11">
        <v>60</v>
      </c>
      <c r="F11">
        <v>60</v>
      </c>
      <c r="G11">
        <v>8</v>
      </c>
      <c r="H11" s="40">
        <v>3</v>
      </c>
    </row>
    <row r="12" spans="1:8" x14ac:dyDescent="0.3">
      <c r="A12" s="4">
        <v>0.2</v>
      </c>
      <c r="C12">
        <v>66.7</v>
      </c>
      <c r="F12">
        <v>66.7</v>
      </c>
      <c r="G12">
        <v>13</v>
      </c>
      <c r="H12">
        <v>3</v>
      </c>
    </row>
    <row r="13" spans="1:8" x14ac:dyDescent="0.3">
      <c r="A13" s="3">
        <v>0.66700000000000004</v>
      </c>
      <c r="C13">
        <v>75</v>
      </c>
      <c r="F13">
        <v>75</v>
      </c>
      <c r="G13">
        <v>5</v>
      </c>
      <c r="H13">
        <v>2</v>
      </c>
    </row>
    <row r="14" spans="1:8" x14ac:dyDescent="0.3">
      <c r="A14" s="4">
        <v>0.2</v>
      </c>
      <c r="C14">
        <v>80</v>
      </c>
      <c r="F14">
        <v>80</v>
      </c>
      <c r="G14">
        <v>2</v>
      </c>
      <c r="H14">
        <v>2</v>
      </c>
    </row>
    <row r="15" spans="1:8" x14ac:dyDescent="0.3">
      <c r="A15" s="4">
        <v>0.4</v>
      </c>
      <c r="C15">
        <v>83.3</v>
      </c>
      <c r="F15">
        <v>83.3</v>
      </c>
      <c r="G15">
        <v>3</v>
      </c>
      <c r="H15" s="40">
        <v>3</v>
      </c>
    </row>
    <row r="16" spans="1:8" x14ac:dyDescent="0.3">
      <c r="A16" s="3">
        <v>0.33300000000000002</v>
      </c>
      <c r="C16">
        <v>100</v>
      </c>
      <c r="F16">
        <v>100</v>
      </c>
      <c r="G16">
        <v>5</v>
      </c>
      <c r="H16" s="40">
        <v>3</v>
      </c>
    </row>
    <row r="17" spans="1:7" x14ac:dyDescent="0.3">
      <c r="A17" s="3">
        <v>0.66700000000000004</v>
      </c>
    </row>
    <row r="18" spans="1:7" x14ac:dyDescent="0.3">
      <c r="A18" s="3">
        <v>0.16700000000000001</v>
      </c>
      <c r="G18">
        <f>SUM(G4:G16)</f>
        <v>79</v>
      </c>
    </row>
    <row r="19" spans="1:7" x14ac:dyDescent="0.3">
      <c r="A19" s="4">
        <v>0.6</v>
      </c>
    </row>
    <row r="20" spans="1:7" x14ac:dyDescent="0.3">
      <c r="A20" s="4">
        <v>0.75</v>
      </c>
    </row>
    <row r="21" spans="1:7" x14ac:dyDescent="0.3">
      <c r="A21" s="4">
        <v>0.6</v>
      </c>
    </row>
    <row r="22" spans="1:7" x14ac:dyDescent="0.3">
      <c r="A22" s="4">
        <v>0.75</v>
      </c>
    </row>
    <row r="23" spans="1:7" x14ac:dyDescent="0.3">
      <c r="A23" s="4">
        <v>1</v>
      </c>
    </row>
    <row r="24" spans="1:7" x14ac:dyDescent="0.3">
      <c r="A24" s="4">
        <v>0.5</v>
      </c>
    </row>
    <row r="25" spans="1:7" x14ac:dyDescent="0.3">
      <c r="A25" s="4">
        <v>0.4</v>
      </c>
    </row>
    <row r="26" spans="1:7" x14ac:dyDescent="0.3">
      <c r="A26" s="4">
        <v>0.25</v>
      </c>
    </row>
    <row r="27" spans="1:7" x14ac:dyDescent="0.3">
      <c r="A27" s="4">
        <v>0.4</v>
      </c>
    </row>
    <row r="28" spans="1:7" x14ac:dyDescent="0.3">
      <c r="A28" s="4">
        <v>0.2</v>
      </c>
    </row>
    <row r="29" spans="1:7" x14ac:dyDescent="0.3">
      <c r="A29" s="4">
        <v>0</v>
      </c>
    </row>
    <row r="30" spans="1:7" x14ac:dyDescent="0.3">
      <c r="A30" s="4">
        <v>0.2</v>
      </c>
    </row>
    <row r="31" spans="1:7" x14ac:dyDescent="0.3">
      <c r="A31" s="4">
        <v>0.25</v>
      </c>
    </row>
    <row r="32" spans="1:7" x14ac:dyDescent="0.3">
      <c r="A32" s="4">
        <v>0.75</v>
      </c>
    </row>
    <row r="33" spans="1:1" x14ac:dyDescent="0.3">
      <c r="A33" s="4">
        <v>0.6</v>
      </c>
    </row>
    <row r="34" spans="1:1" x14ac:dyDescent="0.3">
      <c r="A34" s="4">
        <v>1</v>
      </c>
    </row>
    <row r="35" spans="1:1" x14ac:dyDescent="0.3">
      <c r="A35" s="4">
        <v>0.4</v>
      </c>
    </row>
    <row r="36" spans="1:1" x14ac:dyDescent="0.3">
      <c r="A36" s="3">
        <v>0.16700000000000001</v>
      </c>
    </row>
    <row r="37" spans="1:1" x14ac:dyDescent="0.3">
      <c r="A37" s="4">
        <v>0.5</v>
      </c>
    </row>
    <row r="38" spans="1:1" x14ac:dyDescent="0.3">
      <c r="A38" s="3">
        <v>0.66700000000000004</v>
      </c>
    </row>
    <row r="39" spans="1:1" x14ac:dyDescent="0.3">
      <c r="A39" s="4">
        <v>0</v>
      </c>
    </row>
    <row r="40" spans="1:1" x14ac:dyDescent="0.3">
      <c r="A40" s="3">
        <v>0.16700000000000001</v>
      </c>
    </row>
    <row r="41" spans="1:1" x14ac:dyDescent="0.3">
      <c r="A41" s="4">
        <v>0.5</v>
      </c>
    </row>
    <row r="42" spans="1:1" x14ac:dyDescent="0.3">
      <c r="A42" s="4">
        <v>0.2</v>
      </c>
    </row>
    <row r="43" spans="1:1" x14ac:dyDescent="0.3">
      <c r="A43" s="3">
        <v>0.33300000000000002</v>
      </c>
    </row>
    <row r="44" spans="1:1" x14ac:dyDescent="0.3">
      <c r="A44" s="3">
        <v>0.16700000000000001</v>
      </c>
    </row>
    <row r="45" spans="1:1" x14ac:dyDescent="0.3">
      <c r="A45" s="4">
        <v>0.75</v>
      </c>
    </row>
    <row r="46" spans="1:1" x14ac:dyDescent="0.3">
      <c r="A46" s="4">
        <v>0.6</v>
      </c>
    </row>
    <row r="47" spans="1:1" x14ac:dyDescent="0.3">
      <c r="A47" s="4">
        <v>0.5</v>
      </c>
    </row>
    <row r="48" spans="1:1" x14ac:dyDescent="0.3">
      <c r="A48" s="3">
        <v>0.66700000000000004</v>
      </c>
    </row>
    <row r="49" spans="1:1" x14ac:dyDescent="0.3">
      <c r="A49" s="4">
        <v>0.8</v>
      </c>
    </row>
    <row r="50" spans="1:1" x14ac:dyDescent="0.3">
      <c r="A50" s="4">
        <v>1</v>
      </c>
    </row>
    <row r="51" spans="1:1" x14ac:dyDescent="0.3">
      <c r="A51" s="4">
        <v>1</v>
      </c>
    </row>
    <row r="52" spans="1:1" x14ac:dyDescent="0.3">
      <c r="A52" s="4">
        <v>0</v>
      </c>
    </row>
    <row r="53" spans="1:1" x14ac:dyDescent="0.3">
      <c r="A53" s="4">
        <v>1</v>
      </c>
    </row>
    <row r="54" spans="1:1" x14ac:dyDescent="0.3">
      <c r="A54" s="4">
        <v>0.4</v>
      </c>
    </row>
    <row r="55" spans="1:1" x14ac:dyDescent="0.3">
      <c r="A55" s="4">
        <v>0</v>
      </c>
    </row>
    <row r="56" spans="1:1" x14ac:dyDescent="0.3">
      <c r="A56" s="3">
        <v>0.33300000000000002</v>
      </c>
    </row>
    <row r="57" spans="1:1" x14ac:dyDescent="0.3">
      <c r="A57" s="3">
        <v>0.66700000000000004</v>
      </c>
    </row>
    <row r="58" spans="1:1" x14ac:dyDescent="0.3">
      <c r="A58" s="3">
        <v>0.83299999999999996</v>
      </c>
    </row>
    <row r="59" spans="1:1" x14ac:dyDescent="0.3">
      <c r="A59" s="4">
        <v>0.2</v>
      </c>
    </row>
    <row r="60" spans="1:1" x14ac:dyDescent="0.3">
      <c r="A60" s="3">
        <v>0.66700000000000004</v>
      </c>
    </row>
    <row r="61" spans="1:1" x14ac:dyDescent="0.3">
      <c r="A61" s="3">
        <v>0.66700000000000004</v>
      </c>
    </row>
    <row r="62" spans="1:1" x14ac:dyDescent="0.3">
      <c r="A62" s="4">
        <v>0.5</v>
      </c>
    </row>
    <row r="63" spans="1:1" x14ac:dyDescent="0.3">
      <c r="A63" s="4">
        <v>0</v>
      </c>
    </row>
    <row r="64" spans="1:1" x14ac:dyDescent="0.3">
      <c r="A64" s="3">
        <v>0.66700000000000004</v>
      </c>
    </row>
    <row r="65" spans="1:1" x14ac:dyDescent="0.3">
      <c r="A65" s="3">
        <v>0.66700000000000004</v>
      </c>
    </row>
    <row r="66" spans="1:1" x14ac:dyDescent="0.3">
      <c r="A66" s="4">
        <v>0.5</v>
      </c>
    </row>
    <row r="67" spans="1:1" x14ac:dyDescent="0.3">
      <c r="A67" s="3">
        <v>0.66700000000000004</v>
      </c>
    </row>
    <row r="68" spans="1:1" x14ac:dyDescent="0.3">
      <c r="A68" s="3">
        <v>0.33300000000000002</v>
      </c>
    </row>
    <row r="69" spans="1:1" x14ac:dyDescent="0.3">
      <c r="A69" s="3">
        <v>0.66700000000000004</v>
      </c>
    </row>
    <row r="70" spans="1:1" x14ac:dyDescent="0.3">
      <c r="A70" s="4">
        <v>0.6</v>
      </c>
    </row>
    <row r="71" spans="1:1" x14ac:dyDescent="0.3">
      <c r="A71" s="3">
        <v>0.66700000000000004</v>
      </c>
    </row>
    <row r="72" spans="1:1" x14ac:dyDescent="0.3">
      <c r="A72" s="4">
        <v>0.6</v>
      </c>
    </row>
    <row r="73" spans="1:1" x14ac:dyDescent="0.3">
      <c r="A73" s="3">
        <v>0.83299999999999996</v>
      </c>
    </row>
    <row r="74" spans="1:1" x14ac:dyDescent="0.3">
      <c r="A74" s="3">
        <v>0.33300000000000002</v>
      </c>
    </row>
    <row r="75" spans="1:1" x14ac:dyDescent="0.3">
      <c r="A75" s="4">
        <v>0</v>
      </c>
    </row>
    <row r="76" spans="1:1" x14ac:dyDescent="0.3">
      <c r="A76" s="4">
        <v>0</v>
      </c>
    </row>
    <row r="77" spans="1:1" x14ac:dyDescent="0.3">
      <c r="A77" s="4">
        <v>0.75</v>
      </c>
    </row>
    <row r="78" spans="1:1" x14ac:dyDescent="0.3">
      <c r="A78" s="4">
        <v>0</v>
      </c>
    </row>
    <row r="79" spans="1:1" x14ac:dyDescent="0.3">
      <c r="A79" s="4">
        <v>0.4</v>
      </c>
    </row>
    <row r="80" spans="1:1" x14ac:dyDescent="0.3">
      <c r="A80" s="3">
        <v>0.33300000000000002</v>
      </c>
    </row>
  </sheetData>
  <sortState xmlns:xlrd2="http://schemas.microsoft.com/office/spreadsheetml/2017/richdata2" ref="F4:F16">
    <sortCondition ref="F4"/>
  </sortState>
  <pageMargins left="0.7" right="0.7" top="0.75" bottom="0.75" header="0.3" footer="0.3"/>
  <pageSetup paperSize="9" orientation="portrait" horizontalDpi="360" verticalDpi="36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0"/>
  <sheetViews>
    <sheetView tabSelected="1" workbookViewId="0">
      <selection activeCell="O2" sqref="O2"/>
    </sheetView>
  </sheetViews>
  <sheetFormatPr defaultRowHeight="14.4" x14ac:dyDescent="0.3"/>
  <cols>
    <col min="1" max="1" width="15.6640625" customWidth="1"/>
    <col min="2" max="2" width="16.6640625" customWidth="1"/>
  </cols>
  <sheetData>
    <row r="1" spans="1:2" x14ac:dyDescent="0.3">
      <c r="A1" s="39" t="s">
        <v>1078</v>
      </c>
      <c r="B1" s="39" t="s">
        <v>1079</v>
      </c>
    </row>
    <row r="2" spans="1:2" x14ac:dyDescent="0.3">
      <c r="A2" s="15">
        <f>VLOOKUP(Table1[[#This Row],[Spanish]],[1]written_es_wordlist_bigram_abso!$1:$1048576, 2, 0)</f>
        <v>13362.893747</v>
      </c>
      <c r="B2" s="15">
        <f>VLOOKUP(Table1[[#This Row],[Spanish]], [1]written_es_wordlist_bigram_abso!$1:$1048576, 3, 0)</f>
        <v>8954.4</v>
      </c>
    </row>
    <row r="3" spans="1:2" x14ac:dyDescent="0.3">
      <c r="A3" s="15">
        <f>VLOOKUP(Table1[[#This Row],[Spanish]],[1]written_es_wordlist_bigram_abso!$1:$1048576, 2, 0)</f>
        <v>24200.320181999999</v>
      </c>
      <c r="B3" s="15">
        <f>VLOOKUP(Table1[[#This Row],[Spanish]], [1]written_es_wordlist_bigram_abso!$1:$1048576, 3, 0)</f>
        <v>16433.25</v>
      </c>
    </row>
    <row r="4" spans="1:2" x14ac:dyDescent="0.3">
      <c r="A4" s="15">
        <f>VLOOKUP(Table1[[#This Row],[Spanish]],[1]written_es_wordlist_bigram_abso!$1:$1048576, 2, 0)</f>
        <v>11912.671066999999</v>
      </c>
      <c r="B4" s="15">
        <f>VLOOKUP(Table1[[#This Row],[Spanish]], [1]written_es_wordlist_bigram_abso!$1:$1048576, 3, 0)</f>
        <v>8231.75</v>
      </c>
    </row>
    <row r="5" spans="1:2" x14ac:dyDescent="0.3">
      <c r="A5" s="15">
        <f>VLOOKUP(Table1[[#This Row],[Spanish]],[1]written_es_wordlist_bigram_abso!$1:$1048576, 2, 0)</f>
        <v>27298.13624</v>
      </c>
      <c r="B5" s="15">
        <f>VLOOKUP(Table1[[#This Row],[Spanish]], [1]written_es_wordlist_bigram_abso!$1:$1048576, 3, 0)</f>
        <v>20793.333332999999</v>
      </c>
    </row>
    <row r="6" spans="1:2" x14ac:dyDescent="0.3">
      <c r="A6" s="15">
        <f>VLOOKUP(Table1[[#This Row],[Spanish]],[1]written_es_wordlist_bigram_abso!$1:$1048576, 2, 0)</f>
        <v>28352.082465</v>
      </c>
      <c r="B6" s="15">
        <f>VLOOKUP(Table1[[#This Row],[Spanish]], [1]written_es_wordlist_bigram_abso!$1:$1048576, 3, 0)</f>
        <v>19134.333332999999</v>
      </c>
    </row>
    <row r="7" spans="1:2" x14ac:dyDescent="0.3">
      <c r="A7" s="15">
        <f>VLOOKUP(Table1[[#This Row],[Spanish]],[1]written_es_wordlist_bigram_abso!$1:$1048576, 2, 0)</f>
        <v>36499.951178000003</v>
      </c>
      <c r="B7" s="15">
        <f>VLOOKUP(Table1[[#This Row],[Spanish]], [1]written_es_wordlist_bigram_abso!$1:$1048576, 3, 0)</f>
        <v>20184.666667000001</v>
      </c>
    </row>
    <row r="8" spans="1:2" x14ac:dyDescent="0.3">
      <c r="A8" s="15">
        <f>VLOOKUP(Table1[[#This Row],[Spanish]],[1]written_es_wordlist_bigram_abso!$1:$1048576, 2, 0)</f>
        <v>41516.996815999999</v>
      </c>
      <c r="B8" s="15">
        <f>VLOOKUP(Table1[[#This Row],[Spanish]], [1]written_es_wordlist_bigram_abso!$1:$1048576, 3, 0)</f>
        <v>32695.666667000001</v>
      </c>
    </row>
    <row r="9" spans="1:2" x14ac:dyDescent="0.3">
      <c r="A9" s="15">
        <f>VLOOKUP(Table1[[#This Row],[Spanish]],[1]written_es_wordlist_bigram_abso!$1:$1048576, 2, 0)</f>
        <v>27596.778254000001</v>
      </c>
      <c r="B9" s="15">
        <f>VLOOKUP(Table1[[#This Row],[Spanish]], [1]written_es_wordlist_bigram_abso!$1:$1048576, 3, 0)</f>
        <v>14215.2</v>
      </c>
    </row>
    <row r="10" spans="1:2" x14ac:dyDescent="0.3">
      <c r="A10" s="15">
        <f>VLOOKUP(Table1[[#This Row],[Spanish]],[1]written_es_wordlist_bigram_abso!$1:$1048576, 2, 0)</f>
        <v>36364.261554999997</v>
      </c>
      <c r="B10" s="15">
        <f>VLOOKUP(Table1[[#This Row],[Spanish]], [1]written_es_wordlist_bigram_abso!$1:$1048576, 3, 0)</f>
        <v>30926.75</v>
      </c>
    </row>
    <row r="11" spans="1:2" x14ac:dyDescent="0.3">
      <c r="A11" s="15">
        <f>VLOOKUP(Table1[[#This Row],[Spanish]],[1]written_es_wordlist_bigram_abso!$1:$1048576, 2, 0)</f>
        <v>30582.349445</v>
      </c>
      <c r="B11" s="15">
        <f>VLOOKUP(Table1[[#This Row],[Spanish]], [1]written_es_wordlist_bigram_abso!$1:$1048576, 3, 0)</f>
        <v>23177.833332999999</v>
      </c>
    </row>
    <row r="12" spans="1:2" x14ac:dyDescent="0.3">
      <c r="A12" s="15">
        <f>VLOOKUP(Table1[[#This Row],[Spanish]],[1]written_es_wordlist_bigram_abso!$1:$1048576, 2, 0)</f>
        <v>35265.644306000002</v>
      </c>
      <c r="B12" s="15">
        <f>VLOOKUP(Table1[[#This Row],[Spanish]], [1]written_es_wordlist_bigram_abso!$1:$1048576, 3, 0)</f>
        <v>18521.666667000001</v>
      </c>
    </row>
    <row r="13" spans="1:2" x14ac:dyDescent="0.3">
      <c r="A13" s="15">
        <f>VLOOKUP(Table1[[#This Row],[Spanish]],[1]written_es_wordlist_bigram_abso!$1:$1048576, 2, 0)</f>
        <v>41065.366130000002</v>
      </c>
      <c r="B13" s="15">
        <f>VLOOKUP(Table1[[#This Row],[Spanish]], [1]written_es_wordlist_bigram_abso!$1:$1048576, 3, 0)</f>
        <v>20589.333332999999</v>
      </c>
    </row>
    <row r="14" spans="1:2" x14ac:dyDescent="0.3">
      <c r="A14" s="15">
        <f>VLOOKUP(Table1[[#This Row],[Spanish]],[1]written_es_wordlist_bigram_abso!$1:$1048576, 2, 0)</f>
        <v>36080.838363000003</v>
      </c>
      <c r="B14" s="15">
        <f>VLOOKUP(Table1[[#This Row],[Spanish]], [1]written_es_wordlist_bigram_abso!$1:$1048576, 3, 0)</f>
        <v>18336</v>
      </c>
    </row>
    <row r="15" spans="1:2" x14ac:dyDescent="0.3">
      <c r="A15" s="15">
        <f>VLOOKUP(Table1[[#This Row],[Spanish]],[1]written_es_wordlist_bigram_abso!$1:$1048576, 2, 0)</f>
        <v>55849.965793000003</v>
      </c>
      <c r="B15" s="15">
        <f>VLOOKUP(Table1[[#This Row],[Spanish]], [1]written_es_wordlist_bigram_abso!$1:$1048576, 3, 0)</f>
        <v>21855.4</v>
      </c>
    </row>
    <row r="16" spans="1:2" x14ac:dyDescent="0.3">
      <c r="A16" s="15">
        <f>VLOOKUP(Table1[[#This Row],[Spanish]],[1]written_es_wordlist_bigram_abso!$1:$1048576, 2, 0)</f>
        <v>12909.463820000001</v>
      </c>
      <c r="B16" s="15">
        <f>VLOOKUP(Table1[[#This Row],[Spanish]], [1]written_es_wordlist_bigram_abso!$1:$1048576, 3, 0)</f>
        <v>6140.3333329999996</v>
      </c>
    </row>
    <row r="17" spans="1:2" x14ac:dyDescent="0.3">
      <c r="A17" s="15">
        <f>VLOOKUP(Table1[[#This Row],[Spanish]],[1]written_es_wordlist_bigram_abso!$1:$1048576, 2, 0)</f>
        <v>20645.240665000001</v>
      </c>
      <c r="B17" s="15">
        <f>VLOOKUP(Table1[[#This Row],[Spanish]], [1]written_es_wordlist_bigram_abso!$1:$1048576, 3, 0)</f>
        <v>12160.25</v>
      </c>
    </row>
    <row r="18" spans="1:2" x14ac:dyDescent="0.3">
      <c r="A18" s="15">
        <f>VLOOKUP(Table1[[#This Row],[Spanish]],[1]written_es_wordlist_bigram_abso!$1:$1048576, 2, 0)</f>
        <v>20399.820875000001</v>
      </c>
      <c r="B18" s="15">
        <f>VLOOKUP(Table1[[#This Row],[Spanish]], [1]written_es_wordlist_bigram_abso!$1:$1048576, 3, 0)</f>
        <v>9569</v>
      </c>
    </row>
    <row r="19" spans="1:2" x14ac:dyDescent="0.3">
      <c r="A19" s="15">
        <f>VLOOKUP(Table1[[#This Row],[Spanish]],[1]written_es_wordlist_bigram_abso!$1:$1048576, 2, 0)</f>
        <v>5250.035895</v>
      </c>
      <c r="B19" s="15">
        <f>VLOOKUP(Table1[[#This Row],[Spanish]], [1]written_es_wordlist_bigram_abso!$1:$1048576, 3, 0)</f>
        <v>4243.25</v>
      </c>
    </row>
    <row r="20" spans="1:2" x14ac:dyDescent="0.3">
      <c r="A20" s="15">
        <f>VLOOKUP(Table1[[#This Row],[Spanish]],[1]written_es_wordlist_bigram_abso!$1:$1048576, 2, 0)</f>
        <v>44016.175439999999</v>
      </c>
      <c r="B20" s="15">
        <f>VLOOKUP(Table1[[#This Row],[Spanish]], [1]written_es_wordlist_bigram_abso!$1:$1048576, 3, 0)</f>
        <v>31132.5</v>
      </c>
    </row>
    <row r="21" spans="1:2" x14ac:dyDescent="0.3">
      <c r="A21" s="15">
        <f>VLOOKUP(Table1[[#This Row],[Spanish]],[1]written_es_wordlist_bigram_abso!$1:$1048576, 2, 0)</f>
        <v>32716.393164000001</v>
      </c>
      <c r="B21" s="15">
        <f>VLOOKUP(Table1[[#This Row],[Spanish]], [1]written_es_wordlist_bigram_abso!$1:$1048576, 3, 0)</f>
        <v>19752.333332999999</v>
      </c>
    </row>
    <row r="22" spans="1:2" x14ac:dyDescent="0.3">
      <c r="A22" s="15">
        <f>VLOOKUP(Table1[[#This Row],[Spanish]],[1]written_es_wordlist_bigram_abso!$1:$1048576, 2, 0)</f>
        <v>34693.929225</v>
      </c>
      <c r="B22" s="15">
        <f>VLOOKUP(Table1[[#This Row],[Spanish]], [1]written_es_wordlist_bigram_abso!$1:$1048576, 3, 0)</f>
        <v>21947.333332999999</v>
      </c>
    </row>
    <row r="23" spans="1:2" x14ac:dyDescent="0.3">
      <c r="A23" s="15">
        <f>VLOOKUP(Table1[[#This Row],[Spanish]],[1]written_es_wordlist_bigram_abso!$1:$1048576, 2, 0)</f>
        <v>19047.121326</v>
      </c>
      <c r="B23" s="15">
        <f>VLOOKUP(Table1[[#This Row],[Spanish]], [1]written_es_wordlist_bigram_abso!$1:$1048576, 3, 0)</f>
        <v>14832.333333</v>
      </c>
    </row>
    <row r="24" spans="1:2" x14ac:dyDescent="0.3">
      <c r="A24" s="15">
        <f>VLOOKUP(Table1[[#This Row],[Spanish]],[1]written_es_wordlist_bigram_abso!$1:$1048576, 2, 0)</f>
        <v>27908.385794999998</v>
      </c>
      <c r="B24" s="15">
        <f>VLOOKUP(Table1[[#This Row],[Spanish]], [1]written_es_wordlist_bigram_abso!$1:$1048576, 3, 0)</f>
        <v>14225.2</v>
      </c>
    </row>
    <row r="25" spans="1:2" x14ac:dyDescent="0.3">
      <c r="A25" s="15">
        <f>VLOOKUP(Table1[[#This Row],[Spanish]],[1]written_es_wordlist_bigram_abso!$1:$1048576, 2, 0)</f>
        <v>21952.291766999999</v>
      </c>
      <c r="B25" s="15">
        <f>VLOOKUP(Table1[[#This Row],[Spanish]], [1]written_es_wordlist_bigram_abso!$1:$1048576, 3, 0)</f>
        <v>13657.6</v>
      </c>
    </row>
    <row r="26" spans="1:2" x14ac:dyDescent="0.3">
      <c r="A26" s="15">
        <f>VLOOKUP(Table1[[#This Row],[Spanish]],[1]written_es_wordlist_bigram_abso!$1:$1048576, 2, 0)</f>
        <v>24817.077206999998</v>
      </c>
      <c r="B26" s="15">
        <f>VLOOKUP(Table1[[#This Row],[Spanish]], [1]written_es_wordlist_bigram_abso!$1:$1048576, 3, 0)</f>
        <v>18967.599999999999</v>
      </c>
    </row>
    <row r="27" spans="1:2" x14ac:dyDescent="0.3">
      <c r="A27" s="15">
        <f>VLOOKUP(Table1[[#This Row],[Spanish]],[1]written_es_wordlist_bigram_abso!$1:$1048576, 2, 0)</f>
        <v>24357.135837000002</v>
      </c>
      <c r="B27" s="15">
        <f>VLOOKUP(Table1[[#This Row],[Spanish]], [1]written_es_wordlist_bigram_abso!$1:$1048576, 3, 0)</f>
        <v>15824.333333</v>
      </c>
    </row>
    <row r="28" spans="1:2" x14ac:dyDescent="0.3">
      <c r="A28" s="15">
        <f>VLOOKUP(Table1[[#This Row],[Spanish]],[1]written_es_wordlist_bigram_abso!$1:$1048576, 2, 0)</f>
        <v>30828.726033999999</v>
      </c>
      <c r="B28" s="15">
        <f>VLOOKUP(Table1[[#This Row],[Spanish]], [1]written_es_wordlist_bigram_abso!$1:$1048576, 3, 0)</f>
        <v>16670.5</v>
      </c>
    </row>
    <row r="29" spans="1:2" x14ac:dyDescent="0.3">
      <c r="A29" s="15">
        <f>VLOOKUP(Table1[[#This Row],[Spanish]],[1]written_es_wordlist_bigram_abso!$1:$1048576, 2, 0)</f>
        <v>32298.847000000002</v>
      </c>
      <c r="B29" s="15">
        <f>VLOOKUP(Table1[[#This Row],[Spanish]], [1]written_es_wordlist_bigram_abso!$1:$1048576, 3, 0)</f>
        <v>20057</v>
      </c>
    </row>
    <row r="30" spans="1:2" x14ac:dyDescent="0.3">
      <c r="A30" s="15">
        <f>VLOOKUP(Table1[[#This Row],[Spanish]],[1]written_es_wordlist_bigram_abso!$1:$1048576, 2, 0)</f>
        <v>27234.653724</v>
      </c>
      <c r="B30" s="15">
        <f>VLOOKUP(Table1[[#This Row],[Spanish]], [1]written_es_wordlist_bigram_abso!$1:$1048576, 3, 0)</f>
        <v>13908.4</v>
      </c>
    </row>
    <row r="31" spans="1:2" x14ac:dyDescent="0.3">
      <c r="A31" s="15">
        <f>VLOOKUP(Table1[[#This Row],[Spanish]],[1]written_es_wordlist_bigram_abso!$1:$1048576, 2, 0)</f>
        <v>28339.975408999999</v>
      </c>
      <c r="B31" s="15">
        <f>VLOOKUP(Table1[[#This Row],[Spanish]], [1]written_es_wordlist_bigram_abso!$1:$1048576, 3, 0)</f>
        <v>18296.75</v>
      </c>
    </row>
    <row r="32" spans="1:2" x14ac:dyDescent="0.3">
      <c r="A32" s="15">
        <f>VLOOKUP(Table1[[#This Row],[Spanish]],[1]written_es_wordlist_bigram_abso!$1:$1048576, 2, 0)</f>
        <v>31091.018864999998</v>
      </c>
      <c r="B32" s="15">
        <f>VLOOKUP(Table1[[#This Row],[Spanish]], [1]written_es_wordlist_bigram_abso!$1:$1048576, 3, 0)</f>
        <v>23396.25</v>
      </c>
    </row>
    <row r="33" spans="1:2" x14ac:dyDescent="0.3">
      <c r="A33" s="15">
        <f>VLOOKUP(Table1[[#This Row],[Spanish]],[1]written_es_wordlist_bigram_abso!$1:$1048576, 2, 0)</f>
        <v>28698.595678000001</v>
      </c>
      <c r="B33" s="15">
        <f>VLOOKUP(Table1[[#This Row],[Spanish]], [1]written_es_wordlist_bigram_abso!$1:$1048576, 3, 0)</f>
        <v>18888.400000000001</v>
      </c>
    </row>
    <row r="34" spans="1:2" x14ac:dyDescent="0.3">
      <c r="A34" s="15">
        <f>VLOOKUP(Table1[[#This Row],[Spanish]],[1]written_es_wordlist_bigram_abso!$1:$1048576, 2, 0)</f>
        <v>31667.708009000002</v>
      </c>
      <c r="B34" s="15">
        <f>VLOOKUP(Table1[[#This Row],[Spanish]], [1]written_es_wordlist_bigram_abso!$1:$1048576, 3, 0)</f>
        <v>29047.5</v>
      </c>
    </row>
    <row r="35" spans="1:2" x14ac:dyDescent="0.3">
      <c r="A35" s="15">
        <f>VLOOKUP(Table1[[#This Row],[Spanish]],[1]written_es_wordlist_bigram_abso!$1:$1048576, 2, 0)</f>
        <v>43557.05414</v>
      </c>
      <c r="B35" s="15">
        <f>VLOOKUP(Table1[[#This Row],[Spanish]], [1]written_es_wordlist_bigram_abso!$1:$1048576, 3, 0)</f>
        <v>26729.25</v>
      </c>
    </row>
    <row r="36" spans="1:2" x14ac:dyDescent="0.3">
      <c r="A36" s="15">
        <f>VLOOKUP(Table1[[#This Row],[Spanish]],[1]written_es_wordlist_bigram_abso!$1:$1048576, 2, 0)</f>
        <v>27847.333963000001</v>
      </c>
      <c r="B36" s="15">
        <f>VLOOKUP(Table1[[#This Row],[Spanish]], [1]written_es_wordlist_bigram_abso!$1:$1048576, 3, 0)</f>
        <v>17703</v>
      </c>
    </row>
    <row r="37" spans="1:2" x14ac:dyDescent="0.3">
      <c r="A37" s="15">
        <f>VLOOKUP(Table1[[#This Row],[Spanish]],[1]written_es_wordlist_bigram_abso!$1:$1048576, 2, 0)</f>
        <v>68163.829010999994</v>
      </c>
      <c r="B37" s="15">
        <f>VLOOKUP(Table1[[#This Row],[Spanish]], [1]written_es_wordlist_bigram_abso!$1:$1048576, 3, 0)</f>
        <v>30330.6</v>
      </c>
    </row>
    <row r="38" spans="1:2" x14ac:dyDescent="0.3">
      <c r="A38" s="15">
        <f>VLOOKUP(Table1[[#This Row],[Spanish]],[1]written_es_wordlist_bigram_abso!$1:$1048576, 2, 0)</f>
        <v>4851.4646620000003</v>
      </c>
      <c r="B38" s="15">
        <f>VLOOKUP(Table1[[#This Row],[Spanish]], [1]written_es_wordlist_bigram_abso!$1:$1048576, 3, 0)</f>
        <v>1624.666667</v>
      </c>
    </row>
    <row r="39" spans="1:2" x14ac:dyDescent="0.3">
      <c r="A39" s="15">
        <f>VLOOKUP(Table1[[#This Row],[Spanish]],[1]written_es_wordlist_bigram_abso!$1:$1048576, 2, 0)</f>
        <v>19136.506370999999</v>
      </c>
      <c r="B39" s="15">
        <f>VLOOKUP(Table1[[#This Row],[Spanish]], [1]written_es_wordlist_bigram_abso!$1:$1048576, 3, 0)</f>
        <v>11952.25</v>
      </c>
    </row>
    <row r="40" spans="1:2" x14ac:dyDescent="0.3">
      <c r="A40" s="15">
        <f>VLOOKUP(Table1[[#This Row],[Spanish]],[1]written_es_wordlist_bigram_abso!$1:$1048576, 2, 0)</f>
        <v>23948.395594000001</v>
      </c>
      <c r="B40" s="15">
        <f>VLOOKUP(Table1[[#This Row],[Spanish]], [1]written_es_wordlist_bigram_abso!$1:$1048576, 3, 0)</f>
        <v>16101.4</v>
      </c>
    </row>
    <row r="41" spans="1:2" x14ac:dyDescent="0.3">
      <c r="A41" s="15">
        <f>VLOOKUP(Table1[[#This Row],[Spanish]],[1]written_es_wordlist_bigram_abso!$1:$1048576, 2, 0)</f>
        <v>34218.602203000002</v>
      </c>
      <c r="B41" s="15">
        <f>VLOOKUP(Table1[[#This Row],[Spanish]], [1]written_es_wordlist_bigram_abso!$1:$1048576, 3, 0)</f>
        <v>22088.75</v>
      </c>
    </row>
    <row r="42" spans="1:2" x14ac:dyDescent="0.3">
      <c r="A42" s="15">
        <f>VLOOKUP(Table1[[#This Row],[Spanish]],[1]written_es_wordlist_bigram_abso!$1:$1048576, 2, 0)</f>
        <v>36456.993459999998</v>
      </c>
      <c r="B42" s="15">
        <f>VLOOKUP(Table1[[#This Row],[Spanish]], [1]written_es_wordlist_bigram_abso!$1:$1048576, 3, 0)</f>
        <v>23774.333332999999</v>
      </c>
    </row>
    <row r="43" spans="1:2" x14ac:dyDescent="0.3">
      <c r="A43" s="15">
        <f>VLOOKUP(Table1[[#This Row],[Spanish]],[1]written_es_wordlist_bigram_abso!$1:$1048576, 2, 0)</f>
        <v>34108.958313000003</v>
      </c>
      <c r="B43" s="15">
        <f>VLOOKUP(Table1[[#This Row],[Spanish]], [1]written_es_wordlist_bigram_abso!$1:$1048576, 3, 0)</f>
        <v>26173</v>
      </c>
    </row>
    <row r="44" spans="1:2" x14ac:dyDescent="0.3">
      <c r="A44" s="15">
        <f>VLOOKUP(Table1[[#This Row],[Spanish]],[1]written_es_wordlist_bigram_abso!$1:$1048576, 2, 0)</f>
        <v>17829.158454</v>
      </c>
      <c r="B44" s="15">
        <f>VLOOKUP(Table1[[#This Row],[Spanish]], [1]written_es_wordlist_bigram_abso!$1:$1048576, 3, 0)</f>
        <v>9262.3333330000005</v>
      </c>
    </row>
    <row r="45" spans="1:2" x14ac:dyDescent="0.3">
      <c r="A45" s="15">
        <f>VLOOKUP(Table1[[#This Row],[Spanish]],[1]written_es_wordlist_bigram_abso!$1:$1048576, 2, 0)</f>
        <v>24035.218084</v>
      </c>
      <c r="B45" s="15">
        <f>VLOOKUP(Table1[[#This Row],[Spanish]], [1]written_es_wordlist_bigram_abso!$1:$1048576, 3, 0)</f>
        <v>13155</v>
      </c>
    </row>
    <row r="46" spans="1:2" x14ac:dyDescent="0.3">
      <c r="A46" s="15">
        <f>VLOOKUP(Table1[[#This Row],[Spanish]],[1]written_es_wordlist_bigram_abso!$1:$1048576, 2, 0)</f>
        <v>23429.933396</v>
      </c>
      <c r="B46" s="15">
        <f>VLOOKUP(Table1[[#This Row],[Spanish]], [1]written_es_wordlist_bigram_abso!$1:$1048576, 3, 0)</f>
        <v>10510.25</v>
      </c>
    </row>
    <row r="47" spans="1:2" x14ac:dyDescent="0.3">
      <c r="A47" s="15">
        <f>VLOOKUP(Table1[[#This Row],[Spanish]],[1]written_es_wordlist_bigram_abso!$1:$1048576, 2, 0)</f>
        <v>50561.921961</v>
      </c>
      <c r="B47" s="15">
        <f>VLOOKUP(Table1[[#This Row],[Spanish]], [1]written_es_wordlist_bigram_abso!$1:$1048576, 3, 0)</f>
        <v>27605.75</v>
      </c>
    </row>
    <row r="48" spans="1:2" x14ac:dyDescent="0.3">
      <c r="A48" s="15">
        <f>VLOOKUP(Table1[[#This Row],[Spanish]],[1]written_es_wordlist_bigram_abso!$1:$1048576, 2, 0)</f>
        <v>20140.232795</v>
      </c>
      <c r="B48" s="15">
        <f>VLOOKUP(Table1[[#This Row],[Spanish]], [1]written_es_wordlist_bigram_abso!$1:$1048576, 3, 0)</f>
        <v>15032.333333</v>
      </c>
    </row>
    <row r="49" spans="1:2" x14ac:dyDescent="0.3">
      <c r="A49" s="15">
        <f>VLOOKUP(Table1[[#This Row],[Spanish]],[1]written_es_wordlist_bigram_abso!$1:$1048576, 2, 0)</f>
        <v>33767.849301000002</v>
      </c>
      <c r="B49" s="15">
        <f>VLOOKUP(Table1[[#This Row],[Spanish]], [1]written_es_wordlist_bigram_abso!$1:$1048576, 3, 0)</f>
        <v>21486.2</v>
      </c>
    </row>
    <row r="50" spans="1:2" x14ac:dyDescent="0.3">
      <c r="A50" s="15">
        <f>VLOOKUP(Table1[[#This Row],[Spanish]],[1]written_es_wordlist_bigram_abso!$1:$1048576, 2, 0)</f>
        <v>41890.807099999998</v>
      </c>
      <c r="B50" s="15">
        <f>VLOOKUP(Table1[[#This Row],[Spanish]], [1]written_es_wordlist_bigram_abso!$1:$1048576, 3, 0)</f>
        <v>22100.799999999999</v>
      </c>
    </row>
    <row r="51" spans="1:2" x14ac:dyDescent="0.3">
      <c r="A51" s="15">
        <f>VLOOKUP(Table1[[#This Row],[Spanish]],[1]written_es_wordlist_bigram_abso!$1:$1048576, 2, 0)</f>
        <v>31608.968986</v>
      </c>
      <c r="B51" s="15">
        <f>VLOOKUP(Table1[[#This Row],[Spanish]], [1]written_es_wordlist_bigram_abso!$1:$1048576, 3, 0)</f>
        <v>16274.6</v>
      </c>
    </row>
    <row r="52" spans="1:2" x14ac:dyDescent="0.3">
      <c r="A52" s="15">
        <f>VLOOKUP(Table1[[#This Row],[Spanish]],[1]written_es_wordlist_bigram_abso!$1:$1048576, 2, 0)</f>
        <v>35819.704752999998</v>
      </c>
      <c r="B52" s="15">
        <f>VLOOKUP(Table1[[#This Row],[Spanish]], [1]written_es_wordlist_bigram_abso!$1:$1048576, 3, 0)</f>
        <v>14927.8</v>
      </c>
    </row>
    <row r="53" spans="1:2" x14ac:dyDescent="0.3">
      <c r="A53" s="15">
        <f>VLOOKUP(Table1[[#This Row],[Spanish]],[1]written_es_wordlist_bigram_abso!$1:$1048576, 2, 0)</f>
        <v>21670.738641</v>
      </c>
      <c r="B53" s="15">
        <f>VLOOKUP(Table1[[#This Row],[Spanish]], [1]written_es_wordlist_bigram_abso!$1:$1048576, 3, 0)</f>
        <v>16647</v>
      </c>
    </row>
    <row r="54" spans="1:2" x14ac:dyDescent="0.3">
      <c r="A54" s="15">
        <f>VLOOKUP(Table1[[#This Row],[Spanish]],[1]written_es_wordlist_bigram_abso!$1:$1048576, 2, 0)</f>
        <v>39461.682474000001</v>
      </c>
      <c r="B54" s="15">
        <f>VLOOKUP(Table1[[#This Row],[Spanish]], [1]written_es_wordlist_bigram_abso!$1:$1048576, 3, 0)</f>
        <v>16802.2</v>
      </c>
    </row>
    <row r="55" spans="1:2" x14ac:dyDescent="0.3">
      <c r="A55" s="15">
        <f>VLOOKUP(Table1[[#This Row],[Spanish]],[1]written_es_wordlist_bigram_abso!$1:$1048576, 2, 0)</f>
        <v>28676.236914000001</v>
      </c>
      <c r="B55" s="15">
        <f>VLOOKUP(Table1[[#This Row],[Spanish]], [1]written_es_wordlist_bigram_abso!$1:$1048576, 3, 0)</f>
        <v>21339.666667000001</v>
      </c>
    </row>
    <row r="56" spans="1:2" x14ac:dyDescent="0.3">
      <c r="A56" s="15">
        <f>VLOOKUP(Table1[[#This Row],[Spanish]],[1]written_es_wordlist_bigram_abso!$1:$1048576, 2, 0)</f>
        <v>29987.741708000001</v>
      </c>
      <c r="B56" s="15">
        <f>VLOOKUP(Table1[[#This Row],[Spanish]], [1]written_es_wordlist_bigram_abso!$1:$1048576, 3, 0)</f>
        <v>20357</v>
      </c>
    </row>
    <row r="57" spans="1:2" x14ac:dyDescent="0.3">
      <c r="A57" s="15">
        <f>VLOOKUP(Table1[[#This Row],[Spanish]],[1]written_es_wordlist_bigram_abso!$1:$1048576, 2, 0)</f>
        <v>40249.415204999998</v>
      </c>
      <c r="B57" s="15">
        <f>VLOOKUP(Table1[[#This Row],[Spanish]], [1]written_es_wordlist_bigram_abso!$1:$1048576, 3, 0)</f>
        <v>19626.666667000001</v>
      </c>
    </row>
    <row r="58" spans="1:2" x14ac:dyDescent="0.3">
      <c r="A58" s="15">
        <f>VLOOKUP(Table1[[#This Row],[Spanish]],[1]written_es_wordlist_bigram_abso!$1:$1048576, 2, 0)</f>
        <v>35840.697824000003</v>
      </c>
      <c r="B58" s="15">
        <f>VLOOKUP(Table1[[#This Row],[Spanish]], [1]written_es_wordlist_bigram_abso!$1:$1048576, 3, 0)</f>
        <v>20860.2</v>
      </c>
    </row>
    <row r="59" spans="1:2" x14ac:dyDescent="0.3">
      <c r="A59" s="15">
        <f>VLOOKUP(Table1[[#This Row],[Spanish]],[1]written_es_wordlist_bigram_abso!$1:$1048576, 2, 0)</f>
        <v>35694.194691999997</v>
      </c>
      <c r="B59" s="15">
        <f>VLOOKUP(Table1[[#This Row],[Spanish]], [1]written_es_wordlist_bigram_abso!$1:$1048576, 3, 0)</f>
        <v>20924.400000000001</v>
      </c>
    </row>
    <row r="60" spans="1:2" x14ac:dyDescent="0.3">
      <c r="A60" s="15">
        <f>VLOOKUP(Table1[[#This Row],[Spanish]],[1]written_es_wordlist_bigram_abso!$1:$1048576, 2, 0)</f>
        <v>51453.139793000002</v>
      </c>
      <c r="B60" s="15">
        <f>VLOOKUP(Table1[[#This Row],[Spanish]], [1]written_es_wordlist_bigram_abso!$1:$1048576, 3, 0)</f>
        <v>27818.333332999999</v>
      </c>
    </row>
    <row r="61" spans="1:2" x14ac:dyDescent="0.3">
      <c r="A61" s="15">
        <f>VLOOKUP(Table1[[#This Row],[Spanish]],[1]written_es_wordlist_bigram_abso!$1:$1048576, 2, 0)</f>
        <v>28448.002828000001</v>
      </c>
      <c r="B61" s="15">
        <f>VLOOKUP(Table1[[#This Row],[Spanish]], [1]written_es_wordlist_bigram_abso!$1:$1048576, 3, 0)</f>
        <v>20637.5</v>
      </c>
    </row>
    <row r="62" spans="1:2" x14ac:dyDescent="0.3">
      <c r="A62" s="15">
        <f>VLOOKUP(Table1[[#This Row],[Spanish]],[1]written_es_wordlist_bigram_abso!$1:$1048576, 2, 0)</f>
        <v>35954.408175999997</v>
      </c>
      <c r="B62" s="15">
        <f>VLOOKUP(Table1[[#This Row],[Spanish]], [1]written_es_wordlist_bigram_abso!$1:$1048576, 3, 0)</f>
        <v>11338</v>
      </c>
    </row>
    <row r="63" spans="1:2" x14ac:dyDescent="0.3">
      <c r="A63" s="15">
        <f>VLOOKUP(Table1[[#This Row],[Spanish]],[1]written_es_wordlist_bigram_abso!$1:$1048576, 2, 0)</f>
        <v>48462.523824000004</v>
      </c>
      <c r="B63" s="15">
        <f>VLOOKUP(Table1[[#This Row],[Spanish]], [1]written_es_wordlist_bigram_abso!$1:$1048576, 3, 0)</f>
        <v>34566</v>
      </c>
    </row>
    <row r="64" spans="1:2" x14ac:dyDescent="0.3">
      <c r="A64" s="15">
        <f>VLOOKUP(Table1[[#This Row],[Spanish]],[1]written_es_wordlist_bigram_abso!$1:$1048576, 2, 0)</f>
        <v>13877.643717000001</v>
      </c>
      <c r="B64" s="15">
        <f>VLOOKUP(Table1[[#This Row],[Spanish]], [1]written_es_wordlist_bigram_abso!$1:$1048576, 3, 0)</f>
        <v>13162</v>
      </c>
    </row>
    <row r="65" spans="1:2" x14ac:dyDescent="0.3">
      <c r="A65" s="15">
        <f>VLOOKUP(Table1[[#This Row],[Spanish]],[1]written_es_wordlist_bigram_abso!$1:$1048576, 2, 0)</f>
        <v>16008.567972999999</v>
      </c>
      <c r="B65" s="15">
        <f>VLOOKUP(Table1[[#This Row],[Spanish]], [1]written_es_wordlist_bigram_abso!$1:$1048576, 3, 0)</f>
        <v>12620.8</v>
      </c>
    </row>
    <row r="66" spans="1:2" x14ac:dyDescent="0.3">
      <c r="A66" s="15">
        <f>VLOOKUP(Table1[[#This Row],[Spanish]],[1]written_es_wordlist_bigram_abso!$1:$1048576, 2, 0)</f>
        <v>6080.9645209999999</v>
      </c>
      <c r="B66" s="15">
        <f>VLOOKUP(Table1[[#This Row],[Spanish]], [1]written_es_wordlist_bigram_abso!$1:$1048576, 3, 0)</f>
        <v>3853</v>
      </c>
    </row>
    <row r="67" spans="1:2" x14ac:dyDescent="0.3">
      <c r="A67" s="15">
        <f>VLOOKUP(Table1[[#This Row],[Spanish]],[1]written_es_wordlist_bigram_abso!$1:$1048576, 2, 0)</f>
        <v>38455.44498</v>
      </c>
      <c r="B67" s="15">
        <f>VLOOKUP(Table1[[#This Row],[Spanish]], [1]written_es_wordlist_bigram_abso!$1:$1048576, 3, 0)</f>
        <v>21376</v>
      </c>
    </row>
    <row r="68" spans="1:2" x14ac:dyDescent="0.3">
      <c r="A68" s="15">
        <f>VLOOKUP(Table1[[#This Row],[Spanish]],[1]written_es_wordlist_bigram_abso!$1:$1048576, 2, 0)</f>
        <v>30112.865795000002</v>
      </c>
      <c r="B68" s="15">
        <f>VLOOKUP(Table1[[#This Row],[Spanish]], [1]written_es_wordlist_bigram_abso!$1:$1048576, 3, 0)</f>
        <v>21702.6</v>
      </c>
    </row>
    <row r="69" spans="1:2" x14ac:dyDescent="0.3">
      <c r="A69" s="15">
        <f>VLOOKUP(Table1[[#This Row],[Spanish]],[1]written_es_wordlist_bigram_abso!$1:$1048576, 2, 0)</f>
        <v>18872.278173999999</v>
      </c>
      <c r="B69" s="15">
        <f>VLOOKUP(Table1[[#This Row],[Spanish]], [1]written_es_wordlist_bigram_abso!$1:$1048576, 3, 0)</f>
        <v>11709.833333</v>
      </c>
    </row>
    <row r="70" spans="1:2" x14ac:dyDescent="0.3">
      <c r="A70" s="15">
        <f>VLOOKUP(Table1[[#This Row],[Spanish]],[1]written_es_wordlist_bigram_abso!$1:$1048576, 2, 0)</f>
        <v>41541.643951999999</v>
      </c>
      <c r="B70" s="15">
        <f>VLOOKUP(Table1[[#This Row],[Spanish]], [1]written_es_wordlist_bigram_abso!$1:$1048576, 3, 0)</f>
        <v>23911.833332999999</v>
      </c>
    </row>
    <row r="71" spans="1:2" x14ac:dyDescent="0.3">
      <c r="A71" s="15">
        <f>VLOOKUP(Table1[[#This Row],[Spanish]],[1]written_es_wordlist_bigram_abso!$1:$1048576, 2, 0)</f>
        <v>46934.786801000002</v>
      </c>
      <c r="B71" s="15">
        <f>VLOOKUP(Table1[[#This Row],[Spanish]], [1]written_es_wordlist_bigram_abso!$1:$1048576, 3, 0)</f>
        <v>25358.166667000001</v>
      </c>
    </row>
    <row r="72" spans="1:2" x14ac:dyDescent="0.3">
      <c r="A72" s="15">
        <f>VLOOKUP(Table1[[#This Row],[Spanish]],[1]written_es_wordlist_bigram_abso!$1:$1048576, 2, 0)</f>
        <v>22767.711176000001</v>
      </c>
      <c r="B72" s="15">
        <f>VLOOKUP(Table1[[#This Row],[Spanish]], [1]written_es_wordlist_bigram_abso!$1:$1048576, 3, 0)</f>
        <v>17367.599999999999</v>
      </c>
    </row>
    <row r="73" spans="1:2" x14ac:dyDescent="0.3">
      <c r="A73" s="15">
        <f>VLOOKUP(Table1[[#This Row],[Spanish]],[1]written_es_wordlist_bigram_abso!$1:$1048576, 2, 0)</f>
        <v>50534.333715000001</v>
      </c>
      <c r="B73" s="15">
        <f>VLOOKUP(Table1[[#This Row],[Spanish]], [1]written_es_wordlist_bigram_abso!$1:$1048576, 3, 0)</f>
        <v>17817</v>
      </c>
    </row>
    <row r="74" spans="1:2" x14ac:dyDescent="0.3">
      <c r="A74" s="15">
        <f>VLOOKUP(Table1[[#This Row],[Spanish]],[1]written_es_wordlist_bigram_abso!$1:$1048576, 2, 0)</f>
        <v>22892.294839999999</v>
      </c>
      <c r="B74" s="15">
        <f>VLOOKUP(Table1[[#This Row],[Spanish]], [1]written_es_wordlist_bigram_abso!$1:$1048576, 3, 0)</f>
        <v>16832.599999999999</v>
      </c>
    </row>
    <row r="75" spans="1:2" x14ac:dyDescent="0.3">
      <c r="A75" s="15">
        <f>VLOOKUP(Table1[[#This Row],[Spanish]],[1]written_es_wordlist_bigram_abso!$1:$1048576, 2, 0)</f>
        <v>8128.1265460000004</v>
      </c>
      <c r="B75" s="15">
        <f>VLOOKUP(Table1[[#This Row],[Spanish]], [1]written_es_wordlist_bigram_abso!$1:$1048576, 3, 0)</f>
        <v>6519.6666670000004</v>
      </c>
    </row>
    <row r="76" spans="1:2" x14ac:dyDescent="0.3">
      <c r="A76" s="15">
        <f>VLOOKUP(Table1[[#This Row],[Spanish]],[1]written_es_wordlist_bigram_abso!$1:$1048576, 2, 0)</f>
        <v>11742.426191</v>
      </c>
      <c r="B76" s="15">
        <f>VLOOKUP(Table1[[#This Row],[Spanish]], [1]written_es_wordlist_bigram_abso!$1:$1048576, 3, 0)</f>
        <v>4883.75</v>
      </c>
    </row>
    <row r="77" spans="1:2" x14ac:dyDescent="0.3">
      <c r="A77" s="15">
        <f>VLOOKUP(Table1[[#This Row],[Spanish]],[1]written_es_wordlist_bigram_abso!$1:$1048576, 2, 0)</f>
        <v>17803.490819999999</v>
      </c>
      <c r="B77" s="15">
        <f>VLOOKUP(Table1[[#This Row],[Spanish]], [1]written_es_wordlist_bigram_abso!$1:$1048576, 3, 0)</f>
        <v>14642.75</v>
      </c>
    </row>
    <row r="78" spans="1:2" x14ac:dyDescent="0.3">
      <c r="A78" s="15">
        <f>VLOOKUP(Table1[[#This Row],[Spanish]],[1]written_es_wordlist_bigram_abso!$1:$1048576, 2, 0)</f>
        <v>32253.482766000001</v>
      </c>
      <c r="B78" s="15">
        <f>VLOOKUP(Table1[[#This Row],[Spanish]], [1]written_es_wordlist_bigram_abso!$1:$1048576, 3, 0)</f>
        <v>23510.6</v>
      </c>
    </row>
    <row r="79" spans="1:2" x14ac:dyDescent="0.3">
      <c r="A79" s="15">
        <f>VLOOKUP(Table1[[#This Row],[Spanish]],[1]written_es_wordlist_bigram_abso!$1:$1048576, 2, 0)</f>
        <v>28190.958065999999</v>
      </c>
      <c r="B79" s="15">
        <f>VLOOKUP(Table1[[#This Row],[Spanish]], [1]written_es_wordlist_bigram_abso!$1:$1048576, 3, 0)</f>
        <v>14613.6</v>
      </c>
    </row>
    <row r="80" spans="1:2" x14ac:dyDescent="0.3">
      <c r="A80" s="23">
        <f>VLOOKUP(Table1[[#This Row],[Spanish]],[1]written_es_wordlist_bigram_abso!$1:$1048576, 2, 0)</f>
        <v>16601.8439</v>
      </c>
      <c r="B80" s="23">
        <f>VLOOKUP(Table1[[#This Row],[Spanish]], [1]written_es_wordlist_bigram_abso!$1:$1048576, 3, 0)</f>
        <v>12365.666667</v>
      </c>
    </row>
  </sheetData>
  <pageMargins left="0.7" right="0.7" top="0.75" bottom="0.75" header="0.3" footer="0.3"/>
  <pageSetup paperSize="9" orientation="portrait" horizontalDpi="360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Final_list (45 items)</vt:lpstr>
      <vt:lpstr>Practice_items</vt:lpstr>
      <vt:lpstr>Semantic_category</vt:lpstr>
      <vt:lpstr>BSQ_cognate_remove</vt:lpstr>
      <vt:lpstr>ENG_cognate_remove</vt:lpstr>
      <vt:lpstr>Bimanual_transitions</vt:lpstr>
      <vt:lpstr>Bigram_frequency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Katerina Tsaroucha</cp:lastModifiedBy>
  <dcterms:created xsi:type="dcterms:W3CDTF">2023-05-03T09:50:45Z</dcterms:created>
  <dcterms:modified xsi:type="dcterms:W3CDTF">2024-01-29T11:34:01Z</dcterms:modified>
</cp:coreProperties>
</file>