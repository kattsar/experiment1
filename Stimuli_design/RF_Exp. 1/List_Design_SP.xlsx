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57542814-50E2-4F0D-9E6F-D43005ED4282}" xr6:coauthVersionLast="47" xr6:coauthVersionMax="47" xr10:uidLastSave="{00000000-0000-0000-0000-000000000000}"/>
  <bookViews>
    <workbookView xWindow="-2916" yWindow="708" windowWidth="19788" windowHeight="12360" firstSheet="10" activeTab="13" xr2:uid="{00000000-000D-0000-FFFF-FFFF00000000}"/>
  </bookViews>
  <sheets>
    <sheet name="Sheet1" sheetId="1" r:id="rId1"/>
    <sheet name="Sheet2" sheetId="2" r:id="rId2"/>
    <sheet name="Sheet3" sheetId="3" r:id="rId3"/>
    <sheet name="Sheet4" sheetId="8" r:id="rId4"/>
    <sheet name="Sheet5" sheetId="9" r:id="rId5"/>
    <sheet name="List1" sheetId="4" r:id="rId6"/>
    <sheet name="List2" sheetId="5" r:id="rId7"/>
    <sheet name="List3" sheetId="6" r:id="rId8"/>
    <sheet name="List4" sheetId="7" r:id="rId9"/>
    <sheet name="Sheet9" sheetId="20" r:id="rId10"/>
    <sheet name="22.06_NT_fillers" sheetId="10" r:id="rId11"/>
    <sheet name="Sheet13" sheetId="23" r:id="rId12"/>
    <sheet name="Count_Item_per_Condition" sheetId="14" r:id="rId13"/>
    <sheet name="22.06_NT_fillers_Svetlana" sheetId="11" r:id="rId14"/>
    <sheet name="Sheet6" sheetId="17" r:id="rId15"/>
    <sheet name="Sheet10" sheetId="16" r:id="rId16"/>
  </sheets>
  <calcPr calcId="191029"/>
  <pivotCaches>
    <pivotCache cacheId="178" r:id="rId17"/>
    <pivotCache cacheId="179" r:id="rId18"/>
    <pivotCache cacheId="180" r:id="rId19"/>
    <pivotCache cacheId="181" r:id="rId20"/>
    <pivotCache cacheId="182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0" l="1"/>
  <c r="I75" i="10"/>
  <c r="H76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I367" i="11"/>
  <c r="J367" i="11"/>
  <c r="H267" i="11"/>
  <c r="H348" i="11"/>
  <c r="I348" i="11"/>
  <c r="J348" i="11"/>
  <c r="I267" i="11"/>
  <c r="J267" i="11"/>
  <c r="J3" i="11"/>
  <c r="J2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4" i="11"/>
  <c r="J163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60" i="11"/>
  <c r="J261" i="11"/>
  <c r="J262" i="11"/>
  <c r="J263" i="11"/>
  <c r="J264" i="11"/>
  <c r="J265" i="11"/>
  <c r="J266" i="11"/>
  <c r="J259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H4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4" i="11"/>
  <c r="I163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60" i="11"/>
  <c r="I261" i="11"/>
  <c r="I262" i="11"/>
  <c r="I263" i="11"/>
  <c r="I264" i="11"/>
  <c r="I265" i="11"/>
  <c r="I266" i="11"/>
  <c r="I259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2" i="11"/>
  <c r="H3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4" i="11"/>
  <c r="H163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60" i="11"/>
  <c r="H261" i="11"/>
  <c r="H262" i="11"/>
  <c r="H263" i="11"/>
  <c r="H264" i="11"/>
  <c r="H265" i="11"/>
  <c r="H266" i="11"/>
  <c r="H259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C62" i="2"/>
  <c r="C61" i="2"/>
  <c r="C60" i="2"/>
  <c r="C59" i="2"/>
  <c r="C56" i="2"/>
  <c r="C55" i="2"/>
  <c r="C54" i="2"/>
  <c r="C53" i="2"/>
  <c r="C44" i="2"/>
  <c r="C43" i="2"/>
  <c r="C42" i="2"/>
  <c r="C41" i="2"/>
  <c r="C40" i="2"/>
  <c r="C39" i="2"/>
  <c r="C36" i="2"/>
  <c r="C35" i="2"/>
  <c r="C32" i="2"/>
  <c r="C31" i="2"/>
  <c r="C30" i="2"/>
  <c r="C29" i="2"/>
  <c r="C28" i="2"/>
  <c r="C27" i="2"/>
  <c r="C24" i="2"/>
  <c r="C23" i="2"/>
  <c r="C3" i="2"/>
  <c r="C2" i="2"/>
  <c r="C4" i="2"/>
  <c r="C5" i="2"/>
  <c r="C6" i="2"/>
  <c r="C9" i="2"/>
  <c r="C10" i="2"/>
  <c r="C17" i="2"/>
  <c r="AF9" i="2"/>
  <c r="AB17" i="2"/>
  <c r="AC17" i="2"/>
  <c r="AB15" i="2"/>
  <c r="AC15" i="2" s="1"/>
  <c r="AB14" i="2"/>
  <c r="AB16" i="2" s="1"/>
  <c r="AB11" i="2"/>
  <c r="AC10" i="2"/>
  <c r="P30" i="11"/>
  <c r="M30" i="11"/>
</calcChain>
</file>

<file path=xl/sharedStrings.xml><?xml version="1.0" encoding="utf-8"?>
<sst xmlns="http://schemas.openxmlformats.org/spreadsheetml/2006/main" count="13209" uniqueCount="156">
  <si>
    <t>Type</t>
  </si>
  <si>
    <t>Speak</t>
  </si>
  <si>
    <t>Repeat</t>
  </si>
  <si>
    <t>Switch</t>
  </si>
  <si>
    <t>NT</t>
  </si>
  <si>
    <t>Stim1</t>
  </si>
  <si>
    <t>Stim2</t>
  </si>
  <si>
    <t>Stim3</t>
  </si>
  <si>
    <t>Stim4</t>
  </si>
  <si>
    <t>Stim5</t>
  </si>
  <si>
    <t>Stim6</t>
  </si>
  <si>
    <t>Stim7</t>
  </si>
  <si>
    <t>Stim8</t>
  </si>
  <si>
    <t>repeat</t>
  </si>
  <si>
    <t>switch</t>
  </si>
  <si>
    <t>64 trials</t>
  </si>
  <si>
    <t>trials per condition</t>
  </si>
  <si>
    <t>(fillers still to add)</t>
  </si>
  <si>
    <t>Set1</t>
  </si>
  <si>
    <t>Set2</t>
  </si>
  <si>
    <t>Set3</t>
  </si>
  <si>
    <t>Set4</t>
  </si>
  <si>
    <t>for each seq of 16 I need 8 fillers</t>
  </si>
  <si>
    <t xml:space="preserve"> </t>
  </si>
  <si>
    <t>Set</t>
  </si>
  <si>
    <t>Each word appears X1 per condition</t>
  </si>
  <si>
    <t>Target</t>
  </si>
  <si>
    <t>Modality</t>
  </si>
  <si>
    <t>Rep_Sw</t>
  </si>
  <si>
    <t>BREAK</t>
  </si>
  <si>
    <t>Fillers for Set 1 --&gt; Set 3</t>
  </si>
  <si>
    <t>Fillers for Set 3 --&gt; Set 2</t>
  </si>
  <si>
    <t>Stimulus</t>
  </si>
  <si>
    <t>F</t>
  </si>
  <si>
    <t>Equal number oF T &amp; S Fillers throughout the list</t>
  </si>
  <si>
    <t>Does it make any difference if the "block" ends in a target trial and not a filler?</t>
  </si>
  <si>
    <t>muñeca</t>
  </si>
  <si>
    <t>cazador</t>
  </si>
  <si>
    <t>falda</t>
  </si>
  <si>
    <t>cartero</t>
  </si>
  <si>
    <t>mano</t>
  </si>
  <si>
    <t>conejo</t>
  </si>
  <si>
    <t>miel</t>
  </si>
  <si>
    <t>camisa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</si>
  <si>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</si>
  <si>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</si>
  <si>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</si>
  <si>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</si>
  <si>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</si>
  <si>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</si>
  <si>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</si>
  <si>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</si>
  <si>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</si>
  <si>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</si>
  <si>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</si>
  <si>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</si>
  <si>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</si>
  <si>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</si>
  <si>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</si>
  <si>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</si>
  <si>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</si>
  <si>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</si>
  <si>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</si>
  <si>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</si>
  <si>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</si>
  <si>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</si>
  <si>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</si>
  <si>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</si>
  <si>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</si>
  <si>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</si>
  <si>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</si>
  <si>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</si>
  <si>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</si>
  <si>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</si>
  <si>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</si>
  <si>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</si>
  <si>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</si>
  <si>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</si>
  <si>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</si>
  <si>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</si>
  <si>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</si>
  <si>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</si>
  <si>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</si>
  <si>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</si>
  <si>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</si>
  <si>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</si>
  <si>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When calculating that you have 50% image repetition or image change you only count the 1st image of each pair.</t>
  </si>
  <si>
    <t>set</t>
  </si>
  <si>
    <t>Fillers for Set 2 --&gt; Set 1</t>
  </si>
  <si>
    <t>Fillers for Set 4 --&gt; Set 3</t>
  </si>
  <si>
    <t>(1 1)</t>
  </si>
  <si>
    <t>(2 2)</t>
  </si>
  <si>
    <t>(1 2)</t>
  </si>
  <si>
    <t>(2 1)</t>
  </si>
  <si>
    <t>(1 1) Repeat Type</t>
  </si>
  <si>
    <t>(2 2) Repeat Speak</t>
  </si>
  <si>
    <t>(1 2) Switch Type Speak</t>
  </si>
  <si>
    <t>(2 1) Switch Speak Type</t>
  </si>
  <si>
    <t>Stim5_Set5</t>
  </si>
  <si>
    <t>order1</t>
  </si>
  <si>
    <t>order2</t>
  </si>
  <si>
    <t>order3</t>
  </si>
  <si>
    <t>order4</t>
  </si>
  <si>
    <t>type_filler</t>
  </si>
  <si>
    <t>speak_filler</t>
  </si>
  <si>
    <t>Sequence</t>
  </si>
  <si>
    <t>vaso</t>
  </si>
  <si>
    <t>caracol</t>
  </si>
  <si>
    <t>pintor</t>
  </si>
  <si>
    <t>puente</t>
  </si>
  <si>
    <t>pavo</t>
  </si>
  <si>
    <t>aguja</t>
  </si>
  <si>
    <t>granja</t>
  </si>
  <si>
    <t>vaca</t>
  </si>
  <si>
    <t>iglesia</t>
  </si>
  <si>
    <t>fresa</t>
  </si>
  <si>
    <t>bombero</t>
  </si>
  <si>
    <t>cuerda</t>
  </si>
  <si>
    <t>manzana</t>
  </si>
  <si>
    <t>guante</t>
  </si>
  <si>
    <t>oveja</t>
  </si>
  <si>
    <t>baño</t>
  </si>
  <si>
    <t>pierna</t>
  </si>
  <si>
    <t>boca</t>
  </si>
  <si>
    <t>Picture</t>
  </si>
  <si>
    <t>oreja</t>
  </si>
  <si>
    <t>pulpo</t>
  </si>
  <si>
    <t>traje</t>
  </si>
  <si>
    <t>goma</t>
  </si>
  <si>
    <t>braga</t>
  </si>
  <si>
    <t>puerta</t>
  </si>
  <si>
    <t>here</t>
  </si>
  <si>
    <t>Additions</t>
  </si>
  <si>
    <t>Previous_modality_same</t>
  </si>
  <si>
    <t>Next_item_same_item</t>
  </si>
  <si>
    <t>Row Labels</t>
  </si>
  <si>
    <t>(blank)</t>
  </si>
  <si>
    <t>Grand Total</t>
  </si>
  <si>
    <t>Column Labels</t>
  </si>
  <si>
    <t>Count of Previous_modality_same</t>
  </si>
  <si>
    <t>Count of Next_item_same_item</t>
  </si>
  <si>
    <t>we want non-target trials to have preceding trials be in the same (1) or the other modality (0)</t>
  </si>
  <si>
    <t>for both speak and type trials</t>
  </si>
  <si>
    <t xml:space="preserve">I got confused whether we want that for fillers or non-target… </t>
  </si>
  <si>
    <t>in any case, numbers of 0 and 1 should be equal, for each modality, which doesn't look to be the case now</t>
  </si>
  <si>
    <t>items not repeated, not 2nd of a pair</t>
  </si>
  <si>
    <t>This is good! Half of the items are repeated, the other half are not</t>
  </si>
  <si>
    <t>Count of sequence</t>
  </si>
  <si>
    <t>0 Total</t>
  </si>
  <si>
    <t>1 Total</t>
  </si>
  <si>
    <t>Count of target</t>
  </si>
  <si>
    <t>previous_is_target</t>
  </si>
  <si>
    <t>Previous_is_target</t>
  </si>
  <si>
    <t>To maintain the consecutive-modality numbers: 2 types &amp; 2 speaks</t>
  </si>
  <si>
    <t>Fillers preceding NTs: 1 speak &amp; 2 types</t>
  </si>
  <si>
    <t>Problem: the 2 type fillers that precede NTs do not have an image assigned to them and I don't know what the best option should be. Because I do not have any other spare type filler trials in this sequence to exchange images in a sense.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</si>
</sst>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61"/>
    </font>
    <font>
      <sz val="12"/>
      <color rgb="FF000000"/>
      <name val="Times New Roman"/>
      <family val="1"/>
      <charset val="161"/>
    </font>
    <font>
      <sz val="11"/>
      <color theme="1"/>
      <name val="Calibri"/>
      <family val="2"/>
      <charset val="161"/>
    </font>
    <font>
      <sz val="8"/>
      <name val="Calibri"/>
      <family val="2"/>
      <charset val="161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FF4747"/>
      <name val="Calibri"/>
      <family val="2"/>
      <charset val="161"/>
    </font>
    <font>
      <sz val="11"/>
      <color rgb="FFFF0000"/>
      <name val="Calibri"/>
      <family val="2"/>
      <charset val="161"/>
    </font>
    <font>
      <b/>
      <sz val="11"/>
      <color rgb="FFFF0000"/>
      <name val="Calibri"/>
      <family val="2"/>
      <charset val="161"/>
    </font>
    <font>
      <sz val="11"/>
      <name val="Calibri"/>
      <family val="2"/>
      <charset val="161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6" tint="0.79998168889431442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theme="6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6" borderId="0" xfId="0" applyFont="1" applyFill="1"/>
    <xf numFmtId="0" fontId="0" fillId="8" borderId="0" xfId="0" applyFill="1"/>
    <xf numFmtId="0" fontId="8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5" xfId="0" applyFont="1" applyBorder="1"/>
    <xf numFmtId="0" fontId="9" fillId="6" borderId="0" xfId="0" applyFont="1" applyFill="1"/>
    <xf numFmtId="0" fontId="10" fillId="0" borderId="0" xfId="0" applyFont="1"/>
    <xf numFmtId="0" fontId="9" fillId="7" borderId="0" xfId="0" applyFont="1" applyFill="1"/>
    <xf numFmtId="0" fontId="9" fillId="0" borderId="0" xfId="0" applyFont="1"/>
    <xf numFmtId="0" fontId="9" fillId="4" borderId="0" xfId="0" applyFont="1" applyFill="1"/>
    <xf numFmtId="0" fontId="6" fillId="9" borderId="0" xfId="0" applyFont="1" applyFill="1"/>
    <xf numFmtId="0" fontId="7" fillId="9" borderId="0" xfId="0" applyFont="1" applyFill="1"/>
    <xf numFmtId="0" fontId="2" fillId="9" borderId="0" xfId="0" applyFont="1" applyFill="1"/>
    <xf numFmtId="0" fontId="6" fillId="6" borderId="5" xfId="0" applyFont="1" applyFill="1" applyBorder="1"/>
    <xf numFmtId="0" fontId="6" fillId="5" borderId="5" xfId="0" applyFont="1" applyFill="1" applyBorder="1"/>
    <xf numFmtId="0" fontId="2" fillId="10" borderId="0" xfId="0" applyFont="1" applyFill="1"/>
    <xf numFmtId="0" fontId="7" fillId="11" borderId="0" xfId="0" applyFont="1" applyFill="1"/>
    <xf numFmtId="0" fontId="0" fillId="0" borderId="0" xfId="0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6" borderId="0" xfId="0" applyFont="1" applyFill="1"/>
    <xf numFmtId="0" fontId="12" fillId="6" borderId="0" xfId="0" applyFont="1" applyFill="1"/>
    <xf numFmtId="0" fontId="13" fillId="0" borderId="5" xfId="0" applyFont="1" applyBorder="1"/>
    <xf numFmtId="0" fontId="4" fillId="12" borderId="0" xfId="0" applyFont="1" applyFill="1" applyAlignment="1">
      <alignment horizontal="center"/>
    </xf>
    <xf numFmtId="0" fontId="13" fillId="0" borderId="6" xfId="0" applyFont="1" applyBorder="1"/>
    <xf numFmtId="0" fontId="13" fillId="0" borderId="7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0" borderId="0" xfId="0" applyAlignment="1">
      <alignment horizontal="left" indent="1"/>
    </xf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left" indent="2"/>
    </xf>
    <xf numFmtId="0" fontId="6" fillId="13" borderId="0" xfId="0" applyFont="1" applyFill="1"/>
    <xf numFmtId="0" fontId="7" fillId="13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4" borderId="0" xfId="0" applyFont="1" applyFill="1"/>
    <xf numFmtId="0" fontId="7" fillId="14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5" borderId="0" xfId="0" applyFont="1" applyFill="1"/>
    <xf numFmtId="0" fontId="6" fillId="12" borderId="0" xfId="0" applyFont="1" applyFill="1"/>
    <xf numFmtId="0" fontId="7" fillId="0" borderId="8" xfId="0" applyFont="1" applyBorder="1"/>
    <xf numFmtId="0" fontId="11" fillId="15" borderId="0" xfId="0" applyFont="1" applyFill="1"/>
    <xf numFmtId="0" fontId="12" fillId="15" borderId="0" xfId="0" applyFont="1" applyFill="1"/>
  </cellXfs>
  <cellStyles count="1">
    <cellStyle name="Normal" xfId="0" builtinId="0" customBuiltin="1"/>
  </cellStyles>
  <dxfs count="7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rgb="FFA5A5A5"/>
        </top>
        <bottom style="thin">
          <color rgb="FFA5A5A5"/>
        </bottom>
      </border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colors>
    <mruColors>
      <color rgb="FF4FB8FF"/>
      <color rgb="FFFF4747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2.3980815347721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Type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900</c:v>
                </c:pt>
                <c:pt idx="1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5-47D2-A130-3AE7AC24AA29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Speak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400</c:v>
                </c:pt>
                <c:pt idx="1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5-47D2-A130-3AE7AC24A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15776"/>
        <c:axId val="86734336"/>
      </c:lineChart>
      <c:catAx>
        <c:axId val="867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6734336"/>
        <c:crosses val="autoZero"/>
        <c:auto val="1"/>
        <c:lblAlgn val="ctr"/>
        <c:lblOffset val="100"/>
        <c:noMultiLvlLbl val="0"/>
      </c:catAx>
      <c:valAx>
        <c:axId val="867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67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900</c:v>
                </c:pt>
                <c:pt idx="1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5-470F-B2A3-029B4418B786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Speak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400</c:v>
                </c:pt>
                <c:pt idx="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5-470F-B2A3-029B4418B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17408"/>
        <c:axId val="88418944"/>
      </c:barChart>
      <c:catAx>
        <c:axId val="8841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8418944"/>
        <c:crosses val="autoZero"/>
        <c:auto val="1"/>
        <c:lblAlgn val="ctr"/>
        <c:lblOffset val="100"/>
        <c:noMultiLvlLbl val="0"/>
      </c:catAx>
      <c:valAx>
        <c:axId val="884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841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</xdr:row>
      <xdr:rowOff>95250</xdr:rowOff>
    </xdr:from>
    <xdr:to>
      <xdr:col>12</xdr:col>
      <xdr:colOff>257175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BDC6F-8EE6-224B-A6FE-778D9696E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3</xdr:row>
      <xdr:rowOff>161925</xdr:rowOff>
    </xdr:from>
    <xdr:to>
      <xdr:col>21</xdr:col>
      <xdr:colOff>352425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CF9D4B-4164-29B1-0041-7BAE21313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04.643086458331" createdVersion="8" refreshedVersion="8" minRefreshableVersion="3" recordCount="393" xr:uid="{00000000-000A-0000-FFFF-FFFF00000000}">
  <cacheSource type="worksheet">
    <worksheetSource name="Table3811"/>
  </cacheSource>
  <cacheFields count="10">
    <cacheField name="set" numFmtId="0">
      <sharedItems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1"/>
        <n v="0"/>
      </sharedItems>
    </cacheField>
    <cacheField name="Next_item_same_item" numFmtId="0">
      <sharedItems containsString="0" containsBlank="1" containsNumber="1" containsInteger="1" minValue="0" maxValue="1" count="3">
        <n v="1"/>
        <n v="0"/>
        <m/>
      </sharedItems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10.530000347222" createdVersion="8" refreshedVersion="8" minRefreshableVersion="3" recordCount="397" xr:uid="{00000000-000A-0000-FFFF-FFFF01000000}">
  <cacheSource type="worksheet">
    <worksheetSource ref="A1:J1048576" sheet="22.06_NT_fillers_Svetlana"/>
  </cacheSource>
  <cacheFields count="10">
    <cacheField name="set" numFmtId="0">
      <sharedItems containsBlank="1"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Previous_modality_same" numFmtId="0">
      <sharedItems containsString="0" containsBlank="1" containsNumber="1" containsInteger="1" minValue="0" maxValue="1"/>
    </cacheField>
    <cacheField name="Next_item_same_item" numFmtId="0">
      <sharedItems containsString="0" containsBlank="1" containsNumber="1" containsInteger="1" minValue="0" maxValue="1"/>
    </cacheField>
    <cacheField name="previous_is_targe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10.530199074077" createdVersion="8" refreshedVersion="8" minRefreshableVersion="3" recordCount="396" xr:uid="{00000000-000A-0000-FFFF-FFFF02000000}">
  <cacheSource type="worksheet">
    <worksheetSource name="Table3811"/>
  </cacheSource>
  <cacheFields count="10">
    <cacheField name="set" numFmtId="0">
      <sharedItems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Previous_modality_same" numFmtId="0">
      <sharedItems containsString="0" containsBlank="1" containsNumber="1" containsInteger="1" minValue="0" maxValue="1" count="3">
        <n v="1"/>
        <n v="0"/>
        <m/>
      </sharedItems>
    </cacheField>
    <cacheField name="Next_item_same_item" numFmtId="0">
      <sharedItems containsString="0" containsBlank="1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10.54070208333" createdVersion="8" refreshedVersion="8" minRefreshableVersion="3" recordCount="394" xr:uid="{00000000-000A-0000-FFFF-FFFF03000000}">
  <cacheSource type="worksheet">
    <worksheetSource name="Table38"/>
  </cacheSource>
  <cacheFields count="10">
    <cacheField name="set" numFmtId="0">
      <sharedItems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 count="5">
        <s v="nontarget"/>
        <s v="repeat"/>
        <s v="filler"/>
        <s v="switch"/>
        <m/>
      </sharedItems>
    </cacheField>
    <cacheField name="stimulus" numFmtId="0">
      <sharedItems containsBlank="1" count="33">
        <s v="Stim1_Set1"/>
        <s v="Stim1_Set4"/>
        <s v="Stim2_Set1"/>
        <s v="Stim2_Set4"/>
        <s v="Stim3_Set1"/>
        <s v="Stim4_Set1"/>
        <s v="Stim3_Set4"/>
        <s v="Stim5_Set1"/>
        <s v="Stim4_Set4"/>
        <s v="Stim6_Set1"/>
        <s v="Stim5_Set4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Stim8_Set2"/>
        <s v="Stim1_Set3"/>
        <m/>
        <s v="Stim2_Set3"/>
        <s v="Stim3_Set3"/>
        <s v="Stim4_Set3"/>
        <s v="Stim5_Set3"/>
        <s v="Stim6_Set3"/>
        <s v="Stim7_Set3"/>
        <s v="Stim8_Set3"/>
      </sharedItems>
    </cacheField>
    <cacheField name="Additions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MixedTypes="1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10.569985416667" createdVersion="8" refreshedVersion="8" minRefreshableVersion="3" recordCount="394" xr:uid="{00000000-000A-0000-FFFF-FFFF04000000}">
  <cacheSource type="worksheet">
    <worksheetSource name="Table38"/>
  </cacheSource>
  <cacheFields count="10">
    <cacheField name="set" numFmtId="0">
      <sharedItems containsMixedTypes="1" containsNumber="1" containsInteger="1" minValue="1" maxValue="4"/>
    </cacheField>
    <cacheField name="sequence" numFmtId="0">
      <sharedItems containsString="0" containsBlank="1" containsNumber="1" containsInteger="1" minValue="1" maxValue="2"/>
    </cacheField>
    <cacheField name="modality" numFmtId="0">
      <sharedItems containsBlank="1" count="3">
        <s v="speak"/>
        <s v="type"/>
        <m/>
      </sharedItems>
    </cacheField>
    <cacheField name="target" numFmtId="0">
      <sharedItems containsBlank="1" count="4">
        <s v="NT"/>
        <s v="T"/>
        <s v="F"/>
        <m/>
      </sharedItems>
    </cacheField>
    <cacheField name="repSwitch" numFmtId="0">
      <sharedItems containsBlank="1" count="5">
        <s v="nontarget"/>
        <s v="repeat"/>
        <s v="filler"/>
        <s v="switch"/>
        <m/>
      </sharedItems>
    </cacheField>
    <cacheField name="stimulus" numFmtId="0">
      <sharedItems containsBlank="1" count="33">
        <s v="Stim1_Set1"/>
        <s v="Stim1_Set4"/>
        <s v="Stim2_Set1"/>
        <s v="Stim2_Set4"/>
        <s v="Stim3_Set1"/>
        <s v="Stim4_Set1"/>
        <s v="Stim3_Set4"/>
        <s v="Stim5_Set1"/>
        <s v="Stim4_Set4"/>
        <s v="Stim6_Set1"/>
        <s v="Stim5_Set4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Stim8_Set2"/>
        <s v="Stim1_Set3"/>
        <m/>
        <s v="Stim2_Set3"/>
        <s v="Stim3_Set3"/>
        <s v="Stim4_Set3"/>
        <s v="Stim5_Set3"/>
        <s v="Stim6_Set3"/>
        <s v="Stim7_Set3"/>
        <s v="Stim8_Set3"/>
      </sharedItems>
    </cacheField>
    <cacheField name="Additions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1"/>
        <n v="0"/>
      </sharedItems>
    </cacheField>
    <cacheField name="Next_item_same_item" numFmtId="0">
      <sharedItems containsMixedTypes="1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n v="1"/>
    <n v="2"/>
    <x v="0"/>
    <x v="0"/>
    <s v="nontarget"/>
    <s v="Stim1_Set1"/>
    <m/>
    <x v="0"/>
    <x v="0"/>
    <x v="0"/>
  </r>
  <r>
    <n v="1"/>
    <n v="2"/>
    <x v="0"/>
    <x v="1"/>
    <s v="repeat"/>
    <s v="Stim1_Set1"/>
    <m/>
    <x v="0"/>
    <x v="1"/>
    <x v="0"/>
  </r>
  <r>
    <n v="1"/>
    <n v="1"/>
    <x v="1"/>
    <x v="2"/>
    <s v="filler"/>
    <s v="Stim1_Set4"/>
    <m/>
    <x v="1"/>
    <x v="1"/>
    <x v="1"/>
  </r>
  <r>
    <n v="1"/>
    <n v="2"/>
    <x v="0"/>
    <x v="0"/>
    <s v="nontarget"/>
    <s v="Stim2_Set1"/>
    <m/>
    <x v="1"/>
    <x v="0"/>
    <x v="0"/>
  </r>
  <r>
    <n v="1"/>
    <n v="2"/>
    <x v="0"/>
    <x v="1"/>
    <s v="repeat"/>
    <s v="Stim2_Set1"/>
    <m/>
    <x v="0"/>
    <x v="1"/>
    <x v="0"/>
  </r>
  <r>
    <n v="1"/>
    <n v="1"/>
    <x v="1"/>
    <x v="2"/>
    <s v="filler"/>
    <s v="Stim2_Set4"/>
    <m/>
    <x v="1"/>
    <x v="1"/>
    <x v="1"/>
  </r>
  <r>
    <n v="1"/>
    <n v="2"/>
    <x v="0"/>
    <x v="0"/>
    <s v="nontarget"/>
    <s v="Stim3_Set1"/>
    <m/>
    <x v="1"/>
    <x v="0"/>
    <x v="0"/>
  </r>
  <r>
    <n v="1"/>
    <n v="1"/>
    <x v="1"/>
    <x v="1"/>
    <s v="switch"/>
    <s v="Stim3_Set1"/>
    <m/>
    <x v="1"/>
    <x v="1"/>
    <x v="0"/>
  </r>
  <r>
    <n v="1"/>
    <n v="1"/>
    <x v="1"/>
    <x v="0"/>
    <s v="nontarget"/>
    <s v="Stim4_Set1"/>
    <m/>
    <x v="0"/>
    <x v="0"/>
    <x v="1"/>
  </r>
  <r>
    <n v="1"/>
    <n v="2"/>
    <x v="0"/>
    <x v="1"/>
    <s v="switch"/>
    <s v="Stim4_Set1"/>
    <m/>
    <x v="1"/>
    <x v="1"/>
    <x v="0"/>
  </r>
  <r>
    <n v="1"/>
    <n v="2"/>
    <x v="0"/>
    <x v="2"/>
    <s v="filler"/>
    <s v="Stim3_Set4"/>
    <m/>
    <x v="0"/>
    <x v="1"/>
    <x v="1"/>
  </r>
  <r>
    <n v="1"/>
    <n v="2"/>
    <x v="0"/>
    <x v="0"/>
    <s v="nontarget"/>
    <s v="Stim5_Set1"/>
    <m/>
    <x v="0"/>
    <x v="0"/>
    <x v="0"/>
  </r>
  <r>
    <n v="1"/>
    <n v="1"/>
    <x v="1"/>
    <x v="1"/>
    <s v="switch"/>
    <s v="Stim5_Set1"/>
    <m/>
    <x v="1"/>
    <x v="1"/>
    <x v="0"/>
  </r>
  <r>
    <n v="1"/>
    <n v="2"/>
    <x v="0"/>
    <x v="2"/>
    <s v="filler"/>
    <s v="Stim4_Set4"/>
    <m/>
    <x v="1"/>
    <x v="1"/>
    <x v="1"/>
  </r>
  <r>
    <n v="1"/>
    <n v="1"/>
    <x v="1"/>
    <x v="0"/>
    <s v="nontarget"/>
    <s v="Stim6_Set1"/>
    <m/>
    <x v="1"/>
    <x v="0"/>
    <x v="0"/>
  </r>
  <r>
    <n v="1"/>
    <n v="1"/>
    <x v="1"/>
    <x v="1"/>
    <s v="repeat"/>
    <s v="Stim6_Set1"/>
    <m/>
    <x v="0"/>
    <x v="1"/>
    <x v="0"/>
  </r>
  <r>
    <n v="1"/>
    <n v="2"/>
    <x v="0"/>
    <x v="2"/>
    <s v="filler"/>
    <s v="Stim5_Set4"/>
    <m/>
    <x v="1"/>
    <x v="1"/>
    <x v="1"/>
  </r>
  <r>
    <n v="1"/>
    <n v="1"/>
    <x v="1"/>
    <x v="2"/>
    <s v="filler"/>
    <s v="Stim7_Set4"/>
    <m/>
    <x v="1"/>
    <x v="1"/>
    <x v="0"/>
  </r>
  <r>
    <n v="1"/>
    <n v="1"/>
    <x v="1"/>
    <x v="0"/>
    <s v="nontarget"/>
    <s v="Stim7_Set1"/>
    <m/>
    <x v="0"/>
    <x v="0"/>
    <x v="0"/>
  </r>
  <r>
    <n v="1"/>
    <n v="1"/>
    <x v="1"/>
    <x v="1"/>
    <s v="repeat"/>
    <s v="Stim7_Set1"/>
    <m/>
    <x v="0"/>
    <x v="1"/>
    <x v="0"/>
  </r>
  <r>
    <n v="1"/>
    <n v="2"/>
    <x v="0"/>
    <x v="2"/>
    <s v="filler"/>
    <s v="Stim6_Set4"/>
    <m/>
    <x v="1"/>
    <x v="1"/>
    <x v="1"/>
  </r>
  <r>
    <n v="1"/>
    <n v="1"/>
    <x v="1"/>
    <x v="2"/>
    <s v="filler"/>
    <s v="Stim8_Set4"/>
    <m/>
    <x v="1"/>
    <x v="1"/>
    <x v="0"/>
  </r>
  <r>
    <n v="1"/>
    <n v="1"/>
    <x v="1"/>
    <x v="0"/>
    <s v="nontarget"/>
    <s v="Stim8_Set1"/>
    <m/>
    <x v="0"/>
    <x v="0"/>
    <x v="0"/>
  </r>
  <r>
    <n v="1"/>
    <n v="2"/>
    <x v="0"/>
    <x v="1"/>
    <s v="switch"/>
    <s v="Stim8_Set1"/>
    <m/>
    <x v="1"/>
    <x v="1"/>
    <x v="0"/>
  </r>
  <r>
    <n v="2"/>
    <n v="2"/>
    <x v="0"/>
    <x v="2"/>
    <s v="filler"/>
    <s v="Stim1_Set1"/>
    <m/>
    <x v="0"/>
    <x v="1"/>
    <x v="1"/>
  </r>
  <r>
    <n v="2"/>
    <n v="1"/>
    <x v="1"/>
    <x v="0"/>
    <s v="nontarget"/>
    <s v="Stim1_Set2"/>
    <m/>
    <x v="1"/>
    <x v="0"/>
    <x v="0"/>
  </r>
  <r>
    <n v="2"/>
    <n v="1"/>
    <x v="1"/>
    <x v="1"/>
    <s v="repeat"/>
    <s v="Stim1_Set2"/>
    <m/>
    <x v="0"/>
    <x v="1"/>
    <x v="0"/>
  </r>
  <r>
    <n v="2"/>
    <n v="2"/>
    <x v="0"/>
    <x v="2"/>
    <s v="filler"/>
    <s v="Stim2_Set1"/>
    <m/>
    <x v="1"/>
    <x v="1"/>
    <x v="1"/>
  </r>
  <r>
    <n v="2"/>
    <n v="1"/>
    <x v="1"/>
    <x v="0"/>
    <s v="nontarget"/>
    <s v="Stim2_Set2"/>
    <m/>
    <x v="1"/>
    <x v="0"/>
    <x v="0"/>
  </r>
  <r>
    <n v="2"/>
    <n v="1"/>
    <x v="1"/>
    <x v="1"/>
    <s v="repeat"/>
    <s v="Stim2_Set2"/>
    <m/>
    <x v="0"/>
    <x v="1"/>
    <x v="0"/>
  </r>
  <r>
    <n v="2"/>
    <n v="1"/>
    <x v="1"/>
    <x v="0"/>
    <s v="nontarget"/>
    <s v="Stim3_Set2"/>
    <m/>
    <x v="0"/>
    <x v="0"/>
    <x v="1"/>
  </r>
  <r>
    <n v="2"/>
    <n v="2"/>
    <x v="0"/>
    <x v="1"/>
    <s v="switch"/>
    <s v="Stim3_Set2"/>
    <m/>
    <x v="1"/>
    <x v="1"/>
    <x v="0"/>
  </r>
  <r>
    <n v="2"/>
    <n v="2"/>
    <x v="0"/>
    <x v="0"/>
    <s v="nontarget"/>
    <s v="Stim4_Set2"/>
    <m/>
    <x v="0"/>
    <x v="0"/>
    <x v="1"/>
  </r>
  <r>
    <n v="2"/>
    <n v="1"/>
    <x v="1"/>
    <x v="1"/>
    <s v="switch"/>
    <s v="Stim4_Set2"/>
    <m/>
    <x v="1"/>
    <x v="1"/>
    <x v="0"/>
  </r>
  <r>
    <n v="2"/>
    <n v="1"/>
    <x v="1"/>
    <x v="2"/>
    <s v="filler"/>
    <s v="Stim3_Set1"/>
    <m/>
    <x v="0"/>
    <x v="1"/>
    <x v="1"/>
  </r>
  <r>
    <n v="2"/>
    <n v="1"/>
    <x v="1"/>
    <x v="0"/>
    <s v="nontarget"/>
    <s v="Stim5_Set2"/>
    <m/>
    <x v="0"/>
    <x v="0"/>
    <x v="0"/>
  </r>
  <r>
    <n v="2"/>
    <n v="2"/>
    <x v="0"/>
    <x v="1"/>
    <s v="switch"/>
    <s v="Stim5_Set2"/>
    <m/>
    <x v="1"/>
    <x v="1"/>
    <x v="0"/>
  </r>
  <r>
    <n v="2"/>
    <n v="1"/>
    <x v="1"/>
    <x v="2"/>
    <s v="filler"/>
    <s v="Stim4_Set1"/>
    <m/>
    <x v="1"/>
    <x v="1"/>
    <x v="1"/>
  </r>
  <r>
    <n v="2"/>
    <n v="2"/>
    <x v="0"/>
    <x v="2"/>
    <s v="filler"/>
    <s v="Stim5_Set1"/>
    <m/>
    <x v="1"/>
    <x v="1"/>
    <x v="0"/>
  </r>
  <r>
    <n v="2"/>
    <n v="2"/>
    <x v="0"/>
    <x v="0"/>
    <s v="nontarget"/>
    <s v="Stim6_Set2"/>
    <m/>
    <x v="0"/>
    <x v="0"/>
    <x v="0"/>
  </r>
  <r>
    <n v="2"/>
    <n v="2"/>
    <x v="0"/>
    <x v="1"/>
    <s v="repeat"/>
    <s v="Stim6_Set2"/>
    <m/>
    <x v="0"/>
    <x v="1"/>
    <x v="0"/>
  </r>
  <r>
    <n v="2"/>
    <n v="1"/>
    <x v="1"/>
    <x v="2"/>
    <s v="filler"/>
    <s v="Stim6_Set1"/>
    <m/>
    <x v="1"/>
    <x v="1"/>
    <x v="1"/>
  </r>
  <r>
    <n v="2"/>
    <n v="2"/>
    <x v="0"/>
    <x v="0"/>
    <s v="nontarget"/>
    <s v="Stim7_Set2"/>
    <m/>
    <x v="1"/>
    <x v="0"/>
    <x v="0"/>
  </r>
  <r>
    <n v="2"/>
    <n v="2"/>
    <x v="0"/>
    <x v="1"/>
    <s v="repeat"/>
    <s v="Stim7_Set2"/>
    <m/>
    <x v="0"/>
    <x v="1"/>
    <x v="0"/>
  </r>
  <r>
    <n v="2"/>
    <n v="1"/>
    <x v="1"/>
    <x v="2"/>
    <s v="filler"/>
    <s v="Stim7_Set1"/>
    <m/>
    <x v="1"/>
    <x v="1"/>
    <x v="1"/>
  </r>
  <r>
    <n v="2"/>
    <n v="2"/>
    <x v="0"/>
    <x v="2"/>
    <s v="filler"/>
    <s v="Stim8_Set1"/>
    <m/>
    <x v="1"/>
    <x v="1"/>
    <x v="0"/>
  </r>
  <r>
    <n v="2"/>
    <n v="2"/>
    <x v="0"/>
    <x v="0"/>
    <s v="nontarget"/>
    <s v="Stim8_Set2"/>
    <m/>
    <x v="0"/>
    <x v="0"/>
    <x v="0"/>
  </r>
  <r>
    <n v="2"/>
    <n v="1"/>
    <x v="1"/>
    <x v="1"/>
    <s v="switch"/>
    <s v="Stim8_Set2"/>
    <m/>
    <x v="1"/>
    <x v="1"/>
    <x v="0"/>
  </r>
  <r>
    <n v="3"/>
    <n v="2"/>
    <x v="0"/>
    <x v="2"/>
    <s v="filler"/>
    <m/>
    <s v="here"/>
    <x v="1"/>
    <x v="1"/>
    <x v="1"/>
  </r>
  <r>
    <n v="3"/>
    <n v="1"/>
    <x v="1"/>
    <x v="0"/>
    <s v="nontarget"/>
    <s v="Stim1_Set3"/>
    <m/>
    <x v="1"/>
    <x v="0"/>
    <x v="0"/>
  </r>
  <r>
    <n v="3"/>
    <n v="2"/>
    <x v="0"/>
    <x v="1"/>
    <s v="switch"/>
    <s v="Stim1_Set3"/>
    <m/>
    <x v="1"/>
    <x v="1"/>
    <x v="0"/>
  </r>
  <r>
    <n v="3"/>
    <n v="2"/>
    <x v="0"/>
    <x v="2"/>
    <s v="filler"/>
    <m/>
    <s v="here"/>
    <x v="0"/>
    <x v="1"/>
    <x v="1"/>
  </r>
  <r>
    <n v="3"/>
    <n v="2"/>
    <x v="0"/>
    <x v="0"/>
    <s v="nontarget"/>
    <s v="Stim2_Set3"/>
    <m/>
    <x v="0"/>
    <x v="0"/>
    <x v="0"/>
  </r>
  <r>
    <n v="3"/>
    <n v="1"/>
    <x v="1"/>
    <x v="1"/>
    <s v="switch"/>
    <s v="Stim2_Set3"/>
    <m/>
    <x v="1"/>
    <x v="1"/>
    <x v="0"/>
  </r>
  <r>
    <n v="3"/>
    <n v="1"/>
    <x v="1"/>
    <x v="2"/>
    <s v="filler"/>
    <s v="Stim1_Set2"/>
    <m/>
    <x v="0"/>
    <x v="1"/>
    <x v="1"/>
  </r>
  <r>
    <n v="3"/>
    <n v="1"/>
    <x v="1"/>
    <x v="0"/>
    <s v="nontarget"/>
    <s v="Stim3_Set3"/>
    <m/>
    <x v="0"/>
    <x v="0"/>
    <x v="0"/>
  </r>
  <r>
    <n v="3"/>
    <n v="2"/>
    <x v="0"/>
    <x v="1"/>
    <s v="switch"/>
    <s v="Stim3_Set3"/>
    <m/>
    <x v="1"/>
    <x v="1"/>
    <x v="0"/>
  </r>
  <r>
    <n v="3"/>
    <n v="1"/>
    <x v="1"/>
    <x v="2"/>
    <s v="filler"/>
    <s v="Stim2_Set2"/>
    <m/>
    <x v="1"/>
    <x v="1"/>
    <x v="1"/>
  </r>
  <r>
    <n v="3"/>
    <n v="2"/>
    <x v="0"/>
    <x v="0"/>
    <s v="nontarget"/>
    <s v="Stim4_Set3"/>
    <m/>
    <x v="1"/>
    <x v="0"/>
    <x v="0"/>
  </r>
  <r>
    <n v="3"/>
    <n v="2"/>
    <x v="0"/>
    <x v="1"/>
    <s v="repeat"/>
    <s v="Stim4_Set3"/>
    <m/>
    <x v="0"/>
    <x v="1"/>
    <x v="0"/>
  </r>
  <r>
    <n v="3"/>
    <n v="2"/>
    <x v="0"/>
    <x v="2"/>
    <s v="filler"/>
    <s v="Stim3_Set2"/>
    <m/>
    <x v="0"/>
    <x v="1"/>
    <x v="1"/>
  </r>
  <r>
    <n v="3"/>
    <n v="1"/>
    <x v="1"/>
    <x v="2"/>
    <s v="filler"/>
    <s v="Stim4_Set2"/>
    <m/>
    <x v="1"/>
    <x v="1"/>
    <x v="0"/>
  </r>
  <r>
    <n v="3"/>
    <n v="2"/>
    <x v="0"/>
    <x v="2"/>
    <s v="filler"/>
    <s v="Stim5_Set2"/>
    <m/>
    <x v="1"/>
    <x v="1"/>
    <x v="0"/>
  </r>
  <r>
    <n v="3"/>
    <n v="2"/>
    <x v="0"/>
    <x v="0"/>
    <s v="nontarget"/>
    <s v="Stim5_Set3"/>
    <m/>
    <x v="0"/>
    <x v="0"/>
    <x v="0"/>
  </r>
  <r>
    <n v="3"/>
    <n v="2"/>
    <x v="0"/>
    <x v="1"/>
    <s v="repeat"/>
    <s v="Stim5_Set3"/>
    <m/>
    <x v="0"/>
    <x v="1"/>
    <x v="0"/>
  </r>
  <r>
    <n v="3"/>
    <n v="1"/>
    <x v="1"/>
    <x v="2"/>
    <s v="filler"/>
    <m/>
    <s v="here"/>
    <x v="1"/>
    <x v="1"/>
    <x v="1"/>
  </r>
  <r>
    <n v="3"/>
    <n v="2"/>
    <x v="0"/>
    <x v="0"/>
    <s v="nontarget"/>
    <s v="Stim6_Set3"/>
    <m/>
    <x v="1"/>
    <x v="0"/>
    <x v="0"/>
  </r>
  <r>
    <n v="3"/>
    <n v="1"/>
    <x v="1"/>
    <x v="1"/>
    <s v="switch"/>
    <s v="Stim6_Set3"/>
    <m/>
    <x v="1"/>
    <x v="1"/>
    <x v="0"/>
  </r>
  <r>
    <n v="3"/>
    <n v="2"/>
    <x v="0"/>
    <x v="2"/>
    <s v="filler"/>
    <s v="Stim6_Set2"/>
    <m/>
    <x v="1"/>
    <x v="1"/>
    <x v="1"/>
  </r>
  <r>
    <n v="3"/>
    <n v="1"/>
    <x v="1"/>
    <x v="0"/>
    <s v="nontarget"/>
    <s v="Stim7_Set3"/>
    <m/>
    <x v="1"/>
    <x v="0"/>
    <x v="0"/>
  </r>
  <r>
    <n v="3"/>
    <n v="1"/>
    <x v="1"/>
    <x v="1"/>
    <s v="repeat"/>
    <s v="Stim7_Set3"/>
    <m/>
    <x v="0"/>
    <x v="1"/>
    <x v="0"/>
  </r>
  <r>
    <n v="3"/>
    <n v="2"/>
    <x v="0"/>
    <x v="2"/>
    <s v="filler"/>
    <s v="Stim7_Set2"/>
    <m/>
    <x v="1"/>
    <x v="1"/>
    <x v="1"/>
  </r>
  <r>
    <n v="3"/>
    <n v="1"/>
    <x v="1"/>
    <x v="2"/>
    <s v="filler"/>
    <s v="Stim8_Set2"/>
    <m/>
    <x v="1"/>
    <x v="1"/>
    <x v="0"/>
  </r>
  <r>
    <n v="3"/>
    <n v="1"/>
    <x v="1"/>
    <x v="0"/>
    <s v="nontarget"/>
    <s v="Stim8_Set3"/>
    <m/>
    <x v="0"/>
    <x v="0"/>
    <x v="0"/>
  </r>
  <r>
    <n v="3"/>
    <n v="1"/>
    <x v="1"/>
    <x v="1"/>
    <s v="repeat"/>
    <s v="Stim8_Set3"/>
    <m/>
    <x v="0"/>
    <x v="1"/>
    <x v="0"/>
  </r>
  <r>
    <n v="4"/>
    <n v="2"/>
    <x v="0"/>
    <x v="2"/>
    <s v="filler"/>
    <s v="Stim1_Set3"/>
    <m/>
    <x v="1"/>
    <x v="1"/>
    <x v="1"/>
  </r>
  <r>
    <n v="4"/>
    <n v="1"/>
    <x v="1"/>
    <x v="0"/>
    <s v="nontarget"/>
    <s v="Stim1_Set4"/>
    <m/>
    <x v="1"/>
    <x v="0"/>
    <x v="0"/>
  </r>
  <r>
    <n v="4"/>
    <n v="1"/>
    <x v="1"/>
    <x v="1"/>
    <s v="repeat"/>
    <s v="Stim1_Set4"/>
    <m/>
    <x v="0"/>
    <x v="1"/>
    <x v="0"/>
  </r>
  <r>
    <n v="4"/>
    <n v="1"/>
    <x v="1"/>
    <x v="0"/>
    <s v="nontarget"/>
    <s v="Stim2_Set4"/>
    <m/>
    <x v="0"/>
    <x v="0"/>
    <x v="1"/>
  </r>
  <r>
    <n v="4"/>
    <n v="2"/>
    <x v="0"/>
    <x v="1"/>
    <s v="switch"/>
    <s v="Stim2_Set4"/>
    <m/>
    <x v="1"/>
    <x v="1"/>
    <x v="0"/>
  </r>
  <r>
    <n v="4"/>
    <n v="1"/>
    <x v="1"/>
    <x v="2"/>
    <s v="filler"/>
    <s v="Stim2_Set3"/>
    <m/>
    <x v="1"/>
    <x v="1"/>
    <x v="1"/>
  </r>
  <r>
    <n v="4"/>
    <n v="1"/>
    <x v="1"/>
    <x v="2"/>
    <s v="filler"/>
    <s v="Stim3_Set3"/>
    <m/>
    <x v="0"/>
    <x v="1"/>
    <x v="0"/>
  </r>
  <r>
    <n v="4"/>
    <n v="2"/>
    <x v="0"/>
    <x v="0"/>
    <s v="nontarget"/>
    <s v="Stim3_Set4"/>
    <m/>
    <x v="1"/>
    <x v="0"/>
    <x v="0"/>
  </r>
  <r>
    <n v="4"/>
    <n v="2"/>
    <x v="0"/>
    <x v="1"/>
    <s v="repeat"/>
    <s v="Stim3_Set4"/>
    <m/>
    <x v="0"/>
    <x v="1"/>
    <x v="0"/>
  </r>
  <r>
    <n v="4"/>
    <n v="2"/>
    <x v="0"/>
    <x v="0"/>
    <s v="nontarget"/>
    <s v="Stim4_Set4"/>
    <m/>
    <x v="0"/>
    <x v="0"/>
    <x v="1"/>
  </r>
  <r>
    <n v="4"/>
    <n v="1"/>
    <x v="1"/>
    <x v="1"/>
    <s v="switch"/>
    <s v="Stim4_Set4"/>
    <m/>
    <x v="1"/>
    <x v="1"/>
    <x v="0"/>
  </r>
  <r>
    <n v="4"/>
    <n v="1"/>
    <x v="1"/>
    <x v="2"/>
    <s v="filler"/>
    <s v="Stim4_Set3"/>
    <m/>
    <x v="0"/>
    <x v="1"/>
    <x v="1"/>
  </r>
  <r>
    <n v="4"/>
    <n v="1"/>
    <x v="1"/>
    <x v="0"/>
    <s v="nontarget"/>
    <s v="Stim5_Set4"/>
    <m/>
    <x v="0"/>
    <x v="0"/>
    <x v="0"/>
  </r>
  <r>
    <n v="4"/>
    <n v="2"/>
    <x v="0"/>
    <x v="1"/>
    <s v="switch"/>
    <s v="Stim5_Set4"/>
    <m/>
    <x v="1"/>
    <x v="1"/>
    <x v="0"/>
  </r>
  <r>
    <n v="4"/>
    <n v="2"/>
    <x v="0"/>
    <x v="0"/>
    <s v="nontarget"/>
    <s v="Stim6_Set4"/>
    <m/>
    <x v="0"/>
    <x v="0"/>
    <x v="1"/>
  </r>
  <r>
    <n v="4"/>
    <n v="2"/>
    <x v="0"/>
    <x v="1"/>
    <s v="repeat"/>
    <s v="Stim6_Set4"/>
    <m/>
    <x v="0"/>
    <x v="1"/>
    <x v="0"/>
  </r>
  <r>
    <n v="4"/>
    <n v="1"/>
    <x v="1"/>
    <x v="2"/>
    <s v="filler"/>
    <s v="Stim5_Set3"/>
    <m/>
    <x v="1"/>
    <x v="1"/>
    <x v="1"/>
  </r>
  <r>
    <n v="4"/>
    <n v="2"/>
    <x v="0"/>
    <x v="2"/>
    <s v="filler"/>
    <s v="Stim7_Set3"/>
    <m/>
    <x v="1"/>
    <x v="1"/>
    <x v="0"/>
  </r>
  <r>
    <n v="4"/>
    <n v="2"/>
    <x v="0"/>
    <x v="0"/>
    <s v="nontarget"/>
    <s v="Stim7_Set4"/>
    <m/>
    <x v="0"/>
    <x v="0"/>
    <x v="0"/>
  </r>
  <r>
    <n v="4"/>
    <n v="1"/>
    <x v="1"/>
    <x v="1"/>
    <s v="switch"/>
    <s v="Stim7_Set4"/>
    <m/>
    <x v="1"/>
    <x v="1"/>
    <x v="0"/>
  </r>
  <r>
    <n v="4"/>
    <n v="1"/>
    <x v="1"/>
    <x v="0"/>
    <s v="nontarget"/>
    <s v="Stim8_Set4"/>
    <m/>
    <x v="0"/>
    <x v="0"/>
    <x v="1"/>
  </r>
  <r>
    <n v="4"/>
    <n v="1"/>
    <x v="1"/>
    <x v="1"/>
    <s v="repeat"/>
    <s v="Stim8_Set4"/>
    <m/>
    <x v="0"/>
    <x v="1"/>
    <x v="0"/>
  </r>
  <r>
    <n v="4"/>
    <n v="1"/>
    <x v="0"/>
    <x v="2"/>
    <s v="filler"/>
    <s v="Stim8_Set3"/>
    <m/>
    <x v="1"/>
    <x v="1"/>
    <x v="1"/>
  </r>
  <r>
    <n v="4"/>
    <n v="1"/>
    <x v="1"/>
    <x v="2"/>
    <s v="filler"/>
    <s v="Stim6_Set3"/>
    <m/>
    <x v="1"/>
    <x v="1"/>
    <x v="0"/>
  </r>
  <r>
    <s v="BREAK"/>
    <m/>
    <x v="2"/>
    <x v="3"/>
    <m/>
    <m/>
    <m/>
    <x v="1"/>
    <x v="1"/>
    <x v="0"/>
  </r>
  <r>
    <n v="1"/>
    <n v="2"/>
    <x v="0"/>
    <x v="0"/>
    <s v="nontarget"/>
    <s v="Stim4_Set1"/>
    <m/>
    <x v="1"/>
    <x v="0"/>
    <x v="0"/>
  </r>
  <r>
    <n v="1"/>
    <n v="2"/>
    <x v="0"/>
    <x v="1"/>
    <s v="repeat"/>
    <s v="Stim4_Set1"/>
    <m/>
    <x v="0"/>
    <x v="1"/>
    <x v="0"/>
  </r>
  <r>
    <n v="1"/>
    <n v="1"/>
    <x v="1"/>
    <x v="2"/>
    <s v="filler"/>
    <s v="Stim3_Set4"/>
    <m/>
    <x v="1"/>
    <x v="1"/>
    <x v="1"/>
  </r>
  <r>
    <n v="1"/>
    <n v="2"/>
    <x v="0"/>
    <x v="0"/>
    <s v="nontarget"/>
    <s v="Stim3_Set1"/>
    <m/>
    <x v="1"/>
    <x v="0"/>
    <x v="0"/>
  </r>
  <r>
    <n v="1"/>
    <n v="2"/>
    <x v="0"/>
    <x v="1"/>
    <s v="repeat"/>
    <s v="Stim3_Set1"/>
    <m/>
    <x v="0"/>
    <x v="1"/>
    <x v="0"/>
  </r>
  <r>
    <n v="1"/>
    <n v="1"/>
    <x v="1"/>
    <x v="2"/>
    <s v="filler"/>
    <m/>
    <s v="here"/>
    <x v="1"/>
    <x v="1"/>
    <x v="1"/>
  </r>
  <r>
    <n v="1"/>
    <n v="2"/>
    <x v="0"/>
    <x v="2"/>
    <s v="filler"/>
    <s v="Stim8_Set4"/>
    <m/>
    <x v="1"/>
    <x v="1"/>
    <x v="0"/>
  </r>
  <r>
    <n v="1"/>
    <n v="2"/>
    <x v="0"/>
    <x v="0"/>
    <s v="nontarget"/>
    <s v="Stim6_Set1"/>
    <m/>
    <x v="0"/>
    <x v="0"/>
    <x v="0"/>
  </r>
  <r>
    <n v="1"/>
    <n v="1"/>
    <x v="1"/>
    <x v="1"/>
    <s v="switch"/>
    <s v="Stim6_Set1"/>
    <m/>
    <x v="1"/>
    <x v="1"/>
    <x v="0"/>
  </r>
  <r>
    <n v="1"/>
    <n v="1"/>
    <x v="1"/>
    <x v="2"/>
    <s v="filler"/>
    <s v="Stim4_Set4"/>
    <m/>
    <x v="0"/>
    <x v="1"/>
    <x v="1"/>
  </r>
  <r>
    <n v="1"/>
    <n v="1"/>
    <x v="1"/>
    <x v="0"/>
    <s v="nontarget"/>
    <s v="Stim2_Set1"/>
    <m/>
    <x v="0"/>
    <x v="0"/>
    <x v="0"/>
  </r>
  <r>
    <n v="1"/>
    <n v="2"/>
    <x v="0"/>
    <x v="1"/>
    <s v="switch"/>
    <s v="Stim2_Set1"/>
    <m/>
    <x v="1"/>
    <x v="1"/>
    <x v="0"/>
  </r>
  <r>
    <n v="1"/>
    <n v="2"/>
    <x v="0"/>
    <x v="0"/>
    <s v="nontarget"/>
    <s v="Stim1_Set1"/>
    <m/>
    <x v="0"/>
    <x v="0"/>
    <x v="1"/>
  </r>
  <r>
    <n v="1"/>
    <n v="1"/>
    <x v="1"/>
    <x v="1"/>
    <s v="switch"/>
    <s v="Stim1_Set1"/>
    <m/>
    <x v="1"/>
    <x v="1"/>
    <x v="0"/>
  </r>
  <r>
    <n v="1"/>
    <n v="2"/>
    <x v="0"/>
    <x v="2"/>
    <s v="filler"/>
    <s v="Stim2_Set4"/>
    <m/>
    <x v="1"/>
    <x v="1"/>
    <x v="1"/>
  </r>
  <r>
    <n v="1"/>
    <n v="1"/>
    <x v="1"/>
    <x v="0"/>
    <s v="nontarget"/>
    <s v="Stim8_Set1"/>
    <m/>
    <x v="1"/>
    <x v="0"/>
    <x v="0"/>
  </r>
  <r>
    <n v="1"/>
    <n v="1"/>
    <x v="1"/>
    <x v="1"/>
    <s v="repeat"/>
    <s v="Stim8_Set1"/>
    <m/>
    <x v="0"/>
    <x v="1"/>
    <x v="0"/>
  </r>
  <r>
    <n v="1"/>
    <n v="2"/>
    <x v="0"/>
    <x v="2"/>
    <s v="filler"/>
    <s v="Stim7_Set4"/>
    <m/>
    <x v="1"/>
    <x v="1"/>
    <x v="1"/>
  </r>
  <r>
    <n v="1"/>
    <n v="1"/>
    <x v="1"/>
    <x v="0"/>
    <s v="nontarget"/>
    <s v="Stim5_Set1"/>
    <m/>
    <x v="1"/>
    <x v="0"/>
    <x v="0"/>
  </r>
  <r>
    <n v="1"/>
    <n v="1"/>
    <x v="1"/>
    <x v="1"/>
    <s v="repeat"/>
    <s v="Stim5_Set1"/>
    <m/>
    <x v="0"/>
    <x v="1"/>
    <x v="0"/>
  </r>
  <r>
    <n v="1"/>
    <n v="2"/>
    <x v="0"/>
    <x v="2"/>
    <s v="filler"/>
    <s v="Stim1_Set4"/>
    <m/>
    <x v="1"/>
    <x v="1"/>
    <x v="1"/>
  </r>
  <r>
    <n v="1"/>
    <n v="1"/>
    <x v="1"/>
    <x v="2"/>
    <s v="filler"/>
    <s v="Stim6_Set4"/>
    <m/>
    <x v="1"/>
    <x v="1"/>
    <x v="0"/>
  </r>
  <r>
    <n v="1"/>
    <n v="1"/>
    <x v="1"/>
    <x v="0"/>
    <s v="nontarget"/>
    <s v="Stim7_Set1"/>
    <m/>
    <x v="0"/>
    <x v="0"/>
    <x v="0"/>
  </r>
  <r>
    <n v="1"/>
    <n v="2"/>
    <x v="0"/>
    <x v="1"/>
    <s v="switch"/>
    <s v="Stim7_Set1"/>
    <m/>
    <x v="1"/>
    <x v="1"/>
    <x v="0"/>
  </r>
  <r>
    <n v="1"/>
    <n v="1"/>
    <x v="1"/>
    <x v="2"/>
    <s v="filler"/>
    <s v="Stim5_Set4"/>
    <m/>
    <x v="1"/>
    <x v="1"/>
    <x v="1"/>
  </r>
  <r>
    <n v="2"/>
    <n v="1"/>
    <x v="1"/>
    <x v="0"/>
    <s v="nontarget"/>
    <s v="Stim5_Set2"/>
    <m/>
    <x v="0"/>
    <x v="0"/>
    <x v="0"/>
  </r>
  <r>
    <n v="2"/>
    <n v="1"/>
    <x v="1"/>
    <x v="1"/>
    <s v="repeat"/>
    <s v="Stim5_Set2"/>
    <m/>
    <x v="0"/>
    <x v="1"/>
    <x v="0"/>
  </r>
  <r>
    <n v="2"/>
    <n v="2"/>
    <x v="0"/>
    <x v="2"/>
    <s v="filler"/>
    <s v="Stim4_Set1"/>
    <m/>
    <x v="1"/>
    <x v="1"/>
    <x v="1"/>
  </r>
  <r>
    <n v="2"/>
    <n v="1"/>
    <x v="1"/>
    <x v="0"/>
    <s v="nontarget"/>
    <s v="Stim3_Set2"/>
    <m/>
    <x v="1"/>
    <x v="0"/>
    <x v="0"/>
  </r>
  <r>
    <n v="2"/>
    <n v="1"/>
    <x v="1"/>
    <x v="1"/>
    <s v="repeat"/>
    <s v="Stim3_Set2"/>
    <m/>
    <x v="0"/>
    <x v="1"/>
    <x v="0"/>
  </r>
  <r>
    <n v="2"/>
    <n v="1"/>
    <x v="1"/>
    <x v="0"/>
    <s v="nontarget"/>
    <s v="Stim1_Set2"/>
    <m/>
    <x v="0"/>
    <x v="0"/>
    <x v="1"/>
  </r>
  <r>
    <n v="2"/>
    <n v="2"/>
    <x v="0"/>
    <x v="1"/>
    <s v="switch"/>
    <s v="Stim1_Set2"/>
    <m/>
    <x v="1"/>
    <x v="1"/>
    <x v="0"/>
  </r>
  <r>
    <n v="2"/>
    <n v="2"/>
    <x v="0"/>
    <x v="2"/>
    <s v="filler"/>
    <s v="Stim3_Set1"/>
    <m/>
    <x v="0"/>
    <x v="1"/>
    <x v="1"/>
  </r>
  <r>
    <n v="2"/>
    <n v="2"/>
    <x v="0"/>
    <x v="0"/>
    <s v="nontarget"/>
    <s v="Stim7_Set2"/>
    <m/>
    <x v="0"/>
    <x v="0"/>
    <x v="0"/>
  </r>
  <r>
    <n v="2"/>
    <n v="1"/>
    <x v="1"/>
    <x v="1"/>
    <s v="switch"/>
    <s v="Stim7_Set2"/>
    <m/>
    <x v="1"/>
    <x v="1"/>
    <x v="0"/>
  </r>
  <r>
    <n v="2"/>
    <n v="1"/>
    <x v="1"/>
    <x v="0"/>
    <s v="nontarget"/>
    <s v="Stim2_Set2"/>
    <m/>
    <x v="0"/>
    <x v="0"/>
    <x v="1"/>
  </r>
  <r>
    <n v="2"/>
    <n v="2"/>
    <x v="0"/>
    <x v="1"/>
    <s v="switch"/>
    <s v="Stim2_Set2"/>
    <m/>
    <x v="1"/>
    <x v="1"/>
    <x v="0"/>
  </r>
  <r>
    <n v="2"/>
    <n v="1"/>
    <x v="1"/>
    <x v="2"/>
    <s v="filler"/>
    <s v="Stim6_Set1"/>
    <m/>
    <x v="1"/>
    <x v="1"/>
    <x v="1"/>
  </r>
  <r>
    <n v="2"/>
    <n v="1"/>
    <x v="1"/>
    <x v="2"/>
    <s v="filler"/>
    <s v="Stim2_Set1"/>
    <m/>
    <x v="0"/>
    <x v="1"/>
    <x v="0"/>
  </r>
  <r>
    <n v="2"/>
    <n v="2"/>
    <x v="0"/>
    <x v="0"/>
    <s v="nontarget"/>
    <s v="Stim4_Set2"/>
    <m/>
    <x v="1"/>
    <x v="0"/>
    <x v="0"/>
  </r>
  <r>
    <n v="2"/>
    <n v="2"/>
    <x v="0"/>
    <x v="1"/>
    <s v="repeat"/>
    <s v="Stim4_Set2"/>
    <m/>
    <x v="0"/>
    <x v="1"/>
    <x v="0"/>
  </r>
  <r>
    <n v="2"/>
    <n v="1"/>
    <x v="1"/>
    <x v="2"/>
    <s v="filler"/>
    <s v="Stim1_Set1"/>
    <m/>
    <x v="1"/>
    <x v="1"/>
    <x v="1"/>
  </r>
  <r>
    <n v="2"/>
    <n v="2"/>
    <x v="0"/>
    <x v="0"/>
    <s v="nontarget"/>
    <s v="Stim8_Set2"/>
    <m/>
    <x v="1"/>
    <x v="0"/>
    <x v="0"/>
  </r>
  <r>
    <n v="2"/>
    <n v="2"/>
    <x v="0"/>
    <x v="1"/>
    <s v="repeat"/>
    <s v="Stim8_Set2"/>
    <m/>
    <x v="0"/>
    <x v="1"/>
    <x v="0"/>
  </r>
  <r>
    <n v="2"/>
    <n v="2"/>
    <x v="0"/>
    <x v="2"/>
    <s v="filler"/>
    <s v="Stim8_Set1"/>
    <m/>
    <x v="0"/>
    <x v="1"/>
    <x v="1"/>
  </r>
  <r>
    <n v="2"/>
    <n v="1"/>
    <x v="1"/>
    <x v="2"/>
    <s v="filler"/>
    <s v="Stim5_Set1"/>
    <m/>
    <x v="1"/>
    <x v="1"/>
    <x v="0"/>
  </r>
  <r>
    <n v="2"/>
    <n v="2"/>
    <x v="0"/>
    <x v="2"/>
    <s v="filler"/>
    <s v="Stim7_Set1"/>
    <m/>
    <x v="1"/>
    <x v="1"/>
    <x v="0"/>
  </r>
  <r>
    <n v="2"/>
    <n v="2"/>
    <x v="0"/>
    <x v="0"/>
    <s v="nontarget"/>
    <s v="Stim6_Set2"/>
    <m/>
    <x v="0"/>
    <x v="0"/>
    <x v="0"/>
  </r>
  <r>
    <n v="2"/>
    <n v="1"/>
    <x v="1"/>
    <x v="1"/>
    <s v="switch"/>
    <s v="Stim6_Set2"/>
    <m/>
    <x v="1"/>
    <x v="1"/>
    <x v="0"/>
  </r>
  <r>
    <n v="3"/>
    <n v="1"/>
    <x v="1"/>
    <x v="2"/>
    <s v="filler"/>
    <s v="Stim5_Set2"/>
    <m/>
    <x v="0"/>
    <x v="1"/>
    <x v="1"/>
  </r>
  <r>
    <n v="3"/>
    <n v="1"/>
    <x v="1"/>
    <x v="0"/>
    <s v="nontarget"/>
    <s v="Stim6_Set3"/>
    <m/>
    <x v="0"/>
    <x v="0"/>
    <x v="0"/>
  </r>
  <r>
    <n v="3"/>
    <n v="2"/>
    <x v="0"/>
    <x v="1"/>
    <s v="switch"/>
    <s v="Stim6_Set3"/>
    <m/>
    <x v="1"/>
    <x v="1"/>
    <x v="0"/>
  </r>
  <r>
    <n v="3"/>
    <n v="2"/>
    <x v="0"/>
    <x v="2"/>
    <s v="filler"/>
    <s v="Stim3_Set2"/>
    <m/>
    <x v="0"/>
    <x v="1"/>
    <x v="1"/>
  </r>
  <r>
    <n v="3"/>
    <n v="2"/>
    <x v="0"/>
    <x v="0"/>
    <s v="nontarget"/>
    <s v="Stim4_Set3"/>
    <m/>
    <x v="0"/>
    <x v="0"/>
    <x v="0"/>
  </r>
  <r>
    <n v="3"/>
    <n v="1"/>
    <x v="1"/>
    <x v="1"/>
    <s v="switch"/>
    <s v="Stim4_Set3"/>
    <m/>
    <x v="1"/>
    <x v="1"/>
    <x v="0"/>
  </r>
  <r>
    <n v="3"/>
    <n v="1"/>
    <x v="1"/>
    <x v="2"/>
    <s v="filler"/>
    <m/>
    <s v="here"/>
    <x v="0"/>
    <x v="1"/>
    <x v="1"/>
  </r>
  <r>
    <n v="3"/>
    <n v="1"/>
    <x v="1"/>
    <x v="0"/>
    <s v="nontarget"/>
    <s v="Stim8_Set3"/>
    <m/>
    <x v="0"/>
    <x v="0"/>
    <x v="0"/>
  </r>
  <r>
    <n v="3"/>
    <n v="2"/>
    <x v="0"/>
    <x v="1"/>
    <s v="switch"/>
    <s v="Stim8_Set3"/>
    <m/>
    <x v="1"/>
    <x v="1"/>
    <x v="0"/>
  </r>
  <r>
    <n v="3"/>
    <n v="1"/>
    <x v="1"/>
    <x v="2"/>
    <s v="filler"/>
    <s v="Stim1_Set2"/>
    <m/>
    <x v="1"/>
    <x v="1"/>
    <x v="1"/>
  </r>
  <r>
    <n v="3"/>
    <n v="2"/>
    <x v="0"/>
    <x v="0"/>
    <s v="nontarget"/>
    <s v="Stim7_Set3"/>
    <m/>
    <x v="1"/>
    <x v="0"/>
    <x v="0"/>
  </r>
  <r>
    <n v="3"/>
    <n v="2"/>
    <x v="0"/>
    <x v="1"/>
    <s v="repeat"/>
    <s v="Stim7_Set3"/>
    <m/>
    <x v="0"/>
    <x v="1"/>
    <x v="0"/>
  </r>
  <r>
    <n v="3"/>
    <n v="1"/>
    <x v="1"/>
    <x v="2"/>
    <s v="filler"/>
    <s v="Stim7_Set2"/>
    <m/>
    <x v="1"/>
    <x v="1"/>
    <x v="1"/>
  </r>
  <r>
    <n v="3"/>
    <n v="1"/>
    <x v="1"/>
    <x v="2"/>
    <s v="filler"/>
    <s v="Stim2_Set2"/>
    <m/>
    <x v="0"/>
    <x v="1"/>
    <x v="0"/>
  </r>
  <r>
    <n v="3"/>
    <n v="2"/>
    <x v="0"/>
    <x v="0"/>
    <s v="nontarget"/>
    <s v="Stim1_Set3"/>
    <m/>
    <x v="1"/>
    <x v="0"/>
    <x v="0"/>
  </r>
  <r>
    <n v="3"/>
    <n v="2"/>
    <x v="0"/>
    <x v="1"/>
    <s v="repeat"/>
    <s v="Stim1_Set3"/>
    <m/>
    <x v="0"/>
    <x v="1"/>
    <x v="0"/>
  </r>
  <r>
    <n v="3"/>
    <n v="2"/>
    <x v="0"/>
    <x v="0"/>
    <s v="nontarget"/>
    <s v="Stim3_Set3"/>
    <m/>
    <x v="0"/>
    <x v="0"/>
    <x v="1"/>
  </r>
  <r>
    <n v="3"/>
    <n v="1"/>
    <x v="1"/>
    <x v="1"/>
    <s v="switch"/>
    <s v="Stim3_Set3"/>
    <m/>
    <x v="1"/>
    <x v="1"/>
    <x v="0"/>
  </r>
  <r>
    <n v="3"/>
    <n v="2"/>
    <x v="0"/>
    <x v="2"/>
    <s v="filler"/>
    <s v="Stim4_Set2"/>
    <m/>
    <x v="1"/>
    <x v="1"/>
    <x v="1"/>
  </r>
  <r>
    <n v="3"/>
    <n v="1"/>
    <x v="1"/>
    <x v="2"/>
    <s v="filler"/>
    <m/>
    <s v="here"/>
    <x v="1"/>
    <x v="1"/>
    <x v="0"/>
  </r>
  <r>
    <n v="3"/>
    <n v="1"/>
    <x v="1"/>
    <x v="0"/>
    <s v="nontarget"/>
    <s v="Stim5_Set3"/>
    <m/>
    <x v="0"/>
    <x v="0"/>
    <x v="0"/>
  </r>
  <r>
    <n v="3"/>
    <n v="1"/>
    <x v="1"/>
    <x v="1"/>
    <s v="repeat"/>
    <s v="Stim5_Set3"/>
    <m/>
    <x v="0"/>
    <x v="1"/>
    <x v="0"/>
  </r>
  <r>
    <n v="3"/>
    <n v="2"/>
    <x v="0"/>
    <x v="2"/>
    <s v="filler"/>
    <s v="Stim8_Set2"/>
    <m/>
    <x v="1"/>
    <x v="1"/>
    <x v="1"/>
  </r>
  <r>
    <n v="3"/>
    <n v="1"/>
    <x v="1"/>
    <x v="0"/>
    <s v="nontarget"/>
    <s v="Stim2_Set3"/>
    <m/>
    <x v="1"/>
    <x v="0"/>
    <x v="0"/>
  </r>
  <r>
    <n v="3"/>
    <n v="1"/>
    <x v="1"/>
    <x v="1"/>
    <s v="repeat"/>
    <s v="Stim2_Set3"/>
    <m/>
    <x v="0"/>
    <x v="1"/>
    <x v="0"/>
  </r>
  <r>
    <n v="3"/>
    <n v="1"/>
    <x v="1"/>
    <x v="2"/>
    <s v="filler"/>
    <s v="Stim6_Set2"/>
    <m/>
    <x v="0"/>
    <x v="1"/>
    <x v="1"/>
  </r>
  <r>
    <n v="4"/>
    <n v="2"/>
    <x v="0"/>
    <x v="2"/>
    <s v="filler"/>
    <s v="Stim6_Set3"/>
    <m/>
    <x v="1"/>
    <x v="1"/>
    <x v="0"/>
  </r>
  <r>
    <n v="4"/>
    <n v="1"/>
    <x v="1"/>
    <x v="0"/>
    <s v="nontarget"/>
    <s v="Stim3_Set4"/>
    <m/>
    <x v="1"/>
    <x v="0"/>
    <x v="0"/>
  </r>
  <r>
    <n v="4"/>
    <n v="1"/>
    <x v="1"/>
    <x v="1"/>
    <s v="repeat"/>
    <s v="Stim3_Set4"/>
    <m/>
    <x v="0"/>
    <x v="1"/>
    <x v="0"/>
  </r>
  <r>
    <n v="4"/>
    <n v="1"/>
    <x v="1"/>
    <x v="0"/>
    <s v="nontarget"/>
    <s v="Stim8_Set4"/>
    <m/>
    <x v="0"/>
    <x v="0"/>
    <x v="1"/>
  </r>
  <r>
    <n v="4"/>
    <n v="2"/>
    <x v="0"/>
    <x v="1"/>
    <s v="switch"/>
    <s v="Stim8_Set4"/>
    <m/>
    <x v="1"/>
    <x v="1"/>
    <x v="0"/>
  </r>
  <r>
    <n v="4"/>
    <n v="1"/>
    <x v="1"/>
    <x v="2"/>
    <s v="filler"/>
    <s v="Stim4_Set3"/>
    <m/>
    <x v="1"/>
    <x v="1"/>
    <x v="1"/>
  </r>
  <r>
    <n v="4"/>
    <n v="2"/>
    <x v="0"/>
    <x v="0"/>
    <s v="nontarget"/>
    <s v="Stim4_Set4"/>
    <m/>
    <x v="1"/>
    <x v="0"/>
    <x v="0"/>
  </r>
  <r>
    <n v="4"/>
    <n v="2"/>
    <x v="0"/>
    <x v="1"/>
    <s v="repeat"/>
    <s v="Stim4_Set4"/>
    <m/>
    <x v="0"/>
    <x v="1"/>
    <x v="0"/>
  </r>
  <r>
    <n v="4"/>
    <n v="2"/>
    <x v="0"/>
    <x v="0"/>
    <s v="nontarget"/>
    <s v="Stim2_Set4"/>
    <m/>
    <x v="0"/>
    <x v="0"/>
    <x v="1"/>
  </r>
  <r>
    <n v="4"/>
    <n v="1"/>
    <x v="1"/>
    <x v="1"/>
    <s v="switch"/>
    <s v="Stim2_Set4"/>
    <m/>
    <x v="1"/>
    <x v="1"/>
    <x v="0"/>
  </r>
  <r>
    <n v="4"/>
    <n v="2"/>
    <x v="0"/>
    <x v="2"/>
    <s v="filler"/>
    <s v="Stim8_Set3"/>
    <m/>
    <x v="1"/>
    <x v="1"/>
    <x v="1"/>
  </r>
  <r>
    <n v="4"/>
    <n v="1"/>
    <x v="1"/>
    <x v="0"/>
    <s v="nontarget"/>
    <s v="Stim7_Set4"/>
    <m/>
    <x v="1"/>
    <x v="0"/>
    <x v="0"/>
  </r>
  <r>
    <n v="4"/>
    <n v="2"/>
    <x v="0"/>
    <x v="1"/>
    <s v="switch"/>
    <s v="Stim7_Set4"/>
    <m/>
    <x v="1"/>
    <x v="1"/>
    <x v="0"/>
  </r>
  <r>
    <n v="4"/>
    <n v="1"/>
    <x v="1"/>
    <x v="2"/>
    <s v="filler"/>
    <s v="Stim7_Set3"/>
    <m/>
    <x v="1"/>
    <x v="1"/>
    <x v="1"/>
  </r>
  <r>
    <n v="4"/>
    <n v="2"/>
    <x v="0"/>
    <x v="2"/>
    <s v="filler"/>
    <s v="Stim1_Set3"/>
    <m/>
    <x v="1"/>
    <x v="1"/>
    <x v="0"/>
  </r>
  <r>
    <n v="4"/>
    <n v="2"/>
    <x v="0"/>
    <x v="0"/>
    <s v="nontarget"/>
    <s v="Stim1_Set4"/>
    <m/>
    <x v="0"/>
    <x v="0"/>
    <x v="0"/>
  </r>
  <r>
    <n v="4"/>
    <n v="2"/>
    <x v="0"/>
    <x v="1"/>
    <s v="repeat"/>
    <s v="Stim1_Set4"/>
    <m/>
    <x v="0"/>
    <x v="1"/>
    <x v="0"/>
  </r>
  <r>
    <n v="4"/>
    <n v="1"/>
    <x v="1"/>
    <x v="2"/>
    <s v="filler"/>
    <s v="Stim3_Set3"/>
    <m/>
    <x v="1"/>
    <x v="1"/>
    <x v="1"/>
  </r>
  <r>
    <n v="4"/>
    <n v="2"/>
    <x v="0"/>
    <x v="2"/>
    <s v="filler"/>
    <s v="Stim5_Set3"/>
    <m/>
    <x v="1"/>
    <x v="1"/>
    <x v="0"/>
  </r>
  <r>
    <n v="4"/>
    <n v="2"/>
    <x v="0"/>
    <x v="0"/>
    <s v="nontarget"/>
    <s v="Stim6_Set4"/>
    <m/>
    <x v="0"/>
    <x v="0"/>
    <x v="0"/>
  </r>
  <r>
    <n v="4"/>
    <n v="1"/>
    <x v="1"/>
    <x v="1"/>
    <s v="switch"/>
    <s v="Stim6_Set4"/>
    <m/>
    <x v="1"/>
    <x v="1"/>
    <x v="0"/>
  </r>
  <r>
    <n v="4"/>
    <n v="1"/>
    <x v="1"/>
    <x v="0"/>
    <s v="nontarget"/>
    <s v="Stim5_Set4"/>
    <m/>
    <x v="0"/>
    <x v="0"/>
    <x v="1"/>
  </r>
  <r>
    <n v="4"/>
    <n v="1"/>
    <x v="1"/>
    <x v="1"/>
    <s v="repeat"/>
    <s v="Stim5_Set4"/>
    <m/>
    <x v="0"/>
    <x v="1"/>
    <x v="0"/>
  </r>
  <r>
    <n v="4"/>
    <n v="2"/>
    <x v="0"/>
    <x v="2"/>
    <s v="filler"/>
    <s v="Stim2_Set3"/>
    <m/>
    <x v="1"/>
    <x v="1"/>
    <x v="1"/>
  </r>
  <r>
    <s v="BREAK"/>
    <m/>
    <x v="2"/>
    <x v="3"/>
    <m/>
    <m/>
    <m/>
    <x v="1"/>
    <x v="1"/>
    <x v="0"/>
  </r>
  <r>
    <n v="1"/>
    <n v="2"/>
    <x v="0"/>
    <x v="2"/>
    <s v="filler"/>
    <s v="Stim4_Set4"/>
    <m/>
    <x v="1"/>
    <x v="1"/>
    <x v="0"/>
  </r>
  <r>
    <n v="1"/>
    <n v="2"/>
    <x v="0"/>
    <x v="0"/>
    <s v="nontarget"/>
    <s v="Stim7_Set1"/>
    <m/>
    <x v="0"/>
    <x v="0"/>
    <x v="0"/>
  </r>
  <r>
    <n v="1"/>
    <n v="2"/>
    <x v="0"/>
    <x v="1"/>
    <s v="repeat"/>
    <s v="Stim7_Set1"/>
    <m/>
    <x v="0"/>
    <x v="1"/>
    <x v="0"/>
  </r>
  <r>
    <n v="1"/>
    <n v="1"/>
    <x v="1"/>
    <x v="2"/>
    <s v="filler"/>
    <s v="Stim6_Set4"/>
    <m/>
    <x v="1"/>
    <x v="1"/>
    <x v="1"/>
  </r>
  <r>
    <n v="1"/>
    <n v="1"/>
    <x v="1"/>
    <x v="2"/>
    <s v="filler"/>
    <s v="Stim2_Set4"/>
    <m/>
    <x v="0"/>
    <x v="1"/>
    <x v="0"/>
  </r>
  <r>
    <n v="1"/>
    <n v="2"/>
    <x v="0"/>
    <x v="0"/>
    <s v="nontarget"/>
    <s v="Stim6_Set1"/>
    <m/>
    <x v="1"/>
    <x v="0"/>
    <x v="0"/>
  </r>
  <r>
    <n v="1"/>
    <n v="2"/>
    <x v="0"/>
    <x v="1"/>
    <s v="repeat"/>
    <s v="Stim6_Set1"/>
    <m/>
    <x v="0"/>
    <x v="1"/>
    <x v="0"/>
  </r>
  <r>
    <n v="1"/>
    <n v="2"/>
    <x v="0"/>
    <x v="0"/>
    <s v="nontarget"/>
    <s v="Stim8_Set1"/>
    <m/>
    <x v="0"/>
    <x v="0"/>
    <x v="1"/>
  </r>
  <r>
    <n v="1"/>
    <n v="1"/>
    <x v="1"/>
    <x v="1"/>
    <s v="switch"/>
    <s v="Stim8_Set1"/>
    <m/>
    <x v="1"/>
    <x v="1"/>
    <x v="0"/>
  </r>
  <r>
    <n v="1"/>
    <n v="1"/>
    <x v="1"/>
    <x v="2"/>
    <s v="filler"/>
    <s v="Stim5_Set4"/>
    <m/>
    <x v="0"/>
    <x v="1"/>
    <x v="1"/>
  </r>
  <r>
    <n v="1"/>
    <n v="1"/>
    <x v="1"/>
    <x v="0"/>
    <s v="nontarget"/>
    <s v="Stim1_Set1"/>
    <m/>
    <x v="0"/>
    <x v="0"/>
    <x v="0"/>
  </r>
  <r>
    <n v="1"/>
    <n v="2"/>
    <x v="0"/>
    <x v="1"/>
    <s v="switch"/>
    <s v="Stim1_Set1"/>
    <m/>
    <x v="1"/>
    <x v="1"/>
    <x v="0"/>
  </r>
  <r>
    <n v="1"/>
    <n v="2"/>
    <x v="0"/>
    <x v="0"/>
    <s v="nontarget"/>
    <s v="Stim4_Set1"/>
    <m/>
    <x v="0"/>
    <x v="0"/>
    <x v="1"/>
  </r>
  <r>
    <n v="1"/>
    <n v="1"/>
    <x v="1"/>
    <x v="1"/>
    <s v="switch"/>
    <s v="Stim4_Set1"/>
    <m/>
    <x v="1"/>
    <x v="1"/>
    <x v="0"/>
  </r>
  <r>
    <n v="1"/>
    <n v="1"/>
    <x v="1"/>
    <x v="2"/>
    <s v="filler"/>
    <s v="Stim1_Set4"/>
    <m/>
    <x v="0"/>
    <x v="1"/>
    <x v="1"/>
  </r>
  <r>
    <n v="1"/>
    <n v="2"/>
    <x v="0"/>
    <x v="2"/>
    <s v="filler"/>
    <s v="Stim8_Set4"/>
    <m/>
    <x v="1"/>
    <x v="1"/>
    <x v="0"/>
  </r>
  <r>
    <n v="1"/>
    <n v="1"/>
    <x v="1"/>
    <x v="0"/>
    <s v="nontarget"/>
    <s v="Stim2_Set1"/>
    <m/>
    <x v="1"/>
    <x v="0"/>
    <x v="0"/>
  </r>
  <r>
    <n v="1"/>
    <n v="1"/>
    <x v="1"/>
    <x v="1"/>
    <s v="repeat"/>
    <s v="Stim2_Set1"/>
    <m/>
    <x v="0"/>
    <x v="1"/>
    <x v="0"/>
  </r>
  <r>
    <n v="1"/>
    <n v="1"/>
    <x v="1"/>
    <x v="2"/>
    <s v="filler"/>
    <s v="Stim3_Set4"/>
    <m/>
    <x v="0"/>
    <x v="1"/>
    <x v="1"/>
  </r>
  <r>
    <n v="1"/>
    <n v="2"/>
    <x v="0"/>
    <x v="2"/>
    <s v="filler"/>
    <s v="Stim7_Set4"/>
    <m/>
    <x v="1"/>
    <x v="1"/>
    <x v="0"/>
  </r>
  <r>
    <n v="1"/>
    <n v="1"/>
    <x v="1"/>
    <x v="0"/>
    <s v="nontarget"/>
    <s v="Stim3_Set1"/>
    <m/>
    <x v="1"/>
    <x v="0"/>
    <x v="0"/>
  </r>
  <r>
    <n v="1"/>
    <n v="1"/>
    <x v="1"/>
    <x v="1"/>
    <s v="repeat"/>
    <s v="Stim3_Set1"/>
    <m/>
    <x v="0"/>
    <x v="1"/>
    <x v="0"/>
  </r>
  <r>
    <n v="1"/>
    <n v="1"/>
    <x v="1"/>
    <x v="0"/>
    <s v="nontarget"/>
    <s v="Stim5_Set1"/>
    <m/>
    <x v="0"/>
    <x v="0"/>
    <x v="1"/>
  </r>
  <r>
    <n v="1"/>
    <n v="2"/>
    <x v="0"/>
    <x v="1"/>
    <s v="switch"/>
    <s v="Stim5_Set1"/>
    <m/>
    <x v="1"/>
    <x v="1"/>
    <x v="0"/>
  </r>
  <r>
    <n v="2"/>
    <n v="1"/>
    <x v="1"/>
    <x v="2"/>
    <s v="filler"/>
    <s v="Stim7_Set1"/>
    <m/>
    <x v="1"/>
    <x v="1"/>
    <x v="1"/>
  </r>
  <r>
    <n v="2"/>
    <n v="1"/>
    <x v="1"/>
    <x v="0"/>
    <s v="nontarget"/>
    <s v="Stim7_Set2"/>
    <m/>
    <x v="0"/>
    <x v="0"/>
    <x v="0"/>
  </r>
  <r>
    <n v="2"/>
    <n v="1"/>
    <x v="1"/>
    <x v="1"/>
    <s v="repeat"/>
    <s v="Stim7_Set2"/>
    <m/>
    <x v="0"/>
    <x v="1"/>
    <x v="0"/>
  </r>
  <r>
    <n v="2"/>
    <n v="2"/>
    <x v="0"/>
    <x v="2"/>
    <s v="filler"/>
    <s v="Stim6_Set1"/>
    <m/>
    <x v="1"/>
    <x v="1"/>
    <x v="1"/>
  </r>
  <r>
    <n v="2"/>
    <n v="1"/>
    <x v="1"/>
    <x v="0"/>
    <s v="nontarget"/>
    <s v="Stim6_Set2"/>
    <m/>
    <x v="1"/>
    <x v="0"/>
    <x v="0"/>
  </r>
  <r>
    <n v="2"/>
    <n v="1"/>
    <x v="1"/>
    <x v="1"/>
    <s v="repeat"/>
    <s v="Stim6_Set2"/>
    <m/>
    <x v="0"/>
    <x v="1"/>
    <x v="0"/>
  </r>
  <r>
    <n v="2"/>
    <n v="1"/>
    <x v="1"/>
    <x v="0"/>
    <s v="nontarget"/>
    <s v="Stim4_Set2"/>
    <m/>
    <x v="0"/>
    <x v="0"/>
    <x v="1"/>
  </r>
  <r>
    <n v="2"/>
    <n v="2"/>
    <x v="0"/>
    <x v="1"/>
    <s v="switch"/>
    <s v="Stim4_Set2"/>
    <m/>
    <x v="1"/>
    <x v="1"/>
    <x v="0"/>
  </r>
  <r>
    <n v="2"/>
    <n v="2"/>
    <x v="0"/>
    <x v="2"/>
    <s v="filler"/>
    <s v="Stim8_Set1"/>
    <m/>
    <x v="0"/>
    <x v="1"/>
    <x v="1"/>
  </r>
  <r>
    <n v="2"/>
    <n v="2"/>
    <x v="0"/>
    <x v="0"/>
    <s v="nontarget"/>
    <s v="Stim5_Set2"/>
    <m/>
    <x v="0"/>
    <x v="0"/>
    <x v="0"/>
  </r>
  <r>
    <n v="2"/>
    <n v="1"/>
    <x v="1"/>
    <x v="1"/>
    <s v="switch"/>
    <s v="Stim5_Set2"/>
    <m/>
    <x v="1"/>
    <x v="1"/>
    <x v="0"/>
  </r>
  <r>
    <n v="2"/>
    <n v="1"/>
    <x v="1"/>
    <x v="2"/>
    <s v="filler"/>
    <s v="Stim1_Set1"/>
    <m/>
    <x v="0"/>
    <x v="1"/>
    <x v="1"/>
  </r>
  <r>
    <n v="2"/>
    <n v="1"/>
    <x v="1"/>
    <x v="0"/>
    <s v="nontarget"/>
    <s v="Stim8_Set2"/>
    <m/>
    <x v="0"/>
    <x v="0"/>
    <x v="0"/>
  </r>
  <r>
    <n v="2"/>
    <n v="2"/>
    <x v="0"/>
    <x v="1"/>
    <s v="switch"/>
    <s v="Stim8_Set2"/>
    <m/>
    <x v="1"/>
    <x v="1"/>
    <x v="0"/>
  </r>
  <r>
    <n v="2"/>
    <n v="1"/>
    <x v="1"/>
    <x v="2"/>
    <s v="filler"/>
    <s v="Stim4_Set1"/>
    <m/>
    <x v="1"/>
    <x v="1"/>
    <x v="1"/>
  </r>
  <r>
    <n v="2"/>
    <n v="2"/>
    <x v="0"/>
    <x v="0"/>
    <s v="nontarget"/>
    <s v="Stim2_Set2"/>
    <m/>
    <x v="1"/>
    <x v="0"/>
    <x v="0"/>
  </r>
  <r>
    <n v="2"/>
    <n v="2"/>
    <x v="0"/>
    <x v="1"/>
    <s v="repeat"/>
    <s v="Stim2_Set2"/>
    <m/>
    <x v="0"/>
    <x v="1"/>
    <x v="0"/>
  </r>
  <r>
    <n v="2"/>
    <n v="1"/>
    <x v="1"/>
    <x v="2"/>
    <s v="filler"/>
    <s v="Stim2_Set1"/>
    <m/>
    <x v="1"/>
    <x v="1"/>
    <x v="1"/>
  </r>
  <r>
    <n v="2"/>
    <n v="2"/>
    <x v="0"/>
    <x v="0"/>
    <s v="nontarget"/>
    <s v="Stim1_Set2"/>
    <m/>
    <x v="1"/>
    <x v="0"/>
    <x v="0"/>
  </r>
  <r>
    <n v="2"/>
    <n v="2"/>
    <x v="0"/>
    <x v="1"/>
    <s v="repeat"/>
    <s v="Stim1_Set2"/>
    <m/>
    <x v="0"/>
    <x v="1"/>
    <x v="0"/>
  </r>
  <r>
    <n v="2"/>
    <n v="1"/>
    <x v="1"/>
    <x v="2"/>
    <s v="filler"/>
    <s v="Stim3_Set1"/>
    <m/>
    <x v="1"/>
    <x v="1"/>
    <x v="1"/>
  </r>
  <r>
    <n v="2"/>
    <n v="2"/>
    <x v="0"/>
    <x v="2"/>
    <s v="filler"/>
    <s v="Stim5_Set1"/>
    <m/>
    <x v="1"/>
    <x v="1"/>
    <x v="0"/>
  </r>
  <r>
    <n v="2"/>
    <n v="2"/>
    <x v="0"/>
    <x v="0"/>
    <s v="nontarget"/>
    <s v="Stim3_Set2"/>
    <m/>
    <x v="0"/>
    <x v="0"/>
    <x v="0"/>
  </r>
  <r>
    <n v="2"/>
    <n v="1"/>
    <x v="1"/>
    <x v="1"/>
    <s v="switch"/>
    <s v="Stim3_Set2"/>
    <m/>
    <x v="1"/>
    <x v="1"/>
    <x v="0"/>
  </r>
  <r>
    <n v="3"/>
    <n v="1"/>
    <x v="1"/>
    <x v="2"/>
    <s v="filler"/>
    <s v="Stim7_Set2"/>
    <m/>
    <x v="0"/>
    <x v="1"/>
    <x v="1"/>
  </r>
  <r>
    <n v="3"/>
    <n v="1"/>
    <x v="1"/>
    <x v="0"/>
    <s v="nontarget"/>
    <s v="Stim4_Set3"/>
    <m/>
    <x v="0"/>
    <x v="0"/>
    <x v="0"/>
  </r>
  <r>
    <n v="3"/>
    <n v="2"/>
    <x v="0"/>
    <x v="1"/>
    <s v="switch"/>
    <s v="Stim4_Set3"/>
    <m/>
    <x v="1"/>
    <x v="1"/>
    <x v="0"/>
  </r>
  <r>
    <n v="3"/>
    <n v="2"/>
    <x v="0"/>
    <x v="2"/>
    <s v="filler"/>
    <s v="Stim6_Set2"/>
    <m/>
    <x v="0"/>
    <x v="1"/>
    <x v="1"/>
  </r>
  <r>
    <n v="3"/>
    <n v="2"/>
    <x v="0"/>
    <x v="0"/>
    <s v="nontarget"/>
    <s v="Stim7_Set3"/>
    <m/>
    <x v="0"/>
    <x v="0"/>
    <x v="0"/>
  </r>
  <r>
    <n v="3"/>
    <n v="1"/>
    <x v="1"/>
    <x v="1"/>
    <s v="switch"/>
    <s v="Stim7_Set3"/>
    <m/>
    <x v="1"/>
    <x v="1"/>
    <x v="0"/>
  </r>
  <r>
    <n v="3"/>
    <n v="1"/>
    <x v="1"/>
    <x v="0"/>
    <s v="nontarget"/>
    <s v="Stim2_Set3"/>
    <m/>
    <x v="0"/>
    <x v="0"/>
    <x v="1"/>
  </r>
  <r>
    <n v="3"/>
    <n v="2"/>
    <x v="0"/>
    <x v="1"/>
    <s v="switch"/>
    <s v="Stim2_Set3"/>
    <m/>
    <x v="1"/>
    <x v="1"/>
    <x v="0"/>
  </r>
  <r>
    <n v="3"/>
    <n v="1"/>
    <x v="1"/>
    <x v="2"/>
    <s v="filler"/>
    <s v="Stim4_Set2"/>
    <m/>
    <x v="1"/>
    <x v="1"/>
    <x v="1"/>
  </r>
  <r>
    <n v="3"/>
    <n v="2"/>
    <x v="0"/>
    <x v="0"/>
    <s v="nontarget"/>
    <s v="Stim6_Set3"/>
    <m/>
    <x v="1"/>
    <x v="0"/>
    <x v="0"/>
  </r>
  <r>
    <n v="3"/>
    <n v="2"/>
    <x v="0"/>
    <x v="1"/>
    <s v="repeat"/>
    <s v="Stim6_Set3"/>
    <m/>
    <x v="0"/>
    <x v="1"/>
    <x v="0"/>
  </r>
  <r>
    <n v="3"/>
    <n v="1"/>
    <x v="1"/>
    <x v="2"/>
    <s v="filler"/>
    <s v="Stim2_Set2"/>
    <m/>
    <x v="1"/>
    <x v="1"/>
    <x v="1"/>
  </r>
  <r>
    <n v="3"/>
    <n v="2"/>
    <x v="0"/>
    <x v="0"/>
    <s v="nontarget"/>
    <s v="Stim8_Set3"/>
    <m/>
    <x v="1"/>
    <x v="0"/>
    <x v="0"/>
  </r>
  <r>
    <n v="3"/>
    <n v="2"/>
    <x v="0"/>
    <x v="1"/>
    <s v="repeat"/>
    <s v="Stim8_Set3"/>
    <m/>
    <x v="0"/>
    <x v="1"/>
    <x v="0"/>
  </r>
  <r>
    <n v="3"/>
    <n v="2"/>
    <x v="0"/>
    <x v="0"/>
    <s v="nontarget"/>
    <s v="Stim5_Set3"/>
    <m/>
    <x v="0"/>
    <x v="0"/>
    <x v="1"/>
  </r>
  <r>
    <n v="3"/>
    <n v="1"/>
    <x v="1"/>
    <x v="1"/>
    <s v="switch"/>
    <s v="Stim5_Set3"/>
    <m/>
    <x v="1"/>
    <x v="1"/>
    <x v="0"/>
  </r>
  <r>
    <n v="3"/>
    <n v="2"/>
    <x v="0"/>
    <x v="2"/>
    <s v="filler"/>
    <s v="Stim8_Set2"/>
    <m/>
    <x v="1"/>
    <x v="1"/>
    <x v="1"/>
  </r>
  <r>
    <n v="3"/>
    <n v="1"/>
    <x v="1"/>
    <x v="2"/>
    <s v="filler"/>
    <s v="Stim5_Set2"/>
    <m/>
    <x v="1"/>
    <x v="1"/>
    <x v="0"/>
  </r>
  <r>
    <n v="3"/>
    <n v="1"/>
    <x v="1"/>
    <x v="0"/>
    <s v="nontarget"/>
    <s v="Stim3_Set3"/>
    <m/>
    <x v="0"/>
    <x v="0"/>
    <x v="0"/>
  </r>
  <r>
    <n v="3"/>
    <n v="1"/>
    <x v="1"/>
    <x v="1"/>
    <s v="repeat"/>
    <s v="Stim3_Set3"/>
    <m/>
    <x v="0"/>
    <x v="1"/>
    <x v="0"/>
  </r>
  <r>
    <n v="3"/>
    <n v="2"/>
    <x v="0"/>
    <x v="2"/>
    <s v="filler"/>
    <s v="Stim3_Set2"/>
    <m/>
    <x v="1"/>
    <x v="1"/>
    <x v="1"/>
  </r>
  <r>
    <n v="3"/>
    <n v="1"/>
    <x v="1"/>
    <x v="0"/>
    <s v="nontarget"/>
    <s v="Stim1_Set3"/>
    <m/>
    <x v="1"/>
    <x v="0"/>
    <x v="0"/>
  </r>
  <r>
    <n v="3"/>
    <n v="1"/>
    <x v="1"/>
    <x v="1"/>
    <s v="repeat"/>
    <s v="Stim1_Set3"/>
    <m/>
    <x v="0"/>
    <x v="1"/>
    <x v="0"/>
  </r>
  <r>
    <n v="3"/>
    <n v="2"/>
    <x v="0"/>
    <x v="2"/>
    <s v="filler"/>
    <s v="Stim1_Set2"/>
    <m/>
    <x v="1"/>
    <x v="1"/>
    <x v="1"/>
  </r>
  <r>
    <n v="4"/>
    <n v="1"/>
    <x v="1"/>
    <x v="0"/>
    <s v="nontarget"/>
    <s v="Stim4_Set4"/>
    <m/>
    <x v="1"/>
    <x v="0"/>
    <x v="0"/>
  </r>
  <r>
    <n v="4"/>
    <n v="1"/>
    <x v="1"/>
    <x v="1"/>
    <s v="repeat"/>
    <s v="Stim4_Set4"/>
    <m/>
    <x v="0"/>
    <x v="1"/>
    <x v="0"/>
  </r>
  <r>
    <n v="4"/>
    <n v="2"/>
    <x v="0"/>
    <x v="2"/>
    <s v="filler"/>
    <s v="Stim4_Set3"/>
    <m/>
    <x v="1"/>
    <x v="1"/>
    <x v="1"/>
  </r>
  <r>
    <n v="4"/>
    <n v="1"/>
    <x v="1"/>
    <x v="0"/>
    <s v="nontarget"/>
    <s v="Stim6_Set4"/>
    <m/>
    <x v="1"/>
    <x v="0"/>
    <x v="0"/>
  </r>
  <r>
    <n v="4"/>
    <n v="2"/>
    <x v="0"/>
    <x v="1"/>
    <s v="switch"/>
    <s v="Stim6_Set4"/>
    <m/>
    <x v="1"/>
    <x v="1"/>
    <x v="0"/>
  </r>
  <r>
    <n v="4"/>
    <n v="2"/>
    <x v="0"/>
    <x v="0"/>
    <s v="nontarget"/>
    <s v="Stim2_Set4"/>
    <m/>
    <x v="0"/>
    <x v="0"/>
    <x v="1"/>
  </r>
  <r>
    <n v="4"/>
    <n v="2"/>
    <x v="0"/>
    <x v="1"/>
    <s v="repeat"/>
    <s v="Stim2_Set4"/>
    <m/>
    <x v="0"/>
    <x v="1"/>
    <x v="0"/>
  </r>
  <r>
    <n v="4"/>
    <n v="1"/>
    <x v="1"/>
    <x v="2"/>
    <s v="filler"/>
    <s v="Stim7_Set3"/>
    <m/>
    <x v="1"/>
    <x v="1"/>
    <x v="1"/>
  </r>
  <r>
    <n v="4"/>
    <n v="2"/>
    <x v="0"/>
    <x v="2"/>
    <s v="filler"/>
    <s v="Stim2_Set3"/>
    <m/>
    <x v="1"/>
    <x v="1"/>
    <x v="0"/>
  </r>
  <r>
    <n v="4"/>
    <n v="2"/>
    <x v="0"/>
    <x v="0"/>
    <s v="nontarget"/>
    <s v="Stim5_Set4"/>
    <m/>
    <x v="0"/>
    <x v="0"/>
    <x v="0"/>
  </r>
  <r>
    <n v="4"/>
    <n v="1"/>
    <x v="1"/>
    <x v="1"/>
    <s v="switch"/>
    <s v="Stim5_Set4"/>
    <m/>
    <x v="1"/>
    <x v="1"/>
    <x v="0"/>
  </r>
  <r>
    <n v="4"/>
    <n v="1"/>
    <x v="1"/>
    <x v="0"/>
    <s v="nontarget"/>
    <s v="Stim1_Set4"/>
    <m/>
    <x v="0"/>
    <x v="0"/>
    <x v="1"/>
  </r>
  <r>
    <n v="4"/>
    <n v="2"/>
    <x v="0"/>
    <x v="1"/>
    <s v="switch"/>
    <s v="Stim1_Set4"/>
    <m/>
    <x v="1"/>
    <x v="1"/>
    <x v="0"/>
  </r>
  <r>
    <n v="4"/>
    <n v="1"/>
    <x v="1"/>
    <x v="2"/>
    <s v="filler"/>
    <s v="Stim6_Set3"/>
    <m/>
    <x v="1"/>
    <x v="1"/>
    <x v="1"/>
  </r>
  <r>
    <n v="4"/>
    <n v="2"/>
    <x v="0"/>
    <x v="0"/>
    <s v="nontarget"/>
    <s v="Stim8_Set4"/>
    <m/>
    <x v="1"/>
    <x v="0"/>
    <x v="0"/>
  </r>
  <r>
    <n v="4"/>
    <n v="2"/>
    <x v="0"/>
    <x v="1"/>
    <s v="repeat"/>
    <s v="Stim8_Set4"/>
    <m/>
    <x v="0"/>
    <x v="1"/>
    <x v="0"/>
  </r>
  <r>
    <n v="4"/>
    <n v="1"/>
    <x v="1"/>
    <x v="2"/>
    <s v="filler"/>
    <s v="Stim8_Set3"/>
    <m/>
    <x v="1"/>
    <x v="1"/>
    <x v="1"/>
  </r>
  <r>
    <n v="4"/>
    <n v="2"/>
    <x v="0"/>
    <x v="2"/>
    <s v="filler"/>
    <s v="Stim1_Set3"/>
    <m/>
    <x v="1"/>
    <x v="1"/>
    <x v="0"/>
  </r>
  <r>
    <n v="4"/>
    <n v="2"/>
    <x v="0"/>
    <x v="0"/>
    <s v="nontarget"/>
    <s v="Stim3_Set4"/>
    <m/>
    <x v="0"/>
    <x v="0"/>
    <x v="0"/>
  </r>
  <r>
    <n v="4"/>
    <n v="1"/>
    <x v="1"/>
    <x v="1"/>
    <s v="switch"/>
    <s v="Stim3_Set4"/>
    <m/>
    <x v="1"/>
    <x v="1"/>
    <x v="0"/>
  </r>
  <r>
    <n v="4"/>
    <n v="2"/>
    <x v="0"/>
    <x v="2"/>
    <s v="filler"/>
    <s v="Stim5_Set3"/>
    <m/>
    <x v="1"/>
    <x v="1"/>
    <x v="1"/>
  </r>
  <r>
    <n v="4"/>
    <n v="1"/>
    <x v="1"/>
    <x v="2"/>
    <s v="filler"/>
    <s v="Stim3_Set3"/>
    <m/>
    <x v="1"/>
    <x v="1"/>
    <x v="0"/>
  </r>
  <r>
    <n v="4"/>
    <n v="1"/>
    <x v="1"/>
    <x v="0"/>
    <s v="nontarget"/>
    <s v="Stim7_Set4"/>
    <m/>
    <x v="0"/>
    <x v="0"/>
    <x v="0"/>
  </r>
  <r>
    <n v="4"/>
    <n v="1"/>
    <x v="1"/>
    <x v="1"/>
    <s v="repeat"/>
    <s v="Stim7_Set4"/>
    <m/>
    <x v="0"/>
    <x v="1"/>
    <x v="0"/>
  </r>
  <r>
    <s v="BREAK"/>
    <m/>
    <x v="2"/>
    <x v="3"/>
    <m/>
    <m/>
    <m/>
    <x v="1"/>
    <x v="1"/>
    <x v="1"/>
  </r>
  <r>
    <n v="1"/>
    <n v="2"/>
    <x v="0"/>
    <x v="2"/>
    <s v="filler"/>
    <s v="Stim6_Set4"/>
    <m/>
    <x v="1"/>
    <x v="1"/>
    <x v="0"/>
  </r>
  <r>
    <n v="1"/>
    <n v="2"/>
    <x v="0"/>
    <x v="0"/>
    <s v="nontarget"/>
    <s v="Stim5_Set1"/>
    <m/>
    <x v="0"/>
    <x v="0"/>
    <x v="0"/>
  </r>
  <r>
    <n v="1"/>
    <n v="2"/>
    <x v="0"/>
    <x v="1"/>
    <s v="repeat"/>
    <s v="Stim5_Set1"/>
    <m/>
    <x v="0"/>
    <x v="1"/>
    <x v="0"/>
  </r>
  <r>
    <n v="1"/>
    <n v="1"/>
    <x v="1"/>
    <x v="2"/>
    <s v="filler"/>
    <s v="Stim3_Set4"/>
    <m/>
    <x v="1"/>
    <x v="1"/>
    <x v="1"/>
  </r>
  <r>
    <n v="1"/>
    <n v="2"/>
    <x v="0"/>
    <x v="2"/>
    <s v="filler"/>
    <s v="Stim5_Set4"/>
    <m/>
    <x v="1"/>
    <x v="1"/>
    <x v="0"/>
  </r>
  <r>
    <n v="1"/>
    <n v="1"/>
    <x v="1"/>
    <x v="2"/>
    <s v="filler"/>
    <s v="Stim1_Set4"/>
    <m/>
    <x v="1"/>
    <x v="1"/>
    <x v="0"/>
  </r>
  <r>
    <n v="1"/>
    <n v="2"/>
    <x v="0"/>
    <x v="0"/>
    <s v="nontarget"/>
    <s v="Stim8_Set1"/>
    <m/>
    <x v="1"/>
    <x v="0"/>
    <x v="0"/>
  </r>
  <r>
    <n v="1"/>
    <n v="2"/>
    <x v="0"/>
    <x v="1"/>
    <s v="repeat"/>
    <s v="Stim8_Set1"/>
    <m/>
    <x v="0"/>
    <x v="1"/>
    <x v="0"/>
  </r>
  <r>
    <n v="1"/>
    <n v="1"/>
    <x v="1"/>
    <x v="2"/>
    <s v="filler"/>
    <s v="Stim8_Set4"/>
    <m/>
    <x v="1"/>
    <x v="1"/>
    <x v="1"/>
  </r>
  <r>
    <n v="1"/>
    <n v="2"/>
    <x v="0"/>
    <x v="0"/>
    <s v="nontarget"/>
    <s v="Stim7_Set1"/>
    <m/>
    <x v="1"/>
    <x v="0"/>
    <x v="0"/>
  </r>
  <r>
    <n v="1"/>
    <n v="1"/>
    <x v="1"/>
    <x v="1"/>
    <s v="switch"/>
    <s v="Stim7_Set1"/>
    <m/>
    <x v="1"/>
    <x v="1"/>
    <x v="0"/>
  </r>
  <r>
    <n v="1"/>
    <n v="1"/>
    <x v="1"/>
    <x v="2"/>
    <s v="filler"/>
    <s v="Stim4_Set4"/>
    <m/>
    <x v="0"/>
    <x v="1"/>
    <x v="1"/>
  </r>
  <r>
    <n v="1"/>
    <n v="1"/>
    <x v="1"/>
    <x v="0"/>
    <s v="nontarget"/>
    <s v="Stim3_Set1"/>
    <m/>
    <x v="0"/>
    <x v="0"/>
    <x v="0"/>
  </r>
  <r>
    <n v="1"/>
    <n v="2"/>
    <x v="0"/>
    <x v="1"/>
    <s v="switch"/>
    <s v="Stim3_Set1"/>
    <m/>
    <x v="1"/>
    <x v="1"/>
    <x v="0"/>
  </r>
  <r>
    <n v="1"/>
    <n v="2"/>
    <x v="0"/>
    <x v="0"/>
    <s v="nontarget"/>
    <s v="Stim2_Set1"/>
    <m/>
    <x v="0"/>
    <x v="0"/>
    <x v="1"/>
  </r>
  <r>
    <n v="1"/>
    <n v="1"/>
    <x v="1"/>
    <x v="1"/>
    <s v="switch"/>
    <s v="Stim2_Set1"/>
    <m/>
    <x v="1"/>
    <x v="1"/>
    <x v="0"/>
  </r>
  <r>
    <n v="1"/>
    <n v="2"/>
    <x v="0"/>
    <x v="2"/>
    <s v="filler"/>
    <s v="Stim7_Set4"/>
    <m/>
    <x v="1"/>
    <x v="1"/>
    <x v="1"/>
  </r>
  <r>
    <n v="1"/>
    <n v="1"/>
    <x v="1"/>
    <x v="0"/>
    <s v="nontarget"/>
    <s v="Stim4_Set1"/>
    <m/>
    <x v="1"/>
    <x v="0"/>
    <x v="0"/>
  </r>
  <r>
    <n v="1"/>
    <n v="1"/>
    <x v="1"/>
    <x v="1"/>
    <s v="repeat"/>
    <s v="Stim4_Set1"/>
    <m/>
    <x v="0"/>
    <x v="1"/>
    <x v="0"/>
  </r>
  <r>
    <n v="1"/>
    <n v="2"/>
    <x v="0"/>
    <x v="2"/>
    <s v="filler"/>
    <s v="Stim2_Set4"/>
    <m/>
    <x v="1"/>
    <x v="1"/>
    <x v="1"/>
  </r>
  <r>
    <n v="1"/>
    <n v="1"/>
    <x v="1"/>
    <x v="0"/>
    <s v="nontarget"/>
    <s v="Stim1_Set1"/>
    <m/>
    <x v="1"/>
    <x v="0"/>
    <x v="0"/>
  </r>
  <r>
    <n v="1"/>
    <n v="1"/>
    <x v="1"/>
    <x v="1"/>
    <s v="repeat"/>
    <s v="Stim1_Set1"/>
    <m/>
    <x v="0"/>
    <x v="1"/>
    <x v="0"/>
  </r>
  <r>
    <n v="1"/>
    <n v="1"/>
    <x v="1"/>
    <x v="0"/>
    <s v="nontarget"/>
    <s v="Stim6_Set1"/>
    <m/>
    <x v="0"/>
    <x v="0"/>
    <x v="1"/>
  </r>
  <r>
    <n v="1"/>
    <n v="2"/>
    <x v="0"/>
    <x v="1"/>
    <s v="switch"/>
    <s v="Stim6_Set1"/>
    <m/>
    <x v="1"/>
    <x v="1"/>
    <x v="0"/>
  </r>
  <r>
    <n v="2"/>
    <n v="1"/>
    <x v="1"/>
    <x v="0"/>
    <s v="nontarget"/>
    <s v="Stim8_Set2"/>
    <m/>
    <x v="1"/>
    <x v="0"/>
    <x v="1"/>
  </r>
  <r>
    <n v="2"/>
    <n v="1"/>
    <x v="1"/>
    <x v="1"/>
    <s v="repeat"/>
    <s v="Stim8_Set2"/>
    <m/>
    <x v="0"/>
    <x v="1"/>
    <x v="0"/>
  </r>
  <r>
    <n v="2"/>
    <n v="2"/>
    <x v="0"/>
    <x v="2"/>
    <s v="filler"/>
    <s v="Stim5_Set1"/>
    <m/>
    <x v="1"/>
    <x v="1"/>
    <x v="1"/>
  </r>
  <r>
    <n v="2"/>
    <n v="1"/>
    <x v="1"/>
    <x v="0"/>
    <s v="nontarget"/>
    <s v="Stim4_Set2"/>
    <m/>
    <x v="1"/>
    <x v="0"/>
    <x v="0"/>
  </r>
  <r>
    <n v="2"/>
    <n v="1"/>
    <x v="1"/>
    <x v="1"/>
    <s v="repeat"/>
    <s v="Stim4_Set2"/>
    <m/>
    <x v="0"/>
    <x v="1"/>
    <x v="0"/>
  </r>
  <r>
    <n v="2"/>
    <n v="2"/>
    <x v="0"/>
    <x v="2"/>
    <s v="filler"/>
    <s v="Stim8_Set1"/>
    <m/>
    <x v="1"/>
    <x v="1"/>
    <x v="1"/>
  </r>
  <r>
    <n v="2"/>
    <n v="1"/>
    <x v="1"/>
    <x v="2"/>
    <s v="filler"/>
    <s v="Stim7_Set1"/>
    <m/>
    <x v="1"/>
    <x v="1"/>
    <x v="0"/>
  </r>
  <r>
    <n v="2"/>
    <n v="1"/>
    <x v="1"/>
    <x v="0"/>
    <s v="nontarget"/>
    <s v="Stim6_Set2"/>
    <m/>
    <x v="0"/>
    <x v="0"/>
    <x v="0"/>
  </r>
  <r>
    <n v="2"/>
    <n v="1"/>
    <x v="0"/>
    <x v="1"/>
    <s v="switch"/>
    <s v="Stim6_Set2"/>
    <m/>
    <x v="1"/>
    <x v="1"/>
    <x v="0"/>
  </r>
  <r>
    <n v="2"/>
    <n v="2"/>
    <x v="0"/>
    <x v="2"/>
    <s v="filler"/>
    <s v="Stim3_Set1"/>
    <m/>
    <x v="0"/>
    <x v="1"/>
    <x v="1"/>
  </r>
  <r>
    <n v="2"/>
    <n v="2"/>
    <x v="0"/>
    <x v="0"/>
    <s v="nontarget"/>
    <s v="Stim2_Set2"/>
    <m/>
    <x v="0"/>
    <x v="0"/>
    <x v="0"/>
  </r>
  <r>
    <n v="2"/>
    <n v="1"/>
    <x v="1"/>
    <x v="1"/>
    <s v="switch"/>
    <s v="Stim2_Set2"/>
    <m/>
    <x v="1"/>
    <x v="1"/>
    <x v="0"/>
  </r>
  <r>
    <n v="2"/>
    <n v="1"/>
    <x v="1"/>
    <x v="2"/>
    <s v="filler"/>
    <s v="Stim2_Set1"/>
    <m/>
    <x v="0"/>
    <x v="1"/>
    <x v="1"/>
  </r>
  <r>
    <n v="2"/>
    <n v="1"/>
    <x v="1"/>
    <x v="0"/>
    <s v="nontarget"/>
    <s v="Stim7_Set2"/>
    <m/>
    <x v="0"/>
    <x v="0"/>
    <x v="0"/>
  </r>
  <r>
    <n v="2"/>
    <n v="2"/>
    <x v="0"/>
    <x v="1"/>
    <s v="switch"/>
    <s v="Stim7_Set2"/>
    <m/>
    <x v="1"/>
    <x v="1"/>
    <x v="0"/>
  </r>
  <r>
    <n v="2"/>
    <n v="2"/>
    <x v="0"/>
    <x v="0"/>
    <s v="nontarget"/>
    <s v="Stim3_Set2"/>
    <m/>
    <x v="0"/>
    <x v="0"/>
    <x v="1"/>
  </r>
  <r>
    <n v="2"/>
    <n v="2"/>
    <x v="0"/>
    <x v="1"/>
    <s v="repeat"/>
    <s v="Stim3_Set2"/>
    <m/>
    <x v="0"/>
    <x v="1"/>
    <x v="0"/>
  </r>
  <r>
    <n v="2"/>
    <n v="1"/>
    <x v="1"/>
    <x v="2"/>
    <s v="filler"/>
    <s v="Stim4_Set1"/>
    <m/>
    <x v="1"/>
    <x v="1"/>
    <x v="1"/>
  </r>
  <r>
    <n v="2"/>
    <n v="2"/>
    <x v="0"/>
    <x v="0"/>
    <s v="nontarget"/>
    <s v="Stim5_Set2"/>
    <m/>
    <x v="1"/>
    <x v="0"/>
    <x v="0"/>
  </r>
  <r>
    <n v="2"/>
    <n v="2"/>
    <x v="0"/>
    <x v="1"/>
    <s v="repeat"/>
    <s v="Stim5_Set2"/>
    <m/>
    <x v="0"/>
    <x v="1"/>
    <x v="0"/>
  </r>
  <r>
    <n v="2"/>
    <n v="1"/>
    <x v="1"/>
    <x v="2"/>
    <s v="filler"/>
    <s v="Stim1_Set1"/>
    <m/>
    <x v="1"/>
    <x v="1"/>
    <x v="1"/>
  </r>
  <r>
    <n v="2"/>
    <n v="2"/>
    <x v="0"/>
    <x v="2"/>
    <s v="filler"/>
    <s v="Stim6_Set1"/>
    <m/>
    <x v="1"/>
    <x v="1"/>
    <x v="0"/>
  </r>
  <r>
    <n v="2"/>
    <n v="2"/>
    <x v="0"/>
    <x v="0"/>
    <s v="nontarget"/>
    <s v="Stim1_Set2"/>
    <m/>
    <x v="0"/>
    <x v="0"/>
    <x v="0"/>
  </r>
  <r>
    <n v="2"/>
    <n v="1"/>
    <x v="1"/>
    <x v="1"/>
    <s v="switch"/>
    <s v="Stim1_Set2"/>
    <m/>
    <x v="1"/>
    <x v="1"/>
    <x v="0"/>
  </r>
  <r>
    <n v="3"/>
    <n v="1"/>
    <x v="1"/>
    <x v="0"/>
    <s v="nontarget"/>
    <s v="Stim5_Set3"/>
    <m/>
    <x v="0"/>
    <x v="0"/>
    <x v="1"/>
  </r>
  <r>
    <n v="3"/>
    <n v="2"/>
    <x v="0"/>
    <x v="1"/>
    <s v="switch"/>
    <s v="Stim5_Set3"/>
    <m/>
    <x v="1"/>
    <x v="1"/>
    <x v="0"/>
  </r>
  <r>
    <n v="3"/>
    <n v="2"/>
    <x v="0"/>
    <x v="2"/>
    <s v="filler"/>
    <s v="Stim8_Set2"/>
    <m/>
    <x v="0"/>
    <x v="1"/>
    <x v="1"/>
  </r>
  <r>
    <n v="3"/>
    <n v="2"/>
    <x v="0"/>
    <x v="0"/>
    <s v="nontarget"/>
    <s v="Stim1_Set3"/>
    <m/>
    <x v="0"/>
    <x v="0"/>
    <x v="0"/>
  </r>
  <r>
    <n v="3"/>
    <n v="1"/>
    <x v="1"/>
    <x v="1"/>
    <s v="switch"/>
    <s v="Stim1_Set3"/>
    <m/>
    <x v="1"/>
    <x v="1"/>
    <x v="0"/>
  </r>
  <r>
    <n v="3"/>
    <n v="1"/>
    <x v="1"/>
    <x v="2"/>
    <s v="filler"/>
    <s v="Stim4_Set2"/>
    <m/>
    <x v="0"/>
    <x v="1"/>
    <x v="1"/>
  </r>
  <r>
    <n v="3"/>
    <n v="1"/>
    <x v="1"/>
    <x v="0"/>
    <s v="nontarget"/>
    <s v="Stim7_Set3"/>
    <m/>
    <x v="0"/>
    <x v="0"/>
    <x v="0"/>
  </r>
  <r>
    <n v="3"/>
    <n v="2"/>
    <x v="0"/>
    <x v="1"/>
    <s v="switch"/>
    <s v="Stim7_Set3"/>
    <m/>
    <x v="1"/>
    <x v="1"/>
    <x v="0"/>
  </r>
  <r>
    <n v="3"/>
    <n v="1"/>
    <x v="1"/>
    <x v="2"/>
    <s v="filler"/>
    <s v="Stim6_Set2"/>
    <m/>
    <x v="1"/>
    <x v="1"/>
    <x v="1"/>
  </r>
  <r>
    <n v="3"/>
    <n v="2"/>
    <x v="0"/>
    <x v="0"/>
    <s v="nontarget"/>
    <s v="Stim3_Set3"/>
    <m/>
    <x v="1"/>
    <x v="0"/>
    <x v="0"/>
  </r>
  <r>
    <n v="3"/>
    <n v="2"/>
    <x v="0"/>
    <x v="1"/>
    <s v="repeat"/>
    <s v="Stim3_Set3"/>
    <m/>
    <x v="0"/>
    <x v="1"/>
    <x v="0"/>
  </r>
  <r>
    <n v="3"/>
    <n v="1"/>
    <x v="1"/>
    <x v="2"/>
    <s v="filler"/>
    <s v="Stim2_Set2"/>
    <m/>
    <x v="1"/>
    <x v="1"/>
    <x v="1"/>
  </r>
  <r>
    <n v="3"/>
    <n v="1"/>
    <x v="1"/>
    <x v="2"/>
    <s v="filler"/>
    <s v="Stim7_Set2"/>
    <m/>
    <x v="0"/>
    <x v="1"/>
    <x v="0"/>
  </r>
  <r>
    <n v="3"/>
    <n v="2"/>
    <x v="0"/>
    <x v="0"/>
    <s v="nontarget"/>
    <s v="Stim2_Set3"/>
    <m/>
    <x v="1"/>
    <x v="0"/>
    <x v="0"/>
  </r>
  <r>
    <n v="3"/>
    <n v="2"/>
    <x v="0"/>
    <x v="1"/>
    <s v="repeat"/>
    <s v="Stim2_Set3"/>
    <m/>
    <x v="0"/>
    <x v="1"/>
    <x v="0"/>
  </r>
  <r>
    <n v="3"/>
    <n v="2"/>
    <x v="0"/>
    <x v="0"/>
    <s v="nontarget"/>
    <s v="Stim8_Set3"/>
    <m/>
    <x v="0"/>
    <x v="0"/>
    <x v="1"/>
  </r>
  <r>
    <n v="3"/>
    <n v="1"/>
    <x v="1"/>
    <x v="1"/>
    <s v="switch"/>
    <s v="Stim8_Set3"/>
    <m/>
    <x v="1"/>
    <x v="1"/>
    <x v="0"/>
  </r>
  <r>
    <n v="3"/>
    <n v="2"/>
    <x v="0"/>
    <x v="2"/>
    <s v="filler"/>
    <s v="Stim3_Set2"/>
    <m/>
    <x v="1"/>
    <x v="1"/>
    <x v="1"/>
  </r>
  <r>
    <n v="3"/>
    <n v="1"/>
    <x v="1"/>
    <x v="2"/>
    <s v="filler"/>
    <s v="Stim5_Set2"/>
    <m/>
    <x v="1"/>
    <x v="1"/>
    <x v="0"/>
  </r>
  <r>
    <n v="3"/>
    <n v="1"/>
    <x v="1"/>
    <x v="0"/>
    <s v="nontarget"/>
    <s v="Stim6_Set3"/>
    <m/>
    <x v="0"/>
    <x v="0"/>
    <x v="0"/>
  </r>
  <r>
    <n v="3"/>
    <n v="1"/>
    <x v="1"/>
    <x v="1"/>
    <s v="repeat"/>
    <s v="Stim6_Set3"/>
    <m/>
    <x v="0"/>
    <x v="1"/>
    <x v="0"/>
  </r>
  <r>
    <n v="3"/>
    <n v="2"/>
    <x v="0"/>
    <x v="2"/>
    <s v="filler"/>
    <s v="Stim1_Set2"/>
    <m/>
    <x v="1"/>
    <x v="1"/>
    <x v="1"/>
  </r>
  <r>
    <n v="3"/>
    <n v="1"/>
    <x v="1"/>
    <x v="0"/>
    <s v="nontarget"/>
    <s v="Stim4_Set3"/>
    <m/>
    <x v="1"/>
    <x v="0"/>
    <x v="0"/>
  </r>
  <r>
    <n v="3"/>
    <n v="1"/>
    <x v="1"/>
    <x v="1"/>
    <s v="repeat"/>
    <s v="Stim4_Set3"/>
    <m/>
    <x v="0"/>
    <x v="1"/>
    <x v="0"/>
  </r>
  <r>
    <n v="4"/>
    <n v="2"/>
    <x v="0"/>
    <x v="2"/>
    <s v="filler"/>
    <s v="Stim5_Set3"/>
    <m/>
    <x v="1"/>
    <x v="1"/>
    <x v="1"/>
  </r>
  <r>
    <n v="4"/>
    <n v="2"/>
    <x v="0"/>
    <x v="2"/>
    <s v="filler"/>
    <s v="Stim1_Set3"/>
    <m/>
    <x v="0"/>
    <x v="1"/>
    <x v="0"/>
  </r>
  <r>
    <n v="4"/>
    <n v="1"/>
    <x v="1"/>
    <x v="0"/>
    <s v="nontarget"/>
    <s v="Stim6_Set4"/>
    <m/>
    <x v="1"/>
    <x v="0"/>
    <x v="0"/>
  </r>
  <r>
    <n v="4"/>
    <n v="1"/>
    <x v="1"/>
    <x v="1"/>
    <s v="repeat"/>
    <s v="Stim6_Set4"/>
    <m/>
    <x v="0"/>
    <x v="1"/>
    <x v="0"/>
  </r>
  <r>
    <n v="4"/>
    <n v="1"/>
    <x v="1"/>
    <x v="0"/>
    <s v="nontarget"/>
    <s v="Stim3_Set4"/>
    <m/>
    <x v="0"/>
    <x v="0"/>
    <x v="1"/>
  </r>
  <r>
    <n v="4"/>
    <n v="2"/>
    <x v="0"/>
    <x v="1"/>
    <s v="switch"/>
    <s v="Stim3_Set4"/>
    <m/>
    <x v="1"/>
    <x v="1"/>
    <x v="0"/>
  </r>
  <r>
    <n v="4"/>
    <n v="1"/>
    <x v="1"/>
    <x v="2"/>
    <s v="filler"/>
    <s v="Stim7_Set3"/>
    <m/>
    <x v="1"/>
    <x v="1"/>
    <x v="1"/>
  </r>
  <r>
    <n v="4"/>
    <n v="2"/>
    <x v="0"/>
    <x v="0"/>
    <s v="nontarget"/>
    <s v="Stim5_Set4"/>
    <m/>
    <x v="1"/>
    <x v="0"/>
    <x v="0"/>
  </r>
  <r>
    <n v="4"/>
    <n v="2"/>
    <x v="0"/>
    <x v="1"/>
    <s v="repeat"/>
    <s v="Stim5_Set4"/>
    <m/>
    <x v="0"/>
    <x v="1"/>
    <x v="0"/>
  </r>
  <r>
    <n v="4"/>
    <n v="2"/>
    <x v="0"/>
    <x v="0"/>
    <s v="nontarget"/>
    <s v="Stim1_Set4"/>
    <m/>
    <x v="0"/>
    <x v="0"/>
    <x v="1"/>
  </r>
  <r>
    <n v="4"/>
    <n v="1"/>
    <x v="1"/>
    <x v="1"/>
    <s v="switch"/>
    <s v="Stim1_Set4"/>
    <m/>
    <x v="1"/>
    <x v="1"/>
    <x v="0"/>
  </r>
  <r>
    <n v="4"/>
    <n v="2"/>
    <x v="0"/>
    <x v="2"/>
    <s v="filler"/>
    <s v="Stim3_Set3"/>
    <m/>
    <x v="1"/>
    <x v="1"/>
    <x v="1"/>
  </r>
  <r>
    <n v="4"/>
    <n v="1"/>
    <x v="1"/>
    <x v="0"/>
    <s v="nontarget"/>
    <s v="Stim4_Set4"/>
    <m/>
    <x v="1"/>
    <x v="0"/>
    <x v="0"/>
  </r>
  <r>
    <n v="4"/>
    <n v="2"/>
    <x v="0"/>
    <x v="1"/>
    <s v="switch"/>
    <s v="Stim4_Set4"/>
    <m/>
    <x v="1"/>
    <x v="1"/>
    <x v="0"/>
  </r>
  <r>
    <n v="4"/>
    <n v="2"/>
    <x v="0"/>
    <x v="2"/>
    <s v="filler"/>
    <s v="Stim2_Set3"/>
    <m/>
    <x v="0"/>
    <x v="1"/>
    <x v="1"/>
  </r>
  <r>
    <n v="4"/>
    <n v="2"/>
    <x v="0"/>
    <x v="0"/>
    <s v="nontarget"/>
    <s v="Stim7_Set4"/>
    <m/>
    <x v="0"/>
    <x v="0"/>
    <x v="0"/>
  </r>
  <r>
    <n v="4"/>
    <n v="2"/>
    <x v="0"/>
    <x v="1"/>
    <s v="repeat"/>
    <s v="Stim7_Set4"/>
    <m/>
    <x v="0"/>
    <x v="1"/>
    <x v="0"/>
  </r>
  <r>
    <n v="4"/>
    <n v="1"/>
    <x v="1"/>
    <x v="2"/>
    <s v="filler"/>
    <s v="Stim8_Set3"/>
    <m/>
    <x v="1"/>
    <x v="1"/>
    <x v="1"/>
  </r>
  <r>
    <n v="4"/>
    <n v="2"/>
    <x v="0"/>
    <x v="2"/>
    <s v="filler"/>
    <s v="Stim6_Set3"/>
    <m/>
    <x v="1"/>
    <x v="1"/>
    <x v="0"/>
  </r>
  <r>
    <n v="4"/>
    <n v="2"/>
    <x v="0"/>
    <x v="0"/>
    <s v="nontarget"/>
    <s v="Stim8_Set4"/>
    <m/>
    <x v="0"/>
    <x v="0"/>
    <x v="0"/>
  </r>
  <r>
    <n v="4"/>
    <n v="1"/>
    <x v="1"/>
    <x v="1"/>
    <s v="switch"/>
    <s v="Stim8_Set4"/>
    <m/>
    <x v="1"/>
    <x v="1"/>
    <x v="0"/>
  </r>
  <r>
    <n v="4"/>
    <n v="1"/>
    <x v="1"/>
    <x v="2"/>
    <s v="filler"/>
    <s v="Stim4_Set3"/>
    <m/>
    <x v="0"/>
    <x v="1"/>
    <x v="1"/>
  </r>
  <r>
    <n v="4"/>
    <n v="1"/>
    <x v="1"/>
    <x v="0"/>
    <s v="nontarget"/>
    <s v="Stim2_Set4"/>
    <m/>
    <x v="0"/>
    <x v="0"/>
    <x v="0"/>
  </r>
  <r>
    <n v="4"/>
    <n v="1"/>
    <x v="1"/>
    <x v="1"/>
    <s v="repeat"/>
    <s v="Stim2_Set4"/>
    <m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n v="1"/>
    <n v="2"/>
    <x v="0"/>
    <x v="0"/>
    <s v="nontarget"/>
    <s v="Stim1_Set1"/>
    <m/>
    <n v="1"/>
    <n v="1"/>
    <n v="0"/>
  </r>
  <r>
    <n v="1"/>
    <n v="2"/>
    <x v="0"/>
    <x v="1"/>
    <s v="repeat"/>
    <s v="Stim1_Set1"/>
    <m/>
    <n v="1"/>
    <n v="0"/>
    <n v="0"/>
  </r>
  <r>
    <n v="1"/>
    <n v="1"/>
    <x v="1"/>
    <x v="2"/>
    <s v="filler"/>
    <s v="Stim1_Set4"/>
    <m/>
    <n v="0"/>
    <n v="0"/>
    <n v="1"/>
  </r>
  <r>
    <n v="1"/>
    <n v="2"/>
    <x v="0"/>
    <x v="0"/>
    <s v="nontarget"/>
    <s v="Stim2_Set1"/>
    <m/>
    <n v="0"/>
    <n v="1"/>
    <n v="0"/>
  </r>
  <r>
    <n v="1"/>
    <n v="2"/>
    <x v="0"/>
    <x v="1"/>
    <s v="repeat"/>
    <s v="Stim2_Set1"/>
    <m/>
    <n v="1"/>
    <n v="0"/>
    <n v="0"/>
  </r>
  <r>
    <n v="1"/>
    <n v="1"/>
    <x v="1"/>
    <x v="2"/>
    <s v="filler"/>
    <s v="Stim2_Set4"/>
    <m/>
    <n v="0"/>
    <n v="0"/>
    <n v="1"/>
  </r>
  <r>
    <n v="1"/>
    <n v="2"/>
    <x v="0"/>
    <x v="0"/>
    <s v="nontarget"/>
    <s v="Stim3_Set1"/>
    <m/>
    <n v="0"/>
    <n v="1"/>
    <n v="0"/>
  </r>
  <r>
    <n v="1"/>
    <n v="1"/>
    <x v="1"/>
    <x v="1"/>
    <s v="switch"/>
    <s v="Stim3_Set1"/>
    <m/>
    <n v="0"/>
    <n v="0"/>
    <n v="0"/>
  </r>
  <r>
    <n v="1"/>
    <n v="1"/>
    <x v="1"/>
    <x v="0"/>
    <s v="nontarget"/>
    <s v="Stim4_Set1"/>
    <m/>
    <n v="1"/>
    <n v="1"/>
    <n v="1"/>
  </r>
  <r>
    <n v="1"/>
    <n v="2"/>
    <x v="0"/>
    <x v="1"/>
    <s v="switch"/>
    <s v="Stim4_Set1"/>
    <m/>
    <n v="0"/>
    <n v="0"/>
    <n v="0"/>
  </r>
  <r>
    <n v="1"/>
    <n v="2"/>
    <x v="0"/>
    <x v="2"/>
    <s v="filler"/>
    <s v="Stim3_Set4"/>
    <m/>
    <n v="1"/>
    <n v="0"/>
    <n v="1"/>
  </r>
  <r>
    <n v="1"/>
    <n v="2"/>
    <x v="0"/>
    <x v="0"/>
    <s v="nontarget"/>
    <s v="Stim5_Set1"/>
    <m/>
    <n v="1"/>
    <n v="1"/>
    <n v="0"/>
  </r>
  <r>
    <n v="1"/>
    <n v="1"/>
    <x v="1"/>
    <x v="1"/>
    <s v="switch"/>
    <s v="Stim5_Set1"/>
    <m/>
    <n v="0"/>
    <n v="0"/>
    <n v="0"/>
  </r>
  <r>
    <n v="1"/>
    <n v="2"/>
    <x v="0"/>
    <x v="2"/>
    <s v="filler"/>
    <s v="Stim4_Set4"/>
    <m/>
    <n v="0"/>
    <n v="0"/>
    <n v="1"/>
  </r>
  <r>
    <n v="1"/>
    <n v="1"/>
    <x v="1"/>
    <x v="0"/>
    <s v="nontarget"/>
    <s v="Stim6_Set1"/>
    <m/>
    <n v="0"/>
    <n v="1"/>
    <n v="0"/>
  </r>
  <r>
    <n v="1"/>
    <n v="1"/>
    <x v="1"/>
    <x v="1"/>
    <s v="repeat"/>
    <s v="Stim6_Set1"/>
    <m/>
    <n v="1"/>
    <n v="0"/>
    <n v="0"/>
  </r>
  <r>
    <n v="1"/>
    <n v="2"/>
    <x v="0"/>
    <x v="2"/>
    <s v="filler"/>
    <s v="Stim5_Set4"/>
    <m/>
    <n v="0"/>
    <n v="0"/>
    <n v="1"/>
  </r>
  <r>
    <n v="1"/>
    <n v="1"/>
    <x v="1"/>
    <x v="2"/>
    <s v="filler"/>
    <s v="Stim7_Set4"/>
    <m/>
    <n v="0"/>
    <n v="0"/>
    <n v="0"/>
  </r>
  <r>
    <n v="1"/>
    <n v="1"/>
    <x v="1"/>
    <x v="0"/>
    <s v="nontarget"/>
    <s v="Stim7_Set1"/>
    <m/>
    <n v="1"/>
    <n v="1"/>
    <n v="0"/>
  </r>
  <r>
    <n v="1"/>
    <n v="1"/>
    <x v="1"/>
    <x v="1"/>
    <s v="repeat"/>
    <s v="Stim7_Set1"/>
    <m/>
    <n v="1"/>
    <n v="0"/>
    <n v="0"/>
  </r>
  <r>
    <n v="1"/>
    <n v="2"/>
    <x v="0"/>
    <x v="2"/>
    <s v="filler"/>
    <s v="Stim6_Set4"/>
    <m/>
    <n v="0"/>
    <n v="0"/>
    <n v="1"/>
  </r>
  <r>
    <n v="1"/>
    <n v="1"/>
    <x v="1"/>
    <x v="2"/>
    <s v="filler"/>
    <s v="Stim8_Set4"/>
    <m/>
    <n v="0"/>
    <n v="0"/>
    <n v="0"/>
  </r>
  <r>
    <n v="1"/>
    <n v="1"/>
    <x v="1"/>
    <x v="0"/>
    <s v="nontarget"/>
    <s v="Stim8_Set1"/>
    <m/>
    <n v="1"/>
    <n v="1"/>
    <n v="0"/>
  </r>
  <r>
    <n v="1"/>
    <n v="2"/>
    <x v="0"/>
    <x v="1"/>
    <s v="switch"/>
    <s v="Stim8_Set1"/>
    <m/>
    <n v="0"/>
    <n v="0"/>
    <n v="0"/>
  </r>
  <r>
    <n v="2"/>
    <n v="2"/>
    <x v="0"/>
    <x v="2"/>
    <s v="filler"/>
    <s v="Stim1_Set1"/>
    <m/>
    <n v="1"/>
    <n v="0"/>
    <n v="1"/>
  </r>
  <r>
    <n v="2"/>
    <n v="1"/>
    <x v="1"/>
    <x v="0"/>
    <s v="nontarget"/>
    <s v="Stim1_Set2"/>
    <m/>
    <n v="0"/>
    <n v="1"/>
    <n v="0"/>
  </r>
  <r>
    <n v="2"/>
    <n v="1"/>
    <x v="1"/>
    <x v="1"/>
    <s v="repeat"/>
    <s v="Stim1_Set2"/>
    <m/>
    <n v="1"/>
    <n v="0"/>
    <n v="0"/>
  </r>
  <r>
    <n v="2"/>
    <n v="2"/>
    <x v="0"/>
    <x v="2"/>
    <s v="filler"/>
    <s v="Stim2_Set1"/>
    <m/>
    <n v="0"/>
    <n v="0"/>
    <n v="1"/>
  </r>
  <r>
    <n v="2"/>
    <n v="1"/>
    <x v="1"/>
    <x v="0"/>
    <s v="nontarget"/>
    <s v="Stim2_Set2"/>
    <m/>
    <n v="0"/>
    <n v="1"/>
    <n v="0"/>
  </r>
  <r>
    <n v="2"/>
    <n v="1"/>
    <x v="1"/>
    <x v="1"/>
    <s v="repeat"/>
    <s v="Stim2_Set2"/>
    <m/>
    <n v="1"/>
    <n v="0"/>
    <n v="0"/>
  </r>
  <r>
    <n v="2"/>
    <n v="1"/>
    <x v="1"/>
    <x v="0"/>
    <s v="nontarget"/>
    <s v="Stim3_Set2"/>
    <m/>
    <n v="1"/>
    <n v="1"/>
    <n v="1"/>
  </r>
  <r>
    <n v="2"/>
    <n v="2"/>
    <x v="0"/>
    <x v="1"/>
    <s v="switch"/>
    <s v="Stim3_Set2"/>
    <m/>
    <n v="0"/>
    <n v="0"/>
    <n v="0"/>
  </r>
  <r>
    <n v="2"/>
    <n v="2"/>
    <x v="0"/>
    <x v="0"/>
    <s v="nontarget"/>
    <s v="Stim4_Set2"/>
    <m/>
    <n v="1"/>
    <n v="1"/>
    <n v="1"/>
  </r>
  <r>
    <n v="2"/>
    <n v="1"/>
    <x v="1"/>
    <x v="1"/>
    <s v="switch"/>
    <s v="Stim4_Set2"/>
    <m/>
    <n v="0"/>
    <n v="0"/>
    <n v="0"/>
  </r>
  <r>
    <n v="2"/>
    <n v="1"/>
    <x v="1"/>
    <x v="2"/>
    <s v="filler"/>
    <s v="Stim3_Set1"/>
    <m/>
    <n v="1"/>
    <n v="0"/>
    <n v="1"/>
  </r>
  <r>
    <n v="2"/>
    <n v="1"/>
    <x v="1"/>
    <x v="0"/>
    <s v="nontarget"/>
    <s v="Stim5_Set2"/>
    <m/>
    <n v="1"/>
    <n v="1"/>
    <n v="0"/>
  </r>
  <r>
    <n v="2"/>
    <n v="2"/>
    <x v="0"/>
    <x v="1"/>
    <s v="switch"/>
    <s v="Stim5_Set2"/>
    <m/>
    <n v="0"/>
    <n v="0"/>
    <n v="0"/>
  </r>
  <r>
    <n v="2"/>
    <n v="2"/>
    <x v="0"/>
    <x v="2"/>
    <s v="filler"/>
    <s v="Stim4_Set1"/>
    <m/>
    <n v="1"/>
    <n v="0"/>
    <n v="1"/>
  </r>
  <r>
    <n v="2"/>
    <n v="1"/>
    <x v="1"/>
    <x v="2"/>
    <s v="filler"/>
    <s v="Stim7_Set1"/>
    <m/>
    <n v="0"/>
    <n v="0"/>
    <n v="0"/>
  </r>
  <r>
    <n v="2"/>
    <n v="2"/>
    <x v="0"/>
    <x v="2"/>
    <s v="filler"/>
    <s v="Stim5_Set1"/>
    <m/>
    <n v="0"/>
    <n v="0"/>
    <n v="0"/>
  </r>
  <r>
    <n v="2"/>
    <n v="2"/>
    <x v="0"/>
    <x v="0"/>
    <s v="nontarget"/>
    <s v="Stim6_Set2"/>
    <m/>
    <n v="1"/>
    <n v="1"/>
    <n v="0"/>
  </r>
  <r>
    <n v="2"/>
    <n v="2"/>
    <x v="0"/>
    <x v="1"/>
    <s v="repeat"/>
    <s v="Stim6_Set2"/>
    <m/>
    <n v="1"/>
    <n v="0"/>
    <n v="0"/>
  </r>
  <r>
    <n v="2"/>
    <n v="1"/>
    <x v="1"/>
    <x v="2"/>
    <s v="filler"/>
    <s v="Stim6_Set1"/>
    <m/>
    <n v="0"/>
    <n v="0"/>
    <n v="1"/>
  </r>
  <r>
    <n v="2"/>
    <n v="2"/>
    <x v="0"/>
    <x v="0"/>
    <s v="nontarget"/>
    <s v="Stim7_Set2"/>
    <m/>
    <n v="0"/>
    <n v="1"/>
    <n v="0"/>
  </r>
  <r>
    <n v="2"/>
    <n v="2"/>
    <x v="0"/>
    <x v="1"/>
    <s v="repeat"/>
    <s v="Stim7_Set2"/>
    <m/>
    <n v="1"/>
    <n v="0"/>
    <n v="0"/>
  </r>
  <r>
    <n v="2"/>
    <n v="2"/>
    <x v="0"/>
    <x v="2"/>
    <s v="filler"/>
    <s v="Stim8_Set1"/>
    <m/>
    <n v="1"/>
    <n v="0"/>
    <n v="1"/>
  </r>
  <r>
    <n v="2"/>
    <n v="2"/>
    <x v="0"/>
    <x v="0"/>
    <s v="nontarget"/>
    <s v="Stim8_Set2"/>
    <m/>
    <n v="1"/>
    <n v="1"/>
    <n v="0"/>
  </r>
  <r>
    <n v="2"/>
    <n v="1"/>
    <x v="1"/>
    <x v="1"/>
    <s v="switch"/>
    <s v="Stim8_Set2"/>
    <m/>
    <n v="0"/>
    <n v="0"/>
    <n v="0"/>
  </r>
  <r>
    <n v="3"/>
    <n v="2"/>
    <x v="0"/>
    <x v="2"/>
    <s v="filler"/>
    <m/>
    <s v="here"/>
    <n v="0"/>
    <n v="0"/>
    <n v="1"/>
  </r>
  <r>
    <n v="3"/>
    <n v="1"/>
    <x v="1"/>
    <x v="0"/>
    <s v="nontarget"/>
    <s v="Stim1_Set3"/>
    <m/>
    <n v="0"/>
    <n v="1"/>
    <n v="0"/>
  </r>
  <r>
    <n v="3"/>
    <n v="2"/>
    <x v="0"/>
    <x v="1"/>
    <s v="switch"/>
    <s v="Stim1_Set3"/>
    <m/>
    <n v="0"/>
    <n v="0"/>
    <n v="0"/>
  </r>
  <r>
    <n v="3"/>
    <n v="2"/>
    <x v="0"/>
    <x v="2"/>
    <s v="filler"/>
    <m/>
    <s v="here"/>
    <n v="1"/>
    <n v="0"/>
    <n v="1"/>
  </r>
  <r>
    <n v="3"/>
    <n v="2"/>
    <x v="0"/>
    <x v="0"/>
    <s v="nontarget"/>
    <s v="Stim2_Set3"/>
    <m/>
    <n v="1"/>
    <n v="1"/>
    <n v="0"/>
  </r>
  <r>
    <n v="3"/>
    <n v="1"/>
    <x v="1"/>
    <x v="1"/>
    <s v="switch"/>
    <s v="Stim2_Set3"/>
    <m/>
    <n v="0"/>
    <n v="0"/>
    <n v="0"/>
  </r>
  <r>
    <n v="3"/>
    <n v="1"/>
    <x v="1"/>
    <x v="2"/>
    <s v="filler"/>
    <s v="Stim1_Set2"/>
    <m/>
    <n v="1"/>
    <n v="0"/>
    <n v="1"/>
  </r>
  <r>
    <n v="3"/>
    <n v="1"/>
    <x v="1"/>
    <x v="0"/>
    <s v="nontarget"/>
    <s v="Stim3_Set3"/>
    <m/>
    <n v="1"/>
    <n v="1"/>
    <n v="0"/>
  </r>
  <r>
    <n v="3"/>
    <n v="2"/>
    <x v="0"/>
    <x v="1"/>
    <s v="switch"/>
    <s v="Stim3_Set3"/>
    <m/>
    <n v="0"/>
    <n v="0"/>
    <n v="0"/>
  </r>
  <r>
    <n v="3"/>
    <n v="1"/>
    <x v="1"/>
    <x v="2"/>
    <s v="filler"/>
    <s v="Stim2_Set2"/>
    <m/>
    <n v="0"/>
    <n v="0"/>
    <n v="1"/>
  </r>
  <r>
    <n v="3"/>
    <n v="2"/>
    <x v="0"/>
    <x v="0"/>
    <s v="nontarget"/>
    <s v="Stim4_Set3"/>
    <m/>
    <n v="0"/>
    <n v="1"/>
    <n v="0"/>
  </r>
  <r>
    <n v="3"/>
    <n v="2"/>
    <x v="0"/>
    <x v="1"/>
    <s v="repeat"/>
    <s v="Stim4_Set3"/>
    <m/>
    <n v="1"/>
    <n v="0"/>
    <n v="0"/>
  </r>
  <r>
    <n v="3"/>
    <n v="1"/>
    <x v="1"/>
    <x v="2"/>
    <s v="filler"/>
    <s v="Stim3_Set2"/>
    <m/>
    <n v="0"/>
    <n v="0"/>
    <n v="1"/>
  </r>
  <r>
    <n v="3"/>
    <n v="1"/>
    <x v="1"/>
    <x v="2"/>
    <s v="filler"/>
    <s v="Stim4_Set2"/>
    <m/>
    <n v="1"/>
    <n v="0"/>
    <n v="0"/>
  </r>
  <r>
    <n v="3"/>
    <n v="2"/>
    <x v="0"/>
    <x v="2"/>
    <s v="filler"/>
    <s v="Stim5_Set2"/>
    <m/>
    <n v="0"/>
    <n v="0"/>
    <n v="0"/>
  </r>
  <r>
    <n v="3"/>
    <n v="2"/>
    <x v="0"/>
    <x v="0"/>
    <s v="nontarget"/>
    <s v="Stim5_Set3"/>
    <m/>
    <n v="1"/>
    <n v="1"/>
    <n v="0"/>
  </r>
  <r>
    <n v="3"/>
    <n v="2"/>
    <x v="0"/>
    <x v="1"/>
    <s v="repeat"/>
    <s v="Stim5_Set3"/>
    <m/>
    <n v="1"/>
    <n v="0"/>
    <n v="0"/>
  </r>
  <r>
    <n v="3"/>
    <n v="1"/>
    <x v="1"/>
    <x v="2"/>
    <s v="filler"/>
    <m/>
    <s v="here"/>
    <n v="0"/>
    <n v="0"/>
    <n v="1"/>
  </r>
  <r>
    <n v="3"/>
    <n v="2"/>
    <x v="0"/>
    <x v="0"/>
    <s v="nontarget"/>
    <s v="Stim6_Set3"/>
    <m/>
    <n v="0"/>
    <n v="1"/>
    <n v="0"/>
  </r>
  <r>
    <n v="3"/>
    <n v="1"/>
    <x v="1"/>
    <x v="1"/>
    <s v="switch"/>
    <s v="Stim6_Set3"/>
    <m/>
    <n v="0"/>
    <n v="0"/>
    <n v="0"/>
  </r>
  <r>
    <n v="3"/>
    <n v="2"/>
    <x v="0"/>
    <x v="2"/>
    <s v="filler"/>
    <s v="Stim6_Set2"/>
    <m/>
    <n v="0"/>
    <n v="0"/>
    <n v="1"/>
  </r>
  <r>
    <n v="3"/>
    <n v="1"/>
    <x v="1"/>
    <x v="0"/>
    <s v="nontarget"/>
    <s v="Stim7_Set3"/>
    <m/>
    <n v="0"/>
    <n v="1"/>
    <n v="0"/>
  </r>
  <r>
    <n v="3"/>
    <n v="1"/>
    <x v="1"/>
    <x v="1"/>
    <s v="repeat"/>
    <s v="Stim7_Set3"/>
    <m/>
    <n v="1"/>
    <n v="0"/>
    <n v="0"/>
  </r>
  <r>
    <n v="3"/>
    <n v="2"/>
    <x v="0"/>
    <x v="2"/>
    <s v="filler"/>
    <s v="Stim7_Set2"/>
    <m/>
    <n v="0"/>
    <n v="0"/>
    <n v="1"/>
  </r>
  <r>
    <n v="3"/>
    <n v="1"/>
    <x v="1"/>
    <x v="2"/>
    <s v="filler"/>
    <s v="Stim8_Set2"/>
    <m/>
    <n v="0"/>
    <n v="0"/>
    <n v="0"/>
  </r>
  <r>
    <n v="3"/>
    <n v="1"/>
    <x v="1"/>
    <x v="0"/>
    <s v="nontarget"/>
    <s v="Stim8_Set3"/>
    <m/>
    <n v="1"/>
    <n v="1"/>
    <n v="0"/>
  </r>
  <r>
    <n v="3"/>
    <n v="1"/>
    <x v="1"/>
    <x v="1"/>
    <s v="repeat"/>
    <s v="Stim8_Set3"/>
    <m/>
    <n v="1"/>
    <n v="0"/>
    <n v="0"/>
  </r>
  <r>
    <n v="4"/>
    <n v="2"/>
    <x v="0"/>
    <x v="2"/>
    <s v="filler"/>
    <s v="Stim1_Set3"/>
    <m/>
    <n v="0"/>
    <n v="0"/>
    <n v="1"/>
  </r>
  <r>
    <n v="4"/>
    <n v="1"/>
    <x v="1"/>
    <x v="0"/>
    <s v="nontarget"/>
    <s v="Stim1_Set4"/>
    <m/>
    <n v="0"/>
    <n v="1"/>
    <n v="0"/>
  </r>
  <r>
    <n v="4"/>
    <n v="1"/>
    <x v="1"/>
    <x v="1"/>
    <s v="repeat"/>
    <s v="Stim1_Set4"/>
    <m/>
    <n v="1"/>
    <n v="0"/>
    <n v="0"/>
  </r>
  <r>
    <n v="4"/>
    <n v="1"/>
    <x v="1"/>
    <x v="0"/>
    <s v="nontarget"/>
    <s v="Stim2_Set4"/>
    <m/>
    <n v="1"/>
    <n v="1"/>
    <n v="1"/>
  </r>
  <r>
    <n v="4"/>
    <n v="2"/>
    <x v="0"/>
    <x v="1"/>
    <s v="switch"/>
    <s v="Stim2_Set4"/>
    <m/>
    <n v="0"/>
    <n v="0"/>
    <n v="0"/>
  </r>
  <r>
    <n v="4"/>
    <n v="1"/>
    <x v="1"/>
    <x v="2"/>
    <s v="filler"/>
    <s v="Stim2_Set3"/>
    <m/>
    <n v="0"/>
    <n v="0"/>
    <n v="1"/>
  </r>
  <r>
    <n v="4"/>
    <n v="1"/>
    <x v="1"/>
    <x v="2"/>
    <s v="filler"/>
    <s v="Stim3_Set3"/>
    <m/>
    <n v="1"/>
    <n v="0"/>
    <n v="0"/>
  </r>
  <r>
    <n v="4"/>
    <n v="2"/>
    <x v="0"/>
    <x v="0"/>
    <s v="nontarget"/>
    <s v="Stim3_Set4"/>
    <m/>
    <n v="0"/>
    <n v="1"/>
    <n v="0"/>
  </r>
  <r>
    <n v="4"/>
    <n v="2"/>
    <x v="0"/>
    <x v="1"/>
    <s v="repeat"/>
    <s v="Stim3_Set4"/>
    <m/>
    <n v="1"/>
    <n v="0"/>
    <n v="0"/>
  </r>
  <r>
    <n v="4"/>
    <n v="2"/>
    <x v="0"/>
    <x v="0"/>
    <s v="nontarget"/>
    <s v="Stim4_Set4"/>
    <m/>
    <n v="1"/>
    <n v="1"/>
    <n v="1"/>
  </r>
  <r>
    <n v="4"/>
    <n v="1"/>
    <x v="1"/>
    <x v="1"/>
    <s v="switch"/>
    <s v="Stim4_Set4"/>
    <m/>
    <n v="0"/>
    <n v="0"/>
    <n v="0"/>
  </r>
  <r>
    <n v="4"/>
    <n v="1"/>
    <x v="1"/>
    <x v="2"/>
    <s v="filler"/>
    <s v="Stim4_Set3"/>
    <m/>
    <n v="1"/>
    <n v="0"/>
    <n v="1"/>
  </r>
  <r>
    <n v="4"/>
    <n v="1"/>
    <x v="1"/>
    <x v="0"/>
    <s v="nontarget"/>
    <s v="Stim5_Set4"/>
    <m/>
    <n v="1"/>
    <n v="1"/>
    <n v="0"/>
  </r>
  <r>
    <n v="4"/>
    <n v="2"/>
    <x v="0"/>
    <x v="1"/>
    <s v="switch"/>
    <s v="Stim5_Set4"/>
    <m/>
    <n v="0"/>
    <n v="0"/>
    <n v="0"/>
  </r>
  <r>
    <n v="4"/>
    <n v="2"/>
    <x v="0"/>
    <x v="0"/>
    <s v="nontarget"/>
    <s v="Stim6_Set4"/>
    <m/>
    <n v="1"/>
    <n v="1"/>
    <n v="1"/>
  </r>
  <r>
    <n v="4"/>
    <n v="2"/>
    <x v="0"/>
    <x v="1"/>
    <s v="repeat"/>
    <s v="Stim6_Set4"/>
    <m/>
    <n v="1"/>
    <n v="0"/>
    <n v="0"/>
  </r>
  <r>
    <n v="4"/>
    <n v="1"/>
    <x v="1"/>
    <x v="2"/>
    <s v="filler"/>
    <s v="Stim5_Set3"/>
    <m/>
    <n v="0"/>
    <n v="0"/>
    <n v="1"/>
  </r>
  <r>
    <n v="4"/>
    <n v="2"/>
    <x v="0"/>
    <x v="2"/>
    <s v="filler"/>
    <s v="Stim7_Set3"/>
    <m/>
    <n v="0"/>
    <n v="0"/>
    <n v="0"/>
  </r>
  <r>
    <n v="4"/>
    <n v="2"/>
    <x v="0"/>
    <x v="0"/>
    <s v="nontarget"/>
    <s v="Stim7_Set4"/>
    <m/>
    <n v="1"/>
    <n v="1"/>
    <n v="0"/>
  </r>
  <r>
    <n v="4"/>
    <n v="1"/>
    <x v="1"/>
    <x v="1"/>
    <s v="switch"/>
    <s v="Stim7_Set4"/>
    <m/>
    <n v="0"/>
    <n v="0"/>
    <n v="0"/>
  </r>
  <r>
    <n v="4"/>
    <n v="1"/>
    <x v="1"/>
    <x v="0"/>
    <s v="nontarget"/>
    <s v="Stim8_Set4"/>
    <m/>
    <n v="1"/>
    <n v="1"/>
    <n v="1"/>
  </r>
  <r>
    <n v="4"/>
    <n v="1"/>
    <x v="1"/>
    <x v="1"/>
    <s v="repeat"/>
    <s v="Stim8_Set4"/>
    <m/>
    <n v="1"/>
    <n v="0"/>
    <n v="0"/>
  </r>
  <r>
    <n v="4"/>
    <n v="1"/>
    <x v="0"/>
    <x v="2"/>
    <s v="filler"/>
    <s v="Stim8_Set3"/>
    <m/>
    <n v="0"/>
    <n v="0"/>
    <n v="1"/>
  </r>
  <r>
    <n v="4"/>
    <n v="1"/>
    <x v="1"/>
    <x v="2"/>
    <s v="filler"/>
    <s v="Stim6_Set3"/>
    <m/>
    <n v="0"/>
    <n v="0"/>
    <n v="0"/>
  </r>
  <r>
    <s v="BREAK"/>
    <m/>
    <x v="2"/>
    <x v="3"/>
    <m/>
    <m/>
    <m/>
    <n v="0"/>
    <n v="0"/>
    <n v="0"/>
  </r>
  <r>
    <n v="1"/>
    <n v="2"/>
    <x v="0"/>
    <x v="0"/>
    <s v="nontarget"/>
    <s v="Stim4_Set1"/>
    <m/>
    <n v="0"/>
    <n v="1"/>
    <n v="0"/>
  </r>
  <r>
    <n v="1"/>
    <n v="2"/>
    <x v="0"/>
    <x v="1"/>
    <s v="repeat"/>
    <s v="Stim4_Set1"/>
    <m/>
    <n v="1"/>
    <n v="0"/>
    <n v="0"/>
  </r>
  <r>
    <n v="1"/>
    <n v="1"/>
    <x v="1"/>
    <x v="2"/>
    <s v="filler"/>
    <s v="Stim3_Set4"/>
    <m/>
    <n v="0"/>
    <n v="0"/>
    <n v="1"/>
  </r>
  <r>
    <n v="1"/>
    <n v="2"/>
    <x v="0"/>
    <x v="0"/>
    <s v="nontarget"/>
    <s v="Stim3_Set1"/>
    <m/>
    <n v="0"/>
    <n v="1"/>
    <n v="0"/>
  </r>
  <r>
    <n v="1"/>
    <n v="2"/>
    <x v="0"/>
    <x v="1"/>
    <s v="repeat"/>
    <s v="Stim3_Set1"/>
    <m/>
    <n v="1"/>
    <n v="0"/>
    <n v="0"/>
  </r>
  <r>
    <n v="1"/>
    <n v="1"/>
    <x v="1"/>
    <x v="2"/>
    <s v="filler"/>
    <m/>
    <s v="here"/>
    <n v="0"/>
    <n v="0"/>
    <n v="1"/>
  </r>
  <r>
    <n v="1"/>
    <n v="2"/>
    <x v="0"/>
    <x v="2"/>
    <s v="filler"/>
    <s v="Stim8_Set4"/>
    <m/>
    <n v="0"/>
    <n v="0"/>
    <n v="0"/>
  </r>
  <r>
    <n v="1"/>
    <n v="2"/>
    <x v="0"/>
    <x v="0"/>
    <s v="nontarget"/>
    <s v="Stim6_Set1"/>
    <m/>
    <n v="1"/>
    <n v="1"/>
    <n v="0"/>
  </r>
  <r>
    <n v="1"/>
    <n v="1"/>
    <x v="1"/>
    <x v="1"/>
    <s v="switch"/>
    <s v="Stim6_Set1"/>
    <m/>
    <n v="0"/>
    <n v="0"/>
    <n v="0"/>
  </r>
  <r>
    <n v="1"/>
    <n v="1"/>
    <x v="1"/>
    <x v="2"/>
    <s v="filler"/>
    <s v="Stim4_Set4"/>
    <m/>
    <n v="1"/>
    <n v="0"/>
    <n v="1"/>
  </r>
  <r>
    <n v="1"/>
    <n v="1"/>
    <x v="1"/>
    <x v="0"/>
    <s v="nontarget"/>
    <s v="Stim2_Set1"/>
    <m/>
    <n v="1"/>
    <n v="1"/>
    <n v="0"/>
  </r>
  <r>
    <n v="1"/>
    <n v="2"/>
    <x v="0"/>
    <x v="1"/>
    <s v="switch"/>
    <s v="Stim2_Set1"/>
    <m/>
    <n v="0"/>
    <n v="0"/>
    <n v="0"/>
  </r>
  <r>
    <n v="1"/>
    <n v="2"/>
    <x v="0"/>
    <x v="0"/>
    <s v="nontarget"/>
    <s v="Stim1_Set1"/>
    <m/>
    <n v="1"/>
    <n v="1"/>
    <n v="1"/>
  </r>
  <r>
    <n v="1"/>
    <n v="1"/>
    <x v="1"/>
    <x v="1"/>
    <s v="switch"/>
    <s v="Stim1_Set1"/>
    <m/>
    <n v="0"/>
    <n v="0"/>
    <n v="0"/>
  </r>
  <r>
    <n v="1"/>
    <n v="2"/>
    <x v="0"/>
    <x v="2"/>
    <s v="filler"/>
    <s v="Stim2_Set4"/>
    <m/>
    <n v="0"/>
    <n v="0"/>
    <n v="1"/>
  </r>
  <r>
    <n v="1"/>
    <n v="1"/>
    <x v="1"/>
    <x v="0"/>
    <s v="nontarget"/>
    <s v="Stim8_Set1"/>
    <m/>
    <n v="0"/>
    <n v="1"/>
    <n v="0"/>
  </r>
  <r>
    <n v="1"/>
    <n v="1"/>
    <x v="1"/>
    <x v="1"/>
    <s v="repeat"/>
    <s v="Stim8_Set1"/>
    <m/>
    <n v="1"/>
    <n v="0"/>
    <n v="0"/>
  </r>
  <r>
    <n v="1"/>
    <n v="2"/>
    <x v="0"/>
    <x v="2"/>
    <s v="filler"/>
    <s v="Stim7_Set4"/>
    <m/>
    <n v="0"/>
    <n v="0"/>
    <n v="1"/>
  </r>
  <r>
    <n v="1"/>
    <n v="1"/>
    <x v="1"/>
    <x v="0"/>
    <s v="nontarget"/>
    <s v="Stim5_Set1"/>
    <m/>
    <n v="0"/>
    <n v="1"/>
    <n v="0"/>
  </r>
  <r>
    <n v="1"/>
    <n v="1"/>
    <x v="1"/>
    <x v="1"/>
    <s v="repeat"/>
    <s v="Stim5_Set1"/>
    <m/>
    <n v="1"/>
    <n v="0"/>
    <n v="0"/>
  </r>
  <r>
    <n v="1"/>
    <n v="2"/>
    <x v="0"/>
    <x v="2"/>
    <s v="filler"/>
    <s v="Stim1_Set4"/>
    <m/>
    <n v="0"/>
    <n v="0"/>
    <n v="1"/>
  </r>
  <r>
    <n v="1"/>
    <n v="1"/>
    <x v="1"/>
    <x v="2"/>
    <s v="filler"/>
    <s v="Stim6_Set4"/>
    <m/>
    <n v="0"/>
    <n v="0"/>
    <n v="0"/>
  </r>
  <r>
    <n v="1"/>
    <n v="1"/>
    <x v="1"/>
    <x v="0"/>
    <s v="nontarget"/>
    <s v="Stim7_Set1"/>
    <m/>
    <n v="1"/>
    <n v="1"/>
    <n v="0"/>
  </r>
  <r>
    <n v="1"/>
    <n v="2"/>
    <x v="0"/>
    <x v="1"/>
    <s v="switch"/>
    <s v="Stim7_Set1"/>
    <m/>
    <n v="0"/>
    <n v="0"/>
    <n v="0"/>
  </r>
  <r>
    <n v="1"/>
    <n v="1"/>
    <x v="1"/>
    <x v="2"/>
    <s v="filler"/>
    <s v="Stim5_Set4"/>
    <m/>
    <n v="0"/>
    <n v="0"/>
    <n v="1"/>
  </r>
  <r>
    <n v="2"/>
    <n v="1"/>
    <x v="1"/>
    <x v="0"/>
    <s v="nontarget"/>
    <s v="Stim5_Set2"/>
    <m/>
    <n v="1"/>
    <n v="1"/>
    <n v="0"/>
  </r>
  <r>
    <n v="2"/>
    <n v="1"/>
    <x v="1"/>
    <x v="1"/>
    <s v="repeat"/>
    <s v="Stim5_Set2"/>
    <m/>
    <n v="1"/>
    <n v="0"/>
    <n v="0"/>
  </r>
  <r>
    <n v="2"/>
    <n v="2"/>
    <x v="0"/>
    <x v="2"/>
    <s v="filler"/>
    <s v="Stim4_Set1"/>
    <m/>
    <n v="0"/>
    <n v="0"/>
    <n v="1"/>
  </r>
  <r>
    <n v="2"/>
    <n v="1"/>
    <x v="1"/>
    <x v="0"/>
    <s v="nontarget"/>
    <s v="Stim3_Set2"/>
    <m/>
    <n v="0"/>
    <n v="1"/>
    <n v="0"/>
  </r>
  <r>
    <n v="2"/>
    <n v="1"/>
    <x v="1"/>
    <x v="1"/>
    <s v="repeat"/>
    <s v="Stim3_Set2"/>
    <m/>
    <n v="1"/>
    <n v="0"/>
    <n v="0"/>
  </r>
  <r>
    <n v="2"/>
    <n v="1"/>
    <x v="1"/>
    <x v="0"/>
    <s v="nontarget"/>
    <s v="Stim1_Set2"/>
    <m/>
    <n v="1"/>
    <n v="1"/>
    <n v="1"/>
  </r>
  <r>
    <n v="2"/>
    <n v="2"/>
    <x v="0"/>
    <x v="1"/>
    <s v="switch"/>
    <s v="Stim1_Set2"/>
    <m/>
    <n v="0"/>
    <n v="0"/>
    <n v="0"/>
  </r>
  <r>
    <n v="2"/>
    <n v="2"/>
    <x v="0"/>
    <x v="2"/>
    <s v="filler"/>
    <s v="Stim3_Set1"/>
    <m/>
    <n v="1"/>
    <n v="0"/>
    <n v="1"/>
  </r>
  <r>
    <n v="2"/>
    <n v="2"/>
    <x v="0"/>
    <x v="0"/>
    <s v="nontarget"/>
    <s v="Stim7_Set2"/>
    <m/>
    <n v="1"/>
    <n v="1"/>
    <n v="0"/>
  </r>
  <r>
    <n v="2"/>
    <n v="1"/>
    <x v="1"/>
    <x v="1"/>
    <s v="switch"/>
    <s v="Stim7_Set2"/>
    <m/>
    <n v="0"/>
    <n v="0"/>
    <n v="0"/>
  </r>
  <r>
    <n v="2"/>
    <n v="1"/>
    <x v="1"/>
    <x v="0"/>
    <s v="nontarget"/>
    <s v="Stim2_Set2"/>
    <m/>
    <n v="1"/>
    <n v="1"/>
    <n v="1"/>
  </r>
  <r>
    <n v="2"/>
    <n v="2"/>
    <x v="0"/>
    <x v="1"/>
    <s v="switch"/>
    <s v="Stim2_Set2"/>
    <m/>
    <n v="0"/>
    <n v="0"/>
    <n v="0"/>
  </r>
  <r>
    <n v="2"/>
    <n v="1"/>
    <x v="1"/>
    <x v="2"/>
    <s v="filler"/>
    <s v="Stim6_Set1"/>
    <m/>
    <n v="0"/>
    <n v="0"/>
    <n v="1"/>
  </r>
  <r>
    <n v="2"/>
    <n v="2"/>
    <x v="0"/>
    <x v="2"/>
    <s v="filler"/>
    <s v="Stim2_Set1"/>
    <m/>
    <n v="0"/>
    <n v="0"/>
    <n v="0"/>
  </r>
  <r>
    <n v="2"/>
    <n v="1"/>
    <x v="1"/>
    <x v="2"/>
    <s v="filler"/>
    <s v="Stim5_Set1"/>
    <m/>
    <n v="0"/>
    <n v="0"/>
    <n v="0"/>
  </r>
  <r>
    <n v="2"/>
    <n v="2"/>
    <x v="0"/>
    <x v="0"/>
    <s v="nontarget"/>
    <s v="Stim4_Set2"/>
    <m/>
    <n v="0"/>
    <n v="1"/>
    <n v="0"/>
  </r>
  <r>
    <n v="2"/>
    <n v="2"/>
    <x v="0"/>
    <x v="1"/>
    <s v="repeat"/>
    <s v="Stim4_Set2"/>
    <m/>
    <n v="1"/>
    <n v="0"/>
    <n v="0"/>
  </r>
  <r>
    <n v="2"/>
    <n v="1"/>
    <x v="1"/>
    <x v="2"/>
    <s v="filler"/>
    <s v="Stim1_Set1"/>
    <m/>
    <n v="0"/>
    <n v="0"/>
    <n v="1"/>
  </r>
  <r>
    <n v="2"/>
    <n v="2"/>
    <x v="0"/>
    <x v="0"/>
    <s v="nontarget"/>
    <s v="Stim8_Set2"/>
    <m/>
    <n v="0"/>
    <n v="1"/>
    <n v="0"/>
  </r>
  <r>
    <n v="2"/>
    <n v="2"/>
    <x v="0"/>
    <x v="1"/>
    <s v="repeat"/>
    <s v="Stim8_Set2"/>
    <m/>
    <n v="1"/>
    <n v="0"/>
    <n v="0"/>
  </r>
  <r>
    <n v="2"/>
    <n v="1"/>
    <x v="1"/>
    <x v="2"/>
    <s v="filler"/>
    <s v="Stim8_Set1"/>
    <m/>
    <n v="0"/>
    <n v="0"/>
    <n v="1"/>
  </r>
  <r>
    <n v="2"/>
    <n v="2"/>
    <x v="0"/>
    <x v="2"/>
    <s v="filler"/>
    <s v="Stim7_Set1"/>
    <m/>
    <n v="0"/>
    <n v="0"/>
    <n v="0"/>
  </r>
  <r>
    <n v="2"/>
    <n v="2"/>
    <x v="0"/>
    <x v="0"/>
    <s v="nontarget"/>
    <s v="Stim6_Set2"/>
    <m/>
    <n v="1"/>
    <n v="1"/>
    <n v="0"/>
  </r>
  <r>
    <n v="2"/>
    <n v="1"/>
    <x v="1"/>
    <x v="1"/>
    <s v="switch"/>
    <s v="Stim6_Set2"/>
    <m/>
    <n v="0"/>
    <n v="0"/>
    <n v="0"/>
  </r>
  <r>
    <n v="3"/>
    <n v="1"/>
    <x v="1"/>
    <x v="2"/>
    <s v="filler"/>
    <s v="Stim5_Set2"/>
    <m/>
    <n v="1"/>
    <n v="0"/>
    <n v="1"/>
  </r>
  <r>
    <n v="3"/>
    <n v="1"/>
    <x v="1"/>
    <x v="0"/>
    <s v="nontarget"/>
    <s v="Stim6_Set3"/>
    <m/>
    <n v="1"/>
    <n v="1"/>
    <n v="0"/>
  </r>
  <r>
    <n v="3"/>
    <n v="2"/>
    <x v="0"/>
    <x v="1"/>
    <s v="switch"/>
    <s v="Stim6_Set3"/>
    <m/>
    <n v="0"/>
    <n v="0"/>
    <n v="0"/>
  </r>
  <r>
    <n v="3"/>
    <n v="2"/>
    <x v="0"/>
    <x v="2"/>
    <s v="filler"/>
    <s v="Stim3_Set2"/>
    <m/>
    <n v="1"/>
    <n v="0"/>
    <n v="1"/>
  </r>
  <r>
    <n v="3"/>
    <n v="2"/>
    <x v="0"/>
    <x v="0"/>
    <s v="nontarget"/>
    <s v="Stim4_Set3"/>
    <m/>
    <n v="1"/>
    <n v="1"/>
    <n v="0"/>
  </r>
  <r>
    <n v="3"/>
    <n v="1"/>
    <x v="1"/>
    <x v="1"/>
    <s v="switch"/>
    <s v="Stim4_Set3"/>
    <m/>
    <n v="0"/>
    <n v="0"/>
    <n v="0"/>
  </r>
  <r>
    <n v="3"/>
    <n v="1"/>
    <x v="1"/>
    <x v="2"/>
    <s v="filler"/>
    <m/>
    <s v="here"/>
    <n v="1"/>
    <n v="0"/>
    <n v="1"/>
  </r>
  <r>
    <n v="3"/>
    <n v="1"/>
    <x v="1"/>
    <x v="0"/>
    <s v="nontarget"/>
    <s v="Stim8_Set3"/>
    <m/>
    <n v="1"/>
    <n v="1"/>
    <n v="0"/>
  </r>
  <r>
    <n v="3"/>
    <n v="2"/>
    <x v="0"/>
    <x v="1"/>
    <s v="switch"/>
    <s v="Stim8_Set3"/>
    <m/>
    <n v="0"/>
    <n v="0"/>
    <n v="0"/>
  </r>
  <r>
    <n v="3"/>
    <n v="1"/>
    <x v="1"/>
    <x v="2"/>
    <s v="filler"/>
    <s v="Stim1_Set2"/>
    <m/>
    <n v="0"/>
    <n v="0"/>
    <n v="1"/>
  </r>
  <r>
    <n v="3"/>
    <n v="2"/>
    <x v="0"/>
    <x v="0"/>
    <s v="nontarget"/>
    <s v="Stim7_Set3"/>
    <m/>
    <n v="0"/>
    <n v="1"/>
    <n v="0"/>
  </r>
  <r>
    <n v="3"/>
    <n v="2"/>
    <x v="0"/>
    <x v="1"/>
    <s v="repeat"/>
    <s v="Stim7_Set3"/>
    <m/>
    <n v="1"/>
    <n v="0"/>
    <n v="0"/>
  </r>
  <r>
    <n v="3"/>
    <n v="2"/>
    <x v="0"/>
    <x v="2"/>
    <s v="filler"/>
    <s v="Stim2_Set2"/>
    <m/>
    <n v="0"/>
    <n v="0"/>
    <n v="0"/>
  </r>
  <r>
    <n v="3"/>
    <n v="1"/>
    <x v="1"/>
    <x v="2"/>
    <s v="filler"/>
    <s v="Stim7_Set2"/>
    <m/>
    <n v="0"/>
    <n v="0"/>
    <n v="1"/>
  </r>
  <r>
    <n v="3"/>
    <n v="2"/>
    <x v="0"/>
    <x v="0"/>
    <s v="nontarget"/>
    <s v="Stim1_Set3"/>
    <m/>
    <n v="1"/>
    <n v="1"/>
    <n v="0"/>
  </r>
  <r>
    <n v="3"/>
    <n v="2"/>
    <x v="0"/>
    <x v="1"/>
    <s v="repeat"/>
    <s v="Stim1_Set3"/>
    <m/>
    <n v="1"/>
    <n v="0"/>
    <n v="0"/>
  </r>
  <r>
    <n v="3"/>
    <n v="2"/>
    <x v="0"/>
    <x v="0"/>
    <s v="nontarget"/>
    <s v="Stim3_Set3"/>
    <m/>
    <n v="1"/>
    <n v="1"/>
    <n v="1"/>
  </r>
  <r>
    <n v="3"/>
    <n v="1"/>
    <x v="1"/>
    <x v="1"/>
    <s v="switch"/>
    <s v="Stim3_Set3"/>
    <m/>
    <n v="0"/>
    <n v="0"/>
    <n v="0"/>
  </r>
  <r>
    <n v="3"/>
    <n v="2"/>
    <x v="0"/>
    <x v="2"/>
    <s v="filler"/>
    <s v="Stim4_Set2"/>
    <m/>
    <n v="0"/>
    <n v="0"/>
    <n v="1"/>
  </r>
  <r>
    <n v="3"/>
    <n v="1"/>
    <x v="1"/>
    <x v="2"/>
    <s v="filler"/>
    <m/>
    <s v="here"/>
    <n v="0"/>
    <n v="0"/>
    <n v="0"/>
  </r>
  <r>
    <n v="3"/>
    <n v="1"/>
    <x v="1"/>
    <x v="0"/>
    <s v="nontarget"/>
    <s v="Stim5_Set3"/>
    <m/>
    <n v="1"/>
    <n v="1"/>
    <n v="0"/>
  </r>
  <r>
    <n v="3"/>
    <n v="1"/>
    <x v="1"/>
    <x v="1"/>
    <s v="repeat"/>
    <s v="Stim5_Set3"/>
    <m/>
    <n v="1"/>
    <n v="0"/>
    <n v="0"/>
  </r>
  <r>
    <n v="3"/>
    <n v="2"/>
    <x v="0"/>
    <x v="2"/>
    <s v="filler"/>
    <s v="Stim8_Set2"/>
    <m/>
    <n v="0"/>
    <n v="0"/>
    <n v="1"/>
  </r>
  <r>
    <n v="3"/>
    <n v="1"/>
    <x v="1"/>
    <x v="0"/>
    <s v="nontarget"/>
    <s v="Stim2_Set3"/>
    <m/>
    <n v="0"/>
    <n v="1"/>
    <n v="0"/>
  </r>
  <r>
    <n v="3"/>
    <n v="1"/>
    <x v="1"/>
    <x v="1"/>
    <s v="repeat"/>
    <s v="Stim2_Set3"/>
    <m/>
    <n v="1"/>
    <n v="0"/>
    <n v="0"/>
  </r>
  <r>
    <n v="3"/>
    <n v="1"/>
    <x v="1"/>
    <x v="2"/>
    <s v="filler"/>
    <s v="Stim6_Set2"/>
    <m/>
    <n v="1"/>
    <n v="0"/>
    <n v="1"/>
  </r>
  <r>
    <n v="4"/>
    <n v="2"/>
    <x v="0"/>
    <x v="2"/>
    <s v="filler"/>
    <s v="Stim6_Set3"/>
    <m/>
    <n v="0"/>
    <n v="0"/>
    <n v="0"/>
  </r>
  <r>
    <n v="4"/>
    <n v="1"/>
    <x v="1"/>
    <x v="0"/>
    <s v="nontarget"/>
    <s v="Stim3_Set4"/>
    <m/>
    <n v="0"/>
    <n v="1"/>
    <n v="0"/>
  </r>
  <r>
    <n v="4"/>
    <n v="1"/>
    <x v="1"/>
    <x v="1"/>
    <s v="repeat"/>
    <s v="Stim3_Set4"/>
    <m/>
    <n v="1"/>
    <n v="0"/>
    <n v="0"/>
  </r>
  <r>
    <n v="4"/>
    <n v="1"/>
    <x v="1"/>
    <x v="0"/>
    <s v="nontarget"/>
    <s v="Stim8_Set4"/>
    <m/>
    <n v="1"/>
    <n v="1"/>
    <n v="1"/>
  </r>
  <r>
    <n v="4"/>
    <n v="2"/>
    <x v="0"/>
    <x v="1"/>
    <s v="switch"/>
    <s v="Stim8_Set4"/>
    <m/>
    <n v="0"/>
    <n v="0"/>
    <n v="0"/>
  </r>
  <r>
    <n v="4"/>
    <n v="1"/>
    <x v="1"/>
    <x v="2"/>
    <s v="filler"/>
    <s v="Stim4_Set3"/>
    <m/>
    <n v="0"/>
    <n v="0"/>
    <n v="1"/>
  </r>
  <r>
    <n v="4"/>
    <n v="2"/>
    <x v="0"/>
    <x v="0"/>
    <s v="nontarget"/>
    <s v="Stim4_Set4"/>
    <m/>
    <n v="0"/>
    <n v="1"/>
    <n v="0"/>
  </r>
  <r>
    <n v="4"/>
    <n v="2"/>
    <x v="0"/>
    <x v="1"/>
    <s v="repeat"/>
    <s v="Stim4_Set4"/>
    <m/>
    <n v="1"/>
    <n v="0"/>
    <n v="0"/>
  </r>
  <r>
    <n v="4"/>
    <n v="2"/>
    <x v="0"/>
    <x v="0"/>
    <s v="nontarget"/>
    <s v="Stim2_Set4"/>
    <m/>
    <n v="1"/>
    <n v="1"/>
    <n v="1"/>
  </r>
  <r>
    <n v="4"/>
    <n v="1"/>
    <x v="1"/>
    <x v="1"/>
    <s v="switch"/>
    <s v="Stim2_Set4"/>
    <m/>
    <n v="0"/>
    <n v="0"/>
    <n v="0"/>
  </r>
  <r>
    <n v="4"/>
    <n v="2"/>
    <x v="0"/>
    <x v="2"/>
    <s v="filler"/>
    <s v="Stim8_Set3"/>
    <m/>
    <n v="0"/>
    <n v="0"/>
    <n v="1"/>
  </r>
  <r>
    <n v="4"/>
    <n v="1"/>
    <x v="1"/>
    <x v="0"/>
    <s v="nontarget"/>
    <s v="Stim7_Set4"/>
    <m/>
    <n v="0"/>
    <n v="1"/>
    <n v="0"/>
  </r>
  <r>
    <n v="4"/>
    <n v="2"/>
    <x v="0"/>
    <x v="1"/>
    <s v="switch"/>
    <s v="Stim7_Set4"/>
    <m/>
    <n v="0"/>
    <n v="0"/>
    <n v="0"/>
  </r>
  <r>
    <n v="4"/>
    <n v="1"/>
    <x v="1"/>
    <x v="2"/>
    <s v="filler"/>
    <s v="Stim7_Set3"/>
    <m/>
    <n v="0"/>
    <n v="0"/>
    <n v="1"/>
  </r>
  <r>
    <n v="4"/>
    <n v="2"/>
    <x v="0"/>
    <x v="2"/>
    <s v="filler"/>
    <s v="Stim1_Set3"/>
    <m/>
    <n v="0"/>
    <n v="0"/>
    <n v="0"/>
  </r>
  <r>
    <n v="4"/>
    <n v="2"/>
    <x v="0"/>
    <x v="0"/>
    <s v="nontarget"/>
    <s v="Stim1_Set4"/>
    <m/>
    <n v="1"/>
    <n v="1"/>
    <n v="0"/>
  </r>
  <r>
    <n v="4"/>
    <n v="2"/>
    <x v="0"/>
    <x v="1"/>
    <s v="repeat"/>
    <s v="Stim1_Set4"/>
    <m/>
    <n v="1"/>
    <n v="0"/>
    <n v="0"/>
  </r>
  <r>
    <n v="4"/>
    <n v="1"/>
    <x v="1"/>
    <x v="2"/>
    <s v="filler"/>
    <s v="Stim3_Set3"/>
    <m/>
    <n v="0"/>
    <n v="0"/>
    <n v="1"/>
  </r>
  <r>
    <n v="4"/>
    <n v="2"/>
    <x v="0"/>
    <x v="2"/>
    <s v="filler"/>
    <s v="Stim5_Set3"/>
    <m/>
    <n v="0"/>
    <n v="0"/>
    <n v="0"/>
  </r>
  <r>
    <n v="4"/>
    <n v="2"/>
    <x v="0"/>
    <x v="0"/>
    <s v="nontarget"/>
    <s v="Stim6_Set4"/>
    <m/>
    <n v="1"/>
    <n v="1"/>
    <n v="0"/>
  </r>
  <r>
    <n v="4"/>
    <n v="1"/>
    <x v="1"/>
    <x v="1"/>
    <s v="switch"/>
    <s v="Stim6_Set4"/>
    <m/>
    <n v="0"/>
    <n v="0"/>
    <n v="0"/>
  </r>
  <r>
    <n v="4"/>
    <n v="1"/>
    <x v="1"/>
    <x v="0"/>
    <s v="nontarget"/>
    <s v="Stim5_Set4"/>
    <m/>
    <n v="1"/>
    <n v="1"/>
    <n v="1"/>
  </r>
  <r>
    <n v="4"/>
    <n v="1"/>
    <x v="1"/>
    <x v="1"/>
    <s v="repeat"/>
    <s v="Stim5_Set4"/>
    <m/>
    <n v="1"/>
    <n v="0"/>
    <n v="0"/>
  </r>
  <r>
    <n v="4"/>
    <n v="2"/>
    <x v="0"/>
    <x v="2"/>
    <s v="filler"/>
    <s v="Stim2_Set3"/>
    <m/>
    <n v="0"/>
    <n v="0"/>
    <n v="1"/>
  </r>
  <r>
    <s v="BREAK"/>
    <m/>
    <x v="2"/>
    <x v="3"/>
    <m/>
    <m/>
    <m/>
    <n v="0"/>
    <n v="0"/>
    <n v="0"/>
  </r>
  <r>
    <n v="1"/>
    <n v="2"/>
    <x v="0"/>
    <x v="2"/>
    <s v="filler"/>
    <s v="Stim4_Set4"/>
    <m/>
    <n v="0"/>
    <n v="0"/>
    <n v="0"/>
  </r>
  <r>
    <n v="1"/>
    <n v="2"/>
    <x v="0"/>
    <x v="0"/>
    <s v="nontarget"/>
    <s v="Stim7_Set1"/>
    <m/>
    <n v="1"/>
    <n v="1"/>
    <n v="0"/>
  </r>
  <r>
    <n v="1"/>
    <n v="2"/>
    <x v="0"/>
    <x v="1"/>
    <s v="repeat"/>
    <s v="Stim7_Set1"/>
    <m/>
    <n v="1"/>
    <n v="0"/>
    <n v="0"/>
  </r>
  <r>
    <n v="1"/>
    <n v="1"/>
    <x v="1"/>
    <x v="2"/>
    <s v="filler"/>
    <s v="Stim6_Set4"/>
    <m/>
    <n v="0"/>
    <n v="0"/>
    <n v="1"/>
  </r>
  <r>
    <n v="1"/>
    <n v="1"/>
    <x v="1"/>
    <x v="2"/>
    <s v="filler"/>
    <s v="Stim2_Set4"/>
    <m/>
    <n v="1"/>
    <n v="0"/>
    <n v="0"/>
  </r>
  <r>
    <n v="1"/>
    <n v="2"/>
    <x v="0"/>
    <x v="0"/>
    <s v="nontarget"/>
    <s v="Stim6_Set1"/>
    <m/>
    <n v="0"/>
    <n v="1"/>
    <n v="0"/>
  </r>
  <r>
    <n v="1"/>
    <n v="2"/>
    <x v="0"/>
    <x v="1"/>
    <s v="repeat"/>
    <s v="Stim6_Set1"/>
    <m/>
    <n v="1"/>
    <n v="0"/>
    <n v="0"/>
  </r>
  <r>
    <n v="1"/>
    <n v="2"/>
    <x v="0"/>
    <x v="0"/>
    <s v="nontarget"/>
    <s v="Stim8_Set1"/>
    <m/>
    <n v="1"/>
    <n v="1"/>
    <n v="1"/>
  </r>
  <r>
    <n v="1"/>
    <n v="1"/>
    <x v="1"/>
    <x v="1"/>
    <s v="switch"/>
    <s v="Stim8_Set1"/>
    <m/>
    <n v="0"/>
    <n v="0"/>
    <n v="0"/>
  </r>
  <r>
    <n v="1"/>
    <n v="1"/>
    <x v="1"/>
    <x v="2"/>
    <s v="filler"/>
    <s v="Stim5_Set4"/>
    <m/>
    <n v="1"/>
    <n v="0"/>
    <n v="1"/>
  </r>
  <r>
    <n v="1"/>
    <n v="1"/>
    <x v="1"/>
    <x v="0"/>
    <s v="nontarget"/>
    <s v="Stim1_Set1"/>
    <m/>
    <n v="1"/>
    <n v="1"/>
    <n v="0"/>
  </r>
  <r>
    <n v="1"/>
    <n v="2"/>
    <x v="0"/>
    <x v="1"/>
    <s v="switch"/>
    <s v="Stim1_Set1"/>
    <m/>
    <n v="0"/>
    <n v="0"/>
    <n v="0"/>
  </r>
  <r>
    <n v="1"/>
    <n v="2"/>
    <x v="0"/>
    <x v="0"/>
    <s v="nontarget"/>
    <s v="Stim4_Set1"/>
    <m/>
    <n v="1"/>
    <n v="1"/>
    <n v="1"/>
  </r>
  <r>
    <n v="1"/>
    <n v="1"/>
    <x v="1"/>
    <x v="1"/>
    <s v="switch"/>
    <s v="Stim4_Set1"/>
    <m/>
    <n v="0"/>
    <n v="0"/>
    <n v="0"/>
  </r>
  <r>
    <n v="1"/>
    <n v="1"/>
    <x v="1"/>
    <x v="2"/>
    <s v="filler"/>
    <s v="Stim1_Set4"/>
    <m/>
    <n v="1"/>
    <n v="0"/>
    <n v="1"/>
  </r>
  <r>
    <n v="1"/>
    <n v="2"/>
    <x v="0"/>
    <x v="2"/>
    <s v="filler"/>
    <s v="Stim8_Set4"/>
    <m/>
    <n v="0"/>
    <n v="0"/>
    <n v="0"/>
  </r>
  <r>
    <n v="1"/>
    <n v="1"/>
    <x v="1"/>
    <x v="0"/>
    <s v="nontarget"/>
    <s v="Stim2_Set1"/>
    <m/>
    <n v="0"/>
    <n v="1"/>
    <n v="0"/>
  </r>
  <r>
    <n v="1"/>
    <n v="1"/>
    <x v="1"/>
    <x v="1"/>
    <s v="repeat"/>
    <s v="Stim2_Set1"/>
    <m/>
    <n v="1"/>
    <n v="0"/>
    <n v="0"/>
  </r>
  <r>
    <n v="1"/>
    <n v="1"/>
    <x v="1"/>
    <x v="2"/>
    <s v="filler"/>
    <s v="Stim3_Set4"/>
    <m/>
    <n v="1"/>
    <n v="0"/>
    <n v="1"/>
  </r>
  <r>
    <n v="1"/>
    <n v="2"/>
    <x v="0"/>
    <x v="2"/>
    <s v="filler"/>
    <s v="Stim7_Set4"/>
    <m/>
    <n v="0"/>
    <n v="0"/>
    <n v="0"/>
  </r>
  <r>
    <n v="1"/>
    <n v="1"/>
    <x v="1"/>
    <x v="0"/>
    <s v="nontarget"/>
    <s v="Stim3_Set1"/>
    <m/>
    <n v="0"/>
    <n v="1"/>
    <n v="0"/>
  </r>
  <r>
    <n v="1"/>
    <n v="1"/>
    <x v="1"/>
    <x v="1"/>
    <s v="repeat"/>
    <s v="Stim3_Set1"/>
    <m/>
    <n v="1"/>
    <n v="0"/>
    <n v="0"/>
  </r>
  <r>
    <n v="1"/>
    <n v="1"/>
    <x v="1"/>
    <x v="0"/>
    <s v="nontarget"/>
    <s v="Stim5_Set1"/>
    <m/>
    <n v="1"/>
    <n v="1"/>
    <n v="1"/>
  </r>
  <r>
    <n v="1"/>
    <n v="2"/>
    <x v="0"/>
    <x v="1"/>
    <s v="switch"/>
    <s v="Stim5_Set1"/>
    <m/>
    <n v="0"/>
    <n v="0"/>
    <n v="0"/>
  </r>
  <r>
    <n v="2"/>
    <n v="2"/>
    <x v="0"/>
    <x v="2"/>
    <s v="filler"/>
    <s v="Stim7_Set1"/>
    <m/>
    <n v="1"/>
    <n v="0"/>
    <n v="1"/>
  </r>
  <r>
    <n v="2"/>
    <n v="1"/>
    <x v="1"/>
    <x v="2"/>
    <s v="filler"/>
    <s v="Stim3_Set1"/>
    <m/>
    <n v="0"/>
    <n v="0"/>
    <n v="0"/>
  </r>
  <r>
    <n v="2"/>
    <n v="1"/>
    <x v="1"/>
    <x v="0"/>
    <s v="nontarget"/>
    <s v="Stim7_Set2"/>
    <m/>
    <n v="1"/>
    <n v="1"/>
    <n v="0"/>
  </r>
  <r>
    <n v="2"/>
    <n v="1"/>
    <x v="1"/>
    <x v="1"/>
    <s v="repeat"/>
    <s v="Stim7_Set2"/>
    <m/>
    <n v="1"/>
    <n v="0"/>
    <n v="0"/>
  </r>
  <r>
    <n v="2"/>
    <n v="2"/>
    <x v="0"/>
    <x v="2"/>
    <s v="filler"/>
    <s v="Stim6_Set1"/>
    <m/>
    <n v="0"/>
    <n v="0"/>
    <n v="1"/>
  </r>
  <r>
    <n v="2"/>
    <n v="1"/>
    <x v="1"/>
    <x v="0"/>
    <s v="nontarget"/>
    <s v="Stim6_Set2"/>
    <m/>
    <n v="0"/>
    <n v="1"/>
    <n v="0"/>
  </r>
  <r>
    <n v="2"/>
    <n v="1"/>
    <x v="1"/>
    <x v="1"/>
    <s v="repeat"/>
    <s v="Stim6_Set2"/>
    <m/>
    <n v="1"/>
    <n v="0"/>
    <n v="0"/>
  </r>
  <r>
    <n v="2"/>
    <n v="1"/>
    <x v="1"/>
    <x v="0"/>
    <s v="nontarget"/>
    <s v="Stim4_Set2"/>
    <m/>
    <n v="1"/>
    <n v="1"/>
    <n v="1"/>
  </r>
  <r>
    <n v="2"/>
    <n v="2"/>
    <x v="0"/>
    <x v="1"/>
    <s v="switch"/>
    <s v="Stim4_Set2"/>
    <m/>
    <n v="0"/>
    <n v="0"/>
    <n v="0"/>
  </r>
  <r>
    <n v="2"/>
    <n v="2"/>
    <x v="0"/>
    <x v="2"/>
    <s v="filler"/>
    <s v="Stim8_Set1"/>
    <m/>
    <n v="1"/>
    <n v="0"/>
    <n v="1"/>
  </r>
  <r>
    <n v="2"/>
    <n v="2"/>
    <x v="0"/>
    <x v="0"/>
    <s v="nontarget"/>
    <s v="Stim5_Set2"/>
    <m/>
    <n v="1"/>
    <n v="1"/>
    <n v="0"/>
  </r>
  <r>
    <n v="2"/>
    <n v="1"/>
    <x v="1"/>
    <x v="1"/>
    <s v="switch"/>
    <s v="Stim5_Set2"/>
    <m/>
    <n v="0"/>
    <n v="0"/>
    <n v="0"/>
  </r>
  <r>
    <n v="2"/>
    <n v="1"/>
    <x v="1"/>
    <x v="2"/>
    <s v="filler"/>
    <s v="Stim1_Set1"/>
    <m/>
    <n v="1"/>
    <n v="0"/>
    <n v="1"/>
  </r>
  <r>
    <n v="2"/>
    <n v="1"/>
    <x v="1"/>
    <x v="0"/>
    <s v="nontarget"/>
    <s v="Stim8_Set2"/>
    <m/>
    <n v="1"/>
    <n v="1"/>
    <n v="0"/>
  </r>
  <r>
    <n v="2"/>
    <n v="2"/>
    <x v="0"/>
    <x v="1"/>
    <s v="switch"/>
    <s v="Stim8_Set2"/>
    <m/>
    <n v="0"/>
    <n v="0"/>
    <n v="0"/>
  </r>
  <r>
    <n v="2"/>
    <n v="1"/>
    <x v="1"/>
    <x v="2"/>
    <s v="filler"/>
    <s v="Stim4_Set1"/>
    <m/>
    <n v="0"/>
    <n v="0"/>
    <n v="1"/>
  </r>
  <r>
    <n v="2"/>
    <n v="2"/>
    <x v="0"/>
    <x v="0"/>
    <s v="nontarget"/>
    <s v="Stim2_Set2"/>
    <m/>
    <n v="0"/>
    <n v="1"/>
    <n v="0"/>
  </r>
  <r>
    <n v="2"/>
    <n v="2"/>
    <x v="0"/>
    <x v="1"/>
    <s v="repeat"/>
    <s v="Stim2_Set2"/>
    <m/>
    <n v="1"/>
    <n v="0"/>
    <n v="0"/>
  </r>
  <r>
    <n v="2"/>
    <n v="1"/>
    <x v="1"/>
    <x v="2"/>
    <s v="filler"/>
    <s v="Stim2_Set1"/>
    <m/>
    <n v="0"/>
    <n v="0"/>
    <n v="1"/>
  </r>
  <r>
    <n v="2"/>
    <n v="2"/>
    <x v="0"/>
    <x v="0"/>
    <s v="nontarget"/>
    <s v="Stim1_Set2"/>
    <m/>
    <n v="0"/>
    <n v="1"/>
    <n v="0"/>
  </r>
  <r>
    <n v="2"/>
    <n v="2"/>
    <x v="0"/>
    <x v="1"/>
    <s v="repeat"/>
    <s v="Stim1_Set2"/>
    <m/>
    <n v="1"/>
    <n v="0"/>
    <n v="0"/>
  </r>
  <r>
    <n v="2"/>
    <n v="2"/>
    <x v="0"/>
    <x v="2"/>
    <s v="filler"/>
    <s v="Stim5_Set1"/>
    <m/>
    <n v="1"/>
    <n v="0"/>
    <n v="1"/>
  </r>
  <r>
    <n v="2"/>
    <n v="2"/>
    <x v="0"/>
    <x v="0"/>
    <s v="nontarget"/>
    <s v="Stim3_Set2"/>
    <m/>
    <n v="1"/>
    <n v="1"/>
    <n v="0"/>
  </r>
  <r>
    <n v="2"/>
    <n v="1"/>
    <x v="1"/>
    <x v="1"/>
    <s v="switch"/>
    <s v="Stim3_Set2"/>
    <m/>
    <n v="0"/>
    <n v="0"/>
    <n v="0"/>
  </r>
  <r>
    <n v="3"/>
    <n v="1"/>
    <x v="1"/>
    <x v="2"/>
    <s v="filler"/>
    <s v="Stim7_Set2"/>
    <m/>
    <n v="1"/>
    <n v="0"/>
    <n v="1"/>
  </r>
  <r>
    <n v="3"/>
    <n v="1"/>
    <x v="1"/>
    <x v="0"/>
    <s v="nontarget"/>
    <s v="Stim4_Set3"/>
    <m/>
    <n v="1"/>
    <n v="1"/>
    <n v="0"/>
  </r>
  <r>
    <n v="3"/>
    <n v="2"/>
    <x v="0"/>
    <x v="1"/>
    <s v="switch"/>
    <s v="Stim4_Set3"/>
    <m/>
    <n v="0"/>
    <n v="0"/>
    <n v="0"/>
  </r>
  <r>
    <n v="3"/>
    <n v="2"/>
    <x v="0"/>
    <x v="2"/>
    <s v="filler"/>
    <s v="Stim6_Set2"/>
    <m/>
    <n v="1"/>
    <n v="0"/>
    <n v="1"/>
  </r>
  <r>
    <n v="3"/>
    <n v="2"/>
    <x v="0"/>
    <x v="0"/>
    <s v="nontarget"/>
    <s v="Stim7_Set3"/>
    <m/>
    <n v="1"/>
    <n v="1"/>
    <n v="0"/>
  </r>
  <r>
    <n v="3"/>
    <n v="1"/>
    <x v="1"/>
    <x v="1"/>
    <s v="switch"/>
    <s v="Stim7_Set3"/>
    <m/>
    <n v="0"/>
    <n v="0"/>
    <n v="0"/>
  </r>
  <r>
    <n v="3"/>
    <n v="1"/>
    <x v="1"/>
    <x v="0"/>
    <s v="nontarget"/>
    <s v="Stim2_Set3"/>
    <m/>
    <n v="1"/>
    <n v="1"/>
    <n v="1"/>
  </r>
  <r>
    <n v="3"/>
    <n v="2"/>
    <x v="0"/>
    <x v="1"/>
    <s v="switch"/>
    <s v="Stim2_Set3"/>
    <m/>
    <n v="0"/>
    <n v="0"/>
    <n v="0"/>
  </r>
  <r>
    <n v="3"/>
    <n v="2"/>
    <x v="0"/>
    <x v="2"/>
    <s v="filler"/>
    <s v="Stim4_Set2"/>
    <m/>
    <n v="1"/>
    <n v="0"/>
    <n v="1"/>
  </r>
  <r>
    <n v="3"/>
    <n v="1"/>
    <x v="1"/>
    <x v="2"/>
    <s v="filler"/>
    <s v="Stim8_Set2"/>
    <m/>
    <n v="1"/>
    <n v="0"/>
    <n v="1"/>
  </r>
  <r>
    <n v="3"/>
    <n v="2"/>
    <x v="0"/>
    <x v="0"/>
    <s v="nontarget"/>
    <s v="Stim6_Set3"/>
    <m/>
    <n v="1"/>
    <n v="1"/>
    <n v="0"/>
  </r>
  <r>
    <n v="3"/>
    <n v="2"/>
    <x v="0"/>
    <x v="1"/>
    <s v="repeat"/>
    <s v="Stim6_Set3"/>
    <m/>
    <n v="1"/>
    <n v="0"/>
    <n v="0"/>
  </r>
  <r>
    <n v="3"/>
    <n v="1"/>
    <x v="1"/>
    <x v="2"/>
    <s v="filler"/>
    <s v="Stim2_Set2"/>
    <m/>
    <n v="0"/>
    <n v="0"/>
    <n v="1"/>
  </r>
  <r>
    <n v="3"/>
    <n v="2"/>
    <x v="0"/>
    <x v="0"/>
    <s v="nontarget"/>
    <s v="Stim8_Set3"/>
    <m/>
    <n v="0"/>
    <n v="1"/>
    <n v="0"/>
  </r>
  <r>
    <n v="3"/>
    <n v="2"/>
    <x v="0"/>
    <x v="1"/>
    <s v="repeat"/>
    <s v="Stim8_Set3"/>
    <m/>
    <n v="1"/>
    <n v="0"/>
    <n v="0"/>
  </r>
  <r>
    <n v="3"/>
    <n v="2"/>
    <x v="0"/>
    <x v="0"/>
    <s v="nontarget"/>
    <s v="Stim5_Set3"/>
    <m/>
    <n v="1"/>
    <n v="1"/>
    <n v="1"/>
  </r>
  <r>
    <n v="3"/>
    <n v="1"/>
    <x v="1"/>
    <x v="1"/>
    <s v="switch"/>
    <s v="Stim5_Set3"/>
    <m/>
    <n v="0"/>
    <n v="0"/>
    <n v="0"/>
  </r>
  <r>
    <n v="3"/>
    <n v="2"/>
    <x v="0"/>
    <x v="2"/>
    <s v="filler"/>
    <m/>
    <s v="here"/>
    <n v="0"/>
    <n v="0"/>
    <n v="1"/>
  </r>
  <r>
    <n v="3"/>
    <n v="1"/>
    <x v="1"/>
    <x v="2"/>
    <s v="filler"/>
    <s v="Stim5_Set2"/>
    <m/>
    <n v="1"/>
    <n v="0"/>
    <n v="0"/>
  </r>
  <r>
    <n v="3"/>
    <n v="1"/>
    <x v="1"/>
    <x v="0"/>
    <s v="nontarget"/>
    <s v="Stim3_Set3"/>
    <m/>
    <n v="1"/>
    <n v="1"/>
    <n v="0"/>
  </r>
  <r>
    <n v="3"/>
    <n v="1"/>
    <x v="1"/>
    <x v="1"/>
    <s v="repeat"/>
    <s v="Stim3_Set3"/>
    <m/>
    <n v="1"/>
    <n v="0"/>
    <n v="0"/>
  </r>
  <r>
    <n v="3"/>
    <n v="2"/>
    <x v="0"/>
    <x v="2"/>
    <s v="filler"/>
    <s v="Stim3_Set2"/>
    <m/>
    <n v="0"/>
    <n v="0"/>
    <n v="1"/>
  </r>
  <r>
    <n v="3"/>
    <n v="1"/>
    <x v="1"/>
    <x v="0"/>
    <s v="nontarget"/>
    <s v="Stim1_Set3"/>
    <m/>
    <n v="0"/>
    <n v="1"/>
    <n v="0"/>
  </r>
  <r>
    <n v="3"/>
    <n v="1"/>
    <x v="1"/>
    <x v="1"/>
    <s v="repeat"/>
    <s v="Stim1_Set3"/>
    <m/>
    <n v="1"/>
    <n v="0"/>
    <n v="0"/>
  </r>
  <r>
    <n v="3"/>
    <n v="2"/>
    <x v="0"/>
    <x v="2"/>
    <s v="filler"/>
    <s v="Stim1_Set2"/>
    <m/>
    <n v="0"/>
    <n v="0"/>
    <n v="1"/>
  </r>
  <r>
    <n v="4"/>
    <n v="1"/>
    <x v="1"/>
    <x v="0"/>
    <s v="nontarget"/>
    <s v="Stim4_Set4"/>
    <m/>
    <n v="0"/>
    <n v="1"/>
    <n v="0"/>
  </r>
  <r>
    <n v="4"/>
    <n v="1"/>
    <x v="1"/>
    <x v="1"/>
    <s v="repeat"/>
    <s v="Stim4_Set4"/>
    <m/>
    <n v="1"/>
    <n v="0"/>
    <n v="0"/>
  </r>
  <r>
    <n v="4"/>
    <n v="2"/>
    <x v="0"/>
    <x v="2"/>
    <s v="filler"/>
    <s v="Stim4_Set3"/>
    <m/>
    <n v="0"/>
    <n v="0"/>
    <n v="1"/>
  </r>
  <r>
    <n v="4"/>
    <n v="1"/>
    <x v="1"/>
    <x v="0"/>
    <s v="nontarget"/>
    <s v="Stim6_Set4"/>
    <m/>
    <n v="0"/>
    <n v="1"/>
    <n v="0"/>
  </r>
  <r>
    <n v="4"/>
    <n v="2"/>
    <x v="0"/>
    <x v="1"/>
    <s v="switch"/>
    <s v="Stim6_Set4"/>
    <m/>
    <n v="0"/>
    <n v="0"/>
    <n v="0"/>
  </r>
  <r>
    <n v="4"/>
    <n v="2"/>
    <x v="0"/>
    <x v="0"/>
    <s v="nontarget"/>
    <s v="Stim2_Set4"/>
    <m/>
    <n v="1"/>
    <n v="1"/>
    <n v="1"/>
  </r>
  <r>
    <n v="4"/>
    <n v="2"/>
    <x v="0"/>
    <x v="1"/>
    <s v="repeat"/>
    <s v="Stim2_Set4"/>
    <m/>
    <n v="1"/>
    <n v="0"/>
    <n v="0"/>
  </r>
  <r>
    <n v="4"/>
    <n v="1"/>
    <x v="1"/>
    <x v="2"/>
    <s v="filler"/>
    <s v="Stim7_Set3"/>
    <m/>
    <n v="0"/>
    <n v="0"/>
    <n v="1"/>
  </r>
  <r>
    <n v="4"/>
    <n v="2"/>
    <x v="0"/>
    <x v="2"/>
    <s v="filler"/>
    <s v="Stim2_Set3"/>
    <m/>
    <n v="0"/>
    <n v="0"/>
    <n v="0"/>
  </r>
  <r>
    <n v="4"/>
    <n v="2"/>
    <x v="0"/>
    <x v="0"/>
    <s v="nontarget"/>
    <s v="Stim5_Set4"/>
    <m/>
    <n v="1"/>
    <n v="1"/>
    <n v="0"/>
  </r>
  <r>
    <n v="4"/>
    <n v="1"/>
    <x v="1"/>
    <x v="1"/>
    <s v="switch"/>
    <s v="Stim5_Set4"/>
    <m/>
    <n v="0"/>
    <n v="0"/>
    <n v="0"/>
  </r>
  <r>
    <n v="4"/>
    <n v="1"/>
    <x v="1"/>
    <x v="0"/>
    <s v="nontarget"/>
    <s v="Stim1_Set4"/>
    <m/>
    <n v="1"/>
    <n v="1"/>
    <n v="1"/>
  </r>
  <r>
    <n v="4"/>
    <n v="2"/>
    <x v="0"/>
    <x v="1"/>
    <s v="switch"/>
    <s v="Stim1_Set4"/>
    <m/>
    <n v="0"/>
    <n v="0"/>
    <n v="0"/>
  </r>
  <r>
    <n v="4"/>
    <n v="1"/>
    <x v="1"/>
    <x v="2"/>
    <s v="filler"/>
    <s v="Stim6_Set3"/>
    <m/>
    <n v="0"/>
    <n v="0"/>
    <n v="1"/>
  </r>
  <r>
    <n v="4"/>
    <n v="2"/>
    <x v="0"/>
    <x v="0"/>
    <s v="nontarget"/>
    <s v="Stim8_Set4"/>
    <m/>
    <n v="0"/>
    <n v="1"/>
    <n v="0"/>
  </r>
  <r>
    <n v="4"/>
    <n v="2"/>
    <x v="0"/>
    <x v="1"/>
    <s v="repeat"/>
    <s v="Stim8_Set4"/>
    <m/>
    <n v="1"/>
    <n v="0"/>
    <n v="0"/>
  </r>
  <r>
    <n v="4"/>
    <n v="1"/>
    <x v="1"/>
    <x v="2"/>
    <s v="filler"/>
    <s v="Stim8_Set3"/>
    <m/>
    <n v="0"/>
    <n v="0"/>
    <n v="1"/>
  </r>
  <r>
    <n v="4"/>
    <n v="2"/>
    <x v="0"/>
    <x v="2"/>
    <s v="filler"/>
    <s v="Stim1_Set3"/>
    <m/>
    <n v="0"/>
    <n v="0"/>
    <n v="0"/>
  </r>
  <r>
    <n v="4"/>
    <n v="2"/>
    <x v="0"/>
    <x v="0"/>
    <s v="nontarget"/>
    <s v="Stim3_Set4"/>
    <m/>
    <n v="1"/>
    <n v="1"/>
    <n v="0"/>
  </r>
  <r>
    <n v="4"/>
    <n v="1"/>
    <x v="1"/>
    <x v="1"/>
    <s v="switch"/>
    <s v="Stim3_Set4"/>
    <m/>
    <n v="0"/>
    <n v="0"/>
    <n v="0"/>
  </r>
  <r>
    <n v="4"/>
    <n v="2"/>
    <x v="0"/>
    <x v="2"/>
    <s v="filler"/>
    <s v="Stim5_Set3"/>
    <m/>
    <n v="0"/>
    <n v="0"/>
    <n v="1"/>
  </r>
  <r>
    <n v="4"/>
    <n v="1"/>
    <x v="1"/>
    <x v="2"/>
    <s v="filler"/>
    <s v="Stim3_Set3"/>
    <m/>
    <n v="0"/>
    <n v="0"/>
    <n v="0"/>
  </r>
  <r>
    <n v="4"/>
    <n v="1"/>
    <x v="1"/>
    <x v="0"/>
    <s v="nontarget"/>
    <s v="Stim7_Set4"/>
    <m/>
    <n v="1"/>
    <n v="1"/>
    <n v="0"/>
  </r>
  <r>
    <n v="4"/>
    <n v="1"/>
    <x v="1"/>
    <x v="1"/>
    <s v="repeat"/>
    <s v="Stim7_Set4"/>
    <m/>
    <n v="1"/>
    <n v="0"/>
    <n v="0"/>
  </r>
  <r>
    <s v="BREAK"/>
    <m/>
    <x v="2"/>
    <x v="3"/>
    <m/>
    <m/>
    <m/>
    <n v="0"/>
    <n v="0"/>
    <n v="1"/>
  </r>
  <r>
    <n v="1"/>
    <n v="2"/>
    <x v="0"/>
    <x v="2"/>
    <s v="filler"/>
    <s v="Stim6_Set4"/>
    <m/>
    <n v="0"/>
    <n v="0"/>
    <n v="0"/>
  </r>
  <r>
    <n v="1"/>
    <n v="2"/>
    <x v="0"/>
    <x v="0"/>
    <s v="nontarget"/>
    <s v="Stim5_Set1"/>
    <m/>
    <n v="1"/>
    <n v="1"/>
    <n v="0"/>
  </r>
  <r>
    <n v="1"/>
    <n v="2"/>
    <x v="0"/>
    <x v="1"/>
    <s v="repeat"/>
    <s v="Stim5_Set1"/>
    <m/>
    <n v="1"/>
    <n v="0"/>
    <n v="0"/>
  </r>
  <r>
    <n v="1"/>
    <n v="1"/>
    <x v="1"/>
    <x v="2"/>
    <s v="filler"/>
    <s v="Stim3_Set4"/>
    <m/>
    <n v="0"/>
    <n v="0"/>
    <n v="1"/>
  </r>
  <r>
    <n v="1"/>
    <n v="2"/>
    <x v="0"/>
    <x v="2"/>
    <s v="filler"/>
    <s v="Stim5_Set4"/>
    <m/>
    <n v="0"/>
    <n v="0"/>
    <n v="0"/>
  </r>
  <r>
    <n v="1"/>
    <n v="1"/>
    <x v="1"/>
    <x v="2"/>
    <s v="filler"/>
    <s v="Stim1_Set4"/>
    <m/>
    <n v="0"/>
    <n v="0"/>
    <n v="0"/>
  </r>
  <r>
    <n v="1"/>
    <n v="2"/>
    <x v="0"/>
    <x v="0"/>
    <s v="nontarget"/>
    <s v="Stim8_Set1"/>
    <m/>
    <n v="0"/>
    <n v="1"/>
    <n v="0"/>
  </r>
  <r>
    <n v="1"/>
    <n v="2"/>
    <x v="0"/>
    <x v="1"/>
    <s v="repeat"/>
    <s v="Stim8_Set1"/>
    <m/>
    <n v="1"/>
    <n v="0"/>
    <n v="0"/>
  </r>
  <r>
    <n v="1"/>
    <n v="1"/>
    <x v="1"/>
    <x v="2"/>
    <s v="filler"/>
    <s v="Stim8_Set4"/>
    <m/>
    <n v="0"/>
    <n v="0"/>
    <n v="1"/>
  </r>
  <r>
    <n v="1"/>
    <n v="2"/>
    <x v="0"/>
    <x v="0"/>
    <s v="nontarget"/>
    <s v="Stim7_Set1"/>
    <m/>
    <n v="0"/>
    <n v="1"/>
    <n v="0"/>
  </r>
  <r>
    <n v="1"/>
    <n v="1"/>
    <x v="1"/>
    <x v="1"/>
    <s v="switch"/>
    <s v="Stim7_Set1"/>
    <m/>
    <n v="0"/>
    <n v="0"/>
    <n v="0"/>
  </r>
  <r>
    <n v="1"/>
    <n v="1"/>
    <x v="1"/>
    <x v="2"/>
    <s v="filler"/>
    <s v="Stim4_Set4"/>
    <m/>
    <n v="1"/>
    <n v="0"/>
    <n v="1"/>
  </r>
  <r>
    <n v="1"/>
    <n v="1"/>
    <x v="1"/>
    <x v="0"/>
    <s v="nontarget"/>
    <s v="Stim3_Set1"/>
    <m/>
    <n v="1"/>
    <n v="1"/>
    <n v="0"/>
  </r>
  <r>
    <n v="1"/>
    <n v="2"/>
    <x v="0"/>
    <x v="1"/>
    <s v="switch"/>
    <s v="Stim3_Set1"/>
    <m/>
    <n v="0"/>
    <n v="0"/>
    <n v="0"/>
  </r>
  <r>
    <n v="1"/>
    <n v="2"/>
    <x v="0"/>
    <x v="0"/>
    <s v="nontarget"/>
    <s v="Stim2_Set1"/>
    <m/>
    <n v="1"/>
    <n v="1"/>
    <n v="1"/>
  </r>
  <r>
    <n v="1"/>
    <n v="1"/>
    <x v="1"/>
    <x v="1"/>
    <s v="switch"/>
    <s v="Stim2_Set1"/>
    <m/>
    <n v="0"/>
    <n v="0"/>
    <n v="0"/>
  </r>
  <r>
    <n v="1"/>
    <n v="2"/>
    <x v="0"/>
    <x v="2"/>
    <s v="filler"/>
    <s v="Stim7_Set4"/>
    <m/>
    <n v="0"/>
    <n v="0"/>
    <n v="1"/>
  </r>
  <r>
    <n v="1"/>
    <n v="1"/>
    <x v="1"/>
    <x v="0"/>
    <s v="nontarget"/>
    <s v="Stim4_Set1"/>
    <m/>
    <n v="0"/>
    <n v="1"/>
    <n v="0"/>
  </r>
  <r>
    <n v="1"/>
    <n v="1"/>
    <x v="1"/>
    <x v="1"/>
    <s v="repeat"/>
    <s v="Stim4_Set1"/>
    <m/>
    <n v="1"/>
    <n v="0"/>
    <n v="0"/>
  </r>
  <r>
    <n v="1"/>
    <n v="2"/>
    <x v="0"/>
    <x v="2"/>
    <s v="filler"/>
    <s v="Stim2_Set4"/>
    <m/>
    <n v="0"/>
    <n v="0"/>
    <n v="1"/>
  </r>
  <r>
    <n v="1"/>
    <n v="1"/>
    <x v="1"/>
    <x v="0"/>
    <s v="nontarget"/>
    <s v="Stim1_Set1"/>
    <m/>
    <n v="0"/>
    <n v="1"/>
    <n v="0"/>
  </r>
  <r>
    <n v="1"/>
    <n v="1"/>
    <x v="1"/>
    <x v="1"/>
    <s v="repeat"/>
    <s v="Stim1_Set1"/>
    <m/>
    <n v="1"/>
    <n v="0"/>
    <n v="0"/>
  </r>
  <r>
    <n v="1"/>
    <n v="1"/>
    <x v="1"/>
    <x v="0"/>
    <s v="nontarget"/>
    <s v="Stim6_Set1"/>
    <m/>
    <n v="1"/>
    <n v="1"/>
    <n v="1"/>
  </r>
  <r>
    <n v="1"/>
    <n v="2"/>
    <x v="0"/>
    <x v="1"/>
    <s v="switch"/>
    <s v="Stim6_Set1"/>
    <m/>
    <n v="0"/>
    <n v="0"/>
    <n v="0"/>
  </r>
  <r>
    <n v="2"/>
    <n v="1"/>
    <x v="1"/>
    <x v="0"/>
    <s v="nontarget"/>
    <s v="Stim8_Set2"/>
    <m/>
    <n v="0"/>
    <n v="1"/>
    <n v="1"/>
  </r>
  <r>
    <n v="2"/>
    <n v="1"/>
    <x v="1"/>
    <x v="1"/>
    <s v="repeat"/>
    <s v="Stim8_Set2"/>
    <m/>
    <n v="1"/>
    <n v="0"/>
    <n v="0"/>
  </r>
  <r>
    <n v="2"/>
    <n v="1"/>
    <x v="1"/>
    <x v="2"/>
    <s v="filler"/>
    <s v="Stim5_Set1"/>
    <m/>
    <n v="1"/>
    <n v="0"/>
    <n v="1"/>
  </r>
  <r>
    <n v="2"/>
    <n v="2"/>
    <x v="0"/>
    <x v="2"/>
    <s v="filler"/>
    <s v="Stim1_Set1"/>
    <m/>
    <n v="0"/>
    <n v="0"/>
    <n v="0"/>
  </r>
  <r>
    <n v="2"/>
    <n v="1"/>
    <x v="1"/>
    <x v="0"/>
    <s v="nontarget"/>
    <s v="Stim4_Set2"/>
    <m/>
    <n v="0"/>
    <n v="1"/>
    <n v="0"/>
  </r>
  <r>
    <n v="2"/>
    <n v="1"/>
    <x v="1"/>
    <x v="1"/>
    <s v="repeat"/>
    <s v="Stim4_Set2"/>
    <m/>
    <n v="1"/>
    <n v="0"/>
    <n v="0"/>
  </r>
  <r>
    <n v="2"/>
    <n v="1"/>
    <x v="1"/>
    <x v="2"/>
    <s v="filler"/>
    <s v="Stim8_Set1"/>
    <m/>
    <n v="1"/>
    <n v="0"/>
    <n v="1"/>
  </r>
  <r>
    <n v="2"/>
    <n v="2"/>
    <x v="0"/>
    <x v="3"/>
    <s v="filler"/>
    <m/>
    <s v="here"/>
    <n v="0"/>
    <n v="0"/>
    <n v="0"/>
  </r>
  <r>
    <n v="2"/>
    <n v="1"/>
    <x v="1"/>
    <x v="2"/>
    <s v="filler"/>
    <s v="Stim7_Set1"/>
    <m/>
    <n v="0"/>
    <n v="0"/>
    <n v="0"/>
  </r>
  <r>
    <n v="2"/>
    <n v="1"/>
    <x v="1"/>
    <x v="0"/>
    <s v="nontarget"/>
    <s v="Stim6_Set2"/>
    <m/>
    <n v="1"/>
    <n v="1"/>
    <n v="0"/>
  </r>
  <r>
    <n v="2"/>
    <n v="1"/>
    <x v="0"/>
    <x v="1"/>
    <s v="switch"/>
    <s v="Stim6_Set2"/>
    <m/>
    <n v="0"/>
    <n v="0"/>
    <n v="0"/>
  </r>
  <r>
    <n v="2"/>
    <n v="2"/>
    <x v="0"/>
    <x v="2"/>
    <s v="filler"/>
    <s v="Stim3_Set1"/>
    <m/>
    <n v="1"/>
    <n v="0"/>
    <n v="1"/>
  </r>
  <r>
    <n v="2"/>
    <n v="2"/>
    <x v="0"/>
    <x v="0"/>
    <s v="nontarget"/>
    <s v="Stim2_Set2"/>
    <m/>
    <n v="1"/>
    <n v="1"/>
    <n v="0"/>
  </r>
  <r>
    <n v="2"/>
    <n v="1"/>
    <x v="1"/>
    <x v="1"/>
    <s v="switch"/>
    <s v="Stim2_Set2"/>
    <m/>
    <n v="0"/>
    <n v="0"/>
    <n v="0"/>
  </r>
  <r>
    <n v="2"/>
    <n v="1"/>
    <x v="1"/>
    <x v="2"/>
    <s v="filler"/>
    <s v="Stim2_Set1"/>
    <m/>
    <n v="1"/>
    <n v="0"/>
    <n v="1"/>
  </r>
  <r>
    <n v="2"/>
    <n v="1"/>
    <x v="1"/>
    <x v="0"/>
    <s v="nontarget"/>
    <s v="Stim7_Set2"/>
    <m/>
    <n v="1"/>
    <n v="1"/>
    <n v="0"/>
  </r>
  <r>
    <n v="2"/>
    <n v="2"/>
    <x v="0"/>
    <x v="1"/>
    <s v="switch"/>
    <s v="Stim7_Set2"/>
    <m/>
    <n v="0"/>
    <n v="0"/>
    <n v="0"/>
  </r>
  <r>
    <n v="2"/>
    <n v="2"/>
    <x v="0"/>
    <x v="0"/>
    <s v="nontarget"/>
    <s v="Stim3_Set2"/>
    <m/>
    <n v="1"/>
    <n v="1"/>
    <n v="1"/>
  </r>
  <r>
    <n v="2"/>
    <n v="2"/>
    <x v="0"/>
    <x v="1"/>
    <s v="repeat"/>
    <s v="Stim3_Set2"/>
    <m/>
    <n v="1"/>
    <n v="0"/>
    <n v="0"/>
  </r>
  <r>
    <n v="2"/>
    <n v="1"/>
    <x v="1"/>
    <x v="2"/>
    <s v="filler"/>
    <s v="Stim4_Set1"/>
    <m/>
    <n v="0"/>
    <n v="0"/>
    <n v="1"/>
  </r>
  <r>
    <n v="2"/>
    <n v="2"/>
    <x v="0"/>
    <x v="0"/>
    <s v="nontarget"/>
    <s v="Stim5_Set2"/>
    <m/>
    <n v="0"/>
    <n v="1"/>
    <n v="0"/>
  </r>
  <r>
    <n v="2"/>
    <n v="2"/>
    <x v="0"/>
    <x v="1"/>
    <s v="repeat"/>
    <s v="Stim5_Set2"/>
    <m/>
    <n v="1"/>
    <n v="0"/>
    <n v="0"/>
  </r>
  <r>
    <n v="2"/>
    <n v="2"/>
    <x v="0"/>
    <x v="2"/>
    <s v="filler"/>
    <s v="Stim6_Set1"/>
    <m/>
    <n v="1"/>
    <n v="0"/>
    <n v="1"/>
  </r>
  <r>
    <n v="2"/>
    <n v="2"/>
    <x v="0"/>
    <x v="0"/>
    <s v="nontarget"/>
    <s v="Stim1_Set2"/>
    <m/>
    <n v="1"/>
    <n v="0"/>
    <n v="0"/>
  </r>
  <r>
    <n v="2"/>
    <n v="1"/>
    <x v="1"/>
    <x v="1"/>
    <s v="switch"/>
    <s v="Stim1_Set2"/>
    <m/>
    <n v="0"/>
    <n v="0"/>
    <n v="0"/>
  </r>
  <r>
    <n v="3"/>
    <n v="1"/>
    <x v="1"/>
    <x v="0"/>
    <s v="nontarget"/>
    <s v="Stim5_Set3"/>
    <m/>
    <n v="0"/>
    <n v="1"/>
    <n v="0"/>
  </r>
  <r>
    <n v="3"/>
    <n v="2"/>
    <x v="0"/>
    <x v="1"/>
    <s v="switch"/>
    <s v="Stim5_Set3"/>
    <m/>
    <n v="0"/>
    <n v="0"/>
    <n v="0"/>
  </r>
  <r>
    <n v="3"/>
    <n v="2"/>
    <x v="0"/>
    <x v="2"/>
    <s v="filler"/>
    <s v="Stim8_Set2"/>
    <m/>
    <n v="1"/>
    <n v="0"/>
    <n v="1"/>
  </r>
  <r>
    <n v="3"/>
    <n v="2"/>
    <x v="0"/>
    <x v="0"/>
    <s v="nontarget"/>
    <s v="Stim1_Set3"/>
    <m/>
    <n v="1"/>
    <n v="1"/>
    <n v="0"/>
  </r>
  <r>
    <n v="3"/>
    <n v="1"/>
    <x v="1"/>
    <x v="1"/>
    <s v="switch"/>
    <s v="Stim1_Set3"/>
    <m/>
    <n v="0"/>
    <n v="0"/>
    <n v="0"/>
  </r>
  <r>
    <n v="3"/>
    <n v="1"/>
    <x v="1"/>
    <x v="2"/>
    <s v="filler"/>
    <s v="Stim4_Set2"/>
    <m/>
    <n v="1"/>
    <n v="0"/>
    <n v="1"/>
  </r>
  <r>
    <n v="3"/>
    <n v="1"/>
    <x v="1"/>
    <x v="0"/>
    <s v="nontarget"/>
    <s v="Stim7_Set3"/>
    <m/>
    <n v="1"/>
    <n v="1"/>
    <n v="0"/>
  </r>
  <r>
    <n v="3"/>
    <n v="2"/>
    <x v="0"/>
    <x v="1"/>
    <s v="switch"/>
    <s v="Stim7_Set3"/>
    <m/>
    <n v="0"/>
    <n v="0"/>
    <n v="0"/>
  </r>
  <r>
    <n v="3"/>
    <n v="1"/>
    <x v="1"/>
    <x v="2"/>
    <s v="filler"/>
    <s v="Stim6_Set2"/>
    <m/>
    <n v="0"/>
    <n v="0"/>
    <n v="1"/>
  </r>
  <r>
    <n v="3"/>
    <n v="2"/>
    <x v="0"/>
    <x v="0"/>
    <s v="nontarget"/>
    <s v="Stim3_Set3"/>
    <m/>
    <n v="0"/>
    <n v="1"/>
    <n v="0"/>
  </r>
  <r>
    <n v="3"/>
    <n v="2"/>
    <x v="0"/>
    <x v="1"/>
    <s v="repeat"/>
    <s v="Stim3_Set3"/>
    <m/>
    <n v="1"/>
    <n v="0"/>
    <n v="0"/>
  </r>
  <r>
    <n v="3"/>
    <n v="2"/>
    <x v="0"/>
    <x v="2"/>
    <s v="filler"/>
    <s v="Stim2_Set2"/>
    <m/>
    <n v="1"/>
    <n v="0"/>
    <n v="1"/>
  </r>
  <r>
    <n v="3"/>
    <n v="1"/>
    <x v="1"/>
    <x v="2"/>
    <s v="filler"/>
    <s v="Stim7_Set2"/>
    <m/>
    <n v="0"/>
    <n v="0"/>
    <n v="0"/>
  </r>
  <r>
    <n v="3"/>
    <n v="2"/>
    <x v="0"/>
    <x v="0"/>
    <s v="nontarget"/>
    <s v="Stim2_Set3"/>
    <m/>
    <n v="0"/>
    <n v="1"/>
    <n v="0"/>
  </r>
  <r>
    <n v="3"/>
    <n v="2"/>
    <x v="0"/>
    <x v="1"/>
    <s v="repeat"/>
    <s v="Stim2_Set3"/>
    <m/>
    <n v="1"/>
    <n v="0"/>
    <n v="0"/>
  </r>
  <r>
    <n v="3"/>
    <n v="2"/>
    <x v="0"/>
    <x v="0"/>
    <s v="nontarget"/>
    <s v="Stim8_Set3"/>
    <m/>
    <n v="1"/>
    <n v="1"/>
    <n v="1"/>
  </r>
  <r>
    <n v="3"/>
    <n v="1"/>
    <x v="1"/>
    <x v="1"/>
    <s v="switch"/>
    <s v="Stim8_Set3"/>
    <m/>
    <n v="0"/>
    <n v="0"/>
    <n v="0"/>
  </r>
  <r>
    <n v="3"/>
    <n v="1"/>
    <x v="1"/>
    <x v="2"/>
    <s v="filler"/>
    <s v="Stim3_Set2"/>
    <m/>
    <n v="1"/>
    <n v="0"/>
    <n v="1"/>
  </r>
  <r>
    <n v="3"/>
    <n v="2"/>
    <x v="0"/>
    <x v="2"/>
    <s v="filler"/>
    <m/>
    <s v="here"/>
    <m/>
    <n v="0"/>
    <n v="0"/>
  </r>
  <r>
    <n v="3"/>
    <n v="1"/>
    <x v="1"/>
    <x v="2"/>
    <s v="filler"/>
    <s v="Stim5_Set2"/>
    <m/>
    <n v="1"/>
    <n v="0"/>
    <n v="0"/>
  </r>
  <r>
    <n v="3"/>
    <n v="1"/>
    <x v="1"/>
    <x v="0"/>
    <s v="nontarget"/>
    <s v="Stim6_Set3"/>
    <m/>
    <n v="1"/>
    <n v="1"/>
    <n v="0"/>
  </r>
  <r>
    <n v="3"/>
    <n v="1"/>
    <x v="1"/>
    <x v="1"/>
    <s v="repeat"/>
    <s v="Stim6_Set3"/>
    <m/>
    <n v="1"/>
    <n v="0"/>
    <n v="0"/>
  </r>
  <r>
    <n v="3"/>
    <n v="2"/>
    <x v="0"/>
    <x v="2"/>
    <s v="filler"/>
    <s v="Stim1_Set2"/>
    <m/>
    <n v="0"/>
    <n v="0"/>
    <n v="1"/>
  </r>
  <r>
    <n v="3"/>
    <n v="1"/>
    <x v="1"/>
    <x v="0"/>
    <s v="nontarget"/>
    <s v="Stim4_Set3"/>
    <m/>
    <n v="0"/>
    <n v="1"/>
    <n v="0"/>
  </r>
  <r>
    <n v="3"/>
    <n v="1"/>
    <x v="1"/>
    <x v="1"/>
    <s v="repeat"/>
    <s v="Stim4_Set3"/>
    <m/>
    <n v="1"/>
    <n v="0"/>
    <n v="0"/>
  </r>
  <r>
    <n v="4"/>
    <n v="2"/>
    <x v="0"/>
    <x v="2"/>
    <s v="filler"/>
    <s v="Stim5_Set3"/>
    <m/>
    <n v="0"/>
    <n v="0"/>
    <n v="1"/>
  </r>
  <r>
    <n v="4"/>
    <n v="2"/>
    <x v="0"/>
    <x v="2"/>
    <s v="filler"/>
    <s v="Stim1_Set3"/>
    <m/>
    <n v="1"/>
    <n v="0"/>
    <n v="0"/>
  </r>
  <r>
    <n v="4"/>
    <n v="1"/>
    <x v="1"/>
    <x v="0"/>
    <s v="nontarget"/>
    <s v="Stim6_Set4"/>
    <m/>
    <n v="0"/>
    <n v="1"/>
    <n v="0"/>
  </r>
  <r>
    <n v="4"/>
    <n v="1"/>
    <x v="1"/>
    <x v="1"/>
    <s v="repeat"/>
    <s v="Stim6_Set4"/>
    <m/>
    <n v="1"/>
    <n v="0"/>
    <n v="0"/>
  </r>
  <r>
    <n v="4"/>
    <n v="1"/>
    <x v="1"/>
    <x v="0"/>
    <s v="nontarget"/>
    <s v="Stim3_Set4"/>
    <m/>
    <n v="1"/>
    <n v="1"/>
    <n v="1"/>
  </r>
  <r>
    <n v="4"/>
    <n v="2"/>
    <x v="0"/>
    <x v="1"/>
    <s v="switch"/>
    <s v="Stim3_Set4"/>
    <m/>
    <n v="0"/>
    <n v="0"/>
    <n v="0"/>
  </r>
  <r>
    <n v="4"/>
    <n v="1"/>
    <x v="1"/>
    <x v="2"/>
    <s v="filler"/>
    <s v="Stim7_Set3"/>
    <m/>
    <n v="0"/>
    <n v="0"/>
    <n v="1"/>
  </r>
  <r>
    <n v="4"/>
    <n v="2"/>
    <x v="0"/>
    <x v="0"/>
    <s v="nontarget"/>
    <s v="Stim5_Set4"/>
    <m/>
    <n v="0"/>
    <n v="1"/>
    <n v="0"/>
  </r>
  <r>
    <n v="4"/>
    <n v="2"/>
    <x v="0"/>
    <x v="1"/>
    <s v="repeat"/>
    <s v="Stim5_Set4"/>
    <m/>
    <n v="1"/>
    <n v="0"/>
    <n v="0"/>
  </r>
  <r>
    <n v="4"/>
    <n v="2"/>
    <x v="0"/>
    <x v="0"/>
    <s v="nontarget"/>
    <s v="Stim1_Set4"/>
    <m/>
    <n v="1"/>
    <n v="1"/>
    <n v="1"/>
  </r>
  <r>
    <n v="4"/>
    <n v="1"/>
    <x v="1"/>
    <x v="1"/>
    <s v="switch"/>
    <s v="Stim1_Set4"/>
    <m/>
    <n v="0"/>
    <n v="0"/>
    <n v="0"/>
  </r>
  <r>
    <n v="4"/>
    <n v="2"/>
    <x v="0"/>
    <x v="2"/>
    <s v="filler"/>
    <s v="Stim3_Set3"/>
    <m/>
    <n v="0"/>
    <n v="0"/>
    <n v="1"/>
  </r>
  <r>
    <n v="4"/>
    <n v="1"/>
    <x v="1"/>
    <x v="0"/>
    <s v="nontarget"/>
    <s v="Stim4_Set4"/>
    <m/>
    <n v="0"/>
    <n v="1"/>
    <n v="0"/>
  </r>
  <r>
    <n v="4"/>
    <n v="2"/>
    <x v="0"/>
    <x v="1"/>
    <s v="switch"/>
    <s v="Stim4_Set4"/>
    <m/>
    <n v="0"/>
    <n v="0"/>
    <n v="0"/>
  </r>
  <r>
    <n v="4"/>
    <n v="2"/>
    <x v="0"/>
    <x v="2"/>
    <s v="filler"/>
    <s v="Stim2_Set3"/>
    <m/>
    <n v="1"/>
    <n v="0"/>
    <n v="1"/>
  </r>
  <r>
    <n v="4"/>
    <n v="2"/>
    <x v="0"/>
    <x v="0"/>
    <s v="nontarget"/>
    <s v="Stim7_Set4"/>
    <m/>
    <n v="1"/>
    <n v="1"/>
    <n v="0"/>
  </r>
  <r>
    <n v="4"/>
    <n v="2"/>
    <x v="0"/>
    <x v="1"/>
    <s v="repeat"/>
    <s v="Stim7_Set4"/>
    <m/>
    <n v="1"/>
    <n v="0"/>
    <n v="0"/>
  </r>
  <r>
    <n v="4"/>
    <n v="1"/>
    <x v="1"/>
    <x v="2"/>
    <s v="filler"/>
    <s v="Stim8_Set3"/>
    <m/>
    <n v="0"/>
    <n v="0"/>
    <n v="1"/>
  </r>
  <r>
    <n v="4"/>
    <n v="2"/>
    <x v="0"/>
    <x v="2"/>
    <s v="filler"/>
    <s v="Stim6_Set3"/>
    <m/>
    <n v="0"/>
    <n v="0"/>
    <n v="0"/>
  </r>
  <r>
    <n v="4"/>
    <n v="2"/>
    <x v="0"/>
    <x v="0"/>
    <s v="nontarget"/>
    <s v="Stim8_Set4"/>
    <m/>
    <n v="1"/>
    <n v="1"/>
    <n v="0"/>
  </r>
  <r>
    <n v="4"/>
    <n v="1"/>
    <x v="1"/>
    <x v="1"/>
    <s v="switch"/>
    <s v="Stim8_Set4"/>
    <m/>
    <n v="0"/>
    <n v="0"/>
    <n v="0"/>
  </r>
  <r>
    <n v="4"/>
    <n v="1"/>
    <x v="1"/>
    <x v="2"/>
    <s v="filler"/>
    <s v="Stim4_Set3"/>
    <m/>
    <n v="1"/>
    <n v="0"/>
    <n v="1"/>
  </r>
  <r>
    <n v="4"/>
    <n v="1"/>
    <x v="1"/>
    <x v="0"/>
    <s v="nontarget"/>
    <s v="Stim2_Set4"/>
    <m/>
    <n v="1"/>
    <n v="1"/>
    <n v="0"/>
  </r>
  <r>
    <n v="4"/>
    <n v="1"/>
    <x v="1"/>
    <x v="1"/>
    <s v="repeat"/>
    <s v="Stim2_Set4"/>
    <m/>
    <n v="1"/>
    <m/>
    <n v="0"/>
  </r>
  <r>
    <m/>
    <m/>
    <x v="2"/>
    <x v="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n v="1"/>
    <n v="2"/>
    <x v="0"/>
    <x v="0"/>
    <s v="nontarget"/>
    <s v="Stim1_Set1"/>
    <m/>
    <x v="0"/>
    <n v="1"/>
    <n v="0"/>
  </r>
  <r>
    <n v="1"/>
    <n v="2"/>
    <x v="0"/>
    <x v="1"/>
    <s v="repeat"/>
    <s v="Stim1_Set1"/>
    <m/>
    <x v="0"/>
    <n v="0"/>
    <n v="0"/>
  </r>
  <r>
    <n v="1"/>
    <n v="1"/>
    <x v="1"/>
    <x v="2"/>
    <s v="filler"/>
    <s v="Stim1_Set4"/>
    <m/>
    <x v="1"/>
    <n v="0"/>
    <n v="1"/>
  </r>
  <r>
    <n v="1"/>
    <n v="2"/>
    <x v="0"/>
    <x v="0"/>
    <s v="nontarget"/>
    <s v="Stim2_Set1"/>
    <m/>
    <x v="1"/>
    <n v="1"/>
    <n v="0"/>
  </r>
  <r>
    <n v="1"/>
    <n v="2"/>
    <x v="0"/>
    <x v="1"/>
    <s v="repeat"/>
    <s v="Stim2_Set1"/>
    <m/>
    <x v="0"/>
    <n v="0"/>
    <n v="0"/>
  </r>
  <r>
    <n v="1"/>
    <n v="1"/>
    <x v="1"/>
    <x v="2"/>
    <s v="filler"/>
    <s v="Stim2_Set4"/>
    <m/>
    <x v="1"/>
    <n v="0"/>
    <n v="1"/>
  </r>
  <r>
    <n v="1"/>
    <n v="2"/>
    <x v="0"/>
    <x v="0"/>
    <s v="nontarget"/>
    <s v="Stim3_Set1"/>
    <m/>
    <x v="1"/>
    <n v="1"/>
    <n v="0"/>
  </r>
  <r>
    <n v="1"/>
    <n v="1"/>
    <x v="1"/>
    <x v="1"/>
    <s v="switch"/>
    <s v="Stim3_Set1"/>
    <m/>
    <x v="1"/>
    <n v="0"/>
    <n v="0"/>
  </r>
  <r>
    <n v="1"/>
    <n v="1"/>
    <x v="1"/>
    <x v="0"/>
    <s v="nontarget"/>
    <s v="Stim4_Set1"/>
    <m/>
    <x v="0"/>
    <n v="1"/>
    <n v="1"/>
  </r>
  <r>
    <n v="1"/>
    <n v="2"/>
    <x v="0"/>
    <x v="1"/>
    <s v="switch"/>
    <s v="Stim4_Set1"/>
    <m/>
    <x v="1"/>
    <n v="0"/>
    <n v="0"/>
  </r>
  <r>
    <n v="1"/>
    <n v="2"/>
    <x v="0"/>
    <x v="2"/>
    <s v="filler"/>
    <s v="Stim3_Set4"/>
    <m/>
    <x v="0"/>
    <n v="0"/>
    <n v="1"/>
  </r>
  <r>
    <n v="1"/>
    <n v="2"/>
    <x v="0"/>
    <x v="0"/>
    <s v="nontarget"/>
    <s v="Stim5_Set1"/>
    <m/>
    <x v="0"/>
    <n v="1"/>
    <n v="0"/>
  </r>
  <r>
    <n v="1"/>
    <n v="1"/>
    <x v="1"/>
    <x v="1"/>
    <s v="switch"/>
    <s v="Stim5_Set1"/>
    <m/>
    <x v="1"/>
    <n v="0"/>
    <n v="0"/>
  </r>
  <r>
    <n v="1"/>
    <n v="2"/>
    <x v="0"/>
    <x v="2"/>
    <s v="filler"/>
    <s v="Stim4_Set4"/>
    <m/>
    <x v="1"/>
    <n v="0"/>
    <n v="1"/>
  </r>
  <r>
    <n v="1"/>
    <n v="1"/>
    <x v="1"/>
    <x v="0"/>
    <s v="nontarget"/>
    <s v="Stim6_Set1"/>
    <m/>
    <x v="1"/>
    <n v="1"/>
    <n v="0"/>
  </r>
  <r>
    <n v="1"/>
    <n v="1"/>
    <x v="1"/>
    <x v="1"/>
    <s v="repeat"/>
    <s v="Stim6_Set1"/>
    <m/>
    <x v="0"/>
    <n v="0"/>
    <n v="0"/>
  </r>
  <r>
    <n v="1"/>
    <n v="2"/>
    <x v="0"/>
    <x v="2"/>
    <s v="filler"/>
    <s v="Stim5_Set4"/>
    <m/>
    <x v="1"/>
    <n v="0"/>
    <n v="1"/>
  </r>
  <r>
    <n v="1"/>
    <n v="1"/>
    <x v="1"/>
    <x v="2"/>
    <s v="filler"/>
    <s v="Stim7_Set4"/>
    <m/>
    <x v="1"/>
    <n v="0"/>
    <n v="0"/>
  </r>
  <r>
    <n v="1"/>
    <n v="1"/>
    <x v="1"/>
    <x v="0"/>
    <s v="nontarget"/>
    <s v="Stim7_Set1"/>
    <m/>
    <x v="0"/>
    <n v="1"/>
    <n v="0"/>
  </r>
  <r>
    <n v="1"/>
    <n v="1"/>
    <x v="1"/>
    <x v="1"/>
    <s v="repeat"/>
    <s v="Stim7_Set1"/>
    <m/>
    <x v="0"/>
    <n v="0"/>
    <n v="0"/>
  </r>
  <r>
    <n v="1"/>
    <n v="2"/>
    <x v="0"/>
    <x v="2"/>
    <s v="filler"/>
    <s v="Stim6_Set4"/>
    <m/>
    <x v="1"/>
    <n v="0"/>
    <n v="1"/>
  </r>
  <r>
    <n v="1"/>
    <n v="1"/>
    <x v="1"/>
    <x v="2"/>
    <s v="filler"/>
    <s v="Stim8_Set4"/>
    <m/>
    <x v="1"/>
    <n v="0"/>
    <n v="0"/>
  </r>
  <r>
    <n v="1"/>
    <n v="1"/>
    <x v="1"/>
    <x v="0"/>
    <s v="nontarget"/>
    <s v="Stim8_Set1"/>
    <m/>
    <x v="0"/>
    <n v="1"/>
    <n v="0"/>
  </r>
  <r>
    <n v="1"/>
    <n v="2"/>
    <x v="0"/>
    <x v="1"/>
    <s v="switch"/>
    <s v="Stim8_Set1"/>
    <m/>
    <x v="1"/>
    <n v="0"/>
    <n v="0"/>
  </r>
  <r>
    <n v="2"/>
    <n v="2"/>
    <x v="0"/>
    <x v="2"/>
    <s v="filler"/>
    <s v="Stim1_Set1"/>
    <m/>
    <x v="0"/>
    <n v="0"/>
    <n v="1"/>
  </r>
  <r>
    <n v="2"/>
    <n v="1"/>
    <x v="1"/>
    <x v="0"/>
    <s v="nontarget"/>
    <s v="Stim1_Set2"/>
    <m/>
    <x v="1"/>
    <n v="1"/>
    <n v="0"/>
  </r>
  <r>
    <n v="2"/>
    <n v="1"/>
    <x v="1"/>
    <x v="1"/>
    <s v="repeat"/>
    <s v="Stim1_Set2"/>
    <m/>
    <x v="0"/>
    <n v="0"/>
    <n v="0"/>
  </r>
  <r>
    <n v="2"/>
    <n v="2"/>
    <x v="0"/>
    <x v="2"/>
    <s v="filler"/>
    <s v="Stim2_Set1"/>
    <m/>
    <x v="1"/>
    <n v="0"/>
    <n v="1"/>
  </r>
  <r>
    <n v="2"/>
    <n v="1"/>
    <x v="1"/>
    <x v="0"/>
    <s v="nontarget"/>
    <s v="Stim2_Set2"/>
    <m/>
    <x v="1"/>
    <n v="1"/>
    <n v="0"/>
  </r>
  <r>
    <n v="2"/>
    <n v="1"/>
    <x v="1"/>
    <x v="1"/>
    <s v="repeat"/>
    <s v="Stim2_Set2"/>
    <m/>
    <x v="0"/>
    <n v="0"/>
    <n v="0"/>
  </r>
  <r>
    <n v="2"/>
    <n v="1"/>
    <x v="1"/>
    <x v="0"/>
    <s v="nontarget"/>
    <s v="Stim3_Set2"/>
    <m/>
    <x v="0"/>
    <n v="1"/>
    <n v="1"/>
  </r>
  <r>
    <n v="2"/>
    <n v="2"/>
    <x v="0"/>
    <x v="1"/>
    <s v="switch"/>
    <s v="Stim3_Set2"/>
    <m/>
    <x v="1"/>
    <n v="0"/>
    <n v="0"/>
  </r>
  <r>
    <n v="2"/>
    <n v="2"/>
    <x v="0"/>
    <x v="0"/>
    <s v="nontarget"/>
    <s v="Stim4_Set2"/>
    <m/>
    <x v="0"/>
    <n v="1"/>
    <n v="1"/>
  </r>
  <r>
    <n v="2"/>
    <n v="1"/>
    <x v="1"/>
    <x v="1"/>
    <s v="switch"/>
    <s v="Stim4_Set2"/>
    <m/>
    <x v="1"/>
    <n v="0"/>
    <n v="0"/>
  </r>
  <r>
    <n v="2"/>
    <n v="1"/>
    <x v="1"/>
    <x v="2"/>
    <s v="filler"/>
    <s v="Stim3_Set1"/>
    <m/>
    <x v="0"/>
    <n v="0"/>
    <n v="1"/>
  </r>
  <r>
    <n v="2"/>
    <n v="1"/>
    <x v="1"/>
    <x v="0"/>
    <s v="nontarget"/>
    <s v="Stim5_Set2"/>
    <m/>
    <x v="0"/>
    <n v="1"/>
    <n v="0"/>
  </r>
  <r>
    <n v="2"/>
    <n v="2"/>
    <x v="0"/>
    <x v="1"/>
    <s v="switch"/>
    <s v="Stim5_Set2"/>
    <m/>
    <x v="1"/>
    <n v="0"/>
    <n v="0"/>
  </r>
  <r>
    <n v="2"/>
    <n v="2"/>
    <x v="0"/>
    <x v="2"/>
    <s v="filler"/>
    <s v="Stim4_Set1"/>
    <m/>
    <x v="0"/>
    <n v="0"/>
    <n v="1"/>
  </r>
  <r>
    <n v="2"/>
    <n v="1"/>
    <x v="1"/>
    <x v="2"/>
    <s v="filler"/>
    <s v="Stim7_Set1"/>
    <m/>
    <x v="1"/>
    <n v="0"/>
    <n v="0"/>
  </r>
  <r>
    <n v="2"/>
    <n v="2"/>
    <x v="0"/>
    <x v="2"/>
    <s v="filler"/>
    <s v="Stim5_Set1"/>
    <m/>
    <x v="1"/>
    <n v="0"/>
    <n v="0"/>
  </r>
  <r>
    <n v="2"/>
    <n v="2"/>
    <x v="0"/>
    <x v="0"/>
    <s v="nontarget"/>
    <s v="Stim6_Set2"/>
    <m/>
    <x v="0"/>
    <n v="1"/>
    <n v="0"/>
  </r>
  <r>
    <n v="2"/>
    <n v="2"/>
    <x v="0"/>
    <x v="1"/>
    <s v="repeat"/>
    <s v="Stim6_Set2"/>
    <m/>
    <x v="0"/>
    <n v="0"/>
    <n v="0"/>
  </r>
  <r>
    <n v="2"/>
    <n v="1"/>
    <x v="1"/>
    <x v="2"/>
    <s v="filler"/>
    <s v="Stim6_Set1"/>
    <m/>
    <x v="1"/>
    <n v="0"/>
    <n v="1"/>
  </r>
  <r>
    <n v="2"/>
    <n v="2"/>
    <x v="0"/>
    <x v="0"/>
    <s v="nontarget"/>
    <s v="Stim7_Set2"/>
    <m/>
    <x v="1"/>
    <n v="1"/>
    <n v="0"/>
  </r>
  <r>
    <n v="2"/>
    <n v="2"/>
    <x v="0"/>
    <x v="1"/>
    <s v="repeat"/>
    <s v="Stim7_Set2"/>
    <m/>
    <x v="0"/>
    <n v="0"/>
    <n v="0"/>
  </r>
  <r>
    <n v="2"/>
    <n v="2"/>
    <x v="0"/>
    <x v="2"/>
    <s v="filler"/>
    <s v="Stim8_Set1"/>
    <m/>
    <x v="0"/>
    <n v="0"/>
    <n v="1"/>
  </r>
  <r>
    <n v="2"/>
    <n v="2"/>
    <x v="0"/>
    <x v="0"/>
    <s v="nontarget"/>
    <s v="Stim8_Set2"/>
    <m/>
    <x v="0"/>
    <n v="1"/>
    <n v="0"/>
  </r>
  <r>
    <n v="2"/>
    <n v="1"/>
    <x v="1"/>
    <x v="1"/>
    <s v="switch"/>
    <s v="Stim8_Set2"/>
    <m/>
    <x v="1"/>
    <n v="0"/>
    <n v="0"/>
  </r>
  <r>
    <n v="3"/>
    <n v="2"/>
    <x v="0"/>
    <x v="2"/>
    <s v="filler"/>
    <m/>
    <s v="here"/>
    <x v="1"/>
    <n v="0"/>
    <n v="1"/>
  </r>
  <r>
    <n v="3"/>
    <n v="1"/>
    <x v="1"/>
    <x v="0"/>
    <s v="nontarget"/>
    <s v="Stim1_Set3"/>
    <m/>
    <x v="1"/>
    <n v="1"/>
    <n v="0"/>
  </r>
  <r>
    <n v="3"/>
    <n v="2"/>
    <x v="0"/>
    <x v="1"/>
    <s v="switch"/>
    <s v="Stim1_Set3"/>
    <m/>
    <x v="1"/>
    <n v="0"/>
    <n v="0"/>
  </r>
  <r>
    <n v="3"/>
    <n v="2"/>
    <x v="0"/>
    <x v="2"/>
    <s v="filler"/>
    <m/>
    <s v="here"/>
    <x v="0"/>
    <n v="0"/>
    <n v="1"/>
  </r>
  <r>
    <n v="3"/>
    <n v="2"/>
    <x v="0"/>
    <x v="0"/>
    <s v="nontarget"/>
    <s v="Stim2_Set3"/>
    <m/>
    <x v="0"/>
    <n v="1"/>
    <n v="0"/>
  </r>
  <r>
    <n v="3"/>
    <n v="1"/>
    <x v="1"/>
    <x v="1"/>
    <s v="switch"/>
    <s v="Stim2_Set3"/>
    <m/>
    <x v="1"/>
    <n v="0"/>
    <n v="0"/>
  </r>
  <r>
    <n v="3"/>
    <n v="1"/>
    <x v="1"/>
    <x v="2"/>
    <s v="filler"/>
    <s v="Stim1_Set2"/>
    <m/>
    <x v="0"/>
    <n v="0"/>
    <n v="1"/>
  </r>
  <r>
    <n v="3"/>
    <n v="1"/>
    <x v="1"/>
    <x v="0"/>
    <s v="nontarget"/>
    <s v="Stim3_Set3"/>
    <m/>
    <x v="0"/>
    <n v="1"/>
    <n v="0"/>
  </r>
  <r>
    <n v="3"/>
    <n v="2"/>
    <x v="0"/>
    <x v="1"/>
    <s v="switch"/>
    <s v="Stim3_Set3"/>
    <m/>
    <x v="1"/>
    <n v="0"/>
    <n v="0"/>
  </r>
  <r>
    <n v="3"/>
    <n v="1"/>
    <x v="1"/>
    <x v="2"/>
    <s v="filler"/>
    <s v="Stim2_Set2"/>
    <m/>
    <x v="1"/>
    <n v="0"/>
    <n v="1"/>
  </r>
  <r>
    <n v="3"/>
    <n v="2"/>
    <x v="0"/>
    <x v="0"/>
    <s v="nontarget"/>
    <s v="Stim4_Set3"/>
    <m/>
    <x v="1"/>
    <n v="1"/>
    <n v="0"/>
  </r>
  <r>
    <n v="3"/>
    <n v="2"/>
    <x v="0"/>
    <x v="1"/>
    <s v="repeat"/>
    <s v="Stim4_Set3"/>
    <m/>
    <x v="0"/>
    <n v="0"/>
    <n v="0"/>
  </r>
  <r>
    <n v="3"/>
    <n v="1"/>
    <x v="1"/>
    <x v="2"/>
    <s v="filler"/>
    <s v="Stim3_Set2"/>
    <m/>
    <x v="1"/>
    <n v="0"/>
    <n v="1"/>
  </r>
  <r>
    <n v="3"/>
    <n v="1"/>
    <x v="1"/>
    <x v="2"/>
    <s v="filler"/>
    <s v="Stim4_Set2"/>
    <m/>
    <x v="0"/>
    <n v="0"/>
    <n v="0"/>
  </r>
  <r>
    <n v="3"/>
    <n v="2"/>
    <x v="0"/>
    <x v="2"/>
    <s v="filler"/>
    <s v="Stim5_Set2"/>
    <m/>
    <x v="1"/>
    <n v="0"/>
    <n v="0"/>
  </r>
  <r>
    <n v="3"/>
    <n v="2"/>
    <x v="0"/>
    <x v="0"/>
    <s v="nontarget"/>
    <s v="Stim5_Set3"/>
    <m/>
    <x v="0"/>
    <n v="1"/>
    <n v="0"/>
  </r>
  <r>
    <n v="3"/>
    <n v="2"/>
    <x v="0"/>
    <x v="1"/>
    <s v="repeat"/>
    <s v="Stim5_Set3"/>
    <m/>
    <x v="0"/>
    <n v="0"/>
    <n v="0"/>
  </r>
  <r>
    <n v="3"/>
    <n v="1"/>
    <x v="1"/>
    <x v="2"/>
    <s v="filler"/>
    <m/>
    <s v="here"/>
    <x v="1"/>
    <n v="0"/>
    <n v="1"/>
  </r>
  <r>
    <n v="3"/>
    <n v="2"/>
    <x v="0"/>
    <x v="0"/>
    <s v="nontarget"/>
    <s v="Stim6_Set3"/>
    <m/>
    <x v="1"/>
    <n v="1"/>
    <n v="0"/>
  </r>
  <r>
    <n v="3"/>
    <n v="1"/>
    <x v="1"/>
    <x v="1"/>
    <s v="switch"/>
    <s v="Stim6_Set3"/>
    <m/>
    <x v="1"/>
    <n v="0"/>
    <n v="0"/>
  </r>
  <r>
    <n v="3"/>
    <n v="2"/>
    <x v="0"/>
    <x v="2"/>
    <s v="filler"/>
    <s v="Stim6_Set2"/>
    <m/>
    <x v="1"/>
    <n v="0"/>
    <n v="1"/>
  </r>
  <r>
    <n v="3"/>
    <n v="1"/>
    <x v="1"/>
    <x v="0"/>
    <s v="nontarget"/>
    <s v="Stim7_Set3"/>
    <m/>
    <x v="1"/>
    <n v="1"/>
    <n v="0"/>
  </r>
  <r>
    <n v="3"/>
    <n v="1"/>
    <x v="1"/>
    <x v="1"/>
    <s v="repeat"/>
    <s v="Stim7_Set3"/>
    <m/>
    <x v="0"/>
    <n v="0"/>
    <n v="0"/>
  </r>
  <r>
    <n v="3"/>
    <n v="2"/>
    <x v="0"/>
    <x v="2"/>
    <s v="filler"/>
    <s v="Stim7_Set2"/>
    <m/>
    <x v="1"/>
    <n v="0"/>
    <n v="1"/>
  </r>
  <r>
    <n v="3"/>
    <n v="1"/>
    <x v="1"/>
    <x v="2"/>
    <s v="filler"/>
    <s v="Stim8_Set2"/>
    <m/>
    <x v="1"/>
    <n v="0"/>
    <n v="0"/>
  </r>
  <r>
    <n v="3"/>
    <n v="1"/>
    <x v="1"/>
    <x v="0"/>
    <s v="nontarget"/>
    <s v="Stim8_Set3"/>
    <m/>
    <x v="0"/>
    <n v="1"/>
    <n v="0"/>
  </r>
  <r>
    <n v="3"/>
    <n v="1"/>
    <x v="1"/>
    <x v="1"/>
    <s v="repeat"/>
    <s v="Stim8_Set3"/>
    <m/>
    <x v="0"/>
    <n v="0"/>
    <n v="0"/>
  </r>
  <r>
    <n v="4"/>
    <n v="2"/>
    <x v="0"/>
    <x v="2"/>
    <s v="filler"/>
    <s v="Stim1_Set3"/>
    <m/>
    <x v="1"/>
    <n v="0"/>
    <n v="1"/>
  </r>
  <r>
    <n v="4"/>
    <n v="1"/>
    <x v="1"/>
    <x v="0"/>
    <s v="nontarget"/>
    <s v="Stim1_Set4"/>
    <m/>
    <x v="1"/>
    <n v="1"/>
    <n v="0"/>
  </r>
  <r>
    <n v="4"/>
    <n v="1"/>
    <x v="1"/>
    <x v="1"/>
    <s v="repeat"/>
    <s v="Stim1_Set4"/>
    <m/>
    <x v="0"/>
    <n v="0"/>
    <n v="0"/>
  </r>
  <r>
    <n v="4"/>
    <n v="1"/>
    <x v="1"/>
    <x v="0"/>
    <s v="nontarget"/>
    <s v="Stim2_Set4"/>
    <m/>
    <x v="0"/>
    <n v="1"/>
    <n v="1"/>
  </r>
  <r>
    <n v="4"/>
    <n v="2"/>
    <x v="0"/>
    <x v="1"/>
    <s v="switch"/>
    <s v="Stim2_Set4"/>
    <m/>
    <x v="1"/>
    <n v="0"/>
    <n v="0"/>
  </r>
  <r>
    <n v="4"/>
    <n v="1"/>
    <x v="1"/>
    <x v="2"/>
    <s v="filler"/>
    <s v="Stim2_Set3"/>
    <m/>
    <x v="1"/>
    <n v="0"/>
    <n v="1"/>
  </r>
  <r>
    <n v="4"/>
    <n v="1"/>
    <x v="1"/>
    <x v="2"/>
    <s v="filler"/>
    <s v="Stim3_Set3"/>
    <m/>
    <x v="0"/>
    <n v="0"/>
    <n v="0"/>
  </r>
  <r>
    <n v="4"/>
    <n v="2"/>
    <x v="0"/>
    <x v="0"/>
    <s v="nontarget"/>
    <s v="Stim3_Set4"/>
    <m/>
    <x v="1"/>
    <n v="1"/>
    <n v="0"/>
  </r>
  <r>
    <n v="4"/>
    <n v="2"/>
    <x v="0"/>
    <x v="1"/>
    <s v="repeat"/>
    <s v="Stim3_Set4"/>
    <m/>
    <x v="0"/>
    <n v="0"/>
    <n v="0"/>
  </r>
  <r>
    <n v="4"/>
    <n v="2"/>
    <x v="0"/>
    <x v="0"/>
    <s v="nontarget"/>
    <s v="Stim4_Set4"/>
    <m/>
    <x v="0"/>
    <n v="1"/>
    <n v="1"/>
  </r>
  <r>
    <n v="4"/>
    <n v="1"/>
    <x v="1"/>
    <x v="1"/>
    <s v="switch"/>
    <s v="Stim4_Set4"/>
    <m/>
    <x v="1"/>
    <n v="0"/>
    <n v="0"/>
  </r>
  <r>
    <n v="4"/>
    <n v="1"/>
    <x v="1"/>
    <x v="2"/>
    <s v="filler"/>
    <s v="Stim4_Set3"/>
    <m/>
    <x v="0"/>
    <n v="0"/>
    <n v="1"/>
  </r>
  <r>
    <n v="4"/>
    <n v="1"/>
    <x v="1"/>
    <x v="0"/>
    <s v="nontarget"/>
    <s v="Stim5_Set4"/>
    <m/>
    <x v="0"/>
    <n v="1"/>
    <n v="0"/>
  </r>
  <r>
    <n v="4"/>
    <n v="2"/>
    <x v="0"/>
    <x v="1"/>
    <s v="switch"/>
    <s v="Stim5_Set4"/>
    <m/>
    <x v="1"/>
    <n v="0"/>
    <n v="0"/>
  </r>
  <r>
    <n v="4"/>
    <n v="2"/>
    <x v="0"/>
    <x v="0"/>
    <s v="nontarget"/>
    <s v="Stim6_Set4"/>
    <m/>
    <x v="0"/>
    <n v="1"/>
    <n v="1"/>
  </r>
  <r>
    <n v="4"/>
    <n v="2"/>
    <x v="0"/>
    <x v="1"/>
    <s v="repeat"/>
    <s v="Stim6_Set4"/>
    <m/>
    <x v="0"/>
    <n v="0"/>
    <n v="0"/>
  </r>
  <r>
    <n v="4"/>
    <n v="1"/>
    <x v="1"/>
    <x v="2"/>
    <s v="filler"/>
    <s v="Stim5_Set3"/>
    <m/>
    <x v="1"/>
    <n v="0"/>
    <n v="1"/>
  </r>
  <r>
    <n v="4"/>
    <n v="2"/>
    <x v="0"/>
    <x v="2"/>
    <s v="filler"/>
    <s v="Stim7_Set3"/>
    <m/>
    <x v="1"/>
    <n v="0"/>
    <n v="0"/>
  </r>
  <r>
    <n v="4"/>
    <n v="2"/>
    <x v="0"/>
    <x v="0"/>
    <s v="nontarget"/>
    <s v="Stim7_Set4"/>
    <m/>
    <x v="0"/>
    <n v="1"/>
    <n v="0"/>
  </r>
  <r>
    <n v="4"/>
    <n v="1"/>
    <x v="1"/>
    <x v="1"/>
    <s v="switch"/>
    <s v="Stim7_Set4"/>
    <m/>
    <x v="1"/>
    <n v="0"/>
    <n v="0"/>
  </r>
  <r>
    <n v="4"/>
    <n v="1"/>
    <x v="1"/>
    <x v="0"/>
    <s v="nontarget"/>
    <s v="Stim8_Set4"/>
    <m/>
    <x v="0"/>
    <n v="1"/>
    <n v="1"/>
  </r>
  <r>
    <n v="4"/>
    <n v="1"/>
    <x v="1"/>
    <x v="1"/>
    <s v="repeat"/>
    <s v="Stim8_Set4"/>
    <m/>
    <x v="0"/>
    <n v="0"/>
    <n v="0"/>
  </r>
  <r>
    <n v="4"/>
    <n v="1"/>
    <x v="0"/>
    <x v="2"/>
    <s v="filler"/>
    <s v="Stim8_Set3"/>
    <m/>
    <x v="1"/>
    <n v="0"/>
    <n v="1"/>
  </r>
  <r>
    <n v="4"/>
    <n v="1"/>
    <x v="1"/>
    <x v="2"/>
    <s v="filler"/>
    <s v="Stim6_Set3"/>
    <m/>
    <x v="1"/>
    <n v="0"/>
    <n v="0"/>
  </r>
  <r>
    <s v="BREAK"/>
    <m/>
    <x v="2"/>
    <x v="3"/>
    <m/>
    <m/>
    <m/>
    <x v="1"/>
    <n v="0"/>
    <n v="0"/>
  </r>
  <r>
    <n v="1"/>
    <n v="2"/>
    <x v="0"/>
    <x v="0"/>
    <s v="nontarget"/>
    <s v="Stim4_Set1"/>
    <m/>
    <x v="1"/>
    <n v="1"/>
    <n v="0"/>
  </r>
  <r>
    <n v="1"/>
    <n v="2"/>
    <x v="0"/>
    <x v="1"/>
    <s v="repeat"/>
    <s v="Stim4_Set1"/>
    <m/>
    <x v="0"/>
    <n v="0"/>
    <n v="0"/>
  </r>
  <r>
    <n v="1"/>
    <n v="1"/>
    <x v="1"/>
    <x v="2"/>
    <s v="filler"/>
    <s v="Stim3_Set4"/>
    <m/>
    <x v="1"/>
    <n v="0"/>
    <n v="1"/>
  </r>
  <r>
    <n v="1"/>
    <n v="2"/>
    <x v="0"/>
    <x v="0"/>
    <s v="nontarget"/>
    <s v="Stim3_Set1"/>
    <m/>
    <x v="1"/>
    <n v="1"/>
    <n v="0"/>
  </r>
  <r>
    <n v="1"/>
    <n v="2"/>
    <x v="0"/>
    <x v="1"/>
    <s v="repeat"/>
    <s v="Stim3_Set1"/>
    <m/>
    <x v="0"/>
    <n v="0"/>
    <n v="0"/>
  </r>
  <r>
    <n v="1"/>
    <n v="1"/>
    <x v="1"/>
    <x v="2"/>
    <s v="filler"/>
    <m/>
    <s v="here"/>
    <x v="1"/>
    <n v="0"/>
    <n v="1"/>
  </r>
  <r>
    <n v="1"/>
    <n v="2"/>
    <x v="0"/>
    <x v="2"/>
    <s v="filler"/>
    <s v="Stim8_Set4"/>
    <m/>
    <x v="1"/>
    <n v="0"/>
    <n v="0"/>
  </r>
  <r>
    <n v="1"/>
    <n v="2"/>
    <x v="0"/>
    <x v="0"/>
    <s v="nontarget"/>
    <s v="Stim6_Set1"/>
    <m/>
    <x v="0"/>
    <n v="1"/>
    <n v="0"/>
  </r>
  <r>
    <n v="1"/>
    <n v="1"/>
    <x v="1"/>
    <x v="1"/>
    <s v="switch"/>
    <s v="Stim6_Set1"/>
    <m/>
    <x v="1"/>
    <n v="0"/>
    <n v="0"/>
  </r>
  <r>
    <n v="1"/>
    <n v="1"/>
    <x v="1"/>
    <x v="2"/>
    <s v="filler"/>
    <s v="Stim4_Set4"/>
    <m/>
    <x v="0"/>
    <n v="0"/>
    <n v="1"/>
  </r>
  <r>
    <n v="1"/>
    <n v="1"/>
    <x v="1"/>
    <x v="0"/>
    <s v="nontarget"/>
    <s v="Stim2_Set1"/>
    <m/>
    <x v="0"/>
    <n v="1"/>
    <n v="0"/>
  </r>
  <r>
    <n v="1"/>
    <n v="2"/>
    <x v="0"/>
    <x v="1"/>
    <s v="switch"/>
    <s v="Stim2_Set1"/>
    <m/>
    <x v="1"/>
    <n v="0"/>
    <n v="0"/>
  </r>
  <r>
    <n v="1"/>
    <n v="2"/>
    <x v="0"/>
    <x v="0"/>
    <s v="nontarget"/>
    <s v="Stim1_Set1"/>
    <m/>
    <x v="0"/>
    <n v="1"/>
    <n v="1"/>
  </r>
  <r>
    <n v="1"/>
    <n v="1"/>
    <x v="1"/>
    <x v="1"/>
    <s v="switch"/>
    <s v="Stim1_Set1"/>
    <m/>
    <x v="1"/>
    <n v="0"/>
    <n v="0"/>
  </r>
  <r>
    <n v="1"/>
    <n v="2"/>
    <x v="0"/>
    <x v="2"/>
    <s v="filler"/>
    <s v="Stim2_Set4"/>
    <m/>
    <x v="1"/>
    <n v="0"/>
    <n v="1"/>
  </r>
  <r>
    <n v="1"/>
    <n v="1"/>
    <x v="1"/>
    <x v="0"/>
    <s v="nontarget"/>
    <s v="Stim8_Set1"/>
    <m/>
    <x v="1"/>
    <n v="1"/>
    <n v="0"/>
  </r>
  <r>
    <n v="1"/>
    <n v="1"/>
    <x v="1"/>
    <x v="1"/>
    <s v="repeat"/>
    <s v="Stim8_Set1"/>
    <m/>
    <x v="0"/>
    <n v="0"/>
    <n v="0"/>
  </r>
  <r>
    <n v="1"/>
    <n v="2"/>
    <x v="0"/>
    <x v="2"/>
    <s v="filler"/>
    <s v="Stim7_Set4"/>
    <m/>
    <x v="1"/>
    <n v="0"/>
    <n v="1"/>
  </r>
  <r>
    <n v="1"/>
    <n v="1"/>
    <x v="1"/>
    <x v="0"/>
    <s v="nontarget"/>
    <s v="Stim5_Set1"/>
    <m/>
    <x v="1"/>
    <n v="1"/>
    <n v="0"/>
  </r>
  <r>
    <n v="1"/>
    <n v="1"/>
    <x v="1"/>
    <x v="1"/>
    <s v="repeat"/>
    <s v="Stim5_Set1"/>
    <m/>
    <x v="0"/>
    <n v="0"/>
    <n v="0"/>
  </r>
  <r>
    <n v="1"/>
    <n v="2"/>
    <x v="0"/>
    <x v="2"/>
    <s v="filler"/>
    <s v="Stim1_Set4"/>
    <m/>
    <x v="1"/>
    <n v="0"/>
    <n v="1"/>
  </r>
  <r>
    <n v="1"/>
    <n v="1"/>
    <x v="1"/>
    <x v="2"/>
    <s v="filler"/>
    <s v="Stim6_Set4"/>
    <m/>
    <x v="1"/>
    <n v="0"/>
    <n v="0"/>
  </r>
  <r>
    <n v="1"/>
    <n v="1"/>
    <x v="1"/>
    <x v="0"/>
    <s v="nontarget"/>
    <s v="Stim7_Set1"/>
    <m/>
    <x v="0"/>
    <n v="1"/>
    <n v="0"/>
  </r>
  <r>
    <n v="1"/>
    <n v="2"/>
    <x v="0"/>
    <x v="1"/>
    <s v="switch"/>
    <s v="Stim7_Set1"/>
    <m/>
    <x v="1"/>
    <n v="0"/>
    <n v="0"/>
  </r>
  <r>
    <n v="1"/>
    <n v="1"/>
    <x v="1"/>
    <x v="2"/>
    <s v="filler"/>
    <s v="Stim5_Set4"/>
    <m/>
    <x v="1"/>
    <n v="0"/>
    <n v="1"/>
  </r>
  <r>
    <n v="2"/>
    <n v="1"/>
    <x v="1"/>
    <x v="0"/>
    <s v="nontarget"/>
    <s v="Stim5_Set2"/>
    <m/>
    <x v="0"/>
    <n v="1"/>
    <n v="0"/>
  </r>
  <r>
    <n v="2"/>
    <n v="1"/>
    <x v="1"/>
    <x v="1"/>
    <s v="repeat"/>
    <s v="Stim5_Set2"/>
    <m/>
    <x v="0"/>
    <n v="0"/>
    <n v="0"/>
  </r>
  <r>
    <n v="2"/>
    <n v="2"/>
    <x v="0"/>
    <x v="2"/>
    <s v="filler"/>
    <s v="Stim4_Set1"/>
    <m/>
    <x v="1"/>
    <n v="0"/>
    <n v="1"/>
  </r>
  <r>
    <n v="2"/>
    <n v="1"/>
    <x v="1"/>
    <x v="0"/>
    <s v="nontarget"/>
    <s v="Stim3_Set2"/>
    <m/>
    <x v="1"/>
    <n v="1"/>
    <n v="0"/>
  </r>
  <r>
    <n v="2"/>
    <n v="1"/>
    <x v="1"/>
    <x v="1"/>
    <s v="repeat"/>
    <s v="Stim3_Set2"/>
    <m/>
    <x v="0"/>
    <n v="0"/>
    <n v="0"/>
  </r>
  <r>
    <n v="2"/>
    <n v="1"/>
    <x v="1"/>
    <x v="0"/>
    <s v="nontarget"/>
    <s v="Stim1_Set2"/>
    <m/>
    <x v="0"/>
    <n v="1"/>
    <n v="1"/>
  </r>
  <r>
    <n v="2"/>
    <n v="2"/>
    <x v="0"/>
    <x v="1"/>
    <s v="switch"/>
    <s v="Stim1_Set2"/>
    <m/>
    <x v="1"/>
    <n v="0"/>
    <n v="0"/>
  </r>
  <r>
    <n v="2"/>
    <n v="2"/>
    <x v="0"/>
    <x v="2"/>
    <s v="filler"/>
    <s v="Stim3_Set1"/>
    <m/>
    <x v="0"/>
    <n v="0"/>
    <n v="1"/>
  </r>
  <r>
    <n v="2"/>
    <n v="2"/>
    <x v="0"/>
    <x v="0"/>
    <s v="nontarget"/>
    <s v="Stim7_Set2"/>
    <m/>
    <x v="0"/>
    <n v="1"/>
    <n v="0"/>
  </r>
  <r>
    <n v="2"/>
    <n v="1"/>
    <x v="1"/>
    <x v="1"/>
    <s v="switch"/>
    <s v="Stim7_Set2"/>
    <m/>
    <x v="1"/>
    <n v="0"/>
    <n v="0"/>
  </r>
  <r>
    <n v="2"/>
    <n v="1"/>
    <x v="1"/>
    <x v="0"/>
    <s v="nontarget"/>
    <s v="Stim2_Set2"/>
    <m/>
    <x v="0"/>
    <n v="1"/>
    <n v="1"/>
  </r>
  <r>
    <n v="2"/>
    <n v="2"/>
    <x v="0"/>
    <x v="1"/>
    <s v="switch"/>
    <s v="Stim2_Set2"/>
    <m/>
    <x v="1"/>
    <n v="0"/>
    <n v="0"/>
  </r>
  <r>
    <n v="2"/>
    <n v="1"/>
    <x v="1"/>
    <x v="2"/>
    <s v="filler"/>
    <s v="Stim6_Set1"/>
    <m/>
    <x v="1"/>
    <n v="0"/>
    <n v="1"/>
  </r>
  <r>
    <n v="2"/>
    <n v="2"/>
    <x v="0"/>
    <x v="2"/>
    <s v="filler"/>
    <s v="Stim2_Set1"/>
    <m/>
    <x v="1"/>
    <n v="0"/>
    <n v="0"/>
  </r>
  <r>
    <n v="2"/>
    <n v="1"/>
    <x v="1"/>
    <x v="2"/>
    <s v="filler"/>
    <s v="Stim5_Set1"/>
    <m/>
    <x v="1"/>
    <n v="0"/>
    <n v="0"/>
  </r>
  <r>
    <n v="2"/>
    <n v="2"/>
    <x v="0"/>
    <x v="0"/>
    <s v="nontarget"/>
    <s v="Stim4_Set2"/>
    <m/>
    <x v="1"/>
    <n v="1"/>
    <n v="0"/>
  </r>
  <r>
    <n v="2"/>
    <n v="2"/>
    <x v="0"/>
    <x v="1"/>
    <s v="repeat"/>
    <s v="Stim4_Set2"/>
    <m/>
    <x v="0"/>
    <n v="0"/>
    <n v="0"/>
  </r>
  <r>
    <n v="2"/>
    <n v="1"/>
    <x v="1"/>
    <x v="2"/>
    <s v="filler"/>
    <s v="Stim1_Set1"/>
    <m/>
    <x v="1"/>
    <n v="0"/>
    <n v="1"/>
  </r>
  <r>
    <n v="2"/>
    <n v="2"/>
    <x v="0"/>
    <x v="0"/>
    <s v="nontarget"/>
    <s v="Stim8_Set2"/>
    <m/>
    <x v="1"/>
    <n v="1"/>
    <n v="0"/>
  </r>
  <r>
    <n v="2"/>
    <n v="2"/>
    <x v="0"/>
    <x v="1"/>
    <s v="repeat"/>
    <s v="Stim8_Set2"/>
    <m/>
    <x v="0"/>
    <n v="0"/>
    <n v="0"/>
  </r>
  <r>
    <n v="2"/>
    <n v="1"/>
    <x v="1"/>
    <x v="2"/>
    <s v="filler"/>
    <s v="Stim8_Set1"/>
    <m/>
    <x v="1"/>
    <n v="0"/>
    <n v="1"/>
  </r>
  <r>
    <n v="2"/>
    <n v="2"/>
    <x v="0"/>
    <x v="2"/>
    <s v="filler"/>
    <s v="Stim7_Set1"/>
    <m/>
    <x v="1"/>
    <n v="0"/>
    <n v="0"/>
  </r>
  <r>
    <n v="2"/>
    <n v="2"/>
    <x v="0"/>
    <x v="0"/>
    <s v="nontarget"/>
    <s v="Stim6_Set2"/>
    <m/>
    <x v="0"/>
    <n v="1"/>
    <n v="0"/>
  </r>
  <r>
    <n v="2"/>
    <n v="1"/>
    <x v="1"/>
    <x v="1"/>
    <s v="switch"/>
    <s v="Stim6_Set2"/>
    <m/>
    <x v="1"/>
    <n v="0"/>
    <n v="0"/>
  </r>
  <r>
    <n v="3"/>
    <n v="1"/>
    <x v="1"/>
    <x v="2"/>
    <s v="filler"/>
    <s v="Stim5_Set2"/>
    <m/>
    <x v="0"/>
    <n v="0"/>
    <n v="1"/>
  </r>
  <r>
    <n v="3"/>
    <n v="1"/>
    <x v="1"/>
    <x v="0"/>
    <s v="nontarget"/>
    <s v="Stim6_Set3"/>
    <m/>
    <x v="0"/>
    <n v="1"/>
    <n v="0"/>
  </r>
  <r>
    <n v="3"/>
    <n v="2"/>
    <x v="0"/>
    <x v="1"/>
    <s v="switch"/>
    <s v="Stim6_Set3"/>
    <m/>
    <x v="1"/>
    <n v="0"/>
    <n v="0"/>
  </r>
  <r>
    <n v="3"/>
    <n v="2"/>
    <x v="0"/>
    <x v="2"/>
    <s v="filler"/>
    <s v="Stim3_Set2"/>
    <m/>
    <x v="0"/>
    <n v="0"/>
    <n v="1"/>
  </r>
  <r>
    <n v="3"/>
    <n v="2"/>
    <x v="0"/>
    <x v="0"/>
    <s v="nontarget"/>
    <s v="Stim4_Set3"/>
    <m/>
    <x v="0"/>
    <n v="1"/>
    <n v="0"/>
  </r>
  <r>
    <n v="3"/>
    <n v="1"/>
    <x v="1"/>
    <x v="1"/>
    <s v="switch"/>
    <s v="Stim4_Set3"/>
    <m/>
    <x v="1"/>
    <n v="0"/>
    <n v="0"/>
  </r>
  <r>
    <n v="3"/>
    <n v="1"/>
    <x v="1"/>
    <x v="2"/>
    <s v="filler"/>
    <m/>
    <s v="here"/>
    <x v="0"/>
    <n v="0"/>
    <n v="1"/>
  </r>
  <r>
    <n v="3"/>
    <n v="1"/>
    <x v="1"/>
    <x v="0"/>
    <s v="nontarget"/>
    <s v="Stim8_Set3"/>
    <m/>
    <x v="0"/>
    <n v="1"/>
    <n v="0"/>
  </r>
  <r>
    <n v="3"/>
    <n v="2"/>
    <x v="0"/>
    <x v="1"/>
    <s v="switch"/>
    <s v="Stim8_Set3"/>
    <m/>
    <x v="1"/>
    <n v="0"/>
    <n v="0"/>
  </r>
  <r>
    <n v="3"/>
    <n v="1"/>
    <x v="1"/>
    <x v="2"/>
    <s v="filler"/>
    <s v="Stim1_Set2"/>
    <m/>
    <x v="1"/>
    <n v="0"/>
    <n v="1"/>
  </r>
  <r>
    <n v="3"/>
    <n v="2"/>
    <x v="0"/>
    <x v="0"/>
    <s v="nontarget"/>
    <s v="Stim7_Set3"/>
    <m/>
    <x v="1"/>
    <n v="1"/>
    <n v="0"/>
  </r>
  <r>
    <n v="3"/>
    <n v="2"/>
    <x v="0"/>
    <x v="1"/>
    <s v="repeat"/>
    <s v="Stim7_Set3"/>
    <m/>
    <x v="0"/>
    <n v="0"/>
    <n v="0"/>
  </r>
  <r>
    <n v="3"/>
    <n v="2"/>
    <x v="0"/>
    <x v="2"/>
    <s v="filler"/>
    <s v="Stim2_Set2"/>
    <m/>
    <x v="1"/>
    <n v="0"/>
    <n v="0"/>
  </r>
  <r>
    <n v="3"/>
    <n v="1"/>
    <x v="1"/>
    <x v="2"/>
    <s v="filler"/>
    <s v="Stim7_Set2"/>
    <m/>
    <x v="1"/>
    <n v="0"/>
    <n v="1"/>
  </r>
  <r>
    <n v="3"/>
    <n v="2"/>
    <x v="0"/>
    <x v="0"/>
    <s v="nontarget"/>
    <s v="Stim1_Set3"/>
    <m/>
    <x v="0"/>
    <n v="1"/>
    <n v="0"/>
  </r>
  <r>
    <n v="3"/>
    <n v="2"/>
    <x v="0"/>
    <x v="1"/>
    <s v="repeat"/>
    <s v="Stim1_Set3"/>
    <m/>
    <x v="0"/>
    <n v="0"/>
    <n v="0"/>
  </r>
  <r>
    <n v="3"/>
    <n v="2"/>
    <x v="0"/>
    <x v="0"/>
    <s v="nontarget"/>
    <s v="Stim3_Set3"/>
    <m/>
    <x v="0"/>
    <n v="1"/>
    <n v="1"/>
  </r>
  <r>
    <n v="3"/>
    <n v="1"/>
    <x v="1"/>
    <x v="1"/>
    <s v="switch"/>
    <s v="Stim3_Set3"/>
    <m/>
    <x v="1"/>
    <n v="0"/>
    <n v="0"/>
  </r>
  <r>
    <n v="3"/>
    <n v="2"/>
    <x v="0"/>
    <x v="2"/>
    <s v="filler"/>
    <s v="Stim4_Set2"/>
    <m/>
    <x v="1"/>
    <n v="0"/>
    <n v="1"/>
  </r>
  <r>
    <n v="3"/>
    <n v="1"/>
    <x v="1"/>
    <x v="2"/>
    <s v="filler"/>
    <m/>
    <s v="here"/>
    <x v="1"/>
    <n v="0"/>
    <n v="0"/>
  </r>
  <r>
    <n v="3"/>
    <n v="1"/>
    <x v="1"/>
    <x v="0"/>
    <s v="nontarget"/>
    <s v="Stim5_Set3"/>
    <m/>
    <x v="0"/>
    <n v="1"/>
    <n v="0"/>
  </r>
  <r>
    <n v="3"/>
    <n v="1"/>
    <x v="1"/>
    <x v="1"/>
    <s v="repeat"/>
    <s v="Stim5_Set3"/>
    <m/>
    <x v="0"/>
    <n v="0"/>
    <n v="0"/>
  </r>
  <r>
    <n v="3"/>
    <n v="2"/>
    <x v="0"/>
    <x v="2"/>
    <s v="filler"/>
    <s v="Stim8_Set2"/>
    <m/>
    <x v="1"/>
    <n v="0"/>
    <n v="1"/>
  </r>
  <r>
    <n v="3"/>
    <n v="1"/>
    <x v="1"/>
    <x v="0"/>
    <s v="nontarget"/>
    <s v="Stim2_Set3"/>
    <m/>
    <x v="1"/>
    <n v="1"/>
    <n v="0"/>
  </r>
  <r>
    <n v="3"/>
    <n v="1"/>
    <x v="1"/>
    <x v="1"/>
    <s v="repeat"/>
    <s v="Stim2_Set3"/>
    <m/>
    <x v="0"/>
    <n v="0"/>
    <n v="0"/>
  </r>
  <r>
    <n v="3"/>
    <n v="1"/>
    <x v="1"/>
    <x v="2"/>
    <s v="filler"/>
    <s v="Stim6_Set2"/>
    <m/>
    <x v="0"/>
    <n v="0"/>
    <n v="1"/>
  </r>
  <r>
    <n v="4"/>
    <n v="2"/>
    <x v="0"/>
    <x v="2"/>
    <s v="filler"/>
    <s v="Stim6_Set3"/>
    <m/>
    <x v="1"/>
    <n v="0"/>
    <n v="0"/>
  </r>
  <r>
    <n v="4"/>
    <n v="1"/>
    <x v="1"/>
    <x v="0"/>
    <s v="nontarget"/>
    <s v="Stim3_Set4"/>
    <m/>
    <x v="1"/>
    <n v="1"/>
    <n v="0"/>
  </r>
  <r>
    <n v="4"/>
    <n v="1"/>
    <x v="1"/>
    <x v="1"/>
    <s v="repeat"/>
    <s v="Stim3_Set4"/>
    <m/>
    <x v="0"/>
    <n v="0"/>
    <n v="0"/>
  </r>
  <r>
    <n v="4"/>
    <n v="1"/>
    <x v="1"/>
    <x v="0"/>
    <s v="nontarget"/>
    <s v="Stim8_Set4"/>
    <m/>
    <x v="0"/>
    <n v="1"/>
    <n v="1"/>
  </r>
  <r>
    <n v="4"/>
    <n v="2"/>
    <x v="0"/>
    <x v="1"/>
    <s v="switch"/>
    <s v="Stim8_Set4"/>
    <m/>
    <x v="1"/>
    <n v="0"/>
    <n v="0"/>
  </r>
  <r>
    <n v="4"/>
    <n v="1"/>
    <x v="1"/>
    <x v="2"/>
    <s v="filler"/>
    <s v="Stim4_Set3"/>
    <m/>
    <x v="1"/>
    <n v="0"/>
    <n v="1"/>
  </r>
  <r>
    <n v="4"/>
    <n v="2"/>
    <x v="0"/>
    <x v="0"/>
    <s v="nontarget"/>
    <s v="Stim4_Set4"/>
    <m/>
    <x v="1"/>
    <n v="1"/>
    <n v="0"/>
  </r>
  <r>
    <n v="4"/>
    <n v="2"/>
    <x v="0"/>
    <x v="1"/>
    <s v="repeat"/>
    <s v="Stim4_Set4"/>
    <m/>
    <x v="0"/>
    <n v="0"/>
    <n v="0"/>
  </r>
  <r>
    <n v="4"/>
    <n v="2"/>
    <x v="0"/>
    <x v="0"/>
    <s v="nontarget"/>
    <s v="Stim2_Set4"/>
    <m/>
    <x v="0"/>
    <n v="1"/>
    <n v="1"/>
  </r>
  <r>
    <n v="4"/>
    <n v="1"/>
    <x v="1"/>
    <x v="1"/>
    <s v="switch"/>
    <s v="Stim2_Set4"/>
    <m/>
    <x v="1"/>
    <n v="0"/>
    <n v="0"/>
  </r>
  <r>
    <n v="4"/>
    <n v="2"/>
    <x v="0"/>
    <x v="2"/>
    <s v="filler"/>
    <s v="Stim8_Set3"/>
    <m/>
    <x v="1"/>
    <n v="0"/>
    <n v="1"/>
  </r>
  <r>
    <n v="4"/>
    <n v="1"/>
    <x v="1"/>
    <x v="0"/>
    <s v="nontarget"/>
    <s v="Stim7_Set4"/>
    <m/>
    <x v="1"/>
    <n v="1"/>
    <n v="0"/>
  </r>
  <r>
    <n v="4"/>
    <n v="2"/>
    <x v="0"/>
    <x v="1"/>
    <s v="switch"/>
    <s v="Stim7_Set4"/>
    <m/>
    <x v="1"/>
    <n v="0"/>
    <n v="0"/>
  </r>
  <r>
    <n v="4"/>
    <n v="1"/>
    <x v="1"/>
    <x v="2"/>
    <s v="filler"/>
    <s v="Stim7_Set3"/>
    <m/>
    <x v="1"/>
    <n v="0"/>
    <n v="1"/>
  </r>
  <r>
    <n v="4"/>
    <n v="2"/>
    <x v="0"/>
    <x v="2"/>
    <s v="filler"/>
    <s v="Stim1_Set3"/>
    <m/>
    <x v="1"/>
    <n v="0"/>
    <n v="0"/>
  </r>
  <r>
    <n v="4"/>
    <n v="2"/>
    <x v="0"/>
    <x v="0"/>
    <s v="nontarget"/>
    <s v="Stim1_Set4"/>
    <m/>
    <x v="0"/>
    <n v="1"/>
    <n v="0"/>
  </r>
  <r>
    <n v="4"/>
    <n v="2"/>
    <x v="0"/>
    <x v="1"/>
    <s v="repeat"/>
    <s v="Stim1_Set4"/>
    <m/>
    <x v="0"/>
    <n v="0"/>
    <n v="0"/>
  </r>
  <r>
    <n v="4"/>
    <n v="1"/>
    <x v="1"/>
    <x v="2"/>
    <s v="filler"/>
    <s v="Stim3_Set3"/>
    <m/>
    <x v="1"/>
    <n v="0"/>
    <n v="1"/>
  </r>
  <r>
    <n v="4"/>
    <n v="2"/>
    <x v="0"/>
    <x v="2"/>
    <s v="filler"/>
    <s v="Stim5_Set3"/>
    <m/>
    <x v="1"/>
    <n v="0"/>
    <n v="0"/>
  </r>
  <r>
    <n v="4"/>
    <n v="2"/>
    <x v="0"/>
    <x v="0"/>
    <s v="nontarget"/>
    <s v="Stim6_Set4"/>
    <m/>
    <x v="0"/>
    <n v="1"/>
    <n v="0"/>
  </r>
  <r>
    <n v="4"/>
    <n v="1"/>
    <x v="1"/>
    <x v="1"/>
    <s v="switch"/>
    <s v="Stim6_Set4"/>
    <m/>
    <x v="1"/>
    <n v="0"/>
    <n v="0"/>
  </r>
  <r>
    <n v="4"/>
    <n v="1"/>
    <x v="1"/>
    <x v="0"/>
    <s v="nontarget"/>
    <s v="Stim5_Set4"/>
    <m/>
    <x v="0"/>
    <n v="1"/>
    <n v="1"/>
  </r>
  <r>
    <n v="4"/>
    <n v="1"/>
    <x v="1"/>
    <x v="1"/>
    <s v="repeat"/>
    <s v="Stim5_Set4"/>
    <m/>
    <x v="0"/>
    <n v="0"/>
    <n v="0"/>
  </r>
  <r>
    <n v="4"/>
    <n v="2"/>
    <x v="0"/>
    <x v="2"/>
    <s v="filler"/>
    <s v="Stim2_Set3"/>
    <m/>
    <x v="1"/>
    <n v="0"/>
    <n v="1"/>
  </r>
  <r>
    <s v="BREAK"/>
    <m/>
    <x v="2"/>
    <x v="3"/>
    <m/>
    <m/>
    <m/>
    <x v="1"/>
    <n v="0"/>
    <n v="0"/>
  </r>
  <r>
    <n v="1"/>
    <n v="2"/>
    <x v="0"/>
    <x v="2"/>
    <s v="filler"/>
    <s v="Stim4_Set4"/>
    <m/>
    <x v="1"/>
    <n v="0"/>
    <n v="0"/>
  </r>
  <r>
    <n v="1"/>
    <n v="2"/>
    <x v="0"/>
    <x v="0"/>
    <s v="nontarget"/>
    <s v="Stim7_Set1"/>
    <m/>
    <x v="0"/>
    <n v="1"/>
    <n v="0"/>
  </r>
  <r>
    <n v="1"/>
    <n v="2"/>
    <x v="0"/>
    <x v="1"/>
    <s v="repeat"/>
    <s v="Stim7_Set1"/>
    <m/>
    <x v="0"/>
    <n v="0"/>
    <n v="0"/>
  </r>
  <r>
    <n v="1"/>
    <n v="1"/>
    <x v="1"/>
    <x v="2"/>
    <s v="filler"/>
    <s v="Stim6_Set4"/>
    <m/>
    <x v="1"/>
    <n v="0"/>
    <n v="1"/>
  </r>
  <r>
    <n v="1"/>
    <n v="1"/>
    <x v="1"/>
    <x v="2"/>
    <s v="filler"/>
    <s v="Stim2_Set4"/>
    <m/>
    <x v="0"/>
    <n v="0"/>
    <n v="0"/>
  </r>
  <r>
    <n v="1"/>
    <n v="2"/>
    <x v="0"/>
    <x v="0"/>
    <s v="nontarget"/>
    <s v="Stim6_Set1"/>
    <m/>
    <x v="1"/>
    <n v="1"/>
    <n v="0"/>
  </r>
  <r>
    <n v="1"/>
    <n v="2"/>
    <x v="0"/>
    <x v="1"/>
    <s v="repeat"/>
    <s v="Stim6_Set1"/>
    <m/>
    <x v="0"/>
    <n v="0"/>
    <n v="0"/>
  </r>
  <r>
    <n v="1"/>
    <n v="2"/>
    <x v="0"/>
    <x v="0"/>
    <s v="nontarget"/>
    <s v="Stim8_Set1"/>
    <m/>
    <x v="0"/>
    <n v="1"/>
    <n v="1"/>
  </r>
  <r>
    <n v="1"/>
    <n v="1"/>
    <x v="1"/>
    <x v="1"/>
    <s v="switch"/>
    <s v="Stim8_Set1"/>
    <m/>
    <x v="1"/>
    <n v="0"/>
    <n v="0"/>
  </r>
  <r>
    <n v="1"/>
    <n v="1"/>
    <x v="1"/>
    <x v="2"/>
    <s v="filler"/>
    <s v="Stim5_Set4"/>
    <m/>
    <x v="0"/>
    <n v="0"/>
    <n v="1"/>
  </r>
  <r>
    <n v="1"/>
    <n v="1"/>
    <x v="1"/>
    <x v="0"/>
    <s v="nontarget"/>
    <s v="Stim1_Set1"/>
    <m/>
    <x v="0"/>
    <n v="1"/>
    <n v="0"/>
  </r>
  <r>
    <n v="1"/>
    <n v="2"/>
    <x v="0"/>
    <x v="1"/>
    <s v="switch"/>
    <s v="Stim1_Set1"/>
    <m/>
    <x v="1"/>
    <n v="0"/>
    <n v="0"/>
  </r>
  <r>
    <n v="1"/>
    <n v="2"/>
    <x v="0"/>
    <x v="0"/>
    <s v="nontarget"/>
    <s v="Stim4_Set1"/>
    <m/>
    <x v="0"/>
    <n v="1"/>
    <n v="1"/>
  </r>
  <r>
    <n v="1"/>
    <n v="1"/>
    <x v="1"/>
    <x v="1"/>
    <s v="switch"/>
    <s v="Stim4_Set1"/>
    <m/>
    <x v="1"/>
    <n v="0"/>
    <n v="0"/>
  </r>
  <r>
    <n v="1"/>
    <n v="1"/>
    <x v="1"/>
    <x v="2"/>
    <s v="filler"/>
    <s v="Stim1_Set4"/>
    <m/>
    <x v="0"/>
    <n v="0"/>
    <n v="1"/>
  </r>
  <r>
    <n v="1"/>
    <n v="2"/>
    <x v="0"/>
    <x v="2"/>
    <s v="filler"/>
    <s v="Stim8_Set4"/>
    <m/>
    <x v="1"/>
    <n v="0"/>
    <n v="0"/>
  </r>
  <r>
    <n v="1"/>
    <n v="1"/>
    <x v="1"/>
    <x v="0"/>
    <s v="nontarget"/>
    <s v="Stim2_Set1"/>
    <m/>
    <x v="1"/>
    <n v="1"/>
    <n v="0"/>
  </r>
  <r>
    <n v="1"/>
    <n v="1"/>
    <x v="1"/>
    <x v="1"/>
    <s v="repeat"/>
    <s v="Stim2_Set1"/>
    <m/>
    <x v="0"/>
    <n v="0"/>
    <n v="0"/>
  </r>
  <r>
    <n v="1"/>
    <n v="1"/>
    <x v="1"/>
    <x v="2"/>
    <s v="filler"/>
    <s v="Stim3_Set4"/>
    <m/>
    <x v="0"/>
    <n v="0"/>
    <n v="1"/>
  </r>
  <r>
    <n v="1"/>
    <n v="2"/>
    <x v="0"/>
    <x v="2"/>
    <s v="filler"/>
    <s v="Stim7_Set4"/>
    <m/>
    <x v="1"/>
    <n v="0"/>
    <n v="0"/>
  </r>
  <r>
    <n v="1"/>
    <n v="1"/>
    <x v="1"/>
    <x v="0"/>
    <s v="nontarget"/>
    <s v="Stim3_Set1"/>
    <m/>
    <x v="1"/>
    <n v="1"/>
    <n v="0"/>
  </r>
  <r>
    <n v="1"/>
    <n v="1"/>
    <x v="1"/>
    <x v="1"/>
    <s v="repeat"/>
    <s v="Stim3_Set1"/>
    <m/>
    <x v="0"/>
    <n v="0"/>
    <n v="0"/>
  </r>
  <r>
    <n v="1"/>
    <n v="1"/>
    <x v="1"/>
    <x v="0"/>
    <s v="nontarget"/>
    <s v="Stim5_Set1"/>
    <m/>
    <x v="0"/>
    <n v="1"/>
    <n v="1"/>
  </r>
  <r>
    <n v="1"/>
    <n v="2"/>
    <x v="0"/>
    <x v="1"/>
    <s v="switch"/>
    <s v="Stim5_Set1"/>
    <m/>
    <x v="1"/>
    <n v="0"/>
    <n v="0"/>
  </r>
  <r>
    <n v="2"/>
    <n v="2"/>
    <x v="0"/>
    <x v="2"/>
    <s v="filler"/>
    <s v="Stim7_Set1"/>
    <m/>
    <x v="0"/>
    <n v="0"/>
    <n v="1"/>
  </r>
  <r>
    <n v="2"/>
    <n v="1"/>
    <x v="1"/>
    <x v="2"/>
    <s v="filler"/>
    <s v="Stim3_Set1"/>
    <m/>
    <x v="1"/>
    <n v="0"/>
    <n v="0"/>
  </r>
  <r>
    <n v="2"/>
    <n v="1"/>
    <x v="1"/>
    <x v="0"/>
    <s v="nontarget"/>
    <s v="Stim7_Set2"/>
    <m/>
    <x v="0"/>
    <n v="1"/>
    <n v="0"/>
  </r>
  <r>
    <n v="2"/>
    <n v="1"/>
    <x v="1"/>
    <x v="1"/>
    <s v="repeat"/>
    <s v="Stim7_Set2"/>
    <m/>
    <x v="0"/>
    <n v="0"/>
    <n v="0"/>
  </r>
  <r>
    <n v="2"/>
    <n v="2"/>
    <x v="0"/>
    <x v="2"/>
    <s v="filler"/>
    <s v="Stim6_Set1"/>
    <m/>
    <x v="1"/>
    <n v="0"/>
    <n v="1"/>
  </r>
  <r>
    <n v="2"/>
    <n v="1"/>
    <x v="1"/>
    <x v="0"/>
    <s v="nontarget"/>
    <s v="Stim6_Set2"/>
    <m/>
    <x v="1"/>
    <n v="1"/>
    <n v="0"/>
  </r>
  <r>
    <n v="2"/>
    <n v="1"/>
    <x v="1"/>
    <x v="1"/>
    <s v="repeat"/>
    <s v="Stim6_Set2"/>
    <m/>
    <x v="0"/>
    <n v="0"/>
    <n v="0"/>
  </r>
  <r>
    <n v="2"/>
    <n v="1"/>
    <x v="1"/>
    <x v="0"/>
    <s v="nontarget"/>
    <s v="Stim4_Set2"/>
    <m/>
    <x v="0"/>
    <n v="1"/>
    <n v="1"/>
  </r>
  <r>
    <n v="2"/>
    <n v="2"/>
    <x v="0"/>
    <x v="1"/>
    <s v="switch"/>
    <s v="Stim4_Set2"/>
    <m/>
    <x v="1"/>
    <n v="0"/>
    <n v="0"/>
  </r>
  <r>
    <n v="2"/>
    <n v="2"/>
    <x v="0"/>
    <x v="2"/>
    <s v="filler"/>
    <s v="Stim8_Set1"/>
    <m/>
    <x v="0"/>
    <n v="0"/>
    <n v="1"/>
  </r>
  <r>
    <n v="2"/>
    <n v="2"/>
    <x v="0"/>
    <x v="0"/>
    <s v="nontarget"/>
    <s v="Stim5_Set2"/>
    <m/>
    <x v="0"/>
    <n v="1"/>
    <n v="0"/>
  </r>
  <r>
    <n v="2"/>
    <n v="1"/>
    <x v="1"/>
    <x v="1"/>
    <s v="switch"/>
    <s v="Stim5_Set2"/>
    <m/>
    <x v="1"/>
    <n v="0"/>
    <n v="0"/>
  </r>
  <r>
    <n v="2"/>
    <n v="1"/>
    <x v="1"/>
    <x v="2"/>
    <s v="filler"/>
    <s v="Stim1_Set1"/>
    <m/>
    <x v="0"/>
    <n v="0"/>
    <n v="1"/>
  </r>
  <r>
    <n v="2"/>
    <n v="1"/>
    <x v="1"/>
    <x v="0"/>
    <s v="nontarget"/>
    <s v="Stim8_Set2"/>
    <m/>
    <x v="0"/>
    <n v="1"/>
    <n v="0"/>
  </r>
  <r>
    <n v="2"/>
    <n v="2"/>
    <x v="0"/>
    <x v="1"/>
    <s v="switch"/>
    <s v="Stim8_Set2"/>
    <m/>
    <x v="1"/>
    <n v="0"/>
    <n v="0"/>
  </r>
  <r>
    <n v="2"/>
    <n v="1"/>
    <x v="1"/>
    <x v="2"/>
    <s v="filler"/>
    <s v="Stim4_Set1"/>
    <m/>
    <x v="1"/>
    <n v="0"/>
    <n v="1"/>
  </r>
  <r>
    <n v="2"/>
    <n v="2"/>
    <x v="0"/>
    <x v="0"/>
    <s v="nontarget"/>
    <s v="Stim2_Set2"/>
    <m/>
    <x v="1"/>
    <n v="1"/>
    <n v="0"/>
  </r>
  <r>
    <n v="2"/>
    <n v="2"/>
    <x v="0"/>
    <x v="1"/>
    <s v="repeat"/>
    <s v="Stim2_Set2"/>
    <m/>
    <x v="0"/>
    <n v="0"/>
    <n v="0"/>
  </r>
  <r>
    <n v="2"/>
    <n v="1"/>
    <x v="1"/>
    <x v="2"/>
    <s v="filler"/>
    <s v="Stim2_Set1"/>
    <m/>
    <x v="1"/>
    <n v="0"/>
    <n v="1"/>
  </r>
  <r>
    <n v="2"/>
    <n v="2"/>
    <x v="0"/>
    <x v="0"/>
    <s v="nontarget"/>
    <s v="Stim1_Set2"/>
    <m/>
    <x v="1"/>
    <n v="1"/>
    <n v="0"/>
  </r>
  <r>
    <n v="2"/>
    <n v="2"/>
    <x v="0"/>
    <x v="1"/>
    <s v="repeat"/>
    <s v="Stim1_Set2"/>
    <m/>
    <x v="0"/>
    <n v="0"/>
    <n v="0"/>
  </r>
  <r>
    <n v="2"/>
    <n v="2"/>
    <x v="0"/>
    <x v="2"/>
    <s v="filler"/>
    <s v="Stim5_Set1"/>
    <m/>
    <x v="0"/>
    <n v="0"/>
    <n v="1"/>
  </r>
  <r>
    <n v="2"/>
    <n v="2"/>
    <x v="0"/>
    <x v="0"/>
    <s v="nontarget"/>
    <s v="Stim3_Set2"/>
    <m/>
    <x v="0"/>
    <n v="1"/>
    <n v="0"/>
  </r>
  <r>
    <n v="2"/>
    <n v="1"/>
    <x v="1"/>
    <x v="1"/>
    <s v="switch"/>
    <s v="Stim3_Set2"/>
    <m/>
    <x v="1"/>
    <n v="0"/>
    <n v="0"/>
  </r>
  <r>
    <n v="3"/>
    <n v="1"/>
    <x v="1"/>
    <x v="2"/>
    <s v="filler"/>
    <s v="Stim7_Set2"/>
    <m/>
    <x v="0"/>
    <n v="0"/>
    <n v="1"/>
  </r>
  <r>
    <n v="3"/>
    <n v="1"/>
    <x v="1"/>
    <x v="0"/>
    <s v="nontarget"/>
    <s v="Stim4_Set3"/>
    <m/>
    <x v="0"/>
    <n v="1"/>
    <n v="0"/>
  </r>
  <r>
    <n v="3"/>
    <n v="2"/>
    <x v="0"/>
    <x v="1"/>
    <s v="switch"/>
    <s v="Stim4_Set3"/>
    <m/>
    <x v="1"/>
    <n v="0"/>
    <n v="0"/>
  </r>
  <r>
    <n v="3"/>
    <n v="2"/>
    <x v="0"/>
    <x v="2"/>
    <s v="filler"/>
    <s v="Stim6_Set2"/>
    <m/>
    <x v="0"/>
    <n v="0"/>
    <n v="1"/>
  </r>
  <r>
    <n v="3"/>
    <n v="2"/>
    <x v="0"/>
    <x v="0"/>
    <s v="nontarget"/>
    <s v="Stim7_Set3"/>
    <m/>
    <x v="0"/>
    <n v="1"/>
    <n v="0"/>
  </r>
  <r>
    <n v="3"/>
    <n v="1"/>
    <x v="1"/>
    <x v="1"/>
    <s v="switch"/>
    <s v="Stim7_Set3"/>
    <m/>
    <x v="1"/>
    <n v="0"/>
    <n v="0"/>
  </r>
  <r>
    <n v="3"/>
    <n v="1"/>
    <x v="1"/>
    <x v="0"/>
    <s v="nontarget"/>
    <s v="Stim2_Set3"/>
    <m/>
    <x v="0"/>
    <n v="1"/>
    <n v="1"/>
  </r>
  <r>
    <n v="3"/>
    <n v="2"/>
    <x v="0"/>
    <x v="1"/>
    <s v="switch"/>
    <s v="Stim2_Set3"/>
    <m/>
    <x v="1"/>
    <n v="0"/>
    <n v="0"/>
  </r>
  <r>
    <n v="3"/>
    <n v="2"/>
    <x v="0"/>
    <x v="2"/>
    <s v="filler"/>
    <s v="Stim4_Set2"/>
    <m/>
    <x v="0"/>
    <n v="0"/>
    <n v="1"/>
  </r>
  <r>
    <n v="3"/>
    <n v="1"/>
    <x v="1"/>
    <x v="2"/>
    <s v="filler"/>
    <s v="Stim8_Set2"/>
    <m/>
    <x v="0"/>
    <n v="0"/>
    <n v="1"/>
  </r>
  <r>
    <n v="3"/>
    <n v="2"/>
    <x v="0"/>
    <x v="0"/>
    <s v="nontarget"/>
    <s v="Stim6_Set3"/>
    <m/>
    <x v="0"/>
    <n v="1"/>
    <n v="0"/>
  </r>
  <r>
    <n v="3"/>
    <n v="2"/>
    <x v="0"/>
    <x v="1"/>
    <s v="repeat"/>
    <s v="Stim6_Set3"/>
    <m/>
    <x v="0"/>
    <n v="0"/>
    <n v="0"/>
  </r>
  <r>
    <n v="3"/>
    <n v="1"/>
    <x v="1"/>
    <x v="2"/>
    <s v="filler"/>
    <s v="Stim2_Set2"/>
    <m/>
    <x v="1"/>
    <n v="0"/>
    <n v="1"/>
  </r>
  <r>
    <n v="3"/>
    <n v="2"/>
    <x v="0"/>
    <x v="0"/>
    <s v="nontarget"/>
    <s v="Stim8_Set3"/>
    <m/>
    <x v="1"/>
    <n v="1"/>
    <n v="0"/>
  </r>
  <r>
    <n v="3"/>
    <n v="2"/>
    <x v="0"/>
    <x v="1"/>
    <s v="repeat"/>
    <s v="Stim8_Set3"/>
    <m/>
    <x v="0"/>
    <n v="0"/>
    <n v="0"/>
  </r>
  <r>
    <n v="3"/>
    <n v="2"/>
    <x v="0"/>
    <x v="0"/>
    <s v="nontarget"/>
    <s v="Stim5_Set3"/>
    <m/>
    <x v="0"/>
    <n v="1"/>
    <n v="1"/>
  </r>
  <r>
    <n v="3"/>
    <n v="1"/>
    <x v="1"/>
    <x v="1"/>
    <s v="switch"/>
    <s v="Stim5_Set3"/>
    <m/>
    <x v="1"/>
    <n v="0"/>
    <n v="0"/>
  </r>
  <r>
    <n v="3"/>
    <n v="2"/>
    <x v="0"/>
    <x v="2"/>
    <s v="filler"/>
    <m/>
    <s v="here"/>
    <x v="1"/>
    <n v="0"/>
    <n v="1"/>
  </r>
  <r>
    <n v="3"/>
    <n v="1"/>
    <x v="1"/>
    <x v="2"/>
    <s v="filler"/>
    <s v="Stim5_Set2"/>
    <m/>
    <x v="0"/>
    <n v="0"/>
    <n v="0"/>
  </r>
  <r>
    <n v="3"/>
    <n v="1"/>
    <x v="1"/>
    <x v="0"/>
    <s v="nontarget"/>
    <s v="Stim3_Set3"/>
    <m/>
    <x v="0"/>
    <n v="1"/>
    <n v="0"/>
  </r>
  <r>
    <n v="3"/>
    <n v="1"/>
    <x v="1"/>
    <x v="1"/>
    <s v="repeat"/>
    <s v="Stim3_Set3"/>
    <m/>
    <x v="0"/>
    <n v="0"/>
    <n v="0"/>
  </r>
  <r>
    <n v="3"/>
    <n v="2"/>
    <x v="0"/>
    <x v="2"/>
    <s v="filler"/>
    <s v="Stim3_Set2"/>
    <m/>
    <x v="1"/>
    <n v="0"/>
    <n v="1"/>
  </r>
  <r>
    <n v="3"/>
    <n v="1"/>
    <x v="1"/>
    <x v="0"/>
    <s v="nontarget"/>
    <s v="Stim1_Set3"/>
    <m/>
    <x v="1"/>
    <n v="1"/>
    <n v="0"/>
  </r>
  <r>
    <n v="3"/>
    <n v="1"/>
    <x v="1"/>
    <x v="1"/>
    <s v="repeat"/>
    <s v="Stim1_Set3"/>
    <m/>
    <x v="0"/>
    <n v="0"/>
    <n v="0"/>
  </r>
  <r>
    <n v="3"/>
    <n v="2"/>
    <x v="0"/>
    <x v="2"/>
    <s v="filler"/>
    <s v="Stim1_Set2"/>
    <m/>
    <x v="1"/>
    <n v="0"/>
    <n v="1"/>
  </r>
  <r>
    <n v="4"/>
    <n v="1"/>
    <x v="1"/>
    <x v="0"/>
    <s v="nontarget"/>
    <s v="Stim4_Set4"/>
    <m/>
    <x v="1"/>
    <n v="1"/>
    <n v="0"/>
  </r>
  <r>
    <n v="4"/>
    <n v="1"/>
    <x v="1"/>
    <x v="1"/>
    <s v="repeat"/>
    <s v="Stim4_Set4"/>
    <m/>
    <x v="0"/>
    <n v="0"/>
    <n v="0"/>
  </r>
  <r>
    <n v="4"/>
    <n v="2"/>
    <x v="0"/>
    <x v="2"/>
    <s v="filler"/>
    <s v="Stim4_Set3"/>
    <m/>
    <x v="1"/>
    <n v="0"/>
    <n v="1"/>
  </r>
  <r>
    <n v="4"/>
    <n v="1"/>
    <x v="1"/>
    <x v="0"/>
    <s v="nontarget"/>
    <s v="Stim6_Set4"/>
    <m/>
    <x v="1"/>
    <n v="1"/>
    <n v="0"/>
  </r>
  <r>
    <n v="4"/>
    <n v="2"/>
    <x v="0"/>
    <x v="1"/>
    <s v="switch"/>
    <s v="Stim6_Set4"/>
    <m/>
    <x v="1"/>
    <n v="0"/>
    <n v="0"/>
  </r>
  <r>
    <n v="4"/>
    <n v="2"/>
    <x v="0"/>
    <x v="0"/>
    <s v="nontarget"/>
    <s v="Stim2_Set4"/>
    <m/>
    <x v="0"/>
    <n v="1"/>
    <n v="1"/>
  </r>
  <r>
    <n v="4"/>
    <n v="2"/>
    <x v="0"/>
    <x v="1"/>
    <s v="repeat"/>
    <s v="Stim2_Set4"/>
    <m/>
    <x v="0"/>
    <n v="0"/>
    <n v="0"/>
  </r>
  <r>
    <n v="4"/>
    <n v="1"/>
    <x v="1"/>
    <x v="2"/>
    <s v="filler"/>
    <s v="Stim7_Set3"/>
    <m/>
    <x v="1"/>
    <n v="0"/>
    <n v="1"/>
  </r>
  <r>
    <n v="4"/>
    <n v="2"/>
    <x v="0"/>
    <x v="2"/>
    <s v="filler"/>
    <s v="Stim2_Set3"/>
    <m/>
    <x v="1"/>
    <n v="0"/>
    <n v="0"/>
  </r>
  <r>
    <n v="4"/>
    <n v="2"/>
    <x v="0"/>
    <x v="0"/>
    <s v="nontarget"/>
    <s v="Stim5_Set4"/>
    <m/>
    <x v="0"/>
    <n v="1"/>
    <n v="0"/>
  </r>
  <r>
    <n v="4"/>
    <n v="1"/>
    <x v="1"/>
    <x v="1"/>
    <s v="switch"/>
    <s v="Stim5_Set4"/>
    <m/>
    <x v="1"/>
    <n v="0"/>
    <n v="0"/>
  </r>
  <r>
    <n v="4"/>
    <n v="1"/>
    <x v="1"/>
    <x v="0"/>
    <s v="nontarget"/>
    <s v="Stim1_Set4"/>
    <m/>
    <x v="0"/>
    <n v="1"/>
    <n v="1"/>
  </r>
  <r>
    <n v="4"/>
    <n v="2"/>
    <x v="0"/>
    <x v="1"/>
    <s v="switch"/>
    <s v="Stim1_Set4"/>
    <m/>
    <x v="1"/>
    <n v="0"/>
    <n v="0"/>
  </r>
  <r>
    <n v="4"/>
    <n v="1"/>
    <x v="1"/>
    <x v="2"/>
    <s v="filler"/>
    <s v="Stim6_Set3"/>
    <m/>
    <x v="1"/>
    <n v="0"/>
    <n v="1"/>
  </r>
  <r>
    <n v="4"/>
    <n v="2"/>
    <x v="0"/>
    <x v="0"/>
    <s v="nontarget"/>
    <s v="Stim8_Set4"/>
    <m/>
    <x v="1"/>
    <n v="1"/>
    <n v="0"/>
  </r>
  <r>
    <n v="4"/>
    <n v="2"/>
    <x v="0"/>
    <x v="1"/>
    <s v="repeat"/>
    <s v="Stim8_Set4"/>
    <m/>
    <x v="0"/>
    <n v="0"/>
    <n v="0"/>
  </r>
  <r>
    <n v="4"/>
    <n v="1"/>
    <x v="1"/>
    <x v="2"/>
    <s v="filler"/>
    <s v="Stim8_Set3"/>
    <m/>
    <x v="1"/>
    <n v="0"/>
    <n v="1"/>
  </r>
  <r>
    <n v="4"/>
    <n v="2"/>
    <x v="0"/>
    <x v="2"/>
    <s v="filler"/>
    <s v="Stim1_Set3"/>
    <m/>
    <x v="1"/>
    <n v="0"/>
    <n v="0"/>
  </r>
  <r>
    <n v="4"/>
    <n v="2"/>
    <x v="0"/>
    <x v="0"/>
    <s v="nontarget"/>
    <s v="Stim3_Set4"/>
    <m/>
    <x v="0"/>
    <n v="1"/>
    <n v="0"/>
  </r>
  <r>
    <n v="4"/>
    <n v="1"/>
    <x v="1"/>
    <x v="1"/>
    <s v="switch"/>
    <s v="Stim3_Set4"/>
    <m/>
    <x v="1"/>
    <n v="0"/>
    <n v="0"/>
  </r>
  <r>
    <n v="4"/>
    <n v="2"/>
    <x v="0"/>
    <x v="2"/>
    <s v="filler"/>
    <s v="Stim5_Set3"/>
    <m/>
    <x v="1"/>
    <n v="0"/>
    <n v="1"/>
  </r>
  <r>
    <n v="4"/>
    <n v="1"/>
    <x v="1"/>
    <x v="2"/>
    <s v="filler"/>
    <s v="Stim3_Set3"/>
    <m/>
    <x v="1"/>
    <n v="0"/>
    <n v="0"/>
  </r>
  <r>
    <n v="4"/>
    <n v="1"/>
    <x v="1"/>
    <x v="0"/>
    <s v="nontarget"/>
    <s v="Stim7_Set4"/>
    <m/>
    <x v="0"/>
    <n v="1"/>
    <n v="0"/>
  </r>
  <r>
    <n v="4"/>
    <n v="1"/>
    <x v="1"/>
    <x v="1"/>
    <s v="repeat"/>
    <s v="Stim7_Set4"/>
    <m/>
    <x v="0"/>
    <n v="0"/>
    <n v="0"/>
  </r>
  <r>
    <s v="BREAK"/>
    <m/>
    <x v="2"/>
    <x v="3"/>
    <m/>
    <m/>
    <m/>
    <x v="1"/>
    <n v="0"/>
    <n v="1"/>
  </r>
  <r>
    <n v="1"/>
    <n v="2"/>
    <x v="0"/>
    <x v="2"/>
    <s v="filler"/>
    <s v="Stim6_Set4"/>
    <m/>
    <x v="1"/>
    <n v="0"/>
    <n v="0"/>
  </r>
  <r>
    <n v="1"/>
    <n v="2"/>
    <x v="0"/>
    <x v="0"/>
    <s v="nontarget"/>
    <s v="Stim5_Set1"/>
    <m/>
    <x v="0"/>
    <n v="1"/>
    <n v="0"/>
  </r>
  <r>
    <n v="1"/>
    <n v="2"/>
    <x v="0"/>
    <x v="1"/>
    <s v="repeat"/>
    <s v="Stim5_Set1"/>
    <m/>
    <x v="0"/>
    <n v="0"/>
    <n v="0"/>
  </r>
  <r>
    <n v="1"/>
    <n v="1"/>
    <x v="1"/>
    <x v="2"/>
    <s v="filler"/>
    <s v="Stim3_Set4"/>
    <m/>
    <x v="1"/>
    <n v="0"/>
    <n v="1"/>
  </r>
  <r>
    <n v="1"/>
    <n v="2"/>
    <x v="0"/>
    <x v="2"/>
    <s v="filler"/>
    <s v="Stim5_Set4"/>
    <m/>
    <x v="1"/>
    <n v="0"/>
    <n v="0"/>
  </r>
  <r>
    <n v="1"/>
    <n v="1"/>
    <x v="1"/>
    <x v="2"/>
    <s v="filler"/>
    <s v="Stim1_Set4"/>
    <m/>
    <x v="1"/>
    <n v="0"/>
    <n v="0"/>
  </r>
  <r>
    <n v="1"/>
    <n v="2"/>
    <x v="0"/>
    <x v="0"/>
    <s v="nontarget"/>
    <s v="Stim8_Set1"/>
    <m/>
    <x v="1"/>
    <n v="1"/>
    <n v="0"/>
  </r>
  <r>
    <n v="1"/>
    <n v="2"/>
    <x v="0"/>
    <x v="1"/>
    <s v="repeat"/>
    <s v="Stim8_Set1"/>
    <m/>
    <x v="0"/>
    <n v="0"/>
    <n v="0"/>
  </r>
  <r>
    <n v="1"/>
    <n v="1"/>
    <x v="1"/>
    <x v="2"/>
    <s v="filler"/>
    <s v="Stim8_Set4"/>
    <m/>
    <x v="1"/>
    <n v="0"/>
    <n v="1"/>
  </r>
  <r>
    <n v="1"/>
    <n v="2"/>
    <x v="0"/>
    <x v="0"/>
    <s v="nontarget"/>
    <s v="Stim7_Set1"/>
    <m/>
    <x v="1"/>
    <n v="1"/>
    <n v="0"/>
  </r>
  <r>
    <n v="1"/>
    <n v="1"/>
    <x v="1"/>
    <x v="1"/>
    <s v="switch"/>
    <s v="Stim7_Set1"/>
    <m/>
    <x v="1"/>
    <n v="0"/>
    <n v="0"/>
  </r>
  <r>
    <n v="1"/>
    <n v="1"/>
    <x v="1"/>
    <x v="2"/>
    <s v="filler"/>
    <s v="Stim4_Set4"/>
    <m/>
    <x v="0"/>
    <n v="0"/>
    <n v="1"/>
  </r>
  <r>
    <n v="1"/>
    <n v="1"/>
    <x v="1"/>
    <x v="0"/>
    <s v="nontarget"/>
    <s v="Stim3_Set1"/>
    <m/>
    <x v="0"/>
    <n v="1"/>
    <n v="0"/>
  </r>
  <r>
    <n v="1"/>
    <n v="2"/>
    <x v="0"/>
    <x v="1"/>
    <s v="switch"/>
    <s v="Stim3_Set1"/>
    <m/>
    <x v="1"/>
    <n v="0"/>
    <n v="0"/>
  </r>
  <r>
    <n v="1"/>
    <n v="2"/>
    <x v="0"/>
    <x v="0"/>
    <s v="nontarget"/>
    <s v="Stim2_Set1"/>
    <m/>
    <x v="0"/>
    <n v="1"/>
    <n v="1"/>
  </r>
  <r>
    <n v="1"/>
    <n v="1"/>
    <x v="1"/>
    <x v="1"/>
    <s v="switch"/>
    <s v="Stim2_Set1"/>
    <m/>
    <x v="1"/>
    <n v="0"/>
    <n v="0"/>
  </r>
  <r>
    <n v="1"/>
    <n v="2"/>
    <x v="0"/>
    <x v="2"/>
    <s v="filler"/>
    <s v="Stim7_Set4"/>
    <m/>
    <x v="1"/>
    <n v="0"/>
    <n v="1"/>
  </r>
  <r>
    <n v="1"/>
    <n v="1"/>
    <x v="1"/>
    <x v="0"/>
    <s v="nontarget"/>
    <s v="Stim4_Set1"/>
    <m/>
    <x v="1"/>
    <n v="1"/>
    <n v="0"/>
  </r>
  <r>
    <n v="1"/>
    <n v="1"/>
    <x v="1"/>
    <x v="1"/>
    <s v="repeat"/>
    <s v="Stim4_Set1"/>
    <m/>
    <x v="0"/>
    <n v="0"/>
    <n v="0"/>
  </r>
  <r>
    <n v="1"/>
    <n v="2"/>
    <x v="0"/>
    <x v="2"/>
    <s v="filler"/>
    <s v="Stim2_Set4"/>
    <m/>
    <x v="1"/>
    <n v="0"/>
    <n v="1"/>
  </r>
  <r>
    <n v="1"/>
    <n v="1"/>
    <x v="1"/>
    <x v="0"/>
    <s v="nontarget"/>
    <s v="Stim1_Set1"/>
    <m/>
    <x v="1"/>
    <n v="1"/>
    <n v="0"/>
  </r>
  <r>
    <n v="1"/>
    <n v="1"/>
    <x v="1"/>
    <x v="1"/>
    <s v="repeat"/>
    <s v="Stim1_Set1"/>
    <m/>
    <x v="0"/>
    <n v="0"/>
    <n v="0"/>
  </r>
  <r>
    <n v="1"/>
    <n v="1"/>
    <x v="1"/>
    <x v="0"/>
    <s v="nontarget"/>
    <s v="Stim6_Set1"/>
    <m/>
    <x v="0"/>
    <n v="1"/>
    <n v="1"/>
  </r>
  <r>
    <n v="1"/>
    <n v="2"/>
    <x v="0"/>
    <x v="1"/>
    <s v="switch"/>
    <s v="Stim6_Set1"/>
    <m/>
    <x v="1"/>
    <n v="0"/>
    <n v="0"/>
  </r>
  <r>
    <n v="2"/>
    <n v="1"/>
    <x v="1"/>
    <x v="0"/>
    <s v="nontarget"/>
    <s v="Stim8_Set2"/>
    <m/>
    <x v="1"/>
    <n v="1"/>
    <n v="1"/>
  </r>
  <r>
    <n v="2"/>
    <n v="1"/>
    <x v="1"/>
    <x v="1"/>
    <s v="repeat"/>
    <s v="Stim8_Set2"/>
    <m/>
    <x v="0"/>
    <n v="0"/>
    <n v="0"/>
  </r>
  <r>
    <n v="2"/>
    <n v="1"/>
    <x v="1"/>
    <x v="2"/>
    <s v="filler"/>
    <s v="Stim5_Set1"/>
    <m/>
    <x v="0"/>
    <n v="0"/>
    <n v="1"/>
  </r>
  <r>
    <n v="2"/>
    <n v="2"/>
    <x v="0"/>
    <x v="2"/>
    <s v="filler"/>
    <s v="Stim1_Set1"/>
    <m/>
    <x v="1"/>
    <n v="0"/>
    <n v="0"/>
  </r>
  <r>
    <n v="2"/>
    <n v="1"/>
    <x v="1"/>
    <x v="0"/>
    <s v="nontarget"/>
    <s v="Stim4_Set2"/>
    <m/>
    <x v="1"/>
    <n v="1"/>
    <n v="0"/>
  </r>
  <r>
    <n v="2"/>
    <n v="1"/>
    <x v="1"/>
    <x v="1"/>
    <s v="repeat"/>
    <s v="Stim4_Set2"/>
    <m/>
    <x v="0"/>
    <n v="0"/>
    <n v="0"/>
  </r>
  <r>
    <n v="2"/>
    <n v="1"/>
    <x v="1"/>
    <x v="2"/>
    <s v="filler"/>
    <s v="Stim8_Set1"/>
    <m/>
    <x v="0"/>
    <n v="0"/>
    <n v="1"/>
  </r>
  <r>
    <n v="2"/>
    <n v="2"/>
    <x v="0"/>
    <x v="3"/>
    <s v="filler"/>
    <m/>
    <s v="here"/>
    <x v="1"/>
    <n v="0"/>
    <n v="0"/>
  </r>
  <r>
    <n v="2"/>
    <n v="1"/>
    <x v="1"/>
    <x v="2"/>
    <s v="filler"/>
    <s v="Stim7_Set1"/>
    <m/>
    <x v="1"/>
    <n v="0"/>
    <n v="0"/>
  </r>
  <r>
    <n v="2"/>
    <n v="1"/>
    <x v="1"/>
    <x v="0"/>
    <s v="nontarget"/>
    <s v="Stim6_Set2"/>
    <m/>
    <x v="0"/>
    <n v="1"/>
    <n v="0"/>
  </r>
  <r>
    <n v="2"/>
    <n v="1"/>
    <x v="0"/>
    <x v="1"/>
    <s v="switch"/>
    <s v="Stim6_Set2"/>
    <m/>
    <x v="1"/>
    <n v="0"/>
    <n v="0"/>
  </r>
  <r>
    <n v="2"/>
    <n v="2"/>
    <x v="0"/>
    <x v="2"/>
    <s v="filler"/>
    <s v="Stim3_Set1"/>
    <m/>
    <x v="0"/>
    <n v="0"/>
    <n v="1"/>
  </r>
  <r>
    <n v="2"/>
    <n v="2"/>
    <x v="0"/>
    <x v="0"/>
    <s v="nontarget"/>
    <s v="Stim2_Set2"/>
    <m/>
    <x v="0"/>
    <n v="1"/>
    <n v="0"/>
  </r>
  <r>
    <n v="2"/>
    <n v="1"/>
    <x v="1"/>
    <x v="1"/>
    <s v="switch"/>
    <s v="Stim2_Set2"/>
    <m/>
    <x v="1"/>
    <n v="0"/>
    <n v="0"/>
  </r>
  <r>
    <n v="2"/>
    <n v="1"/>
    <x v="1"/>
    <x v="2"/>
    <s v="filler"/>
    <s v="Stim2_Set1"/>
    <m/>
    <x v="0"/>
    <n v="0"/>
    <n v="1"/>
  </r>
  <r>
    <n v="2"/>
    <n v="1"/>
    <x v="1"/>
    <x v="0"/>
    <s v="nontarget"/>
    <s v="Stim7_Set2"/>
    <m/>
    <x v="0"/>
    <n v="1"/>
    <n v="0"/>
  </r>
  <r>
    <n v="2"/>
    <n v="2"/>
    <x v="0"/>
    <x v="1"/>
    <s v="switch"/>
    <s v="Stim7_Set2"/>
    <m/>
    <x v="1"/>
    <n v="0"/>
    <n v="0"/>
  </r>
  <r>
    <n v="2"/>
    <n v="2"/>
    <x v="0"/>
    <x v="0"/>
    <s v="nontarget"/>
    <s v="Stim3_Set2"/>
    <m/>
    <x v="0"/>
    <n v="1"/>
    <n v="1"/>
  </r>
  <r>
    <n v="2"/>
    <n v="2"/>
    <x v="0"/>
    <x v="1"/>
    <s v="repeat"/>
    <s v="Stim3_Set2"/>
    <m/>
    <x v="0"/>
    <n v="0"/>
    <n v="0"/>
  </r>
  <r>
    <n v="2"/>
    <n v="1"/>
    <x v="1"/>
    <x v="2"/>
    <s v="filler"/>
    <s v="Stim4_Set1"/>
    <m/>
    <x v="1"/>
    <n v="0"/>
    <n v="1"/>
  </r>
  <r>
    <n v="2"/>
    <n v="2"/>
    <x v="0"/>
    <x v="0"/>
    <s v="nontarget"/>
    <s v="Stim5_Set2"/>
    <m/>
    <x v="1"/>
    <n v="1"/>
    <n v="0"/>
  </r>
  <r>
    <n v="2"/>
    <n v="2"/>
    <x v="0"/>
    <x v="1"/>
    <s v="repeat"/>
    <s v="Stim5_Set2"/>
    <m/>
    <x v="0"/>
    <n v="0"/>
    <n v="0"/>
  </r>
  <r>
    <n v="2"/>
    <n v="2"/>
    <x v="0"/>
    <x v="2"/>
    <s v="filler"/>
    <s v="Stim6_Set1"/>
    <m/>
    <x v="0"/>
    <n v="0"/>
    <n v="1"/>
  </r>
  <r>
    <n v="2"/>
    <n v="2"/>
    <x v="0"/>
    <x v="0"/>
    <s v="nontarget"/>
    <s v="Stim1_Set2"/>
    <m/>
    <x v="0"/>
    <n v="0"/>
    <n v="0"/>
  </r>
  <r>
    <n v="2"/>
    <n v="1"/>
    <x v="1"/>
    <x v="1"/>
    <s v="switch"/>
    <s v="Stim1_Set2"/>
    <m/>
    <x v="1"/>
    <n v="0"/>
    <n v="0"/>
  </r>
  <r>
    <n v="3"/>
    <n v="1"/>
    <x v="1"/>
    <x v="0"/>
    <s v="nontarget"/>
    <s v="Stim5_Set3"/>
    <m/>
    <x v="1"/>
    <n v="1"/>
    <n v="0"/>
  </r>
  <r>
    <n v="3"/>
    <n v="2"/>
    <x v="0"/>
    <x v="1"/>
    <s v="switch"/>
    <s v="Stim5_Set3"/>
    <m/>
    <x v="1"/>
    <n v="0"/>
    <n v="0"/>
  </r>
  <r>
    <n v="3"/>
    <n v="2"/>
    <x v="0"/>
    <x v="2"/>
    <s v="filler"/>
    <s v="Stim8_Set2"/>
    <m/>
    <x v="0"/>
    <n v="0"/>
    <n v="1"/>
  </r>
  <r>
    <n v="3"/>
    <n v="2"/>
    <x v="0"/>
    <x v="0"/>
    <s v="nontarget"/>
    <s v="Stim1_Set3"/>
    <m/>
    <x v="0"/>
    <n v="1"/>
    <n v="0"/>
  </r>
  <r>
    <n v="3"/>
    <n v="1"/>
    <x v="1"/>
    <x v="1"/>
    <s v="switch"/>
    <s v="Stim1_Set3"/>
    <m/>
    <x v="1"/>
    <n v="0"/>
    <n v="0"/>
  </r>
  <r>
    <n v="3"/>
    <n v="1"/>
    <x v="1"/>
    <x v="2"/>
    <s v="filler"/>
    <s v="Stim4_Set2"/>
    <m/>
    <x v="0"/>
    <n v="0"/>
    <n v="1"/>
  </r>
  <r>
    <n v="3"/>
    <n v="1"/>
    <x v="1"/>
    <x v="0"/>
    <s v="nontarget"/>
    <s v="Stim7_Set3"/>
    <m/>
    <x v="0"/>
    <n v="1"/>
    <n v="0"/>
  </r>
  <r>
    <n v="3"/>
    <n v="2"/>
    <x v="0"/>
    <x v="1"/>
    <s v="switch"/>
    <s v="Stim7_Set3"/>
    <m/>
    <x v="1"/>
    <n v="0"/>
    <n v="0"/>
  </r>
  <r>
    <n v="3"/>
    <n v="1"/>
    <x v="1"/>
    <x v="2"/>
    <s v="filler"/>
    <s v="Stim6_Set2"/>
    <m/>
    <x v="1"/>
    <n v="0"/>
    <n v="1"/>
  </r>
  <r>
    <n v="3"/>
    <n v="2"/>
    <x v="0"/>
    <x v="0"/>
    <s v="nontarget"/>
    <s v="Stim3_Set3"/>
    <m/>
    <x v="1"/>
    <n v="1"/>
    <n v="0"/>
  </r>
  <r>
    <n v="3"/>
    <n v="2"/>
    <x v="0"/>
    <x v="1"/>
    <s v="repeat"/>
    <s v="Stim3_Set3"/>
    <m/>
    <x v="0"/>
    <n v="0"/>
    <n v="0"/>
  </r>
  <r>
    <n v="3"/>
    <n v="2"/>
    <x v="0"/>
    <x v="2"/>
    <s v="filler"/>
    <s v="Stim2_Set2"/>
    <m/>
    <x v="0"/>
    <n v="0"/>
    <n v="1"/>
  </r>
  <r>
    <n v="3"/>
    <n v="1"/>
    <x v="1"/>
    <x v="2"/>
    <s v="filler"/>
    <s v="Stim7_Set2"/>
    <m/>
    <x v="1"/>
    <n v="0"/>
    <n v="0"/>
  </r>
  <r>
    <n v="3"/>
    <n v="2"/>
    <x v="0"/>
    <x v="0"/>
    <s v="nontarget"/>
    <s v="Stim2_Set3"/>
    <m/>
    <x v="1"/>
    <n v="1"/>
    <n v="0"/>
  </r>
  <r>
    <n v="3"/>
    <n v="2"/>
    <x v="0"/>
    <x v="1"/>
    <s v="repeat"/>
    <s v="Stim2_Set3"/>
    <m/>
    <x v="0"/>
    <n v="0"/>
    <n v="0"/>
  </r>
  <r>
    <n v="3"/>
    <n v="2"/>
    <x v="0"/>
    <x v="0"/>
    <s v="nontarget"/>
    <s v="Stim8_Set3"/>
    <m/>
    <x v="0"/>
    <n v="1"/>
    <n v="1"/>
  </r>
  <r>
    <n v="3"/>
    <n v="1"/>
    <x v="1"/>
    <x v="1"/>
    <s v="switch"/>
    <s v="Stim8_Set3"/>
    <m/>
    <x v="1"/>
    <n v="0"/>
    <n v="0"/>
  </r>
  <r>
    <n v="3"/>
    <n v="1"/>
    <x v="1"/>
    <x v="2"/>
    <s v="filler"/>
    <s v="Stim3_Set2"/>
    <m/>
    <x v="0"/>
    <n v="0"/>
    <n v="1"/>
  </r>
  <r>
    <n v="3"/>
    <n v="2"/>
    <x v="0"/>
    <x v="2"/>
    <s v="filler"/>
    <m/>
    <s v="here"/>
    <x v="2"/>
    <n v="0"/>
    <n v="0"/>
  </r>
  <r>
    <n v="3"/>
    <n v="1"/>
    <x v="1"/>
    <x v="2"/>
    <s v="filler"/>
    <s v="Stim5_Set2"/>
    <m/>
    <x v="0"/>
    <n v="0"/>
    <n v="0"/>
  </r>
  <r>
    <n v="3"/>
    <n v="1"/>
    <x v="1"/>
    <x v="0"/>
    <s v="nontarget"/>
    <s v="Stim6_Set3"/>
    <m/>
    <x v="0"/>
    <n v="1"/>
    <n v="0"/>
  </r>
  <r>
    <n v="3"/>
    <n v="1"/>
    <x v="1"/>
    <x v="1"/>
    <s v="repeat"/>
    <s v="Stim6_Set3"/>
    <m/>
    <x v="0"/>
    <n v="0"/>
    <n v="0"/>
  </r>
  <r>
    <n v="3"/>
    <n v="2"/>
    <x v="0"/>
    <x v="2"/>
    <s v="filler"/>
    <s v="Stim1_Set2"/>
    <m/>
    <x v="1"/>
    <n v="0"/>
    <n v="1"/>
  </r>
  <r>
    <n v="3"/>
    <n v="1"/>
    <x v="1"/>
    <x v="0"/>
    <s v="nontarget"/>
    <s v="Stim4_Set3"/>
    <m/>
    <x v="1"/>
    <n v="1"/>
    <n v="0"/>
  </r>
  <r>
    <n v="3"/>
    <n v="1"/>
    <x v="1"/>
    <x v="1"/>
    <s v="repeat"/>
    <s v="Stim4_Set3"/>
    <m/>
    <x v="0"/>
    <n v="0"/>
    <n v="0"/>
  </r>
  <r>
    <n v="4"/>
    <n v="2"/>
    <x v="0"/>
    <x v="2"/>
    <s v="filler"/>
    <s v="Stim5_Set3"/>
    <m/>
    <x v="1"/>
    <n v="0"/>
    <n v="1"/>
  </r>
  <r>
    <n v="4"/>
    <n v="2"/>
    <x v="0"/>
    <x v="2"/>
    <s v="filler"/>
    <s v="Stim1_Set3"/>
    <m/>
    <x v="0"/>
    <n v="0"/>
    <n v="0"/>
  </r>
  <r>
    <n v="4"/>
    <n v="1"/>
    <x v="1"/>
    <x v="0"/>
    <s v="nontarget"/>
    <s v="Stim6_Set4"/>
    <m/>
    <x v="1"/>
    <n v="1"/>
    <n v="0"/>
  </r>
  <r>
    <n v="4"/>
    <n v="1"/>
    <x v="1"/>
    <x v="1"/>
    <s v="repeat"/>
    <s v="Stim6_Set4"/>
    <m/>
    <x v="0"/>
    <n v="0"/>
    <n v="0"/>
  </r>
  <r>
    <n v="4"/>
    <n v="1"/>
    <x v="1"/>
    <x v="0"/>
    <s v="nontarget"/>
    <s v="Stim3_Set4"/>
    <m/>
    <x v="0"/>
    <n v="1"/>
    <n v="1"/>
  </r>
  <r>
    <n v="4"/>
    <n v="2"/>
    <x v="0"/>
    <x v="1"/>
    <s v="switch"/>
    <s v="Stim3_Set4"/>
    <m/>
    <x v="1"/>
    <n v="0"/>
    <n v="0"/>
  </r>
  <r>
    <n v="4"/>
    <n v="1"/>
    <x v="1"/>
    <x v="2"/>
    <s v="filler"/>
    <s v="Stim7_Set3"/>
    <m/>
    <x v="1"/>
    <n v="0"/>
    <n v="1"/>
  </r>
  <r>
    <n v="4"/>
    <n v="2"/>
    <x v="0"/>
    <x v="0"/>
    <s v="nontarget"/>
    <s v="Stim5_Set4"/>
    <m/>
    <x v="1"/>
    <n v="1"/>
    <n v="0"/>
  </r>
  <r>
    <n v="4"/>
    <n v="2"/>
    <x v="0"/>
    <x v="1"/>
    <s v="repeat"/>
    <s v="Stim5_Set4"/>
    <m/>
    <x v="0"/>
    <n v="0"/>
    <n v="0"/>
  </r>
  <r>
    <n v="4"/>
    <n v="2"/>
    <x v="0"/>
    <x v="0"/>
    <s v="nontarget"/>
    <s v="Stim1_Set4"/>
    <m/>
    <x v="0"/>
    <n v="1"/>
    <n v="1"/>
  </r>
  <r>
    <n v="4"/>
    <n v="1"/>
    <x v="1"/>
    <x v="1"/>
    <s v="switch"/>
    <s v="Stim1_Set4"/>
    <m/>
    <x v="1"/>
    <n v="0"/>
    <n v="0"/>
  </r>
  <r>
    <n v="4"/>
    <n v="2"/>
    <x v="0"/>
    <x v="2"/>
    <s v="filler"/>
    <s v="Stim3_Set3"/>
    <m/>
    <x v="1"/>
    <n v="0"/>
    <n v="1"/>
  </r>
  <r>
    <n v="4"/>
    <n v="1"/>
    <x v="1"/>
    <x v="0"/>
    <s v="nontarget"/>
    <s v="Stim4_Set4"/>
    <m/>
    <x v="1"/>
    <n v="1"/>
    <n v="0"/>
  </r>
  <r>
    <n v="4"/>
    <n v="2"/>
    <x v="0"/>
    <x v="1"/>
    <s v="switch"/>
    <s v="Stim4_Set4"/>
    <m/>
    <x v="1"/>
    <n v="0"/>
    <n v="0"/>
  </r>
  <r>
    <n v="4"/>
    <n v="2"/>
    <x v="0"/>
    <x v="2"/>
    <s v="filler"/>
    <s v="Stim2_Set3"/>
    <m/>
    <x v="0"/>
    <n v="0"/>
    <n v="1"/>
  </r>
  <r>
    <n v="4"/>
    <n v="2"/>
    <x v="0"/>
    <x v="0"/>
    <s v="nontarget"/>
    <s v="Stim7_Set4"/>
    <m/>
    <x v="0"/>
    <n v="1"/>
    <n v="0"/>
  </r>
  <r>
    <n v="4"/>
    <n v="2"/>
    <x v="0"/>
    <x v="1"/>
    <s v="repeat"/>
    <s v="Stim7_Set4"/>
    <m/>
    <x v="0"/>
    <n v="0"/>
    <n v="0"/>
  </r>
  <r>
    <n v="4"/>
    <n v="1"/>
    <x v="1"/>
    <x v="2"/>
    <s v="filler"/>
    <s v="Stim8_Set3"/>
    <m/>
    <x v="1"/>
    <n v="0"/>
    <n v="1"/>
  </r>
  <r>
    <n v="4"/>
    <n v="2"/>
    <x v="0"/>
    <x v="2"/>
    <s v="filler"/>
    <s v="Stim6_Set3"/>
    <m/>
    <x v="1"/>
    <n v="0"/>
    <n v="0"/>
  </r>
  <r>
    <n v="4"/>
    <n v="2"/>
    <x v="0"/>
    <x v="0"/>
    <s v="nontarget"/>
    <s v="Stim8_Set4"/>
    <m/>
    <x v="0"/>
    <n v="1"/>
    <n v="0"/>
  </r>
  <r>
    <n v="4"/>
    <n v="1"/>
    <x v="1"/>
    <x v="1"/>
    <s v="switch"/>
    <s v="Stim8_Set4"/>
    <m/>
    <x v="1"/>
    <n v="0"/>
    <n v="0"/>
  </r>
  <r>
    <n v="4"/>
    <n v="1"/>
    <x v="1"/>
    <x v="2"/>
    <s v="filler"/>
    <s v="Stim4_Set3"/>
    <m/>
    <x v="0"/>
    <n v="0"/>
    <n v="1"/>
  </r>
  <r>
    <n v="4"/>
    <n v="1"/>
    <x v="1"/>
    <x v="0"/>
    <s v="nontarget"/>
    <s v="Stim2_Set4"/>
    <m/>
    <x v="0"/>
    <n v="1"/>
    <n v="0"/>
  </r>
  <r>
    <n v="4"/>
    <n v="1"/>
    <x v="1"/>
    <x v="1"/>
    <s v="repeat"/>
    <s v="Stim2_Set4"/>
    <m/>
    <x v="0"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n v="1"/>
    <n v="2"/>
    <x v="0"/>
    <x v="0"/>
    <x v="0"/>
    <x v="0"/>
    <m/>
    <n v="1"/>
    <n v="1"/>
    <n v="0"/>
  </r>
  <r>
    <n v="1"/>
    <n v="2"/>
    <x v="0"/>
    <x v="1"/>
    <x v="1"/>
    <x v="0"/>
    <m/>
    <n v="1"/>
    <n v="0"/>
    <n v="0"/>
  </r>
  <r>
    <n v="1"/>
    <n v="1"/>
    <x v="1"/>
    <x v="2"/>
    <x v="2"/>
    <x v="1"/>
    <m/>
    <n v="0"/>
    <n v="0"/>
    <n v="1"/>
  </r>
  <r>
    <n v="1"/>
    <n v="2"/>
    <x v="0"/>
    <x v="0"/>
    <x v="0"/>
    <x v="2"/>
    <m/>
    <n v="0"/>
    <n v="1"/>
    <n v="0"/>
  </r>
  <r>
    <n v="1"/>
    <n v="2"/>
    <x v="0"/>
    <x v="1"/>
    <x v="1"/>
    <x v="2"/>
    <m/>
    <n v="1"/>
    <n v="0"/>
    <n v="0"/>
  </r>
  <r>
    <n v="1"/>
    <n v="1"/>
    <x v="1"/>
    <x v="2"/>
    <x v="2"/>
    <x v="3"/>
    <m/>
    <n v="0"/>
    <n v="0"/>
    <n v="1"/>
  </r>
  <r>
    <n v="1"/>
    <n v="2"/>
    <x v="0"/>
    <x v="0"/>
    <x v="0"/>
    <x v="4"/>
    <m/>
    <n v="0"/>
    <n v="1"/>
    <n v="0"/>
  </r>
  <r>
    <n v="1"/>
    <n v="1"/>
    <x v="1"/>
    <x v="1"/>
    <x v="3"/>
    <x v="4"/>
    <m/>
    <n v="0"/>
    <n v="0"/>
    <n v="0"/>
  </r>
  <r>
    <n v="1"/>
    <n v="1"/>
    <x v="1"/>
    <x v="0"/>
    <x v="0"/>
    <x v="5"/>
    <m/>
    <n v="1"/>
    <n v="1"/>
    <n v="1"/>
  </r>
  <r>
    <n v="1"/>
    <n v="2"/>
    <x v="0"/>
    <x v="1"/>
    <x v="3"/>
    <x v="5"/>
    <m/>
    <n v="0"/>
    <n v="0"/>
    <n v="0"/>
  </r>
  <r>
    <n v="1"/>
    <n v="2"/>
    <x v="0"/>
    <x v="2"/>
    <x v="2"/>
    <x v="6"/>
    <m/>
    <n v="1"/>
    <n v="0"/>
    <n v="1"/>
  </r>
  <r>
    <n v="1"/>
    <n v="2"/>
    <x v="0"/>
    <x v="0"/>
    <x v="0"/>
    <x v="7"/>
    <m/>
    <n v="1"/>
    <n v="1"/>
    <n v="0"/>
  </r>
  <r>
    <n v="1"/>
    <n v="1"/>
    <x v="1"/>
    <x v="1"/>
    <x v="3"/>
    <x v="7"/>
    <m/>
    <n v="0"/>
    <n v="0"/>
    <n v="0"/>
  </r>
  <r>
    <n v="1"/>
    <n v="2"/>
    <x v="0"/>
    <x v="2"/>
    <x v="2"/>
    <x v="8"/>
    <m/>
    <n v="0"/>
    <n v="0"/>
    <n v="1"/>
  </r>
  <r>
    <n v="1"/>
    <n v="1"/>
    <x v="1"/>
    <x v="0"/>
    <x v="0"/>
    <x v="9"/>
    <m/>
    <n v="0"/>
    <n v="1"/>
    <n v="0"/>
  </r>
  <r>
    <n v="1"/>
    <n v="1"/>
    <x v="1"/>
    <x v="1"/>
    <x v="1"/>
    <x v="9"/>
    <m/>
    <n v="1"/>
    <n v="0"/>
    <n v="0"/>
  </r>
  <r>
    <n v="1"/>
    <n v="2"/>
    <x v="0"/>
    <x v="2"/>
    <x v="2"/>
    <x v="10"/>
    <m/>
    <n v="0"/>
    <n v="0"/>
    <n v="1"/>
  </r>
  <r>
    <n v="1"/>
    <n v="1"/>
    <x v="1"/>
    <x v="2"/>
    <x v="2"/>
    <x v="11"/>
    <m/>
    <n v="0"/>
    <n v="0"/>
    <n v="0"/>
  </r>
  <r>
    <n v="1"/>
    <n v="1"/>
    <x v="1"/>
    <x v="0"/>
    <x v="0"/>
    <x v="12"/>
    <m/>
    <n v="1"/>
    <n v="1"/>
    <n v="0"/>
  </r>
  <r>
    <n v="1"/>
    <n v="1"/>
    <x v="1"/>
    <x v="1"/>
    <x v="1"/>
    <x v="12"/>
    <m/>
    <n v="1"/>
    <n v="0"/>
    <n v="0"/>
  </r>
  <r>
    <n v="1"/>
    <n v="2"/>
    <x v="0"/>
    <x v="2"/>
    <x v="2"/>
    <x v="13"/>
    <m/>
    <n v="0"/>
    <n v="0"/>
    <n v="1"/>
  </r>
  <r>
    <n v="1"/>
    <n v="1"/>
    <x v="1"/>
    <x v="2"/>
    <x v="2"/>
    <x v="14"/>
    <m/>
    <n v="0"/>
    <n v="0"/>
    <n v="0"/>
  </r>
  <r>
    <n v="1"/>
    <n v="1"/>
    <x v="1"/>
    <x v="0"/>
    <x v="0"/>
    <x v="15"/>
    <m/>
    <n v="1"/>
    <n v="1"/>
    <n v="0"/>
  </r>
  <r>
    <n v="1"/>
    <n v="2"/>
    <x v="0"/>
    <x v="1"/>
    <x v="3"/>
    <x v="15"/>
    <m/>
    <n v="0"/>
    <n v="0"/>
    <n v="0"/>
  </r>
  <r>
    <n v="2"/>
    <n v="2"/>
    <x v="0"/>
    <x v="2"/>
    <x v="2"/>
    <x v="0"/>
    <m/>
    <n v="1"/>
    <n v="0"/>
    <n v="1"/>
  </r>
  <r>
    <n v="2"/>
    <n v="1"/>
    <x v="1"/>
    <x v="0"/>
    <x v="0"/>
    <x v="16"/>
    <m/>
    <n v="0"/>
    <n v="1"/>
    <n v="0"/>
  </r>
  <r>
    <n v="2"/>
    <n v="1"/>
    <x v="1"/>
    <x v="1"/>
    <x v="1"/>
    <x v="16"/>
    <m/>
    <n v="1"/>
    <n v="0"/>
    <n v="0"/>
  </r>
  <r>
    <n v="2"/>
    <n v="2"/>
    <x v="0"/>
    <x v="2"/>
    <x v="2"/>
    <x v="2"/>
    <m/>
    <n v="0"/>
    <n v="0"/>
    <n v="1"/>
  </r>
  <r>
    <n v="2"/>
    <n v="1"/>
    <x v="1"/>
    <x v="0"/>
    <x v="0"/>
    <x v="17"/>
    <m/>
    <n v="0"/>
    <n v="1"/>
    <n v="0"/>
  </r>
  <r>
    <n v="2"/>
    <n v="1"/>
    <x v="1"/>
    <x v="1"/>
    <x v="1"/>
    <x v="17"/>
    <m/>
    <n v="1"/>
    <n v="0"/>
    <n v="0"/>
  </r>
  <r>
    <n v="2"/>
    <n v="1"/>
    <x v="1"/>
    <x v="0"/>
    <x v="0"/>
    <x v="18"/>
    <m/>
    <n v="1"/>
    <n v="1"/>
    <n v="1"/>
  </r>
  <r>
    <n v="2"/>
    <n v="2"/>
    <x v="0"/>
    <x v="1"/>
    <x v="3"/>
    <x v="18"/>
    <m/>
    <n v="0"/>
    <n v="0"/>
    <n v="0"/>
  </r>
  <r>
    <n v="2"/>
    <n v="2"/>
    <x v="0"/>
    <x v="0"/>
    <x v="0"/>
    <x v="19"/>
    <m/>
    <n v="1"/>
    <n v="1"/>
    <n v="1"/>
  </r>
  <r>
    <n v="2"/>
    <n v="1"/>
    <x v="1"/>
    <x v="1"/>
    <x v="3"/>
    <x v="19"/>
    <m/>
    <n v="0"/>
    <n v="0"/>
    <n v="0"/>
  </r>
  <r>
    <n v="2"/>
    <n v="1"/>
    <x v="1"/>
    <x v="2"/>
    <x v="2"/>
    <x v="4"/>
    <m/>
    <n v="1"/>
    <n v="0"/>
    <n v="1"/>
  </r>
  <r>
    <n v="2"/>
    <n v="1"/>
    <x v="1"/>
    <x v="0"/>
    <x v="0"/>
    <x v="20"/>
    <m/>
    <n v="1"/>
    <n v="1"/>
    <n v="0"/>
  </r>
  <r>
    <n v="2"/>
    <n v="2"/>
    <x v="0"/>
    <x v="1"/>
    <x v="3"/>
    <x v="20"/>
    <m/>
    <n v="0"/>
    <n v="0"/>
    <n v="0"/>
  </r>
  <r>
    <n v="2"/>
    <n v="2"/>
    <x v="0"/>
    <x v="2"/>
    <x v="2"/>
    <x v="5"/>
    <m/>
    <n v="1"/>
    <n v="0"/>
    <n v="1"/>
  </r>
  <r>
    <n v="2"/>
    <n v="1"/>
    <x v="1"/>
    <x v="2"/>
    <x v="2"/>
    <x v="12"/>
    <m/>
    <n v="0"/>
    <n v="0"/>
    <n v="0"/>
  </r>
  <r>
    <n v="2"/>
    <n v="2"/>
    <x v="0"/>
    <x v="2"/>
    <x v="2"/>
    <x v="7"/>
    <m/>
    <n v="0"/>
    <n v="0"/>
    <n v="0"/>
  </r>
  <r>
    <n v="2"/>
    <n v="2"/>
    <x v="0"/>
    <x v="0"/>
    <x v="0"/>
    <x v="21"/>
    <m/>
    <n v="1"/>
    <n v="1"/>
    <n v="0"/>
  </r>
  <r>
    <n v="2"/>
    <n v="2"/>
    <x v="0"/>
    <x v="1"/>
    <x v="1"/>
    <x v="21"/>
    <m/>
    <n v="1"/>
    <n v="0"/>
    <n v="0"/>
  </r>
  <r>
    <n v="2"/>
    <n v="1"/>
    <x v="1"/>
    <x v="2"/>
    <x v="2"/>
    <x v="9"/>
    <m/>
    <n v="0"/>
    <n v="0"/>
    <n v="1"/>
  </r>
  <r>
    <n v="2"/>
    <n v="2"/>
    <x v="0"/>
    <x v="0"/>
    <x v="0"/>
    <x v="22"/>
    <m/>
    <n v="0"/>
    <n v="1"/>
    <n v="0"/>
  </r>
  <r>
    <n v="2"/>
    <n v="2"/>
    <x v="0"/>
    <x v="1"/>
    <x v="1"/>
    <x v="22"/>
    <m/>
    <n v="1"/>
    <n v="0"/>
    <n v="0"/>
  </r>
  <r>
    <n v="2"/>
    <n v="2"/>
    <x v="0"/>
    <x v="2"/>
    <x v="2"/>
    <x v="15"/>
    <m/>
    <n v="1"/>
    <n v="0"/>
    <n v="1"/>
  </r>
  <r>
    <n v="2"/>
    <n v="2"/>
    <x v="0"/>
    <x v="0"/>
    <x v="0"/>
    <x v="23"/>
    <m/>
    <n v="1"/>
    <n v="1"/>
    <n v="0"/>
  </r>
  <r>
    <n v="2"/>
    <n v="1"/>
    <x v="1"/>
    <x v="1"/>
    <x v="3"/>
    <x v="23"/>
    <m/>
    <n v="0"/>
    <n v="0"/>
    <n v="0"/>
  </r>
  <r>
    <n v="3"/>
    <n v="1"/>
    <x v="1"/>
    <x v="0"/>
    <x v="0"/>
    <x v="24"/>
    <m/>
    <n v="1"/>
    <n v="1"/>
    <n v="1"/>
  </r>
  <r>
    <n v="3"/>
    <n v="2"/>
    <x v="0"/>
    <x v="1"/>
    <x v="3"/>
    <x v="24"/>
    <m/>
    <n v="0"/>
    <e v="#REF!"/>
    <n v="0"/>
  </r>
  <r>
    <n v="3"/>
    <n v="2"/>
    <x v="0"/>
    <x v="2"/>
    <x v="2"/>
    <x v="25"/>
    <s v="here"/>
    <n v="1"/>
    <n v="0"/>
    <n v="1"/>
  </r>
  <r>
    <n v="3"/>
    <n v="2"/>
    <x v="0"/>
    <x v="0"/>
    <x v="0"/>
    <x v="26"/>
    <m/>
    <n v="1"/>
    <n v="1"/>
    <n v="0"/>
  </r>
  <r>
    <n v="3"/>
    <n v="1"/>
    <x v="1"/>
    <x v="1"/>
    <x v="3"/>
    <x v="26"/>
    <m/>
    <n v="0"/>
    <n v="0"/>
    <n v="0"/>
  </r>
  <r>
    <n v="3"/>
    <n v="1"/>
    <x v="1"/>
    <x v="2"/>
    <x v="2"/>
    <x v="16"/>
    <m/>
    <n v="1"/>
    <n v="0"/>
    <n v="1"/>
  </r>
  <r>
    <n v="3"/>
    <n v="1"/>
    <x v="1"/>
    <x v="0"/>
    <x v="0"/>
    <x v="27"/>
    <m/>
    <n v="1"/>
    <n v="1"/>
    <n v="0"/>
  </r>
  <r>
    <n v="3"/>
    <n v="2"/>
    <x v="0"/>
    <x v="1"/>
    <x v="3"/>
    <x v="27"/>
    <m/>
    <n v="0"/>
    <n v="0"/>
    <n v="0"/>
  </r>
  <r>
    <n v="3"/>
    <n v="2"/>
    <x v="0"/>
    <x v="2"/>
    <x v="2"/>
    <x v="17"/>
    <m/>
    <n v="1"/>
    <n v="0"/>
    <n v="1"/>
  </r>
  <r>
    <n v="3"/>
    <n v="1"/>
    <x v="1"/>
    <x v="2"/>
    <x v="2"/>
    <x v="19"/>
    <m/>
    <n v="0"/>
    <n v="0"/>
    <n v="0"/>
  </r>
  <r>
    <n v="3"/>
    <n v="2"/>
    <x v="0"/>
    <x v="0"/>
    <x v="0"/>
    <x v="28"/>
    <m/>
    <n v="0"/>
    <n v="1"/>
    <n v="0"/>
  </r>
  <r>
    <n v="3"/>
    <n v="2"/>
    <x v="0"/>
    <x v="1"/>
    <x v="1"/>
    <x v="28"/>
    <m/>
    <n v="1"/>
    <n v="0"/>
    <n v="0"/>
  </r>
  <r>
    <n v="3"/>
    <n v="1"/>
    <x v="1"/>
    <x v="2"/>
    <x v="2"/>
    <x v="18"/>
    <m/>
    <n v="0"/>
    <n v="0"/>
    <n v="1"/>
  </r>
  <r>
    <n v="3"/>
    <n v="2"/>
    <x v="0"/>
    <x v="2"/>
    <x v="2"/>
    <x v="20"/>
    <m/>
    <n v="0"/>
    <n v="0"/>
    <n v="0"/>
  </r>
  <r>
    <n v="3"/>
    <n v="2"/>
    <x v="0"/>
    <x v="0"/>
    <x v="0"/>
    <x v="29"/>
    <m/>
    <n v="1"/>
    <n v="1"/>
    <n v="0"/>
  </r>
  <r>
    <n v="3"/>
    <n v="2"/>
    <x v="0"/>
    <x v="1"/>
    <x v="1"/>
    <x v="29"/>
    <m/>
    <n v="1"/>
    <n v="0"/>
    <n v="0"/>
  </r>
  <r>
    <n v="3"/>
    <n v="1"/>
    <x v="1"/>
    <x v="2"/>
    <x v="2"/>
    <x v="25"/>
    <s v="here"/>
    <n v="0"/>
    <n v="0"/>
    <n v="1"/>
  </r>
  <r>
    <n v="3"/>
    <n v="2"/>
    <x v="0"/>
    <x v="0"/>
    <x v="0"/>
    <x v="30"/>
    <m/>
    <n v="0"/>
    <n v="1"/>
    <n v="0"/>
  </r>
  <r>
    <n v="3"/>
    <n v="1"/>
    <x v="1"/>
    <x v="1"/>
    <x v="3"/>
    <x v="30"/>
    <m/>
    <n v="0"/>
    <n v="0"/>
    <n v="0"/>
  </r>
  <r>
    <n v="3"/>
    <n v="2"/>
    <x v="0"/>
    <x v="2"/>
    <x v="2"/>
    <x v="21"/>
    <m/>
    <n v="0"/>
    <n v="0"/>
    <n v="1"/>
  </r>
  <r>
    <n v="3"/>
    <n v="1"/>
    <x v="1"/>
    <x v="0"/>
    <x v="0"/>
    <x v="31"/>
    <m/>
    <n v="0"/>
    <n v="1"/>
    <n v="0"/>
  </r>
  <r>
    <n v="3"/>
    <n v="1"/>
    <x v="1"/>
    <x v="1"/>
    <x v="1"/>
    <x v="31"/>
    <m/>
    <n v="1"/>
    <n v="0"/>
    <n v="0"/>
  </r>
  <r>
    <n v="3"/>
    <n v="2"/>
    <x v="0"/>
    <x v="2"/>
    <x v="2"/>
    <x v="22"/>
    <m/>
    <n v="0"/>
    <n v="0"/>
    <n v="1"/>
  </r>
  <r>
    <n v="3"/>
    <n v="1"/>
    <x v="1"/>
    <x v="2"/>
    <x v="2"/>
    <x v="23"/>
    <m/>
    <n v="0"/>
    <n v="0"/>
    <n v="0"/>
  </r>
  <r>
    <n v="3"/>
    <n v="1"/>
    <x v="1"/>
    <x v="0"/>
    <x v="0"/>
    <x v="32"/>
    <m/>
    <n v="1"/>
    <n v="1"/>
    <n v="0"/>
  </r>
  <r>
    <n v="3"/>
    <n v="1"/>
    <x v="1"/>
    <x v="1"/>
    <x v="1"/>
    <x v="32"/>
    <m/>
    <n v="1"/>
    <n v="0"/>
    <n v="0"/>
  </r>
  <r>
    <n v="4"/>
    <n v="2"/>
    <x v="0"/>
    <x v="2"/>
    <x v="2"/>
    <x v="24"/>
    <m/>
    <n v="0"/>
    <n v="0"/>
    <n v="1"/>
  </r>
  <r>
    <n v="4"/>
    <n v="1"/>
    <x v="1"/>
    <x v="0"/>
    <x v="0"/>
    <x v="1"/>
    <m/>
    <n v="0"/>
    <n v="1"/>
    <n v="0"/>
  </r>
  <r>
    <n v="4"/>
    <n v="1"/>
    <x v="1"/>
    <x v="1"/>
    <x v="1"/>
    <x v="1"/>
    <m/>
    <n v="1"/>
    <n v="0"/>
    <n v="0"/>
  </r>
  <r>
    <n v="4"/>
    <n v="1"/>
    <x v="1"/>
    <x v="0"/>
    <x v="0"/>
    <x v="3"/>
    <m/>
    <n v="1"/>
    <n v="1"/>
    <n v="1"/>
  </r>
  <r>
    <n v="4"/>
    <n v="2"/>
    <x v="0"/>
    <x v="1"/>
    <x v="3"/>
    <x v="3"/>
    <m/>
    <n v="0"/>
    <n v="0"/>
    <n v="0"/>
  </r>
  <r>
    <n v="4"/>
    <n v="2"/>
    <x v="0"/>
    <x v="2"/>
    <x v="2"/>
    <x v="27"/>
    <m/>
    <n v="1"/>
    <n v="0"/>
    <n v="1"/>
  </r>
  <r>
    <n v="4"/>
    <n v="1"/>
    <x v="1"/>
    <x v="2"/>
    <x v="2"/>
    <x v="26"/>
    <m/>
    <n v="0"/>
    <n v="0"/>
    <n v="0"/>
  </r>
  <r>
    <n v="4"/>
    <n v="2"/>
    <x v="0"/>
    <x v="0"/>
    <x v="0"/>
    <x v="6"/>
    <m/>
    <n v="0"/>
    <n v="1"/>
    <n v="0"/>
  </r>
  <r>
    <n v="4"/>
    <n v="2"/>
    <x v="0"/>
    <x v="1"/>
    <x v="1"/>
    <x v="6"/>
    <m/>
    <n v="1"/>
    <n v="0"/>
    <n v="0"/>
  </r>
  <r>
    <n v="4"/>
    <n v="2"/>
    <x v="0"/>
    <x v="0"/>
    <x v="0"/>
    <x v="8"/>
    <m/>
    <n v="1"/>
    <n v="1"/>
    <n v="1"/>
  </r>
  <r>
    <n v="4"/>
    <n v="1"/>
    <x v="1"/>
    <x v="1"/>
    <x v="3"/>
    <x v="8"/>
    <m/>
    <n v="0"/>
    <n v="0"/>
    <n v="0"/>
  </r>
  <r>
    <n v="4"/>
    <n v="2"/>
    <x v="0"/>
    <x v="2"/>
    <x v="2"/>
    <x v="28"/>
    <m/>
    <n v="0"/>
    <n v="0"/>
    <n v="1"/>
  </r>
  <r>
    <n v="4"/>
    <n v="1"/>
    <x v="1"/>
    <x v="2"/>
    <x v="2"/>
    <x v="29"/>
    <m/>
    <n v="0"/>
    <n v="0"/>
    <n v="0"/>
  </r>
  <r>
    <n v="4"/>
    <n v="1"/>
    <x v="1"/>
    <x v="0"/>
    <x v="0"/>
    <x v="10"/>
    <m/>
    <n v="1"/>
    <n v="1"/>
    <n v="0"/>
  </r>
  <r>
    <n v="4"/>
    <n v="2"/>
    <x v="0"/>
    <x v="1"/>
    <x v="3"/>
    <x v="10"/>
    <m/>
    <n v="0"/>
    <n v="0"/>
    <n v="0"/>
  </r>
  <r>
    <n v="4"/>
    <n v="2"/>
    <x v="0"/>
    <x v="0"/>
    <x v="0"/>
    <x v="13"/>
    <m/>
    <n v="1"/>
    <n v="1"/>
    <n v="1"/>
  </r>
  <r>
    <n v="4"/>
    <n v="2"/>
    <x v="0"/>
    <x v="1"/>
    <x v="1"/>
    <x v="13"/>
    <m/>
    <n v="1"/>
    <n v="0"/>
    <n v="0"/>
  </r>
  <r>
    <n v="4"/>
    <n v="2"/>
    <x v="0"/>
    <x v="2"/>
    <x v="2"/>
    <x v="31"/>
    <m/>
    <n v="1"/>
    <n v="0"/>
    <n v="1"/>
  </r>
  <r>
    <n v="4"/>
    <n v="2"/>
    <x v="0"/>
    <x v="0"/>
    <x v="0"/>
    <x v="11"/>
    <m/>
    <n v="1"/>
    <n v="1"/>
    <n v="0"/>
  </r>
  <r>
    <n v="4"/>
    <n v="1"/>
    <x v="1"/>
    <x v="1"/>
    <x v="3"/>
    <x v="11"/>
    <m/>
    <n v="0"/>
    <n v="0"/>
    <n v="0"/>
  </r>
  <r>
    <n v="4"/>
    <n v="1"/>
    <x v="1"/>
    <x v="0"/>
    <x v="0"/>
    <x v="14"/>
    <m/>
    <n v="1"/>
    <n v="1"/>
    <n v="1"/>
  </r>
  <r>
    <n v="4"/>
    <n v="1"/>
    <x v="1"/>
    <x v="1"/>
    <x v="1"/>
    <x v="14"/>
    <m/>
    <n v="1"/>
    <n v="0"/>
    <n v="0"/>
  </r>
  <r>
    <n v="4"/>
    <n v="1"/>
    <x v="0"/>
    <x v="2"/>
    <x v="2"/>
    <x v="32"/>
    <m/>
    <n v="0"/>
    <n v="0"/>
    <n v="1"/>
  </r>
  <r>
    <n v="4"/>
    <n v="1"/>
    <x v="1"/>
    <x v="2"/>
    <x v="2"/>
    <x v="30"/>
    <m/>
    <n v="0"/>
    <n v="0"/>
    <n v="0"/>
  </r>
  <r>
    <s v="BREAK"/>
    <m/>
    <x v="2"/>
    <x v="3"/>
    <x v="4"/>
    <x v="25"/>
    <m/>
    <n v="0"/>
    <n v="0"/>
    <n v="0"/>
  </r>
  <r>
    <n v="1"/>
    <n v="2"/>
    <x v="0"/>
    <x v="0"/>
    <x v="0"/>
    <x v="5"/>
    <m/>
    <n v="0"/>
    <n v="1"/>
    <n v="0"/>
  </r>
  <r>
    <n v="1"/>
    <n v="2"/>
    <x v="0"/>
    <x v="1"/>
    <x v="1"/>
    <x v="5"/>
    <m/>
    <n v="1"/>
    <n v="0"/>
    <n v="0"/>
  </r>
  <r>
    <n v="1"/>
    <n v="1"/>
    <x v="1"/>
    <x v="2"/>
    <x v="2"/>
    <x v="6"/>
    <m/>
    <n v="0"/>
    <n v="0"/>
    <n v="1"/>
  </r>
  <r>
    <n v="1"/>
    <n v="2"/>
    <x v="0"/>
    <x v="0"/>
    <x v="0"/>
    <x v="4"/>
    <m/>
    <n v="0"/>
    <n v="1"/>
    <n v="0"/>
  </r>
  <r>
    <n v="1"/>
    <n v="2"/>
    <x v="0"/>
    <x v="1"/>
    <x v="1"/>
    <x v="4"/>
    <m/>
    <n v="1"/>
    <n v="0"/>
    <n v="0"/>
  </r>
  <r>
    <n v="1"/>
    <n v="1"/>
    <x v="1"/>
    <x v="2"/>
    <x v="2"/>
    <x v="25"/>
    <s v="here"/>
    <n v="0"/>
    <n v="0"/>
    <n v="1"/>
  </r>
  <r>
    <n v="1"/>
    <n v="2"/>
    <x v="0"/>
    <x v="2"/>
    <x v="2"/>
    <x v="14"/>
    <m/>
    <n v="0"/>
    <n v="0"/>
    <n v="0"/>
  </r>
  <r>
    <n v="1"/>
    <n v="2"/>
    <x v="0"/>
    <x v="0"/>
    <x v="0"/>
    <x v="9"/>
    <m/>
    <n v="1"/>
    <n v="1"/>
    <n v="0"/>
  </r>
  <r>
    <n v="1"/>
    <n v="1"/>
    <x v="1"/>
    <x v="1"/>
    <x v="3"/>
    <x v="9"/>
    <m/>
    <n v="0"/>
    <n v="0"/>
    <n v="0"/>
  </r>
  <r>
    <n v="1"/>
    <n v="1"/>
    <x v="1"/>
    <x v="2"/>
    <x v="2"/>
    <x v="8"/>
    <m/>
    <n v="1"/>
    <n v="0"/>
    <n v="1"/>
  </r>
  <r>
    <n v="1"/>
    <n v="1"/>
    <x v="1"/>
    <x v="0"/>
    <x v="0"/>
    <x v="2"/>
    <m/>
    <n v="1"/>
    <n v="1"/>
    <n v="0"/>
  </r>
  <r>
    <n v="1"/>
    <n v="2"/>
    <x v="0"/>
    <x v="1"/>
    <x v="3"/>
    <x v="2"/>
    <m/>
    <n v="0"/>
    <n v="0"/>
    <n v="0"/>
  </r>
  <r>
    <n v="1"/>
    <n v="2"/>
    <x v="0"/>
    <x v="0"/>
    <x v="0"/>
    <x v="0"/>
    <m/>
    <n v="1"/>
    <n v="1"/>
    <n v="1"/>
  </r>
  <r>
    <n v="1"/>
    <n v="1"/>
    <x v="1"/>
    <x v="1"/>
    <x v="3"/>
    <x v="0"/>
    <m/>
    <n v="0"/>
    <n v="0"/>
    <n v="0"/>
  </r>
  <r>
    <n v="1"/>
    <n v="2"/>
    <x v="0"/>
    <x v="2"/>
    <x v="2"/>
    <x v="3"/>
    <m/>
    <n v="0"/>
    <n v="0"/>
    <n v="1"/>
  </r>
  <r>
    <n v="1"/>
    <n v="1"/>
    <x v="1"/>
    <x v="0"/>
    <x v="0"/>
    <x v="15"/>
    <m/>
    <n v="0"/>
    <n v="1"/>
    <n v="0"/>
  </r>
  <r>
    <n v="1"/>
    <n v="1"/>
    <x v="1"/>
    <x v="1"/>
    <x v="1"/>
    <x v="15"/>
    <m/>
    <n v="1"/>
    <n v="0"/>
    <n v="0"/>
  </r>
  <r>
    <n v="1"/>
    <n v="2"/>
    <x v="0"/>
    <x v="2"/>
    <x v="2"/>
    <x v="11"/>
    <m/>
    <n v="0"/>
    <n v="0"/>
    <n v="1"/>
  </r>
  <r>
    <n v="1"/>
    <n v="1"/>
    <x v="1"/>
    <x v="0"/>
    <x v="0"/>
    <x v="7"/>
    <m/>
    <n v="0"/>
    <n v="1"/>
    <n v="0"/>
  </r>
  <r>
    <n v="1"/>
    <n v="1"/>
    <x v="1"/>
    <x v="1"/>
    <x v="1"/>
    <x v="7"/>
    <m/>
    <n v="1"/>
    <n v="0"/>
    <n v="0"/>
  </r>
  <r>
    <n v="1"/>
    <n v="2"/>
    <x v="0"/>
    <x v="2"/>
    <x v="2"/>
    <x v="1"/>
    <m/>
    <n v="0"/>
    <n v="0"/>
    <n v="1"/>
  </r>
  <r>
    <n v="1"/>
    <n v="1"/>
    <x v="1"/>
    <x v="2"/>
    <x v="2"/>
    <x v="13"/>
    <m/>
    <n v="0"/>
    <n v="0"/>
    <n v="0"/>
  </r>
  <r>
    <n v="1"/>
    <n v="1"/>
    <x v="1"/>
    <x v="0"/>
    <x v="0"/>
    <x v="12"/>
    <m/>
    <n v="1"/>
    <n v="1"/>
    <n v="0"/>
  </r>
  <r>
    <n v="1"/>
    <n v="2"/>
    <x v="0"/>
    <x v="1"/>
    <x v="3"/>
    <x v="12"/>
    <m/>
    <n v="0"/>
    <n v="0"/>
    <n v="0"/>
  </r>
  <r>
    <n v="1"/>
    <n v="1"/>
    <x v="1"/>
    <x v="2"/>
    <x v="2"/>
    <x v="10"/>
    <m/>
    <n v="0"/>
    <n v="0"/>
    <n v="1"/>
  </r>
  <r>
    <n v="2"/>
    <n v="1"/>
    <x v="1"/>
    <x v="0"/>
    <x v="0"/>
    <x v="20"/>
    <m/>
    <n v="1"/>
    <n v="1"/>
    <n v="0"/>
  </r>
  <r>
    <n v="2"/>
    <n v="1"/>
    <x v="1"/>
    <x v="1"/>
    <x v="1"/>
    <x v="20"/>
    <m/>
    <n v="1"/>
    <n v="0"/>
    <n v="0"/>
  </r>
  <r>
    <n v="2"/>
    <n v="2"/>
    <x v="0"/>
    <x v="2"/>
    <x v="2"/>
    <x v="5"/>
    <m/>
    <n v="0"/>
    <n v="0"/>
    <n v="1"/>
  </r>
  <r>
    <n v="2"/>
    <n v="1"/>
    <x v="1"/>
    <x v="0"/>
    <x v="0"/>
    <x v="18"/>
    <m/>
    <n v="0"/>
    <n v="1"/>
    <n v="0"/>
  </r>
  <r>
    <n v="2"/>
    <n v="1"/>
    <x v="1"/>
    <x v="1"/>
    <x v="1"/>
    <x v="18"/>
    <m/>
    <n v="1"/>
    <n v="0"/>
    <n v="0"/>
  </r>
  <r>
    <n v="2"/>
    <n v="1"/>
    <x v="1"/>
    <x v="0"/>
    <x v="0"/>
    <x v="16"/>
    <m/>
    <n v="1"/>
    <n v="1"/>
    <n v="1"/>
  </r>
  <r>
    <n v="2"/>
    <n v="2"/>
    <x v="0"/>
    <x v="1"/>
    <x v="3"/>
    <x v="16"/>
    <m/>
    <n v="0"/>
    <n v="0"/>
    <n v="0"/>
  </r>
  <r>
    <n v="2"/>
    <n v="2"/>
    <x v="0"/>
    <x v="2"/>
    <x v="2"/>
    <x v="4"/>
    <m/>
    <n v="1"/>
    <n v="0"/>
    <n v="1"/>
  </r>
  <r>
    <n v="2"/>
    <n v="2"/>
    <x v="0"/>
    <x v="0"/>
    <x v="0"/>
    <x v="22"/>
    <m/>
    <n v="1"/>
    <n v="1"/>
    <n v="0"/>
  </r>
  <r>
    <n v="2"/>
    <n v="1"/>
    <x v="1"/>
    <x v="1"/>
    <x v="3"/>
    <x v="22"/>
    <m/>
    <n v="0"/>
    <n v="0"/>
    <n v="0"/>
  </r>
  <r>
    <n v="2"/>
    <n v="1"/>
    <x v="1"/>
    <x v="0"/>
    <x v="0"/>
    <x v="17"/>
    <m/>
    <n v="1"/>
    <n v="1"/>
    <n v="1"/>
  </r>
  <r>
    <n v="2"/>
    <n v="2"/>
    <x v="0"/>
    <x v="1"/>
    <x v="3"/>
    <x v="17"/>
    <m/>
    <n v="0"/>
    <n v="0"/>
    <n v="0"/>
  </r>
  <r>
    <n v="2"/>
    <n v="1"/>
    <x v="1"/>
    <x v="2"/>
    <x v="2"/>
    <x v="9"/>
    <m/>
    <n v="0"/>
    <n v="0"/>
    <n v="1"/>
  </r>
  <r>
    <n v="2"/>
    <n v="2"/>
    <x v="0"/>
    <x v="2"/>
    <x v="2"/>
    <x v="2"/>
    <m/>
    <n v="0"/>
    <n v="0"/>
    <n v="0"/>
  </r>
  <r>
    <n v="2"/>
    <n v="1"/>
    <x v="1"/>
    <x v="2"/>
    <x v="2"/>
    <x v="7"/>
    <m/>
    <n v="0"/>
    <n v="0"/>
    <n v="0"/>
  </r>
  <r>
    <n v="2"/>
    <n v="2"/>
    <x v="0"/>
    <x v="0"/>
    <x v="0"/>
    <x v="19"/>
    <m/>
    <n v="0"/>
    <n v="1"/>
    <n v="0"/>
  </r>
  <r>
    <n v="2"/>
    <n v="2"/>
    <x v="0"/>
    <x v="1"/>
    <x v="1"/>
    <x v="19"/>
    <m/>
    <n v="1"/>
    <n v="0"/>
    <n v="0"/>
  </r>
  <r>
    <n v="2"/>
    <n v="1"/>
    <x v="1"/>
    <x v="2"/>
    <x v="2"/>
    <x v="0"/>
    <m/>
    <n v="0"/>
    <n v="0"/>
    <n v="1"/>
  </r>
  <r>
    <n v="2"/>
    <n v="2"/>
    <x v="0"/>
    <x v="0"/>
    <x v="0"/>
    <x v="23"/>
    <m/>
    <n v="0"/>
    <n v="1"/>
    <n v="0"/>
  </r>
  <r>
    <n v="2"/>
    <n v="2"/>
    <x v="0"/>
    <x v="1"/>
    <x v="1"/>
    <x v="23"/>
    <m/>
    <n v="1"/>
    <n v="0"/>
    <n v="0"/>
  </r>
  <r>
    <n v="2"/>
    <n v="1"/>
    <x v="1"/>
    <x v="2"/>
    <x v="2"/>
    <x v="15"/>
    <m/>
    <n v="0"/>
    <n v="0"/>
    <n v="1"/>
  </r>
  <r>
    <n v="2"/>
    <n v="2"/>
    <x v="0"/>
    <x v="2"/>
    <x v="2"/>
    <x v="12"/>
    <m/>
    <n v="0"/>
    <n v="0"/>
    <n v="0"/>
  </r>
  <r>
    <n v="2"/>
    <n v="2"/>
    <x v="0"/>
    <x v="0"/>
    <x v="0"/>
    <x v="21"/>
    <m/>
    <n v="1"/>
    <n v="1"/>
    <n v="0"/>
  </r>
  <r>
    <n v="2"/>
    <n v="1"/>
    <x v="1"/>
    <x v="1"/>
    <x v="3"/>
    <x v="21"/>
    <m/>
    <n v="0"/>
    <n v="0"/>
    <n v="0"/>
  </r>
  <r>
    <n v="3"/>
    <n v="1"/>
    <x v="1"/>
    <x v="2"/>
    <x v="2"/>
    <x v="20"/>
    <m/>
    <n v="1"/>
    <n v="0"/>
    <n v="1"/>
  </r>
  <r>
    <n v="3"/>
    <n v="1"/>
    <x v="1"/>
    <x v="0"/>
    <x v="0"/>
    <x v="30"/>
    <m/>
    <n v="1"/>
    <n v="1"/>
    <n v="0"/>
  </r>
  <r>
    <n v="3"/>
    <n v="2"/>
    <x v="0"/>
    <x v="1"/>
    <x v="3"/>
    <x v="30"/>
    <m/>
    <n v="0"/>
    <n v="0"/>
    <n v="0"/>
  </r>
  <r>
    <n v="3"/>
    <n v="2"/>
    <x v="0"/>
    <x v="2"/>
    <x v="2"/>
    <x v="18"/>
    <m/>
    <n v="1"/>
    <n v="0"/>
    <n v="1"/>
  </r>
  <r>
    <n v="3"/>
    <n v="2"/>
    <x v="0"/>
    <x v="0"/>
    <x v="0"/>
    <x v="28"/>
    <m/>
    <n v="1"/>
    <n v="1"/>
    <n v="0"/>
  </r>
  <r>
    <n v="3"/>
    <n v="1"/>
    <x v="1"/>
    <x v="1"/>
    <x v="3"/>
    <x v="28"/>
    <m/>
    <n v="0"/>
    <n v="0"/>
    <n v="0"/>
  </r>
  <r>
    <n v="3"/>
    <n v="1"/>
    <x v="1"/>
    <x v="2"/>
    <x v="2"/>
    <x v="25"/>
    <s v="here"/>
    <n v="1"/>
    <n v="0"/>
    <n v="1"/>
  </r>
  <r>
    <n v="3"/>
    <n v="1"/>
    <x v="1"/>
    <x v="0"/>
    <x v="0"/>
    <x v="32"/>
    <m/>
    <n v="1"/>
    <n v="1"/>
    <n v="0"/>
  </r>
  <r>
    <n v="3"/>
    <n v="2"/>
    <x v="0"/>
    <x v="1"/>
    <x v="3"/>
    <x v="32"/>
    <m/>
    <n v="0"/>
    <n v="0"/>
    <n v="0"/>
  </r>
  <r>
    <n v="3"/>
    <n v="1"/>
    <x v="1"/>
    <x v="2"/>
    <x v="2"/>
    <x v="16"/>
    <m/>
    <n v="0"/>
    <n v="0"/>
    <n v="1"/>
  </r>
  <r>
    <n v="3"/>
    <n v="2"/>
    <x v="0"/>
    <x v="0"/>
    <x v="0"/>
    <x v="31"/>
    <m/>
    <n v="0"/>
    <n v="1"/>
    <n v="0"/>
  </r>
  <r>
    <n v="3"/>
    <n v="2"/>
    <x v="0"/>
    <x v="1"/>
    <x v="1"/>
    <x v="31"/>
    <m/>
    <n v="1"/>
    <n v="0"/>
    <n v="0"/>
  </r>
  <r>
    <n v="3"/>
    <n v="2"/>
    <x v="0"/>
    <x v="2"/>
    <x v="2"/>
    <x v="22"/>
    <m/>
    <n v="1"/>
    <n v="0"/>
    <n v="1"/>
  </r>
  <r>
    <n v="3"/>
    <n v="1"/>
    <x v="1"/>
    <x v="2"/>
    <x v="2"/>
    <x v="17"/>
    <m/>
    <n v="0"/>
    <n v="0"/>
    <n v="0"/>
  </r>
  <r>
    <n v="3"/>
    <n v="2"/>
    <x v="0"/>
    <x v="0"/>
    <x v="0"/>
    <x v="24"/>
    <m/>
    <n v="0"/>
    <n v="1"/>
    <n v="0"/>
  </r>
  <r>
    <n v="3"/>
    <n v="2"/>
    <x v="0"/>
    <x v="1"/>
    <x v="1"/>
    <x v="24"/>
    <m/>
    <n v="1"/>
    <n v="0"/>
    <n v="0"/>
  </r>
  <r>
    <n v="3"/>
    <n v="2"/>
    <x v="0"/>
    <x v="0"/>
    <x v="0"/>
    <x v="27"/>
    <m/>
    <n v="1"/>
    <n v="1"/>
    <n v="1"/>
  </r>
  <r>
    <n v="3"/>
    <n v="1"/>
    <x v="1"/>
    <x v="1"/>
    <x v="3"/>
    <x v="27"/>
    <m/>
    <n v="0"/>
    <n v="0"/>
    <n v="0"/>
  </r>
  <r>
    <n v="3"/>
    <n v="2"/>
    <x v="0"/>
    <x v="2"/>
    <x v="2"/>
    <x v="19"/>
    <m/>
    <n v="0"/>
    <n v="0"/>
    <n v="1"/>
  </r>
  <r>
    <n v="3"/>
    <n v="1"/>
    <x v="1"/>
    <x v="2"/>
    <x v="2"/>
    <x v="25"/>
    <s v="here"/>
    <n v="0"/>
    <n v="0"/>
    <n v="0"/>
  </r>
  <r>
    <n v="3"/>
    <n v="1"/>
    <x v="1"/>
    <x v="0"/>
    <x v="0"/>
    <x v="29"/>
    <m/>
    <n v="1"/>
    <n v="1"/>
    <n v="0"/>
  </r>
  <r>
    <n v="3"/>
    <n v="1"/>
    <x v="1"/>
    <x v="1"/>
    <x v="1"/>
    <x v="29"/>
    <m/>
    <n v="1"/>
    <n v="0"/>
    <n v="0"/>
  </r>
  <r>
    <n v="3"/>
    <n v="2"/>
    <x v="0"/>
    <x v="2"/>
    <x v="2"/>
    <x v="23"/>
    <m/>
    <n v="0"/>
    <n v="0"/>
    <n v="1"/>
  </r>
  <r>
    <n v="3"/>
    <n v="1"/>
    <x v="1"/>
    <x v="0"/>
    <x v="0"/>
    <x v="26"/>
    <m/>
    <n v="0"/>
    <n v="1"/>
    <n v="0"/>
  </r>
  <r>
    <n v="3"/>
    <n v="1"/>
    <x v="1"/>
    <x v="1"/>
    <x v="1"/>
    <x v="26"/>
    <m/>
    <n v="1"/>
    <n v="0"/>
    <n v="0"/>
  </r>
  <r>
    <n v="3"/>
    <n v="1"/>
    <x v="1"/>
    <x v="2"/>
    <x v="2"/>
    <x v="21"/>
    <m/>
    <n v="1"/>
    <n v="0"/>
    <n v="1"/>
  </r>
  <r>
    <n v="4"/>
    <n v="2"/>
    <x v="0"/>
    <x v="2"/>
    <x v="2"/>
    <x v="30"/>
    <m/>
    <n v="0"/>
    <n v="0"/>
    <n v="0"/>
  </r>
  <r>
    <n v="4"/>
    <n v="1"/>
    <x v="1"/>
    <x v="0"/>
    <x v="0"/>
    <x v="6"/>
    <m/>
    <n v="0"/>
    <n v="1"/>
    <n v="0"/>
  </r>
  <r>
    <n v="4"/>
    <n v="1"/>
    <x v="1"/>
    <x v="1"/>
    <x v="1"/>
    <x v="6"/>
    <m/>
    <n v="1"/>
    <n v="0"/>
    <n v="0"/>
  </r>
  <r>
    <n v="4"/>
    <n v="1"/>
    <x v="1"/>
    <x v="0"/>
    <x v="0"/>
    <x v="14"/>
    <m/>
    <n v="1"/>
    <n v="1"/>
    <n v="1"/>
  </r>
  <r>
    <n v="4"/>
    <n v="2"/>
    <x v="0"/>
    <x v="1"/>
    <x v="3"/>
    <x v="14"/>
    <m/>
    <n v="0"/>
    <n v="0"/>
    <n v="0"/>
  </r>
  <r>
    <n v="4"/>
    <n v="1"/>
    <x v="1"/>
    <x v="2"/>
    <x v="2"/>
    <x v="28"/>
    <m/>
    <n v="0"/>
    <n v="0"/>
    <n v="1"/>
  </r>
  <r>
    <n v="4"/>
    <n v="2"/>
    <x v="0"/>
    <x v="0"/>
    <x v="0"/>
    <x v="8"/>
    <m/>
    <n v="0"/>
    <n v="1"/>
    <n v="0"/>
  </r>
  <r>
    <n v="4"/>
    <n v="2"/>
    <x v="0"/>
    <x v="1"/>
    <x v="1"/>
    <x v="8"/>
    <m/>
    <n v="1"/>
    <n v="0"/>
    <n v="0"/>
  </r>
  <r>
    <n v="4"/>
    <n v="2"/>
    <x v="0"/>
    <x v="0"/>
    <x v="0"/>
    <x v="3"/>
    <m/>
    <n v="1"/>
    <n v="1"/>
    <n v="1"/>
  </r>
  <r>
    <n v="4"/>
    <n v="1"/>
    <x v="1"/>
    <x v="1"/>
    <x v="3"/>
    <x v="3"/>
    <m/>
    <n v="0"/>
    <n v="0"/>
    <n v="0"/>
  </r>
  <r>
    <n v="4"/>
    <n v="2"/>
    <x v="0"/>
    <x v="2"/>
    <x v="2"/>
    <x v="32"/>
    <m/>
    <n v="0"/>
    <n v="0"/>
    <n v="1"/>
  </r>
  <r>
    <n v="4"/>
    <n v="1"/>
    <x v="1"/>
    <x v="0"/>
    <x v="0"/>
    <x v="11"/>
    <m/>
    <n v="0"/>
    <n v="1"/>
    <n v="0"/>
  </r>
  <r>
    <n v="4"/>
    <n v="2"/>
    <x v="0"/>
    <x v="1"/>
    <x v="3"/>
    <x v="11"/>
    <m/>
    <n v="0"/>
    <n v="0"/>
    <n v="0"/>
  </r>
  <r>
    <n v="4"/>
    <n v="1"/>
    <x v="1"/>
    <x v="2"/>
    <x v="2"/>
    <x v="24"/>
    <m/>
    <n v="0"/>
    <n v="0"/>
    <n v="1"/>
  </r>
  <r>
    <n v="4"/>
    <n v="2"/>
    <x v="0"/>
    <x v="2"/>
    <x v="2"/>
    <x v="31"/>
    <m/>
    <n v="0"/>
    <n v="0"/>
    <n v="0"/>
  </r>
  <r>
    <n v="4"/>
    <n v="2"/>
    <x v="0"/>
    <x v="0"/>
    <x v="0"/>
    <x v="1"/>
    <m/>
    <n v="1"/>
    <n v="1"/>
    <n v="0"/>
  </r>
  <r>
    <n v="4"/>
    <n v="2"/>
    <x v="0"/>
    <x v="1"/>
    <x v="1"/>
    <x v="1"/>
    <m/>
    <n v="1"/>
    <n v="0"/>
    <n v="0"/>
  </r>
  <r>
    <n v="4"/>
    <n v="1"/>
    <x v="1"/>
    <x v="2"/>
    <x v="2"/>
    <x v="27"/>
    <m/>
    <n v="0"/>
    <n v="0"/>
    <n v="1"/>
  </r>
  <r>
    <n v="4"/>
    <n v="2"/>
    <x v="0"/>
    <x v="2"/>
    <x v="2"/>
    <x v="29"/>
    <m/>
    <n v="0"/>
    <n v="0"/>
    <n v="0"/>
  </r>
  <r>
    <n v="4"/>
    <n v="2"/>
    <x v="0"/>
    <x v="0"/>
    <x v="0"/>
    <x v="13"/>
    <m/>
    <n v="1"/>
    <n v="1"/>
    <n v="0"/>
  </r>
  <r>
    <n v="4"/>
    <n v="1"/>
    <x v="1"/>
    <x v="1"/>
    <x v="3"/>
    <x v="13"/>
    <m/>
    <n v="0"/>
    <n v="0"/>
    <n v="0"/>
  </r>
  <r>
    <n v="4"/>
    <n v="1"/>
    <x v="1"/>
    <x v="0"/>
    <x v="0"/>
    <x v="10"/>
    <m/>
    <n v="1"/>
    <n v="1"/>
    <n v="1"/>
  </r>
  <r>
    <n v="4"/>
    <n v="1"/>
    <x v="1"/>
    <x v="1"/>
    <x v="1"/>
    <x v="10"/>
    <m/>
    <n v="1"/>
    <n v="0"/>
    <n v="0"/>
  </r>
  <r>
    <n v="4"/>
    <n v="1"/>
    <x v="1"/>
    <x v="2"/>
    <x v="2"/>
    <x v="26"/>
    <m/>
    <n v="1"/>
    <n v="0"/>
    <n v="1"/>
  </r>
  <r>
    <s v="BREAK"/>
    <m/>
    <x v="2"/>
    <x v="3"/>
    <x v="4"/>
    <x v="25"/>
    <m/>
    <n v="0"/>
    <n v="0"/>
    <n v="0"/>
  </r>
  <r>
    <n v="1"/>
    <n v="2"/>
    <x v="0"/>
    <x v="2"/>
    <x v="2"/>
    <x v="8"/>
    <m/>
    <n v="0"/>
    <n v="0"/>
    <n v="0"/>
  </r>
  <r>
    <n v="1"/>
    <n v="2"/>
    <x v="0"/>
    <x v="0"/>
    <x v="0"/>
    <x v="12"/>
    <m/>
    <n v="1"/>
    <n v="1"/>
    <n v="0"/>
  </r>
  <r>
    <n v="1"/>
    <n v="2"/>
    <x v="0"/>
    <x v="1"/>
    <x v="1"/>
    <x v="12"/>
    <m/>
    <n v="1"/>
    <n v="0"/>
    <n v="0"/>
  </r>
  <r>
    <n v="1"/>
    <n v="1"/>
    <x v="1"/>
    <x v="2"/>
    <x v="2"/>
    <x v="13"/>
    <m/>
    <n v="0"/>
    <n v="0"/>
    <n v="1"/>
  </r>
  <r>
    <n v="1"/>
    <n v="1"/>
    <x v="1"/>
    <x v="2"/>
    <x v="2"/>
    <x v="3"/>
    <m/>
    <n v="1"/>
    <n v="0"/>
    <n v="0"/>
  </r>
  <r>
    <n v="1"/>
    <n v="2"/>
    <x v="0"/>
    <x v="0"/>
    <x v="0"/>
    <x v="9"/>
    <m/>
    <n v="0"/>
    <n v="1"/>
    <n v="0"/>
  </r>
  <r>
    <n v="1"/>
    <n v="2"/>
    <x v="0"/>
    <x v="1"/>
    <x v="1"/>
    <x v="9"/>
    <m/>
    <n v="1"/>
    <n v="0"/>
    <n v="0"/>
  </r>
  <r>
    <n v="1"/>
    <n v="2"/>
    <x v="0"/>
    <x v="0"/>
    <x v="0"/>
    <x v="15"/>
    <m/>
    <n v="1"/>
    <n v="1"/>
    <n v="1"/>
  </r>
  <r>
    <n v="1"/>
    <n v="1"/>
    <x v="1"/>
    <x v="1"/>
    <x v="3"/>
    <x v="15"/>
    <m/>
    <n v="0"/>
    <n v="0"/>
    <n v="0"/>
  </r>
  <r>
    <n v="1"/>
    <n v="1"/>
    <x v="1"/>
    <x v="2"/>
    <x v="2"/>
    <x v="10"/>
    <m/>
    <n v="1"/>
    <n v="0"/>
    <n v="1"/>
  </r>
  <r>
    <n v="1"/>
    <n v="1"/>
    <x v="1"/>
    <x v="0"/>
    <x v="0"/>
    <x v="0"/>
    <m/>
    <n v="1"/>
    <n v="1"/>
    <n v="0"/>
  </r>
  <r>
    <n v="1"/>
    <n v="2"/>
    <x v="0"/>
    <x v="1"/>
    <x v="3"/>
    <x v="0"/>
    <m/>
    <n v="0"/>
    <n v="0"/>
    <n v="0"/>
  </r>
  <r>
    <n v="1"/>
    <n v="2"/>
    <x v="0"/>
    <x v="0"/>
    <x v="0"/>
    <x v="5"/>
    <m/>
    <n v="1"/>
    <n v="1"/>
    <n v="1"/>
  </r>
  <r>
    <n v="1"/>
    <n v="1"/>
    <x v="1"/>
    <x v="1"/>
    <x v="3"/>
    <x v="5"/>
    <m/>
    <n v="0"/>
    <n v="0"/>
    <n v="0"/>
  </r>
  <r>
    <n v="1"/>
    <n v="2"/>
    <x v="0"/>
    <x v="2"/>
    <x v="2"/>
    <x v="1"/>
    <m/>
    <n v="0"/>
    <n v="0"/>
    <n v="1"/>
  </r>
  <r>
    <n v="1"/>
    <n v="2"/>
    <x v="0"/>
    <x v="2"/>
    <x v="2"/>
    <x v="14"/>
    <m/>
    <n v="1"/>
    <n v="0"/>
    <n v="0"/>
  </r>
  <r>
    <n v="1"/>
    <n v="1"/>
    <x v="1"/>
    <x v="0"/>
    <x v="0"/>
    <x v="2"/>
    <m/>
    <n v="0"/>
    <n v="1"/>
    <n v="0"/>
  </r>
  <r>
    <n v="1"/>
    <n v="1"/>
    <x v="1"/>
    <x v="1"/>
    <x v="1"/>
    <x v="2"/>
    <m/>
    <n v="1"/>
    <n v="0"/>
    <n v="0"/>
  </r>
  <r>
    <n v="1"/>
    <n v="2"/>
    <x v="0"/>
    <x v="2"/>
    <x v="2"/>
    <x v="6"/>
    <m/>
    <n v="0"/>
    <n v="0"/>
    <n v="1"/>
  </r>
  <r>
    <n v="1"/>
    <n v="2"/>
    <x v="0"/>
    <x v="2"/>
    <x v="2"/>
    <x v="11"/>
    <m/>
    <n v="1"/>
    <n v="0"/>
    <n v="0"/>
  </r>
  <r>
    <n v="1"/>
    <n v="1"/>
    <x v="1"/>
    <x v="0"/>
    <x v="0"/>
    <x v="4"/>
    <m/>
    <n v="0"/>
    <n v="1"/>
    <n v="0"/>
  </r>
  <r>
    <n v="1"/>
    <n v="1"/>
    <x v="1"/>
    <x v="1"/>
    <x v="1"/>
    <x v="4"/>
    <m/>
    <n v="1"/>
    <n v="0"/>
    <n v="0"/>
  </r>
  <r>
    <n v="1"/>
    <n v="1"/>
    <x v="1"/>
    <x v="0"/>
    <x v="0"/>
    <x v="7"/>
    <m/>
    <n v="1"/>
    <n v="1"/>
    <n v="1"/>
  </r>
  <r>
    <n v="1"/>
    <n v="2"/>
    <x v="0"/>
    <x v="1"/>
    <x v="3"/>
    <x v="7"/>
    <m/>
    <n v="0"/>
    <n v="0"/>
    <n v="0"/>
  </r>
  <r>
    <n v="2"/>
    <n v="2"/>
    <x v="0"/>
    <x v="2"/>
    <x v="2"/>
    <x v="12"/>
    <m/>
    <n v="1"/>
    <n v="0"/>
    <n v="1"/>
  </r>
  <r>
    <n v="2"/>
    <n v="1"/>
    <x v="1"/>
    <x v="2"/>
    <x v="2"/>
    <x v="4"/>
    <m/>
    <n v="0"/>
    <n v="0"/>
    <n v="0"/>
  </r>
  <r>
    <n v="2"/>
    <n v="1"/>
    <x v="1"/>
    <x v="0"/>
    <x v="0"/>
    <x v="22"/>
    <m/>
    <n v="1"/>
    <n v="1"/>
    <n v="0"/>
  </r>
  <r>
    <n v="2"/>
    <n v="1"/>
    <x v="1"/>
    <x v="1"/>
    <x v="1"/>
    <x v="22"/>
    <m/>
    <n v="1"/>
    <n v="0"/>
    <n v="0"/>
  </r>
  <r>
    <n v="2"/>
    <n v="2"/>
    <x v="0"/>
    <x v="2"/>
    <x v="2"/>
    <x v="9"/>
    <m/>
    <n v="0"/>
    <n v="0"/>
    <n v="1"/>
  </r>
  <r>
    <n v="2"/>
    <n v="1"/>
    <x v="1"/>
    <x v="0"/>
    <x v="0"/>
    <x v="21"/>
    <m/>
    <n v="0"/>
    <n v="1"/>
    <n v="0"/>
  </r>
  <r>
    <n v="2"/>
    <n v="1"/>
    <x v="1"/>
    <x v="1"/>
    <x v="1"/>
    <x v="21"/>
    <m/>
    <n v="1"/>
    <n v="0"/>
    <n v="0"/>
  </r>
  <r>
    <n v="2"/>
    <n v="1"/>
    <x v="1"/>
    <x v="0"/>
    <x v="0"/>
    <x v="19"/>
    <m/>
    <n v="1"/>
    <n v="1"/>
    <n v="1"/>
  </r>
  <r>
    <n v="2"/>
    <n v="2"/>
    <x v="0"/>
    <x v="1"/>
    <x v="3"/>
    <x v="19"/>
    <m/>
    <n v="0"/>
    <n v="0"/>
    <n v="0"/>
  </r>
  <r>
    <n v="2"/>
    <n v="2"/>
    <x v="0"/>
    <x v="2"/>
    <x v="2"/>
    <x v="15"/>
    <m/>
    <n v="1"/>
    <n v="0"/>
    <n v="1"/>
  </r>
  <r>
    <n v="2"/>
    <n v="2"/>
    <x v="0"/>
    <x v="0"/>
    <x v="0"/>
    <x v="20"/>
    <m/>
    <n v="1"/>
    <n v="1"/>
    <n v="0"/>
  </r>
  <r>
    <n v="2"/>
    <n v="1"/>
    <x v="1"/>
    <x v="1"/>
    <x v="3"/>
    <x v="20"/>
    <m/>
    <n v="0"/>
    <n v="0"/>
    <n v="0"/>
  </r>
  <r>
    <n v="2"/>
    <n v="1"/>
    <x v="1"/>
    <x v="2"/>
    <x v="2"/>
    <x v="0"/>
    <m/>
    <n v="1"/>
    <n v="0"/>
    <n v="1"/>
  </r>
  <r>
    <n v="2"/>
    <n v="1"/>
    <x v="1"/>
    <x v="0"/>
    <x v="0"/>
    <x v="23"/>
    <m/>
    <n v="1"/>
    <n v="1"/>
    <n v="0"/>
  </r>
  <r>
    <n v="2"/>
    <n v="2"/>
    <x v="0"/>
    <x v="1"/>
    <x v="3"/>
    <x v="23"/>
    <m/>
    <n v="0"/>
    <n v="0"/>
    <n v="0"/>
  </r>
  <r>
    <n v="2"/>
    <n v="1"/>
    <x v="1"/>
    <x v="2"/>
    <x v="2"/>
    <x v="5"/>
    <m/>
    <n v="0"/>
    <n v="0"/>
    <n v="1"/>
  </r>
  <r>
    <n v="2"/>
    <n v="2"/>
    <x v="0"/>
    <x v="0"/>
    <x v="0"/>
    <x v="17"/>
    <m/>
    <n v="0"/>
    <n v="1"/>
    <n v="0"/>
  </r>
  <r>
    <n v="2"/>
    <n v="2"/>
    <x v="0"/>
    <x v="1"/>
    <x v="1"/>
    <x v="17"/>
    <m/>
    <n v="1"/>
    <n v="0"/>
    <n v="0"/>
  </r>
  <r>
    <n v="2"/>
    <n v="1"/>
    <x v="1"/>
    <x v="2"/>
    <x v="2"/>
    <x v="2"/>
    <m/>
    <n v="0"/>
    <n v="0"/>
    <n v="1"/>
  </r>
  <r>
    <n v="2"/>
    <n v="2"/>
    <x v="0"/>
    <x v="0"/>
    <x v="0"/>
    <x v="16"/>
    <m/>
    <n v="0"/>
    <n v="1"/>
    <n v="0"/>
  </r>
  <r>
    <n v="2"/>
    <n v="2"/>
    <x v="0"/>
    <x v="1"/>
    <x v="1"/>
    <x v="16"/>
    <m/>
    <n v="1"/>
    <n v="0"/>
    <n v="0"/>
  </r>
  <r>
    <n v="2"/>
    <n v="2"/>
    <x v="0"/>
    <x v="2"/>
    <x v="2"/>
    <x v="7"/>
    <m/>
    <n v="1"/>
    <n v="0"/>
    <n v="1"/>
  </r>
  <r>
    <n v="2"/>
    <n v="2"/>
    <x v="0"/>
    <x v="0"/>
    <x v="0"/>
    <x v="18"/>
    <m/>
    <n v="1"/>
    <n v="1"/>
    <n v="0"/>
  </r>
  <r>
    <n v="2"/>
    <n v="1"/>
    <x v="1"/>
    <x v="1"/>
    <x v="3"/>
    <x v="18"/>
    <m/>
    <n v="0"/>
    <n v="0"/>
    <n v="0"/>
  </r>
  <r>
    <n v="3"/>
    <n v="1"/>
    <x v="1"/>
    <x v="2"/>
    <x v="2"/>
    <x v="22"/>
    <m/>
    <n v="1"/>
    <n v="0"/>
    <n v="1"/>
  </r>
  <r>
    <n v="3"/>
    <n v="1"/>
    <x v="1"/>
    <x v="0"/>
    <x v="0"/>
    <x v="28"/>
    <m/>
    <n v="1"/>
    <n v="1"/>
    <n v="0"/>
  </r>
  <r>
    <n v="3"/>
    <n v="2"/>
    <x v="0"/>
    <x v="1"/>
    <x v="3"/>
    <x v="28"/>
    <m/>
    <n v="0"/>
    <n v="0"/>
    <n v="0"/>
  </r>
  <r>
    <n v="3"/>
    <n v="2"/>
    <x v="0"/>
    <x v="2"/>
    <x v="2"/>
    <x v="21"/>
    <m/>
    <n v="1"/>
    <n v="0"/>
    <n v="1"/>
  </r>
  <r>
    <n v="3"/>
    <n v="2"/>
    <x v="0"/>
    <x v="0"/>
    <x v="0"/>
    <x v="31"/>
    <m/>
    <n v="1"/>
    <n v="1"/>
    <n v="0"/>
  </r>
  <r>
    <n v="3"/>
    <n v="1"/>
    <x v="1"/>
    <x v="1"/>
    <x v="3"/>
    <x v="31"/>
    <m/>
    <n v="0"/>
    <n v="0"/>
    <n v="0"/>
  </r>
  <r>
    <n v="3"/>
    <n v="1"/>
    <x v="1"/>
    <x v="0"/>
    <x v="0"/>
    <x v="26"/>
    <m/>
    <n v="1"/>
    <n v="1"/>
    <n v="1"/>
  </r>
  <r>
    <n v="3"/>
    <n v="2"/>
    <x v="0"/>
    <x v="1"/>
    <x v="3"/>
    <x v="26"/>
    <m/>
    <n v="0"/>
    <n v="0"/>
    <n v="0"/>
  </r>
  <r>
    <n v="3"/>
    <n v="1"/>
    <x v="1"/>
    <x v="2"/>
    <x v="2"/>
    <x v="23"/>
    <m/>
    <n v="0"/>
    <n v="0"/>
    <n v="1"/>
  </r>
  <r>
    <n v="3"/>
    <n v="2"/>
    <x v="0"/>
    <x v="0"/>
    <x v="0"/>
    <x v="30"/>
    <m/>
    <n v="0"/>
    <n v="1"/>
    <n v="0"/>
  </r>
  <r>
    <n v="3"/>
    <n v="2"/>
    <x v="0"/>
    <x v="1"/>
    <x v="1"/>
    <x v="30"/>
    <m/>
    <n v="1"/>
    <n v="0"/>
    <n v="0"/>
  </r>
  <r>
    <n v="3"/>
    <n v="1"/>
    <x v="1"/>
    <x v="2"/>
    <x v="2"/>
    <x v="17"/>
    <m/>
    <n v="0"/>
    <n v="0"/>
    <n v="1"/>
  </r>
  <r>
    <n v="3"/>
    <n v="2"/>
    <x v="0"/>
    <x v="0"/>
    <x v="0"/>
    <x v="32"/>
    <m/>
    <n v="0"/>
    <n v="1"/>
    <n v="0"/>
  </r>
  <r>
    <n v="3"/>
    <n v="2"/>
    <x v="0"/>
    <x v="1"/>
    <x v="1"/>
    <x v="32"/>
    <m/>
    <n v="1"/>
    <n v="0"/>
    <n v="0"/>
  </r>
  <r>
    <n v="3"/>
    <n v="2"/>
    <x v="0"/>
    <x v="0"/>
    <x v="0"/>
    <x v="29"/>
    <m/>
    <n v="1"/>
    <n v="1"/>
    <n v="1"/>
  </r>
  <r>
    <n v="3"/>
    <n v="1"/>
    <x v="1"/>
    <x v="1"/>
    <x v="3"/>
    <x v="29"/>
    <m/>
    <n v="0"/>
    <n v="0"/>
    <n v="0"/>
  </r>
  <r>
    <n v="3"/>
    <n v="2"/>
    <x v="0"/>
    <x v="2"/>
    <x v="2"/>
    <x v="19"/>
    <m/>
    <n v="0"/>
    <n v="0"/>
    <n v="1"/>
  </r>
  <r>
    <n v="3"/>
    <n v="1"/>
    <x v="1"/>
    <x v="2"/>
    <x v="2"/>
    <x v="20"/>
    <m/>
    <n v="0"/>
    <n v="0"/>
    <n v="0"/>
  </r>
  <r>
    <n v="3"/>
    <n v="1"/>
    <x v="1"/>
    <x v="0"/>
    <x v="0"/>
    <x v="27"/>
    <m/>
    <n v="1"/>
    <n v="1"/>
    <n v="0"/>
  </r>
  <r>
    <n v="3"/>
    <n v="1"/>
    <x v="1"/>
    <x v="1"/>
    <x v="1"/>
    <x v="27"/>
    <m/>
    <n v="1"/>
    <n v="0"/>
    <n v="0"/>
  </r>
  <r>
    <n v="3"/>
    <n v="2"/>
    <x v="0"/>
    <x v="2"/>
    <x v="2"/>
    <x v="18"/>
    <m/>
    <n v="0"/>
    <n v="0"/>
    <n v="1"/>
  </r>
  <r>
    <n v="3"/>
    <n v="1"/>
    <x v="1"/>
    <x v="0"/>
    <x v="0"/>
    <x v="24"/>
    <m/>
    <n v="0"/>
    <n v="1"/>
    <n v="0"/>
  </r>
  <r>
    <n v="3"/>
    <n v="1"/>
    <x v="1"/>
    <x v="1"/>
    <x v="1"/>
    <x v="24"/>
    <m/>
    <n v="1"/>
    <n v="0"/>
    <n v="0"/>
  </r>
  <r>
    <n v="3"/>
    <n v="2"/>
    <x v="0"/>
    <x v="2"/>
    <x v="2"/>
    <x v="16"/>
    <m/>
    <n v="0"/>
    <n v="0"/>
    <n v="1"/>
  </r>
  <r>
    <n v="4"/>
    <n v="1"/>
    <x v="1"/>
    <x v="0"/>
    <x v="0"/>
    <x v="8"/>
    <m/>
    <n v="0"/>
    <n v="1"/>
    <n v="0"/>
  </r>
  <r>
    <n v="4"/>
    <n v="1"/>
    <x v="1"/>
    <x v="1"/>
    <x v="1"/>
    <x v="8"/>
    <m/>
    <n v="1"/>
    <n v="0"/>
    <n v="0"/>
  </r>
  <r>
    <n v="4"/>
    <n v="2"/>
    <x v="0"/>
    <x v="2"/>
    <x v="2"/>
    <x v="28"/>
    <m/>
    <n v="0"/>
    <n v="0"/>
    <n v="1"/>
  </r>
  <r>
    <n v="4"/>
    <n v="1"/>
    <x v="1"/>
    <x v="0"/>
    <x v="0"/>
    <x v="13"/>
    <m/>
    <n v="0"/>
    <n v="1"/>
    <n v="0"/>
  </r>
  <r>
    <n v="4"/>
    <n v="2"/>
    <x v="0"/>
    <x v="1"/>
    <x v="3"/>
    <x v="13"/>
    <m/>
    <n v="0"/>
    <n v="0"/>
    <n v="0"/>
  </r>
  <r>
    <n v="4"/>
    <n v="2"/>
    <x v="0"/>
    <x v="0"/>
    <x v="0"/>
    <x v="3"/>
    <m/>
    <n v="1"/>
    <n v="1"/>
    <n v="1"/>
  </r>
  <r>
    <n v="4"/>
    <n v="2"/>
    <x v="0"/>
    <x v="1"/>
    <x v="1"/>
    <x v="3"/>
    <m/>
    <n v="1"/>
    <n v="0"/>
    <n v="0"/>
  </r>
  <r>
    <n v="4"/>
    <n v="1"/>
    <x v="1"/>
    <x v="2"/>
    <x v="2"/>
    <x v="31"/>
    <m/>
    <n v="0"/>
    <n v="0"/>
    <n v="1"/>
  </r>
  <r>
    <n v="4"/>
    <n v="2"/>
    <x v="0"/>
    <x v="2"/>
    <x v="2"/>
    <x v="26"/>
    <m/>
    <n v="0"/>
    <n v="0"/>
    <n v="0"/>
  </r>
  <r>
    <n v="4"/>
    <n v="2"/>
    <x v="0"/>
    <x v="0"/>
    <x v="0"/>
    <x v="10"/>
    <m/>
    <n v="1"/>
    <n v="1"/>
    <n v="0"/>
  </r>
  <r>
    <n v="4"/>
    <n v="1"/>
    <x v="1"/>
    <x v="1"/>
    <x v="3"/>
    <x v="10"/>
    <m/>
    <n v="0"/>
    <n v="0"/>
    <n v="0"/>
  </r>
  <r>
    <n v="4"/>
    <n v="1"/>
    <x v="1"/>
    <x v="0"/>
    <x v="0"/>
    <x v="1"/>
    <m/>
    <n v="1"/>
    <n v="1"/>
    <n v="1"/>
  </r>
  <r>
    <n v="4"/>
    <n v="2"/>
    <x v="0"/>
    <x v="1"/>
    <x v="3"/>
    <x v="1"/>
    <m/>
    <n v="0"/>
    <n v="0"/>
    <n v="0"/>
  </r>
  <r>
    <n v="4"/>
    <n v="1"/>
    <x v="1"/>
    <x v="2"/>
    <x v="2"/>
    <x v="30"/>
    <m/>
    <n v="0"/>
    <n v="0"/>
    <n v="1"/>
  </r>
  <r>
    <n v="4"/>
    <n v="2"/>
    <x v="0"/>
    <x v="0"/>
    <x v="0"/>
    <x v="14"/>
    <m/>
    <n v="0"/>
    <n v="1"/>
    <n v="0"/>
  </r>
  <r>
    <n v="4"/>
    <n v="2"/>
    <x v="0"/>
    <x v="1"/>
    <x v="1"/>
    <x v="14"/>
    <m/>
    <n v="1"/>
    <n v="0"/>
    <n v="0"/>
  </r>
  <r>
    <n v="4"/>
    <n v="1"/>
    <x v="1"/>
    <x v="2"/>
    <x v="2"/>
    <x v="32"/>
    <m/>
    <n v="0"/>
    <n v="0"/>
    <n v="1"/>
  </r>
  <r>
    <n v="4"/>
    <n v="2"/>
    <x v="0"/>
    <x v="2"/>
    <x v="2"/>
    <x v="24"/>
    <m/>
    <n v="0"/>
    <n v="0"/>
    <n v="0"/>
  </r>
  <r>
    <n v="4"/>
    <n v="2"/>
    <x v="0"/>
    <x v="0"/>
    <x v="0"/>
    <x v="6"/>
    <m/>
    <n v="1"/>
    <n v="1"/>
    <n v="0"/>
  </r>
  <r>
    <n v="4"/>
    <n v="1"/>
    <x v="1"/>
    <x v="1"/>
    <x v="3"/>
    <x v="6"/>
    <m/>
    <n v="0"/>
    <n v="0"/>
    <n v="0"/>
  </r>
  <r>
    <n v="4"/>
    <n v="1"/>
    <x v="1"/>
    <x v="2"/>
    <x v="2"/>
    <x v="29"/>
    <m/>
    <n v="1"/>
    <n v="0"/>
    <n v="1"/>
  </r>
  <r>
    <n v="4"/>
    <n v="2"/>
    <x v="0"/>
    <x v="2"/>
    <x v="2"/>
    <x v="25"/>
    <s v="here"/>
    <n v="0"/>
    <n v="0"/>
    <n v="0"/>
  </r>
  <r>
    <n v="4"/>
    <n v="1"/>
    <x v="1"/>
    <x v="2"/>
    <x v="2"/>
    <x v="27"/>
    <m/>
    <n v="0"/>
    <n v="0"/>
    <n v="0"/>
  </r>
  <r>
    <n v="4"/>
    <n v="1"/>
    <x v="1"/>
    <x v="0"/>
    <x v="0"/>
    <x v="11"/>
    <m/>
    <n v="1"/>
    <n v="1"/>
    <n v="0"/>
  </r>
  <r>
    <n v="4"/>
    <n v="1"/>
    <x v="1"/>
    <x v="1"/>
    <x v="1"/>
    <x v="11"/>
    <m/>
    <n v="1"/>
    <n v="0"/>
    <n v="0"/>
  </r>
  <r>
    <s v="BREAK"/>
    <m/>
    <x v="2"/>
    <x v="3"/>
    <x v="4"/>
    <x v="25"/>
    <m/>
    <n v="0"/>
    <n v="0"/>
    <n v="1"/>
  </r>
  <r>
    <n v="1"/>
    <n v="2"/>
    <x v="0"/>
    <x v="2"/>
    <x v="2"/>
    <x v="13"/>
    <m/>
    <n v="0"/>
    <n v="0"/>
    <n v="0"/>
  </r>
  <r>
    <n v="1"/>
    <n v="2"/>
    <x v="0"/>
    <x v="0"/>
    <x v="0"/>
    <x v="7"/>
    <m/>
    <n v="1"/>
    <n v="1"/>
    <n v="0"/>
  </r>
  <r>
    <n v="1"/>
    <n v="2"/>
    <x v="0"/>
    <x v="1"/>
    <x v="1"/>
    <x v="7"/>
    <m/>
    <n v="1"/>
    <n v="0"/>
    <n v="0"/>
  </r>
  <r>
    <n v="1"/>
    <n v="1"/>
    <x v="1"/>
    <x v="2"/>
    <x v="2"/>
    <x v="6"/>
    <m/>
    <n v="0"/>
    <n v="0"/>
    <n v="1"/>
  </r>
  <r>
    <n v="1"/>
    <n v="1"/>
    <x v="1"/>
    <x v="2"/>
    <x v="2"/>
    <x v="1"/>
    <m/>
    <n v="1"/>
    <n v="0"/>
    <n v="0"/>
  </r>
  <r>
    <n v="1"/>
    <n v="2"/>
    <x v="0"/>
    <x v="0"/>
    <x v="0"/>
    <x v="15"/>
    <m/>
    <n v="0"/>
    <n v="1"/>
    <n v="0"/>
  </r>
  <r>
    <n v="1"/>
    <n v="2"/>
    <x v="0"/>
    <x v="1"/>
    <x v="1"/>
    <x v="15"/>
    <m/>
    <n v="1"/>
    <n v="0"/>
    <n v="0"/>
  </r>
  <r>
    <n v="1"/>
    <n v="1"/>
    <x v="1"/>
    <x v="2"/>
    <x v="2"/>
    <x v="14"/>
    <m/>
    <n v="0"/>
    <n v="0"/>
    <n v="1"/>
  </r>
  <r>
    <n v="1"/>
    <n v="2"/>
    <x v="0"/>
    <x v="0"/>
    <x v="0"/>
    <x v="12"/>
    <m/>
    <n v="0"/>
    <n v="1"/>
    <n v="0"/>
  </r>
  <r>
    <n v="1"/>
    <n v="1"/>
    <x v="1"/>
    <x v="1"/>
    <x v="3"/>
    <x v="12"/>
    <m/>
    <n v="0"/>
    <n v="0"/>
    <n v="0"/>
  </r>
  <r>
    <n v="1"/>
    <n v="1"/>
    <x v="1"/>
    <x v="2"/>
    <x v="2"/>
    <x v="8"/>
    <m/>
    <n v="1"/>
    <n v="0"/>
    <n v="1"/>
  </r>
  <r>
    <n v="1"/>
    <n v="1"/>
    <x v="1"/>
    <x v="0"/>
    <x v="0"/>
    <x v="4"/>
    <m/>
    <n v="1"/>
    <n v="1"/>
    <n v="0"/>
  </r>
  <r>
    <n v="1"/>
    <n v="2"/>
    <x v="0"/>
    <x v="1"/>
    <x v="3"/>
    <x v="4"/>
    <m/>
    <n v="0"/>
    <n v="0"/>
    <n v="0"/>
  </r>
  <r>
    <n v="1"/>
    <n v="2"/>
    <x v="0"/>
    <x v="0"/>
    <x v="0"/>
    <x v="2"/>
    <m/>
    <n v="1"/>
    <n v="1"/>
    <n v="1"/>
  </r>
  <r>
    <n v="1"/>
    <n v="1"/>
    <x v="1"/>
    <x v="1"/>
    <x v="3"/>
    <x v="2"/>
    <m/>
    <n v="0"/>
    <n v="0"/>
    <n v="0"/>
  </r>
  <r>
    <n v="1"/>
    <n v="1"/>
    <x v="1"/>
    <x v="2"/>
    <x v="2"/>
    <x v="11"/>
    <m/>
    <n v="1"/>
    <n v="0"/>
    <n v="1"/>
  </r>
  <r>
    <n v="1"/>
    <n v="2"/>
    <x v="0"/>
    <x v="2"/>
    <x v="2"/>
    <x v="10"/>
    <m/>
    <n v="0"/>
    <n v="0"/>
    <n v="0"/>
  </r>
  <r>
    <n v="1"/>
    <n v="1"/>
    <x v="1"/>
    <x v="0"/>
    <x v="0"/>
    <x v="5"/>
    <m/>
    <n v="0"/>
    <n v="1"/>
    <n v="0"/>
  </r>
  <r>
    <n v="1"/>
    <n v="1"/>
    <x v="1"/>
    <x v="1"/>
    <x v="1"/>
    <x v="5"/>
    <m/>
    <n v="1"/>
    <n v="0"/>
    <n v="0"/>
  </r>
  <r>
    <n v="1"/>
    <n v="2"/>
    <x v="0"/>
    <x v="2"/>
    <x v="2"/>
    <x v="3"/>
    <m/>
    <n v="0"/>
    <n v="0"/>
    <n v="1"/>
  </r>
  <r>
    <n v="1"/>
    <n v="1"/>
    <x v="1"/>
    <x v="0"/>
    <x v="0"/>
    <x v="0"/>
    <m/>
    <n v="0"/>
    <n v="1"/>
    <n v="0"/>
  </r>
  <r>
    <n v="1"/>
    <n v="1"/>
    <x v="1"/>
    <x v="1"/>
    <x v="1"/>
    <x v="0"/>
    <m/>
    <n v="1"/>
    <n v="0"/>
    <n v="0"/>
  </r>
  <r>
    <n v="1"/>
    <n v="1"/>
    <x v="1"/>
    <x v="0"/>
    <x v="0"/>
    <x v="9"/>
    <m/>
    <n v="1"/>
    <n v="1"/>
    <n v="1"/>
  </r>
  <r>
    <n v="1"/>
    <n v="2"/>
    <x v="0"/>
    <x v="1"/>
    <x v="3"/>
    <x v="9"/>
    <m/>
    <n v="0"/>
    <n v="0"/>
    <n v="0"/>
  </r>
  <r>
    <n v="2"/>
    <n v="1"/>
    <x v="1"/>
    <x v="0"/>
    <x v="0"/>
    <x v="23"/>
    <m/>
    <n v="0"/>
    <n v="1"/>
    <n v="1"/>
  </r>
  <r>
    <n v="2"/>
    <n v="1"/>
    <x v="1"/>
    <x v="1"/>
    <x v="1"/>
    <x v="23"/>
    <m/>
    <n v="1"/>
    <n v="0"/>
    <n v="0"/>
  </r>
  <r>
    <n v="2"/>
    <n v="1"/>
    <x v="1"/>
    <x v="2"/>
    <x v="2"/>
    <x v="7"/>
    <m/>
    <n v="1"/>
    <n v="0"/>
    <n v="1"/>
  </r>
  <r>
    <n v="2"/>
    <n v="2"/>
    <x v="0"/>
    <x v="2"/>
    <x v="2"/>
    <x v="0"/>
    <m/>
    <n v="0"/>
    <n v="0"/>
    <n v="0"/>
  </r>
  <r>
    <n v="2"/>
    <n v="1"/>
    <x v="1"/>
    <x v="0"/>
    <x v="0"/>
    <x v="19"/>
    <m/>
    <n v="0"/>
    <n v="1"/>
    <n v="0"/>
  </r>
  <r>
    <n v="2"/>
    <n v="1"/>
    <x v="1"/>
    <x v="1"/>
    <x v="1"/>
    <x v="19"/>
    <m/>
    <n v="1"/>
    <n v="0"/>
    <n v="0"/>
  </r>
  <r>
    <n v="2"/>
    <n v="1"/>
    <x v="1"/>
    <x v="2"/>
    <x v="2"/>
    <x v="15"/>
    <m/>
    <n v="1"/>
    <n v="0"/>
    <n v="1"/>
  </r>
  <r>
    <n v="2"/>
    <n v="2"/>
    <x v="0"/>
    <x v="2"/>
    <x v="2"/>
    <x v="25"/>
    <s v="here"/>
    <n v="0"/>
    <n v="0"/>
    <n v="0"/>
  </r>
  <r>
    <n v="2"/>
    <n v="1"/>
    <x v="1"/>
    <x v="2"/>
    <x v="2"/>
    <x v="12"/>
    <m/>
    <n v="0"/>
    <n v="0"/>
    <n v="0"/>
  </r>
  <r>
    <n v="2"/>
    <n v="1"/>
    <x v="1"/>
    <x v="0"/>
    <x v="0"/>
    <x v="21"/>
    <m/>
    <n v="1"/>
    <n v="1"/>
    <n v="0"/>
  </r>
  <r>
    <n v="2"/>
    <n v="1"/>
    <x v="0"/>
    <x v="1"/>
    <x v="3"/>
    <x v="21"/>
    <m/>
    <n v="0"/>
    <n v="0"/>
    <n v="0"/>
  </r>
  <r>
    <n v="2"/>
    <n v="2"/>
    <x v="0"/>
    <x v="2"/>
    <x v="2"/>
    <x v="4"/>
    <m/>
    <n v="1"/>
    <n v="0"/>
    <n v="1"/>
  </r>
  <r>
    <n v="2"/>
    <n v="2"/>
    <x v="0"/>
    <x v="0"/>
    <x v="0"/>
    <x v="17"/>
    <m/>
    <n v="1"/>
    <n v="1"/>
    <n v="0"/>
  </r>
  <r>
    <n v="2"/>
    <n v="1"/>
    <x v="1"/>
    <x v="1"/>
    <x v="3"/>
    <x v="17"/>
    <m/>
    <n v="0"/>
    <n v="0"/>
    <n v="0"/>
  </r>
  <r>
    <n v="2"/>
    <n v="1"/>
    <x v="1"/>
    <x v="2"/>
    <x v="2"/>
    <x v="2"/>
    <m/>
    <n v="1"/>
    <n v="0"/>
    <n v="1"/>
  </r>
  <r>
    <n v="2"/>
    <n v="1"/>
    <x v="1"/>
    <x v="0"/>
    <x v="0"/>
    <x v="22"/>
    <m/>
    <n v="1"/>
    <n v="1"/>
    <n v="0"/>
  </r>
  <r>
    <n v="2"/>
    <n v="2"/>
    <x v="0"/>
    <x v="1"/>
    <x v="3"/>
    <x v="22"/>
    <m/>
    <n v="0"/>
    <n v="0"/>
    <n v="0"/>
  </r>
  <r>
    <n v="2"/>
    <n v="2"/>
    <x v="0"/>
    <x v="0"/>
    <x v="0"/>
    <x v="18"/>
    <m/>
    <n v="1"/>
    <n v="1"/>
    <n v="1"/>
  </r>
  <r>
    <n v="2"/>
    <n v="2"/>
    <x v="0"/>
    <x v="1"/>
    <x v="1"/>
    <x v="18"/>
    <m/>
    <n v="1"/>
    <n v="0"/>
    <n v="0"/>
  </r>
  <r>
    <n v="2"/>
    <n v="1"/>
    <x v="1"/>
    <x v="2"/>
    <x v="2"/>
    <x v="5"/>
    <m/>
    <n v="0"/>
    <n v="0"/>
    <n v="1"/>
  </r>
  <r>
    <n v="2"/>
    <n v="2"/>
    <x v="0"/>
    <x v="0"/>
    <x v="0"/>
    <x v="20"/>
    <m/>
    <n v="0"/>
    <n v="1"/>
    <n v="0"/>
  </r>
  <r>
    <n v="2"/>
    <n v="2"/>
    <x v="0"/>
    <x v="1"/>
    <x v="1"/>
    <x v="20"/>
    <m/>
    <n v="1"/>
    <n v="0"/>
    <n v="0"/>
  </r>
  <r>
    <n v="2"/>
    <n v="2"/>
    <x v="0"/>
    <x v="2"/>
    <x v="2"/>
    <x v="9"/>
    <m/>
    <n v="1"/>
    <n v="0"/>
    <n v="1"/>
  </r>
  <r>
    <n v="2"/>
    <n v="2"/>
    <x v="0"/>
    <x v="0"/>
    <x v="0"/>
    <x v="16"/>
    <m/>
    <n v="1"/>
    <n v="1"/>
    <n v="0"/>
  </r>
  <r>
    <n v="2"/>
    <n v="1"/>
    <x v="1"/>
    <x v="1"/>
    <x v="3"/>
    <x v="16"/>
    <m/>
    <n v="0"/>
    <n v="0"/>
    <n v="0"/>
  </r>
  <r>
    <n v="3"/>
    <n v="1"/>
    <x v="1"/>
    <x v="0"/>
    <x v="0"/>
    <x v="29"/>
    <m/>
    <n v="1"/>
    <n v="1"/>
    <n v="1"/>
  </r>
  <r>
    <n v="3"/>
    <n v="2"/>
    <x v="0"/>
    <x v="1"/>
    <x v="3"/>
    <x v="29"/>
    <m/>
    <n v="0"/>
    <n v="0"/>
    <n v="0"/>
  </r>
  <r>
    <n v="3"/>
    <n v="2"/>
    <x v="0"/>
    <x v="2"/>
    <x v="2"/>
    <x v="23"/>
    <m/>
    <n v="1"/>
    <n v="0"/>
    <n v="1"/>
  </r>
  <r>
    <n v="3"/>
    <n v="2"/>
    <x v="0"/>
    <x v="0"/>
    <x v="0"/>
    <x v="24"/>
    <m/>
    <n v="1"/>
    <n v="1"/>
    <n v="0"/>
  </r>
  <r>
    <n v="3"/>
    <n v="1"/>
    <x v="1"/>
    <x v="1"/>
    <x v="3"/>
    <x v="24"/>
    <m/>
    <n v="0"/>
    <n v="0"/>
    <n v="0"/>
  </r>
  <r>
    <n v="3"/>
    <n v="1"/>
    <x v="1"/>
    <x v="2"/>
    <x v="2"/>
    <x v="19"/>
    <m/>
    <n v="1"/>
    <n v="0"/>
    <n v="1"/>
  </r>
  <r>
    <n v="3"/>
    <n v="1"/>
    <x v="1"/>
    <x v="0"/>
    <x v="0"/>
    <x v="31"/>
    <m/>
    <n v="1"/>
    <n v="1"/>
    <n v="0"/>
  </r>
  <r>
    <n v="3"/>
    <n v="2"/>
    <x v="0"/>
    <x v="1"/>
    <x v="3"/>
    <x v="31"/>
    <m/>
    <n v="0"/>
    <n v="0"/>
    <n v="0"/>
  </r>
  <r>
    <n v="3"/>
    <n v="1"/>
    <x v="1"/>
    <x v="2"/>
    <x v="2"/>
    <x v="21"/>
    <m/>
    <n v="0"/>
    <n v="0"/>
    <n v="1"/>
  </r>
  <r>
    <n v="3"/>
    <n v="2"/>
    <x v="0"/>
    <x v="0"/>
    <x v="0"/>
    <x v="27"/>
    <m/>
    <n v="0"/>
    <n v="1"/>
    <n v="0"/>
  </r>
  <r>
    <n v="3"/>
    <n v="2"/>
    <x v="0"/>
    <x v="1"/>
    <x v="1"/>
    <x v="27"/>
    <m/>
    <n v="1"/>
    <n v="0"/>
    <n v="0"/>
  </r>
  <r>
    <n v="3"/>
    <n v="2"/>
    <x v="0"/>
    <x v="2"/>
    <x v="2"/>
    <x v="17"/>
    <m/>
    <n v="1"/>
    <n v="0"/>
    <n v="1"/>
  </r>
  <r>
    <n v="3"/>
    <n v="1"/>
    <x v="1"/>
    <x v="2"/>
    <x v="2"/>
    <x v="22"/>
    <m/>
    <n v="0"/>
    <n v="0"/>
    <n v="0"/>
  </r>
  <r>
    <n v="3"/>
    <n v="2"/>
    <x v="0"/>
    <x v="0"/>
    <x v="0"/>
    <x v="26"/>
    <m/>
    <n v="0"/>
    <n v="1"/>
    <n v="0"/>
  </r>
  <r>
    <n v="3"/>
    <n v="2"/>
    <x v="0"/>
    <x v="1"/>
    <x v="1"/>
    <x v="26"/>
    <m/>
    <n v="1"/>
    <n v="0"/>
    <n v="0"/>
  </r>
  <r>
    <n v="3"/>
    <n v="2"/>
    <x v="0"/>
    <x v="0"/>
    <x v="0"/>
    <x v="32"/>
    <m/>
    <n v="1"/>
    <n v="1"/>
    <n v="1"/>
  </r>
  <r>
    <n v="3"/>
    <n v="1"/>
    <x v="1"/>
    <x v="1"/>
    <x v="3"/>
    <x v="32"/>
    <m/>
    <n v="0"/>
    <n v="0"/>
    <n v="0"/>
  </r>
  <r>
    <n v="3"/>
    <n v="2"/>
    <x v="0"/>
    <x v="2"/>
    <x v="2"/>
    <x v="20"/>
    <m/>
    <n v="0"/>
    <n v="0"/>
    <n v="1"/>
  </r>
  <r>
    <n v="3"/>
    <n v="1"/>
    <x v="1"/>
    <x v="2"/>
    <x v="2"/>
    <x v="18"/>
    <m/>
    <n v="0"/>
    <n v="0"/>
    <n v="0"/>
  </r>
  <r>
    <n v="3"/>
    <n v="1"/>
    <x v="1"/>
    <x v="0"/>
    <x v="0"/>
    <x v="30"/>
    <m/>
    <n v="1"/>
    <n v="1"/>
    <n v="0"/>
  </r>
  <r>
    <n v="3"/>
    <n v="1"/>
    <x v="1"/>
    <x v="1"/>
    <x v="1"/>
    <x v="30"/>
    <m/>
    <n v="1"/>
    <n v="0"/>
    <n v="0"/>
  </r>
  <r>
    <n v="3"/>
    <n v="2"/>
    <x v="0"/>
    <x v="2"/>
    <x v="2"/>
    <x v="16"/>
    <m/>
    <n v="0"/>
    <n v="0"/>
    <n v="1"/>
  </r>
  <r>
    <n v="3"/>
    <n v="1"/>
    <x v="1"/>
    <x v="0"/>
    <x v="0"/>
    <x v="28"/>
    <m/>
    <n v="0"/>
    <n v="1"/>
    <n v="0"/>
  </r>
  <r>
    <n v="3"/>
    <n v="1"/>
    <x v="1"/>
    <x v="1"/>
    <x v="1"/>
    <x v="28"/>
    <m/>
    <n v="1"/>
    <n v="0"/>
    <n v="0"/>
  </r>
  <r>
    <n v="4"/>
    <n v="1"/>
    <x v="1"/>
    <x v="2"/>
    <x v="2"/>
    <x v="24"/>
    <m/>
    <n v="1"/>
    <n v="0"/>
    <n v="1"/>
  </r>
  <r>
    <n v="4"/>
    <n v="2"/>
    <x v="0"/>
    <x v="2"/>
    <x v="2"/>
    <x v="29"/>
    <m/>
    <n v="0"/>
    <n v="0"/>
    <n v="0"/>
  </r>
  <r>
    <n v="4"/>
    <n v="1"/>
    <x v="1"/>
    <x v="0"/>
    <x v="0"/>
    <x v="13"/>
    <m/>
    <n v="0"/>
    <n v="1"/>
    <n v="0"/>
  </r>
  <r>
    <n v="4"/>
    <n v="1"/>
    <x v="1"/>
    <x v="1"/>
    <x v="1"/>
    <x v="13"/>
    <m/>
    <n v="1"/>
    <n v="0"/>
    <n v="0"/>
  </r>
  <r>
    <n v="4"/>
    <n v="1"/>
    <x v="1"/>
    <x v="0"/>
    <x v="0"/>
    <x v="6"/>
    <m/>
    <n v="1"/>
    <n v="1"/>
    <n v="1"/>
  </r>
  <r>
    <n v="4"/>
    <n v="2"/>
    <x v="0"/>
    <x v="1"/>
    <x v="3"/>
    <x v="6"/>
    <m/>
    <n v="0"/>
    <n v="0"/>
    <n v="0"/>
  </r>
  <r>
    <n v="4"/>
    <n v="1"/>
    <x v="1"/>
    <x v="2"/>
    <x v="2"/>
    <x v="31"/>
    <m/>
    <n v="0"/>
    <n v="0"/>
    <n v="1"/>
  </r>
  <r>
    <n v="4"/>
    <n v="2"/>
    <x v="0"/>
    <x v="0"/>
    <x v="0"/>
    <x v="10"/>
    <m/>
    <n v="0"/>
    <n v="1"/>
    <n v="0"/>
  </r>
  <r>
    <n v="4"/>
    <n v="2"/>
    <x v="0"/>
    <x v="1"/>
    <x v="1"/>
    <x v="10"/>
    <m/>
    <n v="1"/>
    <n v="0"/>
    <n v="0"/>
  </r>
  <r>
    <n v="4"/>
    <n v="2"/>
    <x v="0"/>
    <x v="0"/>
    <x v="0"/>
    <x v="1"/>
    <m/>
    <n v="1"/>
    <n v="1"/>
    <n v="1"/>
  </r>
  <r>
    <n v="4"/>
    <n v="1"/>
    <x v="1"/>
    <x v="1"/>
    <x v="3"/>
    <x v="1"/>
    <m/>
    <n v="0"/>
    <n v="0"/>
    <n v="0"/>
  </r>
  <r>
    <n v="4"/>
    <n v="2"/>
    <x v="0"/>
    <x v="2"/>
    <x v="2"/>
    <x v="27"/>
    <m/>
    <n v="0"/>
    <n v="0"/>
    <n v="1"/>
  </r>
  <r>
    <n v="4"/>
    <n v="1"/>
    <x v="1"/>
    <x v="0"/>
    <x v="0"/>
    <x v="8"/>
    <m/>
    <n v="0"/>
    <n v="1"/>
    <n v="0"/>
  </r>
  <r>
    <n v="4"/>
    <n v="2"/>
    <x v="0"/>
    <x v="1"/>
    <x v="3"/>
    <x v="8"/>
    <m/>
    <n v="0"/>
    <n v="0"/>
    <n v="0"/>
  </r>
  <r>
    <n v="4"/>
    <n v="2"/>
    <x v="0"/>
    <x v="2"/>
    <x v="2"/>
    <x v="26"/>
    <m/>
    <n v="1"/>
    <n v="0"/>
    <n v="1"/>
  </r>
  <r>
    <n v="4"/>
    <n v="2"/>
    <x v="0"/>
    <x v="0"/>
    <x v="0"/>
    <x v="11"/>
    <m/>
    <n v="1"/>
    <n v="1"/>
    <n v="0"/>
  </r>
  <r>
    <n v="4"/>
    <n v="2"/>
    <x v="0"/>
    <x v="1"/>
    <x v="1"/>
    <x v="11"/>
    <m/>
    <n v="1"/>
    <n v="0"/>
    <n v="0"/>
  </r>
  <r>
    <n v="4"/>
    <n v="1"/>
    <x v="1"/>
    <x v="2"/>
    <x v="2"/>
    <x v="32"/>
    <m/>
    <n v="0"/>
    <n v="0"/>
    <n v="1"/>
  </r>
  <r>
    <n v="4"/>
    <n v="2"/>
    <x v="0"/>
    <x v="2"/>
    <x v="2"/>
    <x v="30"/>
    <m/>
    <n v="0"/>
    <n v="0"/>
    <n v="0"/>
  </r>
  <r>
    <n v="4"/>
    <n v="2"/>
    <x v="0"/>
    <x v="0"/>
    <x v="0"/>
    <x v="14"/>
    <m/>
    <n v="1"/>
    <n v="1"/>
    <n v="0"/>
  </r>
  <r>
    <n v="4"/>
    <n v="1"/>
    <x v="1"/>
    <x v="1"/>
    <x v="3"/>
    <x v="14"/>
    <m/>
    <n v="0"/>
    <n v="0"/>
    <n v="0"/>
  </r>
  <r>
    <n v="4"/>
    <n v="1"/>
    <x v="1"/>
    <x v="2"/>
    <x v="2"/>
    <x v="28"/>
    <m/>
    <n v="1"/>
    <n v="0"/>
    <n v="1"/>
  </r>
  <r>
    <n v="4"/>
    <n v="1"/>
    <x v="1"/>
    <x v="0"/>
    <x v="0"/>
    <x v="3"/>
    <m/>
    <n v="1"/>
    <n v="1"/>
    <n v="0"/>
  </r>
  <r>
    <n v="4"/>
    <n v="1"/>
    <x v="1"/>
    <x v="1"/>
    <x v="1"/>
    <x v="3"/>
    <m/>
    <n v="1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n v="1"/>
    <n v="2"/>
    <x v="0"/>
    <x v="0"/>
    <x v="0"/>
    <x v="0"/>
    <m/>
    <x v="0"/>
    <n v="1"/>
    <n v="0"/>
  </r>
  <r>
    <n v="1"/>
    <n v="2"/>
    <x v="0"/>
    <x v="1"/>
    <x v="1"/>
    <x v="0"/>
    <m/>
    <x v="0"/>
    <n v="0"/>
    <n v="0"/>
  </r>
  <r>
    <n v="1"/>
    <n v="1"/>
    <x v="1"/>
    <x v="2"/>
    <x v="2"/>
    <x v="1"/>
    <m/>
    <x v="1"/>
    <n v="0"/>
    <n v="1"/>
  </r>
  <r>
    <n v="1"/>
    <n v="2"/>
    <x v="0"/>
    <x v="0"/>
    <x v="0"/>
    <x v="2"/>
    <m/>
    <x v="1"/>
    <n v="1"/>
    <n v="0"/>
  </r>
  <r>
    <n v="1"/>
    <n v="2"/>
    <x v="0"/>
    <x v="1"/>
    <x v="1"/>
    <x v="2"/>
    <m/>
    <x v="0"/>
    <n v="0"/>
    <n v="0"/>
  </r>
  <r>
    <n v="1"/>
    <n v="1"/>
    <x v="1"/>
    <x v="2"/>
    <x v="2"/>
    <x v="3"/>
    <m/>
    <x v="1"/>
    <n v="0"/>
    <n v="1"/>
  </r>
  <r>
    <n v="1"/>
    <n v="2"/>
    <x v="0"/>
    <x v="0"/>
    <x v="0"/>
    <x v="4"/>
    <m/>
    <x v="1"/>
    <n v="1"/>
    <n v="0"/>
  </r>
  <r>
    <n v="1"/>
    <n v="1"/>
    <x v="1"/>
    <x v="1"/>
    <x v="3"/>
    <x v="4"/>
    <m/>
    <x v="1"/>
    <n v="0"/>
    <n v="0"/>
  </r>
  <r>
    <n v="1"/>
    <n v="1"/>
    <x v="1"/>
    <x v="0"/>
    <x v="0"/>
    <x v="5"/>
    <m/>
    <x v="0"/>
    <n v="1"/>
    <n v="1"/>
  </r>
  <r>
    <n v="1"/>
    <n v="2"/>
    <x v="0"/>
    <x v="1"/>
    <x v="3"/>
    <x v="5"/>
    <m/>
    <x v="1"/>
    <n v="0"/>
    <n v="0"/>
  </r>
  <r>
    <n v="1"/>
    <n v="2"/>
    <x v="0"/>
    <x v="2"/>
    <x v="2"/>
    <x v="6"/>
    <m/>
    <x v="0"/>
    <n v="0"/>
    <n v="1"/>
  </r>
  <r>
    <n v="1"/>
    <n v="2"/>
    <x v="0"/>
    <x v="0"/>
    <x v="0"/>
    <x v="7"/>
    <m/>
    <x v="0"/>
    <n v="1"/>
    <n v="0"/>
  </r>
  <r>
    <n v="1"/>
    <n v="1"/>
    <x v="1"/>
    <x v="1"/>
    <x v="3"/>
    <x v="7"/>
    <m/>
    <x v="1"/>
    <n v="0"/>
    <n v="0"/>
  </r>
  <r>
    <n v="1"/>
    <n v="2"/>
    <x v="0"/>
    <x v="2"/>
    <x v="2"/>
    <x v="8"/>
    <m/>
    <x v="1"/>
    <n v="0"/>
    <n v="1"/>
  </r>
  <r>
    <n v="1"/>
    <n v="1"/>
    <x v="1"/>
    <x v="0"/>
    <x v="0"/>
    <x v="9"/>
    <m/>
    <x v="1"/>
    <n v="1"/>
    <n v="0"/>
  </r>
  <r>
    <n v="1"/>
    <n v="1"/>
    <x v="1"/>
    <x v="1"/>
    <x v="1"/>
    <x v="9"/>
    <m/>
    <x v="0"/>
    <n v="0"/>
    <n v="0"/>
  </r>
  <r>
    <n v="1"/>
    <n v="2"/>
    <x v="0"/>
    <x v="2"/>
    <x v="2"/>
    <x v="10"/>
    <m/>
    <x v="1"/>
    <n v="0"/>
    <n v="1"/>
  </r>
  <r>
    <n v="1"/>
    <n v="1"/>
    <x v="1"/>
    <x v="2"/>
    <x v="2"/>
    <x v="11"/>
    <m/>
    <x v="1"/>
    <n v="0"/>
    <n v="0"/>
  </r>
  <r>
    <n v="1"/>
    <n v="1"/>
    <x v="1"/>
    <x v="0"/>
    <x v="0"/>
    <x v="12"/>
    <m/>
    <x v="0"/>
    <n v="1"/>
    <n v="0"/>
  </r>
  <r>
    <n v="1"/>
    <n v="1"/>
    <x v="1"/>
    <x v="1"/>
    <x v="1"/>
    <x v="12"/>
    <m/>
    <x v="0"/>
    <n v="0"/>
    <n v="0"/>
  </r>
  <r>
    <n v="1"/>
    <n v="2"/>
    <x v="0"/>
    <x v="2"/>
    <x v="2"/>
    <x v="13"/>
    <m/>
    <x v="1"/>
    <n v="0"/>
    <n v="1"/>
  </r>
  <r>
    <n v="1"/>
    <n v="1"/>
    <x v="1"/>
    <x v="2"/>
    <x v="2"/>
    <x v="14"/>
    <m/>
    <x v="1"/>
    <n v="0"/>
    <n v="0"/>
  </r>
  <r>
    <n v="1"/>
    <n v="1"/>
    <x v="1"/>
    <x v="0"/>
    <x v="0"/>
    <x v="15"/>
    <m/>
    <x v="0"/>
    <n v="1"/>
    <n v="0"/>
  </r>
  <r>
    <n v="1"/>
    <n v="2"/>
    <x v="0"/>
    <x v="1"/>
    <x v="3"/>
    <x v="15"/>
    <m/>
    <x v="1"/>
    <n v="0"/>
    <n v="0"/>
  </r>
  <r>
    <n v="2"/>
    <n v="2"/>
    <x v="0"/>
    <x v="2"/>
    <x v="2"/>
    <x v="0"/>
    <m/>
    <x v="0"/>
    <n v="0"/>
    <n v="1"/>
  </r>
  <r>
    <n v="2"/>
    <n v="1"/>
    <x v="1"/>
    <x v="0"/>
    <x v="0"/>
    <x v="16"/>
    <m/>
    <x v="1"/>
    <n v="1"/>
    <n v="0"/>
  </r>
  <r>
    <n v="2"/>
    <n v="1"/>
    <x v="1"/>
    <x v="1"/>
    <x v="1"/>
    <x v="16"/>
    <m/>
    <x v="0"/>
    <n v="0"/>
    <n v="0"/>
  </r>
  <r>
    <n v="2"/>
    <n v="2"/>
    <x v="0"/>
    <x v="2"/>
    <x v="2"/>
    <x v="2"/>
    <m/>
    <x v="1"/>
    <n v="0"/>
    <n v="1"/>
  </r>
  <r>
    <n v="2"/>
    <n v="1"/>
    <x v="1"/>
    <x v="0"/>
    <x v="0"/>
    <x v="17"/>
    <m/>
    <x v="1"/>
    <n v="1"/>
    <n v="0"/>
  </r>
  <r>
    <n v="2"/>
    <n v="1"/>
    <x v="1"/>
    <x v="1"/>
    <x v="1"/>
    <x v="17"/>
    <m/>
    <x v="0"/>
    <n v="0"/>
    <n v="0"/>
  </r>
  <r>
    <n v="2"/>
    <n v="1"/>
    <x v="1"/>
    <x v="0"/>
    <x v="0"/>
    <x v="18"/>
    <m/>
    <x v="0"/>
    <n v="1"/>
    <n v="1"/>
  </r>
  <r>
    <n v="2"/>
    <n v="2"/>
    <x v="0"/>
    <x v="1"/>
    <x v="3"/>
    <x v="18"/>
    <m/>
    <x v="1"/>
    <n v="0"/>
    <n v="0"/>
  </r>
  <r>
    <n v="2"/>
    <n v="2"/>
    <x v="0"/>
    <x v="0"/>
    <x v="0"/>
    <x v="19"/>
    <m/>
    <x v="0"/>
    <n v="1"/>
    <n v="1"/>
  </r>
  <r>
    <n v="2"/>
    <n v="1"/>
    <x v="1"/>
    <x v="1"/>
    <x v="3"/>
    <x v="19"/>
    <m/>
    <x v="1"/>
    <n v="0"/>
    <n v="0"/>
  </r>
  <r>
    <n v="2"/>
    <n v="1"/>
    <x v="1"/>
    <x v="2"/>
    <x v="2"/>
    <x v="4"/>
    <m/>
    <x v="0"/>
    <n v="0"/>
    <n v="1"/>
  </r>
  <r>
    <n v="2"/>
    <n v="1"/>
    <x v="1"/>
    <x v="0"/>
    <x v="0"/>
    <x v="20"/>
    <m/>
    <x v="0"/>
    <n v="1"/>
    <n v="0"/>
  </r>
  <r>
    <n v="2"/>
    <n v="2"/>
    <x v="0"/>
    <x v="1"/>
    <x v="3"/>
    <x v="20"/>
    <m/>
    <x v="1"/>
    <n v="0"/>
    <n v="0"/>
  </r>
  <r>
    <n v="2"/>
    <n v="2"/>
    <x v="0"/>
    <x v="2"/>
    <x v="2"/>
    <x v="5"/>
    <m/>
    <x v="0"/>
    <n v="0"/>
    <n v="1"/>
  </r>
  <r>
    <n v="2"/>
    <n v="1"/>
    <x v="1"/>
    <x v="2"/>
    <x v="2"/>
    <x v="12"/>
    <m/>
    <x v="1"/>
    <n v="0"/>
    <n v="0"/>
  </r>
  <r>
    <n v="2"/>
    <n v="2"/>
    <x v="0"/>
    <x v="2"/>
    <x v="2"/>
    <x v="7"/>
    <m/>
    <x v="1"/>
    <n v="0"/>
    <n v="0"/>
  </r>
  <r>
    <n v="2"/>
    <n v="2"/>
    <x v="0"/>
    <x v="0"/>
    <x v="0"/>
    <x v="21"/>
    <m/>
    <x v="0"/>
    <n v="1"/>
    <n v="0"/>
  </r>
  <r>
    <n v="2"/>
    <n v="2"/>
    <x v="0"/>
    <x v="1"/>
    <x v="1"/>
    <x v="21"/>
    <m/>
    <x v="0"/>
    <n v="0"/>
    <n v="0"/>
  </r>
  <r>
    <n v="2"/>
    <n v="1"/>
    <x v="1"/>
    <x v="2"/>
    <x v="2"/>
    <x v="9"/>
    <m/>
    <x v="1"/>
    <n v="0"/>
    <n v="1"/>
  </r>
  <r>
    <n v="2"/>
    <n v="2"/>
    <x v="0"/>
    <x v="0"/>
    <x v="0"/>
    <x v="22"/>
    <m/>
    <x v="1"/>
    <n v="1"/>
    <n v="0"/>
  </r>
  <r>
    <n v="2"/>
    <n v="2"/>
    <x v="0"/>
    <x v="1"/>
    <x v="1"/>
    <x v="22"/>
    <m/>
    <x v="0"/>
    <n v="0"/>
    <n v="0"/>
  </r>
  <r>
    <n v="2"/>
    <n v="2"/>
    <x v="0"/>
    <x v="2"/>
    <x v="2"/>
    <x v="15"/>
    <m/>
    <x v="0"/>
    <n v="0"/>
    <n v="1"/>
  </r>
  <r>
    <n v="2"/>
    <n v="2"/>
    <x v="0"/>
    <x v="0"/>
    <x v="0"/>
    <x v="23"/>
    <m/>
    <x v="0"/>
    <n v="1"/>
    <n v="0"/>
  </r>
  <r>
    <n v="2"/>
    <n v="1"/>
    <x v="1"/>
    <x v="1"/>
    <x v="3"/>
    <x v="23"/>
    <m/>
    <x v="1"/>
    <n v="0"/>
    <n v="0"/>
  </r>
  <r>
    <n v="3"/>
    <n v="1"/>
    <x v="1"/>
    <x v="0"/>
    <x v="0"/>
    <x v="24"/>
    <m/>
    <x v="0"/>
    <n v="1"/>
    <n v="1"/>
  </r>
  <r>
    <n v="3"/>
    <n v="2"/>
    <x v="0"/>
    <x v="1"/>
    <x v="3"/>
    <x v="24"/>
    <m/>
    <x v="1"/>
    <e v="#REF!"/>
    <n v="0"/>
  </r>
  <r>
    <n v="3"/>
    <n v="2"/>
    <x v="0"/>
    <x v="2"/>
    <x v="2"/>
    <x v="25"/>
    <s v="here"/>
    <x v="0"/>
    <n v="0"/>
    <n v="1"/>
  </r>
  <r>
    <n v="3"/>
    <n v="2"/>
    <x v="0"/>
    <x v="0"/>
    <x v="0"/>
    <x v="26"/>
    <m/>
    <x v="0"/>
    <n v="1"/>
    <n v="0"/>
  </r>
  <r>
    <n v="3"/>
    <n v="1"/>
    <x v="1"/>
    <x v="1"/>
    <x v="3"/>
    <x v="26"/>
    <m/>
    <x v="1"/>
    <n v="0"/>
    <n v="0"/>
  </r>
  <r>
    <n v="3"/>
    <n v="1"/>
    <x v="1"/>
    <x v="2"/>
    <x v="2"/>
    <x v="16"/>
    <m/>
    <x v="0"/>
    <n v="0"/>
    <n v="1"/>
  </r>
  <r>
    <n v="3"/>
    <n v="1"/>
    <x v="1"/>
    <x v="0"/>
    <x v="0"/>
    <x v="27"/>
    <m/>
    <x v="0"/>
    <n v="1"/>
    <n v="0"/>
  </r>
  <r>
    <n v="3"/>
    <n v="2"/>
    <x v="0"/>
    <x v="1"/>
    <x v="3"/>
    <x v="27"/>
    <m/>
    <x v="1"/>
    <n v="0"/>
    <n v="0"/>
  </r>
  <r>
    <n v="3"/>
    <n v="2"/>
    <x v="0"/>
    <x v="2"/>
    <x v="2"/>
    <x v="17"/>
    <m/>
    <x v="0"/>
    <n v="0"/>
    <n v="1"/>
  </r>
  <r>
    <n v="3"/>
    <n v="1"/>
    <x v="1"/>
    <x v="2"/>
    <x v="2"/>
    <x v="19"/>
    <m/>
    <x v="1"/>
    <n v="0"/>
    <n v="0"/>
  </r>
  <r>
    <n v="3"/>
    <n v="2"/>
    <x v="0"/>
    <x v="0"/>
    <x v="0"/>
    <x v="28"/>
    <m/>
    <x v="1"/>
    <n v="1"/>
    <n v="0"/>
  </r>
  <r>
    <n v="3"/>
    <n v="2"/>
    <x v="0"/>
    <x v="1"/>
    <x v="1"/>
    <x v="28"/>
    <m/>
    <x v="0"/>
    <n v="0"/>
    <n v="0"/>
  </r>
  <r>
    <n v="3"/>
    <n v="1"/>
    <x v="1"/>
    <x v="2"/>
    <x v="2"/>
    <x v="18"/>
    <m/>
    <x v="1"/>
    <n v="0"/>
    <n v="1"/>
  </r>
  <r>
    <n v="3"/>
    <n v="2"/>
    <x v="0"/>
    <x v="2"/>
    <x v="2"/>
    <x v="20"/>
    <m/>
    <x v="1"/>
    <n v="0"/>
    <n v="0"/>
  </r>
  <r>
    <n v="3"/>
    <n v="2"/>
    <x v="0"/>
    <x v="0"/>
    <x v="0"/>
    <x v="29"/>
    <m/>
    <x v="0"/>
    <n v="1"/>
    <n v="0"/>
  </r>
  <r>
    <n v="3"/>
    <n v="2"/>
    <x v="0"/>
    <x v="1"/>
    <x v="1"/>
    <x v="29"/>
    <m/>
    <x v="0"/>
    <n v="0"/>
    <n v="0"/>
  </r>
  <r>
    <n v="3"/>
    <n v="1"/>
    <x v="1"/>
    <x v="2"/>
    <x v="2"/>
    <x v="25"/>
    <s v="here"/>
    <x v="1"/>
    <n v="0"/>
    <n v="1"/>
  </r>
  <r>
    <n v="3"/>
    <n v="2"/>
    <x v="0"/>
    <x v="0"/>
    <x v="0"/>
    <x v="30"/>
    <m/>
    <x v="1"/>
    <n v="1"/>
    <n v="0"/>
  </r>
  <r>
    <n v="3"/>
    <n v="1"/>
    <x v="1"/>
    <x v="1"/>
    <x v="3"/>
    <x v="30"/>
    <m/>
    <x v="1"/>
    <n v="0"/>
    <n v="0"/>
  </r>
  <r>
    <n v="3"/>
    <n v="2"/>
    <x v="0"/>
    <x v="2"/>
    <x v="2"/>
    <x v="21"/>
    <m/>
    <x v="1"/>
    <n v="0"/>
    <n v="1"/>
  </r>
  <r>
    <n v="3"/>
    <n v="1"/>
    <x v="1"/>
    <x v="0"/>
    <x v="0"/>
    <x v="31"/>
    <m/>
    <x v="1"/>
    <n v="1"/>
    <n v="0"/>
  </r>
  <r>
    <n v="3"/>
    <n v="1"/>
    <x v="1"/>
    <x v="1"/>
    <x v="1"/>
    <x v="31"/>
    <m/>
    <x v="0"/>
    <n v="0"/>
    <n v="0"/>
  </r>
  <r>
    <n v="3"/>
    <n v="2"/>
    <x v="0"/>
    <x v="2"/>
    <x v="2"/>
    <x v="22"/>
    <m/>
    <x v="1"/>
    <n v="0"/>
    <n v="1"/>
  </r>
  <r>
    <n v="3"/>
    <n v="1"/>
    <x v="1"/>
    <x v="2"/>
    <x v="2"/>
    <x v="23"/>
    <m/>
    <x v="1"/>
    <n v="0"/>
    <n v="0"/>
  </r>
  <r>
    <n v="3"/>
    <n v="1"/>
    <x v="1"/>
    <x v="0"/>
    <x v="0"/>
    <x v="32"/>
    <m/>
    <x v="0"/>
    <n v="1"/>
    <n v="0"/>
  </r>
  <r>
    <n v="3"/>
    <n v="1"/>
    <x v="1"/>
    <x v="1"/>
    <x v="1"/>
    <x v="32"/>
    <m/>
    <x v="0"/>
    <n v="0"/>
    <n v="0"/>
  </r>
  <r>
    <n v="4"/>
    <n v="2"/>
    <x v="0"/>
    <x v="2"/>
    <x v="2"/>
    <x v="24"/>
    <m/>
    <x v="1"/>
    <n v="0"/>
    <n v="1"/>
  </r>
  <r>
    <n v="4"/>
    <n v="1"/>
    <x v="1"/>
    <x v="0"/>
    <x v="0"/>
    <x v="1"/>
    <m/>
    <x v="1"/>
    <n v="1"/>
    <n v="0"/>
  </r>
  <r>
    <n v="4"/>
    <n v="1"/>
    <x v="1"/>
    <x v="1"/>
    <x v="1"/>
    <x v="1"/>
    <m/>
    <x v="0"/>
    <n v="0"/>
    <n v="0"/>
  </r>
  <r>
    <n v="4"/>
    <n v="1"/>
    <x v="1"/>
    <x v="0"/>
    <x v="0"/>
    <x v="3"/>
    <m/>
    <x v="0"/>
    <n v="1"/>
    <n v="1"/>
  </r>
  <r>
    <n v="4"/>
    <n v="2"/>
    <x v="0"/>
    <x v="1"/>
    <x v="3"/>
    <x v="3"/>
    <m/>
    <x v="1"/>
    <n v="0"/>
    <n v="0"/>
  </r>
  <r>
    <n v="4"/>
    <n v="2"/>
    <x v="0"/>
    <x v="2"/>
    <x v="2"/>
    <x v="27"/>
    <m/>
    <x v="0"/>
    <n v="0"/>
    <n v="1"/>
  </r>
  <r>
    <n v="4"/>
    <n v="1"/>
    <x v="1"/>
    <x v="2"/>
    <x v="2"/>
    <x v="26"/>
    <m/>
    <x v="1"/>
    <n v="0"/>
    <n v="0"/>
  </r>
  <r>
    <n v="4"/>
    <n v="2"/>
    <x v="0"/>
    <x v="0"/>
    <x v="0"/>
    <x v="6"/>
    <m/>
    <x v="1"/>
    <n v="1"/>
    <n v="0"/>
  </r>
  <r>
    <n v="4"/>
    <n v="2"/>
    <x v="0"/>
    <x v="1"/>
    <x v="1"/>
    <x v="6"/>
    <m/>
    <x v="0"/>
    <n v="0"/>
    <n v="0"/>
  </r>
  <r>
    <n v="4"/>
    <n v="2"/>
    <x v="0"/>
    <x v="0"/>
    <x v="0"/>
    <x v="8"/>
    <m/>
    <x v="0"/>
    <n v="1"/>
    <n v="1"/>
  </r>
  <r>
    <n v="4"/>
    <n v="1"/>
    <x v="1"/>
    <x v="1"/>
    <x v="3"/>
    <x v="8"/>
    <m/>
    <x v="1"/>
    <n v="0"/>
    <n v="0"/>
  </r>
  <r>
    <n v="4"/>
    <n v="2"/>
    <x v="0"/>
    <x v="2"/>
    <x v="2"/>
    <x v="28"/>
    <m/>
    <x v="1"/>
    <n v="0"/>
    <n v="1"/>
  </r>
  <r>
    <n v="4"/>
    <n v="1"/>
    <x v="1"/>
    <x v="2"/>
    <x v="2"/>
    <x v="29"/>
    <m/>
    <x v="1"/>
    <n v="0"/>
    <n v="0"/>
  </r>
  <r>
    <n v="4"/>
    <n v="1"/>
    <x v="1"/>
    <x v="0"/>
    <x v="0"/>
    <x v="10"/>
    <m/>
    <x v="0"/>
    <n v="1"/>
    <n v="0"/>
  </r>
  <r>
    <n v="4"/>
    <n v="2"/>
    <x v="0"/>
    <x v="1"/>
    <x v="3"/>
    <x v="10"/>
    <m/>
    <x v="1"/>
    <n v="0"/>
    <n v="0"/>
  </r>
  <r>
    <n v="4"/>
    <n v="2"/>
    <x v="0"/>
    <x v="0"/>
    <x v="0"/>
    <x v="13"/>
    <m/>
    <x v="0"/>
    <n v="1"/>
    <n v="1"/>
  </r>
  <r>
    <n v="4"/>
    <n v="2"/>
    <x v="0"/>
    <x v="1"/>
    <x v="1"/>
    <x v="13"/>
    <m/>
    <x v="0"/>
    <n v="0"/>
    <n v="0"/>
  </r>
  <r>
    <n v="4"/>
    <n v="2"/>
    <x v="0"/>
    <x v="2"/>
    <x v="2"/>
    <x v="31"/>
    <m/>
    <x v="0"/>
    <n v="0"/>
    <n v="1"/>
  </r>
  <r>
    <n v="4"/>
    <n v="2"/>
    <x v="0"/>
    <x v="0"/>
    <x v="0"/>
    <x v="11"/>
    <m/>
    <x v="0"/>
    <n v="1"/>
    <n v="0"/>
  </r>
  <r>
    <n v="4"/>
    <n v="1"/>
    <x v="1"/>
    <x v="1"/>
    <x v="3"/>
    <x v="11"/>
    <m/>
    <x v="1"/>
    <n v="0"/>
    <n v="0"/>
  </r>
  <r>
    <n v="4"/>
    <n v="1"/>
    <x v="1"/>
    <x v="0"/>
    <x v="0"/>
    <x v="14"/>
    <m/>
    <x v="0"/>
    <n v="1"/>
    <n v="1"/>
  </r>
  <r>
    <n v="4"/>
    <n v="1"/>
    <x v="1"/>
    <x v="1"/>
    <x v="1"/>
    <x v="14"/>
    <m/>
    <x v="0"/>
    <n v="0"/>
    <n v="0"/>
  </r>
  <r>
    <n v="4"/>
    <n v="1"/>
    <x v="0"/>
    <x v="2"/>
    <x v="2"/>
    <x v="32"/>
    <m/>
    <x v="1"/>
    <n v="0"/>
    <n v="1"/>
  </r>
  <r>
    <n v="4"/>
    <n v="1"/>
    <x v="1"/>
    <x v="2"/>
    <x v="2"/>
    <x v="30"/>
    <m/>
    <x v="1"/>
    <n v="0"/>
    <n v="0"/>
  </r>
  <r>
    <s v="BREAK"/>
    <m/>
    <x v="2"/>
    <x v="3"/>
    <x v="4"/>
    <x v="25"/>
    <m/>
    <x v="1"/>
    <n v="0"/>
    <n v="0"/>
  </r>
  <r>
    <n v="1"/>
    <n v="2"/>
    <x v="0"/>
    <x v="0"/>
    <x v="0"/>
    <x v="5"/>
    <m/>
    <x v="1"/>
    <n v="1"/>
    <n v="0"/>
  </r>
  <r>
    <n v="1"/>
    <n v="2"/>
    <x v="0"/>
    <x v="1"/>
    <x v="1"/>
    <x v="5"/>
    <m/>
    <x v="0"/>
    <n v="0"/>
    <n v="0"/>
  </r>
  <r>
    <n v="1"/>
    <n v="1"/>
    <x v="1"/>
    <x v="2"/>
    <x v="2"/>
    <x v="6"/>
    <m/>
    <x v="1"/>
    <n v="0"/>
    <n v="1"/>
  </r>
  <r>
    <n v="1"/>
    <n v="2"/>
    <x v="0"/>
    <x v="0"/>
    <x v="0"/>
    <x v="4"/>
    <m/>
    <x v="1"/>
    <n v="1"/>
    <n v="0"/>
  </r>
  <r>
    <n v="1"/>
    <n v="2"/>
    <x v="0"/>
    <x v="1"/>
    <x v="1"/>
    <x v="4"/>
    <m/>
    <x v="0"/>
    <n v="0"/>
    <n v="0"/>
  </r>
  <r>
    <n v="1"/>
    <n v="1"/>
    <x v="1"/>
    <x v="2"/>
    <x v="2"/>
    <x v="25"/>
    <s v="here"/>
    <x v="1"/>
    <n v="0"/>
    <n v="1"/>
  </r>
  <r>
    <n v="1"/>
    <n v="2"/>
    <x v="0"/>
    <x v="2"/>
    <x v="2"/>
    <x v="14"/>
    <m/>
    <x v="1"/>
    <n v="0"/>
    <n v="0"/>
  </r>
  <r>
    <n v="1"/>
    <n v="2"/>
    <x v="0"/>
    <x v="0"/>
    <x v="0"/>
    <x v="9"/>
    <m/>
    <x v="0"/>
    <n v="1"/>
    <n v="0"/>
  </r>
  <r>
    <n v="1"/>
    <n v="1"/>
    <x v="1"/>
    <x v="1"/>
    <x v="3"/>
    <x v="9"/>
    <m/>
    <x v="1"/>
    <n v="0"/>
    <n v="0"/>
  </r>
  <r>
    <n v="1"/>
    <n v="1"/>
    <x v="1"/>
    <x v="2"/>
    <x v="2"/>
    <x v="8"/>
    <m/>
    <x v="0"/>
    <n v="0"/>
    <n v="1"/>
  </r>
  <r>
    <n v="1"/>
    <n v="1"/>
    <x v="1"/>
    <x v="0"/>
    <x v="0"/>
    <x v="2"/>
    <m/>
    <x v="0"/>
    <n v="1"/>
    <n v="0"/>
  </r>
  <r>
    <n v="1"/>
    <n v="2"/>
    <x v="0"/>
    <x v="1"/>
    <x v="3"/>
    <x v="2"/>
    <m/>
    <x v="1"/>
    <n v="0"/>
    <n v="0"/>
  </r>
  <r>
    <n v="1"/>
    <n v="2"/>
    <x v="0"/>
    <x v="0"/>
    <x v="0"/>
    <x v="0"/>
    <m/>
    <x v="0"/>
    <n v="1"/>
    <n v="1"/>
  </r>
  <r>
    <n v="1"/>
    <n v="1"/>
    <x v="1"/>
    <x v="1"/>
    <x v="3"/>
    <x v="0"/>
    <m/>
    <x v="1"/>
    <n v="0"/>
    <n v="0"/>
  </r>
  <r>
    <n v="1"/>
    <n v="2"/>
    <x v="0"/>
    <x v="2"/>
    <x v="2"/>
    <x v="3"/>
    <m/>
    <x v="1"/>
    <n v="0"/>
    <n v="1"/>
  </r>
  <r>
    <n v="1"/>
    <n v="1"/>
    <x v="1"/>
    <x v="0"/>
    <x v="0"/>
    <x v="15"/>
    <m/>
    <x v="1"/>
    <n v="1"/>
    <n v="0"/>
  </r>
  <r>
    <n v="1"/>
    <n v="1"/>
    <x v="1"/>
    <x v="1"/>
    <x v="1"/>
    <x v="15"/>
    <m/>
    <x v="0"/>
    <n v="0"/>
    <n v="0"/>
  </r>
  <r>
    <n v="1"/>
    <n v="2"/>
    <x v="0"/>
    <x v="2"/>
    <x v="2"/>
    <x v="11"/>
    <m/>
    <x v="1"/>
    <n v="0"/>
    <n v="1"/>
  </r>
  <r>
    <n v="1"/>
    <n v="1"/>
    <x v="1"/>
    <x v="0"/>
    <x v="0"/>
    <x v="7"/>
    <m/>
    <x v="1"/>
    <n v="1"/>
    <n v="0"/>
  </r>
  <r>
    <n v="1"/>
    <n v="1"/>
    <x v="1"/>
    <x v="1"/>
    <x v="1"/>
    <x v="7"/>
    <m/>
    <x v="0"/>
    <n v="0"/>
    <n v="0"/>
  </r>
  <r>
    <n v="1"/>
    <n v="2"/>
    <x v="0"/>
    <x v="2"/>
    <x v="2"/>
    <x v="1"/>
    <m/>
    <x v="1"/>
    <n v="0"/>
    <n v="1"/>
  </r>
  <r>
    <n v="1"/>
    <n v="1"/>
    <x v="1"/>
    <x v="2"/>
    <x v="2"/>
    <x v="13"/>
    <m/>
    <x v="1"/>
    <n v="0"/>
    <n v="0"/>
  </r>
  <r>
    <n v="1"/>
    <n v="1"/>
    <x v="1"/>
    <x v="0"/>
    <x v="0"/>
    <x v="12"/>
    <m/>
    <x v="0"/>
    <n v="1"/>
    <n v="0"/>
  </r>
  <r>
    <n v="1"/>
    <n v="2"/>
    <x v="0"/>
    <x v="1"/>
    <x v="3"/>
    <x v="12"/>
    <m/>
    <x v="1"/>
    <n v="0"/>
    <n v="0"/>
  </r>
  <r>
    <n v="1"/>
    <n v="1"/>
    <x v="1"/>
    <x v="2"/>
    <x v="2"/>
    <x v="10"/>
    <m/>
    <x v="1"/>
    <n v="0"/>
    <n v="1"/>
  </r>
  <r>
    <n v="2"/>
    <n v="1"/>
    <x v="1"/>
    <x v="0"/>
    <x v="0"/>
    <x v="20"/>
    <m/>
    <x v="0"/>
    <n v="1"/>
    <n v="0"/>
  </r>
  <r>
    <n v="2"/>
    <n v="1"/>
    <x v="1"/>
    <x v="1"/>
    <x v="1"/>
    <x v="20"/>
    <m/>
    <x v="0"/>
    <n v="0"/>
    <n v="0"/>
  </r>
  <r>
    <n v="2"/>
    <n v="2"/>
    <x v="0"/>
    <x v="2"/>
    <x v="2"/>
    <x v="5"/>
    <m/>
    <x v="1"/>
    <n v="0"/>
    <n v="1"/>
  </r>
  <r>
    <n v="2"/>
    <n v="1"/>
    <x v="1"/>
    <x v="0"/>
    <x v="0"/>
    <x v="18"/>
    <m/>
    <x v="1"/>
    <n v="1"/>
    <n v="0"/>
  </r>
  <r>
    <n v="2"/>
    <n v="1"/>
    <x v="1"/>
    <x v="1"/>
    <x v="1"/>
    <x v="18"/>
    <m/>
    <x v="0"/>
    <n v="0"/>
    <n v="0"/>
  </r>
  <r>
    <n v="2"/>
    <n v="1"/>
    <x v="1"/>
    <x v="0"/>
    <x v="0"/>
    <x v="16"/>
    <m/>
    <x v="0"/>
    <n v="1"/>
    <n v="1"/>
  </r>
  <r>
    <n v="2"/>
    <n v="2"/>
    <x v="0"/>
    <x v="1"/>
    <x v="3"/>
    <x v="16"/>
    <m/>
    <x v="1"/>
    <n v="0"/>
    <n v="0"/>
  </r>
  <r>
    <n v="2"/>
    <n v="2"/>
    <x v="0"/>
    <x v="2"/>
    <x v="2"/>
    <x v="4"/>
    <m/>
    <x v="0"/>
    <n v="0"/>
    <n v="1"/>
  </r>
  <r>
    <n v="2"/>
    <n v="2"/>
    <x v="0"/>
    <x v="0"/>
    <x v="0"/>
    <x v="22"/>
    <m/>
    <x v="0"/>
    <n v="1"/>
    <n v="0"/>
  </r>
  <r>
    <n v="2"/>
    <n v="1"/>
    <x v="1"/>
    <x v="1"/>
    <x v="3"/>
    <x v="22"/>
    <m/>
    <x v="1"/>
    <n v="0"/>
    <n v="0"/>
  </r>
  <r>
    <n v="2"/>
    <n v="1"/>
    <x v="1"/>
    <x v="0"/>
    <x v="0"/>
    <x v="17"/>
    <m/>
    <x v="0"/>
    <n v="1"/>
    <n v="1"/>
  </r>
  <r>
    <n v="2"/>
    <n v="2"/>
    <x v="0"/>
    <x v="1"/>
    <x v="3"/>
    <x v="17"/>
    <m/>
    <x v="1"/>
    <n v="0"/>
    <n v="0"/>
  </r>
  <r>
    <n v="2"/>
    <n v="1"/>
    <x v="1"/>
    <x v="2"/>
    <x v="2"/>
    <x v="9"/>
    <m/>
    <x v="1"/>
    <n v="0"/>
    <n v="1"/>
  </r>
  <r>
    <n v="2"/>
    <n v="2"/>
    <x v="0"/>
    <x v="2"/>
    <x v="2"/>
    <x v="2"/>
    <m/>
    <x v="1"/>
    <n v="0"/>
    <n v="0"/>
  </r>
  <r>
    <n v="2"/>
    <n v="1"/>
    <x v="1"/>
    <x v="2"/>
    <x v="2"/>
    <x v="7"/>
    <m/>
    <x v="1"/>
    <n v="0"/>
    <n v="0"/>
  </r>
  <r>
    <n v="2"/>
    <n v="2"/>
    <x v="0"/>
    <x v="0"/>
    <x v="0"/>
    <x v="19"/>
    <m/>
    <x v="1"/>
    <n v="1"/>
    <n v="0"/>
  </r>
  <r>
    <n v="2"/>
    <n v="2"/>
    <x v="0"/>
    <x v="1"/>
    <x v="1"/>
    <x v="19"/>
    <m/>
    <x v="0"/>
    <n v="0"/>
    <n v="0"/>
  </r>
  <r>
    <n v="2"/>
    <n v="1"/>
    <x v="1"/>
    <x v="2"/>
    <x v="2"/>
    <x v="0"/>
    <m/>
    <x v="1"/>
    <n v="0"/>
    <n v="1"/>
  </r>
  <r>
    <n v="2"/>
    <n v="2"/>
    <x v="0"/>
    <x v="0"/>
    <x v="0"/>
    <x v="23"/>
    <m/>
    <x v="1"/>
    <n v="1"/>
    <n v="0"/>
  </r>
  <r>
    <n v="2"/>
    <n v="2"/>
    <x v="0"/>
    <x v="1"/>
    <x v="1"/>
    <x v="23"/>
    <m/>
    <x v="0"/>
    <n v="0"/>
    <n v="0"/>
  </r>
  <r>
    <n v="2"/>
    <n v="1"/>
    <x v="1"/>
    <x v="2"/>
    <x v="2"/>
    <x v="15"/>
    <m/>
    <x v="1"/>
    <n v="0"/>
    <n v="1"/>
  </r>
  <r>
    <n v="2"/>
    <n v="2"/>
    <x v="0"/>
    <x v="2"/>
    <x v="2"/>
    <x v="12"/>
    <m/>
    <x v="1"/>
    <n v="0"/>
    <n v="0"/>
  </r>
  <r>
    <n v="2"/>
    <n v="2"/>
    <x v="0"/>
    <x v="0"/>
    <x v="0"/>
    <x v="21"/>
    <m/>
    <x v="0"/>
    <n v="1"/>
    <n v="0"/>
  </r>
  <r>
    <n v="2"/>
    <n v="1"/>
    <x v="1"/>
    <x v="1"/>
    <x v="3"/>
    <x v="21"/>
    <m/>
    <x v="1"/>
    <n v="0"/>
    <n v="0"/>
  </r>
  <r>
    <n v="3"/>
    <n v="1"/>
    <x v="1"/>
    <x v="2"/>
    <x v="2"/>
    <x v="20"/>
    <m/>
    <x v="0"/>
    <n v="0"/>
    <n v="1"/>
  </r>
  <r>
    <n v="3"/>
    <n v="1"/>
    <x v="1"/>
    <x v="0"/>
    <x v="0"/>
    <x v="30"/>
    <m/>
    <x v="0"/>
    <n v="1"/>
    <n v="0"/>
  </r>
  <r>
    <n v="3"/>
    <n v="2"/>
    <x v="0"/>
    <x v="1"/>
    <x v="3"/>
    <x v="30"/>
    <m/>
    <x v="1"/>
    <n v="0"/>
    <n v="0"/>
  </r>
  <r>
    <n v="3"/>
    <n v="2"/>
    <x v="0"/>
    <x v="2"/>
    <x v="2"/>
    <x v="18"/>
    <m/>
    <x v="0"/>
    <n v="0"/>
    <n v="1"/>
  </r>
  <r>
    <n v="3"/>
    <n v="2"/>
    <x v="0"/>
    <x v="0"/>
    <x v="0"/>
    <x v="28"/>
    <m/>
    <x v="0"/>
    <n v="1"/>
    <n v="0"/>
  </r>
  <r>
    <n v="3"/>
    <n v="1"/>
    <x v="1"/>
    <x v="1"/>
    <x v="3"/>
    <x v="28"/>
    <m/>
    <x v="1"/>
    <n v="0"/>
    <n v="0"/>
  </r>
  <r>
    <n v="3"/>
    <n v="1"/>
    <x v="1"/>
    <x v="2"/>
    <x v="2"/>
    <x v="25"/>
    <s v="here"/>
    <x v="0"/>
    <n v="0"/>
    <n v="1"/>
  </r>
  <r>
    <n v="3"/>
    <n v="1"/>
    <x v="1"/>
    <x v="0"/>
    <x v="0"/>
    <x v="32"/>
    <m/>
    <x v="0"/>
    <n v="1"/>
    <n v="0"/>
  </r>
  <r>
    <n v="3"/>
    <n v="2"/>
    <x v="0"/>
    <x v="1"/>
    <x v="3"/>
    <x v="32"/>
    <m/>
    <x v="1"/>
    <n v="0"/>
    <n v="0"/>
  </r>
  <r>
    <n v="3"/>
    <n v="1"/>
    <x v="1"/>
    <x v="2"/>
    <x v="2"/>
    <x v="16"/>
    <m/>
    <x v="1"/>
    <n v="0"/>
    <n v="1"/>
  </r>
  <r>
    <n v="3"/>
    <n v="2"/>
    <x v="0"/>
    <x v="0"/>
    <x v="0"/>
    <x v="31"/>
    <m/>
    <x v="1"/>
    <n v="1"/>
    <n v="0"/>
  </r>
  <r>
    <n v="3"/>
    <n v="2"/>
    <x v="0"/>
    <x v="1"/>
    <x v="1"/>
    <x v="31"/>
    <m/>
    <x v="0"/>
    <n v="0"/>
    <n v="0"/>
  </r>
  <r>
    <n v="3"/>
    <n v="2"/>
    <x v="0"/>
    <x v="2"/>
    <x v="2"/>
    <x v="22"/>
    <m/>
    <x v="0"/>
    <n v="0"/>
    <n v="1"/>
  </r>
  <r>
    <n v="3"/>
    <n v="1"/>
    <x v="1"/>
    <x v="2"/>
    <x v="2"/>
    <x v="17"/>
    <m/>
    <x v="1"/>
    <n v="0"/>
    <n v="0"/>
  </r>
  <r>
    <n v="3"/>
    <n v="2"/>
    <x v="0"/>
    <x v="0"/>
    <x v="0"/>
    <x v="24"/>
    <m/>
    <x v="1"/>
    <n v="1"/>
    <n v="0"/>
  </r>
  <r>
    <n v="3"/>
    <n v="2"/>
    <x v="0"/>
    <x v="1"/>
    <x v="1"/>
    <x v="24"/>
    <m/>
    <x v="0"/>
    <n v="0"/>
    <n v="0"/>
  </r>
  <r>
    <n v="3"/>
    <n v="2"/>
    <x v="0"/>
    <x v="0"/>
    <x v="0"/>
    <x v="27"/>
    <m/>
    <x v="0"/>
    <n v="1"/>
    <n v="1"/>
  </r>
  <r>
    <n v="3"/>
    <n v="1"/>
    <x v="1"/>
    <x v="1"/>
    <x v="3"/>
    <x v="27"/>
    <m/>
    <x v="1"/>
    <n v="0"/>
    <n v="0"/>
  </r>
  <r>
    <n v="3"/>
    <n v="2"/>
    <x v="0"/>
    <x v="2"/>
    <x v="2"/>
    <x v="19"/>
    <m/>
    <x v="1"/>
    <n v="0"/>
    <n v="1"/>
  </r>
  <r>
    <n v="3"/>
    <n v="1"/>
    <x v="1"/>
    <x v="2"/>
    <x v="2"/>
    <x v="25"/>
    <s v="here"/>
    <x v="1"/>
    <n v="0"/>
    <n v="0"/>
  </r>
  <r>
    <n v="3"/>
    <n v="1"/>
    <x v="1"/>
    <x v="0"/>
    <x v="0"/>
    <x v="29"/>
    <m/>
    <x v="0"/>
    <n v="1"/>
    <n v="0"/>
  </r>
  <r>
    <n v="3"/>
    <n v="1"/>
    <x v="1"/>
    <x v="1"/>
    <x v="1"/>
    <x v="29"/>
    <m/>
    <x v="0"/>
    <n v="0"/>
    <n v="0"/>
  </r>
  <r>
    <n v="3"/>
    <n v="2"/>
    <x v="0"/>
    <x v="2"/>
    <x v="2"/>
    <x v="23"/>
    <m/>
    <x v="1"/>
    <n v="0"/>
    <n v="1"/>
  </r>
  <r>
    <n v="3"/>
    <n v="1"/>
    <x v="1"/>
    <x v="0"/>
    <x v="0"/>
    <x v="26"/>
    <m/>
    <x v="1"/>
    <n v="1"/>
    <n v="0"/>
  </r>
  <r>
    <n v="3"/>
    <n v="1"/>
    <x v="1"/>
    <x v="1"/>
    <x v="1"/>
    <x v="26"/>
    <m/>
    <x v="0"/>
    <n v="0"/>
    <n v="0"/>
  </r>
  <r>
    <n v="3"/>
    <n v="1"/>
    <x v="1"/>
    <x v="2"/>
    <x v="2"/>
    <x v="21"/>
    <m/>
    <x v="0"/>
    <n v="0"/>
    <n v="1"/>
  </r>
  <r>
    <n v="4"/>
    <n v="2"/>
    <x v="0"/>
    <x v="2"/>
    <x v="2"/>
    <x v="30"/>
    <m/>
    <x v="1"/>
    <n v="0"/>
    <n v="0"/>
  </r>
  <r>
    <n v="4"/>
    <n v="1"/>
    <x v="1"/>
    <x v="0"/>
    <x v="0"/>
    <x v="6"/>
    <m/>
    <x v="1"/>
    <n v="1"/>
    <n v="0"/>
  </r>
  <r>
    <n v="4"/>
    <n v="1"/>
    <x v="1"/>
    <x v="1"/>
    <x v="1"/>
    <x v="6"/>
    <m/>
    <x v="0"/>
    <n v="0"/>
    <n v="0"/>
  </r>
  <r>
    <n v="4"/>
    <n v="1"/>
    <x v="1"/>
    <x v="0"/>
    <x v="0"/>
    <x v="14"/>
    <m/>
    <x v="0"/>
    <n v="1"/>
    <n v="1"/>
  </r>
  <r>
    <n v="4"/>
    <n v="2"/>
    <x v="0"/>
    <x v="1"/>
    <x v="3"/>
    <x v="14"/>
    <m/>
    <x v="1"/>
    <n v="0"/>
    <n v="0"/>
  </r>
  <r>
    <n v="4"/>
    <n v="1"/>
    <x v="1"/>
    <x v="2"/>
    <x v="2"/>
    <x v="28"/>
    <m/>
    <x v="1"/>
    <n v="0"/>
    <n v="1"/>
  </r>
  <r>
    <n v="4"/>
    <n v="2"/>
    <x v="0"/>
    <x v="0"/>
    <x v="0"/>
    <x v="8"/>
    <m/>
    <x v="1"/>
    <n v="1"/>
    <n v="0"/>
  </r>
  <r>
    <n v="4"/>
    <n v="2"/>
    <x v="0"/>
    <x v="1"/>
    <x v="1"/>
    <x v="8"/>
    <m/>
    <x v="0"/>
    <n v="0"/>
    <n v="0"/>
  </r>
  <r>
    <n v="4"/>
    <n v="2"/>
    <x v="0"/>
    <x v="0"/>
    <x v="0"/>
    <x v="3"/>
    <m/>
    <x v="0"/>
    <n v="1"/>
    <n v="1"/>
  </r>
  <r>
    <n v="4"/>
    <n v="1"/>
    <x v="1"/>
    <x v="1"/>
    <x v="3"/>
    <x v="3"/>
    <m/>
    <x v="1"/>
    <n v="0"/>
    <n v="0"/>
  </r>
  <r>
    <n v="4"/>
    <n v="2"/>
    <x v="0"/>
    <x v="2"/>
    <x v="2"/>
    <x v="32"/>
    <m/>
    <x v="1"/>
    <n v="0"/>
    <n v="1"/>
  </r>
  <r>
    <n v="4"/>
    <n v="1"/>
    <x v="1"/>
    <x v="0"/>
    <x v="0"/>
    <x v="11"/>
    <m/>
    <x v="1"/>
    <n v="1"/>
    <n v="0"/>
  </r>
  <r>
    <n v="4"/>
    <n v="2"/>
    <x v="0"/>
    <x v="1"/>
    <x v="3"/>
    <x v="11"/>
    <m/>
    <x v="1"/>
    <n v="0"/>
    <n v="0"/>
  </r>
  <r>
    <n v="4"/>
    <n v="1"/>
    <x v="1"/>
    <x v="2"/>
    <x v="2"/>
    <x v="24"/>
    <m/>
    <x v="1"/>
    <n v="0"/>
    <n v="1"/>
  </r>
  <r>
    <n v="4"/>
    <n v="2"/>
    <x v="0"/>
    <x v="2"/>
    <x v="2"/>
    <x v="31"/>
    <m/>
    <x v="1"/>
    <n v="0"/>
    <n v="0"/>
  </r>
  <r>
    <n v="4"/>
    <n v="2"/>
    <x v="0"/>
    <x v="0"/>
    <x v="0"/>
    <x v="1"/>
    <m/>
    <x v="0"/>
    <n v="1"/>
    <n v="0"/>
  </r>
  <r>
    <n v="4"/>
    <n v="2"/>
    <x v="0"/>
    <x v="1"/>
    <x v="1"/>
    <x v="1"/>
    <m/>
    <x v="0"/>
    <n v="0"/>
    <n v="0"/>
  </r>
  <r>
    <n v="4"/>
    <n v="1"/>
    <x v="1"/>
    <x v="2"/>
    <x v="2"/>
    <x v="27"/>
    <m/>
    <x v="1"/>
    <n v="0"/>
    <n v="1"/>
  </r>
  <r>
    <n v="4"/>
    <n v="2"/>
    <x v="0"/>
    <x v="2"/>
    <x v="2"/>
    <x v="29"/>
    <m/>
    <x v="1"/>
    <n v="0"/>
    <n v="0"/>
  </r>
  <r>
    <n v="4"/>
    <n v="2"/>
    <x v="0"/>
    <x v="0"/>
    <x v="0"/>
    <x v="13"/>
    <m/>
    <x v="0"/>
    <n v="1"/>
    <n v="0"/>
  </r>
  <r>
    <n v="4"/>
    <n v="1"/>
    <x v="1"/>
    <x v="1"/>
    <x v="3"/>
    <x v="13"/>
    <m/>
    <x v="1"/>
    <n v="0"/>
    <n v="0"/>
  </r>
  <r>
    <n v="4"/>
    <n v="1"/>
    <x v="1"/>
    <x v="0"/>
    <x v="0"/>
    <x v="10"/>
    <m/>
    <x v="0"/>
    <n v="1"/>
    <n v="1"/>
  </r>
  <r>
    <n v="4"/>
    <n v="1"/>
    <x v="1"/>
    <x v="1"/>
    <x v="1"/>
    <x v="10"/>
    <m/>
    <x v="0"/>
    <n v="0"/>
    <n v="0"/>
  </r>
  <r>
    <n v="4"/>
    <n v="1"/>
    <x v="1"/>
    <x v="2"/>
    <x v="2"/>
    <x v="26"/>
    <m/>
    <x v="0"/>
    <n v="0"/>
    <n v="1"/>
  </r>
  <r>
    <s v="BREAK"/>
    <m/>
    <x v="2"/>
    <x v="3"/>
    <x v="4"/>
    <x v="25"/>
    <m/>
    <x v="1"/>
    <n v="0"/>
    <n v="0"/>
  </r>
  <r>
    <n v="1"/>
    <n v="2"/>
    <x v="0"/>
    <x v="2"/>
    <x v="2"/>
    <x v="8"/>
    <m/>
    <x v="1"/>
    <n v="0"/>
    <n v="0"/>
  </r>
  <r>
    <n v="1"/>
    <n v="2"/>
    <x v="0"/>
    <x v="0"/>
    <x v="0"/>
    <x v="12"/>
    <m/>
    <x v="0"/>
    <n v="1"/>
    <n v="0"/>
  </r>
  <r>
    <n v="1"/>
    <n v="2"/>
    <x v="0"/>
    <x v="1"/>
    <x v="1"/>
    <x v="12"/>
    <m/>
    <x v="0"/>
    <n v="0"/>
    <n v="0"/>
  </r>
  <r>
    <n v="1"/>
    <n v="1"/>
    <x v="1"/>
    <x v="2"/>
    <x v="2"/>
    <x v="13"/>
    <m/>
    <x v="1"/>
    <n v="0"/>
    <n v="1"/>
  </r>
  <r>
    <n v="1"/>
    <n v="1"/>
    <x v="1"/>
    <x v="2"/>
    <x v="2"/>
    <x v="3"/>
    <m/>
    <x v="0"/>
    <n v="0"/>
    <n v="0"/>
  </r>
  <r>
    <n v="1"/>
    <n v="2"/>
    <x v="0"/>
    <x v="0"/>
    <x v="0"/>
    <x v="9"/>
    <m/>
    <x v="1"/>
    <n v="1"/>
    <n v="0"/>
  </r>
  <r>
    <n v="1"/>
    <n v="2"/>
    <x v="0"/>
    <x v="1"/>
    <x v="1"/>
    <x v="9"/>
    <m/>
    <x v="0"/>
    <n v="0"/>
    <n v="0"/>
  </r>
  <r>
    <n v="1"/>
    <n v="2"/>
    <x v="0"/>
    <x v="0"/>
    <x v="0"/>
    <x v="15"/>
    <m/>
    <x v="0"/>
    <n v="1"/>
    <n v="1"/>
  </r>
  <r>
    <n v="1"/>
    <n v="1"/>
    <x v="1"/>
    <x v="1"/>
    <x v="3"/>
    <x v="15"/>
    <m/>
    <x v="1"/>
    <n v="0"/>
    <n v="0"/>
  </r>
  <r>
    <n v="1"/>
    <n v="1"/>
    <x v="1"/>
    <x v="2"/>
    <x v="2"/>
    <x v="10"/>
    <m/>
    <x v="0"/>
    <n v="0"/>
    <n v="1"/>
  </r>
  <r>
    <n v="1"/>
    <n v="1"/>
    <x v="1"/>
    <x v="0"/>
    <x v="0"/>
    <x v="0"/>
    <m/>
    <x v="0"/>
    <n v="1"/>
    <n v="0"/>
  </r>
  <r>
    <n v="1"/>
    <n v="2"/>
    <x v="0"/>
    <x v="1"/>
    <x v="3"/>
    <x v="0"/>
    <m/>
    <x v="1"/>
    <n v="0"/>
    <n v="0"/>
  </r>
  <r>
    <n v="1"/>
    <n v="2"/>
    <x v="0"/>
    <x v="0"/>
    <x v="0"/>
    <x v="5"/>
    <m/>
    <x v="0"/>
    <n v="1"/>
    <n v="1"/>
  </r>
  <r>
    <n v="1"/>
    <n v="1"/>
    <x v="1"/>
    <x v="1"/>
    <x v="3"/>
    <x v="5"/>
    <m/>
    <x v="1"/>
    <n v="0"/>
    <n v="0"/>
  </r>
  <r>
    <n v="1"/>
    <n v="2"/>
    <x v="0"/>
    <x v="2"/>
    <x v="2"/>
    <x v="1"/>
    <m/>
    <x v="1"/>
    <n v="0"/>
    <n v="1"/>
  </r>
  <r>
    <n v="1"/>
    <n v="2"/>
    <x v="0"/>
    <x v="2"/>
    <x v="2"/>
    <x v="14"/>
    <m/>
    <x v="0"/>
    <n v="0"/>
    <n v="0"/>
  </r>
  <r>
    <n v="1"/>
    <n v="1"/>
    <x v="1"/>
    <x v="0"/>
    <x v="0"/>
    <x v="2"/>
    <m/>
    <x v="1"/>
    <n v="1"/>
    <n v="0"/>
  </r>
  <r>
    <n v="1"/>
    <n v="1"/>
    <x v="1"/>
    <x v="1"/>
    <x v="1"/>
    <x v="2"/>
    <m/>
    <x v="0"/>
    <n v="0"/>
    <n v="0"/>
  </r>
  <r>
    <n v="1"/>
    <n v="2"/>
    <x v="0"/>
    <x v="2"/>
    <x v="2"/>
    <x v="6"/>
    <m/>
    <x v="1"/>
    <n v="0"/>
    <n v="1"/>
  </r>
  <r>
    <n v="1"/>
    <n v="2"/>
    <x v="0"/>
    <x v="2"/>
    <x v="2"/>
    <x v="11"/>
    <m/>
    <x v="0"/>
    <n v="0"/>
    <n v="0"/>
  </r>
  <r>
    <n v="1"/>
    <n v="1"/>
    <x v="1"/>
    <x v="0"/>
    <x v="0"/>
    <x v="4"/>
    <m/>
    <x v="1"/>
    <n v="1"/>
    <n v="0"/>
  </r>
  <r>
    <n v="1"/>
    <n v="1"/>
    <x v="1"/>
    <x v="1"/>
    <x v="1"/>
    <x v="4"/>
    <m/>
    <x v="0"/>
    <n v="0"/>
    <n v="0"/>
  </r>
  <r>
    <n v="1"/>
    <n v="1"/>
    <x v="1"/>
    <x v="0"/>
    <x v="0"/>
    <x v="7"/>
    <m/>
    <x v="0"/>
    <n v="1"/>
    <n v="1"/>
  </r>
  <r>
    <n v="1"/>
    <n v="2"/>
    <x v="0"/>
    <x v="1"/>
    <x v="3"/>
    <x v="7"/>
    <m/>
    <x v="1"/>
    <n v="0"/>
    <n v="0"/>
  </r>
  <r>
    <n v="2"/>
    <n v="2"/>
    <x v="0"/>
    <x v="2"/>
    <x v="2"/>
    <x v="12"/>
    <m/>
    <x v="0"/>
    <n v="0"/>
    <n v="1"/>
  </r>
  <r>
    <n v="2"/>
    <n v="1"/>
    <x v="1"/>
    <x v="2"/>
    <x v="2"/>
    <x v="4"/>
    <m/>
    <x v="1"/>
    <n v="0"/>
    <n v="0"/>
  </r>
  <r>
    <n v="2"/>
    <n v="1"/>
    <x v="1"/>
    <x v="0"/>
    <x v="0"/>
    <x v="22"/>
    <m/>
    <x v="0"/>
    <n v="1"/>
    <n v="0"/>
  </r>
  <r>
    <n v="2"/>
    <n v="1"/>
    <x v="1"/>
    <x v="1"/>
    <x v="1"/>
    <x v="22"/>
    <m/>
    <x v="0"/>
    <n v="0"/>
    <n v="0"/>
  </r>
  <r>
    <n v="2"/>
    <n v="2"/>
    <x v="0"/>
    <x v="2"/>
    <x v="2"/>
    <x v="9"/>
    <m/>
    <x v="1"/>
    <n v="0"/>
    <n v="1"/>
  </r>
  <r>
    <n v="2"/>
    <n v="1"/>
    <x v="1"/>
    <x v="0"/>
    <x v="0"/>
    <x v="21"/>
    <m/>
    <x v="1"/>
    <n v="1"/>
    <n v="0"/>
  </r>
  <r>
    <n v="2"/>
    <n v="1"/>
    <x v="1"/>
    <x v="1"/>
    <x v="1"/>
    <x v="21"/>
    <m/>
    <x v="0"/>
    <n v="0"/>
    <n v="0"/>
  </r>
  <r>
    <n v="2"/>
    <n v="1"/>
    <x v="1"/>
    <x v="0"/>
    <x v="0"/>
    <x v="19"/>
    <m/>
    <x v="0"/>
    <n v="1"/>
    <n v="1"/>
  </r>
  <r>
    <n v="2"/>
    <n v="2"/>
    <x v="0"/>
    <x v="1"/>
    <x v="3"/>
    <x v="19"/>
    <m/>
    <x v="1"/>
    <n v="0"/>
    <n v="0"/>
  </r>
  <r>
    <n v="2"/>
    <n v="2"/>
    <x v="0"/>
    <x v="2"/>
    <x v="2"/>
    <x v="15"/>
    <m/>
    <x v="0"/>
    <n v="0"/>
    <n v="1"/>
  </r>
  <r>
    <n v="2"/>
    <n v="2"/>
    <x v="0"/>
    <x v="0"/>
    <x v="0"/>
    <x v="20"/>
    <m/>
    <x v="0"/>
    <n v="1"/>
    <n v="0"/>
  </r>
  <r>
    <n v="2"/>
    <n v="1"/>
    <x v="1"/>
    <x v="1"/>
    <x v="3"/>
    <x v="20"/>
    <m/>
    <x v="1"/>
    <n v="0"/>
    <n v="0"/>
  </r>
  <r>
    <n v="2"/>
    <n v="1"/>
    <x v="1"/>
    <x v="2"/>
    <x v="2"/>
    <x v="0"/>
    <m/>
    <x v="0"/>
    <n v="0"/>
    <n v="1"/>
  </r>
  <r>
    <n v="2"/>
    <n v="1"/>
    <x v="1"/>
    <x v="0"/>
    <x v="0"/>
    <x v="23"/>
    <m/>
    <x v="0"/>
    <n v="1"/>
    <n v="0"/>
  </r>
  <r>
    <n v="2"/>
    <n v="2"/>
    <x v="0"/>
    <x v="1"/>
    <x v="3"/>
    <x v="23"/>
    <m/>
    <x v="1"/>
    <n v="0"/>
    <n v="0"/>
  </r>
  <r>
    <n v="2"/>
    <n v="1"/>
    <x v="1"/>
    <x v="2"/>
    <x v="2"/>
    <x v="5"/>
    <m/>
    <x v="1"/>
    <n v="0"/>
    <n v="1"/>
  </r>
  <r>
    <n v="2"/>
    <n v="2"/>
    <x v="0"/>
    <x v="0"/>
    <x v="0"/>
    <x v="17"/>
    <m/>
    <x v="1"/>
    <n v="1"/>
    <n v="0"/>
  </r>
  <r>
    <n v="2"/>
    <n v="2"/>
    <x v="0"/>
    <x v="1"/>
    <x v="1"/>
    <x v="17"/>
    <m/>
    <x v="0"/>
    <n v="0"/>
    <n v="0"/>
  </r>
  <r>
    <n v="2"/>
    <n v="1"/>
    <x v="1"/>
    <x v="2"/>
    <x v="2"/>
    <x v="2"/>
    <m/>
    <x v="1"/>
    <n v="0"/>
    <n v="1"/>
  </r>
  <r>
    <n v="2"/>
    <n v="2"/>
    <x v="0"/>
    <x v="0"/>
    <x v="0"/>
    <x v="16"/>
    <m/>
    <x v="1"/>
    <n v="1"/>
    <n v="0"/>
  </r>
  <r>
    <n v="2"/>
    <n v="2"/>
    <x v="0"/>
    <x v="1"/>
    <x v="1"/>
    <x v="16"/>
    <m/>
    <x v="0"/>
    <n v="0"/>
    <n v="0"/>
  </r>
  <r>
    <n v="2"/>
    <n v="2"/>
    <x v="0"/>
    <x v="2"/>
    <x v="2"/>
    <x v="7"/>
    <m/>
    <x v="0"/>
    <n v="0"/>
    <n v="1"/>
  </r>
  <r>
    <n v="2"/>
    <n v="2"/>
    <x v="0"/>
    <x v="0"/>
    <x v="0"/>
    <x v="18"/>
    <m/>
    <x v="0"/>
    <n v="1"/>
    <n v="0"/>
  </r>
  <r>
    <n v="2"/>
    <n v="1"/>
    <x v="1"/>
    <x v="1"/>
    <x v="3"/>
    <x v="18"/>
    <m/>
    <x v="1"/>
    <n v="0"/>
    <n v="0"/>
  </r>
  <r>
    <n v="3"/>
    <n v="1"/>
    <x v="1"/>
    <x v="2"/>
    <x v="2"/>
    <x v="22"/>
    <m/>
    <x v="0"/>
    <n v="0"/>
    <n v="1"/>
  </r>
  <r>
    <n v="3"/>
    <n v="1"/>
    <x v="1"/>
    <x v="0"/>
    <x v="0"/>
    <x v="28"/>
    <m/>
    <x v="0"/>
    <n v="1"/>
    <n v="0"/>
  </r>
  <r>
    <n v="3"/>
    <n v="2"/>
    <x v="0"/>
    <x v="1"/>
    <x v="3"/>
    <x v="28"/>
    <m/>
    <x v="1"/>
    <n v="0"/>
    <n v="0"/>
  </r>
  <r>
    <n v="3"/>
    <n v="2"/>
    <x v="0"/>
    <x v="2"/>
    <x v="2"/>
    <x v="21"/>
    <m/>
    <x v="0"/>
    <n v="0"/>
    <n v="1"/>
  </r>
  <r>
    <n v="3"/>
    <n v="2"/>
    <x v="0"/>
    <x v="0"/>
    <x v="0"/>
    <x v="31"/>
    <m/>
    <x v="0"/>
    <n v="1"/>
    <n v="0"/>
  </r>
  <r>
    <n v="3"/>
    <n v="1"/>
    <x v="1"/>
    <x v="1"/>
    <x v="3"/>
    <x v="31"/>
    <m/>
    <x v="1"/>
    <n v="0"/>
    <n v="0"/>
  </r>
  <r>
    <n v="3"/>
    <n v="1"/>
    <x v="1"/>
    <x v="0"/>
    <x v="0"/>
    <x v="26"/>
    <m/>
    <x v="0"/>
    <n v="1"/>
    <n v="1"/>
  </r>
  <r>
    <n v="3"/>
    <n v="2"/>
    <x v="0"/>
    <x v="1"/>
    <x v="3"/>
    <x v="26"/>
    <m/>
    <x v="1"/>
    <n v="0"/>
    <n v="0"/>
  </r>
  <r>
    <n v="3"/>
    <n v="1"/>
    <x v="1"/>
    <x v="2"/>
    <x v="2"/>
    <x v="23"/>
    <m/>
    <x v="1"/>
    <n v="0"/>
    <n v="1"/>
  </r>
  <r>
    <n v="3"/>
    <n v="2"/>
    <x v="0"/>
    <x v="0"/>
    <x v="0"/>
    <x v="30"/>
    <m/>
    <x v="1"/>
    <n v="1"/>
    <n v="0"/>
  </r>
  <r>
    <n v="3"/>
    <n v="2"/>
    <x v="0"/>
    <x v="1"/>
    <x v="1"/>
    <x v="30"/>
    <m/>
    <x v="0"/>
    <n v="0"/>
    <n v="0"/>
  </r>
  <r>
    <n v="3"/>
    <n v="1"/>
    <x v="1"/>
    <x v="2"/>
    <x v="2"/>
    <x v="17"/>
    <m/>
    <x v="1"/>
    <n v="0"/>
    <n v="1"/>
  </r>
  <r>
    <n v="3"/>
    <n v="2"/>
    <x v="0"/>
    <x v="0"/>
    <x v="0"/>
    <x v="32"/>
    <m/>
    <x v="1"/>
    <n v="1"/>
    <n v="0"/>
  </r>
  <r>
    <n v="3"/>
    <n v="2"/>
    <x v="0"/>
    <x v="1"/>
    <x v="1"/>
    <x v="32"/>
    <m/>
    <x v="0"/>
    <n v="0"/>
    <n v="0"/>
  </r>
  <r>
    <n v="3"/>
    <n v="2"/>
    <x v="0"/>
    <x v="0"/>
    <x v="0"/>
    <x v="29"/>
    <m/>
    <x v="0"/>
    <n v="1"/>
    <n v="1"/>
  </r>
  <r>
    <n v="3"/>
    <n v="1"/>
    <x v="1"/>
    <x v="1"/>
    <x v="3"/>
    <x v="29"/>
    <m/>
    <x v="1"/>
    <n v="0"/>
    <n v="0"/>
  </r>
  <r>
    <n v="3"/>
    <n v="2"/>
    <x v="0"/>
    <x v="2"/>
    <x v="2"/>
    <x v="19"/>
    <m/>
    <x v="1"/>
    <n v="0"/>
    <n v="1"/>
  </r>
  <r>
    <n v="3"/>
    <n v="1"/>
    <x v="1"/>
    <x v="2"/>
    <x v="2"/>
    <x v="20"/>
    <m/>
    <x v="1"/>
    <n v="0"/>
    <n v="0"/>
  </r>
  <r>
    <n v="3"/>
    <n v="1"/>
    <x v="1"/>
    <x v="0"/>
    <x v="0"/>
    <x v="27"/>
    <m/>
    <x v="0"/>
    <n v="1"/>
    <n v="0"/>
  </r>
  <r>
    <n v="3"/>
    <n v="1"/>
    <x v="1"/>
    <x v="1"/>
    <x v="1"/>
    <x v="27"/>
    <m/>
    <x v="0"/>
    <n v="0"/>
    <n v="0"/>
  </r>
  <r>
    <n v="3"/>
    <n v="2"/>
    <x v="0"/>
    <x v="2"/>
    <x v="2"/>
    <x v="18"/>
    <m/>
    <x v="1"/>
    <n v="0"/>
    <n v="1"/>
  </r>
  <r>
    <n v="3"/>
    <n v="1"/>
    <x v="1"/>
    <x v="0"/>
    <x v="0"/>
    <x v="24"/>
    <m/>
    <x v="1"/>
    <n v="1"/>
    <n v="0"/>
  </r>
  <r>
    <n v="3"/>
    <n v="1"/>
    <x v="1"/>
    <x v="1"/>
    <x v="1"/>
    <x v="24"/>
    <m/>
    <x v="0"/>
    <n v="0"/>
    <n v="0"/>
  </r>
  <r>
    <n v="3"/>
    <n v="2"/>
    <x v="0"/>
    <x v="2"/>
    <x v="2"/>
    <x v="16"/>
    <m/>
    <x v="1"/>
    <n v="0"/>
    <n v="1"/>
  </r>
  <r>
    <n v="4"/>
    <n v="1"/>
    <x v="1"/>
    <x v="0"/>
    <x v="0"/>
    <x v="8"/>
    <m/>
    <x v="1"/>
    <n v="1"/>
    <n v="0"/>
  </r>
  <r>
    <n v="4"/>
    <n v="1"/>
    <x v="1"/>
    <x v="1"/>
    <x v="1"/>
    <x v="8"/>
    <m/>
    <x v="0"/>
    <n v="0"/>
    <n v="0"/>
  </r>
  <r>
    <n v="4"/>
    <n v="2"/>
    <x v="0"/>
    <x v="2"/>
    <x v="2"/>
    <x v="28"/>
    <m/>
    <x v="1"/>
    <n v="0"/>
    <n v="1"/>
  </r>
  <r>
    <n v="4"/>
    <n v="1"/>
    <x v="1"/>
    <x v="0"/>
    <x v="0"/>
    <x v="13"/>
    <m/>
    <x v="1"/>
    <n v="1"/>
    <n v="0"/>
  </r>
  <r>
    <n v="4"/>
    <n v="2"/>
    <x v="0"/>
    <x v="1"/>
    <x v="3"/>
    <x v="13"/>
    <m/>
    <x v="1"/>
    <n v="0"/>
    <n v="0"/>
  </r>
  <r>
    <n v="4"/>
    <n v="2"/>
    <x v="0"/>
    <x v="0"/>
    <x v="0"/>
    <x v="3"/>
    <m/>
    <x v="0"/>
    <n v="1"/>
    <n v="1"/>
  </r>
  <r>
    <n v="4"/>
    <n v="2"/>
    <x v="0"/>
    <x v="1"/>
    <x v="1"/>
    <x v="3"/>
    <m/>
    <x v="0"/>
    <n v="0"/>
    <n v="0"/>
  </r>
  <r>
    <n v="4"/>
    <n v="1"/>
    <x v="1"/>
    <x v="2"/>
    <x v="2"/>
    <x v="31"/>
    <m/>
    <x v="1"/>
    <n v="0"/>
    <n v="1"/>
  </r>
  <r>
    <n v="4"/>
    <n v="2"/>
    <x v="0"/>
    <x v="2"/>
    <x v="2"/>
    <x v="26"/>
    <m/>
    <x v="1"/>
    <n v="0"/>
    <n v="0"/>
  </r>
  <r>
    <n v="4"/>
    <n v="2"/>
    <x v="0"/>
    <x v="0"/>
    <x v="0"/>
    <x v="10"/>
    <m/>
    <x v="0"/>
    <n v="1"/>
    <n v="0"/>
  </r>
  <r>
    <n v="4"/>
    <n v="1"/>
    <x v="1"/>
    <x v="1"/>
    <x v="3"/>
    <x v="10"/>
    <m/>
    <x v="1"/>
    <n v="0"/>
    <n v="0"/>
  </r>
  <r>
    <n v="4"/>
    <n v="1"/>
    <x v="1"/>
    <x v="0"/>
    <x v="0"/>
    <x v="1"/>
    <m/>
    <x v="0"/>
    <n v="1"/>
    <n v="1"/>
  </r>
  <r>
    <n v="4"/>
    <n v="2"/>
    <x v="0"/>
    <x v="1"/>
    <x v="3"/>
    <x v="1"/>
    <m/>
    <x v="1"/>
    <n v="0"/>
    <n v="0"/>
  </r>
  <r>
    <n v="4"/>
    <n v="1"/>
    <x v="1"/>
    <x v="2"/>
    <x v="2"/>
    <x v="30"/>
    <m/>
    <x v="1"/>
    <n v="0"/>
    <n v="1"/>
  </r>
  <r>
    <n v="4"/>
    <n v="2"/>
    <x v="0"/>
    <x v="0"/>
    <x v="0"/>
    <x v="14"/>
    <m/>
    <x v="1"/>
    <n v="1"/>
    <n v="0"/>
  </r>
  <r>
    <n v="4"/>
    <n v="2"/>
    <x v="0"/>
    <x v="1"/>
    <x v="1"/>
    <x v="14"/>
    <m/>
    <x v="0"/>
    <n v="0"/>
    <n v="0"/>
  </r>
  <r>
    <n v="4"/>
    <n v="1"/>
    <x v="1"/>
    <x v="2"/>
    <x v="2"/>
    <x v="32"/>
    <m/>
    <x v="1"/>
    <n v="0"/>
    <n v="1"/>
  </r>
  <r>
    <n v="4"/>
    <n v="2"/>
    <x v="0"/>
    <x v="2"/>
    <x v="2"/>
    <x v="24"/>
    <m/>
    <x v="1"/>
    <n v="0"/>
    <n v="0"/>
  </r>
  <r>
    <n v="4"/>
    <n v="2"/>
    <x v="0"/>
    <x v="0"/>
    <x v="0"/>
    <x v="6"/>
    <m/>
    <x v="0"/>
    <n v="1"/>
    <n v="0"/>
  </r>
  <r>
    <n v="4"/>
    <n v="1"/>
    <x v="1"/>
    <x v="1"/>
    <x v="3"/>
    <x v="6"/>
    <m/>
    <x v="1"/>
    <n v="0"/>
    <n v="0"/>
  </r>
  <r>
    <n v="4"/>
    <n v="1"/>
    <x v="1"/>
    <x v="2"/>
    <x v="2"/>
    <x v="29"/>
    <m/>
    <x v="0"/>
    <n v="0"/>
    <n v="1"/>
  </r>
  <r>
    <n v="4"/>
    <n v="2"/>
    <x v="0"/>
    <x v="2"/>
    <x v="2"/>
    <x v="25"/>
    <s v="here"/>
    <x v="1"/>
    <n v="0"/>
    <n v="0"/>
  </r>
  <r>
    <n v="4"/>
    <n v="1"/>
    <x v="1"/>
    <x v="2"/>
    <x v="2"/>
    <x v="27"/>
    <m/>
    <x v="1"/>
    <n v="0"/>
    <n v="0"/>
  </r>
  <r>
    <n v="4"/>
    <n v="1"/>
    <x v="1"/>
    <x v="0"/>
    <x v="0"/>
    <x v="11"/>
    <m/>
    <x v="0"/>
    <n v="1"/>
    <n v="0"/>
  </r>
  <r>
    <n v="4"/>
    <n v="1"/>
    <x v="1"/>
    <x v="1"/>
    <x v="1"/>
    <x v="11"/>
    <m/>
    <x v="0"/>
    <n v="0"/>
    <n v="0"/>
  </r>
  <r>
    <s v="BREAK"/>
    <m/>
    <x v="2"/>
    <x v="3"/>
    <x v="4"/>
    <x v="25"/>
    <m/>
    <x v="1"/>
    <n v="0"/>
    <n v="1"/>
  </r>
  <r>
    <n v="1"/>
    <n v="2"/>
    <x v="0"/>
    <x v="2"/>
    <x v="2"/>
    <x v="13"/>
    <m/>
    <x v="1"/>
    <n v="0"/>
    <n v="0"/>
  </r>
  <r>
    <n v="1"/>
    <n v="2"/>
    <x v="0"/>
    <x v="0"/>
    <x v="0"/>
    <x v="7"/>
    <m/>
    <x v="0"/>
    <n v="1"/>
    <n v="0"/>
  </r>
  <r>
    <n v="1"/>
    <n v="2"/>
    <x v="0"/>
    <x v="1"/>
    <x v="1"/>
    <x v="7"/>
    <m/>
    <x v="0"/>
    <n v="0"/>
    <n v="0"/>
  </r>
  <r>
    <n v="1"/>
    <n v="1"/>
    <x v="1"/>
    <x v="2"/>
    <x v="2"/>
    <x v="6"/>
    <m/>
    <x v="1"/>
    <n v="0"/>
    <n v="1"/>
  </r>
  <r>
    <n v="1"/>
    <n v="1"/>
    <x v="1"/>
    <x v="2"/>
    <x v="2"/>
    <x v="1"/>
    <m/>
    <x v="0"/>
    <n v="0"/>
    <n v="0"/>
  </r>
  <r>
    <n v="1"/>
    <n v="2"/>
    <x v="0"/>
    <x v="0"/>
    <x v="0"/>
    <x v="15"/>
    <m/>
    <x v="1"/>
    <n v="1"/>
    <n v="0"/>
  </r>
  <r>
    <n v="1"/>
    <n v="2"/>
    <x v="0"/>
    <x v="1"/>
    <x v="1"/>
    <x v="15"/>
    <m/>
    <x v="0"/>
    <n v="0"/>
    <n v="0"/>
  </r>
  <r>
    <n v="1"/>
    <n v="1"/>
    <x v="1"/>
    <x v="2"/>
    <x v="2"/>
    <x v="14"/>
    <m/>
    <x v="1"/>
    <n v="0"/>
    <n v="1"/>
  </r>
  <r>
    <n v="1"/>
    <n v="2"/>
    <x v="0"/>
    <x v="0"/>
    <x v="0"/>
    <x v="12"/>
    <m/>
    <x v="1"/>
    <n v="1"/>
    <n v="0"/>
  </r>
  <r>
    <n v="1"/>
    <n v="1"/>
    <x v="1"/>
    <x v="1"/>
    <x v="3"/>
    <x v="12"/>
    <m/>
    <x v="1"/>
    <n v="0"/>
    <n v="0"/>
  </r>
  <r>
    <n v="1"/>
    <n v="1"/>
    <x v="1"/>
    <x v="2"/>
    <x v="2"/>
    <x v="8"/>
    <m/>
    <x v="0"/>
    <n v="0"/>
    <n v="1"/>
  </r>
  <r>
    <n v="1"/>
    <n v="1"/>
    <x v="1"/>
    <x v="0"/>
    <x v="0"/>
    <x v="4"/>
    <m/>
    <x v="0"/>
    <n v="1"/>
    <n v="0"/>
  </r>
  <r>
    <n v="1"/>
    <n v="2"/>
    <x v="0"/>
    <x v="1"/>
    <x v="3"/>
    <x v="4"/>
    <m/>
    <x v="1"/>
    <n v="0"/>
    <n v="0"/>
  </r>
  <r>
    <n v="1"/>
    <n v="2"/>
    <x v="0"/>
    <x v="0"/>
    <x v="0"/>
    <x v="2"/>
    <m/>
    <x v="0"/>
    <n v="1"/>
    <n v="1"/>
  </r>
  <r>
    <n v="1"/>
    <n v="1"/>
    <x v="1"/>
    <x v="1"/>
    <x v="3"/>
    <x v="2"/>
    <m/>
    <x v="1"/>
    <n v="0"/>
    <n v="0"/>
  </r>
  <r>
    <n v="1"/>
    <n v="1"/>
    <x v="1"/>
    <x v="2"/>
    <x v="2"/>
    <x v="11"/>
    <m/>
    <x v="0"/>
    <n v="0"/>
    <n v="1"/>
  </r>
  <r>
    <n v="1"/>
    <n v="2"/>
    <x v="0"/>
    <x v="2"/>
    <x v="2"/>
    <x v="10"/>
    <m/>
    <x v="1"/>
    <n v="0"/>
    <n v="0"/>
  </r>
  <r>
    <n v="1"/>
    <n v="1"/>
    <x v="1"/>
    <x v="0"/>
    <x v="0"/>
    <x v="5"/>
    <m/>
    <x v="1"/>
    <n v="1"/>
    <n v="0"/>
  </r>
  <r>
    <n v="1"/>
    <n v="1"/>
    <x v="1"/>
    <x v="1"/>
    <x v="1"/>
    <x v="5"/>
    <m/>
    <x v="0"/>
    <n v="0"/>
    <n v="0"/>
  </r>
  <r>
    <n v="1"/>
    <n v="2"/>
    <x v="0"/>
    <x v="2"/>
    <x v="2"/>
    <x v="3"/>
    <m/>
    <x v="1"/>
    <n v="0"/>
    <n v="1"/>
  </r>
  <r>
    <n v="1"/>
    <n v="1"/>
    <x v="1"/>
    <x v="0"/>
    <x v="0"/>
    <x v="0"/>
    <m/>
    <x v="1"/>
    <n v="1"/>
    <n v="0"/>
  </r>
  <r>
    <n v="1"/>
    <n v="1"/>
    <x v="1"/>
    <x v="1"/>
    <x v="1"/>
    <x v="0"/>
    <m/>
    <x v="0"/>
    <n v="0"/>
    <n v="0"/>
  </r>
  <r>
    <n v="1"/>
    <n v="1"/>
    <x v="1"/>
    <x v="0"/>
    <x v="0"/>
    <x v="9"/>
    <m/>
    <x v="0"/>
    <n v="1"/>
    <n v="1"/>
  </r>
  <r>
    <n v="1"/>
    <n v="2"/>
    <x v="0"/>
    <x v="1"/>
    <x v="3"/>
    <x v="9"/>
    <m/>
    <x v="1"/>
    <n v="0"/>
    <n v="0"/>
  </r>
  <r>
    <n v="2"/>
    <n v="1"/>
    <x v="1"/>
    <x v="0"/>
    <x v="0"/>
    <x v="23"/>
    <m/>
    <x v="1"/>
    <n v="1"/>
    <n v="1"/>
  </r>
  <r>
    <n v="2"/>
    <n v="1"/>
    <x v="1"/>
    <x v="1"/>
    <x v="1"/>
    <x v="23"/>
    <m/>
    <x v="0"/>
    <n v="0"/>
    <n v="0"/>
  </r>
  <r>
    <n v="2"/>
    <n v="1"/>
    <x v="1"/>
    <x v="2"/>
    <x v="2"/>
    <x v="7"/>
    <m/>
    <x v="0"/>
    <n v="0"/>
    <n v="1"/>
  </r>
  <r>
    <n v="2"/>
    <n v="2"/>
    <x v="0"/>
    <x v="2"/>
    <x v="2"/>
    <x v="0"/>
    <m/>
    <x v="1"/>
    <n v="0"/>
    <n v="0"/>
  </r>
  <r>
    <n v="2"/>
    <n v="1"/>
    <x v="1"/>
    <x v="0"/>
    <x v="0"/>
    <x v="19"/>
    <m/>
    <x v="1"/>
    <n v="1"/>
    <n v="0"/>
  </r>
  <r>
    <n v="2"/>
    <n v="1"/>
    <x v="1"/>
    <x v="1"/>
    <x v="1"/>
    <x v="19"/>
    <m/>
    <x v="0"/>
    <n v="0"/>
    <n v="0"/>
  </r>
  <r>
    <n v="2"/>
    <n v="1"/>
    <x v="1"/>
    <x v="2"/>
    <x v="2"/>
    <x v="15"/>
    <m/>
    <x v="0"/>
    <n v="0"/>
    <n v="1"/>
  </r>
  <r>
    <n v="2"/>
    <n v="2"/>
    <x v="0"/>
    <x v="2"/>
    <x v="2"/>
    <x v="25"/>
    <s v="here"/>
    <x v="1"/>
    <n v="0"/>
    <n v="0"/>
  </r>
  <r>
    <n v="2"/>
    <n v="1"/>
    <x v="1"/>
    <x v="2"/>
    <x v="2"/>
    <x v="12"/>
    <m/>
    <x v="1"/>
    <n v="0"/>
    <n v="0"/>
  </r>
  <r>
    <n v="2"/>
    <n v="1"/>
    <x v="1"/>
    <x v="0"/>
    <x v="0"/>
    <x v="21"/>
    <m/>
    <x v="0"/>
    <n v="1"/>
    <n v="0"/>
  </r>
  <r>
    <n v="2"/>
    <n v="1"/>
    <x v="0"/>
    <x v="1"/>
    <x v="3"/>
    <x v="21"/>
    <m/>
    <x v="1"/>
    <n v="0"/>
    <n v="0"/>
  </r>
  <r>
    <n v="2"/>
    <n v="2"/>
    <x v="0"/>
    <x v="2"/>
    <x v="2"/>
    <x v="4"/>
    <m/>
    <x v="0"/>
    <n v="0"/>
    <n v="1"/>
  </r>
  <r>
    <n v="2"/>
    <n v="2"/>
    <x v="0"/>
    <x v="0"/>
    <x v="0"/>
    <x v="17"/>
    <m/>
    <x v="0"/>
    <n v="1"/>
    <n v="0"/>
  </r>
  <r>
    <n v="2"/>
    <n v="1"/>
    <x v="1"/>
    <x v="1"/>
    <x v="3"/>
    <x v="17"/>
    <m/>
    <x v="1"/>
    <n v="0"/>
    <n v="0"/>
  </r>
  <r>
    <n v="2"/>
    <n v="1"/>
    <x v="1"/>
    <x v="2"/>
    <x v="2"/>
    <x v="2"/>
    <m/>
    <x v="0"/>
    <n v="0"/>
    <n v="1"/>
  </r>
  <r>
    <n v="2"/>
    <n v="1"/>
    <x v="1"/>
    <x v="0"/>
    <x v="0"/>
    <x v="22"/>
    <m/>
    <x v="0"/>
    <n v="1"/>
    <n v="0"/>
  </r>
  <r>
    <n v="2"/>
    <n v="2"/>
    <x v="0"/>
    <x v="1"/>
    <x v="3"/>
    <x v="22"/>
    <m/>
    <x v="1"/>
    <n v="0"/>
    <n v="0"/>
  </r>
  <r>
    <n v="2"/>
    <n v="2"/>
    <x v="0"/>
    <x v="0"/>
    <x v="0"/>
    <x v="18"/>
    <m/>
    <x v="0"/>
    <n v="1"/>
    <n v="1"/>
  </r>
  <r>
    <n v="2"/>
    <n v="2"/>
    <x v="0"/>
    <x v="1"/>
    <x v="1"/>
    <x v="18"/>
    <m/>
    <x v="0"/>
    <n v="0"/>
    <n v="0"/>
  </r>
  <r>
    <n v="2"/>
    <n v="1"/>
    <x v="1"/>
    <x v="2"/>
    <x v="2"/>
    <x v="5"/>
    <m/>
    <x v="1"/>
    <n v="0"/>
    <n v="1"/>
  </r>
  <r>
    <n v="2"/>
    <n v="2"/>
    <x v="0"/>
    <x v="0"/>
    <x v="0"/>
    <x v="20"/>
    <m/>
    <x v="1"/>
    <n v="1"/>
    <n v="0"/>
  </r>
  <r>
    <n v="2"/>
    <n v="2"/>
    <x v="0"/>
    <x v="1"/>
    <x v="1"/>
    <x v="20"/>
    <m/>
    <x v="0"/>
    <n v="0"/>
    <n v="0"/>
  </r>
  <r>
    <n v="2"/>
    <n v="2"/>
    <x v="0"/>
    <x v="2"/>
    <x v="2"/>
    <x v="9"/>
    <m/>
    <x v="0"/>
    <n v="0"/>
    <n v="1"/>
  </r>
  <r>
    <n v="2"/>
    <n v="2"/>
    <x v="0"/>
    <x v="0"/>
    <x v="0"/>
    <x v="16"/>
    <m/>
    <x v="0"/>
    <n v="1"/>
    <n v="0"/>
  </r>
  <r>
    <n v="2"/>
    <n v="1"/>
    <x v="1"/>
    <x v="1"/>
    <x v="3"/>
    <x v="16"/>
    <m/>
    <x v="1"/>
    <n v="0"/>
    <n v="0"/>
  </r>
  <r>
    <n v="3"/>
    <n v="1"/>
    <x v="1"/>
    <x v="0"/>
    <x v="0"/>
    <x v="29"/>
    <m/>
    <x v="0"/>
    <n v="1"/>
    <n v="1"/>
  </r>
  <r>
    <n v="3"/>
    <n v="2"/>
    <x v="0"/>
    <x v="1"/>
    <x v="3"/>
    <x v="29"/>
    <m/>
    <x v="1"/>
    <n v="0"/>
    <n v="0"/>
  </r>
  <r>
    <n v="3"/>
    <n v="2"/>
    <x v="0"/>
    <x v="2"/>
    <x v="2"/>
    <x v="23"/>
    <m/>
    <x v="0"/>
    <n v="0"/>
    <n v="1"/>
  </r>
  <r>
    <n v="3"/>
    <n v="2"/>
    <x v="0"/>
    <x v="0"/>
    <x v="0"/>
    <x v="24"/>
    <m/>
    <x v="0"/>
    <n v="1"/>
    <n v="0"/>
  </r>
  <r>
    <n v="3"/>
    <n v="1"/>
    <x v="1"/>
    <x v="1"/>
    <x v="3"/>
    <x v="24"/>
    <m/>
    <x v="1"/>
    <n v="0"/>
    <n v="0"/>
  </r>
  <r>
    <n v="3"/>
    <n v="1"/>
    <x v="1"/>
    <x v="2"/>
    <x v="2"/>
    <x v="19"/>
    <m/>
    <x v="0"/>
    <n v="0"/>
    <n v="1"/>
  </r>
  <r>
    <n v="3"/>
    <n v="1"/>
    <x v="1"/>
    <x v="0"/>
    <x v="0"/>
    <x v="31"/>
    <m/>
    <x v="0"/>
    <n v="1"/>
    <n v="0"/>
  </r>
  <r>
    <n v="3"/>
    <n v="2"/>
    <x v="0"/>
    <x v="1"/>
    <x v="3"/>
    <x v="31"/>
    <m/>
    <x v="1"/>
    <n v="0"/>
    <n v="0"/>
  </r>
  <r>
    <n v="3"/>
    <n v="1"/>
    <x v="1"/>
    <x v="2"/>
    <x v="2"/>
    <x v="21"/>
    <m/>
    <x v="1"/>
    <n v="0"/>
    <n v="1"/>
  </r>
  <r>
    <n v="3"/>
    <n v="2"/>
    <x v="0"/>
    <x v="0"/>
    <x v="0"/>
    <x v="27"/>
    <m/>
    <x v="1"/>
    <n v="1"/>
    <n v="0"/>
  </r>
  <r>
    <n v="3"/>
    <n v="2"/>
    <x v="0"/>
    <x v="1"/>
    <x v="1"/>
    <x v="27"/>
    <m/>
    <x v="0"/>
    <n v="0"/>
    <n v="0"/>
  </r>
  <r>
    <n v="3"/>
    <n v="2"/>
    <x v="0"/>
    <x v="2"/>
    <x v="2"/>
    <x v="17"/>
    <m/>
    <x v="0"/>
    <n v="0"/>
    <n v="1"/>
  </r>
  <r>
    <n v="3"/>
    <n v="1"/>
    <x v="1"/>
    <x v="2"/>
    <x v="2"/>
    <x v="22"/>
    <m/>
    <x v="1"/>
    <n v="0"/>
    <n v="0"/>
  </r>
  <r>
    <n v="3"/>
    <n v="2"/>
    <x v="0"/>
    <x v="0"/>
    <x v="0"/>
    <x v="26"/>
    <m/>
    <x v="1"/>
    <n v="1"/>
    <n v="0"/>
  </r>
  <r>
    <n v="3"/>
    <n v="2"/>
    <x v="0"/>
    <x v="1"/>
    <x v="1"/>
    <x v="26"/>
    <m/>
    <x v="0"/>
    <n v="0"/>
    <n v="0"/>
  </r>
  <r>
    <n v="3"/>
    <n v="2"/>
    <x v="0"/>
    <x v="0"/>
    <x v="0"/>
    <x v="32"/>
    <m/>
    <x v="0"/>
    <n v="1"/>
    <n v="1"/>
  </r>
  <r>
    <n v="3"/>
    <n v="1"/>
    <x v="1"/>
    <x v="1"/>
    <x v="3"/>
    <x v="32"/>
    <m/>
    <x v="1"/>
    <n v="0"/>
    <n v="0"/>
  </r>
  <r>
    <n v="3"/>
    <n v="2"/>
    <x v="0"/>
    <x v="2"/>
    <x v="2"/>
    <x v="20"/>
    <m/>
    <x v="1"/>
    <n v="0"/>
    <n v="1"/>
  </r>
  <r>
    <n v="3"/>
    <n v="1"/>
    <x v="1"/>
    <x v="2"/>
    <x v="2"/>
    <x v="18"/>
    <m/>
    <x v="1"/>
    <n v="0"/>
    <n v="0"/>
  </r>
  <r>
    <n v="3"/>
    <n v="1"/>
    <x v="1"/>
    <x v="0"/>
    <x v="0"/>
    <x v="30"/>
    <m/>
    <x v="0"/>
    <n v="1"/>
    <n v="0"/>
  </r>
  <r>
    <n v="3"/>
    <n v="1"/>
    <x v="1"/>
    <x v="1"/>
    <x v="1"/>
    <x v="30"/>
    <m/>
    <x v="0"/>
    <n v="0"/>
    <n v="0"/>
  </r>
  <r>
    <n v="3"/>
    <n v="2"/>
    <x v="0"/>
    <x v="2"/>
    <x v="2"/>
    <x v="16"/>
    <m/>
    <x v="1"/>
    <n v="0"/>
    <n v="1"/>
  </r>
  <r>
    <n v="3"/>
    <n v="1"/>
    <x v="1"/>
    <x v="0"/>
    <x v="0"/>
    <x v="28"/>
    <m/>
    <x v="1"/>
    <n v="1"/>
    <n v="0"/>
  </r>
  <r>
    <n v="3"/>
    <n v="1"/>
    <x v="1"/>
    <x v="1"/>
    <x v="1"/>
    <x v="28"/>
    <m/>
    <x v="0"/>
    <n v="0"/>
    <n v="0"/>
  </r>
  <r>
    <n v="4"/>
    <n v="1"/>
    <x v="1"/>
    <x v="2"/>
    <x v="2"/>
    <x v="24"/>
    <m/>
    <x v="0"/>
    <n v="0"/>
    <n v="1"/>
  </r>
  <r>
    <n v="4"/>
    <n v="2"/>
    <x v="0"/>
    <x v="2"/>
    <x v="2"/>
    <x v="29"/>
    <m/>
    <x v="1"/>
    <n v="0"/>
    <n v="0"/>
  </r>
  <r>
    <n v="4"/>
    <n v="1"/>
    <x v="1"/>
    <x v="0"/>
    <x v="0"/>
    <x v="13"/>
    <m/>
    <x v="1"/>
    <n v="1"/>
    <n v="0"/>
  </r>
  <r>
    <n v="4"/>
    <n v="1"/>
    <x v="1"/>
    <x v="1"/>
    <x v="1"/>
    <x v="13"/>
    <m/>
    <x v="0"/>
    <n v="0"/>
    <n v="0"/>
  </r>
  <r>
    <n v="4"/>
    <n v="1"/>
    <x v="1"/>
    <x v="0"/>
    <x v="0"/>
    <x v="6"/>
    <m/>
    <x v="0"/>
    <n v="1"/>
    <n v="1"/>
  </r>
  <r>
    <n v="4"/>
    <n v="2"/>
    <x v="0"/>
    <x v="1"/>
    <x v="3"/>
    <x v="6"/>
    <m/>
    <x v="1"/>
    <n v="0"/>
    <n v="0"/>
  </r>
  <r>
    <n v="4"/>
    <n v="1"/>
    <x v="1"/>
    <x v="2"/>
    <x v="2"/>
    <x v="31"/>
    <m/>
    <x v="1"/>
    <n v="0"/>
    <n v="1"/>
  </r>
  <r>
    <n v="4"/>
    <n v="2"/>
    <x v="0"/>
    <x v="0"/>
    <x v="0"/>
    <x v="10"/>
    <m/>
    <x v="1"/>
    <n v="1"/>
    <n v="0"/>
  </r>
  <r>
    <n v="4"/>
    <n v="2"/>
    <x v="0"/>
    <x v="1"/>
    <x v="1"/>
    <x v="10"/>
    <m/>
    <x v="0"/>
    <n v="0"/>
    <n v="0"/>
  </r>
  <r>
    <n v="4"/>
    <n v="2"/>
    <x v="0"/>
    <x v="0"/>
    <x v="0"/>
    <x v="1"/>
    <m/>
    <x v="0"/>
    <n v="1"/>
    <n v="1"/>
  </r>
  <r>
    <n v="4"/>
    <n v="1"/>
    <x v="1"/>
    <x v="1"/>
    <x v="3"/>
    <x v="1"/>
    <m/>
    <x v="1"/>
    <n v="0"/>
    <n v="0"/>
  </r>
  <r>
    <n v="4"/>
    <n v="2"/>
    <x v="0"/>
    <x v="2"/>
    <x v="2"/>
    <x v="27"/>
    <m/>
    <x v="1"/>
    <n v="0"/>
    <n v="1"/>
  </r>
  <r>
    <n v="4"/>
    <n v="1"/>
    <x v="1"/>
    <x v="0"/>
    <x v="0"/>
    <x v="8"/>
    <m/>
    <x v="1"/>
    <n v="1"/>
    <n v="0"/>
  </r>
  <r>
    <n v="4"/>
    <n v="2"/>
    <x v="0"/>
    <x v="1"/>
    <x v="3"/>
    <x v="8"/>
    <m/>
    <x v="1"/>
    <n v="0"/>
    <n v="0"/>
  </r>
  <r>
    <n v="4"/>
    <n v="2"/>
    <x v="0"/>
    <x v="2"/>
    <x v="2"/>
    <x v="26"/>
    <m/>
    <x v="0"/>
    <n v="0"/>
    <n v="1"/>
  </r>
  <r>
    <n v="4"/>
    <n v="2"/>
    <x v="0"/>
    <x v="0"/>
    <x v="0"/>
    <x v="11"/>
    <m/>
    <x v="0"/>
    <n v="1"/>
    <n v="0"/>
  </r>
  <r>
    <n v="4"/>
    <n v="2"/>
    <x v="0"/>
    <x v="1"/>
    <x v="1"/>
    <x v="11"/>
    <m/>
    <x v="0"/>
    <n v="0"/>
    <n v="0"/>
  </r>
  <r>
    <n v="4"/>
    <n v="1"/>
    <x v="1"/>
    <x v="2"/>
    <x v="2"/>
    <x v="32"/>
    <m/>
    <x v="1"/>
    <n v="0"/>
    <n v="1"/>
  </r>
  <r>
    <n v="4"/>
    <n v="2"/>
    <x v="0"/>
    <x v="2"/>
    <x v="2"/>
    <x v="30"/>
    <m/>
    <x v="1"/>
    <n v="0"/>
    <n v="0"/>
  </r>
  <r>
    <n v="4"/>
    <n v="2"/>
    <x v="0"/>
    <x v="0"/>
    <x v="0"/>
    <x v="14"/>
    <m/>
    <x v="0"/>
    <n v="1"/>
    <n v="0"/>
  </r>
  <r>
    <n v="4"/>
    <n v="1"/>
    <x v="1"/>
    <x v="1"/>
    <x v="3"/>
    <x v="14"/>
    <m/>
    <x v="1"/>
    <n v="0"/>
    <n v="0"/>
  </r>
  <r>
    <n v="4"/>
    <n v="1"/>
    <x v="1"/>
    <x v="2"/>
    <x v="2"/>
    <x v="28"/>
    <m/>
    <x v="0"/>
    <n v="0"/>
    <n v="1"/>
  </r>
  <r>
    <n v="4"/>
    <n v="1"/>
    <x v="1"/>
    <x v="0"/>
    <x v="0"/>
    <x v="3"/>
    <m/>
    <x v="0"/>
    <n v="1"/>
    <n v="0"/>
  </r>
  <r>
    <n v="4"/>
    <n v="1"/>
    <x v="1"/>
    <x v="1"/>
    <x v="1"/>
    <x v="3"/>
    <m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2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P14" firstHeaderRow="1" firstDataRow="2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34">
        <item x="0"/>
        <item x="16"/>
        <item x="24"/>
        <item x="1"/>
        <item x="2"/>
        <item x="17"/>
        <item x="26"/>
        <item x="3"/>
        <item x="4"/>
        <item x="18"/>
        <item x="27"/>
        <item x="6"/>
        <item x="5"/>
        <item x="19"/>
        <item x="28"/>
        <item x="8"/>
        <item x="7"/>
        <item x="20"/>
        <item x="29"/>
        <item x="10"/>
        <item x="9"/>
        <item x="21"/>
        <item x="30"/>
        <item x="13"/>
        <item x="12"/>
        <item x="22"/>
        <item x="31"/>
        <item x="11"/>
        <item x="15"/>
        <item x="23"/>
        <item x="32"/>
        <item x="14"/>
        <item x="25"/>
        <item t="default"/>
      </items>
    </pivotField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</pivotFields>
  <rowFields count="2">
    <field x="3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Previous_modality_same" fld="7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5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I22" firstHeaderRow="1" firstDataRow="2" firstDataCol="1"/>
  <pivotFields count="10"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34">
        <item x="0"/>
        <item x="16"/>
        <item x="24"/>
        <item x="1"/>
        <item x="2"/>
        <item x="17"/>
        <item x="26"/>
        <item x="3"/>
        <item x="4"/>
        <item x="18"/>
        <item x="27"/>
        <item x="6"/>
        <item x="5"/>
        <item x="19"/>
        <item x="28"/>
        <item x="8"/>
        <item x="7"/>
        <item x="20"/>
        <item x="29"/>
        <item x="10"/>
        <item x="9"/>
        <item x="21"/>
        <item x="30"/>
        <item x="13"/>
        <item x="12"/>
        <item x="22"/>
        <item x="31"/>
        <item x="11"/>
        <item x="15"/>
        <item x="23"/>
        <item x="32"/>
        <item x="14"/>
        <item x="25"/>
        <item t="default"/>
      </items>
    </pivotField>
    <pivotField showAll="0"/>
    <pivotField showAll="0"/>
    <pivotField showAll="0"/>
    <pivotField showAll="0"/>
  </pivotFields>
  <rowFields count="3">
    <field x="3"/>
    <field x="2"/>
    <field x="4"/>
  </rowFields>
  <rowItems count="18">
    <i>
      <x/>
    </i>
    <i r="1">
      <x/>
    </i>
    <i r="2">
      <x/>
    </i>
    <i r="1">
      <x v="1"/>
    </i>
    <i r="2">
      <x/>
    </i>
    <i>
      <x v="1"/>
    </i>
    <i r="1">
      <x/>
    </i>
    <i r="2">
      <x v="1"/>
    </i>
    <i r="1">
      <x v="1"/>
    </i>
    <i r="2">
      <x v="1"/>
    </i>
    <i>
      <x v="2"/>
    </i>
    <i r="1">
      <x/>
    </i>
    <i r="2">
      <x v="2"/>
    </i>
    <i r="2">
      <x v="3"/>
    </i>
    <i r="1">
      <x v="1"/>
    </i>
    <i r="2">
      <x v="2"/>
    </i>
    <i r="2">
      <x v="3"/>
    </i>
    <i t="grand">
      <x/>
    </i>
  </rowItems>
  <colFields count="1">
    <field x="5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Count of sequence" fld="1" subtotal="count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1000000}" name="PivotTable9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7:P29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</pivotFields>
  <rowItems count="1">
    <i/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Next_item_same_item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:S19" firstHeaderRow="1" firstDataRow="3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2">
    <field x="3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7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PivotTable1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6" firstHeaderRow="1" firstDataRow="2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arge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PivotTable10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1" firstDataRow="2" firstDataCol="1"/>
  <pivotFields count="10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sd="0" x="3"/>
        <item t="default" sd="0"/>
      </items>
    </pivotField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</pivotFields>
  <rowFields count="2">
    <field x="3"/>
    <field x="2"/>
  </rowFields>
  <rowItems count="1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Previous_modality_same" fld="7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K1:P33" totalsRowShown="0" headerRowDxfId="76">
  <autoFilter ref="K1:P33" xr:uid="{00000000-0009-0000-0100-000002000000}"/>
  <tableColumns count="6">
    <tableColumn id="1" xr3:uid="{00000000-0010-0000-0000-000001000000}" name="Set"/>
    <tableColumn id="2" xr3:uid="{00000000-0010-0000-0000-000002000000}" name="Stimulus"/>
    <tableColumn id="3" xr3:uid="{00000000-0010-0000-0000-000003000000}" name="(1 1)"/>
    <tableColumn id="4" xr3:uid="{00000000-0010-0000-0000-000004000000}" name="(2 2)"/>
    <tableColumn id="5" xr3:uid="{00000000-0010-0000-0000-000005000000}" name="(1 2)"/>
    <tableColumn id="6" xr3:uid="{00000000-0010-0000-0000-000006000000}" name="(2 1)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I65" totalsRowShown="0" dataDxfId="75">
  <autoFilter ref="A1:I65" xr:uid="{00000000-0009-0000-0100-000009000000}"/>
  <tableColumns count="9">
    <tableColumn id="1" xr3:uid="{00000000-0010-0000-0100-000001000000}" name="Set" dataDxfId="74"/>
    <tableColumn id="2" xr3:uid="{00000000-0010-0000-0100-000002000000}" name="Sequence" dataDxfId="73"/>
    <tableColumn id="3" xr3:uid="{00000000-0010-0000-0100-000003000000}" name="Modality" dataDxfId="72"/>
    <tableColumn id="4" xr3:uid="{00000000-0010-0000-0100-000004000000}" name="Target"/>
    <tableColumn id="5" xr3:uid="{00000000-0010-0000-0100-000005000000}" name="Rep_Sw"/>
    <tableColumn id="6" xr3:uid="{00000000-0010-0000-0100-000006000000}" name="order1" dataDxfId="71"/>
    <tableColumn id="7" xr3:uid="{00000000-0010-0000-0100-000007000000}" name="order2" dataDxfId="70"/>
    <tableColumn id="8" xr3:uid="{00000000-0010-0000-0100-000008000000}" name="order3" dataDxfId="69"/>
    <tableColumn id="9" xr3:uid="{00000000-0010-0000-0100-000009000000}" name="order4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F388" totalsRowShown="0" headerRowDxfId="67" dataDxfId="66">
  <autoFilter ref="A1:F388" xr:uid="{00000000-0009-0000-0100-000001000000}"/>
  <tableColumns count="6">
    <tableColumn id="6" xr3:uid="{00000000-0010-0000-0200-000006000000}" name="set" dataDxfId="65"/>
    <tableColumn id="1" xr3:uid="{00000000-0010-0000-0200-000001000000}" name="sequence" dataDxfId="64"/>
    <tableColumn id="5" xr3:uid="{00000000-0010-0000-0200-000005000000}" name="modality" dataDxfId="63"/>
    <tableColumn id="2" xr3:uid="{00000000-0010-0000-0200-000002000000}" name="target" dataDxfId="62"/>
    <tableColumn id="3" xr3:uid="{00000000-0010-0000-0200-000003000000}" name="repSwitch" dataDxfId="61"/>
    <tableColumn id="4" xr3:uid="{00000000-0010-0000-0200-000004000000}" name="stimulus" dataDxfId="60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39" displayName="Table39" ref="A1:F260" totalsRowShown="0" headerRowDxfId="59" headerRowBorderDxfId="58" tableBorderDxfId="57">
  <autoFilter ref="A1:F260" xr:uid="{00000000-0009-0000-0100-000008000000}"/>
  <tableColumns count="6">
    <tableColumn id="1" xr3:uid="{00000000-0010-0000-0300-000001000000}" name="set" dataDxfId="56"/>
    <tableColumn id="2" xr3:uid="{00000000-0010-0000-0300-000002000000}" name="sequence"/>
    <tableColumn id="3" xr3:uid="{00000000-0010-0000-0300-000003000000}" name="modality"/>
    <tableColumn id="4" xr3:uid="{00000000-0010-0000-0300-000004000000}" name="target"/>
    <tableColumn id="5" xr3:uid="{00000000-0010-0000-0300-000005000000}" name="repSwitch" dataDxfId="55"/>
    <tableColumn id="6" xr3:uid="{00000000-0010-0000-0300-000006000000}" name="stimulus" dataDxfId="5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1:F388" totalsRowShown="0" headerRowDxfId="53" headerRowBorderDxfId="52" tableBorderDxfId="51">
  <autoFilter ref="A1:F388" xr:uid="{00000000-0009-0000-0100-000003000000}"/>
  <tableColumns count="6">
    <tableColumn id="1" xr3:uid="{00000000-0010-0000-0400-000001000000}" name="set" dataDxfId="50"/>
    <tableColumn id="2" xr3:uid="{00000000-0010-0000-0400-000002000000}" name="sequence"/>
    <tableColumn id="3" xr3:uid="{00000000-0010-0000-0400-000003000000}" name="modality"/>
    <tableColumn id="4" xr3:uid="{00000000-0010-0000-0400-000004000000}" name="target"/>
    <tableColumn id="5" xr3:uid="{00000000-0010-0000-0400-000005000000}" name="repSwitch" dataDxfId="49"/>
    <tableColumn id="6" xr3:uid="{00000000-0010-0000-0400-000006000000}" name="stimulus" dataDxfId="4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F388" totalsRowShown="0" headerRowDxfId="47" headerRowBorderDxfId="46" tableBorderDxfId="45">
  <autoFilter ref="A1:F388" xr:uid="{00000000-0009-0000-0100-000004000000}"/>
  <tableColumns count="6">
    <tableColumn id="1" xr3:uid="{00000000-0010-0000-0500-000001000000}" name="set" dataDxfId="44"/>
    <tableColumn id="2" xr3:uid="{00000000-0010-0000-0500-000002000000}" name="sequence"/>
    <tableColumn id="3" xr3:uid="{00000000-0010-0000-0500-000003000000}" name="modality"/>
    <tableColumn id="4" xr3:uid="{00000000-0010-0000-0500-000004000000}" name="target"/>
    <tableColumn id="5" xr3:uid="{00000000-0010-0000-0500-000005000000}" name="repSwitch" dataDxfId="43"/>
    <tableColumn id="6" xr3:uid="{00000000-0010-0000-0500-000006000000}" name="stimulus" dataDxfId="4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1:F388" totalsRowShown="0" headerRowDxfId="41" dataDxfId="39" headerRowBorderDxfId="40" tableBorderDxfId="38">
  <autoFilter ref="A1:F388" xr:uid="{00000000-0009-0000-0100-000005000000}"/>
  <tableColumns count="6">
    <tableColumn id="1" xr3:uid="{00000000-0010-0000-0600-000001000000}" name="set" dataDxfId="37"/>
    <tableColumn id="2" xr3:uid="{00000000-0010-0000-0600-000002000000}" name="sequence" dataDxfId="36"/>
    <tableColumn id="3" xr3:uid="{00000000-0010-0000-0600-000003000000}" name="modality" dataDxfId="35"/>
    <tableColumn id="4" xr3:uid="{00000000-0010-0000-0600-000004000000}" name="target" dataDxfId="34"/>
    <tableColumn id="5" xr3:uid="{00000000-0010-0000-0600-000005000000}" name="repSwitch" dataDxfId="33"/>
    <tableColumn id="6" xr3:uid="{00000000-0010-0000-0600-000006000000}" name="stimulus" dataDxfId="3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1:F388" totalsRowShown="0" headerRowDxfId="31" headerRowBorderDxfId="30" tableBorderDxfId="29">
  <autoFilter ref="A1:F388" xr:uid="{00000000-0009-0000-0100-000006000000}"/>
  <tableColumns count="6">
    <tableColumn id="1" xr3:uid="{00000000-0010-0000-0700-000001000000}" name="set" dataDxfId="28"/>
    <tableColumn id="2" xr3:uid="{00000000-0010-0000-0700-000002000000}" name="sequence"/>
    <tableColumn id="3" xr3:uid="{00000000-0010-0000-0700-000003000000}" name="modality"/>
    <tableColumn id="4" xr3:uid="{00000000-0010-0000-0700-000004000000}" name="target"/>
    <tableColumn id="5" xr3:uid="{00000000-0010-0000-0700-000005000000}" name="repSwitch" dataDxfId="27"/>
    <tableColumn id="6" xr3:uid="{00000000-0010-0000-0700-000006000000}" name="stimulus" dataDxfId="26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1:J2" totalsRowShown="0">
  <autoFilter ref="A1:J2" xr:uid="{00000000-0009-0000-0100-00000B000000}"/>
  <tableColumns count="10">
    <tableColumn id="1" xr3:uid="{00000000-0010-0000-0800-000001000000}" name="set"/>
    <tableColumn id="2" xr3:uid="{00000000-0010-0000-0800-000002000000}" name="sequence"/>
    <tableColumn id="3" xr3:uid="{00000000-0010-0000-0800-000003000000}" name="modality"/>
    <tableColumn id="4" xr3:uid="{00000000-0010-0000-0800-000004000000}" name="target"/>
    <tableColumn id="5" xr3:uid="{00000000-0010-0000-0800-000005000000}" name="repSwitch"/>
    <tableColumn id="6" xr3:uid="{00000000-0010-0000-0800-000006000000}" name="stimulus"/>
    <tableColumn id="7" xr3:uid="{00000000-0010-0000-0800-000007000000}" name="Additions"/>
    <tableColumn id="8" xr3:uid="{00000000-0010-0000-0800-000008000000}" name="Previous_modality_same"/>
    <tableColumn id="9" xr3:uid="{00000000-0010-0000-0800-000009000000}" name="Next_item_same_item"/>
    <tableColumn id="10" xr3:uid="{00000000-0010-0000-0800-00000A000000}" name="Previous_is_targe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Table38" displayName="Table38" ref="A1:J395" totalsRowShown="0" headerRowDxfId="25" headerRowBorderDxfId="24" tableBorderDxfId="23">
  <autoFilter ref="A1:J395" xr:uid="{00000000-0009-0000-0100-000007000000}"/>
  <tableColumns count="10">
    <tableColumn id="1" xr3:uid="{00000000-0010-0000-0900-000001000000}" name="set" dataDxfId="22"/>
    <tableColumn id="2" xr3:uid="{00000000-0010-0000-0900-000002000000}" name="sequence" dataDxfId="21"/>
    <tableColumn id="3" xr3:uid="{00000000-0010-0000-0900-000003000000}" name="modality" dataDxfId="20"/>
    <tableColumn id="4" xr3:uid="{00000000-0010-0000-0900-000004000000}" name="target" dataDxfId="19"/>
    <tableColumn id="5" xr3:uid="{00000000-0010-0000-0900-000005000000}" name="repSwitch" dataDxfId="18"/>
    <tableColumn id="6" xr3:uid="{00000000-0010-0000-0900-000006000000}" name="stimulus" dataDxfId="17"/>
    <tableColumn id="7" xr3:uid="{00000000-0010-0000-0900-000007000000}" name="Additions" dataDxfId="16"/>
    <tableColumn id="8" xr3:uid="{00000000-0010-0000-0900-000008000000}" name="Previous_modality_same" dataDxfId="15">
      <calculatedColumnFormula>IF(Table38[[#This Row],[modality]]=C1,1,0)</calculatedColumnFormula>
    </tableColumn>
    <tableColumn id="10" xr3:uid="{00000000-0010-0000-0900-00000A000000}" name="Next_item_same_item" dataDxfId="14">
      <calculatedColumnFormula>IF(Table38[[#This Row],[stimulus]]=F3,1,0)</calculatedColumnFormula>
    </tableColumn>
    <tableColumn id="9" xr3:uid="{00000000-0010-0000-0900-000009000000}" name="Previous_is_target" dataDxfId="13">
      <calculatedColumnFormula>IF(D1="T",1,0)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Table14" displayName="Table14" ref="A1:J2" totalsRowShown="0">
  <autoFilter ref="A1:J2" xr:uid="{00000000-0009-0000-0100-00000E000000}"/>
  <tableColumns count="10">
    <tableColumn id="1" xr3:uid="{00000000-0010-0000-0A00-000001000000}" name="set"/>
    <tableColumn id="2" xr3:uid="{00000000-0010-0000-0A00-000002000000}" name="sequence"/>
    <tableColumn id="3" xr3:uid="{00000000-0010-0000-0A00-000003000000}" name="modality"/>
    <tableColumn id="4" xr3:uid="{00000000-0010-0000-0A00-000004000000}" name="target"/>
    <tableColumn id="5" xr3:uid="{00000000-0010-0000-0A00-000005000000}" name="repSwitch"/>
    <tableColumn id="6" xr3:uid="{00000000-0010-0000-0A00-000006000000}" name="stimulus"/>
    <tableColumn id="7" xr3:uid="{00000000-0010-0000-0A00-000007000000}" name="Additions"/>
    <tableColumn id="8" xr3:uid="{00000000-0010-0000-0A00-000008000000}" name="Previous_modality_same"/>
    <tableColumn id="9" xr3:uid="{00000000-0010-0000-0A00-000009000000}" name="Next_item_same_item"/>
    <tableColumn id="10" xr3:uid="{00000000-0010-0000-0A00-00000A000000}" name="Previous_is_targe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e3811" displayName="Table3811" ref="A1:J397" totalsRowShown="0" headerRowDxfId="12" headerRowBorderDxfId="11" tableBorderDxfId="10">
  <autoFilter ref="A1:J397" xr:uid="{00000000-0009-0000-0100-00000A000000}"/>
  <tableColumns count="10">
    <tableColumn id="1" xr3:uid="{00000000-0010-0000-0B00-000001000000}" name="set" dataDxfId="9"/>
    <tableColumn id="2" xr3:uid="{00000000-0010-0000-0B00-000002000000}" name="sequence" dataDxfId="8"/>
    <tableColumn id="3" xr3:uid="{00000000-0010-0000-0B00-000003000000}" name="modality" dataDxfId="7"/>
    <tableColumn id="4" xr3:uid="{00000000-0010-0000-0B00-000004000000}" name="target" dataDxfId="6"/>
    <tableColumn id="5" xr3:uid="{00000000-0010-0000-0B00-000005000000}" name="repSwitch" dataDxfId="5"/>
    <tableColumn id="6" xr3:uid="{00000000-0010-0000-0B00-000006000000}" name="stimulus" dataDxfId="4"/>
    <tableColumn id="7" xr3:uid="{00000000-0010-0000-0B00-000007000000}" name="Additions" dataDxfId="3"/>
    <tableColumn id="8" xr3:uid="{00000000-0010-0000-0B00-000008000000}" name="Previous_modality_same" dataDxfId="2"/>
    <tableColumn id="9" xr3:uid="{00000000-0010-0000-0B00-000009000000}" name="Next_item_same_item" dataDxfId="1">
      <calculatedColumnFormula>IF(Table3811[[#This Row],[stimulus]]=F3,1,0)</calculatedColumnFormula>
    </tableColumn>
    <tableColumn id="10" xr3:uid="{00000000-0010-0000-0B00-00000A000000}" name="previous_is_target" dataDxfId="0">
      <calculatedColumnFormula>IF(D1="T",1,0)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zoomScale="80" zoomScaleNormal="80" workbookViewId="0">
      <selection activeCell="X17" sqref="X17"/>
    </sheetView>
  </sheetViews>
  <sheetFormatPr defaultColWidth="8.6640625" defaultRowHeight="14.4" x14ac:dyDescent="0.3"/>
  <cols>
    <col min="1" max="1" width="10.6640625" customWidth="1"/>
    <col min="2" max="2" width="10.109375" customWidth="1"/>
    <col min="3" max="3" width="8.6640625" customWidth="1"/>
  </cols>
  <sheetData>
    <row r="2" spans="1:3" ht="15" thickBot="1" x14ac:dyDescent="0.35"/>
    <row r="3" spans="1:3" ht="16.2" thickBot="1" x14ac:dyDescent="0.35">
      <c r="A3" s="1"/>
      <c r="B3" s="2" t="s">
        <v>2</v>
      </c>
      <c r="C3" s="2" t="s">
        <v>3</v>
      </c>
    </row>
    <row r="4" spans="1:3" ht="16.2" thickBot="1" x14ac:dyDescent="0.35">
      <c r="A4" s="3" t="s">
        <v>0</v>
      </c>
      <c r="B4" s="4">
        <v>900</v>
      </c>
      <c r="C4" s="4">
        <v>1250</v>
      </c>
    </row>
    <row r="5" spans="1:3" ht="16.2" thickBot="1" x14ac:dyDescent="0.35">
      <c r="A5" s="3" t="s">
        <v>1</v>
      </c>
      <c r="B5" s="4">
        <v>400</v>
      </c>
      <c r="C5" s="4">
        <v>520</v>
      </c>
    </row>
    <row r="9" spans="1:3" ht="15.45" customHeight="1" x14ac:dyDescent="0.3"/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5"/>
  <sheetViews>
    <sheetView zoomScale="83" zoomScaleNormal="100" workbookViewId="0">
      <selection activeCell="J13" sqref="J13"/>
    </sheetView>
  </sheetViews>
  <sheetFormatPr defaultColWidth="8.6640625" defaultRowHeight="14.4" x14ac:dyDescent="0.3"/>
  <cols>
    <col min="1" max="1" width="8.6640625" style="9"/>
    <col min="2" max="2" width="11.44140625" customWidth="1"/>
    <col min="3" max="3" width="10.6640625" customWidth="1"/>
    <col min="5" max="5" width="10" customWidth="1"/>
    <col min="12" max="12" width="16" bestFit="1" customWidth="1"/>
    <col min="13" max="16" width="8.33203125" bestFit="1" customWidth="1"/>
    <col min="17" max="17" width="21.44140625" customWidth="1"/>
    <col min="28" max="28" width="9" bestFit="1" customWidth="1"/>
  </cols>
  <sheetData>
    <row r="1" spans="1:32" x14ac:dyDescent="0.3">
      <c r="A1" s="9" t="s">
        <v>24</v>
      </c>
      <c r="B1" s="9" t="s">
        <v>105</v>
      </c>
      <c r="C1" s="9" t="s">
        <v>27</v>
      </c>
      <c r="D1" t="s">
        <v>26</v>
      </c>
      <c r="E1" t="s">
        <v>28</v>
      </c>
      <c r="F1" t="s">
        <v>99</v>
      </c>
      <c r="G1" t="s">
        <v>100</v>
      </c>
      <c r="H1" t="s">
        <v>101</v>
      </c>
      <c r="I1" t="s">
        <v>102</v>
      </c>
      <c r="K1" s="7" t="s">
        <v>24</v>
      </c>
      <c r="L1" s="7" t="s">
        <v>32</v>
      </c>
      <c r="M1" s="7" t="s">
        <v>90</v>
      </c>
      <c r="N1" s="7" t="s">
        <v>91</v>
      </c>
      <c r="O1" s="7" t="s">
        <v>92</v>
      </c>
      <c r="P1" s="7" t="s">
        <v>93</v>
      </c>
      <c r="Q1" s="7"/>
    </row>
    <row r="2" spans="1:32" x14ac:dyDescent="0.3">
      <c r="A2" s="10">
        <v>1</v>
      </c>
      <c r="B2" s="6">
        <v>2</v>
      </c>
      <c r="C2" s="6" t="str">
        <f>IF(B2, "speak", "type")</f>
        <v>speak</v>
      </c>
      <c r="D2" t="s">
        <v>4</v>
      </c>
      <c r="F2" s="6" t="s">
        <v>5</v>
      </c>
      <c r="G2" s="6" t="s">
        <v>8</v>
      </c>
      <c r="H2" s="6" t="s">
        <v>11</v>
      </c>
      <c r="I2" s="6" t="s">
        <v>9</v>
      </c>
      <c r="J2" s="6"/>
      <c r="K2">
        <v>1</v>
      </c>
      <c r="L2">
        <v>1</v>
      </c>
      <c r="M2" s="20"/>
      <c r="N2" s="18"/>
      <c r="O2" s="20"/>
      <c r="P2" s="20"/>
    </row>
    <row r="3" spans="1:32" x14ac:dyDescent="0.3">
      <c r="A3" s="10">
        <v>1</v>
      </c>
      <c r="B3" s="6">
        <v>2</v>
      </c>
      <c r="C3" s="6" t="str">
        <f t="shared" ref="C3:C17" si="0">IF(B3, "speak", "type")</f>
        <v>speak</v>
      </c>
      <c r="D3" t="s">
        <v>44</v>
      </c>
      <c r="E3" t="s">
        <v>13</v>
      </c>
      <c r="F3" s="36" t="s">
        <v>5</v>
      </c>
      <c r="G3" s="6" t="s">
        <v>8</v>
      </c>
      <c r="H3" s="6" t="s">
        <v>11</v>
      </c>
      <c r="I3" s="6" t="s">
        <v>9</v>
      </c>
      <c r="J3" s="6"/>
      <c r="K3">
        <v>1</v>
      </c>
      <c r="L3">
        <v>2</v>
      </c>
      <c r="M3" s="20"/>
      <c r="N3" s="18"/>
      <c r="O3" s="20"/>
      <c r="P3" s="20"/>
      <c r="R3" t="s">
        <v>25</v>
      </c>
      <c r="AB3" t="s">
        <v>30</v>
      </c>
    </row>
    <row r="4" spans="1:32" x14ac:dyDescent="0.3">
      <c r="A4" s="10">
        <v>1</v>
      </c>
      <c r="B4" s="6">
        <v>2</v>
      </c>
      <c r="C4" s="6" t="str">
        <f t="shared" si="0"/>
        <v>speak</v>
      </c>
      <c r="D4" t="s">
        <v>4</v>
      </c>
      <c r="F4" s="6" t="s">
        <v>6</v>
      </c>
      <c r="G4" s="6" t="s">
        <v>7</v>
      </c>
      <c r="H4" s="6" t="s">
        <v>10</v>
      </c>
      <c r="I4" s="6" t="s">
        <v>12</v>
      </c>
      <c r="J4" s="6"/>
      <c r="K4">
        <v>1</v>
      </c>
      <c r="L4">
        <v>3</v>
      </c>
      <c r="M4" s="20"/>
      <c r="N4" s="18"/>
      <c r="O4" s="20"/>
      <c r="P4" s="20"/>
      <c r="AB4" t="s">
        <v>88</v>
      </c>
    </row>
    <row r="5" spans="1:32" x14ac:dyDescent="0.3">
      <c r="A5" s="10">
        <v>1</v>
      </c>
      <c r="B5" s="6">
        <v>2</v>
      </c>
      <c r="C5" s="6" t="str">
        <f t="shared" si="0"/>
        <v>speak</v>
      </c>
      <c r="D5" t="s">
        <v>44</v>
      </c>
      <c r="E5" t="s">
        <v>13</v>
      </c>
      <c r="F5" s="6" t="s">
        <v>6</v>
      </c>
      <c r="G5" s="6" t="s">
        <v>7</v>
      </c>
      <c r="H5" s="6" t="s">
        <v>10</v>
      </c>
      <c r="I5" s="6" t="s">
        <v>12</v>
      </c>
      <c r="J5" s="6"/>
      <c r="K5">
        <v>1</v>
      </c>
      <c r="L5">
        <v>4</v>
      </c>
      <c r="M5" s="20"/>
      <c r="N5" s="20"/>
      <c r="O5" s="20"/>
      <c r="P5" s="20"/>
      <c r="S5" t="s">
        <v>18</v>
      </c>
      <c r="T5" t="s">
        <v>124</v>
      </c>
      <c r="U5" t="s">
        <v>19</v>
      </c>
      <c r="V5" t="s">
        <v>124</v>
      </c>
      <c r="W5" t="s">
        <v>20</v>
      </c>
      <c r="X5" t="s">
        <v>124</v>
      </c>
      <c r="Y5" t="s">
        <v>21</v>
      </c>
      <c r="Z5" t="s">
        <v>124</v>
      </c>
      <c r="AB5" t="s">
        <v>31</v>
      </c>
    </row>
    <row r="6" spans="1:32" x14ac:dyDescent="0.3">
      <c r="A6" s="10">
        <v>1</v>
      </c>
      <c r="B6" s="6">
        <v>2</v>
      </c>
      <c r="C6" s="6" t="str">
        <f t="shared" si="0"/>
        <v>speak</v>
      </c>
      <c r="D6" t="s">
        <v>4</v>
      </c>
      <c r="F6" s="6" t="s">
        <v>7</v>
      </c>
      <c r="G6" s="6" t="s">
        <v>10</v>
      </c>
      <c r="H6" s="6" t="s">
        <v>12</v>
      </c>
      <c r="I6" s="6" t="s">
        <v>11</v>
      </c>
      <c r="J6" s="6"/>
      <c r="K6">
        <v>1</v>
      </c>
      <c r="L6">
        <v>5</v>
      </c>
      <c r="M6" s="20"/>
      <c r="N6" s="20"/>
      <c r="O6" s="20"/>
      <c r="P6" s="20"/>
      <c r="R6" t="s">
        <v>5</v>
      </c>
      <c r="S6" t="s">
        <v>36</v>
      </c>
      <c r="T6" s="38">
        <v>128</v>
      </c>
      <c r="U6" t="s">
        <v>37</v>
      </c>
      <c r="V6" s="9">
        <v>16</v>
      </c>
      <c r="W6" t="s">
        <v>109</v>
      </c>
      <c r="X6" s="9">
        <v>178</v>
      </c>
      <c r="Y6" s="29" t="s">
        <v>127</v>
      </c>
      <c r="Z6">
        <v>354</v>
      </c>
      <c r="AB6" t="s">
        <v>89</v>
      </c>
    </row>
    <row r="7" spans="1:32" x14ac:dyDescent="0.3">
      <c r="A7" s="10">
        <v>1</v>
      </c>
      <c r="B7" s="6">
        <v>1</v>
      </c>
      <c r="C7" s="6" t="s">
        <v>85</v>
      </c>
      <c r="D7" t="s">
        <v>44</v>
      </c>
      <c r="E7" t="s">
        <v>14</v>
      </c>
      <c r="F7" s="6" t="s">
        <v>7</v>
      </c>
      <c r="G7" s="6" t="s">
        <v>10</v>
      </c>
      <c r="H7" s="6" t="s">
        <v>12</v>
      </c>
      <c r="I7" s="6" t="s">
        <v>11</v>
      </c>
      <c r="J7" s="6"/>
      <c r="K7">
        <v>1</v>
      </c>
      <c r="L7">
        <v>6</v>
      </c>
      <c r="M7" s="20"/>
      <c r="N7" s="20"/>
      <c r="O7" s="20"/>
      <c r="P7" s="20"/>
      <c r="R7" t="s">
        <v>6</v>
      </c>
      <c r="S7" t="s">
        <v>106</v>
      </c>
      <c r="T7" s="38">
        <v>142</v>
      </c>
      <c r="U7" t="s">
        <v>108</v>
      </c>
      <c r="V7" s="9">
        <v>175</v>
      </c>
      <c r="W7" t="s">
        <v>39</v>
      </c>
      <c r="X7" s="9">
        <v>242</v>
      </c>
      <c r="Y7" s="29" t="s">
        <v>128</v>
      </c>
      <c r="Z7">
        <v>377</v>
      </c>
    </row>
    <row r="8" spans="1:32" x14ac:dyDescent="0.3">
      <c r="A8" s="10">
        <v>1</v>
      </c>
      <c r="B8" s="6">
        <v>1</v>
      </c>
      <c r="C8" s="6" t="s">
        <v>85</v>
      </c>
      <c r="D8" t="s">
        <v>4</v>
      </c>
      <c r="F8" s="6" t="s">
        <v>8</v>
      </c>
      <c r="G8" s="6" t="s">
        <v>6</v>
      </c>
      <c r="H8" s="6" t="s">
        <v>5</v>
      </c>
      <c r="I8" s="6" t="s">
        <v>7</v>
      </c>
      <c r="J8" s="6"/>
      <c r="K8">
        <v>1</v>
      </c>
      <c r="L8">
        <v>7</v>
      </c>
      <c r="M8" s="20"/>
      <c r="N8" s="20"/>
      <c r="O8" s="20"/>
      <c r="P8" s="20"/>
      <c r="R8" t="s">
        <v>7</v>
      </c>
      <c r="S8" t="s">
        <v>107</v>
      </c>
      <c r="T8" s="38">
        <v>152</v>
      </c>
      <c r="U8" t="s">
        <v>112</v>
      </c>
      <c r="V8" s="9">
        <v>30</v>
      </c>
      <c r="W8" t="s">
        <v>116</v>
      </c>
      <c r="X8" s="9">
        <v>48</v>
      </c>
      <c r="Y8" t="s">
        <v>115</v>
      </c>
      <c r="Z8">
        <v>381</v>
      </c>
      <c r="AF8" t="s">
        <v>22</v>
      </c>
    </row>
    <row r="9" spans="1:32" x14ac:dyDescent="0.3">
      <c r="A9" s="10">
        <v>1</v>
      </c>
      <c r="B9" s="6">
        <v>2</v>
      </c>
      <c r="C9" s="6" t="str">
        <f t="shared" si="0"/>
        <v>speak</v>
      </c>
      <c r="D9" t="s">
        <v>44</v>
      </c>
      <c r="E9" t="s">
        <v>14</v>
      </c>
      <c r="F9" s="6" t="s">
        <v>8</v>
      </c>
      <c r="G9" s="6" t="s">
        <v>6</v>
      </c>
      <c r="H9" s="36" t="s">
        <v>5</v>
      </c>
      <c r="I9" s="6" t="s">
        <v>7</v>
      </c>
      <c r="J9" s="6"/>
      <c r="K9">
        <v>1</v>
      </c>
      <c r="L9">
        <v>8</v>
      </c>
      <c r="M9" s="20"/>
      <c r="N9" s="20"/>
      <c r="O9" s="20"/>
      <c r="P9" s="20"/>
      <c r="R9" t="s">
        <v>8</v>
      </c>
      <c r="S9" t="s">
        <v>110</v>
      </c>
      <c r="T9" s="38">
        <v>19</v>
      </c>
      <c r="U9" t="s">
        <v>113</v>
      </c>
      <c r="V9" s="9">
        <v>319</v>
      </c>
      <c r="W9" s="29" t="s">
        <v>126</v>
      </c>
      <c r="X9" s="9">
        <v>487</v>
      </c>
      <c r="Y9" s="29" t="s">
        <v>130</v>
      </c>
      <c r="Z9">
        <v>411</v>
      </c>
      <c r="AB9" t="s">
        <v>15</v>
      </c>
      <c r="AF9">
        <f>8*4*4</f>
        <v>128</v>
      </c>
    </row>
    <row r="10" spans="1:32" x14ac:dyDescent="0.3">
      <c r="A10" s="10">
        <v>1</v>
      </c>
      <c r="B10" s="6">
        <v>2</v>
      </c>
      <c r="C10" s="6" t="str">
        <f t="shared" si="0"/>
        <v>speak</v>
      </c>
      <c r="D10" t="s">
        <v>4</v>
      </c>
      <c r="F10" s="6" t="s">
        <v>9</v>
      </c>
      <c r="G10" s="6" t="s">
        <v>5</v>
      </c>
      <c r="H10" s="6" t="s">
        <v>8</v>
      </c>
      <c r="I10" s="6" t="s">
        <v>6</v>
      </c>
      <c r="J10" s="6"/>
      <c r="K10">
        <v>2</v>
      </c>
      <c r="L10">
        <v>1</v>
      </c>
      <c r="M10" s="21"/>
      <c r="N10" s="21"/>
      <c r="O10" s="21"/>
      <c r="P10" s="21"/>
      <c r="R10" t="s">
        <v>9</v>
      </c>
      <c r="S10" s="29" t="s">
        <v>38</v>
      </c>
      <c r="T10" s="38">
        <v>199</v>
      </c>
      <c r="U10" t="s">
        <v>114</v>
      </c>
      <c r="V10" s="9">
        <v>320</v>
      </c>
      <c r="W10" t="s">
        <v>118</v>
      </c>
      <c r="X10" s="9">
        <v>552</v>
      </c>
      <c r="Y10" t="s">
        <v>120</v>
      </c>
      <c r="Z10">
        <v>636</v>
      </c>
      <c r="AB10">
        <v>32</v>
      </c>
      <c r="AC10">
        <f>32/4</f>
        <v>8</v>
      </c>
      <c r="AD10" t="s">
        <v>16</v>
      </c>
    </row>
    <row r="11" spans="1:32" x14ac:dyDescent="0.3">
      <c r="A11" s="10">
        <v>1</v>
      </c>
      <c r="B11" s="6">
        <v>1</v>
      </c>
      <c r="C11" s="6" t="s">
        <v>85</v>
      </c>
      <c r="D11" t="s">
        <v>44</v>
      </c>
      <c r="E11" t="s">
        <v>14</v>
      </c>
      <c r="F11" s="6" t="s">
        <v>9</v>
      </c>
      <c r="G11" s="36" t="s">
        <v>5</v>
      </c>
      <c r="H11" s="6" t="s">
        <v>8</v>
      </c>
      <c r="I11" s="6" t="s">
        <v>6</v>
      </c>
      <c r="J11" s="6"/>
      <c r="K11">
        <v>2</v>
      </c>
      <c r="L11">
        <v>2</v>
      </c>
      <c r="M11" s="21"/>
      <c r="N11" s="21"/>
      <c r="O11" s="21"/>
      <c r="P11" s="21"/>
      <c r="R11" t="s">
        <v>10</v>
      </c>
      <c r="S11" t="s">
        <v>111</v>
      </c>
      <c r="T11" s="38">
        <v>235</v>
      </c>
      <c r="U11" t="s">
        <v>117</v>
      </c>
      <c r="V11" s="9">
        <v>517</v>
      </c>
      <c r="W11" t="s">
        <v>119</v>
      </c>
      <c r="X11" s="9">
        <v>576</v>
      </c>
      <c r="Y11" s="29" t="s">
        <v>129</v>
      </c>
      <c r="Z11">
        <v>664</v>
      </c>
      <c r="AB11">
        <f>64*4</f>
        <v>256</v>
      </c>
      <c r="AC11" s="5">
        <v>32</v>
      </c>
      <c r="AD11" s="5" t="s">
        <v>16</v>
      </c>
    </row>
    <row r="12" spans="1:32" x14ac:dyDescent="0.3">
      <c r="A12" s="10">
        <v>1</v>
      </c>
      <c r="B12" s="6">
        <v>1</v>
      </c>
      <c r="C12" s="6" t="s">
        <v>85</v>
      </c>
      <c r="D12" t="s">
        <v>4</v>
      </c>
      <c r="F12" s="6" t="s">
        <v>10</v>
      </c>
      <c r="G12" s="6" t="s">
        <v>12</v>
      </c>
      <c r="H12" s="6" t="s">
        <v>6</v>
      </c>
      <c r="I12" s="6" t="s">
        <v>8</v>
      </c>
      <c r="J12" s="6"/>
      <c r="K12">
        <v>2</v>
      </c>
      <c r="L12">
        <v>3</v>
      </c>
      <c r="M12" s="21"/>
      <c r="N12" s="21"/>
      <c r="O12" s="21"/>
      <c r="P12" s="21"/>
      <c r="R12" t="s">
        <v>11</v>
      </c>
      <c r="S12" t="s">
        <v>40</v>
      </c>
      <c r="T12" s="38">
        <v>264</v>
      </c>
      <c r="U12" t="s">
        <v>42</v>
      </c>
      <c r="V12" s="9">
        <v>610</v>
      </c>
      <c r="W12" t="s">
        <v>43</v>
      </c>
      <c r="X12" s="9">
        <v>687</v>
      </c>
      <c r="Y12" t="s">
        <v>122</v>
      </c>
      <c r="Z12">
        <v>8</v>
      </c>
      <c r="AB12" t="s">
        <v>17</v>
      </c>
    </row>
    <row r="13" spans="1:32" x14ac:dyDescent="0.3">
      <c r="A13" s="10">
        <v>1</v>
      </c>
      <c r="B13" s="6">
        <v>1</v>
      </c>
      <c r="C13" s="6" t="s">
        <v>85</v>
      </c>
      <c r="D13" t="s">
        <v>44</v>
      </c>
      <c r="E13" t="s">
        <v>13</v>
      </c>
      <c r="F13" s="6" t="s">
        <v>10</v>
      </c>
      <c r="G13" s="6" t="s">
        <v>12</v>
      </c>
      <c r="H13" s="6" t="s">
        <v>6</v>
      </c>
      <c r="I13" s="6" t="s">
        <v>8</v>
      </c>
      <c r="J13" s="6"/>
      <c r="K13">
        <v>2</v>
      </c>
      <c r="L13">
        <v>4</v>
      </c>
      <c r="M13" s="22"/>
      <c r="N13" s="22"/>
      <c r="O13" s="22"/>
      <c r="P13" s="22"/>
      <c r="R13" t="s">
        <v>12</v>
      </c>
      <c r="S13" t="s">
        <v>41</v>
      </c>
      <c r="T13" s="38">
        <v>271</v>
      </c>
      <c r="U13" s="29" t="s">
        <v>125</v>
      </c>
      <c r="V13" s="9">
        <v>622</v>
      </c>
      <c r="W13" t="s">
        <v>121</v>
      </c>
      <c r="X13" s="9">
        <v>719</v>
      </c>
      <c r="Y13" t="s">
        <v>123</v>
      </c>
      <c r="Z13">
        <v>91</v>
      </c>
    </row>
    <row r="14" spans="1:32" x14ac:dyDescent="0.3">
      <c r="A14" s="10">
        <v>1</v>
      </c>
      <c r="B14" s="6">
        <v>1</v>
      </c>
      <c r="C14" s="6" t="s">
        <v>85</v>
      </c>
      <c r="D14" t="s">
        <v>4</v>
      </c>
      <c r="F14" s="6" t="s">
        <v>11</v>
      </c>
      <c r="G14" s="6" t="s">
        <v>9</v>
      </c>
      <c r="H14" s="6" t="s">
        <v>7</v>
      </c>
      <c r="I14" s="6" t="s">
        <v>5</v>
      </c>
      <c r="J14" s="6"/>
      <c r="K14">
        <v>2</v>
      </c>
      <c r="L14">
        <v>5</v>
      </c>
      <c r="M14" s="22"/>
      <c r="N14" s="22"/>
      <c r="O14" s="22"/>
      <c r="P14" s="22"/>
      <c r="AB14">
        <f>24*4</f>
        <v>96</v>
      </c>
    </row>
    <row r="15" spans="1:32" x14ac:dyDescent="0.3">
      <c r="A15" s="10">
        <v>1</v>
      </c>
      <c r="B15" s="6">
        <v>1</v>
      </c>
      <c r="C15" s="6" t="s">
        <v>85</v>
      </c>
      <c r="D15" t="s">
        <v>44</v>
      </c>
      <c r="E15" t="s">
        <v>13</v>
      </c>
      <c r="F15" s="6" t="s">
        <v>11</v>
      </c>
      <c r="G15" s="6" t="s">
        <v>9</v>
      </c>
      <c r="H15" s="6" t="s">
        <v>7</v>
      </c>
      <c r="I15" s="36" t="s">
        <v>5</v>
      </c>
      <c r="J15" s="6"/>
      <c r="K15">
        <v>2</v>
      </c>
      <c r="L15">
        <v>6</v>
      </c>
      <c r="M15" s="21"/>
      <c r="N15" s="21"/>
      <c r="O15" s="21"/>
      <c r="P15" s="21"/>
      <c r="AB15">
        <f>96/2</f>
        <v>48</v>
      </c>
      <c r="AC15">
        <f>AB15/4</f>
        <v>12</v>
      </c>
      <c r="AD15" t="s">
        <v>16</v>
      </c>
    </row>
    <row r="16" spans="1:32" x14ac:dyDescent="0.3">
      <c r="A16" s="10">
        <v>1</v>
      </c>
      <c r="B16" s="6">
        <v>1</v>
      </c>
      <c r="C16" s="6" t="s">
        <v>85</v>
      </c>
      <c r="D16" t="s">
        <v>4</v>
      </c>
      <c r="F16" s="6" t="s">
        <v>12</v>
      </c>
      <c r="G16" s="6" t="s">
        <v>11</v>
      </c>
      <c r="H16" s="6" t="s">
        <v>9</v>
      </c>
      <c r="I16" s="6" t="s">
        <v>10</v>
      </c>
      <c r="J16" s="6"/>
      <c r="K16">
        <v>2</v>
      </c>
      <c r="L16">
        <v>7</v>
      </c>
      <c r="M16" s="21"/>
      <c r="N16" s="21"/>
      <c r="O16" s="21"/>
      <c r="P16" s="21"/>
      <c r="R16" s="6"/>
      <c r="S16" s="6"/>
      <c r="T16" s="6"/>
      <c r="AB16">
        <f>AB14*2</f>
        <v>192</v>
      </c>
      <c r="AC16">
        <v>24</v>
      </c>
    </row>
    <row r="17" spans="1:29" x14ac:dyDescent="0.3">
      <c r="A17" s="10">
        <v>1</v>
      </c>
      <c r="B17" s="6">
        <v>2</v>
      </c>
      <c r="C17" s="6" t="str">
        <f t="shared" si="0"/>
        <v>speak</v>
      </c>
      <c r="D17" t="s">
        <v>44</v>
      </c>
      <c r="E17" t="s">
        <v>14</v>
      </c>
      <c r="F17" s="6" t="s">
        <v>12</v>
      </c>
      <c r="G17" s="6" t="s">
        <v>11</v>
      </c>
      <c r="H17" s="6" t="s">
        <v>9</v>
      </c>
      <c r="I17" s="6" t="s">
        <v>10</v>
      </c>
      <c r="J17" s="6"/>
      <c r="K17">
        <v>2</v>
      </c>
      <c r="L17">
        <v>8</v>
      </c>
      <c r="M17" s="21"/>
      <c r="N17" s="21"/>
      <c r="O17" s="21"/>
      <c r="P17" s="21"/>
      <c r="AB17">
        <f>96*4</f>
        <v>384</v>
      </c>
      <c r="AC17">
        <f>12*4</f>
        <v>48</v>
      </c>
    </row>
    <row r="18" spans="1:29" x14ac:dyDescent="0.3">
      <c r="A18" s="9">
        <v>2</v>
      </c>
      <c r="B18" s="8">
        <v>1</v>
      </c>
      <c r="C18" s="8" t="s">
        <v>85</v>
      </c>
      <c r="D18" t="s">
        <v>4</v>
      </c>
      <c r="F18" s="6" t="s">
        <v>5</v>
      </c>
      <c r="G18" s="6" t="s">
        <v>9</v>
      </c>
      <c r="H18" s="6" t="s">
        <v>11</v>
      </c>
      <c r="I18" s="6" t="s">
        <v>12</v>
      </c>
      <c r="J18" s="6"/>
      <c r="K18">
        <v>3</v>
      </c>
      <c r="L18">
        <v>1</v>
      </c>
      <c r="M18" s="23"/>
      <c r="N18" s="23"/>
      <c r="O18" s="23"/>
      <c r="P18" s="23"/>
    </row>
    <row r="19" spans="1:29" x14ac:dyDescent="0.3">
      <c r="A19" s="9">
        <v>2</v>
      </c>
      <c r="B19" s="8">
        <v>1</v>
      </c>
      <c r="C19" s="8" t="s">
        <v>85</v>
      </c>
      <c r="D19" t="s">
        <v>44</v>
      </c>
      <c r="E19" t="s">
        <v>13</v>
      </c>
      <c r="F19" s="36" t="s">
        <v>5</v>
      </c>
      <c r="G19" s="6" t="s">
        <v>9</v>
      </c>
      <c r="H19" s="6" t="s">
        <v>11</v>
      </c>
      <c r="I19" s="6" t="s">
        <v>12</v>
      </c>
      <c r="J19" s="6"/>
      <c r="K19">
        <v>3</v>
      </c>
      <c r="L19">
        <v>2</v>
      </c>
      <c r="M19" s="23"/>
      <c r="N19" s="23"/>
      <c r="O19" s="23"/>
      <c r="P19" s="23"/>
      <c r="AB19" t="s">
        <v>94</v>
      </c>
    </row>
    <row r="20" spans="1:29" x14ac:dyDescent="0.3">
      <c r="A20" s="9">
        <v>2</v>
      </c>
      <c r="B20" s="8">
        <v>1</v>
      </c>
      <c r="C20" s="8" t="s">
        <v>85</v>
      </c>
      <c r="D20" t="s">
        <v>4</v>
      </c>
      <c r="F20" s="6" t="s">
        <v>6</v>
      </c>
      <c r="G20" s="6" t="s">
        <v>7</v>
      </c>
      <c r="H20" s="6" t="s">
        <v>10</v>
      </c>
      <c r="I20" s="6" t="s">
        <v>8</v>
      </c>
      <c r="J20" s="6"/>
      <c r="K20">
        <v>3</v>
      </c>
      <c r="L20">
        <v>3</v>
      </c>
      <c r="M20" s="23"/>
      <c r="N20" s="23"/>
      <c r="O20" s="23"/>
      <c r="P20" s="23"/>
      <c r="AB20" t="s">
        <v>95</v>
      </c>
    </row>
    <row r="21" spans="1:29" x14ac:dyDescent="0.3">
      <c r="A21" s="9">
        <v>2</v>
      </c>
      <c r="B21" s="8">
        <v>1</v>
      </c>
      <c r="C21" s="8" t="s">
        <v>85</v>
      </c>
      <c r="D21" t="s">
        <v>44</v>
      </c>
      <c r="E21" t="s">
        <v>13</v>
      </c>
      <c r="F21" s="6" t="s">
        <v>6</v>
      </c>
      <c r="G21" s="6" t="s">
        <v>7</v>
      </c>
      <c r="H21" s="6" t="s">
        <v>10</v>
      </c>
      <c r="I21" s="6" t="s">
        <v>8</v>
      </c>
      <c r="J21" s="6"/>
      <c r="K21">
        <v>3</v>
      </c>
      <c r="L21">
        <v>4</v>
      </c>
      <c r="M21" s="23"/>
      <c r="N21" s="23"/>
      <c r="O21" s="23"/>
      <c r="P21" s="23"/>
      <c r="AB21" t="s">
        <v>96</v>
      </c>
    </row>
    <row r="22" spans="1:29" x14ac:dyDescent="0.3">
      <c r="A22" s="9">
        <v>2</v>
      </c>
      <c r="B22" s="8">
        <v>1</v>
      </c>
      <c r="C22" s="8" t="s">
        <v>85</v>
      </c>
      <c r="D22" t="s">
        <v>4</v>
      </c>
      <c r="F22" s="6" t="s">
        <v>7</v>
      </c>
      <c r="G22" s="6" t="s">
        <v>5</v>
      </c>
      <c r="H22" s="7" t="s">
        <v>8</v>
      </c>
      <c r="I22" s="6" t="s">
        <v>10</v>
      </c>
      <c r="J22" s="6"/>
      <c r="K22">
        <v>3</v>
      </c>
      <c r="L22">
        <v>5</v>
      </c>
      <c r="M22" s="23"/>
      <c r="N22" s="23"/>
      <c r="O22" s="23"/>
      <c r="P22" s="23"/>
      <c r="AB22" t="s">
        <v>97</v>
      </c>
    </row>
    <row r="23" spans="1:29" x14ac:dyDescent="0.3">
      <c r="A23" s="9">
        <v>2</v>
      </c>
      <c r="B23" s="8">
        <v>2</v>
      </c>
      <c r="C23" s="6" t="str">
        <f t="shared" ref="C23:C24" si="1">IF(B23, "speak", "type")</f>
        <v>speak</v>
      </c>
      <c r="D23" t="s">
        <v>44</v>
      </c>
      <c r="E23" t="s">
        <v>14</v>
      </c>
      <c r="F23" s="6" t="s">
        <v>7</v>
      </c>
      <c r="G23" s="36" t="s">
        <v>5</v>
      </c>
      <c r="H23" s="7" t="s">
        <v>8</v>
      </c>
      <c r="I23" s="6" t="s">
        <v>10</v>
      </c>
      <c r="J23" s="6"/>
      <c r="K23">
        <v>3</v>
      </c>
      <c r="L23">
        <v>6</v>
      </c>
      <c r="M23" s="23"/>
      <c r="N23" s="23"/>
      <c r="O23" s="23"/>
      <c r="P23" s="23"/>
    </row>
    <row r="24" spans="1:29" x14ac:dyDescent="0.3">
      <c r="A24" s="9">
        <v>2</v>
      </c>
      <c r="B24" s="8">
        <v>2</v>
      </c>
      <c r="C24" s="6" t="str">
        <f t="shared" si="1"/>
        <v>speak</v>
      </c>
      <c r="D24" t="s">
        <v>4</v>
      </c>
      <c r="F24" s="7" t="s">
        <v>8</v>
      </c>
      <c r="G24" s="6" t="s">
        <v>11</v>
      </c>
      <c r="H24" s="7" t="s">
        <v>9</v>
      </c>
      <c r="I24" s="6" t="s">
        <v>6</v>
      </c>
      <c r="J24" s="6"/>
      <c r="K24">
        <v>3</v>
      </c>
      <c r="L24">
        <v>7</v>
      </c>
      <c r="M24" s="23"/>
      <c r="N24" s="23"/>
      <c r="O24" s="23"/>
      <c r="P24" s="23"/>
    </row>
    <row r="25" spans="1:29" x14ac:dyDescent="0.3">
      <c r="A25" s="9">
        <v>2</v>
      </c>
      <c r="B25" s="8">
        <v>1</v>
      </c>
      <c r="C25" s="8" t="s">
        <v>85</v>
      </c>
      <c r="D25" t="s">
        <v>44</v>
      </c>
      <c r="E25" t="s">
        <v>14</v>
      </c>
      <c r="F25" s="7" t="s">
        <v>8</v>
      </c>
      <c r="G25" s="6" t="s">
        <v>11</v>
      </c>
      <c r="H25" s="7" t="s">
        <v>9</v>
      </c>
      <c r="I25" s="6" t="s">
        <v>6</v>
      </c>
      <c r="J25" s="6"/>
      <c r="K25">
        <v>3</v>
      </c>
      <c r="L25">
        <v>8</v>
      </c>
      <c r="M25" s="23"/>
      <c r="N25" s="23"/>
      <c r="O25" s="23"/>
      <c r="P25" s="23"/>
    </row>
    <row r="26" spans="1:29" x14ac:dyDescent="0.3">
      <c r="A26" s="9">
        <v>2</v>
      </c>
      <c r="B26" s="8">
        <v>1</v>
      </c>
      <c r="C26" s="8" t="s">
        <v>85</v>
      </c>
      <c r="D26" t="s">
        <v>4</v>
      </c>
      <c r="F26" s="7" t="s">
        <v>9</v>
      </c>
      <c r="G26" s="6" t="s">
        <v>6</v>
      </c>
      <c r="H26" s="6" t="s">
        <v>12</v>
      </c>
      <c r="I26" s="6" t="s">
        <v>11</v>
      </c>
      <c r="J26" s="6"/>
      <c r="K26">
        <v>4</v>
      </c>
      <c r="L26">
        <v>1</v>
      </c>
      <c r="M26" s="24"/>
      <c r="N26" s="24"/>
      <c r="O26" s="24"/>
      <c r="P26" s="24"/>
    </row>
    <row r="27" spans="1:29" x14ac:dyDescent="0.3">
      <c r="A27" s="9">
        <v>2</v>
      </c>
      <c r="B27" s="8">
        <v>2</v>
      </c>
      <c r="C27" s="6" t="str">
        <f t="shared" ref="C27:C32" si="2">IF(B27, "speak", "type")</f>
        <v>speak</v>
      </c>
      <c r="D27" t="s">
        <v>44</v>
      </c>
      <c r="E27" t="s">
        <v>14</v>
      </c>
      <c r="F27" s="7" t="s">
        <v>9</v>
      </c>
      <c r="G27" s="6" t="s">
        <v>6</v>
      </c>
      <c r="H27" s="6" t="s">
        <v>12</v>
      </c>
      <c r="I27" s="6" t="s">
        <v>11</v>
      </c>
      <c r="J27" s="6"/>
      <c r="K27">
        <v>4</v>
      </c>
      <c r="L27">
        <v>2</v>
      </c>
      <c r="M27" s="24"/>
      <c r="N27" s="24"/>
      <c r="O27" s="24"/>
      <c r="P27" s="24"/>
    </row>
    <row r="28" spans="1:29" x14ac:dyDescent="0.3">
      <c r="A28" s="9">
        <v>2</v>
      </c>
      <c r="B28" s="8">
        <v>2</v>
      </c>
      <c r="C28" s="6" t="str">
        <f t="shared" si="2"/>
        <v>speak</v>
      </c>
      <c r="D28" t="s">
        <v>4</v>
      </c>
      <c r="F28" s="6" t="s">
        <v>10</v>
      </c>
      <c r="G28" s="6" t="s">
        <v>8</v>
      </c>
      <c r="H28" s="6" t="s">
        <v>6</v>
      </c>
      <c r="I28" s="6" t="s">
        <v>7</v>
      </c>
      <c r="J28" s="6"/>
      <c r="K28">
        <v>4</v>
      </c>
      <c r="L28">
        <v>3</v>
      </c>
      <c r="M28" s="24"/>
      <c r="N28" s="24"/>
      <c r="O28" s="24"/>
      <c r="P28" s="24"/>
    </row>
    <row r="29" spans="1:29" x14ac:dyDescent="0.3">
      <c r="A29" s="9">
        <v>2</v>
      </c>
      <c r="B29" s="8">
        <v>2</v>
      </c>
      <c r="C29" s="6" t="str">
        <f t="shared" si="2"/>
        <v>speak</v>
      </c>
      <c r="D29" t="s">
        <v>44</v>
      </c>
      <c r="E29" t="s">
        <v>13</v>
      </c>
      <c r="F29" s="6" t="s">
        <v>10</v>
      </c>
      <c r="G29" s="6" t="s">
        <v>8</v>
      </c>
      <c r="H29" s="6" t="s">
        <v>6</v>
      </c>
      <c r="I29" s="6" t="s">
        <v>7</v>
      </c>
      <c r="J29" s="6"/>
      <c r="K29">
        <v>4</v>
      </c>
      <c r="L29">
        <v>4</v>
      </c>
      <c r="M29" s="24"/>
      <c r="N29" s="24"/>
      <c r="O29" s="24"/>
      <c r="P29" s="24"/>
    </row>
    <row r="30" spans="1:29" x14ac:dyDescent="0.3">
      <c r="A30" s="9">
        <v>2</v>
      </c>
      <c r="B30" s="8">
        <v>2</v>
      </c>
      <c r="C30" s="6" t="str">
        <f t="shared" si="2"/>
        <v>speak</v>
      </c>
      <c r="D30" t="s">
        <v>4</v>
      </c>
      <c r="F30" s="6" t="s">
        <v>11</v>
      </c>
      <c r="G30" s="6" t="s">
        <v>12</v>
      </c>
      <c r="H30" s="6" t="s">
        <v>5</v>
      </c>
      <c r="I30" s="6" t="s">
        <v>9</v>
      </c>
      <c r="J30" s="6"/>
      <c r="K30">
        <v>4</v>
      </c>
      <c r="L30">
        <v>5</v>
      </c>
      <c r="M30" s="24"/>
      <c r="N30" s="24"/>
      <c r="O30" s="24"/>
      <c r="P30" s="24"/>
    </row>
    <row r="31" spans="1:29" x14ac:dyDescent="0.3">
      <c r="A31" s="9">
        <v>2</v>
      </c>
      <c r="B31" s="8">
        <v>2</v>
      </c>
      <c r="C31" s="6" t="str">
        <f t="shared" si="2"/>
        <v>speak</v>
      </c>
      <c r="D31" t="s">
        <v>44</v>
      </c>
      <c r="E31" t="s">
        <v>13</v>
      </c>
      <c r="F31" s="6" t="s">
        <v>11</v>
      </c>
      <c r="G31" s="6" t="s">
        <v>12</v>
      </c>
      <c r="H31" s="36" t="s">
        <v>5</v>
      </c>
      <c r="I31" s="6" t="s">
        <v>9</v>
      </c>
      <c r="J31" s="6"/>
      <c r="K31">
        <v>4</v>
      </c>
      <c r="L31">
        <v>6</v>
      </c>
      <c r="M31" s="24"/>
      <c r="N31" s="24"/>
      <c r="O31" s="24"/>
      <c r="P31" s="24"/>
    </row>
    <row r="32" spans="1:29" x14ac:dyDescent="0.3">
      <c r="A32" s="9">
        <v>2</v>
      </c>
      <c r="B32" s="8">
        <v>2</v>
      </c>
      <c r="C32" s="6" t="str">
        <f t="shared" si="2"/>
        <v>speak</v>
      </c>
      <c r="D32" t="s">
        <v>4</v>
      </c>
      <c r="F32" s="6" t="s">
        <v>12</v>
      </c>
      <c r="G32" s="6" t="s">
        <v>10</v>
      </c>
      <c r="H32" s="6" t="s">
        <v>7</v>
      </c>
      <c r="I32" s="6" t="s">
        <v>5</v>
      </c>
      <c r="J32" s="6"/>
      <c r="K32">
        <v>4</v>
      </c>
      <c r="L32">
        <v>7</v>
      </c>
      <c r="M32" s="24"/>
      <c r="N32" s="24"/>
      <c r="O32" s="24"/>
      <c r="P32" s="24"/>
    </row>
    <row r="33" spans="1:16" x14ac:dyDescent="0.3">
      <c r="A33" s="9">
        <v>2</v>
      </c>
      <c r="B33" s="8">
        <v>1</v>
      </c>
      <c r="C33" s="8" t="s">
        <v>85</v>
      </c>
      <c r="D33" t="s">
        <v>44</v>
      </c>
      <c r="E33" t="s">
        <v>14</v>
      </c>
      <c r="F33" s="6" t="s">
        <v>12</v>
      </c>
      <c r="G33" s="6" t="s">
        <v>10</v>
      </c>
      <c r="H33" s="6" t="s">
        <v>7</v>
      </c>
      <c r="I33" s="36" t="s">
        <v>5</v>
      </c>
      <c r="J33" s="6"/>
      <c r="K33">
        <v>4</v>
      </c>
      <c r="L33">
        <v>8</v>
      </c>
      <c r="M33" s="24"/>
      <c r="N33" s="24"/>
      <c r="O33" s="24"/>
      <c r="P33" s="24"/>
    </row>
    <row r="34" spans="1:16" x14ac:dyDescent="0.3">
      <c r="A34" s="10">
        <v>3</v>
      </c>
      <c r="B34" s="8">
        <v>1</v>
      </c>
      <c r="C34" s="8" t="s">
        <v>85</v>
      </c>
      <c r="D34" t="s">
        <v>4</v>
      </c>
      <c r="F34" s="6" t="s">
        <v>5</v>
      </c>
      <c r="G34" s="6" t="s">
        <v>10</v>
      </c>
      <c r="H34" s="6" t="s">
        <v>8</v>
      </c>
      <c r="I34" s="6" t="s">
        <v>9</v>
      </c>
      <c r="J34" s="6"/>
    </row>
    <row r="35" spans="1:16" x14ac:dyDescent="0.3">
      <c r="A35" s="10">
        <v>3</v>
      </c>
      <c r="B35" s="8">
        <v>2</v>
      </c>
      <c r="C35" s="6" t="str">
        <f t="shared" ref="C35:C36" si="3">IF(B35, "speak", "type")</f>
        <v>speak</v>
      </c>
      <c r="D35" t="s">
        <v>44</v>
      </c>
      <c r="E35" t="s">
        <v>14</v>
      </c>
      <c r="F35" s="36" t="s">
        <v>5</v>
      </c>
      <c r="G35" s="6" t="s">
        <v>10</v>
      </c>
      <c r="H35" s="6" t="s">
        <v>8</v>
      </c>
      <c r="I35" s="6" t="s">
        <v>9</v>
      </c>
      <c r="J35" s="6"/>
    </row>
    <row r="36" spans="1:16" x14ac:dyDescent="0.3">
      <c r="A36" s="10">
        <v>3</v>
      </c>
      <c r="B36" s="8">
        <v>2</v>
      </c>
      <c r="C36" s="6" t="str">
        <f t="shared" si="3"/>
        <v>speak</v>
      </c>
      <c r="D36" t="s">
        <v>4</v>
      </c>
      <c r="F36" s="6" t="s">
        <v>6</v>
      </c>
      <c r="G36" s="6" t="s">
        <v>8</v>
      </c>
      <c r="H36" s="6" t="s">
        <v>11</v>
      </c>
      <c r="I36" s="6" t="s">
        <v>5</v>
      </c>
      <c r="J36" s="6"/>
    </row>
    <row r="37" spans="1:16" x14ac:dyDescent="0.3">
      <c r="A37" s="10">
        <v>3</v>
      </c>
      <c r="B37" s="8">
        <v>1</v>
      </c>
      <c r="C37" s="8" t="s">
        <v>85</v>
      </c>
      <c r="D37" t="s">
        <v>44</v>
      </c>
      <c r="E37" t="s">
        <v>14</v>
      </c>
      <c r="F37" s="6" t="s">
        <v>6</v>
      </c>
      <c r="G37" s="6" t="s">
        <v>8</v>
      </c>
      <c r="H37" s="6" t="s">
        <v>11</v>
      </c>
      <c r="I37" s="36" t="s">
        <v>5</v>
      </c>
      <c r="J37" s="6"/>
    </row>
    <row r="38" spans="1:16" x14ac:dyDescent="0.3">
      <c r="A38" s="10">
        <v>3</v>
      </c>
      <c r="B38" s="8">
        <v>1</v>
      </c>
      <c r="C38" s="8" t="s">
        <v>85</v>
      </c>
      <c r="D38" t="s">
        <v>4</v>
      </c>
      <c r="F38" s="6" t="s">
        <v>7</v>
      </c>
      <c r="G38" s="6" t="s">
        <v>12</v>
      </c>
      <c r="H38" s="6" t="s">
        <v>6</v>
      </c>
      <c r="I38" s="6" t="s">
        <v>11</v>
      </c>
      <c r="J38" s="6"/>
    </row>
    <row r="39" spans="1:16" x14ac:dyDescent="0.3">
      <c r="A39" s="10">
        <v>3</v>
      </c>
      <c r="B39" s="8">
        <v>2</v>
      </c>
      <c r="C39" s="6" t="str">
        <f t="shared" ref="C39:C44" si="4">IF(B39, "speak", "type")</f>
        <v>speak</v>
      </c>
      <c r="D39" t="s">
        <v>44</v>
      </c>
      <c r="E39" t="s">
        <v>14</v>
      </c>
      <c r="F39" s="6" t="s">
        <v>7</v>
      </c>
      <c r="G39" s="6" t="s">
        <v>12</v>
      </c>
      <c r="H39" s="6" t="s">
        <v>6</v>
      </c>
      <c r="I39" s="6" t="s">
        <v>11</v>
      </c>
      <c r="J39" s="6"/>
    </row>
    <row r="40" spans="1:16" x14ac:dyDescent="0.3">
      <c r="A40" s="10">
        <v>3</v>
      </c>
      <c r="B40" s="8">
        <v>2</v>
      </c>
      <c r="C40" s="6" t="str">
        <f t="shared" si="4"/>
        <v>speak</v>
      </c>
      <c r="D40" t="s">
        <v>4</v>
      </c>
      <c r="F40" s="6" t="s">
        <v>8</v>
      </c>
      <c r="G40" s="6" t="s">
        <v>11</v>
      </c>
      <c r="H40" s="6" t="s">
        <v>10</v>
      </c>
      <c r="I40" s="6" t="s">
        <v>7</v>
      </c>
      <c r="J40" s="6"/>
    </row>
    <row r="41" spans="1:16" x14ac:dyDescent="0.3">
      <c r="A41" s="10">
        <v>3</v>
      </c>
      <c r="B41" s="8">
        <v>2</v>
      </c>
      <c r="C41" s="6" t="str">
        <f t="shared" si="4"/>
        <v>speak</v>
      </c>
      <c r="D41" t="s">
        <v>44</v>
      </c>
      <c r="E41" t="s">
        <v>13</v>
      </c>
      <c r="F41" s="6" t="s">
        <v>8</v>
      </c>
      <c r="G41" s="6" t="s">
        <v>11</v>
      </c>
      <c r="H41" s="6" t="s">
        <v>10</v>
      </c>
      <c r="I41" s="6" t="s">
        <v>7</v>
      </c>
      <c r="J41" s="6"/>
    </row>
    <row r="42" spans="1:16" x14ac:dyDescent="0.3">
      <c r="A42" s="10">
        <v>3</v>
      </c>
      <c r="B42" s="8">
        <v>2</v>
      </c>
      <c r="C42" s="6" t="str">
        <f t="shared" si="4"/>
        <v>speak</v>
      </c>
      <c r="D42" t="s">
        <v>4</v>
      </c>
      <c r="F42" s="6" t="s">
        <v>9</v>
      </c>
      <c r="G42" s="6" t="s">
        <v>5</v>
      </c>
      <c r="H42" s="6" t="s">
        <v>12</v>
      </c>
      <c r="I42" s="6" t="s">
        <v>6</v>
      </c>
      <c r="J42" s="6"/>
    </row>
    <row r="43" spans="1:16" x14ac:dyDescent="0.3">
      <c r="A43" s="10">
        <v>3</v>
      </c>
      <c r="B43" s="8">
        <v>2</v>
      </c>
      <c r="C43" s="6" t="str">
        <f t="shared" si="4"/>
        <v>speak</v>
      </c>
      <c r="D43" t="s">
        <v>44</v>
      </c>
      <c r="E43" t="s">
        <v>13</v>
      </c>
      <c r="F43" s="6" t="s">
        <v>9</v>
      </c>
      <c r="G43" s="36" t="s">
        <v>5</v>
      </c>
      <c r="H43" s="6" t="s">
        <v>12</v>
      </c>
      <c r="I43" s="6" t="s">
        <v>6</v>
      </c>
      <c r="J43" s="6"/>
    </row>
    <row r="44" spans="1:16" x14ac:dyDescent="0.3">
      <c r="A44" s="10">
        <v>3</v>
      </c>
      <c r="B44" s="8">
        <v>2</v>
      </c>
      <c r="C44" s="6" t="str">
        <f t="shared" si="4"/>
        <v>speak</v>
      </c>
      <c r="D44" t="s">
        <v>4</v>
      </c>
      <c r="F44" s="6" t="s">
        <v>10</v>
      </c>
      <c r="G44" s="6" t="s">
        <v>7</v>
      </c>
      <c r="H44" s="6" t="s">
        <v>9</v>
      </c>
      <c r="I44" s="6" t="s">
        <v>12</v>
      </c>
      <c r="J44" s="6"/>
    </row>
    <row r="45" spans="1:16" x14ac:dyDescent="0.3">
      <c r="A45" s="10">
        <v>3</v>
      </c>
      <c r="B45" s="8">
        <v>1</v>
      </c>
      <c r="C45" s="8" t="s">
        <v>85</v>
      </c>
      <c r="D45" t="s">
        <v>44</v>
      </c>
      <c r="E45" t="s">
        <v>14</v>
      </c>
      <c r="F45" s="6" t="s">
        <v>10</v>
      </c>
      <c r="G45" s="6" t="s">
        <v>7</v>
      </c>
      <c r="H45" s="6" t="s">
        <v>9</v>
      </c>
      <c r="I45" s="6" t="s">
        <v>12</v>
      </c>
      <c r="J45" s="6"/>
    </row>
    <row r="46" spans="1:16" x14ac:dyDescent="0.3">
      <c r="A46" s="10">
        <v>3</v>
      </c>
      <c r="B46" s="8">
        <v>1</v>
      </c>
      <c r="C46" s="8" t="s">
        <v>85</v>
      </c>
      <c r="D46" t="s">
        <v>4</v>
      </c>
      <c r="F46" s="6" t="s">
        <v>11</v>
      </c>
      <c r="G46" s="6" t="s">
        <v>9</v>
      </c>
      <c r="H46" s="6" t="s">
        <v>7</v>
      </c>
      <c r="I46" s="6" t="s">
        <v>10</v>
      </c>
      <c r="J46" s="6"/>
    </row>
    <row r="47" spans="1:16" x14ac:dyDescent="0.3">
      <c r="A47" s="10">
        <v>3</v>
      </c>
      <c r="B47" s="8">
        <v>1</v>
      </c>
      <c r="C47" s="8" t="s">
        <v>85</v>
      </c>
      <c r="D47" t="s">
        <v>44</v>
      </c>
      <c r="E47" t="s">
        <v>13</v>
      </c>
      <c r="F47" s="6" t="s">
        <v>11</v>
      </c>
      <c r="G47" s="6" t="s">
        <v>9</v>
      </c>
      <c r="H47" s="6" t="s">
        <v>7</v>
      </c>
      <c r="I47" s="6" t="s">
        <v>10</v>
      </c>
      <c r="J47" s="6"/>
    </row>
    <row r="48" spans="1:16" x14ac:dyDescent="0.3">
      <c r="A48" s="10">
        <v>3</v>
      </c>
      <c r="B48" s="8">
        <v>1</v>
      </c>
      <c r="C48" s="8" t="s">
        <v>85</v>
      </c>
      <c r="D48" t="s">
        <v>4</v>
      </c>
      <c r="F48" s="6" t="s">
        <v>12</v>
      </c>
      <c r="G48" s="6" t="s">
        <v>6</v>
      </c>
      <c r="H48" s="6" t="s">
        <v>5</v>
      </c>
      <c r="I48" s="6" t="s">
        <v>8</v>
      </c>
      <c r="J48" s="6"/>
    </row>
    <row r="49" spans="1:14" x14ac:dyDescent="0.3">
      <c r="A49" s="10">
        <v>3</v>
      </c>
      <c r="B49" s="8">
        <v>1</v>
      </c>
      <c r="C49" s="8" t="s">
        <v>85</v>
      </c>
      <c r="D49" t="s">
        <v>44</v>
      </c>
      <c r="E49" t="s">
        <v>13</v>
      </c>
      <c r="F49" s="6" t="s">
        <v>12</v>
      </c>
      <c r="G49" s="6" t="s">
        <v>6</v>
      </c>
      <c r="H49" s="36" t="s">
        <v>5</v>
      </c>
      <c r="I49" s="6" t="s">
        <v>8</v>
      </c>
      <c r="J49" s="6"/>
    </row>
    <row r="50" spans="1:14" x14ac:dyDescent="0.3">
      <c r="A50" s="9">
        <v>4</v>
      </c>
      <c r="B50" s="8">
        <v>1</v>
      </c>
      <c r="C50" s="8" t="s">
        <v>85</v>
      </c>
      <c r="D50" t="s">
        <v>4</v>
      </c>
      <c r="F50" s="6" t="s">
        <v>5</v>
      </c>
      <c r="G50" s="6" t="s">
        <v>7</v>
      </c>
      <c r="H50" s="6" t="s">
        <v>8</v>
      </c>
      <c r="I50" s="6" t="s">
        <v>10</v>
      </c>
      <c r="J50" s="6"/>
    </row>
    <row r="51" spans="1:14" x14ac:dyDescent="0.3">
      <c r="A51" s="9">
        <v>4</v>
      </c>
      <c r="B51" s="8">
        <v>1</v>
      </c>
      <c r="C51" s="8" t="s">
        <v>85</v>
      </c>
      <c r="D51" t="s">
        <v>44</v>
      </c>
      <c r="E51" t="s">
        <v>13</v>
      </c>
      <c r="F51" s="36" t="s">
        <v>5</v>
      </c>
      <c r="G51" s="6" t="s">
        <v>7</v>
      </c>
      <c r="H51" s="6" t="s">
        <v>8</v>
      </c>
      <c r="I51" s="6" t="s">
        <v>10</v>
      </c>
      <c r="J51" s="6"/>
    </row>
    <row r="52" spans="1:14" x14ac:dyDescent="0.3">
      <c r="A52" s="9">
        <v>4</v>
      </c>
      <c r="B52" s="8">
        <v>1</v>
      </c>
      <c r="C52" s="8" t="s">
        <v>85</v>
      </c>
      <c r="D52" t="s">
        <v>4</v>
      </c>
      <c r="F52" s="6" t="s">
        <v>6</v>
      </c>
      <c r="G52" s="6" t="s">
        <v>12</v>
      </c>
      <c r="H52" s="6" t="s">
        <v>10</v>
      </c>
      <c r="I52" s="6" t="s">
        <v>7</v>
      </c>
      <c r="J52" s="6"/>
      <c r="N52" t="s">
        <v>23</v>
      </c>
    </row>
    <row r="53" spans="1:14" x14ac:dyDescent="0.3">
      <c r="A53" s="9">
        <v>4</v>
      </c>
      <c r="B53" s="8">
        <v>2</v>
      </c>
      <c r="C53" s="6" t="str">
        <f t="shared" ref="C53:C56" si="5">IF(B53, "speak", "type")</f>
        <v>speak</v>
      </c>
      <c r="D53" t="s">
        <v>44</v>
      </c>
      <c r="E53" t="s">
        <v>14</v>
      </c>
      <c r="F53" s="6" t="s">
        <v>6</v>
      </c>
      <c r="G53" s="6" t="s">
        <v>12</v>
      </c>
      <c r="H53" s="6" t="s">
        <v>10</v>
      </c>
      <c r="I53" s="6" t="s">
        <v>7</v>
      </c>
      <c r="J53" s="6"/>
    </row>
    <row r="54" spans="1:14" x14ac:dyDescent="0.3">
      <c r="A54" s="9">
        <v>4</v>
      </c>
      <c r="B54" s="8">
        <v>2</v>
      </c>
      <c r="C54" s="6" t="str">
        <f t="shared" si="5"/>
        <v>speak</v>
      </c>
      <c r="D54" t="s">
        <v>4</v>
      </c>
      <c r="F54" s="6" t="s">
        <v>7</v>
      </c>
      <c r="G54" s="6" t="s">
        <v>8</v>
      </c>
      <c r="H54" s="6" t="s">
        <v>6</v>
      </c>
      <c r="I54" s="6" t="s">
        <v>9</v>
      </c>
      <c r="J54" s="6"/>
    </row>
    <row r="55" spans="1:14" x14ac:dyDescent="0.3">
      <c r="A55" s="9">
        <v>4</v>
      </c>
      <c r="B55" s="8">
        <v>2</v>
      </c>
      <c r="C55" s="6" t="str">
        <f t="shared" si="5"/>
        <v>speak</v>
      </c>
      <c r="D55" t="s">
        <v>44</v>
      </c>
      <c r="E55" t="s">
        <v>13</v>
      </c>
      <c r="F55" s="6" t="s">
        <v>7</v>
      </c>
      <c r="G55" s="6" t="s">
        <v>8</v>
      </c>
      <c r="H55" s="6" t="s">
        <v>6</v>
      </c>
      <c r="I55" s="6" t="s">
        <v>9</v>
      </c>
      <c r="J55" s="6"/>
    </row>
    <row r="56" spans="1:14" x14ac:dyDescent="0.3">
      <c r="A56" s="9">
        <v>4</v>
      </c>
      <c r="B56" s="8">
        <v>2</v>
      </c>
      <c r="C56" s="6" t="str">
        <f t="shared" si="5"/>
        <v>speak</v>
      </c>
      <c r="D56" t="s">
        <v>4</v>
      </c>
      <c r="F56" s="6" t="s">
        <v>8</v>
      </c>
      <c r="G56" s="6" t="s">
        <v>6</v>
      </c>
      <c r="H56" s="6" t="s">
        <v>9</v>
      </c>
      <c r="I56" s="6" t="s">
        <v>5</v>
      </c>
      <c r="J56" s="6"/>
    </row>
    <row r="57" spans="1:14" x14ac:dyDescent="0.3">
      <c r="A57" s="9">
        <v>4</v>
      </c>
      <c r="B57" s="8">
        <v>1</v>
      </c>
      <c r="C57" s="8" t="s">
        <v>85</v>
      </c>
      <c r="D57" t="s">
        <v>44</v>
      </c>
      <c r="E57" t="s">
        <v>14</v>
      </c>
      <c r="F57" s="6" t="s">
        <v>8</v>
      </c>
      <c r="G57" s="6" t="s">
        <v>6</v>
      </c>
      <c r="H57" s="6" t="s">
        <v>9</v>
      </c>
      <c r="I57" s="36" t="s">
        <v>5</v>
      </c>
      <c r="J57" s="6"/>
    </row>
    <row r="58" spans="1:14" x14ac:dyDescent="0.3">
      <c r="A58" s="9">
        <v>4</v>
      </c>
      <c r="B58" s="8">
        <v>1</v>
      </c>
      <c r="C58" s="8" t="s">
        <v>85</v>
      </c>
      <c r="D58" t="s">
        <v>4</v>
      </c>
      <c r="F58" s="6" t="s">
        <v>9</v>
      </c>
      <c r="G58" s="6" t="s">
        <v>11</v>
      </c>
      <c r="H58" s="6" t="s">
        <v>5</v>
      </c>
      <c r="I58" s="6" t="s">
        <v>8</v>
      </c>
      <c r="J58" s="6"/>
    </row>
    <row r="59" spans="1:14" x14ac:dyDescent="0.3">
      <c r="A59" s="9">
        <v>4</v>
      </c>
      <c r="B59" s="8">
        <v>2</v>
      </c>
      <c r="C59" s="6" t="str">
        <f t="shared" ref="C59:C62" si="6">IF(B59, "speak", "type")</f>
        <v>speak</v>
      </c>
      <c r="D59" t="s">
        <v>44</v>
      </c>
      <c r="E59" t="s">
        <v>14</v>
      </c>
      <c r="F59" s="6" t="s">
        <v>9</v>
      </c>
      <c r="G59" s="6" t="s">
        <v>11</v>
      </c>
      <c r="H59" s="36" t="s">
        <v>5</v>
      </c>
      <c r="I59" s="6" t="s">
        <v>8</v>
      </c>
      <c r="J59" s="6"/>
    </row>
    <row r="60" spans="1:14" x14ac:dyDescent="0.3">
      <c r="A60" s="9">
        <v>4</v>
      </c>
      <c r="B60" s="8">
        <v>2</v>
      </c>
      <c r="C60" s="6" t="str">
        <f t="shared" si="6"/>
        <v>speak</v>
      </c>
      <c r="D60" t="s">
        <v>4</v>
      </c>
      <c r="F60" s="6" t="s">
        <v>10</v>
      </c>
      <c r="G60" s="6" t="s">
        <v>5</v>
      </c>
      <c r="H60" s="6" t="s">
        <v>12</v>
      </c>
      <c r="I60" s="6" t="s">
        <v>11</v>
      </c>
      <c r="J60" s="6"/>
    </row>
    <row r="61" spans="1:14" x14ac:dyDescent="0.3">
      <c r="A61" s="9">
        <v>4</v>
      </c>
      <c r="B61" s="8">
        <v>2</v>
      </c>
      <c r="C61" s="6" t="str">
        <f t="shared" si="6"/>
        <v>speak</v>
      </c>
      <c r="D61" t="s">
        <v>44</v>
      </c>
      <c r="E61" t="s">
        <v>13</v>
      </c>
      <c r="F61" s="6" t="s">
        <v>10</v>
      </c>
      <c r="G61" s="36" t="s">
        <v>5</v>
      </c>
      <c r="H61" s="6" t="s">
        <v>12</v>
      </c>
      <c r="I61" s="6" t="s">
        <v>11</v>
      </c>
      <c r="J61" s="6"/>
    </row>
    <row r="62" spans="1:14" x14ac:dyDescent="0.3">
      <c r="A62" s="9">
        <v>4</v>
      </c>
      <c r="B62" s="8">
        <v>2</v>
      </c>
      <c r="C62" s="6" t="str">
        <f t="shared" si="6"/>
        <v>speak</v>
      </c>
      <c r="D62" t="s">
        <v>4</v>
      </c>
      <c r="F62" s="6" t="s">
        <v>11</v>
      </c>
      <c r="G62" s="6" t="s">
        <v>10</v>
      </c>
      <c r="H62" s="6" t="s">
        <v>7</v>
      </c>
      <c r="I62" s="6" t="s">
        <v>12</v>
      </c>
      <c r="J62" s="6"/>
    </row>
    <row r="63" spans="1:14" x14ac:dyDescent="0.3">
      <c r="A63" s="9">
        <v>4</v>
      </c>
      <c r="B63" s="8">
        <v>1</v>
      </c>
      <c r="C63" s="8" t="s">
        <v>85</v>
      </c>
      <c r="D63" t="s">
        <v>44</v>
      </c>
      <c r="E63" t="s">
        <v>14</v>
      </c>
      <c r="F63" s="6" t="s">
        <v>11</v>
      </c>
      <c r="G63" s="6" t="s">
        <v>10</v>
      </c>
      <c r="H63" s="6" t="s">
        <v>7</v>
      </c>
      <c r="I63" s="6" t="s">
        <v>12</v>
      </c>
      <c r="J63" s="6"/>
    </row>
    <row r="64" spans="1:14" x14ac:dyDescent="0.3">
      <c r="A64" s="9">
        <v>4</v>
      </c>
      <c r="B64" s="8">
        <v>1</v>
      </c>
      <c r="C64" s="8" t="s">
        <v>85</v>
      </c>
      <c r="D64" t="s">
        <v>4</v>
      </c>
      <c r="F64" s="6" t="s">
        <v>12</v>
      </c>
      <c r="G64" s="6" t="s">
        <v>9</v>
      </c>
      <c r="H64" s="6" t="s">
        <v>11</v>
      </c>
      <c r="I64" s="6" t="s">
        <v>6</v>
      </c>
      <c r="J64" s="6"/>
    </row>
    <row r="65" spans="1:10" x14ac:dyDescent="0.3">
      <c r="A65" s="9">
        <v>4</v>
      </c>
      <c r="B65" s="8">
        <v>1</v>
      </c>
      <c r="C65" s="8" t="s">
        <v>85</v>
      </c>
      <c r="D65" t="s">
        <v>44</v>
      </c>
      <c r="E65" t="s">
        <v>13</v>
      </c>
      <c r="F65" s="6" t="s">
        <v>12</v>
      </c>
      <c r="G65" s="6" t="s">
        <v>9</v>
      </c>
      <c r="H65" s="6" t="s">
        <v>11</v>
      </c>
      <c r="I65" s="6" t="s">
        <v>6</v>
      </c>
      <c r="J65" s="6"/>
    </row>
  </sheetData>
  <phoneticPr fontId="3" type="noConversion"/>
  <pageMargins left="0.7" right="0.7" top="0.75" bottom="0.75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8"/>
  <sheetViews>
    <sheetView zoomScale="85" zoomScaleNormal="85" workbookViewId="0">
      <selection activeCell="H23" sqref="H23"/>
    </sheetView>
  </sheetViews>
  <sheetFormatPr defaultColWidth="8.6640625" defaultRowHeight="14.4" x14ac:dyDescent="0.3"/>
  <cols>
    <col min="1" max="2" width="19.44140625" customWidth="1"/>
    <col min="4" max="4" width="19.44140625" customWidth="1"/>
    <col min="6" max="6" width="12.6640625" customWidth="1"/>
    <col min="7" max="7" width="11" bestFit="1" customWidth="1"/>
  </cols>
  <sheetData>
    <row r="1" spans="1:9" x14ac:dyDescent="0.3">
      <c r="A1" s="8" t="s">
        <v>87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</row>
    <row r="2" spans="1:9" x14ac:dyDescent="0.3">
      <c r="A2" s="11">
        <v>1</v>
      </c>
      <c r="B2" s="11">
        <v>2</v>
      </c>
      <c r="C2" s="16" t="s">
        <v>84</v>
      </c>
      <c r="D2" s="8" t="s">
        <v>4</v>
      </c>
      <c r="E2" s="8" t="s">
        <v>45</v>
      </c>
      <c r="F2" s="8" t="s">
        <v>47</v>
      </c>
    </row>
    <row r="3" spans="1:9" x14ac:dyDescent="0.3">
      <c r="A3" s="11">
        <v>1</v>
      </c>
      <c r="B3" s="11">
        <v>2</v>
      </c>
      <c r="C3" s="11" t="s">
        <v>84</v>
      </c>
      <c r="D3" s="8" t="s">
        <v>44</v>
      </c>
      <c r="E3" s="8" t="s">
        <v>13</v>
      </c>
      <c r="F3" s="8" t="s">
        <v>47</v>
      </c>
    </row>
    <row r="4" spans="1:9" x14ac:dyDescent="0.3">
      <c r="A4" s="11">
        <v>1</v>
      </c>
      <c r="B4" s="18">
        <v>1</v>
      </c>
      <c r="C4" s="17" t="s">
        <v>85</v>
      </c>
      <c r="D4" s="12" t="s">
        <v>33</v>
      </c>
      <c r="E4" s="8" t="s">
        <v>46</v>
      </c>
      <c r="F4" s="8" t="s">
        <v>78</v>
      </c>
      <c r="I4" t="s">
        <v>34</v>
      </c>
    </row>
    <row r="5" spans="1:9" x14ac:dyDescent="0.3">
      <c r="A5" s="11">
        <v>1</v>
      </c>
      <c r="B5" s="11">
        <v>2</v>
      </c>
      <c r="C5" s="11" t="s">
        <v>84</v>
      </c>
      <c r="D5" s="8" t="s">
        <v>4</v>
      </c>
      <c r="E5" s="8" t="s">
        <v>45</v>
      </c>
      <c r="F5" s="8" t="s">
        <v>48</v>
      </c>
      <c r="I5" t="s">
        <v>35</v>
      </c>
    </row>
    <row r="6" spans="1:9" x14ac:dyDescent="0.3">
      <c r="A6" s="11">
        <v>1</v>
      </c>
      <c r="B6" s="11">
        <v>2</v>
      </c>
      <c r="C6" s="16" t="s">
        <v>84</v>
      </c>
      <c r="D6" s="8" t="s">
        <v>44</v>
      </c>
      <c r="E6" s="8" t="s">
        <v>13</v>
      </c>
      <c r="F6" s="8" t="s">
        <v>48</v>
      </c>
    </row>
    <row r="7" spans="1:9" x14ac:dyDescent="0.3">
      <c r="A7" s="11">
        <v>1</v>
      </c>
      <c r="B7" s="18">
        <v>1</v>
      </c>
      <c r="C7" s="18" t="s">
        <v>85</v>
      </c>
      <c r="D7" s="12" t="s">
        <v>33</v>
      </c>
      <c r="E7" s="8" t="s">
        <v>46</v>
      </c>
      <c r="F7" s="8" t="s">
        <v>77</v>
      </c>
      <c r="I7" s="6" t="s">
        <v>86</v>
      </c>
    </row>
    <row r="8" spans="1:9" x14ac:dyDescent="0.3">
      <c r="A8" s="11">
        <v>1</v>
      </c>
      <c r="B8" s="11">
        <v>2</v>
      </c>
      <c r="C8" s="16" t="s">
        <v>84</v>
      </c>
      <c r="D8" s="8" t="s">
        <v>4</v>
      </c>
      <c r="E8" s="8" t="s">
        <v>45</v>
      </c>
      <c r="F8" s="8" t="s">
        <v>49</v>
      </c>
      <c r="I8" s="6"/>
    </row>
    <row r="9" spans="1:9" x14ac:dyDescent="0.3">
      <c r="A9" s="11">
        <v>1</v>
      </c>
      <c r="B9" s="11">
        <v>1</v>
      </c>
      <c r="C9" s="11" t="s">
        <v>85</v>
      </c>
      <c r="D9" s="8" t="s">
        <v>44</v>
      </c>
      <c r="E9" s="8" t="s">
        <v>14</v>
      </c>
      <c r="F9" s="8" t="s">
        <v>49</v>
      </c>
      <c r="I9" t="s">
        <v>30</v>
      </c>
    </row>
    <row r="10" spans="1:9" x14ac:dyDescent="0.3">
      <c r="A10" s="11">
        <v>1</v>
      </c>
      <c r="B10" s="11">
        <v>1</v>
      </c>
      <c r="C10" s="16" t="s">
        <v>85</v>
      </c>
      <c r="D10" s="8" t="s">
        <v>4</v>
      </c>
      <c r="E10" s="8" t="s">
        <v>45</v>
      </c>
      <c r="F10" s="8" t="s">
        <v>50</v>
      </c>
      <c r="I10" t="s">
        <v>88</v>
      </c>
    </row>
    <row r="11" spans="1:9" x14ac:dyDescent="0.3">
      <c r="A11" s="11">
        <v>1</v>
      </c>
      <c r="B11" s="11">
        <v>2</v>
      </c>
      <c r="C11" s="11" t="s">
        <v>84</v>
      </c>
      <c r="D11" s="8" t="s">
        <v>44</v>
      </c>
      <c r="E11" s="8" t="s">
        <v>14</v>
      </c>
      <c r="F11" s="8" t="s">
        <v>50</v>
      </c>
      <c r="I11" t="s">
        <v>31</v>
      </c>
    </row>
    <row r="12" spans="1:9" x14ac:dyDescent="0.3">
      <c r="A12" s="11">
        <v>1</v>
      </c>
      <c r="B12" s="18">
        <v>2</v>
      </c>
      <c r="C12" s="17" t="s">
        <v>84</v>
      </c>
      <c r="D12" s="12" t="s">
        <v>33</v>
      </c>
      <c r="E12" s="8" t="s">
        <v>46</v>
      </c>
      <c r="F12" s="8" t="s">
        <v>76</v>
      </c>
      <c r="I12" t="s">
        <v>89</v>
      </c>
    </row>
    <row r="13" spans="1:9" x14ac:dyDescent="0.3">
      <c r="A13" s="11">
        <v>1</v>
      </c>
      <c r="B13" s="11">
        <v>2</v>
      </c>
      <c r="C13" s="11" t="s">
        <v>84</v>
      </c>
      <c r="D13" s="8" t="s">
        <v>4</v>
      </c>
      <c r="E13" s="8" t="s">
        <v>45</v>
      </c>
      <c r="F13" s="8" t="s">
        <v>51</v>
      </c>
      <c r="I13" s="6"/>
    </row>
    <row r="14" spans="1:9" x14ac:dyDescent="0.3">
      <c r="A14" s="11">
        <v>1</v>
      </c>
      <c r="B14" s="11">
        <v>1</v>
      </c>
      <c r="C14" s="16" t="s">
        <v>85</v>
      </c>
      <c r="D14" s="8" t="s">
        <v>44</v>
      </c>
      <c r="E14" s="8" t="s">
        <v>14</v>
      </c>
      <c r="F14" s="8" t="s">
        <v>51</v>
      </c>
      <c r="I14" s="6"/>
    </row>
    <row r="15" spans="1:9" x14ac:dyDescent="0.3">
      <c r="A15" s="11">
        <v>1</v>
      </c>
      <c r="B15" s="18">
        <v>2</v>
      </c>
      <c r="C15" s="18" t="s">
        <v>84</v>
      </c>
      <c r="D15" s="12" t="s">
        <v>33</v>
      </c>
      <c r="E15" s="8" t="s">
        <v>46</v>
      </c>
      <c r="F15" s="8" t="s">
        <v>75</v>
      </c>
    </row>
    <row r="16" spans="1:9" x14ac:dyDescent="0.3">
      <c r="A16" s="11">
        <v>1</v>
      </c>
      <c r="B16" s="11">
        <v>1</v>
      </c>
      <c r="C16" s="16" t="s">
        <v>85</v>
      </c>
      <c r="D16" s="8" t="s">
        <v>4</v>
      </c>
      <c r="E16" s="8" t="s">
        <v>45</v>
      </c>
      <c r="F16" s="8" t="s">
        <v>52</v>
      </c>
    </row>
    <row r="17" spans="1:10" x14ac:dyDescent="0.3">
      <c r="A17" s="11">
        <v>1</v>
      </c>
      <c r="B17" s="11">
        <v>1</v>
      </c>
      <c r="C17" s="11" t="s">
        <v>85</v>
      </c>
      <c r="D17" s="8" t="s">
        <v>44</v>
      </c>
      <c r="E17" s="8" t="s">
        <v>13</v>
      </c>
      <c r="F17" s="8" t="s">
        <v>52</v>
      </c>
    </row>
    <row r="18" spans="1:10" x14ac:dyDescent="0.3">
      <c r="A18" s="11">
        <v>1</v>
      </c>
      <c r="B18" s="18">
        <v>2</v>
      </c>
      <c r="C18" s="17" t="s">
        <v>84</v>
      </c>
      <c r="D18" s="12" t="s">
        <v>33</v>
      </c>
      <c r="E18" s="8" t="s">
        <v>46</v>
      </c>
      <c r="F18" s="8" t="s">
        <v>98</v>
      </c>
    </row>
    <row r="19" spans="1:10" x14ac:dyDescent="0.3">
      <c r="A19" s="11">
        <v>1</v>
      </c>
      <c r="B19" s="11">
        <v>1</v>
      </c>
      <c r="C19" s="11" t="s">
        <v>85</v>
      </c>
      <c r="D19" s="8" t="s">
        <v>4</v>
      </c>
      <c r="E19" s="8" t="s">
        <v>45</v>
      </c>
      <c r="F19" s="8" t="s">
        <v>53</v>
      </c>
    </row>
    <row r="20" spans="1:10" x14ac:dyDescent="0.3">
      <c r="A20" s="11">
        <v>1</v>
      </c>
      <c r="B20" s="11">
        <v>1</v>
      </c>
      <c r="C20" s="16" t="s">
        <v>85</v>
      </c>
      <c r="D20" s="8" t="s">
        <v>44</v>
      </c>
      <c r="E20" s="8" t="s">
        <v>13</v>
      </c>
      <c r="F20" s="8" t="s">
        <v>53</v>
      </c>
    </row>
    <row r="21" spans="1:10" x14ac:dyDescent="0.3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73</v>
      </c>
    </row>
    <row r="22" spans="1:10" x14ac:dyDescent="0.3">
      <c r="A22" s="11">
        <v>1</v>
      </c>
      <c r="B22" s="11">
        <v>1</v>
      </c>
      <c r="C22" s="16" t="s">
        <v>85</v>
      </c>
      <c r="D22" s="8" t="s">
        <v>4</v>
      </c>
      <c r="E22" s="8" t="s">
        <v>45</v>
      </c>
      <c r="F22" s="8" t="s">
        <v>54</v>
      </c>
    </row>
    <row r="23" spans="1:10" x14ac:dyDescent="0.3">
      <c r="A23" s="11">
        <v>1</v>
      </c>
      <c r="B23" s="11">
        <v>2</v>
      </c>
      <c r="C23" s="11" t="s">
        <v>84</v>
      </c>
      <c r="D23" s="8" t="s">
        <v>44</v>
      </c>
      <c r="E23" s="8" t="s">
        <v>14</v>
      </c>
      <c r="F23" s="8" t="s">
        <v>54</v>
      </c>
    </row>
    <row r="24" spans="1:10" x14ac:dyDescent="0.3">
      <c r="A24" s="11">
        <v>1</v>
      </c>
      <c r="B24" s="18">
        <v>1</v>
      </c>
      <c r="C24" s="17" t="s">
        <v>85</v>
      </c>
      <c r="D24" s="12" t="s">
        <v>33</v>
      </c>
      <c r="E24" s="8" t="s">
        <v>46</v>
      </c>
      <c r="F24" s="8" t="s">
        <v>72</v>
      </c>
    </row>
    <row r="25" spans="1:10" x14ac:dyDescent="0.3">
      <c r="A25" s="11">
        <v>1</v>
      </c>
      <c r="B25" s="18">
        <v>1</v>
      </c>
      <c r="C25" s="18" t="s">
        <v>85</v>
      </c>
      <c r="D25" s="12" t="s">
        <v>33</v>
      </c>
      <c r="E25" s="8" t="s">
        <v>46</v>
      </c>
      <c r="F25" s="8" t="s">
        <v>71</v>
      </c>
    </row>
    <row r="26" spans="1:10" x14ac:dyDescent="0.3">
      <c r="A26" s="11">
        <v>1</v>
      </c>
      <c r="B26" s="8">
        <v>2</v>
      </c>
      <c r="C26" s="26" t="s">
        <v>84</v>
      </c>
      <c r="D26" s="8" t="s">
        <v>4</v>
      </c>
      <c r="E26" s="8" t="s">
        <v>45</v>
      </c>
      <c r="F26" s="8" t="s">
        <v>50</v>
      </c>
    </row>
    <row r="27" spans="1:10" x14ac:dyDescent="0.3">
      <c r="A27" s="11">
        <v>1</v>
      </c>
      <c r="B27" s="8">
        <v>2</v>
      </c>
      <c r="C27" s="26" t="s">
        <v>84</v>
      </c>
      <c r="D27" s="8" t="s">
        <v>44</v>
      </c>
      <c r="E27" s="8" t="s">
        <v>13</v>
      </c>
      <c r="F27" s="8" t="s">
        <v>50</v>
      </c>
    </row>
    <row r="28" spans="1:10" x14ac:dyDescent="0.3">
      <c r="A28" s="11">
        <v>1</v>
      </c>
      <c r="B28" s="8">
        <v>2</v>
      </c>
      <c r="C28" s="26" t="s">
        <v>84</v>
      </c>
      <c r="D28" s="8" t="s">
        <v>4</v>
      </c>
      <c r="E28" s="8" t="s">
        <v>45</v>
      </c>
      <c r="F28" s="8" t="s">
        <v>49</v>
      </c>
    </row>
    <row r="29" spans="1:10" x14ac:dyDescent="0.3">
      <c r="A29" s="11">
        <v>1</v>
      </c>
      <c r="B29" s="8">
        <v>2</v>
      </c>
      <c r="C29" s="26" t="s">
        <v>84</v>
      </c>
      <c r="D29" s="8" t="s">
        <v>44</v>
      </c>
      <c r="E29" s="8" t="s">
        <v>13</v>
      </c>
      <c r="F29" s="8" t="s">
        <v>49</v>
      </c>
    </row>
    <row r="30" spans="1:10" x14ac:dyDescent="0.3">
      <c r="A30" s="11">
        <v>1</v>
      </c>
      <c r="B30" s="18">
        <v>1</v>
      </c>
      <c r="C30" s="17" t="s">
        <v>85</v>
      </c>
      <c r="D30" s="12" t="s">
        <v>33</v>
      </c>
      <c r="E30" s="8" t="s">
        <v>46</v>
      </c>
      <c r="F30" s="8" t="s">
        <v>76</v>
      </c>
    </row>
    <row r="31" spans="1:10" x14ac:dyDescent="0.3">
      <c r="A31" s="11">
        <v>1</v>
      </c>
      <c r="B31" s="18">
        <v>1</v>
      </c>
      <c r="C31" s="18" t="s">
        <v>85</v>
      </c>
      <c r="D31" s="12" t="s">
        <v>33</v>
      </c>
      <c r="E31" s="8" t="s">
        <v>46</v>
      </c>
      <c r="F31" s="8" t="s">
        <v>71</v>
      </c>
      <c r="J31" s="6"/>
    </row>
    <row r="32" spans="1:10" x14ac:dyDescent="0.3">
      <c r="A32" s="11">
        <v>1</v>
      </c>
      <c r="B32" s="8">
        <v>2</v>
      </c>
      <c r="C32" s="19" t="s">
        <v>84</v>
      </c>
      <c r="D32" s="8" t="s">
        <v>4</v>
      </c>
      <c r="E32" s="8" t="s">
        <v>45</v>
      </c>
      <c r="F32" s="8" t="s">
        <v>52</v>
      </c>
      <c r="J32" s="6"/>
    </row>
    <row r="33" spans="1:11" x14ac:dyDescent="0.3">
      <c r="A33" s="11">
        <v>1</v>
      </c>
      <c r="B33" s="8">
        <v>1</v>
      </c>
      <c r="C33" s="8" t="s">
        <v>85</v>
      </c>
      <c r="D33" s="8" t="s">
        <v>44</v>
      </c>
      <c r="E33" s="8" t="s">
        <v>14</v>
      </c>
      <c r="F33" s="8" t="s">
        <v>52</v>
      </c>
      <c r="J33" s="6"/>
    </row>
    <row r="34" spans="1:11" x14ac:dyDescent="0.3">
      <c r="A34" s="11">
        <v>1</v>
      </c>
      <c r="B34" s="18">
        <v>2</v>
      </c>
      <c r="C34" s="17" t="s">
        <v>84</v>
      </c>
      <c r="D34" s="12" t="s">
        <v>33</v>
      </c>
      <c r="E34" s="8" t="s">
        <v>46</v>
      </c>
      <c r="F34" s="8" t="s">
        <v>75</v>
      </c>
      <c r="J34" s="6"/>
    </row>
    <row r="35" spans="1:11" x14ac:dyDescent="0.3">
      <c r="A35" s="11">
        <v>1</v>
      </c>
      <c r="B35" s="8">
        <v>1</v>
      </c>
      <c r="C35" s="8" t="s">
        <v>85</v>
      </c>
      <c r="D35" s="8" t="s">
        <v>4</v>
      </c>
      <c r="E35" s="8" t="s">
        <v>45</v>
      </c>
      <c r="F35" s="8" t="s">
        <v>48</v>
      </c>
      <c r="J35" s="6"/>
    </row>
    <row r="36" spans="1:11" x14ac:dyDescent="0.3">
      <c r="A36" s="11">
        <v>1</v>
      </c>
      <c r="B36" s="8">
        <v>2</v>
      </c>
      <c r="C36" s="19" t="s">
        <v>84</v>
      </c>
      <c r="D36" s="8" t="s">
        <v>44</v>
      </c>
      <c r="E36" s="8" t="s">
        <v>14</v>
      </c>
      <c r="F36" s="8" t="s">
        <v>48</v>
      </c>
      <c r="J36" s="6"/>
      <c r="K36" s="6"/>
    </row>
    <row r="37" spans="1:11" x14ac:dyDescent="0.3">
      <c r="A37" s="11">
        <v>1</v>
      </c>
      <c r="B37" s="8">
        <v>2</v>
      </c>
      <c r="C37" s="8" t="s">
        <v>84</v>
      </c>
      <c r="D37" s="8" t="s">
        <v>4</v>
      </c>
      <c r="E37" s="8" t="s">
        <v>45</v>
      </c>
      <c r="F37" s="8" t="s">
        <v>47</v>
      </c>
      <c r="J37" s="6"/>
      <c r="K37" s="6"/>
    </row>
    <row r="38" spans="1:11" x14ac:dyDescent="0.3">
      <c r="A38" s="11">
        <v>1</v>
      </c>
      <c r="B38" s="8">
        <v>1</v>
      </c>
      <c r="C38" s="19" t="s">
        <v>85</v>
      </c>
      <c r="D38" s="8" t="s">
        <v>44</v>
      </c>
      <c r="E38" s="8" t="s">
        <v>14</v>
      </c>
      <c r="F38" s="8" t="s">
        <v>47</v>
      </c>
      <c r="J38" s="6"/>
      <c r="K38" s="6"/>
    </row>
    <row r="39" spans="1:11" x14ac:dyDescent="0.3">
      <c r="A39" s="11">
        <v>1</v>
      </c>
      <c r="B39" s="18">
        <v>2</v>
      </c>
      <c r="C39" s="18" t="s">
        <v>84</v>
      </c>
      <c r="D39" s="12" t="s">
        <v>33</v>
      </c>
      <c r="E39" s="8" t="s">
        <v>46</v>
      </c>
      <c r="F39" s="8" t="s">
        <v>77</v>
      </c>
      <c r="J39" s="6"/>
      <c r="K39" s="6"/>
    </row>
    <row r="40" spans="1:11" x14ac:dyDescent="0.3">
      <c r="A40" s="11">
        <v>1</v>
      </c>
      <c r="B40" s="8">
        <v>1</v>
      </c>
      <c r="C40" s="19" t="s">
        <v>85</v>
      </c>
      <c r="D40" s="8" t="s">
        <v>4</v>
      </c>
      <c r="E40" s="8" t="s">
        <v>45</v>
      </c>
      <c r="F40" s="8" t="s">
        <v>54</v>
      </c>
      <c r="J40" s="6"/>
      <c r="K40" s="6"/>
    </row>
    <row r="41" spans="1:11" x14ac:dyDescent="0.3">
      <c r="A41" s="11">
        <v>1</v>
      </c>
      <c r="B41" s="8">
        <v>1</v>
      </c>
      <c r="C41" s="19" t="s">
        <v>85</v>
      </c>
      <c r="D41" s="8" t="s">
        <v>44</v>
      </c>
      <c r="E41" s="8" t="s">
        <v>13</v>
      </c>
      <c r="F41" s="8" t="s">
        <v>54</v>
      </c>
      <c r="J41" s="6"/>
      <c r="K41" s="6"/>
    </row>
    <row r="42" spans="1:11" x14ac:dyDescent="0.3">
      <c r="A42" s="11">
        <v>1</v>
      </c>
      <c r="B42" s="18">
        <v>2</v>
      </c>
      <c r="C42" s="17" t="s">
        <v>84</v>
      </c>
      <c r="D42" s="12" t="s">
        <v>33</v>
      </c>
      <c r="E42" s="8" t="s">
        <v>46</v>
      </c>
      <c r="F42" s="8" t="s">
        <v>72</v>
      </c>
      <c r="J42" s="6"/>
      <c r="K42" s="6"/>
    </row>
    <row r="43" spans="1:11" x14ac:dyDescent="0.3">
      <c r="A43" s="11">
        <v>1</v>
      </c>
      <c r="B43" s="8">
        <v>1</v>
      </c>
      <c r="C43" s="8" t="s">
        <v>85</v>
      </c>
      <c r="D43" s="8" t="s">
        <v>4</v>
      </c>
      <c r="E43" s="8" t="s">
        <v>45</v>
      </c>
      <c r="F43" s="8" t="s">
        <v>51</v>
      </c>
      <c r="J43" s="6"/>
      <c r="K43" s="6"/>
    </row>
    <row r="44" spans="1:11" x14ac:dyDescent="0.3">
      <c r="A44" s="11">
        <v>1</v>
      </c>
      <c r="B44" s="8">
        <v>1</v>
      </c>
      <c r="C44" s="8" t="s">
        <v>85</v>
      </c>
      <c r="D44" s="8" t="s">
        <v>44</v>
      </c>
      <c r="E44" s="8" t="s">
        <v>13</v>
      </c>
      <c r="F44" s="8" t="s">
        <v>51</v>
      </c>
      <c r="J44" s="6"/>
      <c r="K44" s="6"/>
    </row>
    <row r="45" spans="1:11" x14ac:dyDescent="0.3">
      <c r="A45" s="11">
        <v>1</v>
      </c>
      <c r="B45" s="18">
        <v>1</v>
      </c>
      <c r="C45" s="18" t="s">
        <v>85</v>
      </c>
      <c r="D45" s="12" t="s">
        <v>33</v>
      </c>
      <c r="E45" s="8" t="s">
        <v>46</v>
      </c>
      <c r="F45" s="8" t="s">
        <v>78</v>
      </c>
      <c r="J45" s="6"/>
      <c r="K45" s="6"/>
    </row>
    <row r="46" spans="1:11" x14ac:dyDescent="0.3">
      <c r="A46" s="11">
        <v>1</v>
      </c>
      <c r="B46" s="18">
        <v>2</v>
      </c>
      <c r="C46" s="17" t="s">
        <v>84</v>
      </c>
      <c r="D46" s="12" t="s">
        <v>33</v>
      </c>
      <c r="E46" s="8" t="s">
        <v>46</v>
      </c>
      <c r="F46" s="8" t="s">
        <v>73</v>
      </c>
      <c r="J46" s="6"/>
      <c r="K46" s="6"/>
    </row>
    <row r="47" spans="1:11" x14ac:dyDescent="0.3">
      <c r="A47" s="11">
        <v>1</v>
      </c>
      <c r="B47" s="8">
        <v>1</v>
      </c>
      <c r="C47" s="8" t="s">
        <v>85</v>
      </c>
      <c r="D47" s="8" t="s">
        <v>4</v>
      </c>
      <c r="E47" s="8" t="s">
        <v>45</v>
      </c>
      <c r="F47" s="8" t="s">
        <v>53</v>
      </c>
      <c r="J47" s="6"/>
      <c r="K47" s="6"/>
    </row>
    <row r="48" spans="1:11" x14ac:dyDescent="0.3">
      <c r="A48" s="11">
        <v>1</v>
      </c>
      <c r="B48" s="8">
        <v>2</v>
      </c>
      <c r="C48" s="19" t="s">
        <v>84</v>
      </c>
      <c r="D48" s="8" t="s">
        <v>44</v>
      </c>
      <c r="E48" s="8" t="s">
        <v>14</v>
      </c>
      <c r="F48" s="8" t="s">
        <v>53</v>
      </c>
      <c r="J48" s="6"/>
      <c r="K48" s="6"/>
    </row>
    <row r="49" spans="1:11" x14ac:dyDescent="0.3">
      <c r="A49" s="11">
        <v>1</v>
      </c>
      <c r="B49" s="18">
        <v>1</v>
      </c>
      <c r="C49" s="18" t="s">
        <v>85</v>
      </c>
      <c r="D49" s="12" t="s">
        <v>33</v>
      </c>
      <c r="E49" s="8" t="s">
        <v>46</v>
      </c>
      <c r="F49" s="8" t="s">
        <v>74</v>
      </c>
      <c r="J49" s="6"/>
      <c r="K49" s="6"/>
    </row>
    <row r="50" spans="1:11" x14ac:dyDescent="0.3">
      <c r="A50" s="11">
        <v>1</v>
      </c>
      <c r="B50" s="18">
        <v>2</v>
      </c>
      <c r="C50" s="17" t="s">
        <v>84</v>
      </c>
      <c r="D50" s="12" t="s">
        <v>33</v>
      </c>
      <c r="E50" s="8" t="s">
        <v>46</v>
      </c>
      <c r="F50" s="8" t="s">
        <v>75</v>
      </c>
      <c r="J50" s="6"/>
      <c r="K50" s="6"/>
    </row>
    <row r="51" spans="1:11" x14ac:dyDescent="0.3">
      <c r="A51" s="11">
        <v>1</v>
      </c>
      <c r="B51" s="11">
        <v>2</v>
      </c>
      <c r="C51" s="11" t="s">
        <v>84</v>
      </c>
      <c r="D51" s="8" t="s">
        <v>4</v>
      </c>
      <c r="E51" s="8" t="s">
        <v>45</v>
      </c>
      <c r="F51" s="8" t="s">
        <v>53</v>
      </c>
      <c r="J51" s="6"/>
      <c r="K51" s="6"/>
    </row>
    <row r="52" spans="1:11" x14ac:dyDescent="0.3">
      <c r="A52" s="11">
        <v>1</v>
      </c>
      <c r="B52" s="11">
        <v>2</v>
      </c>
      <c r="C52" s="11" t="s">
        <v>84</v>
      </c>
      <c r="D52" s="8" t="s">
        <v>44</v>
      </c>
      <c r="E52" s="8" t="s">
        <v>13</v>
      </c>
      <c r="F52" s="8" t="s">
        <v>53</v>
      </c>
      <c r="K52" s="6"/>
    </row>
    <row r="53" spans="1:11" x14ac:dyDescent="0.3">
      <c r="A53" s="11">
        <v>1</v>
      </c>
      <c r="B53" s="18">
        <v>1</v>
      </c>
      <c r="C53" s="18" t="s">
        <v>85</v>
      </c>
      <c r="D53" s="12" t="s">
        <v>33</v>
      </c>
      <c r="E53" s="8" t="s">
        <v>46</v>
      </c>
      <c r="F53" s="8" t="s">
        <v>73</v>
      </c>
      <c r="K53" s="6"/>
    </row>
    <row r="54" spans="1:11" x14ac:dyDescent="0.3">
      <c r="A54" s="11">
        <v>1</v>
      </c>
      <c r="B54" s="18">
        <v>1</v>
      </c>
      <c r="C54" s="18" t="s">
        <v>85</v>
      </c>
      <c r="D54" s="12" t="s">
        <v>33</v>
      </c>
      <c r="E54" s="8" t="s">
        <v>46</v>
      </c>
      <c r="F54" s="8" t="s">
        <v>77</v>
      </c>
      <c r="K54" s="6"/>
    </row>
    <row r="55" spans="1:11" x14ac:dyDescent="0.3">
      <c r="A55" s="11">
        <v>1</v>
      </c>
      <c r="B55" s="11">
        <v>2</v>
      </c>
      <c r="C55" s="11" t="s">
        <v>84</v>
      </c>
      <c r="D55" s="8" t="s">
        <v>4</v>
      </c>
      <c r="E55" s="8" t="s">
        <v>45</v>
      </c>
      <c r="F55" s="8" t="s">
        <v>52</v>
      </c>
      <c r="K55" s="6"/>
    </row>
    <row r="56" spans="1:11" x14ac:dyDescent="0.3">
      <c r="A56" s="11">
        <v>1</v>
      </c>
      <c r="B56" s="11">
        <v>2</v>
      </c>
      <c r="C56" s="11" t="s">
        <v>84</v>
      </c>
      <c r="D56" s="8" t="s">
        <v>44</v>
      </c>
      <c r="E56" s="8" t="s">
        <v>13</v>
      </c>
      <c r="F56" s="8" t="s">
        <v>52</v>
      </c>
      <c r="K56" s="6"/>
    </row>
    <row r="57" spans="1:11" x14ac:dyDescent="0.3">
      <c r="A57" s="11">
        <v>1</v>
      </c>
      <c r="B57" s="11">
        <v>2</v>
      </c>
      <c r="C57" s="11" t="s">
        <v>84</v>
      </c>
      <c r="D57" s="8" t="s">
        <v>4</v>
      </c>
      <c r="E57" s="8" t="s">
        <v>45</v>
      </c>
      <c r="F57" s="8" t="s">
        <v>54</v>
      </c>
      <c r="K57" s="6"/>
    </row>
    <row r="58" spans="1:11" x14ac:dyDescent="0.3">
      <c r="A58" s="11">
        <v>1</v>
      </c>
      <c r="B58" s="11">
        <v>1</v>
      </c>
      <c r="C58" s="16" t="s">
        <v>85</v>
      </c>
      <c r="D58" s="8" t="s">
        <v>44</v>
      </c>
      <c r="E58" s="8" t="s">
        <v>14</v>
      </c>
      <c r="F58" s="8" t="s">
        <v>54</v>
      </c>
      <c r="K58" s="6"/>
    </row>
    <row r="59" spans="1:11" x14ac:dyDescent="0.3">
      <c r="A59" s="11">
        <v>1</v>
      </c>
      <c r="B59" s="18">
        <v>2</v>
      </c>
      <c r="C59" s="18" t="s">
        <v>84</v>
      </c>
      <c r="D59" s="12" t="s">
        <v>33</v>
      </c>
      <c r="E59" s="8" t="s">
        <v>46</v>
      </c>
      <c r="F59" s="8" t="s">
        <v>74</v>
      </c>
      <c r="K59" s="6"/>
    </row>
    <row r="60" spans="1:11" x14ac:dyDescent="0.3">
      <c r="A60" s="11">
        <v>1</v>
      </c>
      <c r="B60" s="11">
        <v>1</v>
      </c>
      <c r="C60" s="16" t="s">
        <v>85</v>
      </c>
      <c r="D60" s="8" t="s">
        <v>4</v>
      </c>
      <c r="E60" s="8" t="s">
        <v>45</v>
      </c>
      <c r="F60" s="8" t="s">
        <v>47</v>
      </c>
      <c r="K60" s="6"/>
    </row>
    <row r="61" spans="1:11" x14ac:dyDescent="0.3">
      <c r="A61" s="11">
        <v>1</v>
      </c>
      <c r="B61" s="11">
        <v>2</v>
      </c>
      <c r="C61" s="11" t="s">
        <v>84</v>
      </c>
      <c r="D61" s="8" t="s">
        <v>44</v>
      </c>
      <c r="E61" s="8" t="s">
        <v>14</v>
      </c>
      <c r="F61" s="8" t="s">
        <v>47</v>
      </c>
      <c r="K61" s="6"/>
    </row>
    <row r="62" spans="1:11" x14ac:dyDescent="0.3">
      <c r="A62" s="11">
        <v>1</v>
      </c>
      <c r="B62" s="11">
        <v>2</v>
      </c>
      <c r="C62" s="16" t="s">
        <v>84</v>
      </c>
      <c r="D62" s="8" t="s">
        <v>4</v>
      </c>
      <c r="E62" s="8" t="s">
        <v>45</v>
      </c>
      <c r="F62" s="8" t="s">
        <v>50</v>
      </c>
      <c r="K62" s="6"/>
    </row>
    <row r="63" spans="1:11" x14ac:dyDescent="0.3">
      <c r="A63" s="11">
        <v>1</v>
      </c>
      <c r="B63" s="11">
        <v>1</v>
      </c>
      <c r="C63" s="11" t="s">
        <v>85</v>
      </c>
      <c r="D63" s="8" t="s">
        <v>44</v>
      </c>
      <c r="E63" s="8" t="s">
        <v>14</v>
      </c>
      <c r="F63" s="8" t="s">
        <v>50</v>
      </c>
      <c r="K63" s="6"/>
    </row>
    <row r="64" spans="1:11" x14ac:dyDescent="0.3">
      <c r="A64" s="11">
        <v>1</v>
      </c>
      <c r="B64" s="18">
        <v>1</v>
      </c>
      <c r="C64" s="17" t="s">
        <v>85</v>
      </c>
      <c r="D64" s="12" t="s">
        <v>33</v>
      </c>
      <c r="E64" s="8" t="s">
        <v>46</v>
      </c>
      <c r="F64" s="8" t="s">
        <v>78</v>
      </c>
      <c r="K64" s="6"/>
    </row>
    <row r="65" spans="1:11" x14ac:dyDescent="0.3">
      <c r="A65" s="11">
        <v>1</v>
      </c>
      <c r="B65" s="18">
        <v>2</v>
      </c>
      <c r="C65" s="18" t="s">
        <v>84</v>
      </c>
      <c r="D65" s="12" t="s">
        <v>33</v>
      </c>
      <c r="E65" s="8" t="s">
        <v>46</v>
      </c>
      <c r="F65" s="8" t="s">
        <v>71</v>
      </c>
      <c r="K65" s="6"/>
    </row>
    <row r="66" spans="1:11" x14ac:dyDescent="0.3">
      <c r="A66" s="11">
        <v>1</v>
      </c>
      <c r="B66" s="11">
        <v>1</v>
      </c>
      <c r="C66" s="16" t="s">
        <v>85</v>
      </c>
      <c r="D66" s="8" t="s">
        <v>4</v>
      </c>
      <c r="E66" s="8" t="s">
        <v>45</v>
      </c>
      <c r="F66" s="8" t="s">
        <v>48</v>
      </c>
      <c r="K66" s="6"/>
    </row>
    <row r="67" spans="1:11" x14ac:dyDescent="0.3">
      <c r="A67" s="11">
        <v>1</v>
      </c>
      <c r="B67" s="11">
        <v>1</v>
      </c>
      <c r="C67" s="16" t="s">
        <v>85</v>
      </c>
      <c r="D67" s="8" t="s">
        <v>44</v>
      </c>
      <c r="E67" s="8" t="s">
        <v>13</v>
      </c>
      <c r="F67" s="8" t="s">
        <v>48</v>
      </c>
    </row>
    <row r="68" spans="1:11" x14ac:dyDescent="0.3">
      <c r="A68" s="11">
        <v>1</v>
      </c>
      <c r="B68" s="18">
        <v>1</v>
      </c>
      <c r="C68" s="17" t="s">
        <v>85</v>
      </c>
      <c r="D68" s="12" t="s">
        <v>33</v>
      </c>
      <c r="E68" s="8" t="s">
        <v>46</v>
      </c>
      <c r="F68" s="8" t="s">
        <v>76</v>
      </c>
    </row>
    <row r="69" spans="1:11" x14ac:dyDescent="0.3">
      <c r="A69" s="11">
        <v>1</v>
      </c>
      <c r="B69" s="18">
        <v>2</v>
      </c>
      <c r="C69" s="18" t="s">
        <v>84</v>
      </c>
      <c r="D69" s="12" t="s">
        <v>33</v>
      </c>
      <c r="E69" s="8" t="s">
        <v>46</v>
      </c>
      <c r="F69" s="8" t="s">
        <v>72</v>
      </c>
    </row>
    <row r="70" spans="1:11" x14ac:dyDescent="0.3">
      <c r="A70" s="11">
        <v>1</v>
      </c>
      <c r="B70" s="11">
        <v>1</v>
      </c>
      <c r="C70" s="16" t="s">
        <v>85</v>
      </c>
      <c r="D70" s="8" t="s">
        <v>4</v>
      </c>
      <c r="E70" s="8" t="s">
        <v>45</v>
      </c>
      <c r="F70" s="8" t="s">
        <v>49</v>
      </c>
    </row>
    <row r="71" spans="1:11" x14ac:dyDescent="0.3">
      <c r="A71" s="11">
        <v>1</v>
      </c>
      <c r="B71" s="11">
        <v>1</v>
      </c>
      <c r="C71" s="16" t="s">
        <v>85</v>
      </c>
      <c r="D71" s="8" t="s">
        <v>44</v>
      </c>
      <c r="E71" s="8" t="s">
        <v>13</v>
      </c>
      <c r="F71" s="8" t="s">
        <v>49</v>
      </c>
    </row>
    <row r="72" spans="1:11" x14ac:dyDescent="0.3">
      <c r="A72" s="11">
        <v>1</v>
      </c>
      <c r="B72" s="11">
        <v>1</v>
      </c>
      <c r="C72" s="16" t="s">
        <v>85</v>
      </c>
      <c r="D72" s="8" t="s">
        <v>4</v>
      </c>
      <c r="E72" s="8" t="s">
        <v>45</v>
      </c>
      <c r="F72" s="8" t="s">
        <v>51</v>
      </c>
    </row>
    <row r="73" spans="1:11" x14ac:dyDescent="0.3">
      <c r="A73" s="11">
        <v>1</v>
      </c>
      <c r="B73" s="11">
        <v>2</v>
      </c>
      <c r="C73" s="27" t="s">
        <v>84</v>
      </c>
      <c r="D73" s="8" t="s">
        <v>44</v>
      </c>
      <c r="E73" s="8" t="s">
        <v>14</v>
      </c>
      <c r="F73" s="8" t="s">
        <v>51</v>
      </c>
    </row>
    <row r="74" spans="1:11" x14ac:dyDescent="0.3">
      <c r="A74" s="11">
        <v>1</v>
      </c>
      <c r="B74" s="18">
        <v>2</v>
      </c>
      <c r="C74" s="28" t="s">
        <v>84</v>
      </c>
      <c r="D74" s="12" t="s">
        <v>33</v>
      </c>
      <c r="E74" s="8" t="s">
        <v>46</v>
      </c>
      <c r="F74" s="8" t="s">
        <v>73</v>
      </c>
    </row>
    <row r="75" spans="1:11" x14ac:dyDescent="0.3">
      <c r="A75" s="11">
        <v>1</v>
      </c>
      <c r="B75" s="8">
        <v>2</v>
      </c>
      <c r="C75" s="29" t="s">
        <v>84</v>
      </c>
      <c r="D75" s="8" t="s">
        <v>4</v>
      </c>
      <c r="E75" s="8" t="s">
        <v>45</v>
      </c>
      <c r="F75" s="8" t="s">
        <v>51</v>
      </c>
    </row>
    <row r="76" spans="1:11" x14ac:dyDescent="0.3">
      <c r="A76" s="11">
        <v>1</v>
      </c>
      <c r="B76" s="8">
        <v>2</v>
      </c>
      <c r="C76" s="26" t="s">
        <v>84</v>
      </c>
      <c r="D76" s="8" t="s">
        <v>44</v>
      </c>
      <c r="E76" s="8" t="s">
        <v>13</v>
      </c>
      <c r="F76" s="8" t="s">
        <v>51</v>
      </c>
      <c r="K76" s="6"/>
    </row>
    <row r="77" spans="1:11" x14ac:dyDescent="0.3">
      <c r="A77" s="11">
        <v>1</v>
      </c>
      <c r="B77" s="18">
        <v>1</v>
      </c>
      <c r="C77" s="18" t="s">
        <v>85</v>
      </c>
      <c r="D77" s="12" t="s">
        <v>33</v>
      </c>
      <c r="E77" s="8" t="s">
        <v>46</v>
      </c>
      <c r="F77" s="8" t="s">
        <v>76</v>
      </c>
      <c r="K77" s="6"/>
    </row>
    <row r="78" spans="1:11" x14ac:dyDescent="0.3">
      <c r="A78" s="11">
        <v>1</v>
      </c>
      <c r="B78" s="18">
        <v>2</v>
      </c>
      <c r="C78" s="17" t="s">
        <v>84</v>
      </c>
      <c r="D78" s="12" t="s">
        <v>33</v>
      </c>
      <c r="E78" s="8" t="s">
        <v>46</v>
      </c>
      <c r="F78" s="8" t="s">
        <v>74</v>
      </c>
      <c r="K78" s="6"/>
    </row>
    <row r="79" spans="1:11" x14ac:dyDescent="0.3">
      <c r="A79" s="11">
        <v>1</v>
      </c>
      <c r="B79" s="18">
        <v>1</v>
      </c>
      <c r="C79" s="18" t="s">
        <v>85</v>
      </c>
      <c r="D79" s="12" t="s">
        <v>33</v>
      </c>
      <c r="E79" s="8" t="s">
        <v>46</v>
      </c>
      <c r="F79" s="8" t="s">
        <v>78</v>
      </c>
      <c r="K79" s="6"/>
    </row>
    <row r="80" spans="1:11" x14ac:dyDescent="0.3">
      <c r="A80" s="11">
        <v>1</v>
      </c>
      <c r="B80" s="8">
        <v>2</v>
      </c>
      <c r="C80" s="19" t="s">
        <v>84</v>
      </c>
      <c r="D80" s="8" t="s">
        <v>4</v>
      </c>
      <c r="E80" s="8" t="s">
        <v>45</v>
      </c>
      <c r="F80" s="8" t="s">
        <v>54</v>
      </c>
      <c r="J80" s="6"/>
      <c r="K80" s="6"/>
    </row>
    <row r="81" spans="1:11" x14ac:dyDescent="0.3">
      <c r="A81" s="11">
        <v>1</v>
      </c>
      <c r="B81" s="8">
        <v>2</v>
      </c>
      <c r="C81" s="19" t="s">
        <v>84</v>
      </c>
      <c r="D81" s="8" t="s">
        <v>44</v>
      </c>
      <c r="E81" s="8" t="s">
        <v>13</v>
      </c>
      <c r="F81" s="8" t="s">
        <v>54</v>
      </c>
      <c r="J81" s="6"/>
      <c r="K81" s="6"/>
    </row>
    <row r="82" spans="1:11" x14ac:dyDescent="0.3">
      <c r="A82" s="11">
        <v>1</v>
      </c>
      <c r="B82" s="8">
        <v>2</v>
      </c>
      <c r="C82" s="19" t="s">
        <v>84</v>
      </c>
      <c r="D82" s="8" t="s">
        <v>4</v>
      </c>
      <c r="E82" s="8" t="s">
        <v>45</v>
      </c>
      <c r="F82" s="8" t="s">
        <v>53</v>
      </c>
      <c r="J82" s="6"/>
      <c r="K82" s="6"/>
    </row>
    <row r="83" spans="1:11" x14ac:dyDescent="0.3">
      <c r="A83" s="11">
        <v>1</v>
      </c>
      <c r="B83" s="8">
        <v>1</v>
      </c>
      <c r="C83" s="8" t="s">
        <v>85</v>
      </c>
      <c r="D83" s="8" t="s">
        <v>44</v>
      </c>
      <c r="E83" s="8" t="s">
        <v>14</v>
      </c>
      <c r="F83" s="8" t="s">
        <v>53</v>
      </c>
      <c r="J83" s="6"/>
      <c r="K83" s="6"/>
    </row>
    <row r="84" spans="1:11" x14ac:dyDescent="0.3">
      <c r="A84" s="11">
        <v>1</v>
      </c>
      <c r="B84" s="18">
        <v>1</v>
      </c>
      <c r="C84" s="17" t="s">
        <v>85</v>
      </c>
      <c r="D84" s="12" t="s">
        <v>33</v>
      </c>
      <c r="E84" s="8" t="s">
        <v>46</v>
      </c>
      <c r="F84" s="8" t="s">
        <v>75</v>
      </c>
      <c r="J84" s="6"/>
      <c r="K84" s="6"/>
    </row>
    <row r="85" spans="1:11" x14ac:dyDescent="0.3">
      <c r="A85" s="11">
        <v>1</v>
      </c>
      <c r="B85" s="8">
        <v>1</v>
      </c>
      <c r="C85" s="8" t="s">
        <v>85</v>
      </c>
      <c r="D85" s="8" t="s">
        <v>4</v>
      </c>
      <c r="E85" s="8" t="s">
        <v>45</v>
      </c>
      <c r="F85" s="8" t="s">
        <v>49</v>
      </c>
      <c r="J85" s="6"/>
      <c r="K85" s="6"/>
    </row>
    <row r="86" spans="1:11" x14ac:dyDescent="0.3">
      <c r="A86" s="11">
        <v>1</v>
      </c>
      <c r="B86" s="8">
        <v>2</v>
      </c>
      <c r="C86" s="19" t="s">
        <v>84</v>
      </c>
      <c r="D86" s="8" t="s">
        <v>44</v>
      </c>
      <c r="E86" s="8" t="s">
        <v>14</v>
      </c>
      <c r="F86" s="8" t="s">
        <v>49</v>
      </c>
      <c r="J86" s="6"/>
      <c r="K86" s="6"/>
    </row>
    <row r="87" spans="1:11" x14ac:dyDescent="0.3">
      <c r="A87" s="11">
        <v>1</v>
      </c>
      <c r="B87" s="8">
        <v>2</v>
      </c>
      <c r="C87" s="8" t="s">
        <v>84</v>
      </c>
      <c r="D87" s="8" t="s">
        <v>4</v>
      </c>
      <c r="E87" s="8" t="s">
        <v>45</v>
      </c>
      <c r="F87" s="8" t="s">
        <v>48</v>
      </c>
      <c r="J87" s="6"/>
      <c r="K87" s="6"/>
    </row>
    <row r="88" spans="1:11" x14ac:dyDescent="0.3">
      <c r="A88" s="11">
        <v>1</v>
      </c>
      <c r="B88" s="8">
        <v>1</v>
      </c>
      <c r="C88" s="19" t="s">
        <v>85</v>
      </c>
      <c r="D88" s="8" t="s">
        <v>44</v>
      </c>
      <c r="E88" s="8" t="s">
        <v>14</v>
      </c>
      <c r="F88" s="8" t="s">
        <v>48</v>
      </c>
      <c r="J88" s="6"/>
      <c r="K88" s="6"/>
    </row>
    <row r="89" spans="1:11" x14ac:dyDescent="0.3">
      <c r="A89" s="11">
        <v>1</v>
      </c>
      <c r="B89" s="18">
        <v>2</v>
      </c>
      <c r="C89" s="18" t="s">
        <v>84</v>
      </c>
      <c r="D89" s="12" t="s">
        <v>33</v>
      </c>
      <c r="E89" s="8" t="s">
        <v>46</v>
      </c>
      <c r="F89" s="8" t="s">
        <v>72</v>
      </c>
      <c r="J89" s="6"/>
      <c r="K89" s="6"/>
    </row>
    <row r="90" spans="1:11" x14ac:dyDescent="0.3">
      <c r="A90" s="11">
        <v>1</v>
      </c>
      <c r="B90" s="8">
        <v>1</v>
      </c>
      <c r="C90" s="19" t="s">
        <v>85</v>
      </c>
      <c r="D90" s="8" t="s">
        <v>4</v>
      </c>
      <c r="E90" s="8" t="s">
        <v>45</v>
      </c>
      <c r="F90" s="8" t="s">
        <v>50</v>
      </c>
      <c r="J90" s="6"/>
      <c r="K90" s="6"/>
    </row>
    <row r="91" spans="1:11" x14ac:dyDescent="0.3">
      <c r="A91" s="11">
        <v>1</v>
      </c>
      <c r="B91" s="8">
        <v>1</v>
      </c>
      <c r="C91" s="19" t="s">
        <v>85</v>
      </c>
      <c r="D91" s="8" t="s">
        <v>44</v>
      </c>
      <c r="E91" s="8" t="s">
        <v>13</v>
      </c>
      <c r="F91" s="8" t="s">
        <v>50</v>
      </c>
      <c r="J91" s="6"/>
      <c r="K91" s="6"/>
    </row>
    <row r="92" spans="1:11" x14ac:dyDescent="0.3">
      <c r="A92" s="11">
        <v>1</v>
      </c>
      <c r="B92" s="18">
        <v>1</v>
      </c>
      <c r="C92" s="17" t="s">
        <v>85</v>
      </c>
      <c r="D92" s="12" t="s">
        <v>33</v>
      </c>
      <c r="E92" s="8" t="s">
        <v>46</v>
      </c>
      <c r="F92" s="8" t="s">
        <v>71</v>
      </c>
      <c r="J92" s="6"/>
    </row>
    <row r="93" spans="1:11" x14ac:dyDescent="0.3">
      <c r="A93" s="11">
        <v>1</v>
      </c>
      <c r="B93" s="18">
        <v>2</v>
      </c>
      <c r="C93" s="18" t="s">
        <v>84</v>
      </c>
      <c r="D93" s="12" t="s">
        <v>33</v>
      </c>
      <c r="E93" s="8" t="s">
        <v>46</v>
      </c>
      <c r="F93" s="8" t="s">
        <v>77</v>
      </c>
      <c r="J93" s="6"/>
    </row>
    <row r="94" spans="1:11" x14ac:dyDescent="0.3">
      <c r="A94" s="11">
        <v>1</v>
      </c>
      <c r="B94" s="8">
        <v>1</v>
      </c>
      <c r="C94" s="19" t="s">
        <v>85</v>
      </c>
      <c r="D94" s="8" t="s">
        <v>4</v>
      </c>
      <c r="E94" s="8" t="s">
        <v>45</v>
      </c>
      <c r="F94" s="8" t="s">
        <v>47</v>
      </c>
      <c r="J94" s="6"/>
    </row>
    <row r="95" spans="1:11" x14ac:dyDescent="0.3">
      <c r="A95" s="11">
        <v>1</v>
      </c>
      <c r="B95" s="8">
        <v>1</v>
      </c>
      <c r="C95" s="19" t="s">
        <v>85</v>
      </c>
      <c r="D95" s="8" t="s">
        <v>44</v>
      </c>
      <c r="E95" s="8" t="s">
        <v>13</v>
      </c>
      <c r="F95" s="8" t="s">
        <v>47</v>
      </c>
      <c r="J95" s="6"/>
    </row>
    <row r="96" spans="1:11" x14ac:dyDescent="0.3">
      <c r="A96" s="11">
        <v>1</v>
      </c>
      <c r="B96" s="8">
        <v>1</v>
      </c>
      <c r="C96" s="19" t="s">
        <v>85</v>
      </c>
      <c r="D96" s="8" t="s">
        <v>4</v>
      </c>
      <c r="E96" s="8" t="s">
        <v>45</v>
      </c>
      <c r="F96" s="8" t="s">
        <v>52</v>
      </c>
    </row>
    <row r="97" spans="1:14" x14ac:dyDescent="0.3">
      <c r="A97" s="11">
        <v>1</v>
      </c>
      <c r="B97" s="8">
        <v>2</v>
      </c>
      <c r="C97" s="8" t="s">
        <v>84</v>
      </c>
      <c r="D97" s="8" t="s">
        <v>44</v>
      </c>
      <c r="E97" s="8" t="s">
        <v>14</v>
      </c>
      <c r="F97" s="8" t="s">
        <v>52</v>
      </c>
    </row>
    <row r="98" spans="1:14" x14ac:dyDescent="0.3">
      <c r="A98" s="8"/>
      <c r="B98" s="8" t="s">
        <v>29</v>
      </c>
      <c r="C98" s="8"/>
      <c r="D98" s="8"/>
      <c r="E98" s="8"/>
      <c r="F98" s="8"/>
      <c r="K98" s="6"/>
      <c r="L98" s="6"/>
      <c r="M98" s="6"/>
      <c r="N98" s="6"/>
    </row>
    <row r="99" spans="1:14" x14ac:dyDescent="0.3">
      <c r="A99" s="8">
        <v>2</v>
      </c>
      <c r="B99" s="13">
        <v>2</v>
      </c>
      <c r="C99" s="13" t="s">
        <v>84</v>
      </c>
      <c r="D99" s="13" t="s">
        <v>33</v>
      </c>
      <c r="E99" s="8" t="s">
        <v>46</v>
      </c>
      <c r="F99" s="8" t="s">
        <v>47</v>
      </c>
      <c r="H99" s="6"/>
    </row>
    <row r="100" spans="1:14" x14ac:dyDescent="0.3">
      <c r="A100" s="8">
        <v>2</v>
      </c>
      <c r="B100" s="11">
        <v>1</v>
      </c>
      <c r="C100" s="11" t="s">
        <v>85</v>
      </c>
      <c r="D100" s="8" t="s">
        <v>4</v>
      </c>
      <c r="E100" s="8" t="s">
        <v>45</v>
      </c>
      <c r="F100" s="8" t="s">
        <v>62</v>
      </c>
      <c r="H100" s="6"/>
    </row>
    <row r="101" spans="1:14" x14ac:dyDescent="0.3">
      <c r="A101" s="8">
        <v>2</v>
      </c>
      <c r="B101" s="11">
        <v>1</v>
      </c>
      <c r="C101" s="11" t="s">
        <v>85</v>
      </c>
      <c r="D101" s="8" t="s">
        <v>44</v>
      </c>
      <c r="E101" s="8" t="s">
        <v>13</v>
      </c>
      <c r="F101" s="8" t="s">
        <v>62</v>
      </c>
      <c r="H101" s="6"/>
    </row>
    <row r="102" spans="1:14" x14ac:dyDescent="0.3">
      <c r="A102" s="8">
        <v>2</v>
      </c>
      <c r="B102" s="13">
        <v>2</v>
      </c>
      <c r="C102" s="13" t="s">
        <v>84</v>
      </c>
      <c r="D102" s="13" t="s">
        <v>33</v>
      </c>
      <c r="E102" s="8" t="s">
        <v>46</v>
      </c>
      <c r="F102" s="8" t="s">
        <v>48</v>
      </c>
      <c r="H102" s="6"/>
    </row>
    <row r="103" spans="1:14" x14ac:dyDescent="0.3">
      <c r="A103" s="8">
        <v>2</v>
      </c>
      <c r="B103" s="13">
        <v>2</v>
      </c>
      <c r="C103" s="13" t="s">
        <v>84</v>
      </c>
      <c r="D103" s="13" t="s">
        <v>33</v>
      </c>
      <c r="E103" s="8" t="s">
        <v>46</v>
      </c>
      <c r="F103" s="8" t="s">
        <v>49</v>
      </c>
      <c r="H103" s="6"/>
    </row>
    <row r="104" spans="1:14" x14ac:dyDescent="0.3">
      <c r="A104" s="8">
        <v>2</v>
      </c>
      <c r="B104" s="11">
        <v>1</v>
      </c>
      <c r="C104" s="11" t="s">
        <v>85</v>
      </c>
      <c r="D104" s="8" t="s">
        <v>4</v>
      </c>
      <c r="E104" s="8" t="s">
        <v>45</v>
      </c>
      <c r="F104" s="8" t="s">
        <v>61</v>
      </c>
      <c r="H104" s="6"/>
    </row>
    <row r="105" spans="1:14" x14ac:dyDescent="0.3">
      <c r="A105" s="8">
        <v>2</v>
      </c>
      <c r="B105" s="11">
        <v>1</v>
      </c>
      <c r="C105" s="11" t="s">
        <v>85</v>
      </c>
      <c r="D105" s="8" t="s">
        <v>44</v>
      </c>
      <c r="E105" s="8" t="s">
        <v>13</v>
      </c>
      <c r="F105" s="8" t="s">
        <v>61</v>
      </c>
      <c r="H105" s="6"/>
    </row>
    <row r="106" spans="1:14" x14ac:dyDescent="0.3">
      <c r="A106" s="8">
        <v>2</v>
      </c>
      <c r="B106" s="11">
        <v>1</v>
      </c>
      <c r="C106" s="11" t="s">
        <v>85</v>
      </c>
      <c r="D106" s="8" t="s">
        <v>4</v>
      </c>
      <c r="E106" s="8" t="s">
        <v>45</v>
      </c>
      <c r="F106" s="8" t="s">
        <v>60</v>
      </c>
      <c r="H106" s="6"/>
    </row>
    <row r="107" spans="1:14" x14ac:dyDescent="0.3">
      <c r="A107" s="8">
        <v>2</v>
      </c>
      <c r="B107" s="11">
        <v>2</v>
      </c>
      <c r="C107" s="11" t="s">
        <v>84</v>
      </c>
      <c r="D107" s="8" t="s">
        <v>44</v>
      </c>
      <c r="E107" s="8" t="s">
        <v>14</v>
      </c>
      <c r="F107" s="8" t="s">
        <v>60</v>
      </c>
      <c r="H107" s="6"/>
    </row>
    <row r="108" spans="1:14" x14ac:dyDescent="0.3">
      <c r="A108" s="8">
        <v>2</v>
      </c>
      <c r="B108" s="11">
        <v>2</v>
      </c>
      <c r="C108" s="11" t="s">
        <v>84</v>
      </c>
      <c r="D108" s="8" t="s">
        <v>4</v>
      </c>
      <c r="E108" s="8" t="s">
        <v>45</v>
      </c>
      <c r="F108" s="8" t="s">
        <v>59</v>
      </c>
      <c r="H108" s="6"/>
    </row>
    <row r="109" spans="1:14" x14ac:dyDescent="0.3">
      <c r="A109" s="8">
        <v>2</v>
      </c>
      <c r="B109" s="11">
        <v>1</v>
      </c>
      <c r="C109" s="11" t="s">
        <v>85</v>
      </c>
      <c r="D109" s="8" t="s">
        <v>44</v>
      </c>
      <c r="E109" s="8" t="s">
        <v>14</v>
      </c>
      <c r="F109" s="8" t="s">
        <v>59</v>
      </c>
      <c r="H109" s="6"/>
    </row>
    <row r="110" spans="1:14" x14ac:dyDescent="0.3">
      <c r="A110" s="8">
        <v>2</v>
      </c>
      <c r="B110" s="11">
        <v>1</v>
      </c>
      <c r="C110" s="11" t="s">
        <v>85</v>
      </c>
      <c r="D110" s="8" t="s">
        <v>4</v>
      </c>
      <c r="E110" s="8" t="s">
        <v>45</v>
      </c>
      <c r="F110" s="8" t="s">
        <v>58</v>
      </c>
      <c r="H110" s="6"/>
    </row>
    <row r="111" spans="1:14" x14ac:dyDescent="0.3">
      <c r="A111" s="8">
        <v>2</v>
      </c>
      <c r="B111" s="11">
        <v>2</v>
      </c>
      <c r="C111" s="11" t="s">
        <v>84</v>
      </c>
      <c r="D111" s="8" t="s">
        <v>44</v>
      </c>
      <c r="E111" s="8" t="s">
        <v>14</v>
      </c>
      <c r="F111" s="8" t="s">
        <v>58</v>
      </c>
      <c r="H111" s="6"/>
    </row>
    <row r="112" spans="1:14" x14ac:dyDescent="0.3">
      <c r="A112" s="8">
        <v>2</v>
      </c>
      <c r="B112" s="13">
        <v>1</v>
      </c>
      <c r="C112" s="13" t="s">
        <v>85</v>
      </c>
      <c r="D112" s="13" t="s">
        <v>33</v>
      </c>
      <c r="E112" s="8" t="s">
        <v>46</v>
      </c>
      <c r="F112" s="8" t="s">
        <v>50</v>
      </c>
      <c r="H112" s="6"/>
    </row>
    <row r="113" spans="1:12" x14ac:dyDescent="0.3">
      <c r="A113" s="8">
        <v>2</v>
      </c>
      <c r="B113" s="13">
        <v>1</v>
      </c>
      <c r="C113" s="13" t="s">
        <v>85</v>
      </c>
      <c r="D113" s="13" t="s">
        <v>33</v>
      </c>
      <c r="E113" s="8" t="s">
        <v>46</v>
      </c>
      <c r="F113" s="8" t="s">
        <v>51</v>
      </c>
      <c r="H113" s="6"/>
    </row>
    <row r="114" spans="1:12" x14ac:dyDescent="0.3">
      <c r="A114" s="8">
        <v>2</v>
      </c>
      <c r="B114" s="11">
        <v>2</v>
      </c>
      <c r="C114" s="11" t="s">
        <v>84</v>
      </c>
      <c r="D114" s="8" t="s">
        <v>4</v>
      </c>
      <c r="E114" s="8" t="s">
        <v>45</v>
      </c>
      <c r="F114" s="8" t="s">
        <v>57</v>
      </c>
      <c r="H114" s="6"/>
    </row>
    <row r="115" spans="1:12" x14ac:dyDescent="0.3">
      <c r="A115" s="8">
        <v>2</v>
      </c>
      <c r="B115" s="11">
        <v>2</v>
      </c>
      <c r="C115" s="11" t="s">
        <v>84</v>
      </c>
      <c r="D115" s="8" t="s">
        <v>44</v>
      </c>
      <c r="E115" s="8" t="s">
        <v>13</v>
      </c>
      <c r="F115" s="8" t="s">
        <v>57</v>
      </c>
    </row>
    <row r="116" spans="1:12" x14ac:dyDescent="0.3">
      <c r="A116" s="8">
        <v>2</v>
      </c>
      <c r="B116" s="13">
        <v>1</v>
      </c>
      <c r="C116" s="13" t="s">
        <v>85</v>
      </c>
      <c r="D116" s="13" t="s">
        <v>33</v>
      </c>
      <c r="E116" s="8" t="s">
        <v>46</v>
      </c>
      <c r="F116" s="8" t="s">
        <v>52</v>
      </c>
    </row>
    <row r="117" spans="1:12" x14ac:dyDescent="0.3">
      <c r="A117" s="8">
        <v>2</v>
      </c>
      <c r="B117" s="11">
        <v>2</v>
      </c>
      <c r="C117" s="11" t="s">
        <v>84</v>
      </c>
      <c r="D117" s="8" t="s">
        <v>4</v>
      </c>
      <c r="E117" s="8" t="s">
        <v>45</v>
      </c>
      <c r="F117" s="8" t="s">
        <v>56</v>
      </c>
    </row>
    <row r="118" spans="1:12" x14ac:dyDescent="0.3">
      <c r="A118" s="8">
        <v>2</v>
      </c>
      <c r="B118" s="11">
        <v>2</v>
      </c>
      <c r="C118" s="11" t="s">
        <v>84</v>
      </c>
      <c r="D118" s="8" t="s">
        <v>44</v>
      </c>
      <c r="E118" s="8" t="s">
        <v>13</v>
      </c>
      <c r="F118" s="8" t="s">
        <v>56</v>
      </c>
    </row>
    <row r="119" spans="1:12" x14ac:dyDescent="0.3">
      <c r="A119" s="8">
        <v>2</v>
      </c>
      <c r="B119" s="13">
        <v>2</v>
      </c>
      <c r="C119" s="13" t="s">
        <v>84</v>
      </c>
      <c r="D119" s="13" t="s">
        <v>33</v>
      </c>
      <c r="E119" s="8" t="s">
        <v>46</v>
      </c>
      <c r="F119" s="8" t="s">
        <v>53</v>
      </c>
    </row>
    <row r="120" spans="1:12" x14ac:dyDescent="0.3">
      <c r="A120" s="8">
        <v>2</v>
      </c>
      <c r="B120" s="13">
        <v>1</v>
      </c>
      <c r="C120" s="13" t="s">
        <v>85</v>
      </c>
      <c r="D120" s="13" t="s">
        <v>33</v>
      </c>
      <c r="E120" s="8" t="s">
        <v>46</v>
      </c>
      <c r="F120" s="8" t="s">
        <v>54</v>
      </c>
    </row>
    <row r="121" spans="1:12" x14ac:dyDescent="0.3">
      <c r="A121" s="8">
        <v>2</v>
      </c>
      <c r="B121" s="11">
        <v>2</v>
      </c>
      <c r="C121" s="11" t="s">
        <v>84</v>
      </c>
      <c r="D121" s="8" t="s">
        <v>4</v>
      </c>
      <c r="E121" s="8" t="s">
        <v>45</v>
      </c>
      <c r="F121" s="8" t="s">
        <v>55</v>
      </c>
    </row>
    <row r="122" spans="1:12" x14ac:dyDescent="0.3">
      <c r="A122" s="8">
        <v>2</v>
      </c>
      <c r="B122" s="11">
        <v>1</v>
      </c>
      <c r="C122" s="11" t="s">
        <v>85</v>
      </c>
      <c r="D122" s="8" t="s">
        <v>44</v>
      </c>
      <c r="E122" s="8" t="s">
        <v>14</v>
      </c>
      <c r="F122" s="8" t="s">
        <v>55</v>
      </c>
    </row>
    <row r="123" spans="1:12" x14ac:dyDescent="0.3">
      <c r="A123" s="8">
        <v>2</v>
      </c>
      <c r="B123" s="8">
        <v>1</v>
      </c>
      <c r="C123" s="11" t="s">
        <v>85</v>
      </c>
      <c r="D123" s="8" t="s">
        <v>4</v>
      </c>
      <c r="E123" s="8" t="s">
        <v>45</v>
      </c>
      <c r="F123" s="8" t="s">
        <v>58</v>
      </c>
    </row>
    <row r="124" spans="1:12" x14ac:dyDescent="0.3">
      <c r="A124" s="8">
        <v>2</v>
      </c>
      <c r="B124" s="8">
        <v>1</v>
      </c>
      <c r="C124" s="11" t="s">
        <v>85</v>
      </c>
      <c r="D124" s="8" t="s">
        <v>44</v>
      </c>
      <c r="E124" s="8" t="s">
        <v>13</v>
      </c>
      <c r="F124" s="8" t="s">
        <v>58</v>
      </c>
    </row>
    <row r="125" spans="1:12" x14ac:dyDescent="0.3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50</v>
      </c>
    </row>
    <row r="126" spans="1:12" x14ac:dyDescent="0.3">
      <c r="A126" s="8">
        <v>2</v>
      </c>
      <c r="B126" s="8">
        <v>1</v>
      </c>
      <c r="C126" s="8" t="s">
        <v>85</v>
      </c>
      <c r="D126" s="8" t="s">
        <v>4</v>
      </c>
      <c r="E126" s="8" t="s">
        <v>45</v>
      </c>
      <c r="F126" s="8" t="s">
        <v>60</v>
      </c>
    </row>
    <row r="127" spans="1:12" x14ac:dyDescent="0.3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60</v>
      </c>
      <c r="L127" s="6"/>
    </row>
    <row r="128" spans="1:12" x14ac:dyDescent="0.3">
      <c r="A128" s="8">
        <v>2</v>
      </c>
      <c r="B128" s="8">
        <v>1</v>
      </c>
      <c r="C128" s="8" t="s">
        <v>85</v>
      </c>
      <c r="D128" s="8" t="s">
        <v>4</v>
      </c>
      <c r="E128" s="8" t="s">
        <v>45</v>
      </c>
      <c r="F128" s="8" t="s">
        <v>62</v>
      </c>
      <c r="L128" s="6"/>
    </row>
    <row r="129" spans="1:12" x14ac:dyDescent="0.3">
      <c r="A129" s="8">
        <v>2</v>
      </c>
      <c r="B129" s="8">
        <v>2</v>
      </c>
      <c r="C129" s="8" t="s">
        <v>84</v>
      </c>
      <c r="D129" s="8" t="s">
        <v>44</v>
      </c>
      <c r="E129" s="8" t="s">
        <v>14</v>
      </c>
      <c r="F129" s="8" t="s">
        <v>62</v>
      </c>
      <c r="I129" s="6"/>
      <c r="J129" s="6"/>
      <c r="K129" s="6"/>
      <c r="L129" s="6"/>
    </row>
    <row r="130" spans="1:12" x14ac:dyDescent="0.3">
      <c r="A130" s="8">
        <v>2</v>
      </c>
      <c r="B130" s="13">
        <v>2</v>
      </c>
      <c r="C130" s="13" t="s">
        <v>84</v>
      </c>
      <c r="D130" s="13" t="s">
        <v>33</v>
      </c>
      <c r="E130" s="8" t="s">
        <v>46</v>
      </c>
      <c r="F130" s="8" t="s">
        <v>49</v>
      </c>
      <c r="I130" s="6"/>
      <c r="J130" s="6"/>
      <c r="K130" s="6"/>
      <c r="L130" s="6"/>
    </row>
    <row r="131" spans="1:12" x14ac:dyDescent="0.3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56</v>
      </c>
      <c r="I131" s="6"/>
      <c r="J131" s="6"/>
      <c r="K131" s="6"/>
      <c r="L131" s="6"/>
    </row>
    <row r="132" spans="1:12" x14ac:dyDescent="0.3">
      <c r="A132" s="8">
        <v>2</v>
      </c>
      <c r="B132" s="8">
        <v>1</v>
      </c>
      <c r="C132" s="8" t="s">
        <v>85</v>
      </c>
      <c r="D132" s="8" t="s">
        <v>44</v>
      </c>
      <c r="E132" s="8" t="s">
        <v>14</v>
      </c>
      <c r="F132" s="8" t="s">
        <v>56</v>
      </c>
      <c r="I132" s="6"/>
      <c r="J132" s="6"/>
      <c r="K132" s="6"/>
      <c r="L132" s="6"/>
    </row>
    <row r="133" spans="1:12" x14ac:dyDescent="0.3">
      <c r="A133" s="8">
        <v>2</v>
      </c>
      <c r="B133" s="8">
        <v>1</v>
      </c>
      <c r="C133" s="8" t="s">
        <v>85</v>
      </c>
      <c r="D133" s="8" t="s">
        <v>4</v>
      </c>
      <c r="E133" s="8" t="s">
        <v>45</v>
      </c>
      <c r="F133" s="8" t="s">
        <v>61</v>
      </c>
      <c r="I133" s="6"/>
      <c r="J133" s="6"/>
      <c r="K133" s="6"/>
      <c r="L133" s="6"/>
    </row>
    <row r="134" spans="1:12" x14ac:dyDescent="0.3">
      <c r="A134" s="8">
        <v>2</v>
      </c>
      <c r="B134" s="8">
        <v>2</v>
      </c>
      <c r="C134" s="8" t="s">
        <v>84</v>
      </c>
      <c r="D134" s="8" t="s">
        <v>44</v>
      </c>
      <c r="E134" s="8" t="s">
        <v>14</v>
      </c>
      <c r="F134" s="8" t="s">
        <v>61</v>
      </c>
      <c r="I134" s="6"/>
      <c r="J134" s="6"/>
      <c r="K134" s="6"/>
      <c r="L134" s="6"/>
    </row>
    <row r="135" spans="1:12" x14ac:dyDescent="0.3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52</v>
      </c>
      <c r="I135" s="6"/>
      <c r="J135" s="6"/>
      <c r="K135" s="6"/>
      <c r="L135" s="6"/>
    </row>
    <row r="136" spans="1:12" x14ac:dyDescent="0.3">
      <c r="A136" s="8">
        <v>2</v>
      </c>
      <c r="B136" s="13">
        <v>1</v>
      </c>
      <c r="C136" s="13" t="s">
        <v>85</v>
      </c>
      <c r="D136" s="13" t="s">
        <v>33</v>
      </c>
      <c r="E136" s="8" t="s">
        <v>46</v>
      </c>
      <c r="F136" s="8" t="s">
        <v>48</v>
      </c>
      <c r="I136" s="6"/>
      <c r="J136" s="6"/>
      <c r="K136" s="6"/>
      <c r="L136" s="6"/>
    </row>
    <row r="137" spans="1:12" x14ac:dyDescent="0.3">
      <c r="A137" s="8">
        <v>2</v>
      </c>
      <c r="B137" s="8">
        <v>2</v>
      </c>
      <c r="C137" s="8" t="s">
        <v>84</v>
      </c>
      <c r="D137" s="8" t="s">
        <v>4</v>
      </c>
      <c r="E137" s="8" t="s">
        <v>45</v>
      </c>
      <c r="F137" s="8" t="s">
        <v>59</v>
      </c>
      <c r="I137" s="6"/>
      <c r="J137" s="6"/>
      <c r="K137" s="6"/>
      <c r="L137" s="6"/>
    </row>
    <row r="138" spans="1:12" x14ac:dyDescent="0.3">
      <c r="A138" s="8">
        <v>2</v>
      </c>
      <c r="B138" s="8">
        <v>2</v>
      </c>
      <c r="C138" s="8" t="s">
        <v>84</v>
      </c>
      <c r="D138" s="8" t="s">
        <v>44</v>
      </c>
      <c r="E138" s="8" t="s">
        <v>13</v>
      </c>
      <c r="F138" s="8" t="s">
        <v>59</v>
      </c>
      <c r="I138" s="6"/>
      <c r="J138" s="6"/>
      <c r="K138" s="6"/>
      <c r="L138" s="6"/>
    </row>
    <row r="139" spans="1:12" x14ac:dyDescent="0.3">
      <c r="A139" s="8">
        <v>2</v>
      </c>
      <c r="B139" s="13">
        <v>1</v>
      </c>
      <c r="C139" s="13" t="s">
        <v>85</v>
      </c>
      <c r="D139" s="13" t="s">
        <v>33</v>
      </c>
      <c r="E139" s="8" t="s">
        <v>46</v>
      </c>
      <c r="F139" s="8" t="s">
        <v>47</v>
      </c>
      <c r="I139" s="6"/>
      <c r="J139" s="6"/>
      <c r="K139" s="6"/>
      <c r="L139" s="6"/>
    </row>
    <row r="140" spans="1:12" x14ac:dyDescent="0.3">
      <c r="A140" s="8">
        <v>2</v>
      </c>
      <c r="B140" s="8">
        <v>2</v>
      </c>
      <c r="C140" s="8" t="s">
        <v>84</v>
      </c>
      <c r="D140" s="8" t="s">
        <v>4</v>
      </c>
      <c r="E140" s="8" t="s">
        <v>45</v>
      </c>
      <c r="F140" s="8" t="s">
        <v>55</v>
      </c>
      <c r="I140" s="6"/>
      <c r="J140" s="6"/>
      <c r="K140" s="6"/>
      <c r="L140" s="6"/>
    </row>
    <row r="141" spans="1:12" x14ac:dyDescent="0.3">
      <c r="A141" s="8">
        <v>2</v>
      </c>
      <c r="B141" s="8">
        <v>2</v>
      </c>
      <c r="C141" s="8" t="s">
        <v>84</v>
      </c>
      <c r="D141" s="8" t="s">
        <v>44</v>
      </c>
      <c r="E141" s="8" t="s">
        <v>13</v>
      </c>
      <c r="F141" s="8" t="s">
        <v>55</v>
      </c>
      <c r="I141" s="6"/>
      <c r="J141" s="6"/>
      <c r="K141" s="6"/>
      <c r="L141" s="6"/>
    </row>
    <row r="142" spans="1:12" x14ac:dyDescent="0.3">
      <c r="A142" s="8">
        <v>2</v>
      </c>
      <c r="B142" s="13">
        <v>2</v>
      </c>
      <c r="C142" s="13" t="s">
        <v>84</v>
      </c>
      <c r="D142" s="13" t="s">
        <v>33</v>
      </c>
      <c r="E142" s="8" t="s">
        <v>46</v>
      </c>
      <c r="F142" s="8" t="s">
        <v>54</v>
      </c>
      <c r="I142" s="6"/>
      <c r="J142" s="6"/>
      <c r="K142" s="6"/>
    </row>
    <row r="143" spans="1:12" x14ac:dyDescent="0.3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51</v>
      </c>
      <c r="I143" s="6"/>
      <c r="J143" s="6"/>
      <c r="K143" s="6"/>
    </row>
    <row r="144" spans="1:12" x14ac:dyDescent="0.3">
      <c r="A144" s="8">
        <v>2</v>
      </c>
      <c r="B144" s="13">
        <v>2</v>
      </c>
      <c r="C144" s="13" t="s">
        <v>84</v>
      </c>
      <c r="D144" s="13" t="s">
        <v>33</v>
      </c>
      <c r="E144" s="8" t="s">
        <v>46</v>
      </c>
      <c r="F144" s="8" t="s">
        <v>53</v>
      </c>
      <c r="I144" s="6"/>
      <c r="J144" s="6"/>
      <c r="K144" s="6"/>
    </row>
    <row r="145" spans="1:13" x14ac:dyDescent="0.3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57</v>
      </c>
    </row>
    <row r="146" spans="1:13" x14ac:dyDescent="0.3">
      <c r="A146" s="8">
        <v>2</v>
      </c>
      <c r="B146" s="8">
        <v>1</v>
      </c>
      <c r="C146" s="8" t="s">
        <v>85</v>
      </c>
      <c r="D146" s="8" t="s">
        <v>44</v>
      </c>
      <c r="E146" s="8" t="s">
        <v>14</v>
      </c>
      <c r="F146" s="8" t="s">
        <v>57</v>
      </c>
    </row>
    <row r="147" spans="1:13" x14ac:dyDescent="0.3">
      <c r="A147" s="8">
        <v>2</v>
      </c>
      <c r="B147" s="11">
        <v>1</v>
      </c>
      <c r="C147" s="8" t="s">
        <v>85</v>
      </c>
      <c r="D147" s="8" t="s">
        <v>4</v>
      </c>
      <c r="E147" s="8" t="s">
        <v>45</v>
      </c>
      <c r="F147" s="8" t="s">
        <v>56</v>
      </c>
    </row>
    <row r="148" spans="1:13" x14ac:dyDescent="0.3">
      <c r="A148" s="8">
        <v>2</v>
      </c>
      <c r="B148" s="11">
        <v>1</v>
      </c>
      <c r="C148" s="8" t="s">
        <v>85</v>
      </c>
      <c r="D148" s="8" t="s">
        <v>44</v>
      </c>
      <c r="E148" s="8" t="s">
        <v>13</v>
      </c>
      <c r="F148" s="8" t="s">
        <v>56</v>
      </c>
    </row>
    <row r="149" spans="1:13" x14ac:dyDescent="0.3">
      <c r="A149" s="8">
        <v>2</v>
      </c>
      <c r="B149" s="13">
        <v>2</v>
      </c>
      <c r="C149" s="13" t="s">
        <v>84</v>
      </c>
      <c r="D149" s="13" t="s">
        <v>33</v>
      </c>
      <c r="E149" s="8" t="s">
        <v>46</v>
      </c>
      <c r="F149" s="8" t="s">
        <v>53</v>
      </c>
    </row>
    <row r="150" spans="1:13" x14ac:dyDescent="0.3">
      <c r="A150" s="8">
        <v>2</v>
      </c>
      <c r="B150" s="13">
        <v>2</v>
      </c>
      <c r="C150" s="13" t="s">
        <v>84</v>
      </c>
      <c r="D150" s="13" t="s">
        <v>33</v>
      </c>
      <c r="E150" s="8" t="s">
        <v>46</v>
      </c>
      <c r="F150" s="8" t="s">
        <v>52</v>
      </c>
    </row>
    <row r="151" spans="1:13" x14ac:dyDescent="0.3">
      <c r="A151" s="8">
        <v>2</v>
      </c>
      <c r="B151" s="11">
        <v>1</v>
      </c>
      <c r="C151" s="11" t="s">
        <v>85</v>
      </c>
      <c r="D151" s="8" t="s">
        <v>4</v>
      </c>
      <c r="E151" s="8" t="s">
        <v>45</v>
      </c>
      <c r="F151" s="8" t="s">
        <v>57</v>
      </c>
    </row>
    <row r="152" spans="1:13" x14ac:dyDescent="0.3">
      <c r="A152" s="8">
        <v>2</v>
      </c>
      <c r="B152" s="11">
        <v>1</v>
      </c>
      <c r="C152" s="11" t="s">
        <v>85</v>
      </c>
      <c r="D152" s="8" t="s">
        <v>44</v>
      </c>
      <c r="E152" s="8" t="s">
        <v>13</v>
      </c>
      <c r="F152" s="8" t="s">
        <v>57</v>
      </c>
    </row>
    <row r="153" spans="1:13" x14ac:dyDescent="0.3">
      <c r="A153" s="8">
        <v>2</v>
      </c>
      <c r="B153" s="11">
        <v>1</v>
      </c>
      <c r="C153" s="11" t="s">
        <v>85</v>
      </c>
      <c r="D153" s="8" t="s">
        <v>4</v>
      </c>
      <c r="E153" s="8" t="s">
        <v>45</v>
      </c>
      <c r="F153" s="8" t="s">
        <v>59</v>
      </c>
      <c r="J153" s="6"/>
    </row>
    <row r="154" spans="1:13" x14ac:dyDescent="0.3">
      <c r="A154" s="8">
        <v>2</v>
      </c>
      <c r="B154" s="11">
        <v>2</v>
      </c>
      <c r="C154" s="11" t="s">
        <v>84</v>
      </c>
      <c r="D154" s="8" t="s">
        <v>44</v>
      </c>
      <c r="E154" s="8" t="s">
        <v>14</v>
      </c>
      <c r="F154" s="8" t="s">
        <v>59</v>
      </c>
      <c r="J154" s="6"/>
    </row>
    <row r="155" spans="1:13" x14ac:dyDescent="0.3">
      <c r="A155" s="8">
        <v>2</v>
      </c>
      <c r="B155" s="13">
        <v>1</v>
      </c>
      <c r="C155" s="13" t="s">
        <v>85</v>
      </c>
      <c r="D155" s="13" t="s">
        <v>33</v>
      </c>
      <c r="E155" s="8" t="s">
        <v>46</v>
      </c>
      <c r="F155" s="8" t="s">
        <v>54</v>
      </c>
      <c r="J155" s="6"/>
    </row>
    <row r="156" spans="1:13" x14ac:dyDescent="0.3">
      <c r="A156" s="8">
        <v>2</v>
      </c>
      <c r="B156" s="11">
        <v>2</v>
      </c>
      <c r="C156" s="11" t="s">
        <v>84</v>
      </c>
      <c r="D156" s="8" t="s">
        <v>4</v>
      </c>
      <c r="E156" s="8" t="s">
        <v>45</v>
      </c>
      <c r="F156" s="8" t="s">
        <v>58</v>
      </c>
      <c r="J156" s="6"/>
    </row>
    <row r="157" spans="1:13" x14ac:dyDescent="0.3">
      <c r="A157" s="8">
        <v>2</v>
      </c>
      <c r="B157" s="11">
        <v>1</v>
      </c>
      <c r="C157" s="11" t="s">
        <v>85</v>
      </c>
      <c r="D157" s="8" t="s">
        <v>44</v>
      </c>
      <c r="E157" s="8" t="s">
        <v>14</v>
      </c>
      <c r="F157" s="8" t="s">
        <v>58</v>
      </c>
      <c r="J157" s="6"/>
      <c r="M157" s="6"/>
    </row>
    <row r="158" spans="1:13" x14ac:dyDescent="0.3">
      <c r="A158" s="8">
        <v>2</v>
      </c>
      <c r="B158" s="11">
        <v>1</v>
      </c>
      <c r="C158" s="11" t="s">
        <v>85</v>
      </c>
      <c r="D158" s="8" t="s">
        <v>4</v>
      </c>
      <c r="E158" s="8" t="s">
        <v>45</v>
      </c>
      <c r="F158" s="8" t="s">
        <v>55</v>
      </c>
      <c r="J158" s="6"/>
      <c r="M158" s="6"/>
    </row>
    <row r="159" spans="1:13" x14ac:dyDescent="0.3">
      <c r="A159" s="8">
        <v>2</v>
      </c>
      <c r="B159" s="11">
        <v>2</v>
      </c>
      <c r="C159" s="11" t="s">
        <v>84</v>
      </c>
      <c r="D159" s="8" t="s">
        <v>44</v>
      </c>
      <c r="E159" s="8" t="s">
        <v>14</v>
      </c>
      <c r="F159" s="8" t="s">
        <v>55</v>
      </c>
      <c r="J159" s="6"/>
      <c r="M159" s="6"/>
    </row>
    <row r="160" spans="1:13" x14ac:dyDescent="0.3">
      <c r="A160" s="8">
        <v>2</v>
      </c>
      <c r="B160" s="13">
        <v>2</v>
      </c>
      <c r="C160" s="13" t="s">
        <v>84</v>
      </c>
      <c r="D160" s="13" t="s">
        <v>33</v>
      </c>
      <c r="E160" s="8" t="s">
        <v>46</v>
      </c>
      <c r="F160" s="8" t="s">
        <v>47</v>
      </c>
      <c r="J160" s="6"/>
      <c r="M160" s="6"/>
    </row>
    <row r="161" spans="1:13" x14ac:dyDescent="0.3">
      <c r="A161" s="8">
        <v>2</v>
      </c>
      <c r="B161" s="13">
        <v>1</v>
      </c>
      <c r="C161" s="13" t="s">
        <v>85</v>
      </c>
      <c r="D161" s="13" t="s">
        <v>33</v>
      </c>
      <c r="E161" s="8" t="s">
        <v>46</v>
      </c>
      <c r="F161" s="8" t="s">
        <v>50</v>
      </c>
      <c r="J161" s="6"/>
      <c r="M161" s="6"/>
    </row>
    <row r="162" spans="1:13" x14ac:dyDescent="0.3">
      <c r="A162" s="8">
        <v>2</v>
      </c>
      <c r="B162" s="11">
        <v>2</v>
      </c>
      <c r="C162" s="11" t="s">
        <v>84</v>
      </c>
      <c r="D162" s="8" t="s">
        <v>4</v>
      </c>
      <c r="E162" s="8" t="s">
        <v>45</v>
      </c>
      <c r="F162" s="8" t="s">
        <v>61</v>
      </c>
      <c r="J162" s="6"/>
      <c r="M162" s="6"/>
    </row>
    <row r="163" spans="1:13" x14ac:dyDescent="0.3">
      <c r="A163" s="8">
        <v>2</v>
      </c>
      <c r="B163" s="11">
        <v>2</v>
      </c>
      <c r="C163" s="11" t="s">
        <v>84</v>
      </c>
      <c r="D163" s="8" t="s">
        <v>44</v>
      </c>
      <c r="E163" s="8" t="s">
        <v>13</v>
      </c>
      <c r="F163" s="8" t="s">
        <v>61</v>
      </c>
      <c r="J163" s="6"/>
      <c r="M163" s="6"/>
    </row>
    <row r="164" spans="1:13" x14ac:dyDescent="0.3">
      <c r="A164" s="8">
        <v>2</v>
      </c>
      <c r="B164" s="13">
        <v>1</v>
      </c>
      <c r="C164" s="13" t="s">
        <v>85</v>
      </c>
      <c r="D164" s="13" t="s">
        <v>33</v>
      </c>
      <c r="E164" s="8" t="s">
        <v>46</v>
      </c>
      <c r="F164" s="8" t="s">
        <v>48</v>
      </c>
      <c r="J164" s="6"/>
      <c r="M164" s="6"/>
    </row>
    <row r="165" spans="1:13" x14ac:dyDescent="0.3">
      <c r="A165" s="8">
        <v>2</v>
      </c>
      <c r="B165" s="11">
        <v>2</v>
      </c>
      <c r="C165" s="11" t="s">
        <v>84</v>
      </c>
      <c r="D165" s="8" t="s">
        <v>4</v>
      </c>
      <c r="E165" s="8" t="s">
        <v>45</v>
      </c>
      <c r="F165" s="8" t="s">
        <v>62</v>
      </c>
      <c r="J165" s="6"/>
      <c r="M165" s="6"/>
    </row>
    <row r="166" spans="1:13" x14ac:dyDescent="0.3">
      <c r="A166" s="8">
        <v>2</v>
      </c>
      <c r="B166" s="11">
        <v>2</v>
      </c>
      <c r="C166" s="11" t="s">
        <v>84</v>
      </c>
      <c r="D166" s="8" t="s">
        <v>44</v>
      </c>
      <c r="E166" s="8" t="s">
        <v>13</v>
      </c>
      <c r="F166" s="8" t="s">
        <v>62</v>
      </c>
      <c r="J166" s="6"/>
      <c r="M166" s="6"/>
    </row>
    <row r="167" spans="1:13" x14ac:dyDescent="0.3">
      <c r="A167" s="8">
        <v>2</v>
      </c>
      <c r="B167" s="11">
        <v>2</v>
      </c>
      <c r="C167" s="11" t="s">
        <v>84</v>
      </c>
      <c r="D167" s="8" t="s">
        <v>4</v>
      </c>
      <c r="E167" s="8" t="s">
        <v>45</v>
      </c>
      <c r="F167" s="8" t="s">
        <v>60</v>
      </c>
      <c r="J167" s="6"/>
      <c r="M167" s="6"/>
    </row>
    <row r="168" spans="1:13" x14ac:dyDescent="0.3">
      <c r="A168" s="8">
        <v>2</v>
      </c>
      <c r="B168" s="11">
        <v>1</v>
      </c>
      <c r="C168" s="11" t="s">
        <v>85</v>
      </c>
      <c r="D168" s="8" t="s">
        <v>44</v>
      </c>
      <c r="E168" s="8" t="s">
        <v>14</v>
      </c>
      <c r="F168" s="8" t="s">
        <v>60</v>
      </c>
      <c r="J168" s="6"/>
      <c r="K168" s="6"/>
      <c r="M168" s="6"/>
    </row>
    <row r="169" spans="1:13" x14ac:dyDescent="0.3">
      <c r="A169" s="8">
        <v>2</v>
      </c>
      <c r="B169" s="13">
        <v>1</v>
      </c>
      <c r="C169" s="13" t="s">
        <v>85</v>
      </c>
      <c r="D169" s="13" t="s">
        <v>33</v>
      </c>
      <c r="E169" s="8" t="s">
        <v>46</v>
      </c>
      <c r="F169" s="8" t="s">
        <v>49</v>
      </c>
      <c r="M169" s="6"/>
    </row>
    <row r="170" spans="1:13" x14ac:dyDescent="0.3">
      <c r="A170" s="8">
        <v>2</v>
      </c>
      <c r="B170" s="13">
        <v>2</v>
      </c>
      <c r="C170" s="13" t="s">
        <v>84</v>
      </c>
      <c r="D170" s="13" t="s">
        <v>33</v>
      </c>
      <c r="E170" s="8" t="s">
        <v>46</v>
      </c>
      <c r="F170" s="8" t="s">
        <v>51</v>
      </c>
      <c r="M170" s="6"/>
    </row>
    <row r="171" spans="1:13" x14ac:dyDescent="0.3">
      <c r="A171" s="8">
        <v>2</v>
      </c>
      <c r="B171" s="8">
        <v>1</v>
      </c>
      <c r="C171" s="8" t="s">
        <v>85</v>
      </c>
      <c r="D171" s="8" t="s">
        <v>4</v>
      </c>
      <c r="E171" s="8" t="s">
        <v>45</v>
      </c>
      <c r="F171" s="8" t="s">
        <v>55</v>
      </c>
      <c r="M171" s="6"/>
    </row>
    <row r="172" spans="1:13" x14ac:dyDescent="0.3">
      <c r="A172" s="8">
        <v>2</v>
      </c>
      <c r="B172" s="8">
        <v>1</v>
      </c>
      <c r="C172" s="8" t="s">
        <v>85</v>
      </c>
      <c r="D172" s="8" t="s">
        <v>44</v>
      </c>
      <c r="E172" s="8" t="s">
        <v>13</v>
      </c>
      <c r="F172" s="8" t="s">
        <v>55</v>
      </c>
    </row>
    <row r="173" spans="1:13" x14ac:dyDescent="0.3">
      <c r="A173" s="8">
        <v>2</v>
      </c>
      <c r="B173" s="13">
        <v>2</v>
      </c>
      <c r="C173" s="13" t="s">
        <v>84</v>
      </c>
      <c r="D173" s="13" t="s">
        <v>33</v>
      </c>
      <c r="E173" s="8" t="s">
        <v>46</v>
      </c>
      <c r="F173" s="8" t="s">
        <v>51</v>
      </c>
      <c r="K173" s="6"/>
    </row>
    <row r="174" spans="1:13" x14ac:dyDescent="0.3">
      <c r="A174" s="8">
        <v>2</v>
      </c>
      <c r="B174" s="8">
        <v>1</v>
      </c>
      <c r="C174" s="29" t="s">
        <v>85</v>
      </c>
      <c r="D174" s="8" t="s">
        <v>4</v>
      </c>
      <c r="E174" s="8" t="s">
        <v>45</v>
      </c>
      <c r="F174" s="8" t="s">
        <v>59</v>
      </c>
      <c r="K174" s="6"/>
    </row>
    <row r="175" spans="1:13" x14ac:dyDescent="0.3">
      <c r="A175" s="8">
        <v>2</v>
      </c>
      <c r="B175" s="8">
        <v>1</v>
      </c>
      <c r="C175" s="29" t="s">
        <v>85</v>
      </c>
      <c r="D175" s="8" t="s">
        <v>44</v>
      </c>
      <c r="E175" s="8" t="s">
        <v>13</v>
      </c>
      <c r="F175" s="8" t="s">
        <v>59</v>
      </c>
      <c r="K175" s="6"/>
    </row>
    <row r="176" spans="1:13" x14ac:dyDescent="0.3">
      <c r="A176" s="8">
        <v>2</v>
      </c>
      <c r="B176" s="8">
        <v>1</v>
      </c>
      <c r="C176" s="29" t="s">
        <v>85</v>
      </c>
      <c r="D176" s="8" t="s">
        <v>4</v>
      </c>
      <c r="E176" s="8" t="s">
        <v>45</v>
      </c>
      <c r="F176" s="8" t="s">
        <v>57</v>
      </c>
      <c r="K176" s="6"/>
    </row>
    <row r="177" spans="1:11" x14ac:dyDescent="0.3">
      <c r="A177" s="8">
        <v>2</v>
      </c>
      <c r="B177" s="8">
        <v>1</v>
      </c>
      <c r="C177" s="29" t="s">
        <v>85</v>
      </c>
      <c r="D177" s="8" t="s">
        <v>44</v>
      </c>
      <c r="E177" s="8" t="s">
        <v>14</v>
      </c>
      <c r="F177" s="8" t="s">
        <v>57</v>
      </c>
      <c r="K177" s="6"/>
    </row>
    <row r="178" spans="1:11" x14ac:dyDescent="0.3">
      <c r="A178" s="8">
        <v>2</v>
      </c>
      <c r="B178" s="13">
        <v>2</v>
      </c>
      <c r="C178" s="13" t="s">
        <v>84</v>
      </c>
      <c r="D178" s="13" t="s">
        <v>33</v>
      </c>
      <c r="E178" s="8" t="s">
        <v>46</v>
      </c>
      <c r="F178" s="8" t="s">
        <v>54</v>
      </c>
      <c r="K178" s="6"/>
    </row>
    <row r="179" spans="1:11" x14ac:dyDescent="0.3">
      <c r="A179" s="8">
        <v>2</v>
      </c>
      <c r="B179" s="8">
        <v>2</v>
      </c>
      <c r="C179" s="8" t="s">
        <v>84</v>
      </c>
      <c r="D179" s="8" t="s">
        <v>4</v>
      </c>
      <c r="E179" s="8" t="s">
        <v>45</v>
      </c>
      <c r="F179" s="8" t="s">
        <v>61</v>
      </c>
      <c r="K179" s="6"/>
    </row>
    <row r="180" spans="1:11" x14ac:dyDescent="0.3">
      <c r="A180" s="8">
        <v>2</v>
      </c>
      <c r="B180" s="8">
        <v>1</v>
      </c>
      <c r="C180" s="8" t="s">
        <v>85</v>
      </c>
      <c r="D180" s="8" t="s">
        <v>44</v>
      </c>
      <c r="E180" s="8" t="s">
        <v>14</v>
      </c>
      <c r="F180" s="8" t="s">
        <v>61</v>
      </c>
      <c r="K180" s="6"/>
    </row>
    <row r="181" spans="1:11" x14ac:dyDescent="0.3">
      <c r="A181" s="8">
        <v>2</v>
      </c>
      <c r="B181" s="13">
        <v>1</v>
      </c>
      <c r="C181" s="13" t="s">
        <v>85</v>
      </c>
      <c r="D181" s="13" t="s">
        <v>33</v>
      </c>
      <c r="E181" s="8" t="s">
        <v>46</v>
      </c>
      <c r="F181" s="8" t="s">
        <v>53</v>
      </c>
      <c r="K181" s="6"/>
    </row>
    <row r="182" spans="1:11" x14ac:dyDescent="0.3">
      <c r="A182" s="8">
        <v>2</v>
      </c>
      <c r="B182" s="13">
        <v>2</v>
      </c>
      <c r="C182" s="13" t="s">
        <v>84</v>
      </c>
      <c r="D182" s="13" t="s">
        <v>33</v>
      </c>
      <c r="E182" s="8" t="s">
        <v>46</v>
      </c>
      <c r="F182" s="8" t="s">
        <v>49</v>
      </c>
      <c r="K182" s="6"/>
    </row>
    <row r="183" spans="1:11" x14ac:dyDescent="0.3">
      <c r="A183" s="8">
        <v>2</v>
      </c>
      <c r="B183" s="13">
        <v>1</v>
      </c>
      <c r="C183" s="13" t="s">
        <v>85</v>
      </c>
      <c r="D183" s="13" t="s">
        <v>33</v>
      </c>
      <c r="E183" s="8" t="s">
        <v>46</v>
      </c>
      <c r="F183" s="8" t="s">
        <v>48</v>
      </c>
      <c r="K183" s="6"/>
    </row>
    <row r="184" spans="1:11" x14ac:dyDescent="0.3">
      <c r="A184" s="8">
        <v>2</v>
      </c>
      <c r="B184" s="8">
        <v>1</v>
      </c>
      <c r="C184" s="8" t="s">
        <v>85</v>
      </c>
      <c r="D184" s="8" t="s">
        <v>4</v>
      </c>
      <c r="E184" s="8" t="s">
        <v>45</v>
      </c>
      <c r="F184" s="8" t="s">
        <v>56</v>
      </c>
      <c r="K184" s="6"/>
    </row>
    <row r="185" spans="1:11" x14ac:dyDescent="0.3">
      <c r="A185" s="8">
        <v>2</v>
      </c>
      <c r="B185" s="8">
        <v>2</v>
      </c>
      <c r="C185" s="8" t="s">
        <v>84</v>
      </c>
      <c r="D185" s="8" t="s">
        <v>44</v>
      </c>
      <c r="E185" s="8" t="s">
        <v>14</v>
      </c>
      <c r="F185" s="8" t="s">
        <v>56</v>
      </c>
      <c r="K185" s="6"/>
    </row>
    <row r="186" spans="1:11" x14ac:dyDescent="0.3">
      <c r="A186" s="8">
        <v>2</v>
      </c>
      <c r="B186" s="8">
        <v>2</v>
      </c>
      <c r="C186" s="8" t="s">
        <v>84</v>
      </c>
      <c r="D186" s="8" t="s">
        <v>4</v>
      </c>
      <c r="E186" s="8" t="s">
        <v>45</v>
      </c>
      <c r="F186" s="8" t="s">
        <v>60</v>
      </c>
      <c r="K186" s="6"/>
    </row>
    <row r="187" spans="1:11" x14ac:dyDescent="0.3">
      <c r="A187" s="8">
        <v>2</v>
      </c>
      <c r="B187" s="8">
        <v>2</v>
      </c>
      <c r="C187" s="8" t="s">
        <v>84</v>
      </c>
      <c r="D187" s="8" t="s">
        <v>44</v>
      </c>
      <c r="E187" s="8" t="s">
        <v>13</v>
      </c>
      <c r="F187" s="8" t="s">
        <v>60</v>
      </c>
      <c r="K187" s="6"/>
    </row>
    <row r="188" spans="1:11" x14ac:dyDescent="0.3">
      <c r="A188" s="8">
        <v>2</v>
      </c>
      <c r="B188" s="13">
        <v>1</v>
      </c>
      <c r="C188" s="13" t="s">
        <v>85</v>
      </c>
      <c r="D188" s="13" t="s">
        <v>33</v>
      </c>
      <c r="E188" s="8" t="s">
        <v>46</v>
      </c>
      <c r="F188" s="8" t="s">
        <v>50</v>
      </c>
      <c r="K188" s="6"/>
    </row>
    <row r="189" spans="1:11" x14ac:dyDescent="0.3">
      <c r="A189" s="8">
        <v>2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58</v>
      </c>
      <c r="K189" s="6"/>
    </row>
    <row r="190" spans="1:11" x14ac:dyDescent="0.3">
      <c r="A190" s="8">
        <v>2</v>
      </c>
      <c r="B190" s="8">
        <v>2</v>
      </c>
      <c r="C190" s="8" t="s">
        <v>84</v>
      </c>
      <c r="D190" s="8" t="s">
        <v>44</v>
      </c>
      <c r="E190" s="8" t="s">
        <v>13</v>
      </c>
      <c r="F190" s="8" t="s">
        <v>58</v>
      </c>
    </row>
    <row r="191" spans="1:11" x14ac:dyDescent="0.3">
      <c r="A191" s="8">
        <v>2</v>
      </c>
      <c r="B191" s="13">
        <v>1</v>
      </c>
      <c r="C191" s="13" t="s">
        <v>85</v>
      </c>
      <c r="D191" s="13" t="s">
        <v>33</v>
      </c>
      <c r="E191" s="8" t="s">
        <v>46</v>
      </c>
      <c r="F191" s="8" t="s">
        <v>47</v>
      </c>
    </row>
    <row r="192" spans="1:11" x14ac:dyDescent="0.3">
      <c r="A192" s="8">
        <v>2</v>
      </c>
      <c r="B192" s="13">
        <v>2</v>
      </c>
      <c r="C192" s="13" t="s">
        <v>84</v>
      </c>
      <c r="D192" s="13" t="s">
        <v>33</v>
      </c>
      <c r="E192" s="8" t="s">
        <v>46</v>
      </c>
      <c r="F192" s="8" t="s">
        <v>52</v>
      </c>
    </row>
    <row r="193" spans="1:8" x14ac:dyDescent="0.3">
      <c r="A193" s="8">
        <v>2</v>
      </c>
      <c r="B193" s="8">
        <v>2</v>
      </c>
      <c r="C193" s="8" t="s">
        <v>84</v>
      </c>
      <c r="D193" s="8" t="s">
        <v>4</v>
      </c>
      <c r="E193" s="8" t="s">
        <v>45</v>
      </c>
      <c r="F193" s="8" t="s">
        <v>62</v>
      </c>
    </row>
    <row r="194" spans="1:8" x14ac:dyDescent="0.3">
      <c r="A194" s="8">
        <v>2</v>
      </c>
      <c r="B194" s="8">
        <v>1</v>
      </c>
      <c r="C194" s="8" t="s">
        <v>85</v>
      </c>
      <c r="D194" s="8" t="s">
        <v>44</v>
      </c>
      <c r="E194" s="8" t="s">
        <v>14</v>
      </c>
      <c r="F194" s="8" t="s">
        <v>62</v>
      </c>
    </row>
    <row r="195" spans="1:8" x14ac:dyDescent="0.3">
      <c r="A195" s="8"/>
      <c r="B195" s="8" t="s">
        <v>29</v>
      </c>
      <c r="C195" s="8"/>
      <c r="D195" s="8"/>
      <c r="E195" s="8"/>
      <c r="F195" s="8"/>
    </row>
    <row r="196" spans="1:8" x14ac:dyDescent="0.3">
      <c r="A196" s="11">
        <v>3</v>
      </c>
      <c r="B196" s="11">
        <v>1</v>
      </c>
      <c r="C196" s="11" t="s">
        <v>85</v>
      </c>
      <c r="D196" s="8" t="s">
        <v>4</v>
      </c>
      <c r="E196" s="8" t="s">
        <v>45</v>
      </c>
      <c r="F196" s="8" t="s">
        <v>63</v>
      </c>
      <c r="H196" s="6"/>
    </row>
    <row r="197" spans="1:8" x14ac:dyDescent="0.3">
      <c r="A197" s="11">
        <v>3</v>
      </c>
      <c r="B197" s="11">
        <v>2</v>
      </c>
      <c r="C197" s="11" t="s">
        <v>84</v>
      </c>
      <c r="D197" s="8" t="s">
        <v>44</v>
      </c>
      <c r="E197" s="8" t="s">
        <v>14</v>
      </c>
      <c r="F197" s="8" t="s">
        <v>63</v>
      </c>
      <c r="H197" s="6"/>
    </row>
    <row r="198" spans="1:8" x14ac:dyDescent="0.3">
      <c r="A198" s="11">
        <v>3</v>
      </c>
      <c r="B198" s="11">
        <v>2</v>
      </c>
      <c r="C198" s="11" t="s">
        <v>84</v>
      </c>
      <c r="D198" s="8" t="s">
        <v>4</v>
      </c>
      <c r="E198" s="8" t="s">
        <v>45</v>
      </c>
      <c r="F198" s="8" t="s">
        <v>64</v>
      </c>
      <c r="H198" s="6"/>
    </row>
    <row r="199" spans="1:8" x14ac:dyDescent="0.3">
      <c r="A199" s="11">
        <v>3</v>
      </c>
      <c r="B199" s="11">
        <v>1</v>
      </c>
      <c r="C199" s="11" t="s">
        <v>85</v>
      </c>
      <c r="D199" s="8" t="s">
        <v>44</v>
      </c>
      <c r="E199" s="8" t="s">
        <v>14</v>
      </c>
      <c r="F199" s="8" t="s">
        <v>64</v>
      </c>
      <c r="H199" s="6"/>
    </row>
    <row r="200" spans="1:8" x14ac:dyDescent="0.3">
      <c r="A200" s="11">
        <v>3</v>
      </c>
      <c r="B200" s="14">
        <v>1</v>
      </c>
      <c r="C200" s="14" t="s">
        <v>85</v>
      </c>
      <c r="D200" s="14" t="s">
        <v>33</v>
      </c>
      <c r="E200" s="8" t="s">
        <v>46</v>
      </c>
      <c r="F200" s="8" t="s">
        <v>62</v>
      </c>
      <c r="H200" s="6"/>
    </row>
    <row r="201" spans="1:8" x14ac:dyDescent="0.3">
      <c r="A201" s="11">
        <v>3</v>
      </c>
      <c r="B201" s="11">
        <v>1</v>
      </c>
      <c r="C201" s="11" t="s">
        <v>85</v>
      </c>
      <c r="D201" s="8" t="s">
        <v>4</v>
      </c>
      <c r="E201" s="8" t="s">
        <v>45</v>
      </c>
      <c r="F201" s="8" t="s">
        <v>65</v>
      </c>
      <c r="H201" s="6"/>
    </row>
    <row r="202" spans="1:8" x14ac:dyDescent="0.3">
      <c r="A202" s="11">
        <v>3</v>
      </c>
      <c r="B202" s="11">
        <v>2</v>
      </c>
      <c r="C202" s="11" t="s">
        <v>84</v>
      </c>
      <c r="D202" s="8" t="s">
        <v>44</v>
      </c>
      <c r="E202" s="8" t="s">
        <v>14</v>
      </c>
      <c r="F202" s="8" t="s">
        <v>65</v>
      </c>
      <c r="H202" s="7"/>
    </row>
    <row r="203" spans="1:8" x14ac:dyDescent="0.3">
      <c r="A203" s="11">
        <v>3</v>
      </c>
      <c r="B203" s="14">
        <v>1</v>
      </c>
      <c r="C203" s="14" t="s">
        <v>85</v>
      </c>
      <c r="D203" s="14" t="s">
        <v>33</v>
      </c>
      <c r="E203" s="8" t="s">
        <v>46</v>
      </c>
      <c r="F203" s="8" t="s">
        <v>61</v>
      </c>
      <c r="H203" s="7"/>
    </row>
    <row r="204" spans="1:8" x14ac:dyDescent="0.3">
      <c r="A204" s="11">
        <v>3</v>
      </c>
      <c r="B204" s="11">
        <v>2</v>
      </c>
      <c r="C204" s="11" t="s">
        <v>84</v>
      </c>
      <c r="D204" s="8" t="s">
        <v>4</v>
      </c>
      <c r="E204" s="8" t="s">
        <v>45</v>
      </c>
      <c r="F204" s="8" t="s">
        <v>66</v>
      </c>
      <c r="H204" s="7"/>
    </row>
    <row r="205" spans="1:8" x14ac:dyDescent="0.3">
      <c r="A205" s="11">
        <v>3</v>
      </c>
      <c r="B205" s="11">
        <v>2</v>
      </c>
      <c r="C205" s="11" t="s">
        <v>84</v>
      </c>
      <c r="D205" s="8" t="s">
        <v>44</v>
      </c>
      <c r="E205" s="8" t="s">
        <v>13</v>
      </c>
      <c r="F205" s="8" t="s">
        <v>66</v>
      </c>
      <c r="H205" s="7"/>
    </row>
    <row r="206" spans="1:8" x14ac:dyDescent="0.3">
      <c r="A206" s="11">
        <v>3</v>
      </c>
      <c r="B206" s="14">
        <v>2</v>
      </c>
      <c r="C206" s="14" t="s">
        <v>84</v>
      </c>
      <c r="D206" s="14" t="s">
        <v>33</v>
      </c>
      <c r="E206" s="8" t="s">
        <v>46</v>
      </c>
      <c r="F206" s="8" t="s">
        <v>60</v>
      </c>
      <c r="H206" s="6"/>
    </row>
    <row r="207" spans="1:8" x14ac:dyDescent="0.3">
      <c r="A207" s="11">
        <v>3</v>
      </c>
      <c r="B207" s="14">
        <v>1</v>
      </c>
      <c r="C207" s="14" t="s">
        <v>85</v>
      </c>
      <c r="D207" s="14" t="s">
        <v>33</v>
      </c>
      <c r="E207" s="8" t="s">
        <v>46</v>
      </c>
      <c r="F207" s="8" t="s">
        <v>59</v>
      </c>
      <c r="H207" s="6"/>
    </row>
    <row r="208" spans="1:8" x14ac:dyDescent="0.3">
      <c r="A208" s="11">
        <v>3</v>
      </c>
      <c r="B208" s="14">
        <v>1</v>
      </c>
      <c r="C208" s="14" t="s">
        <v>85</v>
      </c>
      <c r="D208" s="14" t="s">
        <v>33</v>
      </c>
      <c r="E208" s="8" t="s">
        <v>46</v>
      </c>
      <c r="F208" s="8" t="s">
        <v>58</v>
      </c>
      <c r="H208" s="6"/>
    </row>
    <row r="209" spans="1:10" x14ac:dyDescent="0.3">
      <c r="A209" s="11">
        <v>3</v>
      </c>
      <c r="B209" s="11">
        <v>2</v>
      </c>
      <c r="C209" s="11" t="s">
        <v>84</v>
      </c>
      <c r="D209" s="8" t="s">
        <v>4</v>
      </c>
      <c r="E209" s="8" t="s">
        <v>45</v>
      </c>
      <c r="F209" s="8" t="s">
        <v>67</v>
      </c>
      <c r="H209" s="6"/>
    </row>
    <row r="210" spans="1:10" x14ac:dyDescent="0.3">
      <c r="A210" s="11">
        <v>3</v>
      </c>
      <c r="B210" s="11">
        <v>2</v>
      </c>
      <c r="C210" s="11" t="s">
        <v>84</v>
      </c>
      <c r="D210" s="8" t="s">
        <v>44</v>
      </c>
      <c r="E210" s="8" t="s">
        <v>13</v>
      </c>
      <c r="F210" s="8" t="s">
        <v>67</v>
      </c>
      <c r="H210" s="6"/>
    </row>
    <row r="211" spans="1:10" x14ac:dyDescent="0.3">
      <c r="A211" s="11">
        <v>3</v>
      </c>
      <c r="B211" s="11">
        <v>2</v>
      </c>
      <c r="C211" s="11" t="s">
        <v>84</v>
      </c>
      <c r="D211" s="8" t="s">
        <v>4</v>
      </c>
      <c r="E211" s="8" t="s">
        <v>45</v>
      </c>
      <c r="F211" s="8" t="s">
        <v>68</v>
      </c>
      <c r="H211" s="6"/>
    </row>
    <row r="212" spans="1:10" x14ac:dyDescent="0.3">
      <c r="A212" s="11">
        <v>3</v>
      </c>
      <c r="B212" s="11">
        <v>1</v>
      </c>
      <c r="C212" s="11" t="s">
        <v>85</v>
      </c>
      <c r="D212" s="8" t="s">
        <v>44</v>
      </c>
      <c r="E212" s="8" t="s">
        <v>14</v>
      </c>
      <c r="F212" s="8" t="s">
        <v>68</v>
      </c>
    </row>
    <row r="213" spans="1:10" x14ac:dyDescent="0.3">
      <c r="A213" s="11">
        <v>3</v>
      </c>
      <c r="B213" s="14">
        <v>2</v>
      </c>
      <c r="C213" s="14" t="s">
        <v>84</v>
      </c>
      <c r="D213" s="14" t="s">
        <v>33</v>
      </c>
      <c r="E213" s="8" t="s">
        <v>46</v>
      </c>
      <c r="F213" s="8" t="s">
        <v>57</v>
      </c>
    </row>
    <row r="214" spans="1:10" x14ac:dyDescent="0.3">
      <c r="A214" s="11">
        <v>3</v>
      </c>
      <c r="B214" s="11">
        <v>1</v>
      </c>
      <c r="C214" s="11" t="s">
        <v>85</v>
      </c>
      <c r="D214" s="8" t="s">
        <v>4</v>
      </c>
      <c r="E214" s="8" t="s">
        <v>45</v>
      </c>
      <c r="F214" s="8" t="s">
        <v>69</v>
      </c>
    </row>
    <row r="215" spans="1:10" x14ac:dyDescent="0.3">
      <c r="A215" s="11">
        <v>3</v>
      </c>
      <c r="B215" s="11">
        <v>1</v>
      </c>
      <c r="C215" s="11" t="s">
        <v>85</v>
      </c>
      <c r="D215" s="8" t="s">
        <v>44</v>
      </c>
      <c r="E215" s="8" t="s">
        <v>13</v>
      </c>
      <c r="F215" s="8" t="s">
        <v>69</v>
      </c>
    </row>
    <row r="216" spans="1:10" x14ac:dyDescent="0.3">
      <c r="A216" s="11">
        <v>3</v>
      </c>
      <c r="B216" s="14">
        <v>2</v>
      </c>
      <c r="C216" s="14" t="s">
        <v>84</v>
      </c>
      <c r="D216" s="14" t="s">
        <v>33</v>
      </c>
      <c r="E216" s="8" t="s">
        <v>46</v>
      </c>
      <c r="F216" s="8" t="s">
        <v>56</v>
      </c>
    </row>
    <row r="217" spans="1:10" x14ac:dyDescent="0.3">
      <c r="A217" s="11">
        <v>3</v>
      </c>
      <c r="B217" s="14">
        <v>2</v>
      </c>
      <c r="C217" s="14" t="s">
        <v>84</v>
      </c>
      <c r="D217" s="14" t="s">
        <v>33</v>
      </c>
      <c r="E217" s="8" t="s">
        <v>46</v>
      </c>
      <c r="F217" s="8" t="s">
        <v>55</v>
      </c>
    </row>
    <row r="218" spans="1:10" x14ac:dyDescent="0.3">
      <c r="A218" s="11">
        <v>3</v>
      </c>
      <c r="B218" s="11">
        <v>1</v>
      </c>
      <c r="C218" s="11" t="s">
        <v>85</v>
      </c>
      <c r="D218" s="8" t="s">
        <v>4</v>
      </c>
      <c r="E218" s="8" t="s">
        <v>45</v>
      </c>
      <c r="F218" s="8" t="s">
        <v>70</v>
      </c>
    </row>
    <row r="219" spans="1:10" x14ac:dyDescent="0.3">
      <c r="A219" s="11">
        <v>3</v>
      </c>
      <c r="B219" s="11">
        <v>1</v>
      </c>
      <c r="C219" s="11" t="s">
        <v>85</v>
      </c>
      <c r="D219" s="8" t="s">
        <v>44</v>
      </c>
      <c r="E219" s="8" t="s">
        <v>13</v>
      </c>
      <c r="F219" s="8" t="s">
        <v>70</v>
      </c>
    </row>
    <row r="220" spans="1:10" x14ac:dyDescent="0.3">
      <c r="A220" s="11">
        <v>3</v>
      </c>
      <c r="B220" s="14">
        <v>2</v>
      </c>
      <c r="C220" s="14" t="s">
        <v>84</v>
      </c>
      <c r="D220" s="14" t="s">
        <v>33</v>
      </c>
      <c r="E220" s="8" t="s">
        <v>46</v>
      </c>
      <c r="F220" s="8" t="s">
        <v>58</v>
      </c>
    </row>
    <row r="221" spans="1:10" x14ac:dyDescent="0.3">
      <c r="A221" s="11">
        <v>3</v>
      </c>
      <c r="B221" s="8">
        <v>1</v>
      </c>
      <c r="C221" s="8" t="s">
        <v>85</v>
      </c>
      <c r="D221" s="8" t="s">
        <v>4</v>
      </c>
      <c r="E221" s="8" t="s">
        <v>45</v>
      </c>
      <c r="F221" s="8" t="s">
        <v>68</v>
      </c>
    </row>
    <row r="222" spans="1:10" x14ac:dyDescent="0.3">
      <c r="A222" s="11">
        <v>3</v>
      </c>
      <c r="B222" s="8">
        <v>2</v>
      </c>
      <c r="C222" s="8" t="s">
        <v>84</v>
      </c>
      <c r="D222" s="8" t="s">
        <v>44</v>
      </c>
      <c r="E222" s="8" t="s">
        <v>14</v>
      </c>
      <c r="F222" s="8" t="s">
        <v>68</v>
      </c>
    </row>
    <row r="223" spans="1:10" x14ac:dyDescent="0.3">
      <c r="A223" s="11">
        <v>3</v>
      </c>
      <c r="B223" s="14">
        <v>1</v>
      </c>
      <c r="C223" s="14" t="s">
        <v>85</v>
      </c>
      <c r="D223" s="14" t="s">
        <v>33</v>
      </c>
      <c r="E223" s="8" t="s">
        <v>46</v>
      </c>
      <c r="F223" s="8" t="s">
        <v>60</v>
      </c>
    </row>
    <row r="224" spans="1:10" x14ac:dyDescent="0.3">
      <c r="A224" s="11">
        <v>3</v>
      </c>
      <c r="B224" s="8">
        <v>2</v>
      </c>
      <c r="C224" s="8" t="s">
        <v>84</v>
      </c>
      <c r="D224" s="8" t="s">
        <v>4</v>
      </c>
      <c r="E224" s="8" t="s">
        <v>45</v>
      </c>
      <c r="F224" s="8" t="s">
        <v>66</v>
      </c>
      <c r="J224" s="6"/>
    </row>
    <row r="225" spans="1:10" x14ac:dyDescent="0.3">
      <c r="A225" s="11">
        <v>3</v>
      </c>
      <c r="B225" s="8">
        <v>1</v>
      </c>
      <c r="C225" s="8" t="s">
        <v>85</v>
      </c>
      <c r="D225" s="8" t="s">
        <v>44</v>
      </c>
      <c r="E225" s="8" t="s">
        <v>14</v>
      </c>
      <c r="F225" s="8" t="s">
        <v>66</v>
      </c>
      <c r="J225" s="6"/>
    </row>
    <row r="226" spans="1:10" x14ac:dyDescent="0.3">
      <c r="A226" s="11">
        <v>3</v>
      </c>
      <c r="B226" s="8">
        <v>1</v>
      </c>
      <c r="C226" s="8" t="s">
        <v>85</v>
      </c>
      <c r="D226" s="8" t="s">
        <v>4</v>
      </c>
      <c r="E226" s="8" t="s">
        <v>45</v>
      </c>
      <c r="F226" s="8" t="s">
        <v>70</v>
      </c>
      <c r="J226" s="6"/>
    </row>
    <row r="227" spans="1:10" x14ac:dyDescent="0.3">
      <c r="A227" s="11">
        <v>3</v>
      </c>
      <c r="B227" s="8">
        <v>2</v>
      </c>
      <c r="C227" s="29" t="s">
        <v>84</v>
      </c>
      <c r="D227" s="8" t="s">
        <v>44</v>
      </c>
      <c r="E227" s="8" t="s">
        <v>14</v>
      </c>
      <c r="F227" s="8" t="s">
        <v>70</v>
      </c>
      <c r="J227" s="6"/>
    </row>
    <row r="228" spans="1:10" x14ac:dyDescent="0.3">
      <c r="A228" s="11">
        <v>3</v>
      </c>
      <c r="B228" s="14">
        <v>2</v>
      </c>
      <c r="C228" s="30" t="s">
        <v>84</v>
      </c>
      <c r="D228" s="14" t="s">
        <v>33</v>
      </c>
      <c r="E228" s="8" t="s">
        <v>46</v>
      </c>
      <c r="F228" s="8" t="s">
        <v>62</v>
      </c>
      <c r="J228" s="6"/>
    </row>
    <row r="229" spans="1:10" x14ac:dyDescent="0.3">
      <c r="A229" s="11">
        <v>3</v>
      </c>
      <c r="B229" s="8">
        <v>2</v>
      </c>
      <c r="C229" s="29" t="s">
        <v>84</v>
      </c>
      <c r="D229" s="8" t="s">
        <v>4</v>
      </c>
      <c r="E229" s="8" t="s">
        <v>45</v>
      </c>
      <c r="F229" s="8" t="s">
        <v>69</v>
      </c>
      <c r="J229" s="6"/>
    </row>
    <row r="230" spans="1:10" x14ac:dyDescent="0.3">
      <c r="A230" s="11">
        <v>3</v>
      </c>
      <c r="B230" s="8">
        <v>2</v>
      </c>
      <c r="C230" s="29" t="s">
        <v>84</v>
      </c>
      <c r="D230" s="8" t="s">
        <v>44</v>
      </c>
      <c r="E230" s="8" t="s">
        <v>13</v>
      </c>
      <c r="F230" s="8" t="s">
        <v>69</v>
      </c>
      <c r="J230" s="6"/>
    </row>
    <row r="231" spans="1:10" x14ac:dyDescent="0.3">
      <c r="A231" s="11">
        <v>3</v>
      </c>
      <c r="B231" s="14">
        <v>1</v>
      </c>
      <c r="C231" s="14" t="s">
        <v>85</v>
      </c>
      <c r="D231" s="14" t="s">
        <v>33</v>
      </c>
      <c r="E231" s="8" t="s">
        <v>46</v>
      </c>
      <c r="F231" s="8" t="s">
        <v>56</v>
      </c>
      <c r="J231" s="6"/>
    </row>
    <row r="232" spans="1:10" x14ac:dyDescent="0.3">
      <c r="A232" s="11">
        <v>3</v>
      </c>
      <c r="B232" s="14">
        <v>1</v>
      </c>
      <c r="C232" s="14" t="s">
        <v>85</v>
      </c>
      <c r="D232" s="14" t="s">
        <v>33</v>
      </c>
      <c r="E232" s="8" t="s">
        <v>46</v>
      </c>
      <c r="F232" s="8" t="s">
        <v>61</v>
      </c>
      <c r="J232" s="6"/>
    </row>
    <row r="233" spans="1:10" x14ac:dyDescent="0.3">
      <c r="A233" s="11">
        <v>3</v>
      </c>
      <c r="B233" s="8">
        <v>2</v>
      </c>
      <c r="C233" s="8" t="s">
        <v>84</v>
      </c>
      <c r="D233" s="8" t="s">
        <v>4</v>
      </c>
      <c r="E233" s="8" t="s">
        <v>45</v>
      </c>
      <c r="F233" s="8" t="s">
        <v>63</v>
      </c>
      <c r="J233" s="6"/>
    </row>
    <row r="234" spans="1:10" x14ac:dyDescent="0.3">
      <c r="A234" s="11">
        <v>3</v>
      </c>
      <c r="B234" s="8">
        <v>2</v>
      </c>
      <c r="C234" s="8" t="s">
        <v>84</v>
      </c>
      <c r="D234" s="8" t="s">
        <v>44</v>
      </c>
      <c r="E234" s="8" t="s">
        <v>13</v>
      </c>
      <c r="F234" s="8" t="s">
        <v>63</v>
      </c>
      <c r="J234" s="6"/>
    </row>
    <row r="235" spans="1:10" x14ac:dyDescent="0.3">
      <c r="A235" s="11">
        <v>3</v>
      </c>
      <c r="B235" s="8">
        <v>2</v>
      </c>
      <c r="C235" s="8" t="s">
        <v>84</v>
      </c>
      <c r="D235" s="8" t="s">
        <v>4</v>
      </c>
      <c r="E235" s="8" t="s">
        <v>45</v>
      </c>
      <c r="F235" s="8" t="s">
        <v>65</v>
      </c>
      <c r="J235" s="6"/>
    </row>
    <row r="236" spans="1:10" x14ac:dyDescent="0.3">
      <c r="A236" s="11">
        <v>3</v>
      </c>
      <c r="B236" s="8">
        <v>1</v>
      </c>
      <c r="C236" s="8" t="s">
        <v>85</v>
      </c>
      <c r="D236" s="8" t="s">
        <v>44</v>
      </c>
      <c r="E236" s="8" t="s">
        <v>14</v>
      </c>
      <c r="F236" s="8" t="s">
        <v>65</v>
      </c>
      <c r="J236" s="6"/>
    </row>
    <row r="237" spans="1:10" x14ac:dyDescent="0.3">
      <c r="A237" s="11">
        <v>3</v>
      </c>
      <c r="B237" s="14">
        <v>2</v>
      </c>
      <c r="C237" s="14" t="s">
        <v>84</v>
      </c>
      <c r="D237" s="14" t="s">
        <v>33</v>
      </c>
      <c r="E237" s="8" t="s">
        <v>46</v>
      </c>
      <c r="F237" s="8" t="s">
        <v>59</v>
      </c>
      <c r="J237" s="6"/>
    </row>
    <row r="238" spans="1:10" x14ac:dyDescent="0.3">
      <c r="A238" s="11">
        <v>3</v>
      </c>
      <c r="B238" s="8">
        <v>1</v>
      </c>
      <c r="C238" s="8" t="s">
        <v>85</v>
      </c>
      <c r="D238" s="8" t="s">
        <v>4</v>
      </c>
      <c r="E238" s="8" t="s">
        <v>45</v>
      </c>
      <c r="F238" s="8" t="s">
        <v>67</v>
      </c>
      <c r="J238" s="6"/>
    </row>
    <row r="239" spans="1:10" x14ac:dyDescent="0.3">
      <c r="A239" s="11">
        <v>3</v>
      </c>
      <c r="B239" s="8">
        <v>1</v>
      </c>
      <c r="C239" s="8" t="s">
        <v>85</v>
      </c>
      <c r="D239" s="8" t="s">
        <v>44</v>
      </c>
      <c r="E239" s="8" t="s">
        <v>13</v>
      </c>
      <c r="F239" s="8" t="s">
        <v>67</v>
      </c>
      <c r="J239" s="6"/>
    </row>
    <row r="240" spans="1:10" x14ac:dyDescent="0.3">
      <c r="A240" s="11">
        <v>3</v>
      </c>
      <c r="B240" s="14">
        <v>2</v>
      </c>
      <c r="C240" s="14" t="s">
        <v>84</v>
      </c>
      <c r="D240" s="14" t="s">
        <v>33</v>
      </c>
      <c r="E240" s="8" t="s">
        <v>46</v>
      </c>
      <c r="F240" s="8" t="s">
        <v>55</v>
      </c>
    </row>
    <row r="241" spans="1:12" x14ac:dyDescent="0.3">
      <c r="A241" s="11">
        <v>3</v>
      </c>
      <c r="B241" s="8">
        <v>1</v>
      </c>
      <c r="C241" s="29" t="s">
        <v>85</v>
      </c>
      <c r="D241" s="8" t="s">
        <v>4</v>
      </c>
      <c r="E241" s="8" t="s">
        <v>45</v>
      </c>
      <c r="F241" s="8" t="s">
        <v>64</v>
      </c>
    </row>
    <row r="242" spans="1:12" x14ac:dyDescent="0.3">
      <c r="A242" s="11">
        <v>3</v>
      </c>
      <c r="B242" s="8">
        <v>1</v>
      </c>
      <c r="C242" s="29" t="s">
        <v>85</v>
      </c>
      <c r="D242" s="8" t="s">
        <v>44</v>
      </c>
      <c r="E242" s="8" t="s">
        <v>13</v>
      </c>
      <c r="F242" s="8" t="s">
        <v>64</v>
      </c>
    </row>
    <row r="243" spans="1:12" x14ac:dyDescent="0.3">
      <c r="A243" s="11">
        <v>3</v>
      </c>
      <c r="B243" s="14">
        <v>1</v>
      </c>
      <c r="C243" s="30" t="s">
        <v>85</v>
      </c>
      <c r="D243" s="14" t="s">
        <v>33</v>
      </c>
      <c r="E243" s="8" t="s">
        <v>46</v>
      </c>
      <c r="F243" s="8" t="s">
        <v>57</v>
      </c>
    </row>
    <row r="244" spans="1:12" x14ac:dyDescent="0.3">
      <c r="A244" s="11">
        <v>3</v>
      </c>
      <c r="B244" s="11">
        <v>1</v>
      </c>
      <c r="C244" s="27" t="s">
        <v>85</v>
      </c>
      <c r="D244" s="8" t="s">
        <v>4</v>
      </c>
      <c r="E244" s="8" t="s">
        <v>45</v>
      </c>
      <c r="F244" s="8" t="s">
        <v>66</v>
      </c>
    </row>
    <row r="245" spans="1:12" x14ac:dyDescent="0.3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66</v>
      </c>
      <c r="L245" s="6"/>
    </row>
    <row r="246" spans="1:12" x14ac:dyDescent="0.3">
      <c r="A246" s="11">
        <v>3</v>
      </c>
      <c r="B246" s="14">
        <v>2</v>
      </c>
      <c r="C246" s="14" t="s">
        <v>84</v>
      </c>
      <c r="D246" s="14" t="s">
        <v>33</v>
      </c>
      <c r="E246" s="8" t="s">
        <v>46</v>
      </c>
      <c r="F246" s="8" t="s">
        <v>56</v>
      </c>
      <c r="J246" s="6"/>
      <c r="L246" s="6"/>
    </row>
    <row r="247" spans="1:12" x14ac:dyDescent="0.3">
      <c r="A247" s="11">
        <v>3</v>
      </c>
      <c r="B247" s="14">
        <v>1</v>
      </c>
      <c r="C247" s="14" t="s">
        <v>85</v>
      </c>
      <c r="D247" s="14" t="s">
        <v>33</v>
      </c>
      <c r="E247" s="8" t="s">
        <v>46</v>
      </c>
      <c r="F247" s="8" t="s">
        <v>57</v>
      </c>
      <c r="J247" s="6"/>
      <c r="L247" s="6"/>
    </row>
    <row r="248" spans="1:12" x14ac:dyDescent="0.3">
      <c r="A248" s="11">
        <v>3</v>
      </c>
      <c r="B248" s="11">
        <v>2</v>
      </c>
      <c r="C248" s="11" t="s">
        <v>84</v>
      </c>
      <c r="D248" s="8" t="s">
        <v>4</v>
      </c>
      <c r="E248" s="8" t="s">
        <v>45</v>
      </c>
      <c r="F248" s="8" t="s">
        <v>69</v>
      </c>
      <c r="J248" s="6"/>
      <c r="L248" s="6"/>
    </row>
    <row r="249" spans="1:12" x14ac:dyDescent="0.3">
      <c r="A249" s="11">
        <v>3</v>
      </c>
      <c r="B249" s="11">
        <v>1</v>
      </c>
      <c r="C249" s="11" t="s">
        <v>85</v>
      </c>
      <c r="D249" s="8" t="s">
        <v>44</v>
      </c>
      <c r="E249" s="8" t="s">
        <v>14</v>
      </c>
      <c r="F249" s="8" t="s">
        <v>69</v>
      </c>
      <c r="J249" s="6"/>
      <c r="L249" s="6"/>
    </row>
    <row r="250" spans="1:12" x14ac:dyDescent="0.3">
      <c r="A250" s="11">
        <v>3</v>
      </c>
      <c r="B250" s="11">
        <v>1</v>
      </c>
      <c r="C250" s="11" t="s">
        <v>85</v>
      </c>
      <c r="D250" s="8" t="s">
        <v>4</v>
      </c>
      <c r="E250" s="8" t="s">
        <v>45</v>
      </c>
      <c r="F250" s="8" t="s">
        <v>64</v>
      </c>
      <c r="J250" s="7"/>
      <c r="L250" s="6"/>
    </row>
    <row r="251" spans="1:12" x14ac:dyDescent="0.3">
      <c r="A251" s="11">
        <v>3</v>
      </c>
      <c r="B251" s="11">
        <v>2</v>
      </c>
      <c r="C251" s="11" t="s">
        <v>84</v>
      </c>
      <c r="D251" s="8" t="s">
        <v>44</v>
      </c>
      <c r="E251" s="8" t="s">
        <v>14</v>
      </c>
      <c r="F251" s="8" t="s">
        <v>64</v>
      </c>
      <c r="J251" s="7"/>
      <c r="L251" s="6"/>
    </row>
    <row r="252" spans="1:12" x14ac:dyDescent="0.3">
      <c r="A252" s="11">
        <v>3</v>
      </c>
      <c r="B252" s="14">
        <v>1</v>
      </c>
      <c r="C252" s="14" t="s">
        <v>85</v>
      </c>
      <c r="D252" s="14" t="s">
        <v>33</v>
      </c>
      <c r="E252" s="8" t="s">
        <v>46</v>
      </c>
      <c r="F252" s="8" t="s">
        <v>59</v>
      </c>
      <c r="J252" s="7"/>
      <c r="L252" s="6"/>
    </row>
    <row r="253" spans="1:12" x14ac:dyDescent="0.3">
      <c r="A253" s="11">
        <v>3</v>
      </c>
      <c r="B253" s="11">
        <v>2</v>
      </c>
      <c r="C253" s="11" t="s">
        <v>84</v>
      </c>
      <c r="D253" s="8" t="s">
        <v>4</v>
      </c>
      <c r="E253" s="8" t="s">
        <v>45</v>
      </c>
      <c r="F253" s="8" t="s">
        <v>68</v>
      </c>
      <c r="J253" s="7"/>
      <c r="L253" s="6"/>
    </row>
    <row r="254" spans="1:12" x14ac:dyDescent="0.3">
      <c r="A254" s="11">
        <v>3</v>
      </c>
      <c r="B254" s="11">
        <v>2</v>
      </c>
      <c r="C254" s="11" t="s">
        <v>84</v>
      </c>
      <c r="D254" s="8" t="s">
        <v>44</v>
      </c>
      <c r="E254" s="8" t="s">
        <v>13</v>
      </c>
      <c r="F254" s="8" t="s">
        <v>68</v>
      </c>
      <c r="J254" s="6"/>
      <c r="L254" s="6"/>
    </row>
    <row r="255" spans="1:12" x14ac:dyDescent="0.3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58</v>
      </c>
      <c r="J255" s="6"/>
      <c r="L255" s="6"/>
    </row>
    <row r="256" spans="1:12" x14ac:dyDescent="0.3">
      <c r="A256" s="11">
        <v>3</v>
      </c>
      <c r="B256" s="14">
        <v>2</v>
      </c>
      <c r="C256" s="14" t="s">
        <v>84</v>
      </c>
      <c r="D256" s="14" t="s">
        <v>33</v>
      </c>
      <c r="E256" s="8" t="s">
        <v>46</v>
      </c>
      <c r="F256" s="8" t="s">
        <v>55</v>
      </c>
      <c r="J256" s="6"/>
      <c r="L256" s="6"/>
    </row>
    <row r="257" spans="1:12" x14ac:dyDescent="0.3">
      <c r="A257" s="11">
        <v>3</v>
      </c>
      <c r="B257" s="14">
        <v>1</v>
      </c>
      <c r="C257" s="14" t="s">
        <v>85</v>
      </c>
      <c r="D257" s="14" t="s">
        <v>33</v>
      </c>
      <c r="E257" s="8" t="s">
        <v>46</v>
      </c>
      <c r="F257" s="8" t="s">
        <v>61</v>
      </c>
      <c r="J257" s="6"/>
      <c r="L257" s="6"/>
    </row>
    <row r="258" spans="1:12" x14ac:dyDescent="0.3">
      <c r="A258" s="11">
        <v>3</v>
      </c>
      <c r="B258" s="11">
        <v>2</v>
      </c>
      <c r="C258" s="11" t="s">
        <v>84</v>
      </c>
      <c r="D258" s="8" t="s">
        <v>4</v>
      </c>
      <c r="E258" s="8" t="s">
        <v>45</v>
      </c>
      <c r="F258" s="8" t="s">
        <v>70</v>
      </c>
      <c r="J258" s="6"/>
      <c r="L258" s="6"/>
    </row>
    <row r="259" spans="1:12" x14ac:dyDescent="0.3">
      <c r="A259" s="11">
        <v>3</v>
      </c>
      <c r="B259" s="11">
        <v>2</v>
      </c>
      <c r="C259" s="11" t="s">
        <v>84</v>
      </c>
      <c r="D259" s="8" t="s">
        <v>44</v>
      </c>
      <c r="E259" s="8" t="s">
        <v>13</v>
      </c>
      <c r="F259" s="8" t="s">
        <v>70</v>
      </c>
      <c r="J259" s="6"/>
      <c r="L259" s="6"/>
    </row>
    <row r="260" spans="1:12" x14ac:dyDescent="0.3">
      <c r="A260" s="11">
        <v>3</v>
      </c>
      <c r="B260" s="11">
        <v>2</v>
      </c>
      <c r="C260" s="11" t="s">
        <v>84</v>
      </c>
      <c r="D260" s="8" t="s">
        <v>4</v>
      </c>
      <c r="E260" s="8" t="s">
        <v>45</v>
      </c>
      <c r="F260" s="8" t="s">
        <v>67</v>
      </c>
      <c r="J260" s="6"/>
      <c r="L260" s="6"/>
    </row>
    <row r="261" spans="1:12" x14ac:dyDescent="0.3">
      <c r="A261" s="11">
        <v>3</v>
      </c>
      <c r="B261" s="11">
        <v>1</v>
      </c>
      <c r="C261" s="11" t="s">
        <v>85</v>
      </c>
      <c r="D261" s="8" t="s">
        <v>44</v>
      </c>
      <c r="E261" s="8" t="s">
        <v>14</v>
      </c>
      <c r="F261" s="8" t="s">
        <v>67</v>
      </c>
      <c r="J261" s="6"/>
    </row>
    <row r="262" spans="1:12" x14ac:dyDescent="0.3">
      <c r="A262" s="11">
        <v>3</v>
      </c>
      <c r="B262" s="14">
        <v>2</v>
      </c>
      <c r="C262" s="14" t="s">
        <v>84</v>
      </c>
      <c r="D262" s="14" t="s">
        <v>33</v>
      </c>
      <c r="E262" s="8" t="s">
        <v>46</v>
      </c>
      <c r="F262" s="8" t="s">
        <v>62</v>
      </c>
    </row>
    <row r="263" spans="1:12" x14ac:dyDescent="0.3">
      <c r="A263" s="11">
        <v>3</v>
      </c>
      <c r="B263" s="11">
        <v>1</v>
      </c>
      <c r="C263" s="11" t="s">
        <v>85</v>
      </c>
      <c r="D263" s="8" t="s">
        <v>4</v>
      </c>
      <c r="E263" s="8" t="s">
        <v>45</v>
      </c>
      <c r="F263" s="8" t="s">
        <v>65</v>
      </c>
    </row>
    <row r="264" spans="1:12" x14ac:dyDescent="0.3">
      <c r="A264" s="11">
        <v>3</v>
      </c>
      <c r="B264" s="11">
        <v>1</v>
      </c>
      <c r="C264" s="11" t="s">
        <v>85</v>
      </c>
      <c r="D264" s="8" t="s">
        <v>44</v>
      </c>
      <c r="E264" s="8" t="s">
        <v>13</v>
      </c>
      <c r="F264" s="8" t="s">
        <v>65</v>
      </c>
    </row>
    <row r="265" spans="1:12" x14ac:dyDescent="0.3">
      <c r="A265" s="11">
        <v>3</v>
      </c>
      <c r="B265" s="14">
        <v>2</v>
      </c>
      <c r="C265" s="14" t="s">
        <v>84</v>
      </c>
      <c r="D265" s="14" t="s">
        <v>33</v>
      </c>
      <c r="E265" s="8" t="s">
        <v>46</v>
      </c>
      <c r="F265" s="8" t="s">
        <v>60</v>
      </c>
    </row>
    <row r="266" spans="1:12" x14ac:dyDescent="0.3">
      <c r="A266" s="11">
        <v>3</v>
      </c>
      <c r="B266" s="11">
        <v>1</v>
      </c>
      <c r="C266" s="11" t="s">
        <v>85</v>
      </c>
      <c r="D266" s="8" t="s">
        <v>4</v>
      </c>
      <c r="E266" s="8" t="s">
        <v>45</v>
      </c>
      <c r="F266" s="8" t="s">
        <v>63</v>
      </c>
    </row>
    <row r="267" spans="1:12" x14ac:dyDescent="0.3">
      <c r="A267" s="11">
        <v>3</v>
      </c>
      <c r="B267" s="11">
        <v>1</v>
      </c>
      <c r="C267" s="11" t="s">
        <v>85</v>
      </c>
      <c r="D267" s="8" t="s">
        <v>44</v>
      </c>
      <c r="E267" s="8" t="s">
        <v>13</v>
      </c>
      <c r="F267" s="8" t="s">
        <v>63</v>
      </c>
    </row>
    <row r="268" spans="1:12" x14ac:dyDescent="0.3">
      <c r="A268" s="11">
        <v>3</v>
      </c>
      <c r="B268" s="8">
        <v>1</v>
      </c>
      <c r="C268" s="8" t="s">
        <v>85</v>
      </c>
      <c r="D268" s="8" t="s">
        <v>4</v>
      </c>
      <c r="E268" s="8" t="s">
        <v>45</v>
      </c>
      <c r="F268" s="8" t="s">
        <v>67</v>
      </c>
    </row>
    <row r="269" spans="1:12" x14ac:dyDescent="0.3">
      <c r="A269" s="11">
        <v>3</v>
      </c>
      <c r="B269" s="8">
        <v>2</v>
      </c>
      <c r="C269" s="8" t="s">
        <v>84</v>
      </c>
      <c r="D269" s="8" t="s">
        <v>44</v>
      </c>
      <c r="E269" s="8" t="s">
        <v>14</v>
      </c>
      <c r="F269" s="8" t="s">
        <v>67</v>
      </c>
    </row>
    <row r="270" spans="1:12" x14ac:dyDescent="0.3">
      <c r="A270" s="11">
        <v>3</v>
      </c>
      <c r="B270" s="8">
        <v>2</v>
      </c>
      <c r="C270" s="8" t="s">
        <v>84</v>
      </c>
      <c r="D270" s="8" t="s">
        <v>4</v>
      </c>
      <c r="E270" s="8" t="s">
        <v>45</v>
      </c>
      <c r="F270" s="8" t="s">
        <v>63</v>
      </c>
    </row>
    <row r="271" spans="1:12" x14ac:dyDescent="0.3">
      <c r="A271" s="11">
        <v>3</v>
      </c>
      <c r="B271" s="8">
        <v>1</v>
      </c>
      <c r="C271" s="8" t="s">
        <v>85</v>
      </c>
      <c r="D271" s="8" t="s">
        <v>44</v>
      </c>
      <c r="E271" s="8" t="s">
        <v>14</v>
      </c>
      <c r="F271" s="8" t="s">
        <v>63</v>
      </c>
      <c r="L271" s="6"/>
    </row>
    <row r="272" spans="1:12" x14ac:dyDescent="0.3">
      <c r="A272" s="11">
        <v>3</v>
      </c>
      <c r="B272" s="14">
        <v>2</v>
      </c>
      <c r="C272" s="14" t="s">
        <v>84</v>
      </c>
      <c r="D272" s="14" t="s">
        <v>33</v>
      </c>
      <c r="E272" s="8" t="s">
        <v>46</v>
      </c>
      <c r="F272" s="8" t="s">
        <v>55</v>
      </c>
      <c r="J272" s="6"/>
      <c r="L272" s="6"/>
    </row>
    <row r="273" spans="1:12" x14ac:dyDescent="0.3">
      <c r="A273" s="11">
        <v>3</v>
      </c>
      <c r="B273" s="14">
        <v>1</v>
      </c>
      <c r="C273" s="14" t="s">
        <v>85</v>
      </c>
      <c r="D273" s="14" t="s">
        <v>33</v>
      </c>
      <c r="E273" s="8" t="s">
        <v>46</v>
      </c>
      <c r="F273" s="8" t="s">
        <v>59</v>
      </c>
      <c r="J273" s="6"/>
      <c r="L273" s="6"/>
    </row>
    <row r="274" spans="1:12" x14ac:dyDescent="0.3">
      <c r="A274" s="11">
        <v>3</v>
      </c>
      <c r="B274" s="8">
        <v>1</v>
      </c>
      <c r="C274" s="8" t="s">
        <v>85</v>
      </c>
      <c r="D274" s="8" t="s">
        <v>4</v>
      </c>
      <c r="E274" s="8" t="s">
        <v>45</v>
      </c>
      <c r="F274" s="8" t="s">
        <v>69</v>
      </c>
      <c r="J274" s="6"/>
      <c r="L274" s="6"/>
    </row>
    <row r="275" spans="1:12" x14ac:dyDescent="0.3">
      <c r="A275" s="11">
        <v>3</v>
      </c>
      <c r="B275" s="8">
        <v>2</v>
      </c>
      <c r="C275" s="8" t="s">
        <v>84</v>
      </c>
      <c r="D275" s="8" t="s">
        <v>44</v>
      </c>
      <c r="E275" s="8" t="s">
        <v>14</v>
      </c>
      <c r="F275" s="8" t="s">
        <v>69</v>
      </c>
      <c r="J275" s="6"/>
      <c r="L275" s="6"/>
    </row>
    <row r="276" spans="1:12" x14ac:dyDescent="0.3">
      <c r="A276" s="11">
        <v>3</v>
      </c>
      <c r="B276" s="14">
        <v>1</v>
      </c>
      <c r="C276" s="14" t="s">
        <v>85</v>
      </c>
      <c r="D276" s="14" t="s">
        <v>33</v>
      </c>
      <c r="E276" s="8" t="s">
        <v>46</v>
      </c>
      <c r="F276" s="8" t="s">
        <v>57</v>
      </c>
      <c r="J276" s="6"/>
      <c r="L276" s="6"/>
    </row>
    <row r="277" spans="1:12" x14ac:dyDescent="0.3">
      <c r="A277" s="11">
        <v>3</v>
      </c>
      <c r="B277" s="8">
        <v>2</v>
      </c>
      <c r="C277" s="8" t="s">
        <v>84</v>
      </c>
      <c r="D277" s="8" t="s">
        <v>4</v>
      </c>
      <c r="E277" s="8" t="s">
        <v>45</v>
      </c>
      <c r="F277" s="8" t="s">
        <v>65</v>
      </c>
      <c r="J277" s="6"/>
      <c r="L277" s="6"/>
    </row>
    <row r="278" spans="1:12" x14ac:dyDescent="0.3">
      <c r="A278" s="11">
        <v>3</v>
      </c>
      <c r="B278" s="8">
        <v>2</v>
      </c>
      <c r="C278" s="8" t="s">
        <v>84</v>
      </c>
      <c r="D278" s="8" t="s">
        <v>44</v>
      </c>
      <c r="E278" s="8" t="s">
        <v>13</v>
      </c>
      <c r="F278" s="8" t="s">
        <v>65</v>
      </c>
      <c r="J278" s="6"/>
      <c r="L278" s="6"/>
    </row>
    <row r="279" spans="1:12" x14ac:dyDescent="0.3">
      <c r="A279" s="11">
        <v>3</v>
      </c>
      <c r="B279" s="14">
        <v>1</v>
      </c>
      <c r="C279" s="14" t="s">
        <v>85</v>
      </c>
      <c r="D279" s="14" t="s">
        <v>33</v>
      </c>
      <c r="E279" s="8" t="s">
        <v>46</v>
      </c>
      <c r="F279" s="8" t="s">
        <v>61</v>
      </c>
      <c r="J279" s="6"/>
      <c r="L279" s="6"/>
    </row>
    <row r="280" spans="1:12" x14ac:dyDescent="0.3">
      <c r="A280" s="11">
        <v>3</v>
      </c>
      <c r="B280" s="14">
        <v>1</v>
      </c>
      <c r="C280" s="14" t="s">
        <v>85</v>
      </c>
      <c r="D280" s="14" t="s">
        <v>33</v>
      </c>
      <c r="E280" s="8" t="s">
        <v>46</v>
      </c>
      <c r="F280" s="8" t="s">
        <v>56</v>
      </c>
      <c r="J280" s="6"/>
      <c r="L280" s="6"/>
    </row>
    <row r="281" spans="1:12" x14ac:dyDescent="0.3">
      <c r="A281" s="11">
        <v>3</v>
      </c>
      <c r="B281" s="8">
        <v>2</v>
      </c>
      <c r="C281" s="8" t="s">
        <v>84</v>
      </c>
      <c r="D281" s="8" t="s">
        <v>4</v>
      </c>
      <c r="E281" s="8" t="s">
        <v>45</v>
      </c>
      <c r="F281" s="8" t="s">
        <v>64</v>
      </c>
      <c r="J281" s="6"/>
      <c r="L281" s="6"/>
    </row>
    <row r="282" spans="1:12" x14ac:dyDescent="0.3">
      <c r="A282" s="11">
        <v>3</v>
      </c>
      <c r="B282" s="8">
        <v>2</v>
      </c>
      <c r="C282" s="8" t="s">
        <v>84</v>
      </c>
      <c r="D282" s="8" t="s">
        <v>44</v>
      </c>
      <c r="E282" s="8" t="s">
        <v>13</v>
      </c>
      <c r="F282" s="8" t="s">
        <v>64</v>
      </c>
      <c r="J282" s="6"/>
      <c r="L282" s="6"/>
    </row>
    <row r="283" spans="1:12" x14ac:dyDescent="0.3">
      <c r="A283" s="11">
        <v>3</v>
      </c>
      <c r="B283" s="8">
        <v>2</v>
      </c>
      <c r="C283" s="8" t="s">
        <v>84</v>
      </c>
      <c r="D283" s="8" t="s">
        <v>4</v>
      </c>
      <c r="E283" s="8" t="s">
        <v>45</v>
      </c>
      <c r="F283" s="8" t="s">
        <v>70</v>
      </c>
      <c r="J283" s="6"/>
      <c r="L283" s="6"/>
    </row>
    <row r="284" spans="1:12" x14ac:dyDescent="0.3">
      <c r="A284" s="11">
        <v>3</v>
      </c>
      <c r="B284" s="8">
        <v>1</v>
      </c>
      <c r="C284" s="8" t="s">
        <v>85</v>
      </c>
      <c r="D284" s="8" t="s">
        <v>44</v>
      </c>
      <c r="E284" s="8" t="s">
        <v>14</v>
      </c>
      <c r="F284" s="8" t="s">
        <v>70</v>
      </c>
      <c r="J284" s="6"/>
      <c r="L284" s="6"/>
    </row>
    <row r="285" spans="1:12" x14ac:dyDescent="0.3">
      <c r="A285" s="11">
        <v>3</v>
      </c>
      <c r="B285" s="14">
        <v>2</v>
      </c>
      <c r="C285" s="14" t="s">
        <v>84</v>
      </c>
      <c r="D285" s="14" t="s">
        <v>33</v>
      </c>
      <c r="E285" s="8" t="s">
        <v>46</v>
      </c>
      <c r="F285" s="8" t="s">
        <v>60</v>
      </c>
      <c r="J285" s="6"/>
      <c r="L285" s="6"/>
    </row>
    <row r="286" spans="1:12" x14ac:dyDescent="0.3">
      <c r="A286" s="11">
        <v>3</v>
      </c>
      <c r="B286" s="14">
        <v>2</v>
      </c>
      <c r="C286" s="14" t="s">
        <v>84</v>
      </c>
      <c r="D286" s="14" t="s">
        <v>33</v>
      </c>
      <c r="E286" s="8" t="s">
        <v>46</v>
      </c>
      <c r="F286" s="8" t="s">
        <v>58</v>
      </c>
      <c r="J286" s="6"/>
      <c r="L286" s="6"/>
    </row>
    <row r="287" spans="1:12" x14ac:dyDescent="0.3">
      <c r="A287" s="11">
        <v>3</v>
      </c>
      <c r="B287" s="8">
        <v>1</v>
      </c>
      <c r="C287" s="8" t="s">
        <v>85</v>
      </c>
      <c r="D287" s="8" t="s">
        <v>4</v>
      </c>
      <c r="E287" s="8" t="s">
        <v>45</v>
      </c>
      <c r="F287" s="8" t="s">
        <v>68</v>
      </c>
      <c r="J287" s="6"/>
    </row>
    <row r="288" spans="1:12" x14ac:dyDescent="0.3">
      <c r="A288" s="11">
        <v>3</v>
      </c>
      <c r="B288" s="8">
        <v>1</v>
      </c>
      <c r="C288" s="8" t="s">
        <v>85</v>
      </c>
      <c r="D288" s="8" t="s">
        <v>44</v>
      </c>
      <c r="E288" s="8" t="s">
        <v>13</v>
      </c>
      <c r="F288" s="8" t="s">
        <v>68</v>
      </c>
    </row>
    <row r="289" spans="1:8" x14ac:dyDescent="0.3">
      <c r="A289" s="11">
        <v>3</v>
      </c>
      <c r="B289" s="14">
        <v>2</v>
      </c>
      <c r="C289" s="14" t="s">
        <v>84</v>
      </c>
      <c r="D289" s="14" t="s">
        <v>33</v>
      </c>
      <c r="E289" s="8" t="s">
        <v>46</v>
      </c>
      <c r="F289" s="8" t="s">
        <v>62</v>
      </c>
    </row>
    <row r="290" spans="1:8" x14ac:dyDescent="0.3">
      <c r="A290" s="11">
        <v>3</v>
      </c>
      <c r="B290" s="8">
        <v>1</v>
      </c>
      <c r="C290" s="8" t="s">
        <v>85</v>
      </c>
      <c r="D290" s="8" t="s">
        <v>4</v>
      </c>
      <c r="E290" s="8" t="s">
        <v>45</v>
      </c>
      <c r="F290" s="8" t="s">
        <v>66</v>
      </c>
    </row>
    <row r="291" spans="1:8" x14ac:dyDescent="0.3">
      <c r="A291" s="11">
        <v>3</v>
      </c>
      <c r="B291" s="8">
        <v>1</v>
      </c>
      <c r="C291" s="8" t="s">
        <v>85</v>
      </c>
      <c r="D291" s="8" t="s">
        <v>44</v>
      </c>
      <c r="E291" s="8" t="s">
        <v>13</v>
      </c>
      <c r="F291" s="8" t="s">
        <v>66</v>
      </c>
    </row>
    <row r="292" spans="1:8" x14ac:dyDescent="0.3">
      <c r="A292" s="8"/>
      <c r="B292" s="8" t="s">
        <v>29</v>
      </c>
      <c r="C292" s="8"/>
      <c r="D292" s="8"/>
      <c r="E292" s="8"/>
      <c r="F292" s="8"/>
    </row>
    <row r="293" spans="1:8" x14ac:dyDescent="0.3">
      <c r="A293" s="8">
        <v>4</v>
      </c>
      <c r="B293" s="15">
        <v>2</v>
      </c>
      <c r="C293" s="15" t="s">
        <v>84</v>
      </c>
      <c r="D293" s="15" t="s">
        <v>33</v>
      </c>
      <c r="E293" s="8" t="s">
        <v>46</v>
      </c>
      <c r="F293" s="8" t="s">
        <v>63</v>
      </c>
      <c r="H293" s="6"/>
    </row>
    <row r="294" spans="1:8" x14ac:dyDescent="0.3">
      <c r="A294" s="8">
        <v>4</v>
      </c>
      <c r="B294" s="11">
        <v>1</v>
      </c>
      <c r="C294" s="11" t="s">
        <v>85</v>
      </c>
      <c r="D294" s="8" t="s">
        <v>4</v>
      </c>
      <c r="E294" s="8" t="s">
        <v>45</v>
      </c>
      <c r="F294" s="8" t="s">
        <v>78</v>
      </c>
      <c r="H294" s="6"/>
    </row>
    <row r="295" spans="1:8" x14ac:dyDescent="0.3">
      <c r="A295" s="8">
        <v>4</v>
      </c>
      <c r="B295" s="11">
        <v>1</v>
      </c>
      <c r="C295" s="11" t="s">
        <v>85</v>
      </c>
      <c r="D295" s="8" t="s">
        <v>44</v>
      </c>
      <c r="E295" s="8" t="s">
        <v>13</v>
      </c>
      <c r="F295" s="8" t="s">
        <v>78</v>
      </c>
      <c r="H295" s="6"/>
    </row>
    <row r="296" spans="1:8" x14ac:dyDescent="0.3">
      <c r="A296" s="8">
        <v>4</v>
      </c>
      <c r="B296" s="11">
        <v>1</v>
      </c>
      <c r="C296" s="11" t="s">
        <v>85</v>
      </c>
      <c r="D296" s="8" t="s">
        <v>4</v>
      </c>
      <c r="E296" s="8" t="s">
        <v>45</v>
      </c>
      <c r="F296" s="8" t="s">
        <v>77</v>
      </c>
      <c r="H296" s="6"/>
    </row>
    <row r="297" spans="1:8" x14ac:dyDescent="0.3">
      <c r="A297" s="8">
        <v>4</v>
      </c>
      <c r="B297" s="11">
        <v>2</v>
      </c>
      <c r="C297" s="11" t="s">
        <v>84</v>
      </c>
      <c r="D297" s="8" t="s">
        <v>44</v>
      </c>
      <c r="E297" s="8" t="s">
        <v>14</v>
      </c>
      <c r="F297" s="8" t="s">
        <v>77</v>
      </c>
      <c r="H297" s="6"/>
    </row>
    <row r="298" spans="1:8" x14ac:dyDescent="0.3">
      <c r="A298" s="8">
        <v>4</v>
      </c>
      <c r="B298" s="15">
        <v>1</v>
      </c>
      <c r="C298" s="15" t="s">
        <v>85</v>
      </c>
      <c r="D298" s="15" t="s">
        <v>33</v>
      </c>
      <c r="E298" s="8" t="s">
        <v>46</v>
      </c>
      <c r="F298" s="8" t="s">
        <v>64</v>
      </c>
      <c r="H298" s="6"/>
    </row>
    <row r="299" spans="1:8" x14ac:dyDescent="0.3">
      <c r="A299" s="8">
        <v>4</v>
      </c>
      <c r="B299" s="15">
        <v>1</v>
      </c>
      <c r="C299" s="15" t="s">
        <v>85</v>
      </c>
      <c r="D299" s="15" t="s">
        <v>33</v>
      </c>
      <c r="E299" s="8" t="s">
        <v>46</v>
      </c>
      <c r="F299" s="8" t="s">
        <v>65</v>
      </c>
      <c r="H299" s="6"/>
    </row>
    <row r="300" spans="1:8" x14ac:dyDescent="0.3">
      <c r="A300" s="8">
        <v>4</v>
      </c>
      <c r="B300" s="11">
        <v>2</v>
      </c>
      <c r="C300" s="11" t="s">
        <v>84</v>
      </c>
      <c r="D300" s="8" t="s">
        <v>4</v>
      </c>
      <c r="E300" s="8" t="s">
        <v>45</v>
      </c>
      <c r="F300" s="8" t="s">
        <v>76</v>
      </c>
      <c r="H300" s="6"/>
    </row>
    <row r="301" spans="1:8" x14ac:dyDescent="0.3">
      <c r="A301" s="8">
        <v>4</v>
      </c>
      <c r="B301" s="11">
        <v>2</v>
      </c>
      <c r="C301" s="11" t="s">
        <v>84</v>
      </c>
      <c r="D301" s="8" t="s">
        <v>44</v>
      </c>
      <c r="E301" s="8" t="s">
        <v>13</v>
      </c>
      <c r="F301" s="8" t="s">
        <v>76</v>
      </c>
      <c r="H301" s="6"/>
    </row>
    <row r="302" spans="1:8" x14ac:dyDescent="0.3">
      <c r="A302" s="8">
        <v>4</v>
      </c>
      <c r="B302" s="11">
        <v>2</v>
      </c>
      <c r="C302" s="11" t="s">
        <v>84</v>
      </c>
      <c r="D302" s="8" t="s">
        <v>4</v>
      </c>
      <c r="E302" s="8" t="s">
        <v>45</v>
      </c>
      <c r="F302" s="8" t="s">
        <v>75</v>
      </c>
      <c r="H302" s="6"/>
    </row>
    <row r="303" spans="1:8" x14ac:dyDescent="0.3">
      <c r="A303" s="8">
        <v>4</v>
      </c>
      <c r="B303" s="11">
        <v>1</v>
      </c>
      <c r="C303" s="11" t="s">
        <v>85</v>
      </c>
      <c r="D303" s="8" t="s">
        <v>44</v>
      </c>
      <c r="E303" s="8" t="s">
        <v>14</v>
      </c>
      <c r="F303" s="8" t="s">
        <v>75</v>
      </c>
      <c r="H303" s="6"/>
    </row>
    <row r="304" spans="1:8" x14ac:dyDescent="0.3">
      <c r="A304" s="8">
        <v>4</v>
      </c>
      <c r="B304" s="15">
        <v>2</v>
      </c>
      <c r="C304" s="15" t="s">
        <v>84</v>
      </c>
      <c r="D304" s="15" t="s">
        <v>33</v>
      </c>
      <c r="E304" s="8" t="s">
        <v>46</v>
      </c>
      <c r="F304" s="8" t="s">
        <v>66</v>
      </c>
      <c r="H304" s="6"/>
    </row>
    <row r="305" spans="1:11" x14ac:dyDescent="0.3">
      <c r="A305" s="8">
        <v>4</v>
      </c>
      <c r="B305" s="11">
        <v>1</v>
      </c>
      <c r="C305" s="11" t="s">
        <v>85</v>
      </c>
      <c r="D305" s="8" t="s">
        <v>4</v>
      </c>
      <c r="E305" s="8" t="s">
        <v>45</v>
      </c>
      <c r="F305" s="8" t="s">
        <v>74</v>
      </c>
      <c r="H305" s="6"/>
    </row>
    <row r="306" spans="1:11" x14ac:dyDescent="0.3">
      <c r="A306" s="8">
        <v>4</v>
      </c>
      <c r="B306" s="11">
        <v>2</v>
      </c>
      <c r="C306" s="11" t="s">
        <v>84</v>
      </c>
      <c r="D306" s="8" t="s">
        <v>44</v>
      </c>
      <c r="E306" s="8" t="s">
        <v>14</v>
      </c>
      <c r="F306" s="8" t="s">
        <v>74</v>
      </c>
      <c r="H306" s="6"/>
    </row>
    <row r="307" spans="1:11" x14ac:dyDescent="0.3">
      <c r="A307" s="8">
        <v>4</v>
      </c>
      <c r="B307" s="11">
        <v>2</v>
      </c>
      <c r="C307" s="11" t="s">
        <v>84</v>
      </c>
      <c r="D307" s="8" t="s">
        <v>4</v>
      </c>
      <c r="E307" s="8" t="s">
        <v>45</v>
      </c>
      <c r="F307" s="8" t="s">
        <v>73</v>
      </c>
      <c r="H307" s="6"/>
    </row>
    <row r="308" spans="1:11" x14ac:dyDescent="0.3">
      <c r="A308" s="8">
        <v>4</v>
      </c>
      <c r="B308" s="11">
        <v>2</v>
      </c>
      <c r="C308" s="11" t="s">
        <v>84</v>
      </c>
      <c r="D308" s="8" t="s">
        <v>44</v>
      </c>
      <c r="E308" s="8" t="s">
        <v>13</v>
      </c>
      <c r="F308" s="8" t="s">
        <v>73</v>
      </c>
      <c r="H308" s="6"/>
    </row>
    <row r="309" spans="1:11" x14ac:dyDescent="0.3">
      <c r="A309" s="8">
        <v>4</v>
      </c>
      <c r="B309" s="15">
        <v>1</v>
      </c>
      <c r="C309" s="15" t="s">
        <v>85</v>
      </c>
      <c r="D309" s="15" t="s">
        <v>33</v>
      </c>
      <c r="E309" s="8" t="s">
        <v>46</v>
      </c>
      <c r="F309" s="8" t="s">
        <v>67</v>
      </c>
    </row>
    <row r="310" spans="1:11" x14ac:dyDescent="0.3">
      <c r="A310" s="8">
        <v>4</v>
      </c>
      <c r="B310" s="15">
        <v>2</v>
      </c>
      <c r="C310" s="15" t="s">
        <v>84</v>
      </c>
      <c r="D310" s="15" t="s">
        <v>33</v>
      </c>
      <c r="E310" s="8" t="s">
        <v>46</v>
      </c>
      <c r="F310" s="8" t="s">
        <v>68</v>
      </c>
    </row>
    <row r="311" spans="1:11" x14ac:dyDescent="0.3">
      <c r="A311" s="8">
        <v>4</v>
      </c>
      <c r="B311" s="15">
        <v>1</v>
      </c>
      <c r="C311" s="15" t="s">
        <v>85</v>
      </c>
      <c r="D311" s="15" t="s">
        <v>33</v>
      </c>
      <c r="E311" s="8" t="s">
        <v>46</v>
      </c>
      <c r="F311" s="8" t="s">
        <v>69</v>
      </c>
    </row>
    <row r="312" spans="1:11" x14ac:dyDescent="0.3">
      <c r="A312" s="8">
        <v>4</v>
      </c>
      <c r="B312" s="11">
        <v>2</v>
      </c>
      <c r="C312" s="11" t="s">
        <v>84</v>
      </c>
      <c r="D312" s="8" t="s">
        <v>4</v>
      </c>
      <c r="E312" s="8" t="s">
        <v>45</v>
      </c>
      <c r="F312" s="8" t="s">
        <v>72</v>
      </c>
    </row>
    <row r="313" spans="1:11" x14ac:dyDescent="0.3">
      <c r="A313" s="8">
        <v>4</v>
      </c>
      <c r="B313" s="11">
        <v>1</v>
      </c>
      <c r="C313" s="11" t="s">
        <v>85</v>
      </c>
      <c r="D313" s="8" t="s">
        <v>44</v>
      </c>
      <c r="E313" s="8" t="s">
        <v>14</v>
      </c>
      <c r="F313" s="8" t="s">
        <v>72</v>
      </c>
    </row>
    <row r="314" spans="1:11" x14ac:dyDescent="0.3">
      <c r="A314" s="8">
        <v>4</v>
      </c>
      <c r="B314" s="15">
        <v>1</v>
      </c>
      <c r="C314" s="15" t="s">
        <v>85</v>
      </c>
      <c r="D314" s="15" t="s">
        <v>33</v>
      </c>
      <c r="E314" s="8" t="s">
        <v>46</v>
      </c>
      <c r="F314" s="8" t="s">
        <v>70</v>
      </c>
    </row>
    <row r="315" spans="1:11" x14ac:dyDescent="0.3">
      <c r="A315" s="8">
        <v>4</v>
      </c>
      <c r="B315" s="11">
        <v>1</v>
      </c>
      <c r="C315" s="11" t="s">
        <v>85</v>
      </c>
      <c r="D315" s="8" t="s">
        <v>4</v>
      </c>
      <c r="E315" s="8" t="s">
        <v>45</v>
      </c>
      <c r="F315" s="8" t="s">
        <v>71</v>
      </c>
    </row>
    <row r="316" spans="1:11" x14ac:dyDescent="0.3">
      <c r="A316" s="8">
        <v>4</v>
      </c>
      <c r="B316" s="11">
        <v>1</v>
      </c>
      <c r="C316" s="11" t="s">
        <v>85</v>
      </c>
      <c r="D316" s="8" t="s">
        <v>44</v>
      </c>
      <c r="E316" s="8" t="s">
        <v>13</v>
      </c>
      <c r="F316" s="8" t="s">
        <v>71</v>
      </c>
    </row>
    <row r="317" spans="1:11" x14ac:dyDescent="0.3">
      <c r="A317" s="8">
        <v>4</v>
      </c>
      <c r="B317" s="15">
        <v>2</v>
      </c>
      <c r="C317" s="15" t="s">
        <v>84</v>
      </c>
      <c r="D317" s="15" t="s">
        <v>33</v>
      </c>
      <c r="E317" s="8" t="s">
        <v>46</v>
      </c>
      <c r="F317" s="8" t="s">
        <v>68</v>
      </c>
      <c r="K317" s="6"/>
    </row>
    <row r="318" spans="1:11" x14ac:dyDescent="0.3">
      <c r="A318" s="8">
        <v>4</v>
      </c>
      <c r="B318" s="8">
        <v>1</v>
      </c>
      <c r="C318" s="8" t="s">
        <v>85</v>
      </c>
      <c r="D318" s="8" t="s">
        <v>4</v>
      </c>
      <c r="E318" s="8" t="s">
        <v>45</v>
      </c>
      <c r="F318" s="8" t="s">
        <v>76</v>
      </c>
      <c r="I318" s="6"/>
      <c r="K318" s="6"/>
    </row>
    <row r="319" spans="1:11" x14ac:dyDescent="0.3">
      <c r="A319" s="8">
        <v>4</v>
      </c>
      <c r="B319" s="8">
        <v>1</v>
      </c>
      <c r="C319" s="8" t="s">
        <v>85</v>
      </c>
      <c r="D319" s="8" t="s">
        <v>44</v>
      </c>
      <c r="E319" s="8" t="s">
        <v>13</v>
      </c>
      <c r="F319" s="8" t="s">
        <v>76</v>
      </c>
      <c r="I319" s="6"/>
    </row>
    <row r="320" spans="1:11" x14ac:dyDescent="0.3">
      <c r="A320" s="8">
        <v>4</v>
      </c>
      <c r="B320" s="8">
        <v>1</v>
      </c>
      <c r="C320" s="8" t="s">
        <v>85</v>
      </c>
      <c r="D320" s="8" t="s">
        <v>4</v>
      </c>
      <c r="E320" s="8" t="s">
        <v>45</v>
      </c>
      <c r="F320" s="8" t="s">
        <v>71</v>
      </c>
      <c r="I320" s="6"/>
    </row>
    <row r="321" spans="1:9" x14ac:dyDescent="0.3">
      <c r="A321" s="8">
        <v>4</v>
      </c>
      <c r="B321" s="8">
        <v>2</v>
      </c>
      <c r="C321" s="8" t="s">
        <v>84</v>
      </c>
      <c r="D321" s="8" t="s">
        <v>44</v>
      </c>
      <c r="E321" s="8" t="s">
        <v>14</v>
      </c>
      <c r="F321" s="8" t="s">
        <v>71</v>
      </c>
      <c r="I321" s="6"/>
    </row>
    <row r="322" spans="1:9" x14ac:dyDescent="0.3">
      <c r="A322" s="8">
        <v>4</v>
      </c>
      <c r="B322" s="15">
        <v>1</v>
      </c>
      <c r="C322" s="15" t="s">
        <v>85</v>
      </c>
      <c r="D322" s="15" t="s">
        <v>33</v>
      </c>
      <c r="E322" s="8" t="s">
        <v>46</v>
      </c>
      <c r="F322" s="8" t="s">
        <v>66</v>
      </c>
      <c r="I322" s="6"/>
    </row>
    <row r="323" spans="1:9" x14ac:dyDescent="0.3">
      <c r="A323" s="8">
        <v>4</v>
      </c>
      <c r="B323" s="8">
        <v>2</v>
      </c>
      <c r="C323" s="8" t="s">
        <v>84</v>
      </c>
      <c r="D323" s="8" t="s">
        <v>4</v>
      </c>
      <c r="E323" s="8" t="s">
        <v>45</v>
      </c>
      <c r="F323" s="8" t="s">
        <v>75</v>
      </c>
      <c r="I323" s="6"/>
    </row>
    <row r="324" spans="1:9" x14ac:dyDescent="0.3">
      <c r="A324" s="8">
        <v>4</v>
      </c>
      <c r="B324" s="8">
        <v>2</v>
      </c>
      <c r="C324" s="8" t="s">
        <v>84</v>
      </c>
      <c r="D324" s="8" t="s">
        <v>44</v>
      </c>
      <c r="E324" s="8" t="s">
        <v>13</v>
      </c>
      <c r="F324" s="8" t="s">
        <v>75</v>
      </c>
      <c r="I324" s="6"/>
    </row>
    <row r="325" spans="1:9" x14ac:dyDescent="0.3">
      <c r="A325" s="8">
        <v>4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77</v>
      </c>
      <c r="I325" s="6"/>
    </row>
    <row r="326" spans="1:9" x14ac:dyDescent="0.3">
      <c r="A326" s="8">
        <v>4</v>
      </c>
      <c r="B326" s="8">
        <v>1</v>
      </c>
      <c r="C326" s="8" t="s">
        <v>85</v>
      </c>
      <c r="D326" s="8" t="s">
        <v>44</v>
      </c>
      <c r="E326" s="8" t="s">
        <v>14</v>
      </c>
      <c r="F326" s="8" t="s">
        <v>77</v>
      </c>
      <c r="I326" s="6"/>
    </row>
    <row r="327" spans="1:9" x14ac:dyDescent="0.3">
      <c r="A327" s="8">
        <v>4</v>
      </c>
      <c r="B327" s="15">
        <v>2</v>
      </c>
      <c r="C327" s="15" t="s">
        <v>84</v>
      </c>
      <c r="D327" s="15" t="s">
        <v>33</v>
      </c>
      <c r="E327" s="8" t="s">
        <v>46</v>
      </c>
      <c r="F327" s="8" t="s">
        <v>70</v>
      </c>
      <c r="I327" s="6"/>
    </row>
    <row r="328" spans="1:9" x14ac:dyDescent="0.3">
      <c r="A328" s="8">
        <v>4</v>
      </c>
      <c r="B328" s="15">
        <v>1</v>
      </c>
      <c r="C328" s="15" t="s">
        <v>85</v>
      </c>
      <c r="D328" s="15" t="s">
        <v>33</v>
      </c>
      <c r="E328" s="8" t="s">
        <v>46</v>
      </c>
      <c r="F328" s="8" t="s">
        <v>69</v>
      </c>
      <c r="I328" s="6"/>
    </row>
    <row r="329" spans="1:9" x14ac:dyDescent="0.3">
      <c r="A329" s="8">
        <v>4</v>
      </c>
      <c r="B329" s="15">
        <v>2</v>
      </c>
      <c r="C329" s="15" t="s">
        <v>84</v>
      </c>
      <c r="D329" s="15" t="s">
        <v>33</v>
      </c>
      <c r="E329" s="8" t="s">
        <v>46</v>
      </c>
      <c r="F329" s="8" t="s">
        <v>63</v>
      </c>
      <c r="I329" s="6"/>
    </row>
    <row r="330" spans="1:9" x14ac:dyDescent="0.3">
      <c r="A330" s="8">
        <v>4</v>
      </c>
      <c r="B330" s="8">
        <v>1</v>
      </c>
      <c r="C330" s="8" t="s">
        <v>85</v>
      </c>
      <c r="D330" s="8" t="s">
        <v>4</v>
      </c>
      <c r="E330" s="8" t="s">
        <v>45</v>
      </c>
      <c r="F330" s="8" t="s">
        <v>72</v>
      </c>
      <c r="I330" s="6"/>
    </row>
    <row r="331" spans="1:9" x14ac:dyDescent="0.3">
      <c r="A331" s="8">
        <v>4</v>
      </c>
      <c r="B331" s="8">
        <v>2</v>
      </c>
      <c r="C331" s="8" t="s">
        <v>84</v>
      </c>
      <c r="D331" s="8" t="s">
        <v>44</v>
      </c>
      <c r="E331" s="8" t="s">
        <v>14</v>
      </c>
      <c r="F331" s="8" t="s">
        <v>72</v>
      </c>
      <c r="I331" s="6"/>
    </row>
    <row r="332" spans="1:9" x14ac:dyDescent="0.3">
      <c r="A332" s="8">
        <v>4</v>
      </c>
      <c r="B332" s="8">
        <v>2</v>
      </c>
      <c r="C332" s="8" t="s">
        <v>84</v>
      </c>
      <c r="D332" s="8" t="s">
        <v>4</v>
      </c>
      <c r="E332" s="8" t="s">
        <v>45</v>
      </c>
      <c r="F332" s="8" t="s">
        <v>78</v>
      </c>
      <c r="I332" s="6"/>
    </row>
    <row r="333" spans="1:9" x14ac:dyDescent="0.3">
      <c r="A333" s="8">
        <v>4</v>
      </c>
      <c r="B333" s="8">
        <v>2</v>
      </c>
      <c r="C333" s="8" t="s">
        <v>84</v>
      </c>
      <c r="D333" s="8" t="s">
        <v>44</v>
      </c>
      <c r="E333" s="8" t="s">
        <v>13</v>
      </c>
      <c r="F333" s="8" t="s">
        <v>78</v>
      </c>
      <c r="I333" s="6"/>
    </row>
    <row r="334" spans="1:9" x14ac:dyDescent="0.3">
      <c r="A334" s="8">
        <v>4</v>
      </c>
      <c r="B334" s="15">
        <v>1</v>
      </c>
      <c r="C334" s="15" t="s">
        <v>85</v>
      </c>
      <c r="D334" s="15" t="s">
        <v>33</v>
      </c>
      <c r="E334" s="8" t="s">
        <v>46</v>
      </c>
      <c r="F334" s="8" t="s">
        <v>65</v>
      </c>
      <c r="I334" s="6"/>
    </row>
    <row r="335" spans="1:9" x14ac:dyDescent="0.3">
      <c r="A335" s="8">
        <v>4</v>
      </c>
      <c r="B335" s="8">
        <v>2</v>
      </c>
      <c r="C335" s="8" t="s">
        <v>84</v>
      </c>
      <c r="D335" s="8" t="s">
        <v>4</v>
      </c>
      <c r="E335" s="8" t="s">
        <v>45</v>
      </c>
      <c r="F335" s="8" t="s">
        <v>73</v>
      </c>
    </row>
    <row r="336" spans="1:9" x14ac:dyDescent="0.3">
      <c r="A336" s="8">
        <v>4</v>
      </c>
      <c r="B336" s="8">
        <v>1</v>
      </c>
      <c r="C336" s="8" t="s">
        <v>85</v>
      </c>
      <c r="D336" s="8" t="s">
        <v>44</v>
      </c>
      <c r="E336" s="8" t="s">
        <v>14</v>
      </c>
      <c r="F336" s="8" t="s">
        <v>73</v>
      </c>
    </row>
    <row r="337" spans="1:12" x14ac:dyDescent="0.3">
      <c r="A337" s="8">
        <v>4</v>
      </c>
      <c r="B337" s="8">
        <v>1</v>
      </c>
      <c r="C337" s="8" t="s">
        <v>85</v>
      </c>
      <c r="D337" s="8" t="s">
        <v>4</v>
      </c>
      <c r="E337" s="8" t="s">
        <v>45</v>
      </c>
      <c r="F337" s="8" t="s">
        <v>74</v>
      </c>
    </row>
    <row r="338" spans="1:12" x14ac:dyDescent="0.3">
      <c r="A338" s="8">
        <v>4</v>
      </c>
      <c r="B338" s="8">
        <v>1</v>
      </c>
      <c r="C338" s="8" t="s">
        <v>85</v>
      </c>
      <c r="D338" s="8" t="s">
        <v>44</v>
      </c>
      <c r="E338" s="8" t="s">
        <v>13</v>
      </c>
      <c r="F338" s="8" t="s">
        <v>74</v>
      </c>
    </row>
    <row r="339" spans="1:12" x14ac:dyDescent="0.3">
      <c r="A339" s="8">
        <v>4</v>
      </c>
      <c r="B339" s="15">
        <v>2</v>
      </c>
      <c r="C339" s="15" t="s">
        <v>84</v>
      </c>
      <c r="D339" s="15" t="s">
        <v>33</v>
      </c>
      <c r="E339" s="8" t="s">
        <v>46</v>
      </c>
      <c r="F339" s="8" t="s">
        <v>67</v>
      </c>
    </row>
    <row r="340" spans="1:12" x14ac:dyDescent="0.3">
      <c r="A340" s="8">
        <v>4</v>
      </c>
      <c r="B340" s="15">
        <v>1</v>
      </c>
      <c r="C340" s="15" t="s">
        <v>85</v>
      </c>
      <c r="D340" s="15" t="s">
        <v>33</v>
      </c>
      <c r="E340" s="8" t="s">
        <v>46</v>
      </c>
      <c r="F340" s="8" t="s">
        <v>64</v>
      </c>
    </row>
    <row r="341" spans="1:12" x14ac:dyDescent="0.3">
      <c r="A341" s="8">
        <v>4</v>
      </c>
      <c r="B341" s="11">
        <v>1</v>
      </c>
      <c r="C341" s="11" t="s">
        <v>85</v>
      </c>
      <c r="D341" s="8" t="s">
        <v>4</v>
      </c>
      <c r="E341" s="8" t="s">
        <v>45</v>
      </c>
      <c r="F341" s="8" t="s">
        <v>75</v>
      </c>
    </row>
    <row r="342" spans="1:12" x14ac:dyDescent="0.3">
      <c r="A342" s="8">
        <v>4</v>
      </c>
      <c r="B342" s="11">
        <v>1</v>
      </c>
      <c r="C342" s="11" t="s">
        <v>85</v>
      </c>
      <c r="D342" s="8" t="s">
        <v>44</v>
      </c>
      <c r="E342" s="8" t="s">
        <v>13</v>
      </c>
      <c r="F342" s="8" t="s">
        <v>75</v>
      </c>
    </row>
    <row r="343" spans="1:12" x14ac:dyDescent="0.3">
      <c r="A343" s="8">
        <v>4</v>
      </c>
      <c r="B343" s="15">
        <v>2</v>
      </c>
      <c r="C343" s="15" t="s">
        <v>84</v>
      </c>
      <c r="D343" s="15" t="s">
        <v>33</v>
      </c>
      <c r="E343" s="8" t="s">
        <v>46</v>
      </c>
      <c r="F343" s="8" t="s">
        <v>66</v>
      </c>
      <c r="J343" s="6"/>
      <c r="L343" s="6"/>
    </row>
    <row r="344" spans="1:12" x14ac:dyDescent="0.3">
      <c r="A344" s="8">
        <v>4</v>
      </c>
      <c r="B344" s="11">
        <v>1</v>
      </c>
      <c r="C344" s="11" t="s">
        <v>85</v>
      </c>
      <c r="D344" s="8" t="s">
        <v>4</v>
      </c>
      <c r="E344" s="8" t="s">
        <v>45</v>
      </c>
      <c r="F344" s="8" t="s">
        <v>73</v>
      </c>
      <c r="J344" s="6"/>
      <c r="L344" s="6"/>
    </row>
    <row r="345" spans="1:12" x14ac:dyDescent="0.3">
      <c r="A345" s="8">
        <v>4</v>
      </c>
      <c r="B345" s="11">
        <v>2</v>
      </c>
      <c r="C345" s="11" t="s">
        <v>84</v>
      </c>
      <c r="D345" s="8" t="s">
        <v>44</v>
      </c>
      <c r="E345" s="8" t="s">
        <v>14</v>
      </c>
      <c r="F345" s="8" t="s">
        <v>73</v>
      </c>
      <c r="J345" s="6"/>
      <c r="L345" s="6"/>
    </row>
    <row r="346" spans="1:12" x14ac:dyDescent="0.3">
      <c r="A346" s="8">
        <v>4</v>
      </c>
      <c r="B346" s="11">
        <v>2</v>
      </c>
      <c r="C346" s="11" t="s">
        <v>84</v>
      </c>
      <c r="D346" s="8" t="s">
        <v>4</v>
      </c>
      <c r="E346" s="8" t="s">
        <v>45</v>
      </c>
      <c r="F346" s="8" t="s">
        <v>77</v>
      </c>
      <c r="J346" s="6"/>
      <c r="L346" s="6"/>
    </row>
    <row r="347" spans="1:12" x14ac:dyDescent="0.3">
      <c r="A347" s="8">
        <v>4</v>
      </c>
      <c r="B347" s="11">
        <v>2</v>
      </c>
      <c r="C347" s="11" t="s">
        <v>84</v>
      </c>
      <c r="D347" s="8" t="s">
        <v>44</v>
      </c>
      <c r="E347" s="8" t="s">
        <v>13</v>
      </c>
      <c r="F347" s="8" t="s">
        <v>77</v>
      </c>
      <c r="J347" s="6"/>
      <c r="L347" s="6"/>
    </row>
    <row r="348" spans="1:12" x14ac:dyDescent="0.3">
      <c r="A348" s="8">
        <v>4</v>
      </c>
      <c r="B348" s="15">
        <v>1</v>
      </c>
      <c r="C348" s="15" t="s">
        <v>85</v>
      </c>
      <c r="D348" s="15" t="s">
        <v>33</v>
      </c>
      <c r="E348" s="8" t="s">
        <v>46</v>
      </c>
      <c r="F348" s="8" t="s">
        <v>69</v>
      </c>
      <c r="J348" s="6"/>
      <c r="L348" s="6"/>
    </row>
    <row r="349" spans="1:12" x14ac:dyDescent="0.3">
      <c r="A349" s="8">
        <v>4</v>
      </c>
      <c r="B349" s="15">
        <v>2</v>
      </c>
      <c r="C349" s="15" t="s">
        <v>84</v>
      </c>
      <c r="D349" s="15" t="s">
        <v>33</v>
      </c>
      <c r="E349" s="8" t="s">
        <v>46</v>
      </c>
      <c r="F349" s="8" t="s">
        <v>64</v>
      </c>
      <c r="J349" s="6"/>
      <c r="L349" s="6"/>
    </row>
    <row r="350" spans="1:12" x14ac:dyDescent="0.3">
      <c r="A350" s="8">
        <v>4</v>
      </c>
      <c r="B350" s="11">
        <v>2</v>
      </c>
      <c r="C350" s="11" t="s">
        <v>84</v>
      </c>
      <c r="D350" s="8" t="s">
        <v>4</v>
      </c>
      <c r="E350" s="8" t="s">
        <v>45</v>
      </c>
      <c r="F350" s="8" t="s">
        <v>74</v>
      </c>
      <c r="J350" s="6"/>
      <c r="L350" s="6"/>
    </row>
    <row r="351" spans="1:12" x14ac:dyDescent="0.3">
      <c r="A351" s="8">
        <v>4</v>
      </c>
      <c r="B351" s="11">
        <v>1</v>
      </c>
      <c r="C351" s="11" t="s">
        <v>85</v>
      </c>
      <c r="D351" s="8" t="s">
        <v>44</v>
      </c>
      <c r="E351" s="8" t="s">
        <v>14</v>
      </c>
      <c r="F351" s="8" t="s">
        <v>74</v>
      </c>
      <c r="J351" s="6"/>
      <c r="L351" s="6"/>
    </row>
    <row r="352" spans="1:12" x14ac:dyDescent="0.3">
      <c r="A352" s="8">
        <v>4</v>
      </c>
      <c r="B352" s="11">
        <v>1</v>
      </c>
      <c r="C352" s="11" t="s">
        <v>85</v>
      </c>
      <c r="D352" s="8" t="s">
        <v>4</v>
      </c>
      <c r="E352" s="8" t="s">
        <v>45</v>
      </c>
      <c r="F352" s="8" t="s">
        <v>78</v>
      </c>
      <c r="J352" s="6"/>
      <c r="L352" s="6"/>
    </row>
    <row r="353" spans="1:12" x14ac:dyDescent="0.3">
      <c r="A353" s="8">
        <v>4</v>
      </c>
      <c r="B353" s="11">
        <v>2</v>
      </c>
      <c r="C353" s="11" t="s">
        <v>84</v>
      </c>
      <c r="D353" s="8" t="s">
        <v>44</v>
      </c>
      <c r="E353" s="8" t="s">
        <v>14</v>
      </c>
      <c r="F353" s="8" t="s">
        <v>78</v>
      </c>
      <c r="J353" s="6"/>
      <c r="L353" s="6"/>
    </row>
    <row r="354" spans="1:12" x14ac:dyDescent="0.3">
      <c r="A354" s="8">
        <v>4</v>
      </c>
      <c r="B354" s="15">
        <v>1</v>
      </c>
      <c r="C354" s="15" t="s">
        <v>85</v>
      </c>
      <c r="D354" s="15" t="s">
        <v>33</v>
      </c>
      <c r="E354" s="8" t="s">
        <v>46</v>
      </c>
      <c r="F354" s="8" t="s">
        <v>68</v>
      </c>
      <c r="J354" s="6"/>
      <c r="L354" s="6"/>
    </row>
    <row r="355" spans="1:12" x14ac:dyDescent="0.3">
      <c r="A355" s="8">
        <v>4</v>
      </c>
      <c r="B355" s="11">
        <v>2</v>
      </c>
      <c r="C355" s="11" t="s">
        <v>84</v>
      </c>
      <c r="D355" s="8" t="s">
        <v>4</v>
      </c>
      <c r="E355" s="8" t="s">
        <v>45</v>
      </c>
      <c r="F355" s="8" t="s">
        <v>71</v>
      </c>
      <c r="J355" s="6"/>
      <c r="L355" s="6"/>
    </row>
    <row r="356" spans="1:12" x14ac:dyDescent="0.3">
      <c r="A356" s="8">
        <v>4</v>
      </c>
      <c r="B356" s="11">
        <v>2</v>
      </c>
      <c r="C356" s="11" t="s">
        <v>84</v>
      </c>
      <c r="D356" s="8" t="s">
        <v>44</v>
      </c>
      <c r="E356" s="8" t="s">
        <v>13</v>
      </c>
      <c r="F356" s="8" t="s">
        <v>71</v>
      </c>
      <c r="J356" s="6"/>
      <c r="L356" s="6"/>
    </row>
    <row r="357" spans="1:12" x14ac:dyDescent="0.3">
      <c r="A357" s="8">
        <v>4</v>
      </c>
      <c r="B357" s="15">
        <v>1</v>
      </c>
      <c r="C357" s="15" t="s">
        <v>85</v>
      </c>
      <c r="D357" s="15" t="s">
        <v>33</v>
      </c>
      <c r="E357" s="8" t="s">
        <v>46</v>
      </c>
      <c r="F357" s="8" t="s">
        <v>70</v>
      </c>
      <c r="J357" s="6"/>
      <c r="L357" s="6"/>
    </row>
    <row r="358" spans="1:12" x14ac:dyDescent="0.3">
      <c r="A358" s="8">
        <v>4</v>
      </c>
      <c r="B358" s="11">
        <v>2</v>
      </c>
      <c r="C358" s="11" t="s">
        <v>84</v>
      </c>
      <c r="D358" s="8" t="s">
        <v>4</v>
      </c>
      <c r="E358" s="8" t="s">
        <v>45</v>
      </c>
      <c r="F358" s="8" t="s">
        <v>76</v>
      </c>
      <c r="J358" s="6"/>
      <c r="L358" s="6"/>
    </row>
    <row r="359" spans="1:12" x14ac:dyDescent="0.3">
      <c r="A359" s="8">
        <v>4</v>
      </c>
      <c r="B359" s="11">
        <v>1</v>
      </c>
      <c r="C359" s="11" t="s">
        <v>85</v>
      </c>
      <c r="D359" s="8" t="s">
        <v>44</v>
      </c>
      <c r="E359" s="8" t="s">
        <v>14</v>
      </c>
      <c r="F359" s="8" t="s">
        <v>76</v>
      </c>
    </row>
    <row r="360" spans="1:12" x14ac:dyDescent="0.3">
      <c r="A360" s="8">
        <v>4</v>
      </c>
      <c r="B360" s="11">
        <v>1</v>
      </c>
      <c r="C360" s="11" t="s">
        <v>85</v>
      </c>
      <c r="D360" s="8" t="s">
        <v>4</v>
      </c>
      <c r="E360" s="8" t="s">
        <v>45</v>
      </c>
      <c r="F360" s="8" t="s">
        <v>72</v>
      </c>
    </row>
    <row r="361" spans="1:12" x14ac:dyDescent="0.3">
      <c r="A361" s="8">
        <v>4</v>
      </c>
      <c r="B361" s="11">
        <v>1</v>
      </c>
      <c r="C361" s="11" t="s">
        <v>85</v>
      </c>
      <c r="D361" s="8" t="s">
        <v>44</v>
      </c>
      <c r="E361" s="8" t="s">
        <v>13</v>
      </c>
      <c r="F361" s="8" t="s">
        <v>72</v>
      </c>
    </row>
    <row r="362" spans="1:12" x14ac:dyDescent="0.3">
      <c r="A362" s="8">
        <v>4</v>
      </c>
      <c r="B362" s="15">
        <v>2</v>
      </c>
      <c r="C362" s="15" t="s">
        <v>84</v>
      </c>
      <c r="D362" s="15" t="s">
        <v>33</v>
      </c>
      <c r="E362" s="8" t="s">
        <v>46</v>
      </c>
      <c r="F362" s="8" t="s">
        <v>67</v>
      </c>
    </row>
    <row r="363" spans="1:12" x14ac:dyDescent="0.3">
      <c r="A363" s="8">
        <v>4</v>
      </c>
      <c r="B363" s="15">
        <v>1</v>
      </c>
      <c r="C363" s="15" t="s">
        <v>85</v>
      </c>
      <c r="D363" s="15" t="s">
        <v>33</v>
      </c>
      <c r="E363" s="8" t="s">
        <v>46</v>
      </c>
      <c r="F363" s="8" t="s">
        <v>65</v>
      </c>
    </row>
    <row r="364" spans="1:12" x14ac:dyDescent="0.3">
      <c r="A364" s="8">
        <v>4</v>
      </c>
      <c r="B364" s="15">
        <v>2</v>
      </c>
      <c r="C364" s="15" t="s">
        <v>84</v>
      </c>
      <c r="D364" s="15" t="s">
        <v>33</v>
      </c>
      <c r="E364" s="8" t="s">
        <v>46</v>
      </c>
      <c r="F364" s="8" t="s">
        <v>63</v>
      </c>
    </row>
    <row r="365" spans="1:12" x14ac:dyDescent="0.3">
      <c r="A365" s="8">
        <v>4</v>
      </c>
      <c r="B365" s="8">
        <v>1</v>
      </c>
      <c r="C365" s="8" t="s">
        <v>85</v>
      </c>
      <c r="D365" s="8" t="s">
        <v>4</v>
      </c>
      <c r="E365" s="8" t="s">
        <v>45</v>
      </c>
      <c r="F365" s="8" t="s">
        <v>73</v>
      </c>
    </row>
    <row r="366" spans="1:12" x14ac:dyDescent="0.3">
      <c r="A366" s="8">
        <v>4</v>
      </c>
      <c r="B366" s="8">
        <v>1</v>
      </c>
      <c r="C366" s="8" t="s">
        <v>85</v>
      </c>
      <c r="D366" s="8" t="s">
        <v>44</v>
      </c>
      <c r="E366" s="8" t="s">
        <v>13</v>
      </c>
      <c r="F366" s="8" t="s">
        <v>73</v>
      </c>
    </row>
    <row r="367" spans="1:12" x14ac:dyDescent="0.3">
      <c r="A367" s="8">
        <v>4</v>
      </c>
      <c r="B367" s="15">
        <v>2</v>
      </c>
      <c r="C367" s="15" t="s">
        <v>84</v>
      </c>
      <c r="D367" s="15" t="s">
        <v>33</v>
      </c>
      <c r="E367" s="8" t="s">
        <v>46</v>
      </c>
      <c r="F367" s="8" t="s">
        <v>67</v>
      </c>
      <c r="K367" s="6"/>
    </row>
    <row r="368" spans="1:12" x14ac:dyDescent="0.3">
      <c r="A368" s="8">
        <v>4</v>
      </c>
      <c r="B368" s="15">
        <v>2</v>
      </c>
      <c r="C368" s="15" t="s">
        <v>84</v>
      </c>
      <c r="D368" s="15" t="s">
        <v>33</v>
      </c>
      <c r="E368" s="8" t="s">
        <v>46</v>
      </c>
      <c r="F368" s="8" t="s">
        <v>63</v>
      </c>
      <c r="I368" s="6"/>
      <c r="K368" s="6"/>
    </row>
    <row r="369" spans="1:11" x14ac:dyDescent="0.3">
      <c r="A369" s="8">
        <v>4</v>
      </c>
      <c r="B369" s="8">
        <v>1</v>
      </c>
      <c r="C369" s="8" t="s">
        <v>85</v>
      </c>
      <c r="D369" s="8" t="s">
        <v>4</v>
      </c>
      <c r="E369" s="8" t="s">
        <v>45</v>
      </c>
      <c r="F369" s="8" t="s">
        <v>76</v>
      </c>
      <c r="I369" s="6"/>
      <c r="K369" s="6"/>
    </row>
    <row r="370" spans="1:11" x14ac:dyDescent="0.3">
      <c r="A370" s="8">
        <v>4</v>
      </c>
      <c r="B370" s="8">
        <v>2</v>
      </c>
      <c r="C370" s="8" t="s">
        <v>84</v>
      </c>
      <c r="D370" s="8" t="s">
        <v>44</v>
      </c>
      <c r="E370" s="8" t="s">
        <v>14</v>
      </c>
      <c r="F370" s="8" t="s">
        <v>76</v>
      </c>
      <c r="I370" s="6"/>
      <c r="K370" s="6"/>
    </row>
    <row r="371" spans="1:11" x14ac:dyDescent="0.3">
      <c r="A371" s="8">
        <v>4</v>
      </c>
      <c r="B371" s="15">
        <v>1</v>
      </c>
      <c r="C371" s="15" t="s">
        <v>85</v>
      </c>
      <c r="D371" s="15" t="s">
        <v>33</v>
      </c>
      <c r="E371" s="8" t="s">
        <v>46</v>
      </c>
      <c r="F371" s="8" t="s">
        <v>69</v>
      </c>
      <c r="I371" s="6"/>
      <c r="K371" s="6"/>
    </row>
    <row r="372" spans="1:11" x14ac:dyDescent="0.3">
      <c r="A372" s="8">
        <v>4</v>
      </c>
      <c r="B372" s="8">
        <v>2</v>
      </c>
      <c r="C372" s="8" t="s">
        <v>84</v>
      </c>
      <c r="D372" s="8" t="s">
        <v>4</v>
      </c>
      <c r="E372" s="8" t="s">
        <v>45</v>
      </c>
      <c r="F372" s="8" t="s">
        <v>74</v>
      </c>
      <c r="I372" s="6"/>
      <c r="K372" s="6"/>
    </row>
    <row r="373" spans="1:11" x14ac:dyDescent="0.3">
      <c r="A373" s="8">
        <v>4</v>
      </c>
      <c r="B373" s="8">
        <v>2</v>
      </c>
      <c r="C373" s="8" t="s">
        <v>84</v>
      </c>
      <c r="D373" s="8" t="s">
        <v>44</v>
      </c>
      <c r="E373" s="8" t="s">
        <v>13</v>
      </c>
      <c r="F373" s="8" t="s">
        <v>74</v>
      </c>
      <c r="I373" s="6"/>
      <c r="K373" s="6"/>
    </row>
    <row r="374" spans="1:11" x14ac:dyDescent="0.3">
      <c r="A374" s="8">
        <v>4</v>
      </c>
      <c r="B374" s="8">
        <v>2</v>
      </c>
      <c r="C374" s="8" t="s">
        <v>84</v>
      </c>
      <c r="D374" s="8" t="s">
        <v>4</v>
      </c>
      <c r="E374" s="8" t="s">
        <v>45</v>
      </c>
      <c r="F374" s="8" t="s">
        <v>78</v>
      </c>
      <c r="I374" s="6"/>
      <c r="K374" s="6"/>
    </row>
    <row r="375" spans="1:11" x14ac:dyDescent="0.3">
      <c r="A375" s="8">
        <v>4</v>
      </c>
      <c r="B375" s="8">
        <v>1</v>
      </c>
      <c r="C375" s="8" t="s">
        <v>85</v>
      </c>
      <c r="D375" s="8" t="s">
        <v>44</v>
      </c>
      <c r="E375" s="8" t="s">
        <v>14</v>
      </c>
      <c r="F375" s="8" t="s">
        <v>78</v>
      </c>
      <c r="I375" s="6"/>
      <c r="K375" s="6"/>
    </row>
    <row r="376" spans="1:11" x14ac:dyDescent="0.3">
      <c r="A376" s="8">
        <v>4</v>
      </c>
      <c r="B376" s="15">
        <v>2</v>
      </c>
      <c r="C376" s="15" t="s">
        <v>84</v>
      </c>
      <c r="D376" s="15" t="s">
        <v>33</v>
      </c>
      <c r="E376" s="8" t="s">
        <v>46</v>
      </c>
      <c r="F376" s="8" t="s">
        <v>65</v>
      </c>
      <c r="I376" s="6"/>
      <c r="K376" s="6"/>
    </row>
    <row r="377" spans="1:11" x14ac:dyDescent="0.3">
      <c r="A377" s="8">
        <v>4</v>
      </c>
      <c r="B377" s="8">
        <v>1</v>
      </c>
      <c r="C377" s="8" t="s">
        <v>85</v>
      </c>
      <c r="D377" s="8" t="s">
        <v>4</v>
      </c>
      <c r="E377" s="8" t="s">
        <v>45</v>
      </c>
      <c r="F377" s="8" t="s">
        <v>75</v>
      </c>
      <c r="I377" s="6"/>
      <c r="K377" s="6"/>
    </row>
    <row r="378" spans="1:11" x14ac:dyDescent="0.3">
      <c r="A378" s="8">
        <v>4</v>
      </c>
      <c r="B378" s="8">
        <v>2</v>
      </c>
      <c r="C378" s="8" t="s">
        <v>84</v>
      </c>
      <c r="D378" s="8" t="s">
        <v>44</v>
      </c>
      <c r="E378" s="8" t="s">
        <v>14</v>
      </c>
      <c r="F378" s="8" t="s">
        <v>75</v>
      </c>
      <c r="I378" s="6"/>
      <c r="K378" s="6"/>
    </row>
    <row r="379" spans="1:11" x14ac:dyDescent="0.3">
      <c r="A379" s="8">
        <v>4</v>
      </c>
      <c r="B379" s="8">
        <v>2</v>
      </c>
      <c r="C379" s="8" t="s">
        <v>84</v>
      </c>
      <c r="D379" s="8" t="s">
        <v>4</v>
      </c>
      <c r="E379" s="8" t="s">
        <v>45</v>
      </c>
      <c r="F379" s="8" t="s">
        <v>72</v>
      </c>
      <c r="I379" s="6"/>
      <c r="K379" s="6"/>
    </row>
    <row r="380" spans="1:11" x14ac:dyDescent="0.3">
      <c r="A380" s="8">
        <v>4</v>
      </c>
      <c r="B380" s="15">
        <v>1</v>
      </c>
      <c r="C380" s="15" t="s">
        <v>85</v>
      </c>
      <c r="D380" s="15" t="s">
        <v>33</v>
      </c>
      <c r="E380" s="8" t="s">
        <v>46</v>
      </c>
      <c r="F380" s="8" t="s">
        <v>64</v>
      </c>
      <c r="I380" s="6"/>
      <c r="K380" s="6"/>
    </row>
    <row r="381" spans="1:11" x14ac:dyDescent="0.3">
      <c r="A381" s="8">
        <v>4</v>
      </c>
      <c r="B381" s="15">
        <v>1</v>
      </c>
      <c r="C381" s="15" t="s">
        <v>85</v>
      </c>
      <c r="D381" s="15" t="s">
        <v>33</v>
      </c>
      <c r="E381" s="8" t="s">
        <v>46</v>
      </c>
      <c r="F381" s="8" t="s">
        <v>70</v>
      </c>
      <c r="I381" s="6"/>
      <c r="K381" s="6"/>
    </row>
    <row r="382" spans="1:11" x14ac:dyDescent="0.3">
      <c r="A382" s="8">
        <v>4</v>
      </c>
      <c r="B382" s="8">
        <v>2</v>
      </c>
      <c r="C382" s="8" t="s">
        <v>84</v>
      </c>
      <c r="D382" s="8" t="s">
        <v>44</v>
      </c>
      <c r="E382" s="8" t="s">
        <v>13</v>
      </c>
      <c r="F382" s="8" t="s">
        <v>72</v>
      </c>
      <c r="I382" s="6"/>
      <c r="K382" s="6"/>
    </row>
    <row r="383" spans="1:11" x14ac:dyDescent="0.3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71</v>
      </c>
      <c r="I383" s="6"/>
    </row>
    <row r="384" spans="1:11" x14ac:dyDescent="0.3">
      <c r="A384" s="8">
        <v>4</v>
      </c>
      <c r="B384" s="8">
        <v>1</v>
      </c>
      <c r="C384" s="8" t="s">
        <v>85</v>
      </c>
      <c r="D384" s="8" t="s">
        <v>44</v>
      </c>
      <c r="E384" s="8" t="s">
        <v>14</v>
      </c>
      <c r="F384" s="8" t="s">
        <v>71</v>
      </c>
    </row>
    <row r="385" spans="1:6" x14ac:dyDescent="0.3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77</v>
      </c>
    </row>
    <row r="386" spans="1:6" x14ac:dyDescent="0.3">
      <c r="A386" s="8">
        <v>4</v>
      </c>
      <c r="B386" s="8">
        <v>1</v>
      </c>
      <c r="C386" s="8" t="s">
        <v>85</v>
      </c>
      <c r="D386" s="8" t="s">
        <v>44</v>
      </c>
      <c r="E386" s="8" t="s">
        <v>13</v>
      </c>
      <c r="F386" s="8" t="s">
        <v>77</v>
      </c>
    </row>
    <row r="387" spans="1:6" x14ac:dyDescent="0.3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68</v>
      </c>
    </row>
    <row r="388" spans="1:6" x14ac:dyDescent="0.3">
      <c r="A388" s="8">
        <v>4</v>
      </c>
      <c r="B388" s="15">
        <v>1</v>
      </c>
      <c r="C388" s="15" t="s">
        <v>85</v>
      </c>
      <c r="D388" s="15" t="s">
        <v>33</v>
      </c>
      <c r="E388" s="8" t="s">
        <v>46</v>
      </c>
      <c r="F388" s="8" t="s">
        <v>66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0"/>
  <sheetViews>
    <sheetView workbookViewId="0">
      <selection activeCell="H11" sqref="H11"/>
    </sheetView>
  </sheetViews>
  <sheetFormatPr defaultColWidth="8.6640625" defaultRowHeight="14.4" x14ac:dyDescent="0.3"/>
  <cols>
    <col min="3" max="3" width="10.6640625" bestFit="1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1">
        <v>1</v>
      </c>
      <c r="B2" s="11">
        <v>2</v>
      </c>
      <c r="C2" s="11" t="s">
        <v>84</v>
      </c>
      <c r="D2" s="8" t="s">
        <v>44</v>
      </c>
      <c r="E2" s="8" t="s">
        <v>13</v>
      </c>
      <c r="F2" s="8" t="s">
        <v>47</v>
      </c>
    </row>
    <row r="3" spans="1:6" x14ac:dyDescent="0.3">
      <c r="A3" s="16">
        <v>1</v>
      </c>
      <c r="B3" s="18">
        <v>1</v>
      </c>
      <c r="C3" s="17" t="s">
        <v>103</v>
      </c>
      <c r="D3" s="12" t="s">
        <v>33</v>
      </c>
      <c r="E3" s="19" t="s">
        <v>46</v>
      </c>
      <c r="F3" s="19" t="s">
        <v>78</v>
      </c>
    </row>
    <row r="4" spans="1:6" x14ac:dyDescent="0.3">
      <c r="A4" s="16">
        <v>1</v>
      </c>
      <c r="B4" s="16">
        <v>2</v>
      </c>
      <c r="C4" s="16" t="s">
        <v>84</v>
      </c>
      <c r="D4" s="19" t="s">
        <v>44</v>
      </c>
      <c r="E4" s="19" t="s">
        <v>13</v>
      </c>
      <c r="F4" s="19" t="s">
        <v>48</v>
      </c>
    </row>
    <row r="5" spans="1:6" x14ac:dyDescent="0.3">
      <c r="A5" s="11">
        <v>1</v>
      </c>
      <c r="B5" s="18">
        <v>1</v>
      </c>
      <c r="C5" s="18" t="s">
        <v>103</v>
      </c>
      <c r="D5" s="12" t="s">
        <v>33</v>
      </c>
      <c r="E5" s="8" t="s">
        <v>46</v>
      </c>
      <c r="F5" s="8" t="s">
        <v>77</v>
      </c>
    </row>
    <row r="6" spans="1:6" x14ac:dyDescent="0.3">
      <c r="A6" s="11">
        <v>1</v>
      </c>
      <c r="B6" s="11">
        <v>1</v>
      </c>
      <c r="C6" s="11" t="s">
        <v>85</v>
      </c>
      <c r="D6" s="8" t="s">
        <v>44</v>
      </c>
      <c r="E6" s="8" t="s">
        <v>14</v>
      </c>
      <c r="F6" s="8" t="s">
        <v>49</v>
      </c>
    </row>
    <row r="7" spans="1:6" x14ac:dyDescent="0.3">
      <c r="A7" s="11">
        <v>1</v>
      </c>
      <c r="B7" s="11">
        <v>2</v>
      </c>
      <c r="C7" s="11" t="s">
        <v>84</v>
      </c>
      <c r="D7" s="8" t="s">
        <v>44</v>
      </c>
      <c r="E7" s="8" t="s">
        <v>14</v>
      </c>
      <c r="F7" s="8" t="s">
        <v>50</v>
      </c>
    </row>
    <row r="8" spans="1:6" x14ac:dyDescent="0.3">
      <c r="A8" s="16">
        <v>1</v>
      </c>
      <c r="B8" s="18">
        <v>2</v>
      </c>
      <c r="C8" s="17" t="s">
        <v>104</v>
      </c>
      <c r="D8" s="12" t="s">
        <v>33</v>
      </c>
      <c r="E8" s="19" t="s">
        <v>46</v>
      </c>
      <c r="F8" s="19" t="s">
        <v>76</v>
      </c>
    </row>
    <row r="9" spans="1:6" x14ac:dyDescent="0.3">
      <c r="A9" s="16">
        <v>1</v>
      </c>
      <c r="B9" s="16">
        <v>1</v>
      </c>
      <c r="C9" s="16" t="s">
        <v>85</v>
      </c>
      <c r="D9" s="19" t="s">
        <v>44</v>
      </c>
      <c r="E9" s="19" t="s">
        <v>14</v>
      </c>
      <c r="F9" s="19" t="s">
        <v>51</v>
      </c>
    </row>
    <row r="10" spans="1:6" x14ac:dyDescent="0.3">
      <c r="A10" s="11">
        <v>1</v>
      </c>
      <c r="B10" s="18">
        <v>2</v>
      </c>
      <c r="C10" s="17" t="s">
        <v>104</v>
      </c>
      <c r="D10" s="12" t="s">
        <v>33</v>
      </c>
      <c r="E10" s="8" t="s">
        <v>46</v>
      </c>
      <c r="F10" s="8" t="s">
        <v>75</v>
      </c>
    </row>
    <row r="11" spans="1:6" x14ac:dyDescent="0.3">
      <c r="A11" s="11">
        <v>1</v>
      </c>
      <c r="B11" s="11">
        <v>1</v>
      </c>
      <c r="C11" s="11" t="s">
        <v>85</v>
      </c>
      <c r="D11" s="8" t="s">
        <v>44</v>
      </c>
      <c r="E11" s="8" t="s">
        <v>13</v>
      </c>
      <c r="F11" s="8" t="s">
        <v>52</v>
      </c>
    </row>
    <row r="12" spans="1:6" x14ac:dyDescent="0.3">
      <c r="A12" s="16">
        <v>1</v>
      </c>
      <c r="B12" s="18">
        <v>2</v>
      </c>
      <c r="C12" s="17" t="s">
        <v>104</v>
      </c>
      <c r="D12" s="12" t="s">
        <v>33</v>
      </c>
      <c r="E12" s="19" t="s">
        <v>46</v>
      </c>
      <c r="F12" s="19" t="s">
        <v>98</v>
      </c>
    </row>
    <row r="13" spans="1:6" x14ac:dyDescent="0.3">
      <c r="A13" s="16">
        <v>1</v>
      </c>
      <c r="B13" s="16">
        <v>1</v>
      </c>
      <c r="C13" s="16" t="s">
        <v>85</v>
      </c>
      <c r="D13" s="19" t="s">
        <v>44</v>
      </c>
      <c r="E13" s="19" t="s">
        <v>13</v>
      </c>
      <c r="F13" s="19" t="s">
        <v>53</v>
      </c>
    </row>
    <row r="14" spans="1:6" x14ac:dyDescent="0.3">
      <c r="A14" s="11">
        <v>1</v>
      </c>
      <c r="B14" s="18">
        <v>2</v>
      </c>
      <c r="C14" s="17" t="s">
        <v>104</v>
      </c>
      <c r="D14" s="12" t="s">
        <v>33</v>
      </c>
      <c r="E14" s="8" t="s">
        <v>46</v>
      </c>
      <c r="F14" s="8" t="s">
        <v>73</v>
      </c>
    </row>
    <row r="15" spans="1:6" x14ac:dyDescent="0.3">
      <c r="A15" s="11">
        <v>1</v>
      </c>
      <c r="B15" s="11">
        <v>2</v>
      </c>
      <c r="C15" s="11" t="s">
        <v>84</v>
      </c>
      <c r="D15" s="8" t="s">
        <v>44</v>
      </c>
      <c r="E15" s="8" t="s">
        <v>14</v>
      </c>
      <c r="F15" s="8" t="s">
        <v>54</v>
      </c>
    </row>
    <row r="16" spans="1:6" x14ac:dyDescent="0.3">
      <c r="A16" s="16">
        <v>1</v>
      </c>
      <c r="B16" s="18">
        <v>1</v>
      </c>
      <c r="C16" s="17" t="s">
        <v>103</v>
      </c>
      <c r="D16" s="12" t="s">
        <v>33</v>
      </c>
      <c r="E16" s="19" t="s">
        <v>46</v>
      </c>
      <c r="F16" s="19" t="s">
        <v>72</v>
      </c>
    </row>
    <row r="17" spans="1:6" x14ac:dyDescent="0.3">
      <c r="A17" s="11">
        <v>1</v>
      </c>
      <c r="B17" s="18">
        <v>1</v>
      </c>
      <c r="C17" s="17" t="s">
        <v>103</v>
      </c>
      <c r="D17" s="12" t="s">
        <v>33</v>
      </c>
      <c r="E17" s="8" t="s">
        <v>46</v>
      </c>
      <c r="F17" s="8" t="s">
        <v>71</v>
      </c>
    </row>
    <row r="18" spans="1:6" x14ac:dyDescent="0.3">
      <c r="A18" s="8">
        <v>2</v>
      </c>
      <c r="B18" s="13">
        <v>2</v>
      </c>
      <c r="C18" s="13" t="s">
        <v>104</v>
      </c>
      <c r="D18" s="13" t="s">
        <v>33</v>
      </c>
      <c r="E18" s="8" t="s">
        <v>46</v>
      </c>
      <c r="F18" s="8" t="s">
        <v>47</v>
      </c>
    </row>
    <row r="19" spans="1:6" x14ac:dyDescent="0.3">
      <c r="A19" s="8">
        <v>2</v>
      </c>
      <c r="B19" s="11">
        <v>1</v>
      </c>
      <c r="C19" s="11" t="s">
        <v>85</v>
      </c>
      <c r="D19" s="8" t="s">
        <v>44</v>
      </c>
      <c r="E19" s="8" t="s">
        <v>13</v>
      </c>
      <c r="F19" s="8" t="s">
        <v>62</v>
      </c>
    </row>
    <row r="20" spans="1:6" x14ac:dyDescent="0.3">
      <c r="A20" s="19">
        <v>2</v>
      </c>
      <c r="B20" s="13">
        <v>2</v>
      </c>
      <c r="C20" s="13" t="s">
        <v>104</v>
      </c>
      <c r="D20" s="13" t="s">
        <v>33</v>
      </c>
      <c r="E20" s="19" t="s">
        <v>46</v>
      </c>
      <c r="F20" s="19" t="s">
        <v>48</v>
      </c>
    </row>
    <row r="21" spans="1:6" x14ac:dyDescent="0.3">
      <c r="A21" s="8">
        <v>2</v>
      </c>
      <c r="B21" s="11">
        <v>1</v>
      </c>
      <c r="C21" s="11" t="s">
        <v>85</v>
      </c>
      <c r="D21" s="8" t="s">
        <v>44</v>
      </c>
      <c r="E21" s="8" t="s">
        <v>13</v>
      </c>
      <c r="F21" s="8" t="s">
        <v>61</v>
      </c>
    </row>
    <row r="22" spans="1:6" x14ac:dyDescent="0.3">
      <c r="A22" s="8">
        <v>2</v>
      </c>
      <c r="B22" s="11">
        <v>2</v>
      </c>
      <c r="C22" s="11" t="s">
        <v>84</v>
      </c>
      <c r="D22" s="8" t="s">
        <v>44</v>
      </c>
      <c r="E22" s="8" t="s">
        <v>14</v>
      </c>
      <c r="F22" s="8" t="s">
        <v>60</v>
      </c>
    </row>
    <row r="23" spans="1:6" x14ac:dyDescent="0.3">
      <c r="A23" s="8">
        <v>2</v>
      </c>
      <c r="B23" s="11">
        <v>1</v>
      </c>
      <c r="C23" s="11" t="s">
        <v>85</v>
      </c>
      <c r="D23" s="8" t="s">
        <v>44</v>
      </c>
      <c r="E23" s="8" t="s">
        <v>14</v>
      </c>
      <c r="F23" s="8" t="s">
        <v>59</v>
      </c>
    </row>
    <row r="24" spans="1:6" x14ac:dyDescent="0.3">
      <c r="A24" s="8">
        <v>2</v>
      </c>
      <c r="B24" s="13">
        <v>2</v>
      </c>
      <c r="C24" s="13" t="s">
        <v>104</v>
      </c>
      <c r="D24" s="13" t="s">
        <v>33</v>
      </c>
      <c r="E24" s="8" t="s">
        <v>46</v>
      </c>
      <c r="F24" s="8" t="s">
        <v>49</v>
      </c>
    </row>
    <row r="25" spans="1:6" x14ac:dyDescent="0.3">
      <c r="A25" s="8">
        <v>2</v>
      </c>
      <c r="B25" s="11">
        <v>2</v>
      </c>
      <c r="C25" s="11" t="s">
        <v>84</v>
      </c>
      <c r="D25" s="8" t="s">
        <v>44</v>
      </c>
      <c r="E25" s="8" t="s">
        <v>14</v>
      </c>
      <c r="F25" s="8" t="s">
        <v>58</v>
      </c>
    </row>
    <row r="26" spans="1:6" x14ac:dyDescent="0.3">
      <c r="A26" s="19">
        <v>2</v>
      </c>
      <c r="B26" s="13">
        <v>1</v>
      </c>
      <c r="C26" s="13" t="s">
        <v>103</v>
      </c>
      <c r="D26" s="13" t="s">
        <v>33</v>
      </c>
      <c r="E26" s="19" t="s">
        <v>46</v>
      </c>
      <c r="F26" s="19" t="s">
        <v>50</v>
      </c>
    </row>
    <row r="27" spans="1:6" x14ac:dyDescent="0.3">
      <c r="A27" s="8">
        <v>2</v>
      </c>
      <c r="B27" s="13">
        <v>1</v>
      </c>
      <c r="C27" s="13" t="s">
        <v>103</v>
      </c>
      <c r="D27" s="13" t="s">
        <v>33</v>
      </c>
      <c r="E27" s="8" t="s">
        <v>46</v>
      </c>
      <c r="F27" s="8" t="s">
        <v>51</v>
      </c>
    </row>
    <row r="28" spans="1:6" x14ac:dyDescent="0.3">
      <c r="A28" s="8">
        <v>2</v>
      </c>
      <c r="B28" s="11">
        <v>2</v>
      </c>
      <c r="C28" s="11" t="s">
        <v>84</v>
      </c>
      <c r="D28" s="8" t="s">
        <v>44</v>
      </c>
      <c r="E28" s="8" t="s">
        <v>13</v>
      </c>
      <c r="F28" s="8" t="s">
        <v>57</v>
      </c>
    </row>
    <row r="29" spans="1:6" x14ac:dyDescent="0.3">
      <c r="A29" s="19">
        <v>2</v>
      </c>
      <c r="B29" s="13">
        <v>1</v>
      </c>
      <c r="C29" s="13" t="s">
        <v>103</v>
      </c>
      <c r="D29" s="13" t="s">
        <v>33</v>
      </c>
      <c r="E29" s="19" t="s">
        <v>46</v>
      </c>
      <c r="F29" s="19" t="s">
        <v>52</v>
      </c>
    </row>
    <row r="30" spans="1:6" x14ac:dyDescent="0.3">
      <c r="A30" s="19">
        <v>2</v>
      </c>
      <c r="B30" s="16">
        <v>2</v>
      </c>
      <c r="C30" s="16" t="s">
        <v>84</v>
      </c>
      <c r="D30" s="19" t="s">
        <v>44</v>
      </c>
      <c r="E30" s="19" t="s">
        <v>13</v>
      </c>
      <c r="F30" s="19" t="s">
        <v>56</v>
      </c>
    </row>
    <row r="31" spans="1:6" x14ac:dyDescent="0.3">
      <c r="A31" s="8">
        <v>2</v>
      </c>
      <c r="B31" s="13">
        <v>2</v>
      </c>
      <c r="C31" s="13" t="s">
        <v>104</v>
      </c>
      <c r="D31" s="13" t="s">
        <v>33</v>
      </c>
      <c r="E31" s="8" t="s">
        <v>46</v>
      </c>
      <c r="F31" s="8" t="s">
        <v>53</v>
      </c>
    </row>
    <row r="32" spans="1:6" x14ac:dyDescent="0.3">
      <c r="A32" s="19">
        <v>2</v>
      </c>
      <c r="B32" s="13">
        <v>1</v>
      </c>
      <c r="C32" s="13" t="s">
        <v>103</v>
      </c>
      <c r="D32" s="13" t="s">
        <v>33</v>
      </c>
      <c r="E32" s="19" t="s">
        <v>46</v>
      </c>
      <c r="F32" s="19" t="s">
        <v>54</v>
      </c>
    </row>
    <row r="33" spans="1:6" x14ac:dyDescent="0.3">
      <c r="A33" s="19">
        <v>2</v>
      </c>
      <c r="B33" s="16">
        <v>1</v>
      </c>
      <c r="C33" s="16" t="s">
        <v>85</v>
      </c>
      <c r="D33" s="19" t="s">
        <v>44</v>
      </c>
      <c r="E33" s="19" t="s">
        <v>14</v>
      </c>
      <c r="F33" s="19" t="s">
        <v>55</v>
      </c>
    </row>
    <row r="34" spans="1:6" x14ac:dyDescent="0.3">
      <c r="A34" s="11">
        <v>3</v>
      </c>
      <c r="B34" s="11">
        <v>2</v>
      </c>
      <c r="C34" s="11" t="s">
        <v>84</v>
      </c>
      <c r="D34" s="8" t="s">
        <v>44</v>
      </c>
      <c r="E34" s="8" t="s">
        <v>14</v>
      </c>
      <c r="F34" s="8" t="s">
        <v>63</v>
      </c>
    </row>
    <row r="35" spans="1:6" x14ac:dyDescent="0.3">
      <c r="A35" s="11">
        <v>3</v>
      </c>
      <c r="B35" s="11">
        <v>1</v>
      </c>
      <c r="C35" s="11" t="s">
        <v>85</v>
      </c>
      <c r="D35" s="8" t="s">
        <v>44</v>
      </c>
      <c r="E35" s="8" t="s">
        <v>14</v>
      </c>
      <c r="F35" s="8" t="s">
        <v>64</v>
      </c>
    </row>
    <row r="36" spans="1:6" x14ac:dyDescent="0.3">
      <c r="A36" s="16">
        <v>3</v>
      </c>
      <c r="B36" s="14">
        <v>1</v>
      </c>
      <c r="C36" s="14" t="s">
        <v>103</v>
      </c>
      <c r="D36" s="14" t="s">
        <v>33</v>
      </c>
      <c r="E36" s="19" t="s">
        <v>46</v>
      </c>
      <c r="F36" s="19" t="s">
        <v>62</v>
      </c>
    </row>
    <row r="37" spans="1:6" x14ac:dyDescent="0.3">
      <c r="A37" s="16">
        <v>3</v>
      </c>
      <c r="B37" s="16">
        <v>2</v>
      </c>
      <c r="C37" s="16" t="s">
        <v>84</v>
      </c>
      <c r="D37" s="19" t="s">
        <v>44</v>
      </c>
      <c r="E37" s="19" t="s">
        <v>14</v>
      </c>
      <c r="F37" s="19" t="s">
        <v>65</v>
      </c>
    </row>
    <row r="38" spans="1:6" x14ac:dyDescent="0.3">
      <c r="A38" s="11">
        <v>3</v>
      </c>
      <c r="B38" s="14">
        <v>1</v>
      </c>
      <c r="C38" s="14" t="s">
        <v>103</v>
      </c>
      <c r="D38" s="14" t="s">
        <v>33</v>
      </c>
      <c r="E38" s="8" t="s">
        <v>46</v>
      </c>
      <c r="F38" s="8" t="s">
        <v>61</v>
      </c>
    </row>
    <row r="39" spans="1:6" x14ac:dyDescent="0.3">
      <c r="A39" s="11">
        <v>3</v>
      </c>
      <c r="B39" s="11">
        <v>2</v>
      </c>
      <c r="C39" s="11" t="s">
        <v>84</v>
      </c>
      <c r="D39" s="8" t="s">
        <v>44</v>
      </c>
      <c r="E39" s="8" t="s">
        <v>13</v>
      </c>
      <c r="F39" s="8" t="s">
        <v>66</v>
      </c>
    </row>
    <row r="40" spans="1:6" x14ac:dyDescent="0.3">
      <c r="A40" s="16">
        <v>3</v>
      </c>
      <c r="B40" s="14">
        <v>2</v>
      </c>
      <c r="C40" s="14" t="s">
        <v>104</v>
      </c>
      <c r="D40" s="14" t="s">
        <v>33</v>
      </c>
      <c r="E40" s="19" t="s">
        <v>46</v>
      </c>
      <c r="F40" s="19" t="s">
        <v>60</v>
      </c>
    </row>
    <row r="41" spans="1:6" x14ac:dyDescent="0.3">
      <c r="A41" s="11">
        <v>3</v>
      </c>
      <c r="B41" s="14">
        <v>1</v>
      </c>
      <c r="C41" s="14" t="s">
        <v>103</v>
      </c>
      <c r="D41" s="14" t="s">
        <v>33</v>
      </c>
      <c r="E41" s="8" t="s">
        <v>46</v>
      </c>
      <c r="F41" s="8" t="s">
        <v>59</v>
      </c>
    </row>
    <row r="42" spans="1:6" x14ac:dyDescent="0.3">
      <c r="A42" s="16">
        <v>3</v>
      </c>
      <c r="B42" s="14">
        <v>1</v>
      </c>
      <c r="C42" s="14" t="s">
        <v>103</v>
      </c>
      <c r="D42" s="14" t="s">
        <v>33</v>
      </c>
      <c r="E42" s="19" t="s">
        <v>46</v>
      </c>
      <c r="F42" s="19" t="s">
        <v>58</v>
      </c>
    </row>
    <row r="43" spans="1:6" x14ac:dyDescent="0.3">
      <c r="A43" s="16">
        <v>3</v>
      </c>
      <c r="B43" s="16">
        <v>2</v>
      </c>
      <c r="C43" s="16" t="s">
        <v>84</v>
      </c>
      <c r="D43" s="19" t="s">
        <v>44</v>
      </c>
      <c r="E43" s="19" t="s">
        <v>13</v>
      </c>
      <c r="F43" s="19" t="s">
        <v>67</v>
      </c>
    </row>
    <row r="44" spans="1:6" x14ac:dyDescent="0.3">
      <c r="A44" s="16">
        <v>3</v>
      </c>
      <c r="B44" s="16">
        <v>1</v>
      </c>
      <c r="C44" s="16" t="s">
        <v>85</v>
      </c>
      <c r="D44" s="19" t="s">
        <v>44</v>
      </c>
      <c r="E44" s="19" t="s">
        <v>14</v>
      </c>
      <c r="F44" s="19" t="s">
        <v>68</v>
      </c>
    </row>
    <row r="45" spans="1:6" x14ac:dyDescent="0.3">
      <c r="A45" s="11">
        <v>3</v>
      </c>
      <c r="B45" s="14">
        <v>2</v>
      </c>
      <c r="C45" s="14" t="s">
        <v>104</v>
      </c>
      <c r="D45" s="14" t="s">
        <v>33</v>
      </c>
      <c r="E45" s="8" t="s">
        <v>46</v>
      </c>
      <c r="F45" s="8" t="s">
        <v>57</v>
      </c>
    </row>
    <row r="46" spans="1:6" x14ac:dyDescent="0.3">
      <c r="A46" s="11">
        <v>3</v>
      </c>
      <c r="B46" s="11">
        <v>1</v>
      </c>
      <c r="C46" s="11" t="s">
        <v>85</v>
      </c>
      <c r="D46" s="8" t="s">
        <v>44</v>
      </c>
      <c r="E46" s="8" t="s">
        <v>13</v>
      </c>
      <c r="F46" s="8" t="s">
        <v>69</v>
      </c>
    </row>
    <row r="47" spans="1:6" x14ac:dyDescent="0.3">
      <c r="A47" s="16">
        <v>3</v>
      </c>
      <c r="B47" s="14">
        <v>2</v>
      </c>
      <c r="C47" s="14" t="s">
        <v>104</v>
      </c>
      <c r="D47" s="14" t="s">
        <v>33</v>
      </c>
      <c r="E47" s="19" t="s">
        <v>46</v>
      </c>
      <c r="F47" s="19" t="s">
        <v>56</v>
      </c>
    </row>
    <row r="48" spans="1:6" x14ac:dyDescent="0.3">
      <c r="A48" s="11">
        <v>3</v>
      </c>
      <c r="B48" s="14">
        <v>2</v>
      </c>
      <c r="C48" s="14" t="s">
        <v>104</v>
      </c>
      <c r="D48" s="14" t="s">
        <v>33</v>
      </c>
      <c r="E48" s="8" t="s">
        <v>46</v>
      </c>
      <c r="F48" s="8" t="s">
        <v>55</v>
      </c>
    </row>
    <row r="49" spans="1:6" x14ac:dyDescent="0.3">
      <c r="A49" s="11">
        <v>3</v>
      </c>
      <c r="B49" s="11">
        <v>1</v>
      </c>
      <c r="C49" s="11" t="s">
        <v>85</v>
      </c>
      <c r="D49" s="8" t="s">
        <v>44</v>
      </c>
      <c r="E49" s="8" t="s">
        <v>13</v>
      </c>
      <c r="F49" s="8" t="s">
        <v>70</v>
      </c>
    </row>
    <row r="50" spans="1:6" x14ac:dyDescent="0.3">
      <c r="A50" s="8">
        <v>4</v>
      </c>
      <c r="B50" s="15">
        <v>2</v>
      </c>
      <c r="C50" s="15" t="s">
        <v>104</v>
      </c>
      <c r="D50" s="15" t="s">
        <v>33</v>
      </c>
      <c r="E50" s="8" t="s">
        <v>46</v>
      </c>
      <c r="F50" s="8" t="s">
        <v>63</v>
      </c>
    </row>
    <row r="51" spans="1:6" x14ac:dyDescent="0.3">
      <c r="A51" s="8">
        <v>4</v>
      </c>
      <c r="B51" s="11">
        <v>1</v>
      </c>
      <c r="C51" s="11" t="s">
        <v>85</v>
      </c>
      <c r="D51" s="8" t="s">
        <v>44</v>
      </c>
      <c r="E51" s="8" t="s">
        <v>13</v>
      </c>
      <c r="F51" s="8" t="s">
        <v>78</v>
      </c>
    </row>
    <row r="52" spans="1:6" x14ac:dyDescent="0.3">
      <c r="A52" s="8">
        <v>4</v>
      </c>
      <c r="B52" s="11">
        <v>2</v>
      </c>
      <c r="C52" s="11" t="s">
        <v>84</v>
      </c>
      <c r="D52" s="8" t="s">
        <v>44</v>
      </c>
      <c r="E52" s="8" t="s">
        <v>14</v>
      </c>
      <c r="F52" s="8" t="s">
        <v>77</v>
      </c>
    </row>
    <row r="53" spans="1:6" x14ac:dyDescent="0.3">
      <c r="A53" s="19">
        <v>4</v>
      </c>
      <c r="B53" s="15">
        <v>1</v>
      </c>
      <c r="C53" s="15" t="s">
        <v>103</v>
      </c>
      <c r="D53" s="15" t="s">
        <v>33</v>
      </c>
      <c r="E53" s="19" t="s">
        <v>46</v>
      </c>
      <c r="F53" s="19" t="s">
        <v>64</v>
      </c>
    </row>
    <row r="54" spans="1:6" x14ac:dyDescent="0.3">
      <c r="A54" s="8">
        <v>4</v>
      </c>
      <c r="B54" s="15">
        <v>1</v>
      </c>
      <c r="C54" s="15" t="s">
        <v>103</v>
      </c>
      <c r="D54" s="15" t="s">
        <v>33</v>
      </c>
      <c r="E54" s="8" t="s">
        <v>46</v>
      </c>
      <c r="F54" s="8" t="s">
        <v>65</v>
      </c>
    </row>
    <row r="55" spans="1:6" x14ac:dyDescent="0.3">
      <c r="A55" s="8">
        <v>4</v>
      </c>
      <c r="B55" s="11">
        <v>2</v>
      </c>
      <c r="C55" s="11" t="s">
        <v>84</v>
      </c>
      <c r="D55" s="8" t="s">
        <v>44</v>
      </c>
      <c r="E55" s="8" t="s">
        <v>13</v>
      </c>
      <c r="F55" s="8" t="s">
        <v>76</v>
      </c>
    </row>
    <row r="56" spans="1:6" x14ac:dyDescent="0.3">
      <c r="A56" s="8">
        <v>4</v>
      </c>
      <c r="B56" s="11">
        <v>1</v>
      </c>
      <c r="C56" s="11" t="s">
        <v>85</v>
      </c>
      <c r="D56" s="8" t="s">
        <v>44</v>
      </c>
      <c r="E56" s="8" t="s">
        <v>14</v>
      </c>
      <c r="F56" s="8" t="s">
        <v>75</v>
      </c>
    </row>
    <row r="57" spans="1:6" x14ac:dyDescent="0.3">
      <c r="A57" s="19">
        <v>4</v>
      </c>
      <c r="B57" s="15">
        <v>2</v>
      </c>
      <c r="C57" s="15" t="s">
        <v>104</v>
      </c>
      <c r="D57" s="15" t="s">
        <v>33</v>
      </c>
      <c r="E57" s="19" t="s">
        <v>46</v>
      </c>
      <c r="F57" s="19" t="s">
        <v>66</v>
      </c>
    </row>
    <row r="58" spans="1:6" x14ac:dyDescent="0.3">
      <c r="A58" s="19">
        <v>4</v>
      </c>
      <c r="B58" s="16">
        <v>2</v>
      </c>
      <c r="C58" s="16" t="s">
        <v>84</v>
      </c>
      <c r="D58" s="19" t="s">
        <v>44</v>
      </c>
      <c r="E58" s="19" t="s">
        <v>14</v>
      </c>
      <c r="F58" s="19" t="s">
        <v>74</v>
      </c>
    </row>
    <row r="59" spans="1:6" x14ac:dyDescent="0.3">
      <c r="A59" s="19">
        <v>4</v>
      </c>
      <c r="B59" s="16">
        <v>2</v>
      </c>
      <c r="C59" s="16" t="s">
        <v>84</v>
      </c>
      <c r="D59" s="19" t="s">
        <v>44</v>
      </c>
      <c r="E59" s="19" t="s">
        <v>13</v>
      </c>
      <c r="F59" s="19" t="s">
        <v>73</v>
      </c>
    </row>
    <row r="60" spans="1:6" x14ac:dyDescent="0.3">
      <c r="A60" s="8">
        <v>4</v>
      </c>
      <c r="B60" s="15">
        <v>1</v>
      </c>
      <c r="C60" s="15" t="s">
        <v>103</v>
      </c>
      <c r="D60" s="15" t="s">
        <v>33</v>
      </c>
      <c r="E60" s="8" t="s">
        <v>46</v>
      </c>
      <c r="F60" s="8" t="s">
        <v>67</v>
      </c>
    </row>
    <row r="61" spans="1:6" x14ac:dyDescent="0.3">
      <c r="A61" s="19">
        <v>4</v>
      </c>
      <c r="B61" s="15">
        <v>2</v>
      </c>
      <c r="C61" s="15" t="s">
        <v>104</v>
      </c>
      <c r="D61" s="15" t="s">
        <v>33</v>
      </c>
      <c r="E61" s="19" t="s">
        <v>46</v>
      </c>
      <c r="F61" s="19" t="s">
        <v>68</v>
      </c>
    </row>
    <row r="62" spans="1:6" x14ac:dyDescent="0.3">
      <c r="A62" s="8">
        <v>4</v>
      </c>
      <c r="B62" s="15">
        <v>1</v>
      </c>
      <c r="C62" s="15" t="s">
        <v>103</v>
      </c>
      <c r="D62" s="15" t="s">
        <v>33</v>
      </c>
      <c r="E62" s="8" t="s">
        <v>46</v>
      </c>
      <c r="F62" s="8" t="s">
        <v>69</v>
      </c>
    </row>
    <row r="63" spans="1:6" x14ac:dyDescent="0.3">
      <c r="A63" s="8">
        <v>4</v>
      </c>
      <c r="B63" s="11">
        <v>1</v>
      </c>
      <c r="C63" s="11" t="s">
        <v>85</v>
      </c>
      <c r="D63" s="8" t="s">
        <v>44</v>
      </c>
      <c r="E63" s="8" t="s">
        <v>14</v>
      </c>
      <c r="F63" s="8" t="s">
        <v>72</v>
      </c>
    </row>
    <row r="64" spans="1:6" x14ac:dyDescent="0.3">
      <c r="A64" s="19">
        <v>4</v>
      </c>
      <c r="B64" s="15">
        <v>1</v>
      </c>
      <c r="C64" s="15" t="s">
        <v>104</v>
      </c>
      <c r="D64" s="15" t="s">
        <v>33</v>
      </c>
      <c r="E64" s="19" t="s">
        <v>46</v>
      </c>
      <c r="F64" s="19" t="s">
        <v>70</v>
      </c>
    </row>
    <row r="65" spans="1:6" x14ac:dyDescent="0.3">
      <c r="A65" s="19">
        <v>4</v>
      </c>
      <c r="B65" s="16">
        <v>1</v>
      </c>
      <c r="C65" s="16" t="s">
        <v>85</v>
      </c>
      <c r="D65" s="19" t="s">
        <v>44</v>
      </c>
      <c r="E65" s="19" t="s">
        <v>13</v>
      </c>
      <c r="F65" s="19" t="s">
        <v>71</v>
      </c>
    </row>
    <row r="66" spans="1:6" x14ac:dyDescent="0.3">
      <c r="A66" t="s">
        <v>29</v>
      </c>
    </row>
    <row r="67" spans="1:6" x14ac:dyDescent="0.3">
      <c r="A67" s="11">
        <v>1</v>
      </c>
      <c r="B67" s="8">
        <v>2</v>
      </c>
      <c r="C67" s="19" t="s">
        <v>84</v>
      </c>
      <c r="D67" s="8" t="s">
        <v>44</v>
      </c>
      <c r="E67" s="8" t="s">
        <v>13</v>
      </c>
      <c r="F67" s="8" t="s">
        <v>50</v>
      </c>
    </row>
    <row r="68" spans="1:6" x14ac:dyDescent="0.3">
      <c r="A68" s="16">
        <v>1</v>
      </c>
      <c r="B68" s="18">
        <v>1</v>
      </c>
      <c r="C68" s="17" t="s">
        <v>103</v>
      </c>
      <c r="D68" s="12" t="s">
        <v>33</v>
      </c>
      <c r="E68" s="19" t="s">
        <v>46</v>
      </c>
      <c r="F68" s="19" t="s">
        <v>76</v>
      </c>
    </row>
    <row r="69" spans="1:6" x14ac:dyDescent="0.3">
      <c r="A69" s="11">
        <v>1</v>
      </c>
      <c r="B69" s="18">
        <v>1</v>
      </c>
      <c r="C69" s="17" t="s">
        <v>103</v>
      </c>
      <c r="D69" s="12" t="s">
        <v>33</v>
      </c>
      <c r="E69" s="8" t="s">
        <v>46</v>
      </c>
      <c r="F69" s="8" t="s">
        <v>71</v>
      </c>
    </row>
    <row r="70" spans="1:6" x14ac:dyDescent="0.3">
      <c r="A70" s="11">
        <v>1</v>
      </c>
      <c r="B70" s="8">
        <v>2</v>
      </c>
      <c r="C70" s="19" t="s">
        <v>84</v>
      </c>
      <c r="D70" s="8" t="s">
        <v>44</v>
      </c>
      <c r="E70" s="8" t="s">
        <v>13</v>
      </c>
      <c r="F70" s="8" t="s">
        <v>49</v>
      </c>
    </row>
    <row r="71" spans="1:6" x14ac:dyDescent="0.3">
      <c r="A71" s="11">
        <v>1</v>
      </c>
      <c r="B71" s="8">
        <v>1</v>
      </c>
      <c r="C71" s="8" t="s">
        <v>85</v>
      </c>
      <c r="D71" s="8" t="s">
        <v>44</v>
      </c>
      <c r="E71" s="8" t="s">
        <v>14</v>
      </c>
      <c r="F71" s="8" t="s">
        <v>52</v>
      </c>
    </row>
    <row r="72" spans="1:6" x14ac:dyDescent="0.3">
      <c r="A72" s="16">
        <v>1</v>
      </c>
      <c r="B72" s="18">
        <v>2</v>
      </c>
      <c r="C72" s="17" t="s">
        <v>104</v>
      </c>
      <c r="D72" s="12" t="s">
        <v>33</v>
      </c>
      <c r="E72" s="19" t="s">
        <v>46</v>
      </c>
      <c r="F72" s="19" t="s">
        <v>75</v>
      </c>
    </row>
    <row r="73" spans="1:6" x14ac:dyDescent="0.3">
      <c r="A73" s="16">
        <v>1</v>
      </c>
      <c r="B73" s="19">
        <v>2</v>
      </c>
      <c r="C73" s="19" t="s">
        <v>84</v>
      </c>
      <c r="D73" s="19" t="s">
        <v>44</v>
      </c>
      <c r="E73" s="19" t="s">
        <v>14</v>
      </c>
      <c r="F73" s="19" t="s">
        <v>48</v>
      </c>
    </row>
    <row r="74" spans="1:6" x14ac:dyDescent="0.3">
      <c r="A74" s="16">
        <v>1</v>
      </c>
      <c r="B74" s="19">
        <v>1</v>
      </c>
      <c r="C74" s="19" t="s">
        <v>85</v>
      </c>
      <c r="D74" s="19" t="s">
        <v>44</v>
      </c>
      <c r="E74" s="19" t="s">
        <v>14</v>
      </c>
      <c r="F74" s="19" t="s">
        <v>47</v>
      </c>
    </row>
    <row r="75" spans="1:6" x14ac:dyDescent="0.3">
      <c r="A75" s="11">
        <v>1</v>
      </c>
      <c r="B75" s="18">
        <v>2</v>
      </c>
      <c r="C75" s="17" t="s">
        <v>104</v>
      </c>
      <c r="D75" s="12" t="s">
        <v>33</v>
      </c>
      <c r="E75" s="8" t="s">
        <v>46</v>
      </c>
      <c r="F75" s="8" t="s">
        <v>77</v>
      </c>
    </row>
    <row r="76" spans="1:6" x14ac:dyDescent="0.3">
      <c r="A76" s="11">
        <v>1</v>
      </c>
      <c r="B76" s="8">
        <v>1</v>
      </c>
      <c r="C76" s="19" t="s">
        <v>85</v>
      </c>
      <c r="D76" s="8" t="s">
        <v>44</v>
      </c>
      <c r="E76" s="8" t="s">
        <v>13</v>
      </c>
      <c r="F76" s="8" t="s">
        <v>54</v>
      </c>
    </row>
    <row r="77" spans="1:6" x14ac:dyDescent="0.3">
      <c r="A77" s="16">
        <v>1</v>
      </c>
      <c r="B77" s="18">
        <v>2</v>
      </c>
      <c r="C77" s="17" t="s">
        <v>104</v>
      </c>
      <c r="D77" s="12" t="s">
        <v>33</v>
      </c>
      <c r="E77" s="19" t="s">
        <v>46</v>
      </c>
      <c r="F77" s="19" t="s">
        <v>72</v>
      </c>
    </row>
    <row r="78" spans="1:6" x14ac:dyDescent="0.3">
      <c r="A78" s="16">
        <v>1</v>
      </c>
      <c r="B78" s="19">
        <v>1</v>
      </c>
      <c r="C78" s="19" t="s">
        <v>85</v>
      </c>
      <c r="D78" s="19" t="s">
        <v>44</v>
      </c>
      <c r="E78" s="19" t="s">
        <v>13</v>
      </c>
      <c r="F78" s="19" t="s">
        <v>51</v>
      </c>
    </row>
    <row r="79" spans="1:6" x14ac:dyDescent="0.3">
      <c r="A79" s="11">
        <v>1</v>
      </c>
      <c r="B79" s="18">
        <v>1</v>
      </c>
      <c r="C79" s="18" t="s">
        <v>103</v>
      </c>
      <c r="D79" s="12" t="s">
        <v>33</v>
      </c>
      <c r="E79" s="8" t="s">
        <v>46</v>
      </c>
      <c r="F79" s="8" t="s">
        <v>78</v>
      </c>
    </row>
    <row r="80" spans="1:6" x14ac:dyDescent="0.3">
      <c r="A80" s="16">
        <v>1</v>
      </c>
      <c r="B80" s="18">
        <v>2</v>
      </c>
      <c r="C80" s="17" t="s">
        <v>104</v>
      </c>
      <c r="D80" s="12" t="s">
        <v>33</v>
      </c>
      <c r="E80" s="19" t="s">
        <v>46</v>
      </c>
      <c r="F80" s="19" t="s">
        <v>73</v>
      </c>
    </row>
    <row r="81" spans="1:6" x14ac:dyDescent="0.3">
      <c r="A81" s="16">
        <v>1</v>
      </c>
      <c r="B81" s="19">
        <v>2</v>
      </c>
      <c r="C81" s="19" t="s">
        <v>84</v>
      </c>
      <c r="D81" s="19" t="s">
        <v>44</v>
      </c>
      <c r="E81" s="19" t="s">
        <v>14</v>
      </c>
      <c r="F81" s="19" t="s">
        <v>53</v>
      </c>
    </row>
    <row r="82" spans="1:6" x14ac:dyDescent="0.3">
      <c r="A82" s="11">
        <v>1</v>
      </c>
      <c r="B82" s="18">
        <v>1</v>
      </c>
      <c r="C82" s="18" t="s">
        <v>103</v>
      </c>
      <c r="D82" s="12" t="s">
        <v>33</v>
      </c>
      <c r="E82" s="8" t="s">
        <v>46</v>
      </c>
      <c r="F82" s="8" t="s">
        <v>74</v>
      </c>
    </row>
    <row r="83" spans="1:6" x14ac:dyDescent="0.3">
      <c r="A83" s="19">
        <v>2</v>
      </c>
      <c r="B83" s="19">
        <v>1</v>
      </c>
      <c r="C83" s="16" t="s">
        <v>85</v>
      </c>
      <c r="D83" s="19" t="s">
        <v>44</v>
      </c>
      <c r="E83" s="19" t="s">
        <v>13</v>
      </c>
      <c r="F83" s="19" t="s">
        <v>58</v>
      </c>
    </row>
    <row r="84" spans="1:6" x14ac:dyDescent="0.3">
      <c r="A84" s="8">
        <v>2</v>
      </c>
      <c r="B84" s="13">
        <v>2</v>
      </c>
      <c r="C84" s="13" t="s">
        <v>104</v>
      </c>
      <c r="D84" s="13" t="s">
        <v>33</v>
      </c>
      <c r="E84" s="8" t="s">
        <v>46</v>
      </c>
      <c r="F84" s="8" t="s">
        <v>50</v>
      </c>
    </row>
    <row r="85" spans="1:6" x14ac:dyDescent="0.3">
      <c r="A85" s="8">
        <v>2</v>
      </c>
      <c r="B85" s="8">
        <v>1</v>
      </c>
      <c r="C85" s="8" t="s">
        <v>85</v>
      </c>
      <c r="D85" s="8" t="s">
        <v>44</v>
      </c>
      <c r="E85" s="8" t="s">
        <v>13</v>
      </c>
      <c r="F85" s="8" t="s">
        <v>60</v>
      </c>
    </row>
    <row r="86" spans="1:6" x14ac:dyDescent="0.3">
      <c r="A86" s="8">
        <v>2</v>
      </c>
      <c r="B86" s="8">
        <v>2</v>
      </c>
      <c r="C86" s="8" t="s">
        <v>84</v>
      </c>
      <c r="D86" s="8" t="s">
        <v>44</v>
      </c>
      <c r="E86" s="8" t="s">
        <v>14</v>
      </c>
      <c r="F86" s="8" t="s">
        <v>62</v>
      </c>
    </row>
    <row r="87" spans="1:6" x14ac:dyDescent="0.3">
      <c r="A87" s="19">
        <v>2</v>
      </c>
      <c r="B87" s="13">
        <v>2</v>
      </c>
      <c r="C87" s="13" t="s">
        <v>104</v>
      </c>
      <c r="D87" s="13" t="s">
        <v>33</v>
      </c>
      <c r="E87" s="19" t="s">
        <v>46</v>
      </c>
      <c r="F87" s="19" t="s">
        <v>49</v>
      </c>
    </row>
    <row r="88" spans="1:6" x14ac:dyDescent="0.3">
      <c r="A88" s="19">
        <v>2</v>
      </c>
      <c r="B88" s="19">
        <v>1</v>
      </c>
      <c r="C88" s="19" t="s">
        <v>85</v>
      </c>
      <c r="D88" s="19" t="s">
        <v>44</v>
      </c>
      <c r="E88" s="19" t="s">
        <v>14</v>
      </c>
      <c r="F88" s="19" t="s">
        <v>56</v>
      </c>
    </row>
    <row r="89" spans="1:6" x14ac:dyDescent="0.3">
      <c r="A89" s="19">
        <v>2</v>
      </c>
      <c r="B89" s="19">
        <v>2</v>
      </c>
      <c r="C89" s="19" t="s">
        <v>84</v>
      </c>
      <c r="D89" s="19" t="s">
        <v>44</v>
      </c>
      <c r="E89" s="19" t="s">
        <v>14</v>
      </c>
      <c r="F89" s="19" t="s">
        <v>61</v>
      </c>
    </row>
    <row r="90" spans="1:6" x14ac:dyDescent="0.3">
      <c r="A90" s="8">
        <v>2</v>
      </c>
      <c r="B90" s="13">
        <v>1</v>
      </c>
      <c r="C90" s="13" t="s">
        <v>103</v>
      </c>
      <c r="D90" s="13" t="s">
        <v>33</v>
      </c>
      <c r="E90" s="8" t="s">
        <v>46</v>
      </c>
      <c r="F90" s="8" t="s">
        <v>52</v>
      </c>
    </row>
    <row r="91" spans="1:6" x14ac:dyDescent="0.3">
      <c r="A91" s="19">
        <v>2</v>
      </c>
      <c r="B91" s="13">
        <v>1</v>
      </c>
      <c r="C91" s="13" t="s">
        <v>103</v>
      </c>
      <c r="D91" s="13" t="s">
        <v>33</v>
      </c>
      <c r="E91" s="19" t="s">
        <v>46</v>
      </c>
      <c r="F91" s="19" t="s">
        <v>48</v>
      </c>
    </row>
    <row r="92" spans="1:6" x14ac:dyDescent="0.3">
      <c r="A92" s="19">
        <v>2</v>
      </c>
      <c r="B92" s="19">
        <v>2</v>
      </c>
      <c r="C92" s="19" t="s">
        <v>84</v>
      </c>
      <c r="D92" s="19" t="s">
        <v>44</v>
      </c>
      <c r="E92" s="19" t="s">
        <v>13</v>
      </c>
      <c r="F92" s="19" t="s">
        <v>59</v>
      </c>
    </row>
    <row r="93" spans="1:6" x14ac:dyDescent="0.3">
      <c r="A93" s="8">
        <v>2</v>
      </c>
      <c r="B93" s="13">
        <v>1</v>
      </c>
      <c r="C93" s="13" t="s">
        <v>103</v>
      </c>
      <c r="D93" s="13" t="s">
        <v>33</v>
      </c>
      <c r="E93" s="8" t="s">
        <v>46</v>
      </c>
      <c r="F93" s="8" t="s">
        <v>47</v>
      </c>
    </row>
    <row r="94" spans="1:6" x14ac:dyDescent="0.3">
      <c r="A94" s="8">
        <v>2</v>
      </c>
      <c r="B94" s="8">
        <v>2</v>
      </c>
      <c r="C94" s="8" t="s">
        <v>84</v>
      </c>
      <c r="D94" s="8" t="s">
        <v>44</v>
      </c>
      <c r="E94" s="8" t="s">
        <v>13</v>
      </c>
      <c r="F94" s="8" t="s">
        <v>55</v>
      </c>
    </row>
    <row r="95" spans="1:6" x14ac:dyDescent="0.3">
      <c r="A95" s="19">
        <v>2</v>
      </c>
      <c r="B95" s="13">
        <v>2</v>
      </c>
      <c r="C95" s="13" t="s">
        <v>104</v>
      </c>
      <c r="D95" s="13" t="s">
        <v>33</v>
      </c>
      <c r="E95" s="19" t="s">
        <v>46</v>
      </c>
      <c r="F95" s="19" t="s">
        <v>54</v>
      </c>
    </row>
    <row r="96" spans="1:6" x14ac:dyDescent="0.3">
      <c r="A96" s="8">
        <v>2</v>
      </c>
      <c r="B96" s="13">
        <v>1</v>
      </c>
      <c r="C96" s="13" t="s">
        <v>103</v>
      </c>
      <c r="D96" s="13" t="s">
        <v>33</v>
      </c>
      <c r="E96" s="8" t="s">
        <v>46</v>
      </c>
      <c r="F96" s="8" t="s">
        <v>51</v>
      </c>
    </row>
    <row r="97" spans="1:6" x14ac:dyDescent="0.3">
      <c r="A97" s="19">
        <v>2</v>
      </c>
      <c r="B97" s="13">
        <v>2</v>
      </c>
      <c r="C97" s="13" t="s">
        <v>104</v>
      </c>
      <c r="D97" s="13" t="s">
        <v>33</v>
      </c>
      <c r="E97" s="19" t="s">
        <v>46</v>
      </c>
      <c r="F97" s="19" t="s">
        <v>53</v>
      </c>
    </row>
    <row r="98" spans="1:6" x14ac:dyDescent="0.3">
      <c r="A98" s="19">
        <v>2</v>
      </c>
      <c r="B98" s="19">
        <v>1</v>
      </c>
      <c r="C98" s="19" t="s">
        <v>85</v>
      </c>
      <c r="D98" s="19" t="s">
        <v>44</v>
      </c>
      <c r="E98" s="19" t="s">
        <v>14</v>
      </c>
      <c r="F98" s="19" t="s">
        <v>57</v>
      </c>
    </row>
    <row r="99" spans="1:6" x14ac:dyDescent="0.3">
      <c r="A99" s="16">
        <v>3</v>
      </c>
      <c r="B99" s="14">
        <v>2</v>
      </c>
      <c r="C99" s="14" t="s">
        <v>104</v>
      </c>
      <c r="D99" s="14" t="s">
        <v>33</v>
      </c>
      <c r="E99" s="19" t="s">
        <v>46</v>
      </c>
      <c r="F99" s="19" t="s">
        <v>58</v>
      </c>
    </row>
    <row r="100" spans="1:6" x14ac:dyDescent="0.3">
      <c r="A100" s="16">
        <v>3</v>
      </c>
      <c r="B100" s="19">
        <v>2</v>
      </c>
      <c r="C100" s="19" t="s">
        <v>84</v>
      </c>
      <c r="D100" s="19" t="s">
        <v>44</v>
      </c>
      <c r="E100" s="19" t="s">
        <v>14</v>
      </c>
      <c r="F100" s="19" t="s">
        <v>68</v>
      </c>
    </row>
    <row r="101" spans="1:6" x14ac:dyDescent="0.3">
      <c r="A101" s="11">
        <v>3</v>
      </c>
      <c r="B101" s="14">
        <v>2</v>
      </c>
      <c r="C101" s="14" t="s">
        <v>104</v>
      </c>
      <c r="D101" s="14" t="s">
        <v>33</v>
      </c>
      <c r="E101" s="8" t="s">
        <v>46</v>
      </c>
      <c r="F101" s="8" t="s">
        <v>60</v>
      </c>
    </row>
    <row r="102" spans="1:6" x14ac:dyDescent="0.3">
      <c r="A102" s="11">
        <v>3</v>
      </c>
      <c r="B102" s="8">
        <v>1</v>
      </c>
      <c r="C102" s="8" t="s">
        <v>85</v>
      </c>
      <c r="D102" s="8" t="s">
        <v>44</v>
      </c>
      <c r="E102" s="8" t="s">
        <v>14</v>
      </c>
      <c r="F102" s="8" t="s">
        <v>66</v>
      </c>
    </row>
    <row r="103" spans="1:6" x14ac:dyDescent="0.3">
      <c r="A103" s="11">
        <v>3</v>
      </c>
      <c r="B103" s="8">
        <v>2</v>
      </c>
      <c r="C103" s="8" t="s">
        <v>84</v>
      </c>
      <c r="D103" s="8" t="s">
        <v>44</v>
      </c>
      <c r="E103" s="8" t="s">
        <v>14</v>
      </c>
      <c r="F103" s="8" t="s">
        <v>70</v>
      </c>
    </row>
    <row r="104" spans="1:6" x14ac:dyDescent="0.3">
      <c r="A104" s="16">
        <v>3</v>
      </c>
      <c r="B104" s="14">
        <v>1</v>
      </c>
      <c r="C104" s="14" t="s">
        <v>103</v>
      </c>
      <c r="D104" s="14" t="s">
        <v>33</v>
      </c>
      <c r="E104" s="19" t="s">
        <v>46</v>
      </c>
      <c r="F104" s="19" t="s">
        <v>62</v>
      </c>
    </row>
    <row r="105" spans="1:6" x14ac:dyDescent="0.3">
      <c r="A105" s="16">
        <v>3</v>
      </c>
      <c r="B105" s="19">
        <v>2</v>
      </c>
      <c r="C105" s="19" t="s">
        <v>84</v>
      </c>
      <c r="D105" s="19" t="s">
        <v>44</v>
      </c>
      <c r="E105" s="19" t="s">
        <v>13</v>
      </c>
      <c r="F105" s="19" t="s">
        <v>69</v>
      </c>
    </row>
    <row r="106" spans="1:6" x14ac:dyDescent="0.3">
      <c r="A106" s="11">
        <v>3</v>
      </c>
      <c r="B106" s="14">
        <v>1</v>
      </c>
      <c r="C106" s="14" t="s">
        <v>103</v>
      </c>
      <c r="D106" s="14" t="s">
        <v>33</v>
      </c>
      <c r="E106" s="8" t="s">
        <v>46</v>
      </c>
      <c r="F106" s="8" t="s">
        <v>56</v>
      </c>
    </row>
    <row r="107" spans="1:6" x14ac:dyDescent="0.3">
      <c r="A107" s="16">
        <v>3</v>
      </c>
      <c r="B107" s="14">
        <v>1</v>
      </c>
      <c r="C107" s="14" t="s">
        <v>103</v>
      </c>
      <c r="D107" s="14" t="s">
        <v>33</v>
      </c>
      <c r="E107" s="19" t="s">
        <v>46</v>
      </c>
      <c r="F107" s="19" t="s">
        <v>61</v>
      </c>
    </row>
    <row r="108" spans="1:6" x14ac:dyDescent="0.3">
      <c r="A108" s="16">
        <v>3</v>
      </c>
      <c r="B108" s="19">
        <v>2</v>
      </c>
      <c r="C108" s="19" t="s">
        <v>84</v>
      </c>
      <c r="D108" s="19" t="s">
        <v>44</v>
      </c>
      <c r="E108" s="19" t="s">
        <v>13</v>
      </c>
      <c r="F108" s="19" t="s">
        <v>63</v>
      </c>
    </row>
    <row r="109" spans="1:6" x14ac:dyDescent="0.3">
      <c r="A109" s="16">
        <v>3</v>
      </c>
      <c r="B109" s="19">
        <v>1</v>
      </c>
      <c r="C109" s="19" t="s">
        <v>85</v>
      </c>
      <c r="D109" s="19" t="s">
        <v>44</v>
      </c>
      <c r="E109" s="19" t="s">
        <v>14</v>
      </c>
      <c r="F109" s="19" t="s">
        <v>65</v>
      </c>
    </row>
    <row r="110" spans="1:6" x14ac:dyDescent="0.3">
      <c r="A110" s="11">
        <v>3</v>
      </c>
      <c r="B110" s="14">
        <v>2</v>
      </c>
      <c r="C110" s="14" t="s">
        <v>104</v>
      </c>
      <c r="D110" s="14" t="s">
        <v>33</v>
      </c>
      <c r="E110" s="8" t="s">
        <v>46</v>
      </c>
      <c r="F110" s="8" t="s">
        <v>59</v>
      </c>
    </row>
    <row r="111" spans="1:6" x14ac:dyDescent="0.3">
      <c r="A111" s="11">
        <v>3</v>
      </c>
      <c r="B111" s="8">
        <v>1</v>
      </c>
      <c r="C111" s="8" t="s">
        <v>85</v>
      </c>
      <c r="D111" s="8" t="s">
        <v>44</v>
      </c>
      <c r="E111" s="8" t="s">
        <v>13</v>
      </c>
      <c r="F111" s="8" t="s">
        <v>67</v>
      </c>
    </row>
    <row r="112" spans="1:6" x14ac:dyDescent="0.3">
      <c r="A112" s="16">
        <v>3</v>
      </c>
      <c r="B112" s="14">
        <v>2</v>
      </c>
      <c r="C112" s="14" t="s">
        <v>104</v>
      </c>
      <c r="D112" s="14" t="s">
        <v>33</v>
      </c>
      <c r="E112" s="19" t="s">
        <v>46</v>
      </c>
      <c r="F112" s="19" t="s">
        <v>55</v>
      </c>
    </row>
    <row r="113" spans="1:6" x14ac:dyDescent="0.3">
      <c r="A113" s="16">
        <v>3</v>
      </c>
      <c r="B113" s="19">
        <v>1</v>
      </c>
      <c r="C113" s="19" t="s">
        <v>85</v>
      </c>
      <c r="D113" s="19" t="s">
        <v>44</v>
      </c>
      <c r="E113" s="19" t="s">
        <v>13</v>
      </c>
      <c r="F113" s="19" t="s">
        <v>64</v>
      </c>
    </row>
    <row r="114" spans="1:6" x14ac:dyDescent="0.3">
      <c r="A114" s="11">
        <v>3</v>
      </c>
      <c r="B114" s="14">
        <v>1</v>
      </c>
      <c r="C114" s="14" t="s">
        <v>103</v>
      </c>
      <c r="D114" s="14" t="s">
        <v>33</v>
      </c>
      <c r="E114" s="8" t="s">
        <v>46</v>
      </c>
      <c r="F114" s="8" t="s">
        <v>57</v>
      </c>
    </row>
    <row r="115" spans="1:6" x14ac:dyDescent="0.3">
      <c r="A115" s="8">
        <v>4</v>
      </c>
      <c r="B115" s="15">
        <v>2</v>
      </c>
      <c r="C115" s="15" t="s">
        <v>104</v>
      </c>
      <c r="D115" s="15" t="s">
        <v>33</v>
      </c>
      <c r="E115" s="8" t="s">
        <v>46</v>
      </c>
      <c r="F115" s="8" t="s">
        <v>68</v>
      </c>
    </row>
    <row r="116" spans="1:6" x14ac:dyDescent="0.3">
      <c r="A116" s="8">
        <v>4</v>
      </c>
      <c r="B116" s="8">
        <v>1</v>
      </c>
      <c r="C116" s="8" t="s">
        <v>85</v>
      </c>
      <c r="D116" s="8" t="s">
        <v>44</v>
      </c>
      <c r="E116" s="8" t="s">
        <v>13</v>
      </c>
      <c r="F116" s="8" t="s">
        <v>76</v>
      </c>
    </row>
    <row r="117" spans="1:6" x14ac:dyDescent="0.3">
      <c r="A117" s="8">
        <v>4</v>
      </c>
      <c r="B117" s="8">
        <v>2</v>
      </c>
      <c r="C117" s="8" t="s">
        <v>84</v>
      </c>
      <c r="D117" s="8" t="s">
        <v>44</v>
      </c>
      <c r="E117" s="8" t="s">
        <v>14</v>
      </c>
      <c r="F117" s="8" t="s">
        <v>71</v>
      </c>
    </row>
    <row r="118" spans="1:6" x14ac:dyDescent="0.3">
      <c r="A118" s="19">
        <v>4</v>
      </c>
      <c r="B118" s="15">
        <v>1</v>
      </c>
      <c r="C118" s="15" t="s">
        <v>103</v>
      </c>
      <c r="D118" s="15" t="s">
        <v>33</v>
      </c>
      <c r="E118" s="19" t="s">
        <v>46</v>
      </c>
      <c r="F118" s="19" t="s">
        <v>66</v>
      </c>
    </row>
    <row r="119" spans="1:6" x14ac:dyDescent="0.3">
      <c r="A119" s="19">
        <v>4</v>
      </c>
      <c r="B119" s="19">
        <v>2</v>
      </c>
      <c r="C119" s="19" t="s">
        <v>84</v>
      </c>
      <c r="D119" s="19" t="s">
        <v>44</v>
      </c>
      <c r="E119" s="19" t="s">
        <v>13</v>
      </c>
      <c r="F119" s="19" t="s">
        <v>75</v>
      </c>
    </row>
    <row r="120" spans="1:6" x14ac:dyDescent="0.3">
      <c r="A120" s="19">
        <v>4</v>
      </c>
      <c r="B120" s="19">
        <v>1</v>
      </c>
      <c r="C120" s="19" t="s">
        <v>85</v>
      </c>
      <c r="D120" s="19" t="s">
        <v>44</v>
      </c>
      <c r="E120" s="19" t="s">
        <v>14</v>
      </c>
      <c r="F120" s="19" t="s">
        <v>77</v>
      </c>
    </row>
    <row r="121" spans="1:6" x14ac:dyDescent="0.3">
      <c r="A121" s="8">
        <v>4</v>
      </c>
      <c r="B121" s="15">
        <v>2</v>
      </c>
      <c r="C121" s="15" t="s">
        <v>104</v>
      </c>
      <c r="D121" s="15" t="s">
        <v>33</v>
      </c>
      <c r="E121" s="8" t="s">
        <v>46</v>
      </c>
      <c r="F121" s="8" t="s">
        <v>70</v>
      </c>
    </row>
    <row r="122" spans="1:6" x14ac:dyDescent="0.3">
      <c r="A122" s="19">
        <v>4</v>
      </c>
      <c r="B122" s="15">
        <v>1</v>
      </c>
      <c r="C122" s="15" t="s">
        <v>103</v>
      </c>
      <c r="D122" s="15" t="s">
        <v>33</v>
      </c>
      <c r="E122" s="19" t="s">
        <v>46</v>
      </c>
      <c r="F122" s="19" t="s">
        <v>69</v>
      </c>
    </row>
    <row r="123" spans="1:6" x14ac:dyDescent="0.3">
      <c r="A123" s="8">
        <v>4</v>
      </c>
      <c r="B123" s="15">
        <v>2</v>
      </c>
      <c r="C123" s="15" t="s">
        <v>104</v>
      </c>
      <c r="D123" s="15" t="s">
        <v>33</v>
      </c>
      <c r="E123" s="8" t="s">
        <v>46</v>
      </c>
      <c r="F123" s="8" t="s">
        <v>63</v>
      </c>
    </row>
    <row r="124" spans="1:6" x14ac:dyDescent="0.3">
      <c r="A124" s="8">
        <v>4</v>
      </c>
      <c r="B124" s="8">
        <v>2</v>
      </c>
      <c r="C124" s="8" t="s">
        <v>84</v>
      </c>
      <c r="D124" s="8" t="s">
        <v>44</v>
      </c>
      <c r="E124" s="8" t="s">
        <v>14</v>
      </c>
      <c r="F124" s="8" t="s">
        <v>72</v>
      </c>
    </row>
    <row r="125" spans="1:6" x14ac:dyDescent="0.3">
      <c r="A125" s="8">
        <v>4</v>
      </c>
      <c r="B125" s="8">
        <v>2</v>
      </c>
      <c r="C125" s="8" t="s">
        <v>84</v>
      </c>
      <c r="D125" s="8" t="s">
        <v>44</v>
      </c>
      <c r="E125" s="8" t="s">
        <v>13</v>
      </c>
      <c r="F125" s="8" t="s">
        <v>78</v>
      </c>
    </row>
    <row r="126" spans="1:6" x14ac:dyDescent="0.3">
      <c r="A126" s="19">
        <v>4</v>
      </c>
      <c r="B126" s="15">
        <v>1</v>
      </c>
      <c r="C126" s="15" t="s">
        <v>103</v>
      </c>
      <c r="D126" s="15" t="s">
        <v>33</v>
      </c>
      <c r="E126" s="19" t="s">
        <v>46</v>
      </c>
      <c r="F126" s="19" t="s">
        <v>65</v>
      </c>
    </row>
    <row r="127" spans="1:6" x14ac:dyDescent="0.3">
      <c r="A127" s="19">
        <v>4</v>
      </c>
      <c r="B127" s="19">
        <v>1</v>
      </c>
      <c r="C127" s="19" t="s">
        <v>85</v>
      </c>
      <c r="D127" s="19" t="s">
        <v>44</v>
      </c>
      <c r="E127" s="19" t="s">
        <v>14</v>
      </c>
      <c r="F127" s="19" t="s">
        <v>73</v>
      </c>
    </row>
    <row r="128" spans="1:6" x14ac:dyDescent="0.3">
      <c r="A128" s="19">
        <v>4</v>
      </c>
      <c r="B128" s="19">
        <v>1</v>
      </c>
      <c r="C128" s="19" t="s">
        <v>85</v>
      </c>
      <c r="D128" s="19" t="s">
        <v>44</v>
      </c>
      <c r="E128" s="19" t="s">
        <v>13</v>
      </c>
      <c r="F128" s="19" t="s">
        <v>74</v>
      </c>
    </row>
    <row r="129" spans="1:6" x14ac:dyDescent="0.3">
      <c r="A129" s="8">
        <v>4</v>
      </c>
      <c r="B129" s="15">
        <v>2</v>
      </c>
      <c r="C129" s="15" t="s">
        <v>104</v>
      </c>
      <c r="D129" s="15" t="s">
        <v>33</v>
      </c>
      <c r="E129" s="8" t="s">
        <v>46</v>
      </c>
      <c r="F129" s="8" t="s">
        <v>67</v>
      </c>
    </row>
    <row r="130" spans="1:6" x14ac:dyDescent="0.3">
      <c r="A130" s="19">
        <v>4</v>
      </c>
      <c r="B130" s="15">
        <v>1</v>
      </c>
      <c r="C130" s="15" t="s">
        <v>103</v>
      </c>
      <c r="D130" s="15" t="s">
        <v>33</v>
      </c>
      <c r="E130" s="19" t="s">
        <v>46</v>
      </c>
      <c r="F130" s="19" t="s">
        <v>64</v>
      </c>
    </row>
    <row r="131" spans="1:6" x14ac:dyDescent="0.3">
      <c r="A131" t="s">
        <v>29</v>
      </c>
    </row>
    <row r="132" spans="1:6" x14ac:dyDescent="0.3">
      <c r="A132" s="16">
        <v>1</v>
      </c>
      <c r="B132" s="18">
        <v>2</v>
      </c>
      <c r="C132" s="17" t="s">
        <v>104</v>
      </c>
      <c r="D132" s="12" t="s">
        <v>33</v>
      </c>
      <c r="E132" s="19" t="s">
        <v>46</v>
      </c>
      <c r="F132" s="19" t="s">
        <v>75</v>
      </c>
    </row>
    <row r="133" spans="1:6" x14ac:dyDescent="0.3">
      <c r="A133" s="16">
        <v>1</v>
      </c>
      <c r="B133" s="16">
        <v>2</v>
      </c>
      <c r="C133" s="16" t="s">
        <v>84</v>
      </c>
      <c r="D133" s="19" t="s">
        <v>44</v>
      </c>
      <c r="E133" s="19" t="s">
        <v>13</v>
      </c>
      <c r="F133" s="19" t="s">
        <v>53</v>
      </c>
    </row>
    <row r="134" spans="1:6" x14ac:dyDescent="0.3">
      <c r="A134" s="11">
        <v>1</v>
      </c>
      <c r="B134" s="18">
        <v>1</v>
      </c>
      <c r="C134" s="18" t="s">
        <v>103</v>
      </c>
      <c r="D134" s="12" t="s">
        <v>33</v>
      </c>
      <c r="E134" s="8" t="s">
        <v>46</v>
      </c>
      <c r="F134" s="8" t="s">
        <v>73</v>
      </c>
    </row>
    <row r="135" spans="1:6" x14ac:dyDescent="0.3">
      <c r="A135" s="16">
        <v>1</v>
      </c>
      <c r="B135" s="18">
        <v>1</v>
      </c>
      <c r="C135" s="18" t="s">
        <v>103</v>
      </c>
      <c r="D135" s="12" t="s">
        <v>33</v>
      </c>
      <c r="E135" s="19" t="s">
        <v>46</v>
      </c>
      <c r="F135" s="19" t="s">
        <v>77</v>
      </c>
    </row>
    <row r="136" spans="1:6" x14ac:dyDescent="0.3">
      <c r="A136" s="16">
        <v>1</v>
      </c>
      <c r="B136" s="16">
        <v>2</v>
      </c>
      <c r="C136" s="16" t="s">
        <v>84</v>
      </c>
      <c r="D136" s="19" t="s">
        <v>44</v>
      </c>
      <c r="E136" s="19" t="s">
        <v>13</v>
      </c>
      <c r="F136" s="19" t="s">
        <v>52</v>
      </c>
    </row>
    <row r="137" spans="1:6" x14ac:dyDescent="0.3">
      <c r="A137" s="16">
        <v>1</v>
      </c>
      <c r="B137" s="16">
        <v>1</v>
      </c>
      <c r="C137" s="16" t="s">
        <v>85</v>
      </c>
      <c r="D137" s="19" t="s">
        <v>44</v>
      </c>
      <c r="E137" s="19" t="s">
        <v>14</v>
      </c>
      <c r="F137" s="19" t="s">
        <v>54</v>
      </c>
    </row>
    <row r="138" spans="1:6" x14ac:dyDescent="0.3">
      <c r="A138" s="11">
        <v>1</v>
      </c>
      <c r="B138" s="18">
        <v>2</v>
      </c>
      <c r="C138" s="18" t="s">
        <v>104</v>
      </c>
      <c r="D138" s="12" t="s">
        <v>33</v>
      </c>
      <c r="E138" s="8" t="s">
        <v>46</v>
      </c>
      <c r="F138" s="8" t="s">
        <v>74</v>
      </c>
    </row>
    <row r="139" spans="1:6" x14ac:dyDescent="0.3">
      <c r="A139" s="11">
        <v>1</v>
      </c>
      <c r="B139" s="11">
        <v>2</v>
      </c>
      <c r="C139" s="11" t="s">
        <v>84</v>
      </c>
      <c r="D139" s="8" t="s">
        <v>44</v>
      </c>
      <c r="E139" s="8" t="s">
        <v>14</v>
      </c>
      <c r="F139" s="8" t="s">
        <v>47</v>
      </c>
    </row>
    <row r="140" spans="1:6" x14ac:dyDescent="0.3">
      <c r="A140" s="11">
        <v>1</v>
      </c>
      <c r="B140" s="11">
        <v>1</v>
      </c>
      <c r="C140" s="11" t="s">
        <v>85</v>
      </c>
      <c r="D140" s="8" t="s">
        <v>44</v>
      </c>
      <c r="E140" s="8" t="s">
        <v>14</v>
      </c>
      <c r="F140" s="8" t="s">
        <v>50</v>
      </c>
    </row>
    <row r="141" spans="1:6" x14ac:dyDescent="0.3">
      <c r="A141" s="16">
        <v>1</v>
      </c>
      <c r="B141" s="18">
        <v>1</v>
      </c>
      <c r="C141" s="17" t="s">
        <v>103</v>
      </c>
      <c r="D141" s="12" t="s">
        <v>33</v>
      </c>
      <c r="E141" s="19" t="s">
        <v>46</v>
      </c>
      <c r="F141" s="19" t="s">
        <v>78</v>
      </c>
    </row>
    <row r="142" spans="1:6" x14ac:dyDescent="0.3">
      <c r="A142" s="11">
        <v>1</v>
      </c>
      <c r="B142" s="18">
        <v>2</v>
      </c>
      <c r="C142" s="18" t="s">
        <v>104</v>
      </c>
      <c r="D142" s="12" t="s">
        <v>33</v>
      </c>
      <c r="E142" s="8" t="s">
        <v>46</v>
      </c>
      <c r="F142" s="8" t="s">
        <v>71</v>
      </c>
    </row>
    <row r="143" spans="1:6" x14ac:dyDescent="0.3">
      <c r="A143" s="11">
        <v>1</v>
      </c>
      <c r="B143" s="11">
        <v>1</v>
      </c>
      <c r="C143" s="16" t="s">
        <v>85</v>
      </c>
      <c r="D143" s="8" t="s">
        <v>44</v>
      </c>
      <c r="E143" s="8" t="s">
        <v>13</v>
      </c>
      <c r="F143" s="8" t="s">
        <v>48</v>
      </c>
    </row>
    <row r="144" spans="1:6" x14ac:dyDescent="0.3">
      <c r="A144" s="16">
        <v>1</v>
      </c>
      <c r="B144" s="18">
        <v>1</v>
      </c>
      <c r="C144" s="17" t="s">
        <v>103</v>
      </c>
      <c r="D144" s="12" t="s">
        <v>33</v>
      </c>
      <c r="E144" s="19" t="s">
        <v>46</v>
      </c>
      <c r="F144" s="19" t="s">
        <v>76</v>
      </c>
    </row>
    <row r="145" spans="1:6" x14ac:dyDescent="0.3">
      <c r="A145" s="11">
        <v>1</v>
      </c>
      <c r="B145" s="18">
        <v>2</v>
      </c>
      <c r="C145" s="18" t="s">
        <v>104</v>
      </c>
      <c r="D145" s="12" t="s">
        <v>33</v>
      </c>
      <c r="E145" s="8" t="s">
        <v>46</v>
      </c>
      <c r="F145" s="8" t="s">
        <v>72</v>
      </c>
    </row>
    <row r="146" spans="1:6" x14ac:dyDescent="0.3">
      <c r="A146" s="11">
        <v>1</v>
      </c>
      <c r="B146" s="11">
        <v>1</v>
      </c>
      <c r="C146" s="16" t="s">
        <v>85</v>
      </c>
      <c r="D146" s="8" t="s">
        <v>44</v>
      </c>
      <c r="E146" s="8" t="s">
        <v>13</v>
      </c>
      <c r="F146" s="8" t="s">
        <v>49</v>
      </c>
    </row>
    <row r="147" spans="1:6" x14ac:dyDescent="0.3">
      <c r="A147" s="11">
        <v>1</v>
      </c>
      <c r="B147" s="11">
        <v>2</v>
      </c>
      <c r="C147" s="11" t="s">
        <v>84</v>
      </c>
      <c r="D147" s="8" t="s">
        <v>44</v>
      </c>
      <c r="E147" s="8" t="s">
        <v>14</v>
      </c>
      <c r="F147" s="8" t="s">
        <v>51</v>
      </c>
    </row>
    <row r="148" spans="1:6" x14ac:dyDescent="0.3">
      <c r="A148" s="19">
        <v>2</v>
      </c>
      <c r="B148" s="16">
        <v>1</v>
      </c>
      <c r="C148" s="19" t="s">
        <v>85</v>
      </c>
      <c r="D148" s="19" t="s">
        <v>44</v>
      </c>
      <c r="E148" s="19" t="s">
        <v>13</v>
      </c>
      <c r="F148" s="19" t="s">
        <v>56</v>
      </c>
    </row>
    <row r="149" spans="1:6" x14ac:dyDescent="0.3">
      <c r="A149" s="8">
        <v>2</v>
      </c>
      <c r="B149" s="13">
        <v>2</v>
      </c>
      <c r="C149" s="13" t="s">
        <v>104</v>
      </c>
      <c r="D149" s="13" t="s">
        <v>33</v>
      </c>
      <c r="E149" s="8" t="s">
        <v>46</v>
      </c>
      <c r="F149" s="8" t="s">
        <v>53</v>
      </c>
    </row>
    <row r="150" spans="1:6" x14ac:dyDescent="0.3">
      <c r="A150" s="19">
        <v>2</v>
      </c>
      <c r="B150" s="13">
        <v>2</v>
      </c>
      <c r="C150" s="13" t="s">
        <v>104</v>
      </c>
      <c r="D150" s="13" t="s">
        <v>33</v>
      </c>
      <c r="E150" s="19" t="s">
        <v>46</v>
      </c>
      <c r="F150" s="19" t="s">
        <v>52</v>
      </c>
    </row>
    <row r="151" spans="1:6" x14ac:dyDescent="0.3">
      <c r="A151" s="19">
        <v>2</v>
      </c>
      <c r="B151" s="16">
        <v>1</v>
      </c>
      <c r="C151" s="16" t="s">
        <v>85</v>
      </c>
      <c r="D151" s="19" t="s">
        <v>44</v>
      </c>
      <c r="E151" s="19" t="s">
        <v>13</v>
      </c>
      <c r="F151" s="19" t="s">
        <v>57</v>
      </c>
    </row>
    <row r="152" spans="1:6" x14ac:dyDescent="0.3">
      <c r="A152" s="19">
        <v>2</v>
      </c>
      <c r="B152" s="16">
        <v>2</v>
      </c>
      <c r="C152" s="16" t="s">
        <v>84</v>
      </c>
      <c r="D152" s="19" t="s">
        <v>44</v>
      </c>
      <c r="E152" s="19" t="s">
        <v>14</v>
      </c>
      <c r="F152" s="19" t="s">
        <v>59</v>
      </c>
    </row>
    <row r="153" spans="1:6" x14ac:dyDescent="0.3">
      <c r="A153" s="8">
        <v>2</v>
      </c>
      <c r="B153" s="13">
        <v>1</v>
      </c>
      <c r="C153" s="13" t="s">
        <v>103</v>
      </c>
      <c r="D153" s="13" t="s">
        <v>33</v>
      </c>
      <c r="E153" s="8" t="s">
        <v>46</v>
      </c>
      <c r="F153" s="8" t="s">
        <v>54</v>
      </c>
    </row>
    <row r="154" spans="1:6" x14ac:dyDescent="0.3">
      <c r="A154" s="8">
        <v>2</v>
      </c>
      <c r="B154" s="11">
        <v>1</v>
      </c>
      <c r="C154" s="11" t="s">
        <v>85</v>
      </c>
      <c r="D154" s="8" t="s">
        <v>44</v>
      </c>
      <c r="E154" s="8" t="s">
        <v>14</v>
      </c>
      <c r="F154" s="8" t="s">
        <v>58</v>
      </c>
    </row>
    <row r="155" spans="1:6" x14ac:dyDescent="0.3">
      <c r="A155" s="8">
        <v>2</v>
      </c>
      <c r="B155" s="11">
        <v>2</v>
      </c>
      <c r="C155" s="11" t="s">
        <v>84</v>
      </c>
      <c r="D155" s="8" t="s">
        <v>44</v>
      </c>
      <c r="E155" s="8" t="s">
        <v>14</v>
      </c>
      <c r="F155" s="8" t="s">
        <v>55</v>
      </c>
    </row>
    <row r="156" spans="1:6" x14ac:dyDescent="0.3">
      <c r="A156" s="19">
        <v>2</v>
      </c>
      <c r="B156" s="13">
        <v>2</v>
      </c>
      <c r="C156" s="13" t="s">
        <v>104</v>
      </c>
      <c r="D156" s="13" t="s">
        <v>33</v>
      </c>
      <c r="E156" s="19" t="s">
        <v>46</v>
      </c>
      <c r="F156" s="19" t="s">
        <v>47</v>
      </c>
    </row>
    <row r="157" spans="1:6" x14ac:dyDescent="0.3">
      <c r="A157" s="8">
        <v>2</v>
      </c>
      <c r="B157" s="13">
        <v>1</v>
      </c>
      <c r="C157" s="13" t="s">
        <v>103</v>
      </c>
      <c r="D157" s="13" t="s">
        <v>33</v>
      </c>
      <c r="E157" s="8" t="s">
        <v>46</v>
      </c>
      <c r="F157" s="8" t="s">
        <v>50</v>
      </c>
    </row>
    <row r="158" spans="1:6" x14ac:dyDescent="0.3">
      <c r="A158" s="8">
        <v>2</v>
      </c>
      <c r="B158" s="11">
        <v>2</v>
      </c>
      <c r="C158" s="11" t="s">
        <v>84</v>
      </c>
      <c r="D158" s="8" t="s">
        <v>44</v>
      </c>
      <c r="E158" s="8" t="s">
        <v>13</v>
      </c>
      <c r="F158" s="8" t="s">
        <v>61</v>
      </c>
    </row>
    <row r="159" spans="1:6" x14ac:dyDescent="0.3">
      <c r="A159" s="19">
        <v>2</v>
      </c>
      <c r="B159" s="13">
        <v>1</v>
      </c>
      <c r="C159" s="13" t="s">
        <v>103</v>
      </c>
      <c r="D159" s="13" t="s">
        <v>33</v>
      </c>
      <c r="E159" s="19" t="s">
        <v>46</v>
      </c>
      <c r="F159" s="19" t="s">
        <v>48</v>
      </c>
    </row>
    <row r="160" spans="1:6" x14ac:dyDescent="0.3">
      <c r="A160" s="19">
        <v>2</v>
      </c>
      <c r="B160" s="16">
        <v>2</v>
      </c>
      <c r="C160" s="16" t="s">
        <v>84</v>
      </c>
      <c r="D160" s="19" t="s">
        <v>44</v>
      </c>
      <c r="E160" s="19" t="s">
        <v>13</v>
      </c>
      <c r="F160" s="19" t="s">
        <v>62</v>
      </c>
    </row>
    <row r="161" spans="1:6" x14ac:dyDescent="0.3">
      <c r="A161" s="19">
        <v>2</v>
      </c>
      <c r="B161" s="16">
        <v>1</v>
      </c>
      <c r="C161" s="16" t="s">
        <v>85</v>
      </c>
      <c r="D161" s="19" t="s">
        <v>44</v>
      </c>
      <c r="E161" s="19" t="s">
        <v>14</v>
      </c>
      <c r="F161" s="19" t="s">
        <v>60</v>
      </c>
    </row>
    <row r="162" spans="1:6" x14ac:dyDescent="0.3">
      <c r="A162" s="8">
        <v>2</v>
      </c>
      <c r="B162" s="13">
        <v>1</v>
      </c>
      <c r="C162" s="13" t="s">
        <v>103</v>
      </c>
      <c r="D162" s="13" t="s">
        <v>33</v>
      </c>
      <c r="E162" s="8" t="s">
        <v>46</v>
      </c>
      <c r="F162" s="8" t="s">
        <v>49</v>
      </c>
    </row>
    <row r="163" spans="1:6" x14ac:dyDescent="0.3">
      <c r="A163" s="19">
        <v>2</v>
      </c>
      <c r="B163" s="13">
        <v>2</v>
      </c>
      <c r="C163" s="13" t="s">
        <v>104</v>
      </c>
      <c r="D163" s="13" t="s">
        <v>33</v>
      </c>
      <c r="E163" s="19" t="s">
        <v>46</v>
      </c>
      <c r="F163" s="19" t="s">
        <v>51</v>
      </c>
    </row>
    <row r="164" spans="1:6" x14ac:dyDescent="0.3">
      <c r="A164" s="11">
        <v>3</v>
      </c>
      <c r="B164" s="11">
        <v>2</v>
      </c>
      <c r="C164" s="11" t="s">
        <v>84</v>
      </c>
      <c r="D164" s="8" t="s">
        <v>44</v>
      </c>
      <c r="E164" s="8" t="s">
        <v>14</v>
      </c>
      <c r="F164" s="8" t="s">
        <v>66</v>
      </c>
    </row>
    <row r="165" spans="1:6" x14ac:dyDescent="0.3">
      <c r="A165" s="16">
        <v>3</v>
      </c>
      <c r="B165" s="14">
        <v>2</v>
      </c>
      <c r="C165" s="14" t="s">
        <v>104</v>
      </c>
      <c r="D165" s="14" t="s">
        <v>33</v>
      </c>
      <c r="E165" s="19" t="s">
        <v>46</v>
      </c>
      <c r="F165" s="19" t="s">
        <v>56</v>
      </c>
    </row>
    <row r="166" spans="1:6" x14ac:dyDescent="0.3">
      <c r="A166" s="11">
        <v>3</v>
      </c>
      <c r="B166" s="14">
        <v>1</v>
      </c>
      <c r="C166" s="14" t="s">
        <v>103</v>
      </c>
      <c r="D166" s="14" t="s">
        <v>33</v>
      </c>
      <c r="E166" s="8" t="s">
        <v>46</v>
      </c>
      <c r="F166" s="8" t="s">
        <v>57</v>
      </c>
    </row>
    <row r="167" spans="1:6" x14ac:dyDescent="0.3">
      <c r="A167" s="11">
        <v>3</v>
      </c>
      <c r="B167" s="11">
        <v>1</v>
      </c>
      <c r="C167" s="11" t="s">
        <v>85</v>
      </c>
      <c r="D167" s="8" t="s">
        <v>44</v>
      </c>
      <c r="E167" s="8" t="s">
        <v>14</v>
      </c>
      <c r="F167" s="8" t="s">
        <v>69</v>
      </c>
    </row>
    <row r="168" spans="1:6" x14ac:dyDescent="0.3">
      <c r="A168" s="11">
        <v>3</v>
      </c>
      <c r="B168" s="11">
        <v>2</v>
      </c>
      <c r="C168" s="11" t="s">
        <v>84</v>
      </c>
      <c r="D168" s="8" t="s">
        <v>44</v>
      </c>
      <c r="E168" s="8" t="s">
        <v>14</v>
      </c>
      <c r="F168" s="8" t="s">
        <v>64</v>
      </c>
    </row>
    <row r="169" spans="1:6" x14ac:dyDescent="0.3">
      <c r="A169" s="16">
        <v>3</v>
      </c>
      <c r="B169" s="14">
        <v>1</v>
      </c>
      <c r="C169" s="14" t="s">
        <v>103</v>
      </c>
      <c r="D169" s="14" t="s">
        <v>33</v>
      </c>
      <c r="E169" s="19" t="s">
        <v>46</v>
      </c>
      <c r="F169" s="19" t="s">
        <v>59</v>
      </c>
    </row>
    <row r="170" spans="1:6" x14ac:dyDescent="0.3">
      <c r="A170" s="16">
        <v>3</v>
      </c>
      <c r="B170" s="16">
        <v>2</v>
      </c>
      <c r="C170" s="16" t="s">
        <v>84</v>
      </c>
      <c r="D170" s="19" t="s">
        <v>44</v>
      </c>
      <c r="E170" s="19" t="s">
        <v>13</v>
      </c>
      <c r="F170" s="19" t="s">
        <v>68</v>
      </c>
    </row>
    <row r="171" spans="1:6" x14ac:dyDescent="0.3">
      <c r="A171" s="11">
        <v>3</v>
      </c>
      <c r="B171" s="14">
        <v>1</v>
      </c>
      <c r="C171" s="14" t="s">
        <v>103</v>
      </c>
      <c r="D171" s="14" t="s">
        <v>33</v>
      </c>
      <c r="E171" s="8" t="s">
        <v>46</v>
      </c>
      <c r="F171" s="8" t="s">
        <v>58</v>
      </c>
    </row>
    <row r="172" spans="1:6" x14ac:dyDescent="0.3">
      <c r="A172" s="16">
        <v>3</v>
      </c>
      <c r="B172" s="14">
        <v>2</v>
      </c>
      <c r="C172" s="14" t="s">
        <v>104</v>
      </c>
      <c r="D172" s="14" t="s">
        <v>33</v>
      </c>
      <c r="E172" s="19" t="s">
        <v>46</v>
      </c>
      <c r="F172" s="19" t="s">
        <v>55</v>
      </c>
    </row>
    <row r="173" spans="1:6" x14ac:dyDescent="0.3">
      <c r="A173" s="11">
        <v>3</v>
      </c>
      <c r="B173" s="14">
        <v>1</v>
      </c>
      <c r="C173" s="14" t="s">
        <v>103</v>
      </c>
      <c r="D173" s="14" t="s">
        <v>33</v>
      </c>
      <c r="E173" s="8" t="s">
        <v>46</v>
      </c>
      <c r="F173" s="8" t="s">
        <v>61</v>
      </c>
    </row>
    <row r="174" spans="1:6" x14ac:dyDescent="0.3">
      <c r="A174" s="11">
        <v>3</v>
      </c>
      <c r="B174" s="11">
        <v>2</v>
      </c>
      <c r="C174" s="11" t="s">
        <v>84</v>
      </c>
      <c r="D174" s="8" t="s">
        <v>44</v>
      </c>
      <c r="E174" s="8" t="s">
        <v>13</v>
      </c>
      <c r="F174" s="8" t="s">
        <v>70</v>
      </c>
    </row>
    <row r="175" spans="1:6" x14ac:dyDescent="0.3">
      <c r="A175" s="11">
        <v>3</v>
      </c>
      <c r="B175" s="11">
        <v>1</v>
      </c>
      <c r="C175" s="11" t="s">
        <v>85</v>
      </c>
      <c r="D175" s="8" t="s">
        <v>44</v>
      </c>
      <c r="E175" s="8" t="s">
        <v>14</v>
      </c>
      <c r="F175" s="8" t="s">
        <v>67</v>
      </c>
    </row>
    <row r="176" spans="1:6" x14ac:dyDescent="0.3">
      <c r="A176" s="16">
        <v>3</v>
      </c>
      <c r="B176" s="16">
        <v>1</v>
      </c>
      <c r="C176" s="16" t="s">
        <v>85</v>
      </c>
      <c r="D176" s="19" t="s">
        <v>44</v>
      </c>
      <c r="E176" s="19" t="s">
        <v>13</v>
      </c>
      <c r="F176" s="19" t="s">
        <v>65</v>
      </c>
    </row>
    <row r="177" spans="1:6" x14ac:dyDescent="0.3">
      <c r="A177" s="11">
        <v>3</v>
      </c>
      <c r="B177" s="14">
        <v>2</v>
      </c>
      <c r="C177" s="14" t="s">
        <v>104</v>
      </c>
      <c r="D177" s="14" t="s">
        <v>33</v>
      </c>
      <c r="E177" s="8" t="s">
        <v>46</v>
      </c>
      <c r="F177" s="8" t="s">
        <v>60</v>
      </c>
    </row>
    <row r="178" spans="1:6" x14ac:dyDescent="0.3">
      <c r="A178" s="11">
        <v>3</v>
      </c>
      <c r="B178" s="11">
        <v>1</v>
      </c>
      <c r="C178" s="11" t="s">
        <v>85</v>
      </c>
      <c r="D178" s="8" t="s">
        <v>44</v>
      </c>
      <c r="E178" s="8" t="s">
        <v>13</v>
      </c>
      <c r="F178" s="8" t="s">
        <v>63</v>
      </c>
    </row>
    <row r="179" spans="1:6" x14ac:dyDescent="0.3">
      <c r="A179" s="16">
        <v>3</v>
      </c>
      <c r="B179" s="14">
        <v>2</v>
      </c>
      <c r="C179" s="14" t="s">
        <v>104</v>
      </c>
      <c r="D179" s="14" t="s">
        <v>33</v>
      </c>
      <c r="E179" s="19" t="s">
        <v>46</v>
      </c>
      <c r="F179" s="19" t="s">
        <v>62</v>
      </c>
    </row>
    <row r="180" spans="1:6" x14ac:dyDescent="0.3">
      <c r="A180" s="19">
        <v>4</v>
      </c>
      <c r="B180" s="16">
        <v>1</v>
      </c>
      <c r="C180" s="16" t="s">
        <v>85</v>
      </c>
      <c r="D180" s="19" t="s">
        <v>44</v>
      </c>
      <c r="E180" s="19" t="s">
        <v>13</v>
      </c>
      <c r="F180" s="19" t="s">
        <v>75</v>
      </c>
    </row>
    <row r="181" spans="1:6" x14ac:dyDescent="0.3">
      <c r="A181" s="8">
        <v>4</v>
      </c>
      <c r="B181" s="15">
        <v>2</v>
      </c>
      <c r="C181" s="15" t="s">
        <v>104</v>
      </c>
      <c r="D181" s="15" t="s">
        <v>33</v>
      </c>
      <c r="E181" s="8" t="s">
        <v>46</v>
      </c>
      <c r="F181" s="8" t="s">
        <v>66</v>
      </c>
    </row>
    <row r="182" spans="1:6" x14ac:dyDescent="0.3">
      <c r="A182" s="8">
        <v>4</v>
      </c>
      <c r="B182" s="11">
        <v>2</v>
      </c>
      <c r="C182" s="11" t="s">
        <v>84</v>
      </c>
      <c r="D182" s="8" t="s">
        <v>44</v>
      </c>
      <c r="E182" s="8" t="s">
        <v>14</v>
      </c>
      <c r="F182" s="8" t="s">
        <v>73</v>
      </c>
    </row>
    <row r="183" spans="1:6" x14ac:dyDescent="0.3">
      <c r="A183" s="8">
        <v>4</v>
      </c>
      <c r="B183" s="11">
        <v>2</v>
      </c>
      <c r="C183" s="11" t="s">
        <v>84</v>
      </c>
      <c r="D183" s="8" t="s">
        <v>44</v>
      </c>
      <c r="E183" s="8" t="s">
        <v>13</v>
      </c>
      <c r="F183" s="8" t="s">
        <v>77</v>
      </c>
    </row>
    <row r="184" spans="1:6" x14ac:dyDescent="0.3">
      <c r="A184" s="19">
        <v>4</v>
      </c>
      <c r="B184" s="15">
        <v>1</v>
      </c>
      <c r="C184" s="15" t="s">
        <v>103</v>
      </c>
      <c r="D184" s="15" t="s">
        <v>33</v>
      </c>
      <c r="E184" s="19" t="s">
        <v>46</v>
      </c>
      <c r="F184" s="19" t="s">
        <v>69</v>
      </c>
    </row>
    <row r="185" spans="1:6" x14ac:dyDescent="0.3">
      <c r="A185" s="8">
        <v>4</v>
      </c>
      <c r="B185" s="15">
        <v>2</v>
      </c>
      <c r="C185" s="15" t="s">
        <v>104</v>
      </c>
      <c r="D185" s="15" t="s">
        <v>33</v>
      </c>
      <c r="E185" s="8" t="s">
        <v>46</v>
      </c>
      <c r="F185" s="8" t="s">
        <v>64</v>
      </c>
    </row>
    <row r="186" spans="1:6" x14ac:dyDescent="0.3">
      <c r="A186" s="8">
        <v>4</v>
      </c>
      <c r="B186" s="11">
        <v>1</v>
      </c>
      <c r="C186" s="11" t="s">
        <v>85</v>
      </c>
      <c r="D186" s="8" t="s">
        <v>44</v>
      </c>
      <c r="E186" s="8" t="s">
        <v>14</v>
      </c>
      <c r="F186" s="8" t="s">
        <v>74</v>
      </c>
    </row>
    <row r="187" spans="1:6" x14ac:dyDescent="0.3">
      <c r="A187" s="8">
        <v>4</v>
      </c>
      <c r="B187" s="11">
        <v>2</v>
      </c>
      <c r="C187" s="11" t="s">
        <v>84</v>
      </c>
      <c r="D187" s="8" t="s">
        <v>44</v>
      </c>
      <c r="E187" s="8" t="s">
        <v>14</v>
      </c>
      <c r="F187" s="8" t="s">
        <v>78</v>
      </c>
    </row>
    <row r="188" spans="1:6" x14ac:dyDescent="0.3">
      <c r="A188" s="19">
        <v>4</v>
      </c>
      <c r="B188" s="15">
        <v>1</v>
      </c>
      <c r="C188" s="15" t="s">
        <v>103</v>
      </c>
      <c r="D188" s="15" t="s">
        <v>33</v>
      </c>
      <c r="E188" s="19" t="s">
        <v>46</v>
      </c>
      <c r="F188" s="19" t="s">
        <v>68</v>
      </c>
    </row>
    <row r="189" spans="1:6" x14ac:dyDescent="0.3">
      <c r="A189" s="19">
        <v>4</v>
      </c>
      <c r="B189" s="16">
        <v>2</v>
      </c>
      <c r="C189" s="16" t="s">
        <v>84</v>
      </c>
      <c r="D189" s="19" t="s">
        <v>44</v>
      </c>
      <c r="E189" s="19" t="s">
        <v>13</v>
      </c>
      <c r="F189" s="19" t="s">
        <v>71</v>
      </c>
    </row>
    <row r="190" spans="1:6" x14ac:dyDescent="0.3">
      <c r="A190" s="8">
        <v>4</v>
      </c>
      <c r="B190" s="15">
        <v>1</v>
      </c>
      <c r="C190" s="15" t="s">
        <v>103</v>
      </c>
      <c r="D190" s="15" t="s">
        <v>33</v>
      </c>
      <c r="E190" s="8" t="s">
        <v>46</v>
      </c>
      <c r="F190" s="8" t="s">
        <v>70</v>
      </c>
    </row>
    <row r="191" spans="1:6" x14ac:dyDescent="0.3">
      <c r="A191" s="8">
        <v>4</v>
      </c>
      <c r="B191" s="11">
        <v>1</v>
      </c>
      <c r="C191" s="11" t="s">
        <v>85</v>
      </c>
      <c r="D191" s="8" t="s">
        <v>44</v>
      </c>
      <c r="E191" s="8" t="s">
        <v>14</v>
      </c>
      <c r="F191" s="8" t="s">
        <v>76</v>
      </c>
    </row>
    <row r="192" spans="1:6" x14ac:dyDescent="0.3">
      <c r="A192" s="8">
        <v>4</v>
      </c>
      <c r="B192" s="11">
        <v>1</v>
      </c>
      <c r="C192" s="11" t="s">
        <v>85</v>
      </c>
      <c r="D192" s="8" t="s">
        <v>44</v>
      </c>
      <c r="E192" s="8" t="s">
        <v>13</v>
      </c>
      <c r="F192" s="8" t="s">
        <v>72</v>
      </c>
    </row>
    <row r="193" spans="1:6" x14ac:dyDescent="0.3">
      <c r="A193" s="19">
        <v>4</v>
      </c>
      <c r="B193" s="15">
        <v>2</v>
      </c>
      <c r="C193" s="15" t="s">
        <v>104</v>
      </c>
      <c r="D193" s="15" t="s">
        <v>33</v>
      </c>
      <c r="E193" s="19" t="s">
        <v>46</v>
      </c>
      <c r="F193" s="19" t="s">
        <v>67</v>
      </c>
    </row>
    <row r="194" spans="1:6" x14ac:dyDescent="0.3">
      <c r="A194" s="8">
        <v>4</v>
      </c>
      <c r="B194" s="15">
        <v>1</v>
      </c>
      <c r="C194" s="15" t="s">
        <v>103</v>
      </c>
      <c r="D194" s="15" t="s">
        <v>33</v>
      </c>
      <c r="E194" s="8" t="s">
        <v>46</v>
      </c>
      <c r="F194" s="8" t="s">
        <v>65</v>
      </c>
    </row>
    <row r="195" spans="1:6" x14ac:dyDescent="0.3">
      <c r="A195" s="19">
        <v>4</v>
      </c>
      <c r="B195" s="15">
        <v>2</v>
      </c>
      <c r="C195" s="15" t="s">
        <v>104</v>
      </c>
      <c r="D195" s="15" t="s">
        <v>33</v>
      </c>
      <c r="E195" s="19" t="s">
        <v>46</v>
      </c>
      <c r="F195" s="19" t="s">
        <v>63</v>
      </c>
    </row>
    <row r="196" spans="1:6" x14ac:dyDescent="0.3">
      <c r="A196" t="s">
        <v>29</v>
      </c>
    </row>
    <row r="197" spans="1:6" x14ac:dyDescent="0.3">
      <c r="A197" s="16">
        <v>1</v>
      </c>
      <c r="B197" s="18">
        <v>2</v>
      </c>
      <c r="C197" s="17" t="s">
        <v>104</v>
      </c>
      <c r="D197" s="12" t="s">
        <v>33</v>
      </c>
      <c r="E197" s="19" t="s">
        <v>46</v>
      </c>
      <c r="F197" s="19" t="s">
        <v>73</v>
      </c>
    </row>
    <row r="198" spans="1:6" x14ac:dyDescent="0.3">
      <c r="A198" s="16">
        <v>1</v>
      </c>
      <c r="B198" s="19">
        <v>2</v>
      </c>
      <c r="C198" s="19" t="s">
        <v>84</v>
      </c>
      <c r="D198" s="19" t="s">
        <v>44</v>
      </c>
      <c r="E198" s="19" t="s">
        <v>13</v>
      </c>
      <c r="F198" s="19" t="s">
        <v>51</v>
      </c>
    </row>
    <row r="199" spans="1:6" x14ac:dyDescent="0.3">
      <c r="A199" s="11">
        <v>1</v>
      </c>
      <c r="B199" s="18">
        <v>1</v>
      </c>
      <c r="C199" s="18" t="s">
        <v>103</v>
      </c>
      <c r="D199" s="12" t="s">
        <v>33</v>
      </c>
      <c r="E199" s="8" t="s">
        <v>46</v>
      </c>
      <c r="F199" s="8" t="s">
        <v>76</v>
      </c>
    </row>
    <row r="200" spans="1:6" x14ac:dyDescent="0.3">
      <c r="A200" s="16">
        <v>1</v>
      </c>
      <c r="B200" s="18">
        <v>2</v>
      </c>
      <c r="C200" s="17" t="s">
        <v>104</v>
      </c>
      <c r="D200" s="12" t="s">
        <v>33</v>
      </c>
      <c r="E200" s="19" t="s">
        <v>46</v>
      </c>
      <c r="F200" s="19" t="s">
        <v>74</v>
      </c>
    </row>
    <row r="201" spans="1:6" x14ac:dyDescent="0.3">
      <c r="A201" s="11">
        <v>1</v>
      </c>
      <c r="B201" s="18">
        <v>1</v>
      </c>
      <c r="C201" s="18" t="s">
        <v>103</v>
      </c>
      <c r="D201" s="12" t="s">
        <v>33</v>
      </c>
      <c r="E201" s="8" t="s">
        <v>46</v>
      </c>
      <c r="F201" s="8" t="s">
        <v>78</v>
      </c>
    </row>
    <row r="202" spans="1:6" x14ac:dyDescent="0.3">
      <c r="A202" s="11">
        <v>1</v>
      </c>
      <c r="B202" s="8">
        <v>2</v>
      </c>
      <c r="C202" s="19" t="s">
        <v>84</v>
      </c>
      <c r="D202" s="8" t="s">
        <v>44</v>
      </c>
      <c r="E202" s="8" t="s">
        <v>13</v>
      </c>
      <c r="F202" s="8" t="s">
        <v>54</v>
      </c>
    </row>
    <row r="203" spans="1:6" x14ac:dyDescent="0.3">
      <c r="A203" s="11">
        <v>1</v>
      </c>
      <c r="B203" s="8">
        <v>1</v>
      </c>
      <c r="C203" s="8" t="s">
        <v>85</v>
      </c>
      <c r="D203" s="8" t="s">
        <v>44</v>
      </c>
      <c r="E203" s="8" t="s">
        <v>14</v>
      </c>
      <c r="F203" s="8" t="s">
        <v>53</v>
      </c>
    </row>
    <row r="204" spans="1:6" x14ac:dyDescent="0.3">
      <c r="A204" s="16">
        <v>1</v>
      </c>
      <c r="B204" s="18">
        <v>1</v>
      </c>
      <c r="C204" s="18" t="s">
        <v>103</v>
      </c>
      <c r="D204" s="12" t="s">
        <v>33</v>
      </c>
      <c r="E204" s="19" t="s">
        <v>46</v>
      </c>
      <c r="F204" s="19" t="s">
        <v>75</v>
      </c>
    </row>
    <row r="205" spans="1:6" x14ac:dyDescent="0.3">
      <c r="A205" s="16">
        <v>1</v>
      </c>
      <c r="B205" s="19">
        <v>2</v>
      </c>
      <c r="C205" s="19" t="s">
        <v>84</v>
      </c>
      <c r="D205" s="19" t="s">
        <v>44</v>
      </c>
      <c r="E205" s="19" t="s">
        <v>14</v>
      </c>
      <c r="F205" s="19" t="s">
        <v>49</v>
      </c>
    </row>
    <row r="206" spans="1:6" x14ac:dyDescent="0.3">
      <c r="A206" s="16">
        <v>1</v>
      </c>
      <c r="B206" s="19">
        <v>1</v>
      </c>
      <c r="C206" s="19" t="s">
        <v>85</v>
      </c>
      <c r="D206" s="19" t="s">
        <v>44</v>
      </c>
      <c r="E206" s="19" t="s">
        <v>14</v>
      </c>
      <c r="F206" s="19" t="s">
        <v>48</v>
      </c>
    </row>
    <row r="207" spans="1:6" x14ac:dyDescent="0.3">
      <c r="A207" s="11">
        <v>1</v>
      </c>
      <c r="B207" s="18">
        <v>2</v>
      </c>
      <c r="C207" s="18" t="s">
        <v>104</v>
      </c>
      <c r="D207" s="12" t="s">
        <v>33</v>
      </c>
      <c r="E207" s="8" t="s">
        <v>46</v>
      </c>
      <c r="F207" s="8" t="s">
        <v>72</v>
      </c>
    </row>
    <row r="208" spans="1:6" x14ac:dyDescent="0.3">
      <c r="A208" s="11">
        <v>1</v>
      </c>
      <c r="B208" s="8">
        <v>1</v>
      </c>
      <c r="C208" s="19" t="s">
        <v>85</v>
      </c>
      <c r="D208" s="8" t="s">
        <v>44</v>
      </c>
      <c r="E208" s="8" t="s">
        <v>13</v>
      </c>
      <c r="F208" s="8" t="s">
        <v>50</v>
      </c>
    </row>
    <row r="209" spans="1:6" x14ac:dyDescent="0.3">
      <c r="A209" s="16">
        <v>1</v>
      </c>
      <c r="B209" s="18">
        <v>1</v>
      </c>
      <c r="C209" s="17" t="s">
        <v>103</v>
      </c>
      <c r="D209" s="12" t="s">
        <v>33</v>
      </c>
      <c r="E209" s="19" t="s">
        <v>46</v>
      </c>
      <c r="F209" s="19" t="s">
        <v>71</v>
      </c>
    </row>
    <row r="210" spans="1:6" x14ac:dyDescent="0.3">
      <c r="A210" s="11">
        <v>1</v>
      </c>
      <c r="B210" s="18">
        <v>2</v>
      </c>
      <c r="C210" s="18" t="s">
        <v>104</v>
      </c>
      <c r="D210" s="12" t="s">
        <v>33</v>
      </c>
      <c r="E210" s="8" t="s">
        <v>46</v>
      </c>
      <c r="F210" s="8" t="s">
        <v>77</v>
      </c>
    </row>
    <row r="211" spans="1:6" x14ac:dyDescent="0.3">
      <c r="A211" s="11">
        <v>1</v>
      </c>
      <c r="B211" s="8">
        <v>1</v>
      </c>
      <c r="C211" s="19" t="s">
        <v>85</v>
      </c>
      <c r="D211" s="8" t="s">
        <v>44</v>
      </c>
      <c r="E211" s="8" t="s">
        <v>13</v>
      </c>
      <c r="F211" s="8" t="s">
        <v>47</v>
      </c>
    </row>
    <row r="212" spans="1:6" x14ac:dyDescent="0.3">
      <c r="A212" s="11">
        <v>1</v>
      </c>
      <c r="B212" s="8">
        <v>2</v>
      </c>
      <c r="C212" s="8" t="s">
        <v>84</v>
      </c>
      <c r="D212" s="8" t="s">
        <v>44</v>
      </c>
      <c r="E212" s="8" t="s">
        <v>14</v>
      </c>
      <c r="F212" s="8" t="s">
        <v>52</v>
      </c>
    </row>
    <row r="213" spans="1:6" x14ac:dyDescent="0.3">
      <c r="A213" s="19">
        <v>2</v>
      </c>
      <c r="B213" s="19">
        <v>1</v>
      </c>
      <c r="C213" s="19" t="s">
        <v>85</v>
      </c>
      <c r="D213" s="19" t="s">
        <v>44</v>
      </c>
      <c r="E213" s="19" t="s">
        <v>13</v>
      </c>
      <c r="F213" s="19" t="s">
        <v>55</v>
      </c>
    </row>
    <row r="214" spans="1:6" x14ac:dyDescent="0.3">
      <c r="A214" s="8">
        <v>2</v>
      </c>
      <c r="B214" s="13">
        <v>2</v>
      </c>
      <c r="C214" s="13" t="s">
        <v>104</v>
      </c>
      <c r="D214" s="13" t="s">
        <v>33</v>
      </c>
      <c r="E214" s="8" t="s">
        <v>46</v>
      </c>
      <c r="F214" s="8" t="s">
        <v>51</v>
      </c>
    </row>
    <row r="215" spans="1:6" x14ac:dyDescent="0.3">
      <c r="A215" s="8">
        <v>2</v>
      </c>
      <c r="B215" s="8">
        <v>1</v>
      </c>
      <c r="C215" s="8" t="s">
        <v>85</v>
      </c>
      <c r="D215" s="8" t="s">
        <v>44</v>
      </c>
      <c r="E215" s="8" t="s">
        <v>13</v>
      </c>
      <c r="F215" s="8" t="s">
        <v>59</v>
      </c>
    </row>
    <row r="216" spans="1:6" x14ac:dyDescent="0.3">
      <c r="A216" s="19">
        <v>2</v>
      </c>
      <c r="B216" s="13">
        <v>2</v>
      </c>
      <c r="C216" s="13" t="s">
        <v>104</v>
      </c>
      <c r="D216" s="13" t="s">
        <v>33</v>
      </c>
      <c r="E216" s="19" t="s">
        <v>46</v>
      </c>
      <c r="F216" s="19" t="s">
        <v>54</v>
      </c>
    </row>
    <row r="217" spans="1:6" x14ac:dyDescent="0.3">
      <c r="A217" s="8">
        <v>2</v>
      </c>
      <c r="B217" s="8">
        <v>1</v>
      </c>
      <c r="C217" s="8" t="s">
        <v>85</v>
      </c>
      <c r="D217" s="8" t="s">
        <v>44</v>
      </c>
      <c r="E217" s="8" t="s">
        <v>14</v>
      </c>
      <c r="F217" s="8" t="s">
        <v>57</v>
      </c>
    </row>
    <row r="218" spans="1:6" x14ac:dyDescent="0.3">
      <c r="A218" s="19">
        <v>2</v>
      </c>
      <c r="B218" s="19">
        <v>1</v>
      </c>
      <c r="C218" s="19" t="s">
        <v>85</v>
      </c>
      <c r="D218" s="19" t="s">
        <v>44</v>
      </c>
      <c r="E218" s="19" t="s">
        <v>14</v>
      </c>
      <c r="F218" s="19" t="s">
        <v>61</v>
      </c>
    </row>
    <row r="219" spans="1:6" x14ac:dyDescent="0.3">
      <c r="A219" s="8">
        <v>2</v>
      </c>
      <c r="B219" s="13">
        <v>1</v>
      </c>
      <c r="C219" s="13" t="s">
        <v>103</v>
      </c>
      <c r="D219" s="13" t="s">
        <v>33</v>
      </c>
      <c r="E219" s="8" t="s">
        <v>46</v>
      </c>
      <c r="F219" s="8" t="s">
        <v>53</v>
      </c>
    </row>
    <row r="220" spans="1:6" x14ac:dyDescent="0.3">
      <c r="A220" s="19">
        <v>2</v>
      </c>
      <c r="B220" s="13">
        <v>2</v>
      </c>
      <c r="C220" s="13" t="s">
        <v>104</v>
      </c>
      <c r="D220" s="13" t="s">
        <v>33</v>
      </c>
      <c r="E220" s="19" t="s">
        <v>46</v>
      </c>
      <c r="F220" s="19" t="s">
        <v>49</v>
      </c>
    </row>
    <row r="221" spans="1:6" x14ac:dyDescent="0.3">
      <c r="A221" s="8">
        <v>2</v>
      </c>
      <c r="B221" s="13">
        <v>1</v>
      </c>
      <c r="C221" s="13" t="s">
        <v>103</v>
      </c>
      <c r="D221" s="13" t="s">
        <v>33</v>
      </c>
      <c r="E221" s="8" t="s">
        <v>46</v>
      </c>
      <c r="F221" s="8" t="s">
        <v>48</v>
      </c>
    </row>
    <row r="222" spans="1:6" x14ac:dyDescent="0.3">
      <c r="A222" s="8">
        <v>2</v>
      </c>
      <c r="B222" s="8">
        <v>2</v>
      </c>
      <c r="C222" s="8" t="s">
        <v>84</v>
      </c>
      <c r="D222" s="8" t="s">
        <v>44</v>
      </c>
      <c r="E222" s="8" t="s">
        <v>14</v>
      </c>
      <c r="F222" s="8" t="s">
        <v>56</v>
      </c>
    </row>
    <row r="223" spans="1:6" x14ac:dyDescent="0.3">
      <c r="A223" s="8">
        <v>2</v>
      </c>
      <c r="B223" s="8">
        <v>2</v>
      </c>
      <c r="C223" s="8" t="s">
        <v>84</v>
      </c>
      <c r="D223" s="8" t="s">
        <v>44</v>
      </c>
      <c r="E223" s="8" t="s">
        <v>13</v>
      </c>
      <c r="F223" s="8" t="s">
        <v>60</v>
      </c>
    </row>
    <row r="224" spans="1:6" x14ac:dyDescent="0.3">
      <c r="A224" s="19">
        <v>2</v>
      </c>
      <c r="B224" s="13">
        <v>1</v>
      </c>
      <c r="C224" s="13" t="s">
        <v>103</v>
      </c>
      <c r="D224" s="13" t="s">
        <v>33</v>
      </c>
      <c r="E224" s="19" t="s">
        <v>46</v>
      </c>
      <c r="F224" s="19" t="s">
        <v>50</v>
      </c>
    </row>
    <row r="225" spans="1:6" x14ac:dyDescent="0.3">
      <c r="A225" s="19">
        <v>2</v>
      </c>
      <c r="B225" s="19">
        <v>2</v>
      </c>
      <c r="C225" s="19" t="s">
        <v>84</v>
      </c>
      <c r="D225" s="19" t="s">
        <v>44</v>
      </c>
      <c r="E225" s="19" t="s">
        <v>13</v>
      </c>
      <c r="F225" s="19" t="s">
        <v>58</v>
      </c>
    </row>
    <row r="226" spans="1:6" x14ac:dyDescent="0.3">
      <c r="A226" s="8">
        <v>2</v>
      </c>
      <c r="B226" s="13">
        <v>1</v>
      </c>
      <c r="C226" s="13" t="s">
        <v>103</v>
      </c>
      <c r="D226" s="13" t="s">
        <v>33</v>
      </c>
      <c r="E226" s="8" t="s">
        <v>46</v>
      </c>
      <c r="F226" s="8" t="s">
        <v>47</v>
      </c>
    </row>
    <row r="227" spans="1:6" x14ac:dyDescent="0.3">
      <c r="A227" s="19">
        <v>2</v>
      </c>
      <c r="B227" s="13">
        <v>2</v>
      </c>
      <c r="C227" s="13" t="s">
        <v>104</v>
      </c>
      <c r="D227" s="13" t="s">
        <v>33</v>
      </c>
      <c r="E227" s="19" t="s">
        <v>46</v>
      </c>
      <c r="F227" s="19" t="s">
        <v>52</v>
      </c>
    </row>
    <row r="228" spans="1:6" x14ac:dyDescent="0.3">
      <c r="A228" s="19">
        <v>2</v>
      </c>
      <c r="B228" s="19">
        <v>1</v>
      </c>
      <c r="C228" s="19" t="s">
        <v>85</v>
      </c>
      <c r="D228" s="19" t="s">
        <v>44</v>
      </c>
      <c r="E228" s="19" t="s">
        <v>14</v>
      </c>
      <c r="F228" s="19" t="s">
        <v>62</v>
      </c>
    </row>
    <row r="229" spans="1:6" x14ac:dyDescent="0.3">
      <c r="A229" s="11">
        <v>3</v>
      </c>
      <c r="B229" s="8">
        <v>2</v>
      </c>
      <c r="C229" s="8" t="s">
        <v>84</v>
      </c>
      <c r="D229" s="8" t="s">
        <v>44</v>
      </c>
      <c r="E229" s="8" t="s">
        <v>14</v>
      </c>
      <c r="F229" s="8" t="s">
        <v>67</v>
      </c>
    </row>
    <row r="230" spans="1:6" x14ac:dyDescent="0.3">
      <c r="A230" s="11">
        <v>3</v>
      </c>
      <c r="B230" s="8">
        <v>1</v>
      </c>
      <c r="C230" s="8" t="s">
        <v>85</v>
      </c>
      <c r="D230" s="8" t="s">
        <v>44</v>
      </c>
      <c r="E230" s="8" t="s">
        <v>14</v>
      </c>
      <c r="F230" s="8" t="s">
        <v>63</v>
      </c>
    </row>
    <row r="231" spans="1:6" x14ac:dyDescent="0.3">
      <c r="A231" s="16">
        <v>3</v>
      </c>
      <c r="B231" s="14">
        <v>2</v>
      </c>
      <c r="C231" s="14" t="s">
        <v>104</v>
      </c>
      <c r="D231" s="14" t="s">
        <v>33</v>
      </c>
      <c r="E231" s="19" t="s">
        <v>46</v>
      </c>
      <c r="F231" s="19" t="s">
        <v>55</v>
      </c>
    </row>
    <row r="232" spans="1:6" x14ac:dyDescent="0.3">
      <c r="A232" s="11">
        <v>3</v>
      </c>
      <c r="B232" s="14">
        <v>1</v>
      </c>
      <c r="C232" s="14" t="s">
        <v>103</v>
      </c>
      <c r="D232" s="14" t="s">
        <v>33</v>
      </c>
      <c r="E232" s="8" t="s">
        <v>46</v>
      </c>
      <c r="F232" s="8" t="s">
        <v>59</v>
      </c>
    </row>
    <row r="233" spans="1:6" x14ac:dyDescent="0.3">
      <c r="A233" s="11">
        <v>3</v>
      </c>
      <c r="B233" s="8">
        <v>2</v>
      </c>
      <c r="C233" s="8" t="s">
        <v>84</v>
      </c>
      <c r="D233" s="8" t="s">
        <v>44</v>
      </c>
      <c r="E233" s="8" t="s">
        <v>14</v>
      </c>
      <c r="F233" s="8" t="s">
        <v>69</v>
      </c>
    </row>
    <row r="234" spans="1:6" x14ac:dyDescent="0.3">
      <c r="A234" s="16">
        <v>3</v>
      </c>
      <c r="B234" s="14">
        <v>1</v>
      </c>
      <c r="C234" s="14" t="s">
        <v>103</v>
      </c>
      <c r="D234" s="14" t="s">
        <v>33</v>
      </c>
      <c r="E234" s="19" t="s">
        <v>46</v>
      </c>
      <c r="F234" s="19" t="s">
        <v>57</v>
      </c>
    </row>
    <row r="235" spans="1:6" x14ac:dyDescent="0.3">
      <c r="A235" s="16">
        <v>3</v>
      </c>
      <c r="B235" s="19">
        <v>2</v>
      </c>
      <c r="C235" s="19" t="s">
        <v>84</v>
      </c>
      <c r="D235" s="19" t="s">
        <v>44</v>
      </c>
      <c r="E235" s="19" t="s">
        <v>13</v>
      </c>
      <c r="F235" s="19" t="s">
        <v>65</v>
      </c>
    </row>
    <row r="236" spans="1:6" x14ac:dyDescent="0.3">
      <c r="A236" s="11">
        <v>3</v>
      </c>
      <c r="B236" s="14">
        <v>1</v>
      </c>
      <c r="C236" s="14" t="s">
        <v>103</v>
      </c>
      <c r="D236" s="14" t="s">
        <v>33</v>
      </c>
      <c r="E236" s="8" t="s">
        <v>46</v>
      </c>
      <c r="F236" s="8" t="s">
        <v>61</v>
      </c>
    </row>
    <row r="237" spans="1:6" x14ac:dyDescent="0.3">
      <c r="A237" s="16">
        <v>3</v>
      </c>
      <c r="B237" s="14">
        <v>1</v>
      </c>
      <c r="C237" s="14" t="s">
        <v>103</v>
      </c>
      <c r="D237" s="14" t="s">
        <v>33</v>
      </c>
      <c r="E237" s="19" t="s">
        <v>46</v>
      </c>
      <c r="F237" s="19" t="s">
        <v>56</v>
      </c>
    </row>
    <row r="238" spans="1:6" x14ac:dyDescent="0.3">
      <c r="A238" s="16">
        <v>3</v>
      </c>
      <c r="B238" s="19">
        <v>2</v>
      </c>
      <c r="C238" s="19" t="s">
        <v>84</v>
      </c>
      <c r="D238" s="19" t="s">
        <v>44</v>
      </c>
      <c r="E238" s="19" t="s">
        <v>13</v>
      </c>
      <c r="F238" s="19" t="s">
        <v>64</v>
      </c>
    </row>
    <row r="239" spans="1:6" x14ac:dyDescent="0.3">
      <c r="A239" s="16">
        <v>3</v>
      </c>
      <c r="B239" s="19">
        <v>1</v>
      </c>
      <c r="C239" s="19" t="s">
        <v>85</v>
      </c>
      <c r="D239" s="19" t="s">
        <v>44</v>
      </c>
      <c r="E239" s="19" t="s">
        <v>14</v>
      </c>
      <c r="F239" s="19" t="s">
        <v>70</v>
      </c>
    </row>
    <row r="240" spans="1:6" x14ac:dyDescent="0.3">
      <c r="A240" s="11">
        <v>3</v>
      </c>
      <c r="B240" s="14">
        <v>2</v>
      </c>
      <c r="C240" s="14" t="s">
        <v>104</v>
      </c>
      <c r="D240" s="14" t="s">
        <v>33</v>
      </c>
      <c r="E240" s="8" t="s">
        <v>46</v>
      </c>
      <c r="F240" s="8" t="s">
        <v>60</v>
      </c>
    </row>
    <row r="241" spans="1:6" x14ac:dyDescent="0.3">
      <c r="A241" s="16">
        <v>3</v>
      </c>
      <c r="B241" s="14">
        <v>2</v>
      </c>
      <c r="C241" s="14" t="s">
        <v>104</v>
      </c>
      <c r="D241" s="14" t="s">
        <v>33</v>
      </c>
      <c r="E241" s="19" t="s">
        <v>46</v>
      </c>
      <c r="F241" s="19" t="s">
        <v>58</v>
      </c>
    </row>
    <row r="242" spans="1:6" x14ac:dyDescent="0.3">
      <c r="A242" s="16">
        <v>3</v>
      </c>
      <c r="B242" s="19">
        <v>1</v>
      </c>
      <c r="C242" s="19" t="s">
        <v>85</v>
      </c>
      <c r="D242" s="19" t="s">
        <v>44</v>
      </c>
      <c r="E242" s="19" t="s">
        <v>13</v>
      </c>
      <c r="F242" s="19" t="s">
        <v>68</v>
      </c>
    </row>
    <row r="243" spans="1:6" x14ac:dyDescent="0.3">
      <c r="A243" s="11">
        <v>3</v>
      </c>
      <c r="B243" s="14">
        <v>2</v>
      </c>
      <c r="C243" s="14" t="s">
        <v>104</v>
      </c>
      <c r="D243" s="14" t="s">
        <v>33</v>
      </c>
      <c r="E243" s="8" t="s">
        <v>46</v>
      </c>
      <c r="F243" s="8" t="s">
        <v>62</v>
      </c>
    </row>
    <row r="244" spans="1:6" x14ac:dyDescent="0.3">
      <c r="A244" s="11">
        <v>3</v>
      </c>
      <c r="B244" s="8">
        <v>1</v>
      </c>
      <c r="C244" s="8" t="s">
        <v>85</v>
      </c>
      <c r="D244" s="8" t="s">
        <v>44</v>
      </c>
      <c r="E244" s="8" t="s">
        <v>13</v>
      </c>
      <c r="F244" s="8" t="s">
        <v>66</v>
      </c>
    </row>
    <row r="245" spans="1:6" x14ac:dyDescent="0.3">
      <c r="A245" s="8">
        <v>4</v>
      </c>
      <c r="B245" s="15">
        <v>2</v>
      </c>
      <c r="C245" s="15" t="s">
        <v>104</v>
      </c>
      <c r="D245" s="15" t="s">
        <v>33</v>
      </c>
      <c r="E245" s="8" t="s">
        <v>46</v>
      </c>
      <c r="F245" s="8" t="s">
        <v>67</v>
      </c>
    </row>
    <row r="246" spans="1:6" x14ac:dyDescent="0.3">
      <c r="A246" s="19">
        <v>4</v>
      </c>
      <c r="B246" s="15">
        <v>2</v>
      </c>
      <c r="C246" s="15" t="s">
        <v>104</v>
      </c>
      <c r="D246" s="15" t="s">
        <v>33</v>
      </c>
      <c r="E246" s="19" t="s">
        <v>46</v>
      </c>
      <c r="F246" s="19" t="s">
        <v>63</v>
      </c>
    </row>
    <row r="247" spans="1:6" x14ac:dyDescent="0.3">
      <c r="A247" s="19">
        <v>4</v>
      </c>
      <c r="B247" s="19">
        <v>1</v>
      </c>
      <c r="C247" s="19" t="s">
        <v>85</v>
      </c>
      <c r="D247" s="19" t="s">
        <v>44</v>
      </c>
      <c r="E247" s="19" t="s">
        <v>13</v>
      </c>
      <c r="F247" s="19" t="s">
        <v>73</v>
      </c>
    </row>
    <row r="248" spans="1:6" x14ac:dyDescent="0.3">
      <c r="A248" s="19">
        <v>4</v>
      </c>
      <c r="B248" s="19">
        <v>2</v>
      </c>
      <c r="C248" s="19" t="s">
        <v>84</v>
      </c>
      <c r="D248" s="19" t="s">
        <v>44</v>
      </c>
      <c r="E248" s="19" t="s">
        <v>14</v>
      </c>
      <c r="F248" s="19" t="s">
        <v>76</v>
      </c>
    </row>
    <row r="249" spans="1:6" x14ac:dyDescent="0.3">
      <c r="A249" s="8">
        <v>4</v>
      </c>
      <c r="B249" s="15">
        <v>1</v>
      </c>
      <c r="C249" s="15" t="s">
        <v>103</v>
      </c>
      <c r="D249" s="15" t="s">
        <v>33</v>
      </c>
      <c r="E249" s="8" t="s">
        <v>46</v>
      </c>
      <c r="F249" s="8" t="s">
        <v>69</v>
      </c>
    </row>
    <row r="250" spans="1:6" x14ac:dyDescent="0.3">
      <c r="A250" s="8">
        <v>4</v>
      </c>
      <c r="B250" s="8">
        <v>2</v>
      </c>
      <c r="C250" s="8" t="s">
        <v>84</v>
      </c>
      <c r="D250" s="8" t="s">
        <v>44</v>
      </c>
      <c r="E250" s="8" t="s">
        <v>13</v>
      </c>
      <c r="F250" s="8" t="s">
        <v>74</v>
      </c>
    </row>
    <row r="251" spans="1:6" x14ac:dyDescent="0.3">
      <c r="A251" s="8">
        <v>4</v>
      </c>
      <c r="B251" s="8">
        <v>1</v>
      </c>
      <c r="C251" s="8" t="s">
        <v>85</v>
      </c>
      <c r="D251" s="8" t="s">
        <v>44</v>
      </c>
      <c r="E251" s="8" t="s">
        <v>14</v>
      </c>
      <c r="F251" s="8" t="s">
        <v>78</v>
      </c>
    </row>
    <row r="252" spans="1:6" x14ac:dyDescent="0.3">
      <c r="A252" s="19">
        <v>4</v>
      </c>
      <c r="B252" s="15">
        <v>2</v>
      </c>
      <c r="C252" s="15" t="s">
        <v>104</v>
      </c>
      <c r="D252" s="15" t="s">
        <v>33</v>
      </c>
      <c r="E252" s="19" t="s">
        <v>46</v>
      </c>
      <c r="F252" s="19" t="s">
        <v>65</v>
      </c>
    </row>
    <row r="253" spans="1:6" x14ac:dyDescent="0.3">
      <c r="A253" s="19">
        <v>4</v>
      </c>
      <c r="B253" s="19">
        <v>2</v>
      </c>
      <c r="C253" s="19" t="s">
        <v>84</v>
      </c>
      <c r="D253" s="19" t="s">
        <v>44</v>
      </c>
      <c r="E253" s="19" t="s">
        <v>14</v>
      </c>
      <c r="F253" s="19" t="s">
        <v>75</v>
      </c>
    </row>
    <row r="254" spans="1:6" x14ac:dyDescent="0.3">
      <c r="A254" s="19">
        <v>4</v>
      </c>
      <c r="B254" s="15">
        <v>1</v>
      </c>
      <c r="C254" s="15" t="s">
        <v>103</v>
      </c>
      <c r="D254" s="15" t="s">
        <v>33</v>
      </c>
      <c r="E254" s="19" t="s">
        <v>46</v>
      </c>
      <c r="F254" s="19" t="s">
        <v>64</v>
      </c>
    </row>
    <row r="255" spans="1:6" x14ac:dyDescent="0.3">
      <c r="A255" s="8">
        <v>4</v>
      </c>
      <c r="B255" s="15">
        <v>1</v>
      </c>
      <c r="C255" s="15" t="s">
        <v>103</v>
      </c>
      <c r="D255" s="15" t="s">
        <v>33</v>
      </c>
      <c r="E255" s="8" t="s">
        <v>46</v>
      </c>
      <c r="F255" s="8" t="s">
        <v>70</v>
      </c>
    </row>
    <row r="256" spans="1:6" x14ac:dyDescent="0.3">
      <c r="A256" s="19">
        <v>4</v>
      </c>
      <c r="B256" s="19">
        <v>2</v>
      </c>
      <c r="C256" s="19" t="s">
        <v>84</v>
      </c>
      <c r="D256" s="19" t="s">
        <v>44</v>
      </c>
      <c r="E256" s="19" t="s">
        <v>13</v>
      </c>
      <c r="F256" s="19" t="s">
        <v>72</v>
      </c>
    </row>
    <row r="257" spans="1:6" x14ac:dyDescent="0.3">
      <c r="A257" s="19">
        <v>4</v>
      </c>
      <c r="B257" s="19">
        <v>1</v>
      </c>
      <c r="C257" s="19" t="s">
        <v>85</v>
      </c>
      <c r="D257" s="19" t="s">
        <v>44</v>
      </c>
      <c r="E257" s="19" t="s">
        <v>14</v>
      </c>
      <c r="F257" s="19" t="s">
        <v>71</v>
      </c>
    </row>
    <row r="258" spans="1:6" x14ac:dyDescent="0.3">
      <c r="A258" s="19">
        <v>4</v>
      </c>
      <c r="B258" s="19">
        <v>1</v>
      </c>
      <c r="C258" s="19" t="s">
        <v>85</v>
      </c>
      <c r="D258" s="19" t="s">
        <v>44</v>
      </c>
      <c r="E258" s="19" t="s">
        <v>13</v>
      </c>
      <c r="F258" s="19" t="s">
        <v>77</v>
      </c>
    </row>
    <row r="259" spans="1:6" x14ac:dyDescent="0.3">
      <c r="A259" s="8">
        <v>4</v>
      </c>
      <c r="B259" s="15">
        <v>2</v>
      </c>
      <c r="C259" s="15" t="s">
        <v>104</v>
      </c>
      <c r="D259" s="15" t="s">
        <v>33</v>
      </c>
      <c r="E259" s="8" t="s">
        <v>46</v>
      </c>
      <c r="F259" s="8" t="s">
        <v>68</v>
      </c>
    </row>
    <row r="260" spans="1:6" x14ac:dyDescent="0.3">
      <c r="A260" s="19">
        <v>4</v>
      </c>
      <c r="B260" s="15">
        <v>1</v>
      </c>
      <c r="C260" s="15" t="s">
        <v>103</v>
      </c>
      <c r="D260" s="15" t="s">
        <v>33</v>
      </c>
      <c r="E260" s="19" t="s">
        <v>46</v>
      </c>
      <c r="F260" s="19" t="s">
        <v>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4"/>
  <sheetViews>
    <sheetView workbookViewId="0">
      <selection activeCell="U1" sqref="U1:V64"/>
    </sheetView>
  </sheetViews>
  <sheetFormatPr defaultColWidth="8.6640625" defaultRowHeight="14.4" x14ac:dyDescent="0.3"/>
  <sheetData>
    <row r="1" spans="1:22" x14ac:dyDescent="0.3">
      <c r="A1" s="32" t="s">
        <v>84</v>
      </c>
      <c r="B1" s="31" t="s">
        <v>44</v>
      </c>
      <c r="C1" s="31" t="s">
        <v>13</v>
      </c>
      <c r="E1" s="32" t="s">
        <v>84</v>
      </c>
      <c r="F1" s="31" t="s">
        <v>44</v>
      </c>
      <c r="G1" s="31" t="s">
        <v>14</v>
      </c>
      <c r="I1" s="32" t="s">
        <v>85</v>
      </c>
      <c r="J1" s="31" t="s">
        <v>44</v>
      </c>
      <c r="K1" s="31" t="s">
        <v>13</v>
      </c>
      <c r="M1" s="32" t="s">
        <v>85</v>
      </c>
      <c r="N1" s="31" t="s">
        <v>44</v>
      </c>
      <c r="O1" s="31" t="s">
        <v>14</v>
      </c>
      <c r="R1" s="16" t="s">
        <v>84</v>
      </c>
      <c r="S1" s="19" t="s">
        <v>4</v>
      </c>
      <c r="U1" s="16" t="s">
        <v>85</v>
      </c>
      <c r="V1" s="19" t="s">
        <v>4</v>
      </c>
    </row>
    <row r="2" spans="1:22" x14ac:dyDescent="0.3">
      <c r="A2" s="16" t="s">
        <v>84</v>
      </c>
      <c r="B2" s="19" t="s">
        <v>44</v>
      </c>
      <c r="C2" s="19" t="s">
        <v>13</v>
      </c>
      <c r="E2" s="11" t="s">
        <v>84</v>
      </c>
      <c r="F2" s="8" t="s">
        <v>44</v>
      </c>
      <c r="G2" s="8" t="s">
        <v>14</v>
      </c>
      <c r="I2" s="16" t="s">
        <v>85</v>
      </c>
      <c r="J2" s="19" t="s">
        <v>44</v>
      </c>
      <c r="K2" s="19" t="s">
        <v>13</v>
      </c>
      <c r="M2" s="16" t="s">
        <v>85</v>
      </c>
      <c r="N2" s="19" t="s">
        <v>44</v>
      </c>
      <c r="O2" s="19" t="s">
        <v>14</v>
      </c>
      <c r="R2" s="11" t="s">
        <v>84</v>
      </c>
      <c r="S2" s="8" t="s">
        <v>4</v>
      </c>
      <c r="U2" s="16" t="s">
        <v>85</v>
      </c>
      <c r="V2" s="19" t="s">
        <v>4</v>
      </c>
    </row>
    <row r="3" spans="1:22" x14ac:dyDescent="0.3">
      <c r="A3" s="32" t="s">
        <v>84</v>
      </c>
      <c r="B3" s="31" t="s">
        <v>44</v>
      </c>
      <c r="C3" s="31" t="s">
        <v>13</v>
      </c>
      <c r="E3" s="32" t="s">
        <v>84</v>
      </c>
      <c r="F3" s="31" t="s">
        <v>44</v>
      </c>
      <c r="G3" s="31" t="s">
        <v>14</v>
      </c>
      <c r="I3" s="32" t="s">
        <v>85</v>
      </c>
      <c r="J3" s="31" t="s">
        <v>44</v>
      </c>
      <c r="K3" s="31" t="s">
        <v>13</v>
      </c>
      <c r="M3" s="32" t="s">
        <v>85</v>
      </c>
      <c r="N3" s="31" t="s">
        <v>44</v>
      </c>
      <c r="O3" s="31" t="s">
        <v>14</v>
      </c>
      <c r="R3" s="16" t="s">
        <v>84</v>
      </c>
      <c r="S3" s="19" t="s">
        <v>4</v>
      </c>
      <c r="U3" s="32" t="s">
        <v>85</v>
      </c>
      <c r="V3" s="31" t="s">
        <v>4</v>
      </c>
    </row>
    <row r="4" spans="1:22" x14ac:dyDescent="0.3">
      <c r="A4" s="16" t="s">
        <v>84</v>
      </c>
      <c r="B4" s="19" t="s">
        <v>44</v>
      </c>
      <c r="C4" s="19" t="s">
        <v>13</v>
      </c>
      <c r="E4" s="11" t="s">
        <v>84</v>
      </c>
      <c r="F4" s="8" t="s">
        <v>44</v>
      </c>
      <c r="G4" s="8" t="s">
        <v>14</v>
      </c>
      <c r="I4" s="11" t="s">
        <v>85</v>
      </c>
      <c r="J4" s="8" t="s">
        <v>44</v>
      </c>
      <c r="K4" s="8" t="s">
        <v>13</v>
      </c>
      <c r="M4" s="16" t="s">
        <v>85</v>
      </c>
      <c r="N4" s="19" t="s">
        <v>44</v>
      </c>
      <c r="O4" s="19" t="s">
        <v>14</v>
      </c>
      <c r="R4" s="11" t="s">
        <v>84</v>
      </c>
      <c r="S4" s="8" t="s">
        <v>4</v>
      </c>
      <c r="U4" s="16" t="s">
        <v>85</v>
      </c>
      <c r="V4" s="19" t="s">
        <v>4</v>
      </c>
    </row>
    <row r="5" spans="1:22" x14ac:dyDescent="0.3">
      <c r="A5" s="32" t="s">
        <v>84</v>
      </c>
      <c r="B5" s="31" t="s">
        <v>44</v>
      </c>
      <c r="C5" s="31" t="s">
        <v>13</v>
      </c>
      <c r="E5" s="32" t="s">
        <v>84</v>
      </c>
      <c r="F5" s="31" t="s">
        <v>44</v>
      </c>
      <c r="G5" s="31" t="s">
        <v>14</v>
      </c>
      <c r="I5" s="32" t="s">
        <v>85</v>
      </c>
      <c r="J5" s="31" t="s">
        <v>44</v>
      </c>
      <c r="K5" s="31" t="s">
        <v>13</v>
      </c>
      <c r="M5" s="32" t="s">
        <v>85</v>
      </c>
      <c r="N5" s="31" t="s">
        <v>44</v>
      </c>
      <c r="O5" s="31" t="s">
        <v>14</v>
      </c>
      <c r="R5" s="32" t="s">
        <v>84</v>
      </c>
      <c r="S5" s="19" t="s">
        <v>4</v>
      </c>
      <c r="U5" s="16" t="s">
        <v>85</v>
      </c>
      <c r="V5" s="19" t="s">
        <v>4</v>
      </c>
    </row>
    <row r="6" spans="1:22" x14ac:dyDescent="0.3">
      <c r="A6" s="16" t="s">
        <v>84</v>
      </c>
      <c r="B6" s="19" t="s">
        <v>44</v>
      </c>
      <c r="C6" s="19" t="s">
        <v>13</v>
      </c>
      <c r="E6" s="16" t="s">
        <v>84</v>
      </c>
      <c r="F6" s="19" t="s">
        <v>44</v>
      </c>
      <c r="G6" s="19" t="s">
        <v>14</v>
      </c>
      <c r="I6" s="11" t="s">
        <v>85</v>
      </c>
      <c r="J6" s="8" t="s">
        <v>44</v>
      </c>
      <c r="K6" s="8" t="s">
        <v>13</v>
      </c>
      <c r="M6" s="16" t="s">
        <v>85</v>
      </c>
      <c r="N6" s="19" t="s">
        <v>44</v>
      </c>
      <c r="O6" s="19" t="s">
        <v>14</v>
      </c>
      <c r="R6" s="16" t="s">
        <v>84</v>
      </c>
      <c r="S6" s="19" t="s">
        <v>4</v>
      </c>
      <c r="U6" s="11" t="s">
        <v>85</v>
      </c>
      <c r="V6" s="19" t="s">
        <v>4</v>
      </c>
    </row>
    <row r="7" spans="1:22" x14ac:dyDescent="0.3">
      <c r="A7" s="32" t="s">
        <v>84</v>
      </c>
      <c r="B7" s="31" t="s">
        <v>44</v>
      </c>
      <c r="C7" s="31" t="s">
        <v>13</v>
      </c>
      <c r="E7" s="32" t="s">
        <v>84</v>
      </c>
      <c r="F7" s="31" t="s">
        <v>44</v>
      </c>
      <c r="G7" s="31" t="s">
        <v>14</v>
      </c>
      <c r="I7" s="32" t="s">
        <v>85</v>
      </c>
      <c r="J7" s="31" t="s">
        <v>44</v>
      </c>
      <c r="K7" s="31" t="s">
        <v>13</v>
      </c>
      <c r="M7" s="32" t="s">
        <v>85</v>
      </c>
      <c r="N7" s="31" t="s">
        <v>44</v>
      </c>
      <c r="O7" s="31" t="s">
        <v>14</v>
      </c>
      <c r="R7" s="32" t="s">
        <v>84</v>
      </c>
      <c r="S7" s="31" t="s">
        <v>4</v>
      </c>
      <c r="U7" s="32" t="s">
        <v>85</v>
      </c>
      <c r="V7" s="19" t="s">
        <v>4</v>
      </c>
    </row>
    <row r="8" spans="1:22" x14ac:dyDescent="0.3">
      <c r="A8" s="16" t="s">
        <v>84</v>
      </c>
      <c r="B8" s="19" t="s">
        <v>44</v>
      </c>
      <c r="C8" s="19" t="s">
        <v>13</v>
      </c>
      <c r="E8" s="16" t="s">
        <v>84</v>
      </c>
      <c r="F8" s="19" t="s">
        <v>44</v>
      </c>
      <c r="G8" s="19" t="s">
        <v>14</v>
      </c>
      <c r="I8" s="16" t="s">
        <v>85</v>
      </c>
      <c r="J8" s="19" t="s">
        <v>44</v>
      </c>
      <c r="K8" s="19" t="s">
        <v>13</v>
      </c>
      <c r="M8" s="11" t="s">
        <v>85</v>
      </c>
      <c r="N8" s="8" t="s">
        <v>44</v>
      </c>
      <c r="O8" s="8" t="s">
        <v>14</v>
      </c>
      <c r="R8" s="11" t="s">
        <v>84</v>
      </c>
      <c r="S8" s="8" t="s">
        <v>4</v>
      </c>
      <c r="U8" s="11" t="s">
        <v>85</v>
      </c>
      <c r="V8" s="19" t="s">
        <v>4</v>
      </c>
    </row>
    <row r="9" spans="1:22" x14ac:dyDescent="0.3">
      <c r="A9" s="19" t="s">
        <v>84</v>
      </c>
      <c r="B9" s="31" t="s">
        <v>44</v>
      </c>
      <c r="C9" s="31" t="s">
        <v>13</v>
      </c>
      <c r="E9" s="19" t="s">
        <v>84</v>
      </c>
      <c r="F9" s="19" t="s">
        <v>44</v>
      </c>
      <c r="G9" s="19" t="s">
        <v>14</v>
      </c>
      <c r="I9" s="19" t="s">
        <v>85</v>
      </c>
      <c r="J9" s="31" t="s">
        <v>44</v>
      </c>
      <c r="K9" s="31" t="s">
        <v>13</v>
      </c>
      <c r="M9" s="31" t="s">
        <v>85</v>
      </c>
      <c r="N9" s="31" t="s">
        <v>44</v>
      </c>
      <c r="O9" s="31" t="s">
        <v>14</v>
      </c>
      <c r="R9" s="16" t="s">
        <v>84</v>
      </c>
      <c r="S9" s="19" t="s">
        <v>4</v>
      </c>
      <c r="U9" s="16" t="s">
        <v>85</v>
      </c>
      <c r="V9" s="19" t="s">
        <v>4</v>
      </c>
    </row>
    <row r="10" spans="1:22" x14ac:dyDescent="0.3">
      <c r="A10" s="19" t="s">
        <v>84</v>
      </c>
      <c r="B10" s="8" t="s">
        <v>44</v>
      </c>
      <c r="C10" s="8" t="s">
        <v>13</v>
      </c>
      <c r="E10" s="19" t="s">
        <v>84</v>
      </c>
      <c r="F10" s="19" t="s">
        <v>44</v>
      </c>
      <c r="G10" s="19" t="s">
        <v>14</v>
      </c>
      <c r="I10" s="19" t="s">
        <v>85</v>
      </c>
      <c r="J10" s="19" t="s">
        <v>44</v>
      </c>
      <c r="K10" s="19" t="s">
        <v>13</v>
      </c>
      <c r="M10" s="19" t="s">
        <v>85</v>
      </c>
      <c r="N10" s="19" t="s">
        <v>44</v>
      </c>
      <c r="O10" s="19" t="s">
        <v>14</v>
      </c>
      <c r="R10" s="16" t="s">
        <v>84</v>
      </c>
      <c r="S10" s="19" t="s">
        <v>4</v>
      </c>
      <c r="U10" s="11" t="s">
        <v>85</v>
      </c>
      <c r="V10" s="8" t="s">
        <v>4</v>
      </c>
    </row>
    <row r="11" spans="1:22" x14ac:dyDescent="0.3">
      <c r="A11" s="19" t="s">
        <v>84</v>
      </c>
      <c r="B11" s="19" t="s">
        <v>44</v>
      </c>
      <c r="C11" s="19" t="s">
        <v>13</v>
      </c>
      <c r="E11" s="31" t="s">
        <v>84</v>
      </c>
      <c r="F11" s="31" t="s">
        <v>44</v>
      </c>
      <c r="G11" s="31" t="s">
        <v>14</v>
      </c>
      <c r="I11" s="16" t="s">
        <v>85</v>
      </c>
      <c r="J11" s="19" t="s">
        <v>44</v>
      </c>
      <c r="K11" s="19" t="s">
        <v>13</v>
      </c>
      <c r="M11" s="19" t="s">
        <v>85</v>
      </c>
      <c r="N11" s="19" t="s">
        <v>44</v>
      </c>
      <c r="O11" s="19" t="s">
        <v>14</v>
      </c>
      <c r="R11" s="32" t="s">
        <v>84</v>
      </c>
      <c r="S11" s="31" t="s">
        <v>4</v>
      </c>
      <c r="U11" s="16" t="s">
        <v>85</v>
      </c>
      <c r="V11" s="19" t="s">
        <v>4</v>
      </c>
    </row>
    <row r="12" spans="1:22" x14ac:dyDescent="0.3">
      <c r="A12" s="8" t="s">
        <v>84</v>
      </c>
      <c r="B12" s="8" t="s">
        <v>44</v>
      </c>
      <c r="C12" s="8" t="s">
        <v>13</v>
      </c>
      <c r="E12" s="19" t="s">
        <v>84</v>
      </c>
      <c r="F12" s="19" t="s">
        <v>44</v>
      </c>
      <c r="G12" s="19" t="s">
        <v>14</v>
      </c>
      <c r="I12" s="8" t="s">
        <v>85</v>
      </c>
      <c r="J12" s="8" t="s">
        <v>44</v>
      </c>
      <c r="K12" s="8" t="s">
        <v>13</v>
      </c>
      <c r="M12" s="19" t="s">
        <v>85</v>
      </c>
      <c r="N12" s="19" t="s">
        <v>44</v>
      </c>
      <c r="O12" s="19" t="s">
        <v>14</v>
      </c>
      <c r="R12" s="11" t="s">
        <v>84</v>
      </c>
      <c r="S12" s="8" t="s">
        <v>4</v>
      </c>
      <c r="U12" s="16" t="s">
        <v>85</v>
      </c>
      <c r="V12" s="19" t="s">
        <v>4</v>
      </c>
    </row>
    <row r="13" spans="1:22" x14ac:dyDescent="0.3">
      <c r="A13" s="19" t="s">
        <v>84</v>
      </c>
      <c r="B13" s="19" t="s">
        <v>44</v>
      </c>
      <c r="C13" s="19" t="s">
        <v>13</v>
      </c>
      <c r="E13" s="19" t="s">
        <v>84</v>
      </c>
      <c r="F13" s="19" t="s">
        <v>44</v>
      </c>
      <c r="G13" s="19" t="s">
        <v>14</v>
      </c>
      <c r="I13" s="31" t="s">
        <v>85</v>
      </c>
      <c r="J13" s="31" t="s">
        <v>44</v>
      </c>
      <c r="K13" s="31" t="s">
        <v>13</v>
      </c>
      <c r="M13" s="31" t="s">
        <v>85</v>
      </c>
      <c r="N13" s="31" t="s">
        <v>44</v>
      </c>
      <c r="O13" s="31" t="s">
        <v>14</v>
      </c>
      <c r="R13" s="16" t="s">
        <v>84</v>
      </c>
      <c r="S13" s="19" t="s">
        <v>4</v>
      </c>
      <c r="U13" s="16" t="s">
        <v>85</v>
      </c>
      <c r="V13" s="19" t="s">
        <v>4</v>
      </c>
    </row>
    <row r="14" spans="1:22" x14ac:dyDescent="0.3">
      <c r="A14" s="19" t="s">
        <v>84</v>
      </c>
      <c r="B14" s="19" t="s">
        <v>44</v>
      </c>
      <c r="C14" s="19" t="s">
        <v>13</v>
      </c>
      <c r="E14" s="8" t="s">
        <v>84</v>
      </c>
      <c r="F14" s="8" t="s">
        <v>44</v>
      </c>
      <c r="G14" s="8" t="s">
        <v>14</v>
      </c>
      <c r="I14" s="19" t="s">
        <v>85</v>
      </c>
      <c r="J14" s="19" t="s">
        <v>44</v>
      </c>
      <c r="K14" s="19" t="s">
        <v>13</v>
      </c>
      <c r="M14" s="19" t="s">
        <v>85</v>
      </c>
      <c r="N14" s="19" t="s">
        <v>44</v>
      </c>
      <c r="O14" s="19" t="s">
        <v>14</v>
      </c>
      <c r="R14" s="16" t="s">
        <v>84</v>
      </c>
      <c r="S14" s="19" t="s">
        <v>4</v>
      </c>
      <c r="U14" s="16" t="s">
        <v>85</v>
      </c>
      <c r="V14" s="19" t="s">
        <v>4</v>
      </c>
    </row>
    <row r="15" spans="1:22" x14ac:dyDescent="0.3">
      <c r="A15" s="19" t="s">
        <v>84</v>
      </c>
      <c r="B15" s="19" t="s">
        <v>44</v>
      </c>
      <c r="C15" s="19" t="s">
        <v>13</v>
      </c>
      <c r="E15" s="31" t="s">
        <v>84</v>
      </c>
      <c r="F15" s="31" t="s">
        <v>44</v>
      </c>
      <c r="G15" s="31" t="s">
        <v>14</v>
      </c>
      <c r="I15" s="31" t="s">
        <v>85</v>
      </c>
      <c r="J15" s="31" t="s">
        <v>44</v>
      </c>
      <c r="K15" s="31" t="s">
        <v>13</v>
      </c>
      <c r="M15" s="19" t="s">
        <v>85</v>
      </c>
      <c r="N15" s="19" t="s">
        <v>44</v>
      </c>
      <c r="O15" s="19" t="s">
        <v>14</v>
      </c>
      <c r="R15" s="32" t="s">
        <v>84</v>
      </c>
      <c r="S15" s="31" t="s">
        <v>4</v>
      </c>
      <c r="U15" s="32" t="s">
        <v>85</v>
      </c>
      <c r="V15" s="31" t="s">
        <v>4</v>
      </c>
    </row>
    <row r="16" spans="1:22" x14ac:dyDescent="0.3">
      <c r="A16" s="8" t="s">
        <v>84</v>
      </c>
      <c r="B16" s="8" t="s">
        <v>44</v>
      </c>
      <c r="C16" s="8" t="s">
        <v>13</v>
      </c>
      <c r="E16" s="8" t="s">
        <v>84</v>
      </c>
      <c r="F16" s="8" t="s">
        <v>44</v>
      </c>
      <c r="G16" s="8" t="s">
        <v>14</v>
      </c>
      <c r="I16" s="19" t="s">
        <v>85</v>
      </c>
      <c r="J16" s="19" t="s">
        <v>44</v>
      </c>
      <c r="K16" s="19" t="s">
        <v>13</v>
      </c>
      <c r="M16" s="19" t="s">
        <v>85</v>
      </c>
      <c r="N16" s="19" t="s">
        <v>44</v>
      </c>
      <c r="O16" s="19" t="s">
        <v>14</v>
      </c>
      <c r="R16" s="16" t="s">
        <v>84</v>
      </c>
      <c r="S16" s="19" t="s">
        <v>4</v>
      </c>
      <c r="U16" s="11" t="s">
        <v>85</v>
      </c>
      <c r="V16" s="8" t="s">
        <v>4</v>
      </c>
    </row>
    <row r="17" spans="1:22" x14ac:dyDescent="0.3">
      <c r="A17" s="16" t="s">
        <v>84</v>
      </c>
      <c r="B17" s="19" t="s">
        <v>44</v>
      </c>
      <c r="C17" s="19" t="s">
        <v>13</v>
      </c>
      <c r="E17" s="32" t="s">
        <v>84</v>
      </c>
      <c r="F17" s="31" t="s">
        <v>44</v>
      </c>
      <c r="G17" s="31" t="s">
        <v>14</v>
      </c>
      <c r="I17" s="16" t="s">
        <v>85</v>
      </c>
      <c r="J17" s="31" t="s">
        <v>44</v>
      </c>
      <c r="K17" s="31" t="s">
        <v>13</v>
      </c>
      <c r="M17" s="16" t="s">
        <v>85</v>
      </c>
      <c r="N17" s="19" t="s">
        <v>44</v>
      </c>
      <c r="O17" s="19" t="s">
        <v>14</v>
      </c>
      <c r="R17" s="19" t="s">
        <v>84</v>
      </c>
      <c r="S17" s="19" t="s">
        <v>4</v>
      </c>
      <c r="U17" s="31" t="s">
        <v>85</v>
      </c>
      <c r="V17" s="31" t="s">
        <v>4</v>
      </c>
    </row>
    <row r="18" spans="1:22" x14ac:dyDescent="0.3">
      <c r="A18" s="16" t="s">
        <v>84</v>
      </c>
      <c r="B18" s="19" t="s">
        <v>44</v>
      </c>
      <c r="C18" s="19" t="s">
        <v>13</v>
      </c>
      <c r="E18" s="11" t="s">
        <v>84</v>
      </c>
      <c r="F18" s="8" t="s">
        <v>44</v>
      </c>
      <c r="G18" s="8" t="s">
        <v>14</v>
      </c>
      <c r="I18" s="16" t="s">
        <v>85</v>
      </c>
      <c r="J18" s="8" t="s">
        <v>44</v>
      </c>
      <c r="K18" s="8" t="s">
        <v>13</v>
      </c>
      <c r="M18" s="11" t="s">
        <v>85</v>
      </c>
      <c r="N18" s="8" t="s">
        <v>44</v>
      </c>
      <c r="O18" s="8" t="s">
        <v>14</v>
      </c>
      <c r="R18" s="19" t="s">
        <v>84</v>
      </c>
      <c r="S18" s="19" t="s">
        <v>4</v>
      </c>
      <c r="U18" s="19" t="s">
        <v>85</v>
      </c>
      <c r="V18" s="19" t="s">
        <v>4</v>
      </c>
    </row>
    <row r="19" spans="1:22" x14ac:dyDescent="0.3">
      <c r="A19" s="32" t="s">
        <v>84</v>
      </c>
      <c r="B19" s="31" t="s">
        <v>44</v>
      </c>
      <c r="C19" s="31" t="s">
        <v>13</v>
      </c>
      <c r="E19" s="16" t="s">
        <v>84</v>
      </c>
      <c r="F19" s="19" t="s">
        <v>44</v>
      </c>
      <c r="G19" s="19" t="s">
        <v>14</v>
      </c>
      <c r="I19" s="19" t="s">
        <v>85</v>
      </c>
      <c r="J19" s="19" t="s">
        <v>44</v>
      </c>
      <c r="K19" s="19" t="s">
        <v>13</v>
      </c>
      <c r="M19" s="32" t="s">
        <v>85</v>
      </c>
      <c r="N19" s="31" t="s">
        <v>44</v>
      </c>
      <c r="O19" s="31" t="s">
        <v>14</v>
      </c>
      <c r="R19" s="19" t="s">
        <v>84</v>
      </c>
      <c r="S19" s="19" t="s">
        <v>4</v>
      </c>
      <c r="U19" s="31" t="s">
        <v>85</v>
      </c>
      <c r="V19" s="31" t="s">
        <v>4</v>
      </c>
    </row>
    <row r="20" spans="1:22" x14ac:dyDescent="0.3">
      <c r="A20" s="16" t="s">
        <v>84</v>
      </c>
      <c r="B20" s="19" t="s">
        <v>44</v>
      </c>
      <c r="C20" s="19" t="s">
        <v>13</v>
      </c>
      <c r="E20" s="11" t="s">
        <v>84</v>
      </c>
      <c r="F20" s="8" t="s">
        <v>44</v>
      </c>
      <c r="G20" s="8" t="s">
        <v>14</v>
      </c>
      <c r="I20" s="16" t="s">
        <v>85</v>
      </c>
      <c r="J20" s="19" t="s">
        <v>44</v>
      </c>
      <c r="K20" s="19" t="s">
        <v>13</v>
      </c>
      <c r="M20" s="16" t="s">
        <v>85</v>
      </c>
      <c r="N20" s="19" t="s">
        <v>44</v>
      </c>
      <c r="O20" s="19" t="s">
        <v>14</v>
      </c>
      <c r="R20" s="8" t="s">
        <v>84</v>
      </c>
      <c r="S20" s="8" t="s">
        <v>4</v>
      </c>
      <c r="U20" s="8" t="s">
        <v>85</v>
      </c>
      <c r="V20" s="8" t="s">
        <v>4</v>
      </c>
    </row>
    <row r="21" spans="1:22" x14ac:dyDescent="0.3">
      <c r="A21" s="16" t="s">
        <v>84</v>
      </c>
      <c r="B21" s="19" t="s">
        <v>44</v>
      </c>
      <c r="C21" s="19" t="s">
        <v>13</v>
      </c>
      <c r="E21" s="32" t="s">
        <v>84</v>
      </c>
      <c r="F21" s="31" t="s">
        <v>44</v>
      </c>
      <c r="G21" s="31" t="s">
        <v>14</v>
      </c>
      <c r="I21" s="16" t="s">
        <v>85</v>
      </c>
      <c r="J21" s="19" t="s">
        <v>44</v>
      </c>
      <c r="K21" s="19" t="s">
        <v>13</v>
      </c>
      <c r="M21" s="32" t="s">
        <v>85</v>
      </c>
      <c r="N21" s="31" t="s">
        <v>44</v>
      </c>
      <c r="O21" s="31" t="s">
        <v>14</v>
      </c>
      <c r="R21" s="31" t="s">
        <v>84</v>
      </c>
      <c r="S21" s="31" t="s">
        <v>4</v>
      </c>
      <c r="U21" s="32" t="s">
        <v>85</v>
      </c>
      <c r="V21" s="31" t="s">
        <v>4</v>
      </c>
    </row>
    <row r="22" spans="1:22" x14ac:dyDescent="0.3">
      <c r="A22" s="11" t="s">
        <v>84</v>
      </c>
      <c r="B22" s="8" t="s">
        <v>44</v>
      </c>
      <c r="C22" s="8" t="s">
        <v>13</v>
      </c>
      <c r="E22" s="11" t="s">
        <v>84</v>
      </c>
      <c r="F22" s="8" t="s">
        <v>44</v>
      </c>
      <c r="G22" s="8" t="s">
        <v>14</v>
      </c>
      <c r="I22" s="11" t="s">
        <v>85</v>
      </c>
      <c r="J22" s="8" t="s">
        <v>44</v>
      </c>
      <c r="K22" s="8" t="s">
        <v>13</v>
      </c>
      <c r="M22" s="11" t="s">
        <v>85</v>
      </c>
      <c r="N22" s="8" t="s">
        <v>44</v>
      </c>
      <c r="O22" s="8" t="s">
        <v>14</v>
      </c>
      <c r="R22" s="8" t="s">
        <v>84</v>
      </c>
      <c r="S22" s="8" t="s">
        <v>4</v>
      </c>
      <c r="U22" s="19" t="s">
        <v>85</v>
      </c>
      <c r="V22" s="19" t="s">
        <v>4</v>
      </c>
    </row>
    <row r="23" spans="1:22" x14ac:dyDescent="0.3">
      <c r="A23" s="32" t="s">
        <v>84</v>
      </c>
      <c r="B23" s="31" t="s">
        <v>44</v>
      </c>
      <c r="C23" s="31" t="s">
        <v>13</v>
      </c>
      <c r="E23" s="32" t="s">
        <v>84</v>
      </c>
      <c r="F23" s="31" t="s">
        <v>44</v>
      </c>
      <c r="G23" s="31" t="s">
        <v>14</v>
      </c>
      <c r="I23" s="16" t="s">
        <v>85</v>
      </c>
      <c r="J23" s="19" t="s">
        <v>44</v>
      </c>
      <c r="K23" s="19" t="s">
        <v>13</v>
      </c>
      <c r="M23" s="32" t="s">
        <v>85</v>
      </c>
      <c r="N23" s="31" t="s">
        <v>44</v>
      </c>
      <c r="O23" s="31" t="s">
        <v>14</v>
      </c>
      <c r="R23" s="19" t="s">
        <v>84</v>
      </c>
      <c r="S23" s="19" t="s">
        <v>4</v>
      </c>
      <c r="U23" s="19" t="s">
        <v>85</v>
      </c>
      <c r="V23" s="19" t="s">
        <v>4</v>
      </c>
    </row>
    <row r="24" spans="1:22" x14ac:dyDescent="0.3">
      <c r="A24" s="16" t="s">
        <v>84</v>
      </c>
      <c r="B24" s="19" t="s">
        <v>44</v>
      </c>
      <c r="C24" s="19" t="s">
        <v>13</v>
      </c>
      <c r="E24" s="11" t="s">
        <v>84</v>
      </c>
      <c r="F24" s="8" t="s">
        <v>44</v>
      </c>
      <c r="G24" s="8" t="s">
        <v>14</v>
      </c>
      <c r="I24" s="11" t="s">
        <v>85</v>
      </c>
      <c r="J24" s="8" t="s">
        <v>44</v>
      </c>
      <c r="K24" s="8" t="s">
        <v>13</v>
      </c>
      <c r="M24" s="11" t="s">
        <v>85</v>
      </c>
      <c r="N24" s="8" t="s">
        <v>44</v>
      </c>
      <c r="O24" s="8" t="s">
        <v>14</v>
      </c>
      <c r="R24" s="8" t="s">
        <v>84</v>
      </c>
      <c r="S24" s="8" t="s">
        <v>4</v>
      </c>
      <c r="U24" s="8" t="s">
        <v>85</v>
      </c>
      <c r="V24" s="8" t="s">
        <v>4</v>
      </c>
    </row>
    <row r="25" spans="1:22" x14ac:dyDescent="0.3">
      <c r="A25" s="19" t="s">
        <v>84</v>
      </c>
      <c r="B25" s="19" t="s">
        <v>44</v>
      </c>
      <c r="C25" s="19" t="s">
        <v>13</v>
      </c>
      <c r="E25" s="19" t="s">
        <v>84</v>
      </c>
      <c r="F25" s="19" t="s">
        <v>44</v>
      </c>
      <c r="G25" s="19" t="s">
        <v>14</v>
      </c>
      <c r="I25" s="19" t="s">
        <v>85</v>
      </c>
      <c r="J25" s="31" t="s">
        <v>44</v>
      </c>
      <c r="K25" s="31" t="s">
        <v>13</v>
      </c>
      <c r="M25" s="31" t="s">
        <v>85</v>
      </c>
      <c r="N25" s="31" t="s">
        <v>44</v>
      </c>
      <c r="O25" s="31" t="s">
        <v>14</v>
      </c>
      <c r="R25" s="19" t="s">
        <v>84</v>
      </c>
      <c r="S25" s="19" t="s">
        <v>4</v>
      </c>
      <c r="U25" s="31" t="s">
        <v>85</v>
      </c>
      <c r="V25" s="31" t="s">
        <v>4</v>
      </c>
    </row>
    <row r="26" spans="1:22" x14ac:dyDescent="0.3">
      <c r="A26" s="19" t="s">
        <v>84</v>
      </c>
      <c r="B26" s="8" t="s">
        <v>44</v>
      </c>
      <c r="C26" s="8" t="s">
        <v>13</v>
      </c>
      <c r="E26" s="8" t="s">
        <v>84</v>
      </c>
      <c r="F26" s="8" t="s">
        <v>44</v>
      </c>
      <c r="G26" s="8" t="s">
        <v>14</v>
      </c>
      <c r="I26" s="19" t="s">
        <v>85</v>
      </c>
      <c r="J26" s="8" t="s">
        <v>44</v>
      </c>
      <c r="K26" s="8" t="s">
        <v>13</v>
      </c>
      <c r="M26" s="19" t="s">
        <v>85</v>
      </c>
      <c r="N26" s="19" t="s">
        <v>44</v>
      </c>
      <c r="O26" s="19" t="s">
        <v>14</v>
      </c>
      <c r="R26" s="8" t="s">
        <v>84</v>
      </c>
      <c r="S26" s="8" t="s">
        <v>4</v>
      </c>
      <c r="U26" s="19" t="s">
        <v>85</v>
      </c>
      <c r="V26" s="19" t="s">
        <v>4</v>
      </c>
    </row>
    <row r="27" spans="1:22" x14ac:dyDescent="0.3">
      <c r="A27" s="31" t="s">
        <v>84</v>
      </c>
      <c r="B27" s="31" t="s">
        <v>44</v>
      </c>
      <c r="C27" s="31" t="s">
        <v>13</v>
      </c>
      <c r="E27" s="37" t="s">
        <v>84</v>
      </c>
      <c r="F27" s="31" t="s">
        <v>44</v>
      </c>
      <c r="G27" s="31" t="s">
        <v>14</v>
      </c>
      <c r="I27" s="31" t="s">
        <v>85</v>
      </c>
      <c r="J27" s="31" t="s">
        <v>44</v>
      </c>
      <c r="K27" s="31" t="s">
        <v>13</v>
      </c>
      <c r="M27" s="31" t="s">
        <v>85</v>
      </c>
      <c r="N27" s="31" t="s">
        <v>44</v>
      </c>
      <c r="O27" s="31" t="s">
        <v>14</v>
      </c>
      <c r="R27" s="31" t="s">
        <v>84</v>
      </c>
      <c r="S27" s="31" t="s">
        <v>4</v>
      </c>
      <c r="U27" s="19" t="s">
        <v>85</v>
      </c>
      <c r="V27" s="19" t="s">
        <v>4</v>
      </c>
    </row>
    <row r="28" spans="1:22" x14ac:dyDescent="0.3">
      <c r="A28" s="8" t="s">
        <v>84</v>
      </c>
      <c r="B28" s="8" t="s">
        <v>44</v>
      </c>
      <c r="C28" s="8" t="s">
        <v>13</v>
      </c>
      <c r="E28" s="8" t="s">
        <v>84</v>
      </c>
      <c r="F28" s="8" t="s">
        <v>44</v>
      </c>
      <c r="G28" s="8" t="s">
        <v>14</v>
      </c>
      <c r="I28" s="8" t="s">
        <v>85</v>
      </c>
      <c r="J28" s="8" t="s">
        <v>44</v>
      </c>
      <c r="K28" s="8" t="s">
        <v>13</v>
      </c>
      <c r="M28" s="8" t="s">
        <v>85</v>
      </c>
      <c r="N28" s="8" t="s">
        <v>44</v>
      </c>
      <c r="O28" s="8" t="s">
        <v>14</v>
      </c>
      <c r="R28" s="8" t="s">
        <v>84</v>
      </c>
      <c r="S28" s="8" t="s">
        <v>4</v>
      </c>
      <c r="U28" s="8" t="s">
        <v>85</v>
      </c>
      <c r="V28" s="8" t="s">
        <v>4</v>
      </c>
    </row>
    <row r="29" spans="1:22" x14ac:dyDescent="0.3">
      <c r="A29" s="19" t="s">
        <v>84</v>
      </c>
      <c r="B29" s="19" t="s">
        <v>44</v>
      </c>
      <c r="C29" s="19" t="s">
        <v>13</v>
      </c>
      <c r="E29" s="31" t="s">
        <v>84</v>
      </c>
      <c r="F29" s="31" t="s">
        <v>44</v>
      </c>
      <c r="G29" s="31" t="s">
        <v>14</v>
      </c>
      <c r="I29" s="19" t="s">
        <v>85</v>
      </c>
      <c r="J29" s="19" t="s">
        <v>44</v>
      </c>
      <c r="K29" s="19" t="s">
        <v>13</v>
      </c>
      <c r="M29" s="31" t="s">
        <v>85</v>
      </c>
      <c r="N29" s="31" t="s">
        <v>44</v>
      </c>
      <c r="O29" s="31" t="s">
        <v>14</v>
      </c>
      <c r="R29" s="31" t="s">
        <v>84</v>
      </c>
      <c r="S29" s="31" t="s">
        <v>4</v>
      </c>
      <c r="U29" s="19" t="s">
        <v>85</v>
      </c>
      <c r="V29" s="19" t="s">
        <v>4</v>
      </c>
    </row>
    <row r="30" spans="1:22" x14ac:dyDescent="0.3">
      <c r="A30" s="19" t="s">
        <v>84</v>
      </c>
      <c r="B30" s="19" t="s">
        <v>44</v>
      </c>
      <c r="C30" s="19" t="s">
        <v>13</v>
      </c>
      <c r="E30" s="8" t="s">
        <v>84</v>
      </c>
      <c r="F30" s="8" t="s">
        <v>44</v>
      </c>
      <c r="G30" s="8" t="s">
        <v>14</v>
      </c>
      <c r="I30" s="8" t="s">
        <v>85</v>
      </c>
      <c r="J30" s="8" t="s">
        <v>44</v>
      </c>
      <c r="K30" s="8" t="s">
        <v>13</v>
      </c>
      <c r="M30" s="19" t="s">
        <v>85</v>
      </c>
      <c r="N30" s="19" t="s">
        <v>44</v>
      </c>
      <c r="O30" s="19" t="s">
        <v>14</v>
      </c>
      <c r="R30" s="8" t="s">
        <v>84</v>
      </c>
      <c r="S30" s="8" t="s">
        <v>4</v>
      </c>
      <c r="U30" s="19" t="s">
        <v>85</v>
      </c>
      <c r="V30" s="19" t="s">
        <v>4</v>
      </c>
    </row>
    <row r="31" spans="1:22" x14ac:dyDescent="0.3">
      <c r="A31" s="31" t="s">
        <v>84</v>
      </c>
      <c r="B31" s="31" t="s">
        <v>44</v>
      </c>
      <c r="C31" s="31" t="s">
        <v>13</v>
      </c>
      <c r="E31" s="19" t="s">
        <v>84</v>
      </c>
      <c r="F31" s="19" t="s">
        <v>44</v>
      </c>
      <c r="G31" s="19" t="s">
        <v>14</v>
      </c>
      <c r="I31" s="19" t="s">
        <v>85</v>
      </c>
      <c r="J31" s="19" t="s">
        <v>44</v>
      </c>
      <c r="K31" s="19" t="s">
        <v>13</v>
      </c>
      <c r="M31" s="31" t="s">
        <v>85</v>
      </c>
      <c r="N31" s="31" t="s">
        <v>44</v>
      </c>
      <c r="O31" s="31" t="s">
        <v>14</v>
      </c>
      <c r="R31" s="19" t="s">
        <v>84</v>
      </c>
      <c r="S31" s="19" t="s">
        <v>4</v>
      </c>
      <c r="U31" s="19" t="s">
        <v>85</v>
      </c>
      <c r="V31" s="19" t="s">
        <v>4</v>
      </c>
    </row>
    <row r="32" spans="1:22" x14ac:dyDescent="0.3">
      <c r="A32" s="34" t="s">
        <v>84</v>
      </c>
      <c r="B32" s="34" t="s">
        <v>44</v>
      </c>
      <c r="C32" s="34" t="s">
        <v>13</v>
      </c>
      <c r="E32" s="34" t="s">
        <v>84</v>
      </c>
      <c r="F32" s="34" t="s">
        <v>44</v>
      </c>
      <c r="G32" s="34" t="s">
        <v>14</v>
      </c>
      <c r="I32" s="34" t="s">
        <v>85</v>
      </c>
      <c r="J32" s="34" t="s">
        <v>44</v>
      </c>
      <c r="K32" s="34" t="s">
        <v>13</v>
      </c>
      <c r="M32" s="34" t="s">
        <v>85</v>
      </c>
      <c r="N32" s="34" t="s">
        <v>44</v>
      </c>
      <c r="O32" s="34" t="s">
        <v>14</v>
      </c>
      <c r="R32" s="8" t="s">
        <v>84</v>
      </c>
      <c r="S32" s="8" t="s">
        <v>4</v>
      </c>
      <c r="U32" s="8" t="s">
        <v>85</v>
      </c>
      <c r="V32" s="8" t="s">
        <v>4</v>
      </c>
    </row>
    <row r="33" spans="18:22" x14ac:dyDescent="0.3">
      <c r="R33" s="32" t="s">
        <v>84</v>
      </c>
      <c r="S33" s="31" t="s">
        <v>4</v>
      </c>
      <c r="U33" s="16" t="s">
        <v>85</v>
      </c>
      <c r="V33" s="19" t="s">
        <v>4</v>
      </c>
    </row>
    <row r="34" spans="18:22" x14ac:dyDescent="0.3">
      <c r="R34" s="11" t="s">
        <v>84</v>
      </c>
      <c r="S34" s="8" t="s">
        <v>4</v>
      </c>
      <c r="U34" s="16" t="s">
        <v>85</v>
      </c>
      <c r="V34" s="19" t="s">
        <v>4</v>
      </c>
    </row>
    <row r="35" spans="18:22" x14ac:dyDescent="0.3">
      <c r="R35" s="32" t="s">
        <v>84</v>
      </c>
      <c r="S35" s="31" t="s">
        <v>4</v>
      </c>
      <c r="U35" s="16" t="s">
        <v>85</v>
      </c>
      <c r="V35" s="19" t="s">
        <v>4</v>
      </c>
    </row>
    <row r="36" spans="18:22" x14ac:dyDescent="0.3">
      <c r="R36" s="16" t="s">
        <v>84</v>
      </c>
      <c r="S36" s="19" t="s">
        <v>4</v>
      </c>
      <c r="U36" s="16" t="s">
        <v>85</v>
      </c>
      <c r="V36" s="19" t="s">
        <v>4</v>
      </c>
    </row>
    <row r="37" spans="18:22" x14ac:dyDescent="0.3">
      <c r="R37" s="16" t="s">
        <v>84</v>
      </c>
      <c r="S37" s="19" t="s">
        <v>4</v>
      </c>
      <c r="U37" s="31" t="s">
        <v>85</v>
      </c>
      <c r="V37" s="31" t="s">
        <v>4</v>
      </c>
    </row>
    <row r="38" spans="18:22" x14ac:dyDescent="0.3">
      <c r="R38" s="16" t="s">
        <v>84</v>
      </c>
      <c r="S38" s="19" t="s">
        <v>4</v>
      </c>
      <c r="U38" s="11" t="s">
        <v>85</v>
      </c>
      <c r="V38" s="8" t="s">
        <v>4</v>
      </c>
    </row>
    <row r="39" spans="18:22" x14ac:dyDescent="0.3">
      <c r="R39" s="32" t="s">
        <v>84</v>
      </c>
      <c r="S39" s="31" t="s">
        <v>4</v>
      </c>
      <c r="U39" s="32" t="s">
        <v>85</v>
      </c>
      <c r="V39" s="31" t="s">
        <v>4</v>
      </c>
    </row>
    <row r="40" spans="18:22" x14ac:dyDescent="0.3">
      <c r="R40" s="11" t="s">
        <v>84</v>
      </c>
      <c r="S40" s="8" t="s">
        <v>4</v>
      </c>
      <c r="U40" s="16" t="s">
        <v>85</v>
      </c>
      <c r="V40" s="19" t="s">
        <v>4</v>
      </c>
    </row>
    <row r="41" spans="18:22" x14ac:dyDescent="0.3">
      <c r="R41" s="16" t="s">
        <v>84</v>
      </c>
      <c r="S41" s="19" t="s">
        <v>4</v>
      </c>
      <c r="U41" s="16" t="s">
        <v>85</v>
      </c>
      <c r="V41" s="19" t="s">
        <v>4</v>
      </c>
    </row>
    <row r="42" spans="18:22" x14ac:dyDescent="0.3">
      <c r="R42" s="11" t="s">
        <v>84</v>
      </c>
      <c r="S42" s="8" t="s">
        <v>4</v>
      </c>
      <c r="U42" s="16" t="s">
        <v>85</v>
      </c>
      <c r="V42" s="19" t="s">
        <v>4</v>
      </c>
    </row>
    <row r="43" spans="18:22" x14ac:dyDescent="0.3">
      <c r="R43" s="16" t="s">
        <v>84</v>
      </c>
      <c r="S43" s="19" t="s">
        <v>4</v>
      </c>
      <c r="U43" s="32" t="s">
        <v>85</v>
      </c>
      <c r="V43" s="31" t="s">
        <v>4</v>
      </c>
    </row>
    <row r="44" spans="18:22" x14ac:dyDescent="0.3">
      <c r="R44" s="16" t="s">
        <v>84</v>
      </c>
      <c r="S44" s="19" t="s">
        <v>4</v>
      </c>
      <c r="U44" s="16" t="s">
        <v>85</v>
      </c>
      <c r="V44" s="19" t="s">
        <v>4</v>
      </c>
    </row>
    <row r="45" spans="18:22" x14ac:dyDescent="0.3">
      <c r="R45" s="16" t="s">
        <v>84</v>
      </c>
      <c r="S45" s="19" t="s">
        <v>4</v>
      </c>
      <c r="U45" s="32" t="s">
        <v>85</v>
      </c>
      <c r="V45" s="31" t="s">
        <v>4</v>
      </c>
    </row>
    <row r="46" spans="18:22" x14ac:dyDescent="0.3">
      <c r="R46" s="16" t="s">
        <v>84</v>
      </c>
      <c r="S46" s="19" t="s">
        <v>4</v>
      </c>
      <c r="U46" s="16" t="s">
        <v>85</v>
      </c>
      <c r="V46" s="19" t="s">
        <v>4</v>
      </c>
    </row>
    <row r="47" spans="18:22" x14ac:dyDescent="0.3">
      <c r="R47" s="32" t="s">
        <v>84</v>
      </c>
      <c r="S47" s="31" t="s">
        <v>4</v>
      </c>
      <c r="U47" s="16" t="s">
        <v>85</v>
      </c>
      <c r="V47" s="19" t="s">
        <v>4</v>
      </c>
    </row>
    <row r="48" spans="18:22" x14ac:dyDescent="0.3">
      <c r="R48" s="16" t="s">
        <v>84</v>
      </c>
      <c r="S48" s="19" t="s">
        <v>4</v>
      </c>
      <c r="U48" s="16" t="s">
        <v>85</v>
      </c>
      <c r="V48" s="19" t="s">
        <v>4</v>
      </c>
    </row>
    <row r="49" spans="18:22" x14ac:dyDescent="0.3">
      <c r="R49" s="31" t="s">
        <v>84</v>
      </c>
      <c r="S49" s="31" t="s">
        <v>4</v>
      </c>
      <c r="U49" s="31" t="s">
        <v>85</v>
      </c>
      <c r="V49" s="31" t="s">
        <v>4</v>
      </c>
    </row>
    <row r="50" spans="18:22" x14ac:dyDescent="0.3">
      <c r="R50" s="19" t="s">
        <v>84</v>
      </c>
      <c r="S50" s="19" t="s">
        <v>4</v>
      </c>
      <c r="U50" s="19" t="s">
        <v>85</v>
      </c>
      <c r="V50" s="19" t="s">
        <v>4</v>
      </c>
    </row>
    <row r="51" spans="18:22" x14ac:dyDescent="0.3">
      <c r="R51" s="19" t="s">
        <v>84</v>
      </c>
      <c r="S51" s="19" t="s">
        <v>4</v>
      </c>
      <c r="U51" s="19" t="s">
        <v>85</v>
      </c>
      <c r="V51" s="19" t="s">
        <v>4</v>
      </c>
    </row>
    <row r="52" spans="18:22" x14ac:dyDescent="0.3">
      <c r="R52" s="8" t="s">
        <v>84</v>
      </c>
      <c r="S52" s="8" t="s">
        <v>4</v>
      </c>
      <c r="U52" s="19" t="s">
        <v>85</v>
      </c>
      <c r="V52" s="19" t="s">
        <v>4</v>
      </c>
    </row>
    <row r="53" spans="18:22" x14ac:dyDescent="0.3">
      <c r="R53" s="31" t="s">
        <v>84</v>
      </c>
      <c r="S53" s="31" t="s">
        <v>4</v>
      </c>
      <c r="U53" s="31" t="s">
        <v>85</v>
      </c>
      <c r="V53" s="31" t="s">
        <v>4</v>
      </c>
    </row>
    <row r="54" spans="18:22" x14ac:dyDescent="0.3">
      <c r="R54" s="19" t="s">
        <v>84</v>
      </c>
      <c r="S54" s="19" t="s">
        <v>4</v>
      </c>
      <c r="U54" s="19" t="s">
        <v>85</v>
      </c>
      <c r="V54" s="19" t="s">
        <v>4</v>
      </c>
    </row>
    <row r="55" spans="18:22" x14ac:dyDescent="0.3">
      <c r="R55" s="31" t="s">
        <v>84</v>
      </c>
      <c r="S55" s="31" t="s">
        <v>4</v>
      </c>
      <c r="U55" s="19" t="s">
        <v>85</v>
      </c>
      <c r="V55" s="19" t="s">
        <v>4</v>
      </c>
    </row>
    <row r="56" spans="18:22" x14ac:dyDescent="0.3">
      <c r="R56" s="8" t="s">
        <v>84</v>
      </c>
      <c r="S56" s="8" t="s">
        <v>4</v>
      </c>
      <c r="U56" s="19" t="s">
        <v>85</v>
      </c>
      <c r="V56" s="19" t="s">
        <v>4</v>
      </c>
    </row>
    <row r="57" spans="18:22" x14ac:dyDescent="0.3">
      <c r="R57" s="19" t="s">
        <v>84</v>
      </c>
      <c r="S57" s="19" t="s">
        <v>4</v>
      </c>
      <c r="U57" s="19" t="s">
        <v>85</v>
      </c>
      <c r="V57" s="19" t="s">
        <v>4</v>
      </c>
    </row>
    <row r="58" spans="18:22" x14ac:dyDescent="0.3">
      <c r="R58" s="8" t="s">
        <v>84</v>
      </c>
      <c r="S58" s="8" t="s">
        <v>4</v>
      </c>
      <c r="U58" s="19" t="s">
        <v>85</v>
      </c>
      <c r="V58" s="19" t="s">
        <v>4</v>
      </c>
    </row>
    <row r="59" spans="18:22" x14ac:dyDescent="0.3">
      <c r="R59" s="31" t="s">
        <v>84</v>
      </c>
      <c r="S59" s="31" t="s">
        <v>4</v>
      </c>
      <c r="U59" s="31" t="s">
        <v>85</v>
      </c>
      <c r="V59" s="31" t="s">
        <v>4</v>
      </c>
    </row>
    <row r="60" spans="18:22" x14ac:dyDescent="0.3">
      <c r="R60" s="8" t="s">
        <v>84</v>
      </c>
      <c r="S60" s="8" t="s">
        <v>4</v>
      </c>
      <c r="U60" s="19" t="s">
        <v>85</v>
      </c>
      <c r="V60" s="19" t="s">
        <v>4</v>
      </c>
    </row>
    <row r="61" spans="18:22" x14ac:dyDescent="0.3">
      <c r="R61" s="19" t="s">
        <v>84</v>
      </c>
      <c r="S61" s="19" t="s">
        <v>4</v>
      </c>
      <c r="U61" s="31" t="s">
        <v>85</v>
      </c>
      <c r="V61" s="31" t="s">
        <v>4</v>
      </c>
    </row>
    <row r="62" spans="18:22" x14ac:dyDescent="0.3">
      <c r="R62" s="19" t="s">
        <v>84</v>
      </c>
      <c r="S62" s="19" t="s">
        <v>4</v>
      </c>
      <c r="U62" s="8" t="s">
        <v>85</v>
      </c>
      <c r="V62" s="8" t="s">
        <v>4</v>
      </c>
    </row>
    <row r="63" spans="18:22" x14ac:dyDescent="0.3">
      <c r="R63" s="31" t="s">
        <v>84</v>
      </c>
      <c r="S63" s="31" t="s">
        <v>4</v>
      </c>
      <c r="U63" s="31" t="s">
        <v>85</v>
      </c>
      <c r="V63" s="31" t="s">
        <v>4</v>
      </c>
    </row>
    <row r="64" spans="18:22" x14ac:dyDescent="0.3">
      <c r="R64" s="39" t="s">
        <v>84</v>
      </c>
      <c r="S64" s="39" t="s">
        <v>4</v>
      </c>
      <c r="U64" s="39" t="s">
        <v>85</v>
      </c>
      <c r="V64" s="39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88"/>
  <sheetViews>
    <sheetView topLeftCell="A49" zoomScaleNormal="100" workbookViewId="0">
      <selection activeCell="I377" sqref="I377"/>
    </sheetView>
  </sheetViews>
  <sheetFormatPr defaultColWidth="8.6640625" defaultRowHeight="14.4" x14ac:dyDescent="0.3"/>
  <cols>
    <col min="1" max="1" width="6.33203125" bestFit="1" customWidth="1"/>
    <col min="2" max="2" width="11.33203125" bestFit="1" customWidth="1"/>
    <col min="3" max="3" width="11.6640625" bestFit="1" customWidth="1"/>
    <col min="4" max="4" width="8.33203125" bestFit="1" customWidth="1"/>
    <col min="5" max="5" width="13" bestFit="1" customWidth="1"/>
    <col min="6" max="6" width="17.109375" customWidth="1"/>
    <col min="12" max="13" width="19.6640625" customWidth="1"/>
    <col min="14" max="14" width="20.44140625" customWidth="1"/>
    <col min="15" max="15" width="19.6640625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6">
        <v>1</v>
      </c>
      <c r="B2" s="16">
        <v>2</v>
      </c>
      <c r="C2" s="16" t="s">
        <v>84</v>
      </c>
      <c r="D2" s="19" t="s">
        <v>4</v>
      </c>
      <c r="E2" s="19" t="s">
        <v>45</v>
      </c>
      <c r="F2" s="19" t="s">
        <v>47</v>
      </c>
    </row>
    <row r="3" spans="1:6" x14ac:dyDescent="0.3">
      <c r="A3" s="11">
        <v>1</v>
      </c>
      <c r="B3" s="11">
        <v>2</v>
      </c>
      <c r="C3" s="11" t="s">
        <v>84</v>
      </c>
      <c r="D3" s="8" t="s">
        <v>44</v>
      </c>
      <c r="E3" s="8" t="s">
        <v>13</v>
      </c>
      <c r="F3" s="8" t="s">
        <v>47</v>
      </c>
    </row>
    <row r="4" spans="1:6" x14ac:dyDescent="0.3">
      <c r="A4" s="16">
        <v>1</v>
      </c>
      <c r="B4" s="18">
        <v>1</v>
      </c>
      <c r="C4" s="17" t="s">
        <v>85</v>
      </c>
      <c r="D4" s="12" t="s">
        <v>33</v>
      </c>
      <c r="E4" s="19" t="s">
        <v>46</v>
      </c>
      <c r="F4" s="19" t="s">
        <v>78</v>
      </c>
    </row>
    <row r="5" spans="1:6" x14ac:dyDescent="0.3">
      <c r="A5" s="11">
        <v>1</v>
      </c>
      <c r="B5" s="11">
        <v>2</v>
      </c>
      <c r="C5" s="11" t="s">
        <v>84</v>
      </c>
      <c r="D5" s="8" t="s">
        <v>4</v>
      </c>
      <c r="E5" s="8" t="s">
        <v>45</v>
      </c>
      <c r="F5" s="8" t="s">
        <v>48</v>
      </c>
    </row>
    <row r="6" spans="1:6" x14ac:dyDescent="0.3">
      <c r="A6" s="16">
        <v>1</v>
      </c>
      <c r="B6" s="16">
        <v>2</v>
      </c>
      <c r="C6" s="16" t="s">
        <v>84</v>
      </c>
      <c r="D6" s="19" t="s">
        <v>44</v>
      </c>
      <c r="E6" s="19" t="s">
        <v>13</v>
      </c>
      <c r="F6" s="19" t="s">
        <v>48</v>
      </c>
    </row>
    <row r="7" spans="1:6" x14ac:dyDescent="0.3">
      <c r="A7" s="11">
        <v>1</v>
      </c>
      <c r="B7" s="18">
        <v>1</v>
      </c>
      <c r="C7" s="18" t="s">
        <v>85</v>
      </c>
      <c r="D7" s="12" t="s">
        <v>33</v>
      </c>
      <c r="E7" s="8" t="s">
        <v>46</v>
      </c>
      <c r="F7" s="8" t="s">
        <v>77</v>
      </c>
    </row>
    <row r="8" spans="1:6" x14ac:dyDescent="0.3">
      <c r="A8" s="16">
        <v>1</v>
      </c>
      <c r="B8" s="16">
        <v>2</v>
      </c>
      <c r="C8" s="16" t="s">
        <v>84</v>
      </c>
      <c r="D8" s="19" t="s">
        <v>4</v>
      </c>
      <c r="E8" s="19" t="s">
        <v>45</v>
      </c>
      <c r="F8" s="19" t="s">
        <v>49</v>
      </c>
    </row>
    <row r="9" spans="1:6" x14ac:dyDescent="0.3">
      <c r="A9" s="11">
        <v>1</v>
      </c>
      <c r="B9" s="11">
        <v>1</v>
      </c>
      <c r="C9" s="11" t="s">
        <v>85</v>
      </c>
      <c r="D9" s="8" t="s">
        <v>44</v>
      </c>
      <c r="E9" s="8" t="s">
        <v>14</v>
      </c>
      <c r="F9" s="8" t="s">
        <v>49</v>
      </c>
    </row>
    <row r="10" spans="1:6" x14ac:dyDescent="0.3">
      <c r="A10" s="16">
        <v>1</v>
      </c>
      <c r="B10" s="16">
        <v>1</v>
      </c>
      <c r="C10" s="16" t="s">
        <v>85</v>
      </c>
      <c r="D10" s="19" t="s">
        <v>4</v>
      </c>
      <c r="E10" s="19" t="s">
        <v>45</v>
      </c>
      <c r="F10" s="19" t="s">
        <v>50</v>
      </c>
    </row>
    <row r="11" spans="1:6" x14ac:dyDescent="0.3">
      <c r="A11" s="11">
        <v>1</v>
      </c>
      <c r="B11" s="11">
        <v>2</v>
      </c>
      <c r="C11" s="11" t="s">
        <v>84</v>
      </c>
      <c r="D11" s="8" t="s">
        <v>44</v>
      </c>
      <c r="E11" s="8" t="s">
        <v>14</v>
      </c>
      <c r="F11" s="8" t="s">
        <v>50</v>
      </c>
    </row>
    <row r="12" spans="1:6" x14ac:dyDescent="0.3">
      <c r="A12" s="16">
        <v>1</v>
      </c>
      <c r="B12" s="18">
        <v>2</v>
      </c>
      <c r="C12" s="17" t="s">
        <v>84</v>
      </c>
      <c r="D12" s="12" t="s">
        <v>33</v>
      </c>
      <c r="E12" s="19" t="s">
        <v>46</v>
      </c>
      <c r="F12" s="19" t="s">
        <v>76</v>
      </c>
    </row>
    <row r="13" spans="1:6" x14ac:dyDescent="0.3">
      <c r="A13" s="11">
        <v>1</v>
      </c>
      <c r="B13" s="11">
        <v>2</v>
      </c>
      <c r="C13" s="11" t="s">
        <v>84</v>
      </c>
      <c r="D13" s="8" t="s">
        <v>4</v>
      </c>
      <c r="E13" s="8" t="s">
        <v>45</v>
      </c>
      <c r="F13" s="8" t="s">
        <v>51</v>
      </c>
    </row>
    <row r="14" spans="1:6" x14ac:dyDescent="0.3">
      <c r="A14" s="16">
        <v>1</v>
      </c>
      <c r="B14" s="16">
        <v>1</v>
      </c>
      <c r="C14" s="16" t="s">
        <v>85</v>
      </c>
      <c r="D14" s="19" t="s">
        <v>44</v>
      </c>
      <c r="E14" s="19" t="s">
        <v>14</v>
      </c>
      <c r="F14" s="19" t="s">
        <v>51</v>
      </c>
    </row>
    <row r="15" spans="1:6" x14ac:dyDescent="0.3">
      <c r="A15" s="11">
        <v>1</v>
      </c>
      <c r="B15" s="18">
        <v>2</v>
      </c>
      <c r="C15" s="18" t="s">
        <v>84</v>
      </c>
      <c r="D15" s="12" t="s">
        <v>33</v>
      </c>
      <c r="E15" s="8" t="s">
        <v>46</v>
      </c>
      <c r="F15" s="8" t="s">
        <v>75</v>
      </c>
    </row>
    <row r="16" spans="1:6" x14ac:dyDescent="0.3">
      <c r="A16" s="16">
        <v>1</v>
      </c>
      <c r="B16" s="16">
        <v>1</v>
      </c>
      <c r="C16" s="16" t="s">
        <v>85</v>
      </c>
      <c r="D16" s="19" t="s">
        <v>4</v>
      </c>
      <c r="E16" s="19" t="s">
        <v>45</v>
      </c>
      <c r="F16" s="19" t="s">
        <v>52</v>
      </c>
    </row>
    <row r="17" spans="1:12" x14ac:dyDescent="0.3">
      <c r="A17" s="11">
        <v>1</v>
      </c>
      <c r="B17" s="11">
        <v>1</v>
      </c>
      <c r="C17" s="11" t="s">
        <v>85</v>
      </c>
      <c r="D17" s="8" t="s">
        <v>44</v>
      </c>
      <c r="E17" s="8" t="s">
        <v>13</v>
      </c>
      <c r="F17" s="8" t="s">
        <v>52</v>
      </c>
      <c r="L17" t="s">
        <v>23</v>
      </c>
    </row>
    <row r="18" spans="1:12" x14ac:dyDescent="0.3">
      <c r="A18" s="16">
        <v>1</v>
      </c>
      <c r="B18" s="18">
        <v>2</v>
      </c>
      <c r="C18" s="17" t="s">
        <v>84</v>
      </c>
      <c r="D18" s="12" t="s">
        <v>33</v>
      </c>
      <c r="E18" s="19" t="s">
        <v>46</v>
      </c>
      <c r="F18" s="19" t="s">
        <v>74</v>
      </c>
    </row>
    <row r="19" spans="1:12" x14ac:dyDescent="0.3">
      <c r="A19" s="11">
        <v>1</v>
      </c>
      <c r="B19" s="11">
        <v>1</v>
      </c>
      <c r="C19" s="11" t="s">
        <v>85</v>
      </c>
      <c r="D19" s="8" t="s">
        <v>4</v>
      </c>
      <c r="E19" s="8" t="s">
        <v>45</v>
      </c>
      <c r="F19" s="8" t="s">
        <v>53</v>
      </c>
    </row>
    <row r="20" spans="1:12" x14ac:dyDescent="0.3">
      <c r="A20" s="16">
        <v>1</v>
      </c>
      <c r="B20" s="16">
        <v>1</v>
      </c>
      <c r="C20" s="16" t="s">
        <v>85</v>
      </c>
      <c r="D20" s="19" t="s">
        <v>44</v>
      </c>
      <c r="E20" s="19" t="s">
        <v>13</v>
      </c>
      <c r="F20" s="19" t="s">
        <v>53</v>
      </c>
      <c r="J20" t="s">
        <v>23</v>
      </c>
    </row>
    <row r="21" spans="1:12" x14ac:dyDescent="0.3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73</v>
      </c>
    </row>
    <row r="22" spans="1:12" x14ac:dyDescent="0.3">
      <c r="A22" s="16">
        <v>1</v>
      </c>
      <c r="B22" s="16">
        <v>1</v>
      </c>
      <c r="C22" s="16" t="s">
        <v>85</v>
      </c>
      <c r="D22" s="19" t="s">
        <v>4</v>
      </c>
      <c r="E22" s="19" t="s">
        <v>45</v>
      </c>
      <c r="F22" s="19" t="s">
        <v>54</v>
      </c>
    </row>
    <row r="23" spans="1:12" x14ac:dyDescent="0.3">
      <c r="A23" s="11">
        <v>1</v>
      </c>
      <c r="B23" s="11">
        <v>2</v>
      </c>
      <c r="C23" s="11" t="s">
        <v>84</v>
      </c>
      <c r="D23" s="8" t="s">
        <v>44</v>
      </c>
      <c r="E23" s="8" t="s">
        <v>14</v>
      </c>
      <c r="F23" s="8" t="s">
        <v>54</v>
      </c>
    </row>
    <row r="24" spans="1:12" x14ac:dyDescent="0.3">
      <c r="A24" s="16">
        <v>1</v>
      </c>
      <c r="B24" s="18">
        <v>1</v>
      </c>
      <c r="C24" s="17" t="s">
        <v>85</v>
      </c>
      <c r="D24" s="12" t="s">
        <v>33</v>
      </c>
      <c r="E24" s="19" t="s">
        <v>46</v>
      </c>
      <c r="F24" s="19" t="s">
        <v>72</v>
      </c>
    </row>
    <row r="25" spans="1:12" x14ac:dyDescent="0.3">
      <c r="A25" s="11">
        <v>1</v>
      </c>
      <c r="B25" s="18">
        <v>1</v>
      </c>
      <c r="C25" s="18" t="s">
        <v>85</v>
      </c>
      <c r="D25" s="12" t="s">
        <v>33</v>
      </c>
      <c r="E25" s="8" t="s">
        <v>46</v>
      </c>
      <c r="F25" s="8" t="s">
        <v>71</v>
      </c>
    </row>
    <row r="26" spans="1:12" x14ac:dyDescent="0.3">
      <c r="A26" s="8">
        <v>2</v>
      </c>
      <c r="B26" s="13">
        <v>2</v>
      </c>
      <c r="C26" s="13" t="s">
        <v>84</v>
      </c>
      <c r="D26" s="13" t="s">
        <v>33</v>
      </c>
      <c r="E26" s="8" t="s">
        <v>46</v>
      </c>
      <c r="F26" s="8" t="s">
        <v>47</v>
      </c>
      <c r="I26" t="s">
        <v>23</v>
      </c>
    </row>
    <row r="27" spans="1:12" x14ac:dyDescent="0.3">
      <c r="A27" s="19">
        <v>2</v>
      </c>
      <c r="B27" s="16">
        <v>1</v>
      </c>
      <c r="C27" s="16" t="s">
        <v>85</v>
      </c>
      <c r="D27" s="19" t="s">
        <v>4</v>
      </c>
      <c r="E27" s="19" t="s">
        <v>45</v>
      </c>
      <c r="F27" s="19" t="s">
        <v>62</v>
      </c>
    </row>
    <row r="28" spans="1:12" x14ac:dyDescent="0.3">
      <c r="A28" s="8">
        <v>2</v>
      </c>
      <c r="B28" s="11">
        <v>1</v>
      </c>
      <c r="C28" s="11" t="s">
        <v>85</v>
      </c>
      <c r="D28" s="8" t="s">
        <v>44</v>
      </c>
      <c r="E28" s="8" t="s">
        <v>13</v>
      </c>
      <c r="F28" s="8" t="s">
        <v>62</v>
      </c>
    </row>
    <row r="29" spans="1:12" x14ac:dyDescent="0.3">
      <c r="A29" s="19">
        <v>2</v>
      </c>
      <c r="B29" s="13">
        <v>2</v>
      </c>
      <c r="C29" s="13" t="s">
        <v>84</v>
      </c>
      <c r="D29" s="13" t="s">
        <v>33</v>
      </c>
      <c r="E29" s="19" t="s">
        <v>46</v>
      </c>
      <c r="F29" s="19" t="s">
        <v>48</v>
      </c>
    </row>
    <row r="30" spans="1:12" x14ac:dyDescent="0.3">
      <c r="A30" s="19">
        <v>2</v>
      </c>
      <c r="B30" s="16">
        <v>1</v>
      </c>
      <c r="C30" s="11" t="s">
        <v>85</v>
      </c>
      <c r="D30" s="19" t="s">
        <v>4</v>
      </c>
      <c r="E30" s="19" t="s">
        <v>45</v>
      </c>
      <c r="F30" s="19" t="s">
        <v>61</v>
      </c>
    </row>
    <row r="31" spans="1:12" x14ac:dyDescent="0.3">
      <c r="A31" s="8">
        <v>2</v>
      </c>
      <c r="B31" s="11">
        <v>1</v>
      </c>
      <c r="C31" s="11" t="s">
        <v>85</v>
      </c>
      <c r="D31" s="8" t="s">
        <v>44</v>
      </c>
      <c r="E31" s="8" t="s">
        <v>13</v>
      </c>
      <c r="F31" s="8" t="s">
        <v>61</v>
      </c>
    </row>
    <row r="32" spans="1:12" x14ac:dyDescent="0.3">
      <c r="A32" s="19">
        <v>2</v>
      </c>
      <c r="B32" s="16">
        <v>1</v>
      </c>
      <c r="C32" s="11" t="s">
        <v>85</v>
      </c>
      <c r="D32" s="19" t="s">
        <v>4</v>
      </c>
      <c r="E32" s="19" t="s">
        <v>45</v>
      </c>
      <c r="F32" s="19" t="s">
        <v>60</v>
      </c>
    </row>
    <row r="33" spans="1:6" x14ac:dyDescent="0.3">
      <c r="A33" s="8">
        <v>2</v>
      </c>
      <c r="B33" s="11">
        <v>2</v>
      </c>
      <c r="C33" s="11" t="s">
        <v>84</v>
      </c>
      <c r="D33" s="8" t="s">
        <v>44</v>
      </c>
      <c r="E33" s="8" t="s">
        <v>14</v>
      </c>
      <c r="F33" s="8" t="s">
        <v>60</v>
      </c>
    </row>
    <row r="34" spans="1:6" x14ac:dyDescent="0.3">
      <c r="A34" s="19">
        <v>2</v>
      </c>
      <c r="B34" s="16">
        <v>2</v>
      </c>
      <c r="C34" s="11" t="s">
        <v>84</v>
      </c>
      <c r="D34" s="19" t="s">
        <v>4</v>
      </c>
      <c r="E34" s="19" t="s">
        <v>45</v>
      </c>
      <c r="F34" s="19" t="s">
        <v>59</v>
      </c>
    </row>
    <row r="35" spans="1:6" x14ac:dyDescent="0.3">
      <c r="A35" s="8">
        <v>2</v>
      </c>
      <c r="B35" s="11">
        <v>1</v>
      </c>
      <c r="C35" s="11" t="s">
        <v>85</v>
      </c>
      <c r="D35" s="8" t="s">
        <v>44</v>
      </c>
      <c r="E35" s="8" t="s">
        <v>14</v>
      </c>
      <c r="F35" s="8" t="s">
        <v>59</v>
      </c>
    </row>
    <row r="36" spans="1:6" x14ac:dyDescent="0.3">
      <c r="A36" s="8">
        <v>2</v>
      </c>
      <c r="B36" s="13">
        <v>2</v>
      </c>
      <c r="C36" s="13" t="s">
        <v>84</v>
      </c>
      <c r="D36" s="13" t="s">
        <v>33</v>
      </c>
      <c r="E36" s="8" t="s">
        <v>46</v>
      </c>
      <c r="F36" s="8" t="s">
        <v>49</v>
      </c>
    </row>
    <row r="37" spans="1:6" x14ac:dyDescent="0.3">
      <c r="A37" s="19">
        <v>2</v>
      </c>
      <c r="B37" s="16">
        <v>1</v>
      </c>
      <c r="C37" s="11" t="s">
        <v>85</v>
      </c>
      <c r="D37" s="19" t="s">
        <v>4</v>
      </c>
      <c r="E37" s="19" t="s">
        <v>45</v>
      </c>
      <c r="F37" s="19" t="s">
        <v>58</v>
      </c>
    </row>
    <row r="38" spans="1:6" x14ac:dyDescent="0.3">
      <c r="A38" s="8">
        <v>2</v>
      </c>
      <c r="B38" s="11">
        <v>2</v>
      </c>
      <c r="C38" s="11" t="s">
        <v>84</v>
      </c>
      <c r="D38" s="8" t="s">
        <v>44</v>
      </c>
      <c r="E38" s="8" t="s">
        <v>14</v>
      </c>
      <c r="F38" s="8" t="s">
        <v>58</v>
      </c>
    </row>
    <row r="39" spans="1:6" x14ac:dyDescent="0.3">
      <c r="A39" s="19">
        <v>2</v>
      </c>
      <c r="B39" s="13">
        <v>1</v>
      </c>
      <c r="C39" s="13" t="s">
        <v>85</v>
      </c>
      <c r="D39" s="13" t="s">
        <v>33</v>
      </c>
      <c r="E39" s="19" t="s">
        <v>46</v>
      </c>
      <c r="F39" s="19" t="s">
        <v>50</v>
      </c>
    </row>
    <row r="40" spans="1:6" x14ac:dyDescent="0.3">
      <c r="A40" s="8">
        <v>2</v>
      </c>
      <c r="B40" s="13">
        <v>1</v>
      </c>
      <c r="C40" s="13" t="s">
        <v>85</v>
      </c>
      <c r="D40" s="13" t="s">
        <v>33</v>
      </c>
      <c r="E40" s="8" t="s">
        <v>46</v>
      </c>
      <c r="F40" s="8" t="s">
        <v>51</v>
      </c>
    </row>
    <row r="41" spans="1:6" x14ac:dyDescent="0.3">
      <c r="A41" s="19">
        <v>2</v>
      </c>
      <c r="B41" s="16">
        <v>2</v>
      </c>
      <c r="C41" s="16" t="s">
        <v>84</v>
      </c>
      <c r="D41" s="19" t="s">
        <v>4</v>
      </c>
      <c r="E41" s="19" t="s">
        <v>45</v>
      </c>
      <c r="F41" s="19" t="s">
        <v>57</v>
      </c>
    </row>
    <row r="42" spans="1:6" x14ac:dyDescent="0.3">
      <c r="A42" s="8">
        <v>2</v>
      </c>
      <c r="B42" s="11">
        <v>2</v>
      </c>
      <c r="C42" s="11" t="s">
        <v>84</v>
      </c>
      <c r="D42" s="8" t="s">
        <v>44</v>
      </c>
      <c r="E42" s="8" t="s">
        <v>13</v>
      </c>
      <c r="F42" s="8" t="s">
        <v>57</v>
      </c>
    </row>
    <row r="43" spans="1:6" x14ac:dyDescent="0.3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52</v>
      </c>
    </row>
    <row r="44" spans="1:6" x14ac:dyDescent="0.3">
      <c r="A44" s="8">
        <v>2</v>
      </c>
      <c r="B44" s="11">
        <v>2</v>
      </c>
      <c r="C44" s="11" t="s">
        <v>84</v>
      </c>
      <c r="D44" s="8" t="s">
        <v>4</v>
      </c>
      <c r="E44" s="8" t="s">
        <v>45</v>
      </c>
      <c r="F44" s="8" t="s">
        <v>56</v>
      </c>
    </row>
    <row r="45" spans="1:6" x14ac:dyDescent="0.3">
      <c r="A45" s="19">
        <v>2</v>
      </c>
      <c r="B45" s="16">
        <v>2</v>
      </c>
      <c r="C45" s="16" t="s">
        <v>84</v>
      </c>
      <c r="D45" s="19" t="s">
        <v>44</v>
      </c>
      <c r="E45" s="19" t="s">
        <v>13</v>
      </c>
      <c r="F45" s="19" t="s">
        <v>56</v>
      </c>
    </row>
    <row r="46" spans="1:6" x14ac:dyDescent="0.3">
      <c r="A46" s="8">
        <v>2</v>
      </c>
      <c r="B46" s="13">
        <v>2</v>
      </c>
      <c r="C46" s="13" t="s">
        <v>84</v>
      </c>
      <c r="D46" s="13" t="s">
        <v>33</v>
      </c>
      <c r="E46" s="8" t="s">
        <v>46</v>
      </c>
      <c r="F46" s="8" t="s">
        <v>53</v>
      </c>
    </row>
    <row r="47" spans="1:6" x14ac:dyDescent="0.3">
      <c r="A47" s="19">
        <v>2</v>
      </c>
      <c r="B47" s="13">
        <v>1</v>
      </c>
      <c r="C47" s="13" t="s">
        <v>85</v>
      </c>
      <c r="D47" s="13" t="s">
        <v>33</v>
      </c>
      <c r="E47" s="19" t="s">
        <v>46</v>
      </c>
      <c r="F47" s="19" t="s">
        <v>54</v>
      </c>
    </row>
    <row r="48" spans="1:6" x14ac:dyDescent="0.3">
      <c r="A48" s="8">
        <v>2</v>
      </c>
      <c r="B48" s="11">
        <v>2</v>
      </c>
      <c r="C48" s="11" t="s">
        <v>84</v>
      </c>
      <c r="D48" s="8" t="s">
        <v>4</v>
      </c>
      <c r="E48" s="8" t="s">
        <v>45</v>
      </c>
      <c r="F48" s="8" t="s">
        <v>55</v>
      </c>
    </row>
    <row r="49" spans="1:6" x14ac:dyDescent="0.3">
      <c r="A49" s="19">
        <v>2</v>
      </c>
      <c r="B49" s="16">
        <v>1</v>
      </c>
      <c r="C49" s="16" t="s">
        <v>85</v>
      </c>
      <c r="D49" s="19" t="s">
        <v>44</v>
      </c>
      <c r="E49" s="19" t="s">
        <v>14</v>
      </c>
      <c r="F49" s="19" t="s">
        <v>55</v>
      </c>
    </row>
    <row r="50" spans="1:6" x14ac:dyDescent="0.3">
      <c r="A50" s="16">
        <v>3</v>
      </c>
      <c r="B50" s="16">
        <v>1</v>
      </c>
      <c r="C50" s="16" t="s">
        <v>85</v>
      </c>
      <c r="D50" s="19" t="s">
        <v>4</v>
      </c>
      <c r="E50" s="19" t="s">
        <v>45</v>
      </c>
      <c r="F50" s="19" t="s">
        <v>63</v>
      </c>
    </row>
    <row r="51" spans="1:6" x14ac:dyDescent="0.3">
      <c r="A51" s="11">
        <v>3</v>
      </c>
      <c r="B51" s="11">
        <v>2</v>
      </c>
      <c r="C51" s="11" t="s">
        <v>84</v>
      </c>
      <c r="D51" s="8" t="s">
        <v>44</v>
      </c>
      <c r="E51" s="8" t="s">
        <v>14</v>
      </c>
      <c r="F51" s="8" t="s">
        <v>63</v>
      </c>
    </row>
    <row r="52" spans="1:6" x14ac:dyDescent="0.3">
      <c r="A52" s="16">
        <v>3</v>
      </c>
      <c r="B52" s="16">
        <v>2</v>
      </c>
      <c r="C52" s="16" t="s">
        <v>84</v>
      </c>
      <c r="D52" s="19" t="s">
        <v>4</v>
      </c>
      <c r="E52" s="19" t="s">
        <v>45</v>
      </c>
      <c r="F52" s="19" t="s">
        <v>64</v>
      </c>
    </row>
    <row r="53" spans="1:6" x14ac:dyDescent="0.3">
      <c r="A53" s="11">
        <v>3</v>
      </c>
      <c r="B53" s="11">
        <v>1</v>
      </c>
      <c r="C53" s="11" t="s">
        <v>85</v>
      </c>
      <c r="D53" s="8" t="s">
        <v>44</v>
      </c>
      <c r="E53" s="8" t="s">
        <v>14</v>
      </c>
      <c r="F53" s="8" t="s">
        <v>64</v>
      </c>
    </row>
    <row r="54" spans="1:6" x14ac:dyDescent="0.3">
      <c r="A54" s="16">
        <v>3</v>
      </c>
      <c r="B54" s="14">
        <v>1</v>
      </c>
      <c r="C54" s="14" t="s">
        <v>85</v>
      </c>
      <c r="D54" s="14" t="s">
        <v>33</v>
      </c>
      <c r="E54" s="19" t="s">
        <v>46</v>
      </c>
      <c r="F54" s="19" t="s">
        <v>62</v>
      </c>
    </row>
    <row r="55" spans="1:6" x14ac:dyDescent="0.3">
      <c r="A55" s="11">
        <v>3</v>
      </c>
      <c r="B55" s="11">
        <v>1</v>
      </c>
      <c r="C55" s="11" t="s">
        <v>85</v>
      </c>
      <c r="D55" s="8" t="s">
        <v>4</v>
      </c>
      <c r="E55" s="8" t="s">
        <v>45</v>
      </c>
      <c r="F55" s="8" t="s">
        <v>65</v>
      </c>
    </row>
    <row r="56" spans="1:6" x14ac:dyDescent="0.3">
      <c r="A56" s="16">
        <v>3</v>
      </c>
      <c r="B56" s="16">
        <v>2</v>
      </c>
      <c r="C56" s="16" t="s">
        <v>84</v>
      </c>
      <c r="D56" s="19" t="s">
        <v>44</v>
      </c>
      <c r="E56" s="19" t="s">
        <v>14</v>
      </c>
      <c r="F56" s="19" t="s">
        <v>65</v>
      </c>
    </row>
    <row r="57" spans="1:6" x14ac:dyDescent="0.3">
      <c r="A57" s="11">
        <v>3</v>
      </c>
      <c r="B57" s="14">
        <v>1</v>
      </c>
      <c r="C57" s="14" t="s">
        <v>85</v>
      </c>
      <c r="D57" s="14" t="s">
        <v>33</v>
      </c>
      <c r="E57" s="8" t="s">
        <v>46</v>
      </c>
      <c r="F57" s="8" t="s">
        <v>61</v>
      </c>
    </row>
    <row r="58" spans="1:6" x14ac:dyDescent="0.3">
      <c r="A58" s="16">
        <v>3</v>
      </c>
      <c r="B58" s="16">
        <v>2</v>
      </c>
      <c r="C58" s="16" t="s">
        <v>84</v>
      </c>
      <c r="D58" s="19" t="s">
        <v>4</v>
      </c>
      <c r="E58" s="19" t="s">
        <v>45</v>
      </c>
      <c r="F58" s="19" t="s">
        <v>66</v>
      </c>
    </row>
    <row r="59" spans="1:6" x14ac:dyDescent="0.3">
      <c r="A59" s="11">
        <v>3</v>
      </c>
      <c r="B59" s="11">
        <v>2</v>
      </c>
      <c r="C59" s="11" t="s">
        <v>84</v>
      </c>
      <c r="D59" s="8" t="s">
        <v>44</v>
      </c>
      <c r="E59" s="8" t="s">
        <v>13</v>
      </c>
      <c r="F59" s="8" t="s">
        <v>66</v>
      </c>
    </row>
    <row r="60" spans="1:6" x14ac:dyDescent="0.3">
      <c r="A60" s="16">
        <v>3</v>
      </c>
      <c r="B60" s="14">
        <v>2</v>
      </c>
      <c r="C60" s="14" t="s">
        <v>84</v>
      </c>
      <c r="D60" s="14" t="s">
        <v>33</v>
      </c>
      <c r="E60" s="19" t="s">
        <v>46</v>
      </c>
      <c r="F60" s="19" t="s">
        <v>60</v>
      </c>
    </row>
    <row r="61" spans="1:6" x14ac:dyDescent="0.3">
      <c r="A61" s="11">
        <v>3</v>
      </c>
      <c r="B61" s="14">
        <v>1</v>
      </c>
      <c r="C61" s="14" t="s">
        <v>85</v>
      </c>
      <c r="D61" s="14" t="s">
        <v>33</v>
      </c>
      <c r="E61" s="8" t="s">
        <v>46</v>
      </c>
      <c r="F61" s="8" t="s">
        <v>59</v>
      </c>
    </row>
    <row r="62" spans="1:6" x14ac:dyDescent="0.3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58</v>
      </c>
    </row>
    <row r="63" spans="1:6" x14ac:dyDescent="0.3">
      <c r="A63" s="11">
        <v>3</v>
      </c>
      <c r="B63" s="11">
        <v>2</v>
      </c>
      <c r="C63" s="11" t="s">
        <v>84</v>
      </c>
      <c r="D63" s="8" t="s">
        <v>4</v>
      </c>
      <c r="E63" s="8" t="s">
        <v>45</v>
      </c>
      <c r="F63" s="8" t="s">
        <v>67</v>
      </c>
    </row>
    <row r="64" spans="1:6" x14ac:dyDescent="0.3">
      <c r="A64" s="16">
        <v>3</v>
      </c>
      <c r="B64" s="16">
        <v>2</v>
      </c>
      <c r="C64" s="16" t="s">
        <v>84</v>
      </c>
      <c r="D64" s="19" t="s">
        <v>44</v>
      </c>
      <c r="E64" s="19" t="s">
        <v>13</v>
      </c>
      <c r="F64" s="19" t="s">
        <v>67</v>
      </c>
    </row>
    <row r="65" spans="1:11" x14ac:dyDescent="0.3">
      <c r="A65" s="11">
        <v>3</v>
      </c>
      <c r="B65" s="11">
        <v>2</v>
      </c>
      <c r="C65" s="11" t="s">
        <v>84</v>
      </c>
      <c r="D65" s="8" t="s">
        <v>4</v>
      </c>
      <c r="E65" s="8" t="s">
        <v>45</v>
      </c>
      <c r="F65" s="8" t="s">
        <v>68</v>
      </c>
    </row>
    <row r="66" spans="1:11" x14ac:dyDescent="0.3">
      <c r="A66" s="16">
        <v>3</v>
      </c>
      <c r="B66" s="16">
        <v>1</v>
      </c>
      <c r="C66" s="16" t="s">
        <v>85</v>
      </c>
      <c r="D66" s="19" t="s">
        <v>44</v>
      </c>
      <c r="E66" s="19" t="s">
        <v>14</v>
      </c>
      <c r="F66" s="19" t="s">
        <v>68</v>
      </c>
    </row>
    <row r="67" spans="1:11" x14ac:dyDescent="0.3">
      <c r="A67" s="11">
        <v>3</v>
      </c>
      <c r="B67" s="14">
        <v>2</v>
      </c>
      <c r="C67" s="14" t="s">
        <v>84</v>
      </c>
      <c r="D67" s="14" t="s">
        <v>33</v>
      </c>
      <c r="E67" s="8" t="s">
        <v>46</v>
      </c>
      <c r="F67" s="8" t="s">
        <v>57</v>
      </c>
    </row>
    <row r="68" spans="1:11" x14ac:dyDescent="0.3">
      <c r="A68" s="16">
        <v>3</v>
      </c>
      <c r="B68" s="16">
        <v>1</v>
      </c>
      <c r="C68" s="16" t="s">
        <v>85</v>
      </c>
      <c r="D68" s="19" t="s">
        <v>4</v>
      </c>
      <c r="E68" s="19" t="s">
        <v>45</v>
      </c>
      <c r="F68" s="19" t="s">
        <v>69</v>
      </c>
    </row>
    <row r="69" spans="1:11" x14ac:dyDescent="0.3">
      <c r="A69" s="11">
        <v>3</v>
      </c>
      <c r="B69" s="11">
        <v>1</v>
      </c>
      <c r="C69" s="11" t="s">
        <v>85</v>
      </c>
      <c r="D69" s="8" t="s">
        <v>44</v>
      </c>
      <c r="E69" s="8" t="s">
        <v>13</v>
      </c>
      <c r="F69" s="8" t="s">
        <v>69</v>
      </c>
    </row>
    <row r="70" spans="1:11" x14ac:dyDescent="0.3">
      <c r="A70" s="16">
        <v>3</v>
      </c>
      <c r="B70" s="14">
        <v>2</v>
      </c>
      <c r="C70" s="14" t="s">
        <v>84</v>
      </c>
      <c r="D70" s="14" t="s">
        <v>33</v>
      </c>
      <c r="E70" s="19" t="s">
        <v>46</v>
      </c>
      <c r="F70" s="19" t="s">
        <v>56</v>
      </c>
    </row>
    <row r="71" spans="1:11" x14ac:dyDescent="0.3">
      <c r="A71" s="11">
        <v>3</v>
      </c>
      <c r="B71" s="14">
        <v>2</v>
      </c>
      <c r="C71" s="14" t="s">
        <v>84</v>
      </c>
      <c r="D71" s="14" t="s">
        <v>33</v>
      </c>
      <c r="E71" s="8" t="s">
        <v>46</v>
      </c>
      <c r="F71" s="8" t="s">
        <v>55</v>
      </c>
    </row>
    <row r="72" spans="1:11" x14ac:dyDescent="0.3">
      <c r="A72" s="16">
        <v>3</v>
      </c>
      <c r="B72" s="16">
        <v>1</v>
      </c>
      <c r="C72" s="16" t="s">
        <v>85</v>
      </c>
      <c r="D72" s="19" t="s">
        <v>4</v>
      </c>
      <c r="E72" s="19" t="s">
        <v>45</v>
      </c>
      <c r="F72" s="19" t="s">
        <v>70</v>
      </c>
    </row>
    <row r="73" spans="1:11" x14ac:dyDescent="0.3">
      <c r="A73" s="11">
        <v>3</v>
      </c>
      <c r="B73" s="11">
        <v>1</v>
      </c>
      <c r="C73" s="11" t="s">
        <v>85</v>
      </c>
      <c r="D73" s="8" t="s">
        <v>44</v>
      </c>
      <c r="E73" s="8" t="s">
        <v>13</v>
      </c>
      <c r="F73" s="8" t="s">
        <v>70</v>
      </c>
      <c r="K73" t="s">
        <v>23</v>
      </c>
    </row>
    <row r="74" spans="1:11" x14ac:dyDescent="0.3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63</v>
      </c>
    </row>
    <row r="75" spans="1:11" x14ac:dyDescent="0.3">
      <c r="A75" s="19">
        <v>4</v>
      </c>
      <c r="B75" s="16">
        <v>1</v>
      </c>
      <c r="C75" s="16" t="s">
        <v>85</v>
      </c>
      <c r="D75" s="19" t="s">
        <v>4</v>
      </c>
      <c r="E75" s="19" t="s">
        <v>45</v>
      </c>
      <c r="F75" s="19" t="s">
        <v>78</v>
      </c>
      <c r="K75" t="s">
        <v>23</v>
      </c>
    </row>
    <row r="76" spans="1:11" x14ac:dyDescent="0.3">
      <c r="A76" s="8">
        <v>4</v>
      </c>
      <c r="B76" s="11">
        <v>1</v>
      </c>
      <c r="C76" s="11" t="s">
        <v>85</v>
      </c>
      <c r="D76" s="8" t="s">
        <v>44</v>
      </c>
      <c r="E76" s="8" t="s">
        <v>13</v>
      </c>
      <c r="F76" s="8" t="s">
        <v>78</v>
      </c>
    </row>
    <row r="77" spans="1:11" x14ac:dyDescent="0.3">
      <c r="A77" s="19">
        <v>4</v>
      </c>
      <c r="B77" s="16">
        <v>1</v>
      </c>
      <c r="C77" s="16" t="s">
        <v>85</v>
      </c>
      <c r="D77" s="19" t="s">
        <v>4</v>
      </c>
      <c r="E77" s="19" t="s">
        <v>45</v>
      </c>
      <c r="F77" s="19" t="s">
        <v>77</v>
      </c>
    </row>
    <row r="78" spans="1:11" x14ac:dyDescent="0.3">
      <c r="A78" s="8">
        <v>4</v>
      </c>
      <c r="B78" s="11">
        <v>2</v>
      </c>
      <c r="C78" s="11" t="s">
        <v>84</v>
      </c>
      <c r="D78" s="8" t="s">
        <v>44</v>
      </c>
      <c r="E78" s="8" t="s">
        <v>14</v>
      </c>
      <c r="F78" s="8" t="s">
        <v>77</v>
      </c>
    </row>
    <row r="79" spans="1:11" x14ac:dyDescent="0.3">
      <c r="A79" s="19">
        <v>4</v>
      </c>
      <c r="B79" s="15">
        <v>1</v>
      </c>
      <c r="C79" s="15" t="s">
        <v>85</v>
      </c>
      <c r="D79" s="15" t="s">
        <v>33</v>
      </c>
      <c r="E79" s="19" t="s">
        <v>46</v>
      </c>
      <c r="F79" s="19" t="s">
        <v>64</v>
      </c>
    </row>
    <row r="80" spans="1:11" x14ac:dyDescent="0.3">
      <c r="A80" s="8">
        <v>4</v>
      </c>
      <c r="B80" s="15">
        <v>1</v>
      </c>
      <c r="C80" s="15" t="s">
        <v>85</v>
      </c>
      <c r="D80" s="15" t="s">
        <v>33</v>
      </c>
      <c r="E80" s="8" t="s">
        <v>46</v>
      </c>
      <c r="F80" s="8" t="s">
        <v>65</v>
      </c>
    </row>
    <row r="81" spans="1:6" x14ac:dyDescent="0.3">
      <c r="A81" s="19">
        <v>4</v>
      </c>
      <c r="B81" s="16">
        <v>2</v>
      </c>
      <c r="C81" s="16" t="s">
        <v>84</v>
      </c>
      <c r="D81" s="19" t="s">
        <v>4</v>
      </c>
      <c r="E81" s="19" t="s">
        <v>45</v>
      </c>
      <c r="F81" s="19" t="s">
        <v>76</v>
      </c>
    </row>
    <row r="82" spans="1:6" x14ac:dyDescent="0.3">
      <c r="A82" s="8">
        <v>4</v>
      </c>
      <c r="B82" s="11">
        <v>2</v>
      </c>
      <c r="C82" s="11" t="s">
        <v>84</v>
      </c>
      <c r="D82" s="8" t="s">
        <v>44</v>
      </c>
      <c r="E82" s="8" t="s">
        <v>13</v>
      </c>
      <c r="F82" s="8" t="s">
        <v>76</v>
      </c>
    </row>
    <row r="83" spans="1:6" x14ac:dyDescent="0.3">
      <c r="A83" s="19">
        <v>4</v>
      </c>
      <c r="B83" s="16">
        <v>2</v>
      </c>
      <c r="C83" s="16" t="s">
        <v>84</v>
      </c>
      <c r="D83" s="19" t="s">
        <v>4</v>
      </c>
      <c r="E83" s="19" t="s">
        <v>45</v>
      </c>
      <c r="F83" s="19" t="s">
        <v>75</v>
      </c>
    </row>
    <row r="84" spans="1:6" x14ac:dyDescent="0.3">
      <c r="A84" s="8">
        <v>4</v>
      </c>
      <c r="B84" s="11">
        <v>1</v>
      </c>
      <c r="C84" s="11" t="s">
        <v>85</v>
      </c>
      <c r="D84" s="8" t="s">
        <v>44</v>
      </c>
      <c r="E84" s="8" t="s">
        <v>14</v>
      </c>
      <c r="F84" s="8" t="s">
        <v>75</v>
      </c>
    </row>
    <row r="85" spans="1:6" x14ac:dyDescent="0.3">
      <c r="A85" s="19">
        <v>4</v>
      </c>
      <c r="B85" s="15">
        <v>2</v>
      </c>
      <c r="C85" s="15" t="s">
        <v>84</v>
      </c>
      <c r="D85" s="15" t="s">
        <v>33</v>
      </c>
      <c r="E85" s="19" t="s">
        <v>46</v>
      </c>
      <c r="F85" s="19" t="s">
        <v>66</v>
      </c>
    </row>
    <row r="86" spans="1:6" x14ac:dyDescent="0.3">
      <c r="A86" s="8">
        <v>4</v>
      </c>
      <c r="B86" s="11">
        <v>1</v>
      </c>
      <c r="C86" s="11" t="s">
        <v>85</v>
      </c>
      <c r="D86" s="8" t="s">
        <v>4</v>
      </c>
      <c r="E86" s="8" t="s">
        <v>45</v>
      </c>
      <c r="F86" s="8" t="s">
        <v>74</v>
      </c>
    </row>
    <row r="87" spans="1:6" x14ac:dyDescent="0.3">
      <c r="A87" s="19">
        <v>4</v>
      </c>
      <c r="B87" s="16">
        <v>2</v>
      </c>
      <c r="C87" s="16" t="s">
        <v>84</v>
      </c>
      <c r="D87" s="19" t="s">
        <v>44</v>
      </c>
      <c r="E87" s="19" t="s">
        <v>14</v>
      </c>
      <c r="F87" s="19" t="s">
        <v>74</v>
      </c>
    </row>
    <row r="88" spans="1:6" x14ac:dyDescent="0.3">
      <c r="A88" s="8">
        <v>4</v>
      </c>
      <c r="B88" s="11">
        <v>2</v>
      </c>
      <c r="C88" s="11" t="s">
        <v>84</v>
      </c>
      <c r="D88" s="8" t="s">
        <v>4</v>
      </c>
      <c r="E88" s="8" t="s">
        <v>45</v>
      </c>
      <c r="F88" s="8" t="s">
        <v>73</v>
      </c>
    </row>
    <row r="89" spans="1:6" x14ac:dyDescent="0.3">
      <c r="A89" s="19">
        <v>4</v>
      </c>
      <c r="B89" s="16">
        <v>2</v>
      </c>
      <c r="C89" s="16" t="s">
        <v>84</v>
      </c>
      <c r="D89" s="19" t="s">
        <v>44</v>
      </c>
      <c r="E89" s="19" t="s">
        <v>13</v>
      </c>
      <c r="F89" s="19" t="s">
        <v>73</v>
      </c>
    </row>
    <row r="90" spans="1:6" x14ac:dyDescent="0.3">
      <c r="A90" s="8">
        <v>4</v>
      </c>
      <c r="B90" s="15">
        <v>1</v>
      </c>
      <c r="C90" s="15" t="s">
        <v>85</v>
      </c>
      <c r="D90" s="15" t="s">
        <v>33</v>
      </c>
      <c r="E90" s="8" t="s">
        <v>46</v>
      </c>
      <c r="F90" s="8" t="s">
        <v>67</v>
      </c>
    </row>
    <row r="91" spans="1:6" x14ac:dyDescent="0.3">
      <c r="A91" s="19">
        <v>4</v>
      </c>
      <c r="B91" s="15">
        <v>2</v>
      </c>
      <c r="C91" s="15" t="s">
        <v>84</v>
      </c>
      <c r="D91" s="15" t="s">
        <v>33</v>
      </c>
      <c r="E91" s="19" t="s">
        <v>46</v>
      </c>
      <c r="F91" s="19" t="s">
        <v>68</v>
      </c>
    </row>
    <row r="92" spans="1:6" x14ac:dyDescent="0.3">
      <c r="A92" s="8">
        <v>4</v>
      </c>
      <c r="B92" s="15">
        <v>1</v>
      </c>
      <c r="C92" s="15" t="s">
        <v>85</v>
      </c>
      <c r="D92" s="15" t="s">
        <v>33</v>
      </c>
      <c r="E92" s="8" t="s">
        <v>46</v>
      </c>
      <c r="F92" s="8" t="s">
        <v>69</v>
      </c>
    </row>
    <row r="93" spans="1:6" x14ac:dyDescent="0.3">
      <c r="A93" s="19">
        <v>4</v>
      </c>
      <c r="B93" s="16">
        <v>2</v>
      </c>
      <c r="C93" s="16" t="s">
        <v>84</v>
      </c>
      <c r="D93" s="19" t="s">
        <v>4</v>
      </c>
      <c r="E93" s="19" t="s">
        <v>45</v>
      </c>
      <c r="F93" s="19" t="s">
        <v>72</v>
      </c>
    </row>
    <row r="94" spans="1:6" x14ac:dyDescent="0.3">
      <c r="A94" s="8">
        <v>4</v>
      </c>
      <c r="B94" s="11">
        <v>1</v>
      </c>
      <c r="C94" s="11" t="s">
        <v>85</v>
      </c>
      <c r="D94" s="8" t="s">
        <v>44</v>
      </c>
      <c r="E94" s="8" t="s">
        <v>14</v>
      </c>
      <c r="F94" s="8" t="s">
        <v>72</v>
      </c>
    </row>
    <row r="95" spans="1:6" x14ac:dyDescent="0.3">
      <c r="A95" s="19">
        <v>4</v>
      </c>
      <c r="B95" s="15">
        <v>1</v>
      </c>
      <c r="C95" s="15" t="s">
        <v>84</v>
      </c>
      <c r="D95" s="15" t="s">
        <v>33</v>
      </c>
      <c r="E95" s="19" t="s">
        <v>46</v>
      </c>
      <c r="F95" s="19" t="s">
        <v>70</v>
      </c>
    </row>
    <row r="96" spans="1:6" x14ac:dyDescent="0.3">
      <c r="A96" s="8">
        <v>4</v>
      </c>
      <c r="B96" s="11">
        <v>1</v>
      </c>
      <c r="C96" s="11" t="s">
        <v>85</v>
      </c>
      <c r="D96" s="8" t="s">
        <v>4</v>
      </c>
      <c r="E96" s="8" t="s">
        <v>45</v>
      </c>
      <c r="F96" s="8" t="s">
        <v>71</v>
      </c>
    </row>
    <row r="97" spans="1:6" x14ac:dyDescent="0.3">
      <c r="A97" s="19">
        <v>4</v>
      </c>
      <c r="B97" s="16">
        <v>1</v>
      </c>
      <c r="C97" s="16" t="s">
        <v>85</v>
      </c>
      <c r="D97" s="19" t="s">
        <v>44</v>
      </c>
      <c r="E97" s="19" t="s">
        <v>13</v>
      </c>
      <c r="F97" s="19" t="s">
        <v>71</v>
      </c>
    </row>
    <row r="98" spans="1:6" x14ac:dyDescent="0.3">
      <c r="A98" t="s">
        <v>29</v>
      </c>
    </row>
    <row r="99" spans="1:6" x14ac:dyDescent="0.3">
      <c r="A99" s="16">
        <v>1</v>
      </c>
      <c r="B99" s="19">
        <v>2</v>
      </c>
      <c r="C99" s="19" t="s">
        <v>84</v>
      </c>
      <c r="D99" s="19" t="s">
        <v>4</v>
      </c>
      <c r="E99" s="19" t="s">
        <v>45</v>
      </c>
      <c r="F99" s="19" t="s">
        <v>50</v>
      </c>
    </row>
    <row r="100" spans="1:6" x14ac:dyDescent="0.3">
      <c r="A100" s="11">
        <v>1</v>
      </c>
      <c r="B100" s="8">
        <v>2</v>
      </c>
      <c r="C100" s="19" t="s">
        <v>84</v>
      </c>
      <c r="D100" s="8" t="s">
        <v>44</v>
      </c>
      <c r="E100" s="8" t="s">
        <v>13</v>
      </c>
      <c r="F100" s="8" t="s">
        <v>50</v>
      </c>
    </row>
    <row r="101" spans="1:6" x14ac:dyDescent="0.3">
      <c r="A101" s="16">
        <v>1</v>
      </c>
      <c r="B101" s="18">
        <v>1</v>
      </c>
      <c r="C101" s="17" t="s">
        <v>85</v>
      </c>
      <c r="D101" s="12" t="s">
        <v>33</v>
      </c>
      <c r="E101" s="19" t="s">
        <v>46</v>
      </c>
      <c r="F101" s="19" t="s">
        <v>76</v>
      </c>
    </row>
    <row r="102" spans="1:6" x14ac:dyDescent="0.3">
      <c r="A102" s="11">
        <v>1</v>
      </c>
      <c r="B102" s="18">
        <v>1</v>
      </c>
      <c r="C102" s="18" t="s">
        <v>85</v>
      </c>
      <c r="D102" s="12" t="s">
        <v>33</v>
      </c>
      <c r="E102" s="8" t="s">
        <v>46</v>
      </c>
      <c r="F102" s="8" t="s">
        <v>71</v>
      </c>
    </row>
    <row r="103" spans="1:6" x14ac:dyDescent="0.3">
      <c r="A103" s="16">
        <v>1</v>
      </c>
      <c r="B103" s="19">
        <v>2</v>
      </c>
      <c r="C103" s="19" t="s">
        <v>84</v>
      </c>
      <c r="D103" s="19" t="s">
        <v>4</v>
      </c>
      <c r="E103" s="19" t="s">
        <v>45</v>
      </c>
      <c r="F103" s="19" t="s">
        <v>49</v>
      </c>
    </row>
    <row r="104" spans="1:6" x14ac:dyDescent="0.3">
      <c r="A104" s="11">
        <v>1</v>
      </c>
      <c r="B104" s="8">
        <v>2</v>
      </c>
      <c r="C104" s="19" t="s">
        <v>84</v>
      </c>
      <c r="D104" s="8" t="s">
        <v>44</v>
      </c>
      <c r="E104" s="8" t="s">
        <v>13</v>
      </c>
      <c r="F104" s="8" t="s">
        <v>49</v>
      </c>
    </row>
    <row r="105" spans="1:6" x14ac:dyDescent="0.3">
      <c r="A105" s="16">
        <v>1</v>
      </c>
      <c r="B105" s="19">
        <v>2</v>
      </c>
      <c r="C105" s="19" t="s">
        <v>84</v>
      </c>
      <c r="D105" s="19" t="s">
        <v>4</v>
      </c>
      <c r="E105" s="19" t="s">
        <v>45</v>
      </c>
      <c r="F105" s="19" t="s">
        <v>52</v>
      </c>
    </row>
    <row r="106" spans="1:6" x14ac:dyDescent="0.3">
      <c r="A106" s="11">
        <v>1</v>
      </c>
      <c r="B106" s="8">
        <v>1</v>
      </c>
      <c r="C106" s="8" t="s">
        <v>85</v>
      </c>
      <c r="D106" s="8" t="s">
        <v>44</v>
      </c>
      <c r="E106" s="8" t="s">
        <v>14</v>
      </c>
      <c r="F106" s="8" t="s">
        <v>52</v>
      </c>
    </row>
    <row r="107" spans="1:6" x14ac:dyDescent="0.3">
      <c r="A107" s="16">
        <v>1</v>
      </c>
      <c r="B107" s="18">
        <v>2</v>
      </c>
      <c r="C107" s="17" t="s">
        <v>84</v>
      </c>
      <c r="D107" s="12" t="s">
        <v>33</v>
      </c>
      <c r="E107" s="19" t="s">
        <v>46</v>
      </c>
      <c r="F107" s="19" t="s">
        <v>75</v>
      </c>
    </row>
    <row r="108" spans="1:6" x14ac:dyDescent="0.3">
      <c r="A108" s="11">
        <v>1</v>
      </c>
      <c r="B108" s="8">
        <v>1</v>
      </c>
      <c r="C108" s="8" t="s">
        <v>85</v>
      </c>
      <c r="D108" s="8" t="s">
        <v>4</v>
      </c>
      <c r="E108" s="8" t="s">
        <v>45</v>
      </c>
      <c r="F108" s="8" t="s">
        <v>48</v>
      </c>
    </row>
    <row r="109" spans="1:6" x14ac:dyDescent="0.3">
      <c r="A109" s="16">
        <v>1</v>
      </c>
      <c r="B109" s="19">
        <v>2</v>
      </c>
      <c r="C109" s="19" t="s">
        <v>84</v>
      </c>
      <c r="D109" s="19" t="s">
        <v>44</v>
      </c>
      <c r="E109" s="19" t="s">
        <v>14</v>
      </c>
      <c r="F109" s="19" t="s">
        <v>48</v>
      </c>
    </row>
    <row r="110" spans="1:6" x14ac:dyDescent="0.3">
      <c r="A110" s="11">
        <v>1</v>
      </c>
      <c r="B110" s="8">
        <v>2</v>
      </c>
      <c r="C110" s="8" t="s">
        <v>84</v>
      </c>
      <c r="D110" s="8" t="s">
        <v>4</v>
      </c>
      <c r="E110" s="8" t="s">
        <v>45</v>
      </c>
      <c r="F110" s="8" t="s">
        <v>47</v>
      </c>
    </row>
    <row r="111" spans="1:6" x14ac:dyDescent="0.3">
      <c r="A111" s="16">
        <v>1</v>
      </c>
      <c r="B111" s="19">
        <v>1</v>
      </c>
      <c r="C111" s="19" t="s">
        <v>85</v>
      </c>
      <c r="D111" s="19" t="s">
        <v>44</v>
      </c>
      <c r="E111" s="19" t="s">
        <v>14</v>
      </c>
      <c r="F111" s="19" t="s">
        <v>47</v>
      </c>
    </row>
    <row r="112" spans="1:6" x14ac:dyDescent="0.3">
      <c r="A112" s="11">
        <v>1</v>
      </c>
      <c r="B112" s="18">
        <v>2</v>
      </c>
      <c r="C112" s="18" t="s">
        <v>84</v>
      </c>
      <c r="D112" s="12" t="s">
        <v>33</v>
      </c>
      <c r="E112" s="8" t="s">
        <v>46</v>
      </c>
      <c r="F112" s="8" t="s">
        <v>77</v>
      </c>
    </row>
    <row r="113" spans="1:6" x14ac:dyDescent="0.3">
      <c r="A113" s="16">
        <v>1</v>
      </c>
      <c r="B113" s="19">
        <v>1</v>
      </c>
      <c r="C113" s="19" t="s">
        <v>85</v>
      </c>
      <c r="D113" s="19" t="s">
        <v>4</v>
      </c>
      <c r="E113" s="19" t="s">
        <v>45</v>
      </c>
      <c r="F113" s="19" t="s">
        <v>54</v>
      </c>
    </row>
    <row r="114" spans="1:6" x14ac:dyDescent="0.3">
      <c r="A114" s="11">
        <v>1</v>
      </c>
      <c r="B114" s="8">
        <v>1</v>
      </c>
      <c r="C114" s="19" t="s">
        <v>85</v>
      </c>
      <c r="D114" s="8" t="s">
        <v>44</v>
      </c>
      <c r="E114" s="8" t="s">
        <v>13</v>
      </c>
      <c r="F114" s="8" t="s">
        <v>54</v>
      </c>
    </row>
    <row r="115" spans="1:6" x14ac:dyDescent="0.3">
      <c r="A115" s="16">
        <v>1</v>
      </c>
      <c r="B115" s="18">
        <v>2</v>
      </c>
      <c r="C115" s="17" t="s">
        <v>84</v>
      </c>
      <c r="D115" s="12" t="s">
        <v>33</v>
      </c>
      <c r="E115" s="19" t="s">
        <v>46</v>
      </c>
      <c r="F115" s="19" t="s">
        <v>72</v>
      </c>
    </row>
    <row r="116" spans="1:6" x14ac:dyDescent="0.3">
      <c r="A116" s="11">
        <v>1</v>
      </c>
      <c r="B116" s="8">
        <v>1</v>
      </c>
      <c r="C116" s="8" t="s">
        <v>85</v>
      </c>
      <c r="D116" s="8" t="s">
        <v>4</v>
      </c>
      <c r="E116" s="8" t="s">
        <v>45</v>
      </c>
      <c r="F116" s="8" t="s">
        <v>51</v>
      </c>
    </row>
    <row r="117" spans="1:6" x14ac:dyDescent="0.3">
      <c r="A117" s="16">
        <v>1</v>
      </c>
      <c r="B117" s="19">
        <v>1</v>
      </c>
      <c r="C117" s="19" t="s">
        <v>85</v>
      </c>
      <c r="D117" s="19" t="s">
        <v>44</v>
      </c>
      <c r="E117" s="19" t="s">
        <v>13</v>
      </c>
      <c r="F117" s="19" t="s">
        <v>51</v>
      </c>
    </row>
    <row r="118" spans="1:6" x14ac:dyDescent="0.3">
      <c r="A118" s="11">
        <v>1</v>
      </c>
      <c r="B118" s="18">
        <v>1</v>
      </c>
      <c r="C118" s="18" t="s">
        <v>85</v>
      </c>
      <c r="D118" s="12" t="s">
        <v>33</v>
      </c>
      <c r="E118" s="8" t="s">
        <v>46</v>
      </c>
      <c r="F118" s="8" t="s">
        <v>78</v>
      </c>
    </row>
    <row r="119" spans="1:6" x14ac:dyDescent="0.3">
      <c r="A119" s="16">
        <v>1</v>
      </c>
      <c r="B119" s="18">
        <v>2</v>
      </c>
      <c r="C119" s="17" t="s">
        <v>84</v>
      </c>
      <c r="D119" s="12" t="s">
        <v>33</v>
      </c>
      <c r="E119" s="19" t="s">
        <v>46</v>
      </c>
      <c r="F119" s="19" t="s">
        <v>73</v>
      </c>
    </row>
    <row r="120" spans="1:6" x14ac:dyDescent="0.3">
      <c r="A120" s="11">
        <v>1</v>
      </c>
      <c r="B120" s="8">
        <v>1</v>
      </c>
      <c r="C120" s="8" t="s">
        <v>85</v>
      </c>
      <c r="D120" s="8" t="s">
        <v>4</v>
      </c>
      <c r="E120" s="8" t="s">
        <v>45</v>
      </c>
      <c r="F120" s="8" t="s">
        <v>53</v>
      </c>
    </row>
    <row r="121" spans="1:6" x14ac:dyDescent="0.3">
      <c r="A121" s="16">
        <v>1</v>
      </c>
      <c r="B121" s="19">
        <v>2</v>
      </c>
      <c r="C121" s="19" t="s">
        <v>84</v>
      </c>
      <c r="D121" s="19" t="s">
        <v>44</v>
      </c>
      <c r="E121" s="19" t="s">
        <v>14</v>
      </c>
      <c r="F121" s="19" t="s">
        <v>53</v>
      </c>
    </row>
    <row r="122" spans="1:6" x14ac:dyDescent="0.3">
      <c r="A122" s="11">
        <v>1</v>
      </c>
      <c r="B122" s="18">
        <v>1</v>
      </c>
      <c r="C122" s="18" t="s">
        <v>85</v>
      </c>
      <c r="D122" s="12" t="s">
        <v>33</v>
      </c>
      <c r="E122" s="8" t="s">
        <v>46</v>
      </c>
      <c r="F122" s="8" t="s">
        <v>74</v>
      </c>
    </row>
    <row r="123" spans="1:6" x14ac:dyDescent="0.3">
      <c r="A123" s="8">
        <v>2</v>
      </c>
      <c r="B123" s="8">
        <v>1</v>
      </c>
      <c r="C123" s="11" t="s">
        <v>85</v>
      </c>
      <c r="D123" s="8" t="s">
        <v>4</v>
      </c>
      <c r="E123" s="8" t="s">
        <v>45</v>
      </c>
      <c r="F123" s="8" t="s">
        <v>58</v>
      </c>
    </row>
    <row r="124" spans="1:6" x14ac:dyDescent="0.3">
      <c r="A124" s="19">
        <v>2</v>
      </c>
      <c r="B124" s="19">
        <v>1</v>
      </c>
      <c r="C124" s="16" t="s">
        <v>85</v>
      </c>
      <c r="D124" s="19" t="s">
        <v>44</v>
      </c>
      <c r="E124" s="19" t="s">
        <v>13</v>
      </c>
      <c r="F124" s="19" t="s">
        <v>58</v>
      </c>
    </row>
    <row r="125" spans="1:6" x14ac:dyDescent="0.3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50</v>
      </c>
    </row>
    <row r="126" spans="1:6" x14ac:dyDescent="0.3">
      <c r="A126" s="19">
        <v>2</v>
      </c>
      <c r="B126" s="19">
        <v>1</v>
      </c>
      <c r="C126" s="19" t="s">
        <v>85</v>
      </c>
      <c r="D126" s="19" t="s">
        <v>4</v>
      </c>
      <c r="E126" s="19" t="s">
        <v>45</v>
      </c>
      <c r="F126" s="19" t="s">
        <v>60</v>
      </c>
    </row>
    <row r="127" spans="1:6" x14ac:dyDescent="0.3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60</v>
      </c>
    </row>
    <row r="128" spans="1:6" x14ac:dyDescent="0.3">
      <c r="A128" s="19">
        <v>2</v>
      </c>
      <c r="B128" s="19">
        <v>1</v>
      </c>
      <c r="C128" s="19" t="s">
        <v>85</v>
      </c>
      <c r="D128" s="19" t="s">
        <v>4</v>
      </c>
      <c r="E128" s="19" t="s">
        <v>45</v>
      </c>
      <c r="F128" s="19" t="s">
        <v>62</v>
      </c>
    </row>
    <row r="129" spans="1:6" x14ac:dyDescent="0.3">
      <c r="A129" s="8">
        <v>2</v>
      </c>
      <c r="B129" s="8">
        <v>2</v>
      </c>
      <c r="C129" s="8" t="s">
        <v>84</v>
      </c>
      <c r="D129" s="8" t="s">
        <v>44</v>
      </c>
      <c r="E129" s="8" t="s">
        <v>14</v>
      </c>
      <c r="F129" s="8" t="s">
        <v>62</v>
      </c>
    </row>
    <row r="130" spans="1:6" x14ac:dyDescent="0.3">
      <c r="A130" s="19">
        <v>2</v>
      </c>
      <c r="B130" s="13">
        <v>2</v>
      </c>
      <c r="C130" s="13" t="s">
        <v>84</v>
      </c>
      <c r="D130" s="13" t="s">
        <v>33</v>
      </c>
      <c r="E130" s="19" t="s">
        <v>46</v>
      </c>
      <c r="F130" s="19" t="s">
        <v>49</v>
      </c>
    </row>
    <row r="131" spans="1:6" x14ac:dyDescent="0.3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56</v>
      </c>
    </row>
    <row r="132" spans="1:6" x14ac:dyDescent="0.3">
      <c r="A132" s="19">
        <v>2</v>
      </c>
      <c r="B132" s="19">
        <v>1</v>
      </c>
      <c r="C132" s="19" t="s">
        <v>85</v>
      </c>
      <c r="D132" s="19" t="s">
        <v>44</v>
      </c>
      <c r="E132" s="19" t="s">
        <v>14</v>
      </c>
      <c r="F132" s="19" t="s">
        <v>56</v>
      </c>
    </row>
    <row r="133" spans="1:6" x14ac:dyDescent="0.3">
      <c r="A133" s="8">
        <v>2</v>
      </c>
      <c r="B133" s="8">
        <v>1</v>
      </c>
      <c r="C133" s="8" t="s">
        <v>85</v>
      </c>
      <c r="D133" s="8" t="s">
        <v>4</v>
      </c>
      <c r="E133" s="8" t="s">
        <v>45</v>
      </c>
      <c r="F133" s="8" t="s">
        <v>61</v>
      </c>
    </row>
    <row r="134" spans="1:6" x14ac:dyDescent="0.3">
      <c r="A134" s="19">
        <v>2</v>
      </c>
      <c r="B134" s="19">
        <v>2</v>
      </c>
      <c r="C134" s="19" t="s">
        <v>84</v>
      </c>
      <c r="D134" s="19" t="s">
        <v>44</v>
      </c>
      <c r="E134" s="19" t="s">
        <v>14</v>
      </c>
      <c r="F134" s="19" t="s">
        <v>61</v>
      </c>
    </row>
    <row r="135" spans="1:6" x14ac:dyDescent="0.3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52</v>
      </c>
    </row>
    <row r="136" spans="1:6" x14ac:dyDescent="0.3">
      <c r="A136" s="19">
        <v>2</v>
      </c>
      <c r="B136" s="13">
        <v>1</v>
      </c>
      <c r="C136" s="13" t="s">
        <v>85</v>
      </c>
      <c r="D136" s="13" t="s">
        <v>33</v>
      </c>
      <c r="E136" s="19" t="s">
        <v>46</v>
      </c>
      <c r="F136" s="19" t="s">
        <v>48</v>
      </c>
    </row>
    <row r="137" spans="1:6" x14ac:dyDescent="0.3">
      <c r="A137" s="8">
        <v>2</v>
      </c>
      <c r="B137" s="8">
        <v>2</v>
      </c>
      <c r="C137" s="8" t="s">
        <v>84</v>
      </c>
      <c r="D137" s="8" t="s">
        <v>4</v>
      </c>
      <c r="E137" s="8" t="s">
        <v>45</v>
      </c>
      <c r="F137" s="8" t="s">
        <v>59</v>
      </c>
    </row>
    <row r="138" spans="1:6" x14ac:dyDescent="0.3">
      <c r="A138" s="19">
        <v>2</v>
      </c>
      <c r="B138" s="19">
        <v>2</v>
      </c>
      <c r="C138" s="19" t="s">
        <v>84</v>
      </c>
      <c r="D138" s="19" t="s">
        <v>44</v>
      </c>
      <c r="E138" s="19" t="s">
        <v>13</v>
      </c>
      <c r="F138" s="19" t="s">
        <v>59</v>
      </c>
    </row>
    <row r="139" spans="1:6" x14ac:dyDescent="0.3">
      <c r="A139" s="8">
        <v>2</v>
      </c>
      <c r="B139" s="13">
        <v>1</v>
      </c>
      <c r="C139" s="13" t="s">
        <v>85</v>
      </c>
      <c r="D139" s="13" t="s">
        <v>33</v>
      </c>
      <c r="E139" s="8" t="s">
        <v>46</v>
      </c>
      <c r="F139" s="8" t="s">
        <v>47</v>
      </c>
    </row>
    <row r="140" spans="1:6" x14ac:dyDescent="0.3">
      <c r="A140" s="19">
        <v>2</v>
      </c>
      <c r="B140" s="19">
        <v>2</v>
      </c>
      <c r="C140" s="19" t="s">
        <v>84</v>
      </c>
      <c r="D140" s="19" t="s">
        <v>4</v>
      </c>
      <c r="E140" s="19" t="s">
        <v>45</v>
      </c>
      <c r="F140" s="19" t="s">
        <v>55</v>
      </c>
    </row>
    <row r="141" spans="1:6" x14ac:dyDescent="0.3">
      <c r="A141" s="8">
        <v>2</v>
      </c>
      <c r="B141" s="8">
        <v>2</v>
      </c>
      <c r="C141" s="8" t="s">
        <v>84</v>
      </c>
      <c r="D141" s="8" t="s">
        <v>44</v>
      </c>
      <c r="E141" s="8" t="s">
        <v>13</v>
      </c>
      <c r="F141" s="8" t="s">
        <v>55</v>
      </c>
    </row>
    <row r="142" spans="1:6" x14ac:dyDescent="0.3">
      <c r="A142" s="19">
        <v>2</v>
      </c>
      <c r="B142" s="13">
        <v>2</v>
      </c>
      <c r="C142" s="13" t="s">
        <v>84</v>
      </c>
      <c r="D142" s="13" t="s">
        <v>33</v>
      </c>
      <c r="E142" s="19" t="s">
        <v>46</v>
      </c>
      <c r="F142" s="19" t="s">
        <v>54</v>
      </c>
    </row>
    <row r="143" spans="1:6" x14ac:dyDescent="0.3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51</v>
      </c>
    </row>
    <row r="144" spans="1:6" x14ac:dyDescent="0.3">
      <c r="A144" s="19">
        <v>2</v>
      </c>
      <c r="B144" s="13">
        <v>2</v>
      </c>
      <c r="C144" s="13" t="s">
        <v>84</v>
      </c>
      <c r="D144" s="13" t="s">
        <v>33</v>
      </c>
      <c r="E144" s="19" t="s">
        <v>46</v>
      </c>
      <c r="F144" s="19" t="s">
        <v>53</v>
      </c>
    </row>
    <row r="145" spans="1:9" x14ac:dyDescent="0.3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57</v>
      </c>
    </row>
    <row r="146" spans="1:9" x14ac:dyDescent="0.3">
      <c r="A146" s="19">
        <v>2</v>
      </c>
      <c r="B146" s="19">
        <v>1</v>
      </c>
      <c r="C146" s="19" t="s">
        <v>85</v>
      </c>
      <c r="D146" s="19" t="s">
        <v>44</v>
      </c>
      <c r="E146" s="19" t="s">
        <v>14</v>
      </c>
      <c r="F146" s="19" t="s">
        <v>57</v>
      </c>
    </row>
    <row r="147" spans="1:9" x14ac:dyDescent="0.3">
      <c r="A147" s="16">
        <v>3</v>
      </c>
      <c r="B147" s="14">
        <v>2</v>
      </c>
      <c r="C147" s="14" t="s">
        <v>84</v>
      </c>
      <c r="D147" s="14" t="s">
        <v>33</v>
      </c>
      <c r="E147" s="19" t="s">
        <v>46</v>
      </c>
      <c r="F147" s="19" t="s">
        <v>58</v>
      </c>
    </row>
    <row r="148" spans="1:9" x14ac:dyDescent="0.3">
      <c r="A148" s="11">
        <v>3</v>
      </c>
      <c r="B148" s="8">
        <v>1</v>
      </c>
      <c r="C148" s="8" t="s">
        <v>85</v>
      </c>
      <c r="D148" s="8" t="s">
        <v>4</v>
      </c>
      <c r="E148" s="8" t="s">
        <v>45</v>
      </c>
      <c r="F148" s="8" t="s">
        <v>68</v>
      </c>
    </row>
    <row r="149" spans="1:9" x14ac:dyDescent="0.3">
      <c r="A149" s="16">
        <v>3</v>
      </c>
      <c r="B149" s="19">
        <v>2</v>
      </c>
      <c r="C149" s="19" t="s">
        <v>84</v>
      </c>
      <c r="D149" s="19" t="s">
        <v>44</v>
      </c>
      <c r="E149" s="19" t="s">
        <v>14</v>
      </c>
      <c r="F149" s="19" t="s">
        <v>68</v>
      </c>
    </row>
    <row r="150" spans="1:9" x14ac:dyDescent="0.3">
      <c r="A150" s="11">
        <v>3</v>
      </c>
      <c r="B150" s="14">
        <v>2</v>
      </c>
      <c r="C150" s="14" t="s">
        <v>84</v>
      </c>
      <c r="D150" s="14" t="s">
        <v>33</v>
      </c>
      <c r="E150" s="8" t="s">
        <v>46</v>
      </c>
      <c r="F150" s="8" t="s">
        <v>60</v>
      </c>
    </row>
    <row r="151" spans="1:9" x14ac:dyDescent="0.3">
      <c r="A151" s="16">
        <v>3</v>
      </c>
      <c r="B151" s="19">
        <v>2</v>
      </c>
      <c r="C151" s="19" t="s">
        <v>84</v>
      </c>
      <c r="D151" s="19" t="s">
        <v>4</v>
      </c>
      <c r="E151" s="19" t="s">
        <v>45</v>
      </c>
      <c r="F151" s="19" t="s">
        <v>66</v>
      </c>
    </row>
    <row r="152" spans="1:9" x14ac:dyDescent="0.3">
      <c r="A152" s="11">
        <v>3</v>
      </c>
      <c r="B152" s="8">
        <v>1</v>
      </c>
      <c r="C152" s="8" t="s">
        <v>85</v>
      </c>
      <c r="D152" s="8" t="s">
        <v>44</v>
      </c>
      <c r="E152" s="8" t="s">
        <v>14</v>
      </c>
      <c r="F152" s="8" t="s">
        <v>66</v>
      </c>
    </row>
    <row r="153" spans="1:9" x14ac:dyDescent="0.3">
      <c r="A153" s="16">
        <v>3</v>
      </c>
      <c r="B153" s="19">
        <v>1</v>
      </c>
      <c r="C153" s="19" t="s">
        <v>85</v>
      </c>
      <c r="D153" s="19" t="s">
        <v>4</v>
      </c>
      <c r="E153" s="19" t="s">
        <v>45</v>
      </c>
      <c r="F153" s="19" t="s">
        <v>70</v>
      </c>
    </row>
    <row r="154" spans="1:9" x14ac:dyDescent="0.3">
      <c r="A154" s="11">
        <v>3</v>
      </c>
      <c r="B154" s="8">
        <v>2</v>
      </c>
      <c r="C154" s="8" t="s">
        <v>84</v>
      </c>
      <c r="D154" s="8" t="s">
        <v>44</v>
      </c>
      <c r="E154" s="8" t="s">
        <v>14</v>
      </c>
      <c r="F154" s="8" t="s">
        <v>70</v>
      </c>
    </row>
    <row r="155" spans="1:9" x14ac:dyDescent="0.3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62</v>
      </c>
    </row>
    <row r="156" spans="1:9" x14ac:dyDescent="0.3">
      <c r="A156" s="11">
        <v>3</v>
      </c>
      <c r="B156" s="8">
        <v>2</v>
      </c>
      <c r="C156" s="8" t="s">
        <v>84</v>
      </c>
      <c r="D156" s="8" t="s">
        <v>4</v>
      </c>
      <c r="E156" s="8" t="s">
        <v>45</v>
      </c>
      <c r="F156" s="8" t="s">
        <v>69</v>
      </c>
    </row>
    <row r="157" spans="1:9" x14ac:dyDescent="0.3">
      <c r="A157" s="16">
        <v>3</v>
      </c>
      <c r="B157" s="19">
        <v>2</v>
      </c>
      <c r="C157" s="19" t="s">
        <v>84</v>
      </c>
      <c r="D157" s="19" t="s">
        <v>44</v>
      </c>
      <c r="E157" s="19" t="s">
        <v>13</v>
      </c>
      <c r="F157" s="19" t="s">
        <v>69</v>
      </c>
      <c r="I157" t="s">
        <v>23</v>
      </c>
    </row>
    <row r="158" spans="1:9" x14ac:dyDescent="0.3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56</v>
      </c>
    </row>
    <row r="159" spans="1:9" x14ac:dyDescent="0.3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61</v>
      </c>
    </row>
    <row r="160" spans="1:9" x14ac:dyDescent="0.3">
      <c r="A160" s="11">
        <v>3</v>
      </c>
      <c r="B160" s="8">
        <v>2</v>
      </c>
      <c r="C160" s="8" t="s">
        <v>84</v>
      </c>
      <c r="D160" s="8" t="s">
        <v>4</v>
      </c>
      <c r="E160" s="8" t="s">
        <v>45</v>
      </c>
      <c r="F160" s="8" t="s">
        <v>63</v>
      </c>
    </row>
    <row r="161" spans="1:6" x14ac:dyDescent="0.3">
      <c r="A161" s="16">
        <v>3</v>
      </c>
      <c r="B161" s="19">
        <v>2</v>
      </c>
      <c r="C161" s="19" t="s">
        <v>84</v>
      </c>
      <c r="D161" s="19" t="s">
        <v>44</v>
      </c>
      <c r="E161" s="19" t="s">
        <v>13</v>
      </c>
      <c r="F161" s="19" t="s">
        <v>63</v>
      </c>
    </row>
    <row r="162" spans="1:6" x14ac:dyDescent="0.3">
      <c r="A162" s="11">
        <v>3</v>
      </c>
      <c r="B162" s="8">
        <v>2</v>
      </c>
      <c r="C162" s="8" t="s">
        <v>84</v>
      </c>
      <c r="D162" s="8" t="s">
        <v>4</v>
      </c>
      <c r="E162" s="8" t="s">
        <v>45</v>
      </c>
      <c r="F162" s="8" t="s">
        <v>65</v>
      </c>
    </row>
    <row r="163" spans="1:6" x14ac:dyDescent="0.3">
      <c r="A163" s="16">
        <v>3</v>
      </c>
      <c r="B163" s="19">
        <v>1</v>
      </c>
      <c r="C163" s="19" t="s">
        <v>85</v>
      </c>
      <c r="D163" s="19" t="s">
        <v>44</v>
      </c>
      <c r="E163" s="19" t="s">
        <v>14</v>
      </c>
      <c r="F163" s="19" t="s">
        <v>65</v>
      </c>
    </row>
    <row r="164" spans="1:6" x14ac:dyDescent="0.3">
      <c r="A164" s="11">
        <v>3</v>
      </c>
      <c r="B164" s="14">
        <v>2</v>
      </c>
      <c r="C164" s="14" t="s">
        <v>84</v>
      </c>
      <c r="D164" s="14" t="s">
        <v>33</v>
      </c>
      <c r="E164" s="8" t="s">
        <v>46</v>
      </c>
      <c r="F164" s="8" t="s">
        <v>59</v>
      </c>
    </row>
    <row r="165" spans="1:6" x14ac:dyDescent="0.3">
      <c r="A165" s="16">
        <v>3</v>
      </c>
      <c r="B165" s="19">
        <v>1</v>
      </c>
      <c r="C165" s="19" t="s">
        <v>85</v>
      </c>
      <c r="D165" s="19" t="s">
        <v>4</v>
      </c>
      <c r="E165" s="19" t="s">
        <v>45</v>
      </c>
      <c r="F165" s="19" t="s">
        <v>67</v>
      </c>
    </row>
    <row r="166" spans="1:6" x14ac:dyDescent="0.3">
      <c r="A166" s="11">
        <v>3</v>
      </c>
      <c r="B166" s="8">
        <v>1</v>
      </c>
      <c r="C166" s="8" t="s">
        <v>85</v>
      </c>
      <c r="D166" s="8" t="s">
        <v>44</v>
      </c>
      <c r="E166" s="8" t="s">
        <v>13</v>
      </c>
      <c r="F166" s="8" t="s">
        <v>67</v>
      </c>
    </row>
    <row r="167" spans="1:6" x14ac:dyDescent="0.3">
      <c r="A167" s="16">
        <v>3</v>
      </c>
      <c r="B167" s="14">
        <v>2</v>
      </c>
      <c r="C167" s="14" t="s">
        <v>84</v>
      </c>
      <c r="D167" s="14" t="s">
        <v>33</v>
      </c>
      <c r="E167" s="19" t="s">
        <v>46</v>
      </c>
      <c r="F167" s="19" t="s">
        <v>55</v>
      </c>
    </row>
    <row r="168" spans="1:6" x14ac:dyDescent="0.3">
      <c r="A168" s="11">
        <v>3</v>
      </c>
      <c r="B168" s="8">
        <v>1</v>
      </c>
      <c r="C168" s="8" t="s">
        <v>85</v>
      </c>
      <c r="D168" s="8" t="s">
        <v>4</v>
      </c>
      <c r="E168" s="8" t="s">
        <v>45</v>
      </c>
      <c r="F168" s="8" t="s">
        <v>64</v>
      </c>
    </row>
    <row r="169" spans="1:6" x14ac:dyDescent="0.3">
      <c r="A169" s="16">
        <v>3</v>
      </c>
      <c r="B169" s="19">
        <v>1</v>
      </c>
      <c r="C169" s="19" t="s">
        <v>85</v>
      </c>
      <c r="D169" s="19" t="s">
        <v>44</v>
      </c>
      <c r="E169" s="19" t="s">
        <v>13</v>
      </c>
      <c r="F169" s="19" t="s">
        <v>64</v>
      </c>
    </row>
    <row r="170" spans="1:6" x14ac:dyDescent="0.3">
      <c r="A170" s="11">
        <v>3</v>
      </c>
      <c r="B170" s="14">
        <v>1</v>
      </c>
      <c r="C170" s="14" t="s">
        <v>85</v>
      </c>
      <c r="D170" s="14" t="s">
        <v>33</v>
      </c>
      <c r="E170" s="8" t="s">
        <v>46</v>
      </c>
      <c r="F170" s="8" t="s">
        <v>57</v>
      </c>
    </row>
    <row r="171" spans="1:6" x14ac:dyDescent="0.3">
      <c r="A171" s="8">
        <v>4</v>
      </c>
      <c r="B171" s="15">
        <v>2</v>
      </c>
      <c r="C171" s="15" t="s">
        <v>84</v>
      </c>
      <c r="D171" s="15" t="s">
        <v>33</v>
      </c>
      <c r="E171" s="8" t="s">
        <v>46</v>
      </c>
      <c r="F171" s="8" t="s">
        <v>68</v>
      </c>
    </row>
    <row r="172" spans="1:6" x14ac:dyDescent="0.3">
      <c r="A172" s="19">
        <v>4</v>
      </c>
      <c r="B172" s="19">
        <v>1</v>
      </c>
      <c r="C172" s="19" t="s">
        <v>85</v>
      </c>
      <c r="D172" s="19" t="s">
        <v>4</v>
      </c>
      <c r="E172" s="19" t="s">
        <v>45</v>
      </c>
      <c r="F172" s="19" t="s">
        <v>76</v>
      </c>
    </row>
    <row r="173" spans="1:6" x14ac:dyDescent="0.3">
      <c r="A173" s="8">
        <v>4</v>
      </c>
      <c r="B173" s="8">
        <v>1</v>
      </c>
      <c r="C173" s="8" t="s">
        <v>85</v>
      </c>
      <c r="D173" s="8" t="s">
        <v>44</v>
      </c>
      <c r="E173" s="8" t="s">
        <v>13</v>
      </c>
      <c r="F173" s="8" t="s">
        <v>76</v>
      </c>
    </row>
    <row r="174" spans="1:6" x14ac:dyDescent="0.3">
      <c r="A174" s="19">
        <v>4</v>
      </c>
      <c r="B174" s="19">
        <v>1</v>
      </c>
      <c r="C174" s="19" t="s">
        <v>85</v>
      </c>
      <c r="D174" s="19" t="s">
        <v>4</v>
      </c>
      <c r="E174" s="19" t="s">
        <v>45</v>
      </c>
      <c r="F174" s="19" t="s">
        <v>71</v>
      </c>
    </row>
    <row r="175" spans="1:6" x14ac:dyDescent="0.3">
      <c r="A175" s="8">
        <v>4</v>
      </c>
      <c r="B175" s="8">
        <v>2</v>
      </c>
      <c r="C175" s="8" t="s">
        <v>84</v>
      </c>
      <c r="D175" s="8" t="s">
        <v>44</v>
      </c>
      <c r="E175" s="8" t="s">
        <v>14</v>
      </c>
      <c r="F175" s="8" t="s">
        <v>71</v>
      </c>
    </row>
    <row r="176" spans="1:6" x14ac:dyDescent="0.3">
      <c r="A176" s="19">
        <v>4</v>
      </c>
      <c r="B176" s="15">
        <v>1</v>
      </c>
      <c r="C176" s="15" t="s">
        <v>85</v>
      </c>
      <c r="D176" s="15" t="s">
        <v>33</v>
      </c>
      <c r="E176" s="19" t="s">
        <v>46</v>
      </c>
      <c r="F176" s="19" t="s">
        <v>66</v>
      </c>
    </row>
    <row r="177" spans="1:6" x14ac:dyDescent="0.3">
      <c r="A177" s="8">
        <v>4</v>
      </c>
      <c r="B177" s="8">
        <v>2</v>
      </c>
      <c r="C177" s="8" t="s">
        <v>84</v>
      </c>
      <c r="D177" s="8" t="s">
        <v>4</v>
      </c>
      <c r="E177" s="8" t="s">
        <v>45</v>
      </c>
      <c r="F177" s="8" t="s">
        <v>75</v>
      </c>
    </row>
    <row r="178" spans="1:6" x14ac:dyDescent="0.3">
      <c r="A178" s="19">
        <v>4</v>
      </c>
      <c r="B178" s="19">
        <v>2</v>
      </c>
      <c r="C178" s="19" t="s">
        <v>84</v>
      </c>
      <c r="D178" s="19" t="s">
        <v>44</v>
      </c>
      <c r="E178" s="19" t="s">
        <v>13</v>
      </c>
      <c r="F178" s="19" t="s">
        <v>75</v>
      </c>
    </row>
    <row r="179" spans="1:6" x14ac:dyDescent="0.3">
      <c r="A179" s="8">
        <v>4</v>
      </c>
      <c r="B179" s="8">
        <v>2</v>
      </c>
      <c r="C179" s="8" t="s">
        <v>84</v>
      </c>
      <c r="D179" s="8" t="s">
        <v>4</v>
      </c>
      <c r="E179" s="8" t="s">
        <v>45</v>
      </c>
      <c r="F179" s="8" t="s">
        <v>77</v>
      </c>
    </row>
    <row r="180" spans="1:6" x14ac:dyDescent="0.3">
      <c r="A180" s="19">
        <v>4</v>
      </c>
      <c r="B180" s="19">
        <v>1</v>
      </c>
      <c r="C180" s="19" t="s">
        <v>85</v>
      </c>
      <c r="D180" s="19" t="s">
        <v>44</v>
      </c>
      <c r="E180" s="19" t="s">
        <v>14</v>
      </c>
      <c r="F180" s="19" t="s">
        <v>77</v>
      </c>
    </row>
    <row r="181" spans="1:6" x14ac:dyDescent="0.3">
      <c r="A181" s="8">
        <v>4</v>
      </c>
      <c r="B181" s="15">
        <v>2</v>
      </c>
      <c r="C181" s="15" t="s">
        <v>84</v>
      </c>
      <c r="D181" s="15" t="s">
        <v>33</v>
      </c>
      <c r="E181" s="8" t="s">
        <v>46</v>
      </c>
      <c r="F181" s="8" t="s">
        <v>70</v>
      </c>
    </row>
    <row r="182" spans="1:6" x14ac:dyDescent="0.3">
      <c r="A182" s="19">
        <v>4</v>
      </c>
      <c r="B182" s="15">
        <v>1</v>
      </c>
      <c r="C182" s="15" t="s">
        <v>85</v>
      </c>
      <c r="D182" s="15" t="s">
        <v>33</v>
      </c>
      <c r="E182" s="19" t="s">
        <v>46</v>
      </c>
      <c r="F182" s="19" t="s">
        <v>69</v>
      </c>
    </row>
    <row r="183" spans="1:6" x14ac:dyDescent="0.3">
      <c r="A183" s="8">
        <v>4</v>
      </c>
      <c r="B183" s="15">
        <v>2</v>
      </c>
      <c r="C183" s="15" t="s">
        <v>84</v>
      </c>
      <c r="D183" s="15" t="s">
        <v>33</v>
      </c>
      <c r="E183" s="8" t="s">
        <v>46</v>
      </c>
      <c r="F183" s="8" t="s">
        <v>63</v>
      </c>
    </row>
    <row r="184" spans="1:6" x14ac:dyDescent="0.3">
      <c r="A184" s="19">
        <v>4</v>
      </c>
      <c r="B184" s="19">
        <v>1</v>
      </c>
      <c r="C184" s="19" t="s">
        <v>85</v>
      </c>
      <c r="D184" s="19" t="s">
        <v>4</v>
      </c>
      <c r="E184" s="19" t="s">
        <v>45</v>
      </c>
      <c r="F184" s="19" t="s">
        <v>72</v>
      </c>
    </row>
    <row r="185" spans="1:6" x14ac:dyDescent="0.3">
      <c r="A185" s="8">
        <v>4</v>
      </c>
      <c r="B185" s="8">
        <v>2</v>
      </c>
      <c r="C185" s="8" t="s">
        <v>84</v>
      </c>
      <c r="D185" s="8" t="s">
        <v>44</v>
      </c>
      <c r="E185" s="8" t="s">
        <v>14</v>
      </c>
      <c r="F185" s="8" t="s">
        <v>72</v>
      </c>
    </row>
    <row r="186" spans="1:6" x14ac:dyDescent="0.3">
      <c r="A186" s="19">
        <v>4</v>
      </c>
      <c r="B186" s="19">
        <v>2</v>
      </c>
      <c r="C186" s="19" t="s">
        <v>84</v>
      </c>
      <c r="D186" s="19" t="s">
        <v>4</v>
      </c>
      <c r="E186" s="19" t="s">
        <v>45</v>
      </c>
      <c r="F186" s="19" t="s">
        <v>78</v>
      </c>
    </row>
    <row r="187" spans="1:6" x14ac:dyDescent="0.3">
      <c r="A187" s="8">
        <v>4</v>
      </c>
      <c r="B187" s="8">
        <v>2</v>
      </c>
      <c r="C187" s="8" t="s">
        <v>84</v>
      </c>
      <c r="D187" s="8" t="s">
        <v>44</v>
      </c>
      <c r="E187" s="8" t="s">
        <v>13</v>
      </c>
      <c r="F187" s="8" t="s">
        <v>78</v>
      </c>
    </row>
    <row r="188" spans="1:6" x14ac:dyDescent="0.3">
      <c r="A188" s="19">
        <v>4</v>
      </c>
      <c r="B188" s="15">
        <v>1</v>
      </c>
      <c r="C188" s="15" t="s">
        <v>85</v>
      </c>
      <c r="D188" s="15" t="s">
        <v>33</v>
      </c>
      <c r="E188" s="19" t="s">
        <v>46</v>
      </c>
      <c r="F188" s="19" t="s">
        <v>65</v>
      </c>
    </row>
    <row r="189" spans="1:6" x14ac:dyDescent="0.3">
      <c r="A189" s="8">
        <v>4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73</v>
      </c>
    </row>
    <row r="190" spans="1:6" x14ac:dyDescent="0.3">
      <c r="A190" s="19">
        <v>4</v>
      </c>
      <c r="B190" s="19">
        <v>1</v>
      </c>
      <c r="C190" s="19" t="s">
        <v>85</v>
      </c>
      <c r="D190" s="19" t="s">
        <v>44</v>
      </c>
      <c r="E190" s="19" t="s">
        <v>14</v>
      </c>
      <c r="F190" s="19" t="s">
        <v>73</v>
      </c>
    </row>
    <row r="191" spans="1:6" x14ac:dyDescent="0.3">
      <c r="A191" s="8">
        <v>4</v>
      </c>
      <c r="B191" s="8">
        <v>1</v>
      </c>
      <c r="C191" s="8" t="s">
        <v>85</v>
      </c>
      <c r="D191" s="8" t="s">
        <v>4</v>
      </c>
      <c r="E191" s="8" t="s">
        <v>45</v>
      </c>
      <c r="F191" s="8" t="s">
        <v>74</v>
      </c>
    </row>
    <row r="192" spans="1:6" x14ac:dyDescent="0.3">
      <c r="A192" s="19">
        <v>4</v>
      </c>
      <c r="B192" s="19">
        <v>1</v>
      </c>
      <c r="C192" s="19" t="s">
        <v>85</v>
      </c>
      <c r="D192" s="19" t="s">
        <v>44</v>
      </c>
      <c r="E192" s="19" t="s">
        <v>13</v>
      </c>
      <c r="F192" s="19" t="s">
        <v>74</v>
      </c>
    </row>
    <row r="193" spans="1:6" x14ac:dyDescent="0.3">
      <c r="A193" s="8">
        <v>4</v>
      </c>
      <c r="B193" s="15">
        <v>2</v>
      </c>
      <c r="C193" s="15" t="s">
        <v>84</v>
      </c>
      <c r="D193" s="15" t="s">
        <v>33</v>
      </c>
      <c r="E193" s="8" t="s">
        <v>46</v>
      </c>
      <c r="F193" s="8" t="s">
        <v>67</v>
      </c>
    </row>
    <row r="194" spans="1:6" x14ac:dyDescent="0.3">
      <c r="A194" s="19">
        <v>4</v>
      </c>
      <c r="B194" s="15">
        <v>1</v>
      </c>
      <c r="C194" s="15" t="s">
        <v>85</v>
      </c>
      <c r="D194" s="15" t="s">
        <v>33</v>
      </c>
      <c r="E194" s="19" t="s">
        <v>46</v>
      </c>
      <c r="F194" s="19" t="s">
        <v>64</v>
      </c>
    </row>
    <row r="195" spans="1:6" x14ac:dyDescent="0.3">
      <c r="A195" t="s">
        <v>29</v>
      </c>
    </row>
    <row r="196" spans="1:6" x14ac:dyDescent="0.3">
      <c r="A196" s="16">
        <v>1</v>
      </c>
      <c r="B196" s="18">
        <v>2</v>
      </c>
      <c r="C196" s="17" t="s">
        <v>84</v>
      </c>
      <c r="D196" s="12" t="s">
        <v>33</v>
      </c>
      <c r="E196" s="19" t="s">
        <v>46</v>
      </c>
      <c r="F196" s="19" t="s">
        <v>75</v>
      </c>
    </row>
    <row r="197" spans="1:6" x14ac:dyDescent="0.3">
      <c r="A197" s="11">
        <v>1</v>
      </c>
      <c r="B197" s="11">
        <v>2</v>
      </c>
      <c r="C197" s="11" t="s">
        <v>84</v>
      </c>
      <c r="D197" s="8" t="s">
        <v>4</v>
      </c>
      <c r="E197" s="8" t="s">
        <v>45</v>
      </c>
      <c r="F197" s="8" t="s">
        <v>53</v>
      </c>
    </row>
    <row r="198" spans="1:6" x14ac:dyDescent="0.3">
      <c r="A198" s="16">
        <v>1</v>
      </c>
      <c r="B198" s="16">
        <v>2</v>
      </c>
      <c r="C198" s="16" t="s">
        <v>84</v>
      </c>
      <c r="D198" s="19" t="s">
        <v>44</v>
      </c>
      <c r="E198" s="19" t="s">
        <v>13</v>
      </c>
      <c r="F198" s="19" t="s">
        <v>53</v>
      </c>
    </row>
    <row r="199" spans="1:6" x14ac:dyDescent="0.3">
      <c r="A199" s="11">
        <v>1</v>
      </c>
      <c r="B199" s="18">
        <v>1</v>
      </c>
      <c r="C199" s="18" t="s">
        <v>85</v>
      </c>
      <c r="D199" s="12" t="s">
        <v>33</v>
      </c>
      <c r="E199" s="8" t="s">
        <v>46</v>
      </c>
      <c r="F199" s="8" t="s">
        <v>73</v>
      </c>
    </row>
    <row r="200" spans="1:6" x14ac:dyDescent="0.3">
      <c r="A200" s="16">
        <v>1</v>
      </c>
      <c r="B200" s="18">
        <v>1</v>
      </c>
      <c r="C200" s="18" t="s">
        <v>85</v>
      </c>
      <c r="D200" s="12" t="s">
        <v>33</v>
      </c>
      <c r="E200" s="19" t="s">
        <v>46</v>
      </c>
      <c r="F200" s="19" t="s">
        <v>77</v>
      </c>
    </row>
    <row r="201" spans="1:6" x14ac:dyDescent="0.3">
      <c r="A201" s="11">
        <v>1</v>
      </c>
      <c r="B201" s="11">
        <v>2</v>
      </c>
      <c r="C201" s="11" t="s">
        <v>84</v>
      </c>
      <c r="D201" s="8" t="s">
        <v>4</v>
      </c>
      <c r="E201" s="8" t="s">
        <v>45</v>
      </c>
      <c r="F201" s="8" t="s">
        <v>52</v>
      </c>
    </row>
    <row r="202" spans="1:6" x14ac:dyDescent="0.3">
      <c r="A202" s="16">
        <v>1</v>
      </c>
      <c r="B202" s="16">
        <v>2</v>
      </c>
      <c r="C202" s="16" t="s">
        <v>84</v>
      </c>
      <c r="D202" s="19" t="s">
        <v>44</v>
      </c>
      <c r="E202" s="19" t="s">
        <v>13</v>
      </c>
      <c r="F202" s="19" t="s">
        <v>52</v>
      </c>
    </row>
    <row r="203" spans="1:6" x14ac:dyDescent="0.3">
      <c r="A203" s="11">
        <v>1</v>
      </c>
      <c r="B203" s="11">
        <v>2</v>
      </c>
      <c r="C203" s="11" t="s">
        <v>84</v>
      </c>
      <c r="D203" s="8" t="s">
        <v>4</v>
      </c>
      <c r="E203" s="8" t="s">
        <v>45</v>
      </c>
      <c r="F203" s="8" t="s">
        <v>54</v>
      </c>
    </row>
    <row r="204" spans="1:6" x14ac:dyDescent="0.3">
      <c r="A204" s="16">
        <v>1</v>
      </c>
      <c r="B204" s="16">
        <v>1</v>
      </c>
      <c r="C204" s="16" t="s">
        <v>85</v>
      </c>
      <c r="D204" s="19" t="s">
        <v>44</v>
      </c>
      <c r="E204" s="19" t="s">
        <v>14</v>
      </c>
      <c r="F204" s="19" t="s">
        <v>54</v>
      </c>
    </row>
    <row r="205" spans="1:6" x14ac:dyDescent="0.3">
      <c r="A205" s="11">
        <v>1</v>
      </c>
      <c r="B205" s="18">
        <v>2</v>
      </c>
      <c r="C205" s="18" t="s">
        <v>84</v>
      </c>
      <c r="D205" s="12" t="s">
        <v>33</v>
      </c>
      <c r="E205" s="8" t="s">
        <v>46</v>
      </c>
      <c r="F205" s="8" t="s">
        <v>74</v>
      </c>
    </row>
    <row r="206" spans="1:6" x14ac:dyDescent="0.3">
      <c r="A206" s="16">
        <v>1</v>
      </c>
      <c r="B206" s="16">
        <v>1</v>
      </c>
      <c r="C206" s="16" t="s">
        <v>85</v>
      </c>
      <c r="D206" s="19" t="s">
        <v>4</v>
      </c>
      <c r="E206" s="19" t="s">
        <v>45</v>
      </c>
      <c r="F206" s="19" t="s">
        <v>47</v>
      </c>
    </row>
    <row r="207" spans="1:6" x14ac:dyDescent="0.3">
      <c r="A207" s="11">
        <v>1</v>
      </c>
      <c r="B207" s="11">
        <v>2</v>
      </c>
      <c r="C207" s="11" t="s">
        <v>84</v>
      </c>
      <c r="D207" s="8" t="s">
        <v>44</v>
      </c>
      <c r="E207" s="8" t="s">
        <v>14</v>
      </c>
      <c r="F207" s="8" t="s">
        <v>47</v>
      </c>
    </row>
    <row r="208" spans="1:6" x14ac:dyDescent="0.3">
      <c r="A208" s="16">
        <v>1</v>
      </c>
      <c r="B208" s="16">
        <v>2</v>
      </c>
      <c r="C208" s="16" t="s">
        <v>84</v>
      </c>
      <c r="D208" s="19" t="s">
        <v>4</v>
      </c>
      <c r="E208" s="19" t="s">
        <v>45</v>
      </c>
      <c r="F208" s="19" t="s">
        <v>50</v>
      </c>
    </row>
    <row r="209" spans="1:6" x14ac:dyDescent="0.3">
      <c r="A209" s="11">
        <v>1</v>
      </c>
      <c r="B209" s="11">
        <v>1</v>
      </c>
      <c r="C209" s="11" t="s">
        <v>85</v>
      </c>
      <c r="D209" s="8" t="s">
        <v>44</v>
      </c>
      <c r="E209" s="8" t="s">
        <v>14</v>
      </c>
      <c r="F209" s="8" t="s">
        <v>50</v>
      </c>
    </row>
    <row r="210" spans="1:6" x14ac:dyDescent="0.3">
      <c r="A210" s="16">
        <v>1</v>
      </c>
      <c r="B210" s="18">
        <v>1</v>
      </c>
      <c r="C210" s="17" t="s">
        <v>85</v>
      </c>
      <c r="D210" s="12" t="s">
        <v>33</v>
      </c>
      <c r="E210" s="19" t="s">
        <v>46</v>
      </c>
      <c r="F210" s="19" t="s">
        <v>78</v>
      </c>
    </row>
    <row r="211" spans="1:6" x14ac:dyDescent="0.3">
      <c r="A211" s="11">
        <v>1</v>
      </c>
      <c r="B211" s="18">
        <v>2</v>
      </c>
      <c r="C211" s="18" t="s">
        <v>84</v>
      </c>
      <c r="D211" s="12" t="s">
        <v>33</v>
      </c>
      <c r="E211" s="8" t="s">
        <v>46</v>
      </c>
      <c r="F211" s="8" t="s">
        <v>71</v>
      </c>
    </row>
    <row r="212" spans="1:6" x14ac:dyDescent="0.3">
      <c r="A212" s="16">
        <v>1</v>
      </c>
      <c r="B212" s="16">
        <v>1</v>
      </c>
      <c r="C212" s="16" t="s">
        <v>85</v>
      </c>
      <c r="D212" s="19" t="s">
        <v>4</v>
      </c>
      <c r="E212" s="19" t="s">
        <v>45</v>
      </c>
      <c r="F212" s="19" t="s">
        <v>48</v>
      </c>
    </row>
    <row r="213" spans="1:6" x14ac:dyDescent="0.3">
      <c r="A213" s="11">
        <v>1</v>
      </c>
      <c r="B213" s="11">
        <v>1</v>
      </c>
      <c r="C213" s="16" t="s">
        <v>85</v>
      </c>
      <c r="D213" s="8" t="s">
        <v>44</v>
      </c>
      <c r="E213" s="8" t="s">
        <v>13</v>
      </c>
      <c r="F213" s="8" t="s">
        <v>48</v>
      </c>
    </row>
    <row r="214" spans="1:6" x14ac:dyDescent="0.3">
      <c r="A214" s="16">
        <v>1</v>
      </c>
      <c r="B214" s="18">
        <v>1</v>
      </c>
      <c r="C214" s="17" t="s">
        <v>85</v>
      </c>
      <c r="D214" s="12" t="s">
        <v>33</v>
      </c>
      <c r="E214" s="19" t="s">
        <v>46</v>
      </c>
      <c r="F214" s="19" t="s">
        <v>76</v>
      </c>
    </row>
    <row r="215" spans="1:6" x14ac:dyDescent="0.3">
      <c r="A215" s="11">
        <v>1</v>
      </c>
      <c r="B215" s="18">
        <v>2</v>
      </c>
      <c r="C215" s="18" t="s">
        <v>84</v>
      </c>
      <c r="D215" s="12" t="s">
        <v>33</v>
      </c>
      <c r="E215" s="8" t="s">
        <v>46</v>
      </c>
      <c r="F215" s="8" t="s">
        <v>72</v>
      </c>
    </row>
    <row r="216" spans="1:6" x14ac:dyDescent="0.3">
      <c r="A216" s="16">
        <v>1</v>
      </c>
      <c r="B216" s="16">
        <v>1</v>
      </c>
      <c r="C216" s="16" t="s">
        <v>85</v>
      </c>
      <c r="D216" s="19" t="s">
        <v>4</v>
      </c>
      <c r="E216" s="19" t="s">
        <v>45</v>
      </c>
      <c r="F216" s="19" t="s">
        <v>49</v>
      </c>
    </row>
    <row r="217" spans="1:6" x14ac:dyDescent="0.3">
      <c r="A217" s="11">
        <v>1</v>
      </c>
      <c r="B217" s="11">
        <v>1</v>
      </c>
      <c r="C217" s="16" t="s">
        <v>85</v>
      </c>
      <c r="D217" s="8" t="s">
        <v>44</v>
      </c>
      <c r="E217" s="8" t="s">
        <v>13</v>
      </c>
      <c r="F217" s="8" t="s">
        <v>49</v>
      </c>
    </row>
    <row r="218" spans="1:6" x14ac:dyDescent="0.3">
      <c r="A218" s="16">
        <v>1</v>
      </c>
      <c r="B218" s="16">
        <v>1</v>
      </c>
      <c r="C218" s="16" t="s">
        <v>85</v>
      </c>
      <c r="D218" s="19" t="s">
        <v>4</v>
      </c>
      <c r="E218" s="19" t="s">
        <v>45</v>
      </c>
      <c r="F218" s="19" t="s">
        <v>51</v>
      </c>
    </row>
    <row r="219" spans="1:6" x14ac:dyDescent="0.3">
      <c r="A219" s="11">
        <v>1</v>
      </c>
      <c r="B219" s="11">
        <v>2</v>
      </c>
      <c r="C219" s="11" t="s">
        <v>84</v>
      </c>
      <c r="D219" s="8" t="s">
        <v>44</v>
      </c>
      <c r="E219" s="8" t="s">
        <v>14</v>
      </c>
      <c r="F219" s="8" t="s">
        <v>51</v>
      </c>
    </row>
    <row r="220" spans="1:6" x14ac:dyDescent="0.3">
      <c r="A220" s="8">
        <v>2</v>
      </c>
      <c r="B220" s="11">
        <v>1</v>
      </c>
      <c r="C220" s="8" t="s">
        <v>85</v>
      </c>
      <c r="D220" s="8" t="s">
        <v>4</v>
      </c>
      <c r="E220" s="8" t="s">
        <v>45</v>
      </c>
      <c r="F220" s="8" t="s">
        <v>56</v>
      </c>
    </row>
    <row r="221" spans="1:6" x14ac:dyDescent="0.3">
      <c r="A221" s="19">
        <v>2</v>
      </c>
      <c r="B221" s="16">
        <v>1</v>
      </c>
      <c r="C221" s="19" t="s">
        <v>85</v>
      </c>
      <c r="D221" s="19" t="s">
        <v>44</v>
      </c>
      <c r="E221" s="19" t="s">
        <v>13</v>
      </c>
      <c r="F221" s="19" t="s">
        <v>56</v>
      </c>
    </row>
    <row r="222" spans="1:6" x14ac:dyDescent="0.3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53</v>
      </c>
    </row>
    <row r="223" spans="1:6" x14ac:dyDescent="0.3">
      <c r="A223" s="19">
        <v>2</v>
      </c>
      <c r="B223" s="13">
        <v>2</v>
      </c>
      <c r="C223" s="13" t="s">
        <v>84</v>
      </c>
      <c r="D223" s="13" t="s">
        <v>33</v>
      </c>
      <c r="E223" s="19" t="s">
        <v>46</v>
      </c>
      <c r="F223" s="19" t="s">
        <v>52</v>
      </c>
    </row>
    <row r="224" spans="1:6" x14ac:dyDescent="0.3">
      <c r="A224" s="8">
        <v>2</v>
      </c>
      <c r="B224" s="11">
        <v>1</v>
      </c>
      <c r="C224" s="11" t="s">
        <v>85</v>
      </c>
      <c r="D224" s="8" t="s">
        <v>4</v>
      </c>
      <c r="E224" s="8" t="s">
        <v>45</v>
      </c>
      <c r="F224" s="8" t="s">
        <v>57</v>
      </c>
    </row>
    <row r="225" spans="1:6" x14ac:dyDescent="0.3">
      <c r="A225" s="19">
        <v>2</v>
      </c>
      <c r="B225" s="16">
        <v>1</v>
      </c>
      <c r="C225" s="16" t="s">
        <v>85</v>
      </c>
      <c r="D225" s="19" t="s">
        <v>44</v>
      </c>
      <c r="E225" s="19" t="s">
        <v>13</v>
      </c>
      <c r="F225" s="19" t="s">
        <v>57</v>
      </c>
    </row>
    <row r="226" spans="1:6" x14ac:dyDescent="0.3">
      <c r="A226" s="8">
        <v>2</v>
      </c>
      <c r="B226" s="11">
        <v>1</v>
      </c>
      <c r="C226" s="11" t="s">
        <v>85</v>
      </c>
      <c r="D226" s="8" t="s">
        <v>4</v>
      </c>
      <c r="E226" s="8" t="s">
        <v>45</v>
      </c>
      <c r="F226" s="8" t="s">
        <v>59</v>
      </c>
    </row>
    <row r="227" spans="1:6" x14ac:dyDescent="0.3">
      <c r="A227" s="19">
        <v>2</v>
      </c>
      <c r="B227" s="16">
        <v>2</v>
      </c>
      <c r="C227" s="16" t="s">
        <v>84</v>
      </c>
      <c r="D227" s="19" t="s">
        <v>44</v>
      </c>
      <c r="E227" s="19" t="s">
        <v>14</v>
      </c>
      <c r="F227" s="19" t="s">
        <v>59</v>
      </c>
    </row>
    <row r="228" spans="1:6" x14ac:dyDescent="0.3">
      <c r="A228" s="8">
        <v>2</v>
      </c>
      <c r="B228" s="13">
        <v>1</v>
      </c>
      <c r="C228" s="13" t="s">
        <v>85</v>
      </c>
      <c r="D228" s="13" t="s">
        <v>33</v>
      </c>
      <c r="E228" s="8" t="s">
        <v>46</v>
      </c>
      <c r="F228" s="8" t="s">
        <v>54</v>
      </c>
    </row>
    <row r="229" spans="1:6" x14ac:dyDescent="0.3">
      <c r="A229" s="19">
        <v>2</v>
      </c>
      <c r="B229" s="16">
        <v>2</v>
      </c>
      <c r="C229" s="16" t="s">
        <v>84</v>
      </c>
      <c r="D229" s="19" t="s">
        <v>4</v>
      </c>
      <c r="E229" s="19" t="s">
        <v>45</v>
      </c>
      <c r="F229" s="19" t="s">
        <v>58</v>
      </c>
    </row>
    <row r="230" spans="1:6" x14ac:dyDescent="0.3">
      <c r="A230" s="8">
        <v>2</v>
      </c>
      <c r="B230" s="11">
        <v>1</v>
      </c>
      <c r="C230" s="11" t="s">
        <v>85</v>
      </c>
      <c r="D230" s="8" t="s">
        <v>44</v>
      </c>
      <c r="E230" s="8" t="s">
        <v>14</v>
      </c>
      <c r="F230" s="8" t="s">
        <v>58</v>
      </c>
    </row>
    <row r="231" spans="1:6" x14ac:dyDescent="0.3">
      <c r="A231" s="19">
        <v>2</v>
      </c>
      <c r="B231" s="16">
        <v>1</v>
      </c>
      <c r="C231" s="16" t="s">
        <v>85</v>
      </c>
      <c r="D231" s="19" t="s">
        <v>4</v>
      </c>
      <c r="E231" s="19" t="s">
        <v>45</v>
      </c>
      <c r="F231" s="19" t="s">
        <v>55</v>
      </c>
    </row>
    <row r="232" spans="1:6" x14ac:dyDescent="0.3">
      <c r="A232" s="8">
        <v>2</v>
      </c>
      <c r="B232" s="11">
        <v>2</v>
      </c>
      <c r="C232" s="11" t="s">
        <v>84</v>
      </c>
      <c r="D232" s="8" t="s">
        <v>44</v>
      </c>
      <c r="E232" s="8" t="s">
        <v>14</v>
      </c>
      <c r="F232" s="8" t="s">
        <v>55</v>
      </c>
    </row>
    <row r="233" spans="1:6" x14ac:dyDescent="0.3">
      <c r="A233" s="19">
        <v>2</v>
      </c>
      <c r="B233" s="13">
        <v>2</v>
      </c>
      <c r="C233" s="13" t="s">
        <v>84</v>
      </c>
      <c r="D233" s="13" t="s">
        <v>33</v>
      </c>
      <c r="E233" s="19" t="s">
        <v>46</v>
      </c>
      <c r="F233" s="19" t="s">
        <v>47</v>
      </c>
    </row>
    <row r="234" spans="1:6" x14ac:dyDescent="0.3">
      <c r="A234" s="8">
        <v>2</v>
      </c>
      <c r="B234" s="13">
        <v>1</v>
      </c>
      <c r="C234" s="13" t="s">
        <v>85</v>
      </c>
      <c r="D234" s="13" t="s">
        <v>33</v>
      </c>
      <c r="E234" s="8" t="s">
        <v>46</v>
      </c>
      <c r="F234" s="8" t="s">
        <v>50</v>
      </c>
    </row>
    <row r="235" spans="1:6" x14ac:dyDescent="0.3">
      <c r="A235" s="19">
        <v>2</v>
      </c>
      <c r="B235" s="16">
        <v>2</v>
      </c>
      <c r="C235" s="16" t="s">
        <v>84</v>
      </c>
      <c r="D235" s="19" t="s">
        <v>4</v>
      </c>
      <c r="E235" s="19" t="s">
        <v>45</v>
      </c>
      <c r="F235" s="19" t="s">
        <v>61</v>
      </c>
    </row>
    <row r="236" spans="1:6" x14ac:dyDescent="0.3">
      <c r="A236" s="8">
        <v>2</v>
      </c>
      <c r="B236" s="11">
        <v>2</v>
      </c>
      <c r="C236" s="11" t="s">
        <v>84</v>
      </c>
      <c r="D236" s="8" t="s">
        <v>44</v>
      </c>
      <c r="E236" s="8" t="s">
        <v>13</v>
      </c>
      <c r="F236" s="8" t="s">
        <v>61</v>
      </c>
    </row>
    <row r="237" spans="1:6" x14ac:dyDescent="0.3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48</v>
      </c>
    </row>
    <row r="238" spans="1:6" x14ac:dyDescent="0.3">
      <c r="A238" s="8">
        <v>2</v>
      </c>
      <c r="B238" s="11">
        <v>2</v>
      </c>
      <c r="C238" s="11" t="s">
        <v>84</v>
      </c>
      <c r="D238" s="8" t="s">
        <v>4</v>
      </c>
      <c r="E238" s="8" t="s">
        <v>45</v>
      </c>
      <c r="F238" s="8" t="s">
        <v>62</v>
      </c>
    </row>
    <row r="239" spans="1:6" x14ac:dyDescent="0.3">
      <c r="A239" s="19">
        <v>2</v>
      </c>
      <c r="B239" s="16">
        <v>2</v>
      </c>
      <c r="C239" s="16" t="s">
        <v>84</v>
      </c>
      <c r="D239" s="19" t="s">
        <v>44</v>
      </c>
      <c r="E239" s="19" t="s">
        <v>13</v>
      </c>
      <c r="F239" s="19" t="s">
        <v>62</v>
      </c>
    </row>
    <row r="240" spans="1:6" x14ac:dyDescent="0.3">
      <c r="A240" s="8">
        <v>2</v>
      </c>
      <c r="B240" s="11">
        <v>2</v>
      </c>
      <c r="C240" s="11" t="s">
        <v>84</v>
      </c>
      <c r="D240" s="8" t="s">
        <v>4</v>
      </c>
      <c r="E240" s="8" t="s">
        <v>45</v>
      </c>
      <c r="F240" s="8" t="s">
        <v>60</v>
      </c>
    </row>
    <row r="241" spans="1:6" x14ac:dyDescent="0.3">
      <c r="A241" s="19">
        <v>2</v>
      </c>
      <c r="B241" s="16">
        <v>1</v>
      </c>
      <c r="C241" s="16" t="s">
        <v>85</v>
      </c>
      <c r="D241" s="19" t="s">
        <v>44</v>
      </c>
      <c r="E241" s="19" t="s">
        <v>14</v>
      </c>
      <c r="F241" s="19" t="s">
        <v>60</v>
      </c>
    </row>
    <row r="242" spans="1:6" x14ac:dyDescent="0.3">
      <c r="A242" s="8">
        <v>2</v>
      </c>
      <c r="B242" s="13">
        <v>1</v>
      </c>
      <c r="C242" s="13" t="s">
        <v>85</v>
      </c>
      <c r="D242" s="13" t="s">
        <v>33</v>
      </c>
      <c r="E242" s="8" t="s">
        <v>46</v>
      </c>
      <c r="F242" s="8" t="s">
        <v>49</v>
      </c>
    </row>
    <row r="243" spans="1:6" x14ac:dyDescent="0.3">
      <c r="A243" s="19">
        <v>2</v>
      </c>
      <c r="B243" s="13">
        <v>2</v>
      </c>
      <c r="C243" s="13" t="s">
        <v>84</v>
      </c>
      <c r="D243" s="13" t="s">
        <v>33</v>
      </c>
      <c r="E243" s="19" t="s">
        <v>46</v>
      </c>
      <c r="F243" s="19" t="s">
        <v>51</v>
      </c>
    </row>
    <row r="244" spans="1:6" x14ac:dyDescent="0.3">
      <c r="A244" s="16">
        <v>3</v>
      </c>
      <c r="B244" s="16">
        <v>1</v>
      </c>
      <c r="C244" s="16" t="s">
        <v>85</v>
      </c>
      <c r="D244" s="19" t="s">
        <v>4</v>
      </c>
      <c r="E244" s="19" t="s">
        <v>45</v>
      </c>
      <c r="F244" s="19" t="s">
        <v>66</v>
      </c>
    </row>
    <row r="245" spans="1:6" x14ac:dyDescent="0.3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66</v>
      </c>
    </row>
    <row r="246" spans="1:6" x14ac:dyDescent="0.3">
      <c r="A246" s="16">
        <v>3</v>
      </c>
      <c r="B246" s="14">
        <v>2</v>
      </c>
      <c r="C246" s="14" t="s">
        <v>84</v>
      </c>
      <c r="D246" s="14" t="s">
        <v>33</v>
      </c>
      <c r="E246" s="19" t="s">
        <v>46</v>
      </c>
      <c r="F246" s="19" t="s">
        <v>56</v>
      </c>
    </row>
    <row r="247" spans="1:6" x14ac:dyDescent="0.3">
      <c r="A247" s="11">
        <v>3</v>
      </c>
      <c r="B247" s="14">
        <v>1</v>
      </c>
      <c r="C247" s="14" t="s">
        <v>85</v>
      </c>
      <c r="D247" s="14" t="s">
        <v>33</v>
      </c>
      <c r="E247" s="8" t="s">
        <v>46</v>
      </c>
      <c r="F247" s="8" t="s">
        <v>57</v>
      </c>
    </row>
    <row r="248" spans="1:6" x14ac:dyDescent="0.3">
      <c r="A248" s="16">
        <v>3</v>
      </c>
      <c r="B248" s="16">
        <v>2</v>
      </c>
      <c r="C248" s="16" t="s">
        <v>84</v>
      </c>
      <c r="D248" s="19" t="s">
        <v>4</v>
      </c>
      <c r="E248" s="19" t="s">
        <v>45</v>
      </c>
      <c r="F248" s="19" t="s">
        <v>69</v>
      </c>
    </row>
    <row r="249" spans="1:6" x14ac:dyDescent="0.3">
      <c r="A249" s="11">
        <v>3</v>
      </c>
      <c r="B249" s="11">
        <v>1</v>
      </c>
      <c r="C249" s="11" t="s">
        <v>85</v>
      </c>
      <c r="D249" s="8" t="s">
        <v>44</v>
      </c>
      <c r="E249" s="8" t="s">
        <v>14</v>
      </c>
      <c r="F249" s="8" t="s">
        <v>69</v>
      </c>
    </row>
    <row r="250" spans="1:6" x14ac:dyDescent="0.3">
      <c r="A250" s="16">
        <v>3</v>
      </c>
      <c r="B250" s="16">
        <v>1</v>
      </c>
      <c r="C250" s="16" t="s">
        <v>85</v>
      </c>
      <c r="D250" s="19" t="s">
        <v>4</v>
      </c>
      <c r="E250" s="19" t="s">
        <v>45</v>
      </c>
      <c r="F250" s="19" t="s">
        <v>64</v>
      </c>
    </row>
    <row r="251" spans="1:6" x14ac:dyDescent="0.3">
      <c r="A251" s="11">
        <v>3</v>
      </c>
      <c r="B251" s="11">
        <v>2</v>
      </c>
      <c r="C251" s="11" t="s">
        <v>84</v>
      </c>
      <c r="D251" s="8" t="s">
        <v>44</v>
      </c>
      <c r="E251" s="8" t="s">
        <v>14</v>
      </c>
      <c r="F251" s="8" t="s">
        <v>64</v>
      </c>
    </row>
    <row r="252" spans="1:6" x14ac:dyDescent="0.3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59</v>
      </c>
    </row>
    <row r="253" spans="1:6" x14ac:dyDescent="0.3">
      <c r="A253" s="11">
        <v>3</v>
      </c>
      <c r="B253" s="11">
        <v>2</v>
      </c>
      <c r="C253" s="11" t="s">
        <v>84</v>
      </c>
      <c r="D253" s="8" t="s">
        <v>4</v>
      </c>
      <c r="E253" s="8" t="s">
        <v>45</v>
      </c>
      <c r="F253" s="8" t="s">
        <v>68</v>
      </c>
    </row>
    <row r="254" spans="1:6" x14ac:dyDescent="0.3">
      <c r="A254" s="16">
        <v>3</v>
      </c>
      <c r="B254" s="16">
        <v>2</v>
      </c>
      <c r="C254" s="16" t="s">
        <v>84</v>
      </c>
      <c r="D254" s="19" t="s">
        <v>44</v>
      </c>
      <c r="E254" s="19" t="s">
        <v>13</v>
      </c>
      <c r="F254" s="19" t="s">
        <v>68</v>
      </c>
    </row>
    <row r="255" spans="1:6" x14ac:dyDescent="0.3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58</v>
      </c>
    </row>
    <row r="256" spans="1:6" x14ac:dyDescent="0.3">
      <c r="A256" s="16">
        <v>3</v>
      </c>
      <c r="B256" s="14">
        <v>2</v>
      </c>
      <c r="C256" s="14" t="s">
        <v>84</v>
      </c>
      <c r="D256" s="14" t="s">
        <v>33</v>
      </c>
      <c r="E256" s="19" t="s">
        <v>46</v>
      </c>
      <c r="F256" s="19" t="s">
        <v>55</v>
      </c>
    </row>
    <row r="257" spans="1:6" x14ac:dyDescent="0.3">
      <c r="A257" s="11">
        <v>3</v>
      </c>
      <c r="B257" s="14">
        <v>1</v>
      </c>
      <c r="C257" s="14" t="s">
        <v>85</v>
      </c>
      <c r="D257" s="14" t="s">
        <v>33</v>
      </c>
      <c r="E257" s="8" t="s">
        <v>46</v>
      </c>
      <c r="F257" s="8" t="s">
        <v>61</v>
      </c>
    </row>
    <row r="258" spans="1:6" x14ac:dyDescent="0.3">
      <c r="A258" s="16">
        <v>3</v>
      </c>
      <c r="B258" s="16">
        <v>2</v>
      </c>
      <c r="C258" s="16" t="s">
        <v>84</v>
      </c>
      <c r="D258" s="19" t="s">
        <v>4</v>
      </c>
      <c r="E258" s="19" t="s">
        <v>45</v>
      </c>
      <c r="F258" s="19" t="s">
        <v>70</v>
      </c>
    </row>
    <row r="259" spans="1:6" x14ac:dyDescent="0.3">
      <c r="A259" s="11">
        <v>3</v>
      </c>
      <c r="B259" s="11">
        <v>2</v>
      </c>
      <c r="C259" s="11" t="s">
        <v>84</v>
      </c>
      <c r="D259" s="8" t="s">
        <v>44</v>
      </c>
      <c r="E259" s="8" t="s">
        <v>13</v>
      </c>
      <c r="F259" s="8" t="s">
        <v>70</v>
      </c>
    </row>
    <row r="260" spans="1:6" x14ac:dyDescent="0.3">
      <c r="A260" s="16">
        <v>3</v>
      </c>
      <c r="B260" s="16">
        <v>2</v>
      </c>
      <c r="C260" s="16" t="s">
        <v>84</v>
      </c>
      <c r="D260" s="19" t="s">
        <v>4</v>
      </c>
      <c r="E260" s="19" t="s">
        <v>45</v>
      </c>
      <c r="F260" s="19" t="s">
        <v>67</v>
      </c>
    </row>
    <row r="261" spans="1:6" x14ac:dyDescent="0.3">
      <c r="A261" s="11">
        <v>3</v>
      </c>
      <c r="B261" s="11">
        <v>1</v>
      </c>
      <c r="C261" s="11" t="s">
        <v>85</v>
      </c>
      <c r="D261" s="8" t="s">
        <v>44</v>
      </c>
      <c r="E261" s="8" t="s">
        <v>14</v>
      </c>
      <c r="F261" s="8" t="s">
        <v>67</v>
      </c>
    </row>
    <row r="262" spans="1:6" x14ac:dyDescent="0.3">
      <c r="A262" s="11">
        <v>3</v>
      </c>
      <c r="B262" s="11">
        <v>1</v>
      </c>
      <c r="C262" s="11" t="s">
        <v>85</v>
      </c>
      <c r="D262" s="8" t="s">
        <v>4</v>
      </c>
      <c r="E262" s="8" t="s">
        <v>45</v>
      </c>
      <c r="F262" s="8" t="s">
        <v>65</v>
      </c>
    </row>
    <row r="263" spans="1:6" x14ac:dyDescent="0.3">
      <c r="A263" s="16">
        <v>3</v>
      </c>
      <c r="B263" s="16">
        <v>1</v>
      </c>
      <c r="C263" s="16" t="s">
        <v>85</v>
      </c>
      <c r="D263" s="19" t="s">
        <v>44</v>
      </c>
      <c r="E263" s="19" t="s">
        <v>13</v>
      </c>
      <c r="F263" s="19" t="s">
        <v>65</v>
      </c>
    </row>
    <row r="264" spans="1:6" x14ac:dyDescent="0.3">
      <c r="A264" s="11">
        <v>3</v>
      </c>
      <c r="B264" s="14">
        <v>2</v>
      </c>
      <c r="C264" s="14" t="s">
        <v>84</v>
      </c>
      <c r="D264" s="14" t="s">
        <v>33</v>
      </c>
      <c r="E264" s="8" t="s">
        <v>46</v>
      </c>
      <c r="F264" s="8" t="s">
        <v>60</v>
      </c>
    </row>
    <row r="265" spans="1:6" x14ac:dyDescent="0.3">
      <c r="A265" s="16">
        <v>3</v>
      </c>
      <c r="B265" s="16">
        <v>1</v>
      </c>
      <c r="C265" s="16" t="s">
        <v>85</v>
      </c>
      <c r="D265" s="19" t="s">
        <v>4</v>
      </c>
      <c r="E265" s="19" t="s">
        <v>45</v>
      </c>
      <c r="F265" s="19" t="s">
        <v>63</v>
      </c>
    </row>
    <row r="266" spans="1:6" x14ac:dyDescent="0.3">
      <c r="A266" s="11">
        <v>3</v>
      </c>
      <c r="B266" s="11">
        <v>1</v>
      </c>
      <c r="C266" s="11" t="s">
        <v>85</v>
      </c>
      <c r="D266" s="8" t="s">
        <v>44</v>
      </c>
      <c r="E266" s="8" t="s">
        <v>13</v>
      </c>
      <c r="F266" s="8" t="s">
        <v>63</v>
      </c>
    </row>
    <row r="267" spans="1:6" x14ac:dyDescent="0.3">
      <c r="A267" s="16">
        <v>3</v>
      </c>
      <c r="B267" s="14">
        <v>2</v>
      </c>
      <c r="C267" s="14" t="s">
        <v>84</v>
      </c>
      <c r="D267" s="14" t="s">
        <v>33</v>
      </c>
      <c r="E267" s="19" t="s">
        <v>46</v>
      </c>
      <c r="F267" s="19" t="s">
        <v>62</v>
      </c>
    </row>
    <row r="268" spans="1:6" x14ac:dyDescent="0.3">
      <c r="A268" s="8">
        <v>4</v>
      </c>
      <c r="B268" s="11">
        <v>1</v>
      </c>
      <c r="C268" s="11" t="s">
        <v>85</v>
      </c>
      <c r="D268" s="8" t="s">
        <v>4</v>
      </c>
      <c r="E268" s="8" t="s">
        <v>45</v>
      </c>
      <c r="F268" s="8" t="s">
        <v>75</v>
      </c>
    </row>
    <row r="269" spans="1:6" x14ac:dyDescent="0.3">
      <c r="A269" s="19">
        <v>4</v>
      </c>
      <c r="B269" s="16">
        <v>1</v>
      </c>
      <c r="C269" s="16" t="s">
        <v>85</v>
      </c>
      <c r="D269" s="19" t="s">
        <v>44</v>
      </c>
      <c r="E269" s="19" t="s">
        <v>13</v>
      </c>
      <c r="F269" s="19" t="s">
        <v>75</v>
      </c>
    </row>
    <row r="270" spans="1:6" x14ac:dyDescent="0.3">
      <c r="A270" s="8">
        <v>4</v>
      </c>
      <c r="B270" s="15">
        <v>2</v>
      </c>
      <c r="C270" s="15" t="s">
        <v>84</v>
      </c>
      <c r="D270" s="15" t="s">
        <v>33</v>
      </c>
      <c r="E270" s="8" t="s">
        <v>46</v>
      </c>
      <c r="F270" s="8" t="s">
        <v>66</v>
      </c>
    </row>
    <row r="271" spans="1:6" x14ac:dyDescent="0.3">
      <c r="A271" s="19">
        <v>4</v>
      </c>
      <c r="B271" s="16">
        <v>1</v>
      </c>
      <c r="C271" s="16" t="s">
        <v>85</v>
      </c>
      <c r="D271" s="19" t="s">
        <v>4</v>
      </c>
      <c r="E271" s="19" t="s">
        <v>45</v>
      </c>
      <c r="F271" s="19" t="s">
        <v>73</v>
      </c>
    </row>
    <row r="272" spans="1:6" x14ac:dyDescent="0.3">
      <c r="A272" s="8">
        <v>4</v>
      </c>
      <c r="B272" s="11">
        <v>2</v>
      </c>
      <c r="C272" s="11" t="s">
        <v>84</v>
      </c>
      <c r="D272" s="8" t="s">
        <v>44</v>
      </c>
      <c r="E272" s="8" t="s">
        <v>14</v>
      </c>
      <c r="F272" s="8" t="s">
        <v>73</v>
      </c>
    </row>
    <row r="273" spans="1:6" x14ac:dyDescent="0.3">
      <c r="A273" s="19">
        <v>4</v>
      </c>
      <c r="B273" s="16">
        <v>2</v>
      </c>
      <c r="C273" s="16" t="s">
        <v>84</v>
      </c>
      <c r="D273" s="19" t="s">
        <v>4</v>
      </c>
      <c r="E273" s="19" t="s">
        <v>45</v>
      </c>
      <c r="F273" s="19" t="s">
        <v>77</v>
      </c>
    </row>
    <row r="274" spans="1:6" x14ac:dyDescent="0.3">
      <c r="A274" s="8">
        <v>4</v>
      </c>
      <c r="B274" s="11">
        <v>2</v>
      </c>
      <c r="C274" s="11" t="s">
        <v>84</v>
      </c>
      <c r="D274" s="8" t="s">
        <v>44</v>
      </c>
      <c r="E274" s="8" t="s">
        <v>13</v>
      </c>
      <c r="F274" s="8" t="s">
        <v>77</v>
      </c>
    </row>
    <row r="275" spans="1:6" x14ac:dyDescent="0.3">
      <c r="A275" s="19">
        <v>4</v>
      </c>
      <c r="B275" s="15">
        <v>1</v>
      </c>
      <c r="C275" s="15" t="s">
        <v>85</v>
      </c>
      <c r="D275" s="15" t="s">
        <v>33</v>
      </c>
      <c r="E275" s="19" t="s">
        <v>46</v>
      </c>
      <c r="F275" s="19" t="s">
        <v>69</v>
      </c>
    </row>
    <row r="276" spans="1:6" x14ac:dyDescent="0.3">
      <c r="A276" s="8">
        <v>4</v>
      </c>
      <c r="B276" s="15">
        <v>2</v>
      </c>
      <c r="C276" s="15" t="s">
        <v>84</v>
      </c>
      <c r="D276" s="15" t="s">
        <v>33</v>
      </c>
      <c r="E276" s="8" t="s">
        <v>46</v>
      </c>
      <c r="F276" s="8" t="s">
        <v>64</v>
      </c>
    </row>
    <row r="277" spans="1:6" x14ac:dyDescent="0.3">
      <c r="A277" s="19">
        <v>4</v>
      </c>
      <c r="B277" s="16">
        <v>2</v>
      </c>
      <c r="C277" s="16" t="s">
        <v>84</v>
      </c>
      <c r="D277" s="19" t="s">
        <v>4</v>
      </c>
      <c r="E277" s="19" t="s">
        <v>45</v>
      </c>
      <c r="F277" s="19" t="s">
        <v>74</v>
      </c>
    </row>
    <row r="278" spans="1:6" x14ac:dyDescent="0.3">
      <c r="A278" s="8">
        <v>4</v>
      </c>
      <c r="B278" s="11">
        <v>1</v>
      </c>
      <c r="C278" s="11" t="s">
        <v>85</v>
      </c>
      <c r="D278" s="8" t="s">
        <v>44</v>
      </c>
      <c r="E278" s="8" t="s">
        <v>14</v>
      </c>
      <c r="F278" s="8" t="s">
        <v>74</v>
      </c>
    </row>
    <row r="279" spans="1:6" x14ac:dyDescent="0.3">
      <c r="A279" s="19">
        <v>4</v>
      </c>
      <c r="B279" s="16">
        <v>1</v>
      </c>
      <c r="C279" s="16" t="s">
        <v>85</v>
      </c>
      <c r="D279" s="19" t="s">
        <v>4</v>
      </c>
      <c r="E279" s="19" t="s">
        <v>45</v>
      </c>
      <c r="F279" s="19" t="s">
        <v>78</v>
      </c>
    </row>
    <row r="280" spans="1:6" x14ac:dyDescent="0.3">
      <c r="A280" s="8">
        <v>4</v>
      </c>
      <c r="B280" s="11">
        <v>2</v>
      </c>
      <c r="C280" s="11" t="s">
        <v>84</v>
      </c>
      <c r="D280" s="8" t="s">
        <v>44</v>
      </c>
      <c r="E280" s="8" t="s">
        <v>14</v>
      </c>
      <c r="F280" s="8" t="s">
        <v>78</v>
      </c>
    </row>
    <row r="281" spans="1:6" x14ac:dyDescent="0.3">
      <c r="A281" s="19">
        <v>4</v>
      </c>
      <c r="B281" s="15">
        <v>1</v>
      </c>
      <c r="C281" s="15" t="s">
        <v>85</v>
      </c>
      <c r="D281" s="15" t="s">
        <v>33</v>
      </c>
      <c r="E281" s="19" t="s">
        <v>46</v>
      </c>
      <c r="F281" s="19" t="s">
        <v>68</v>
      </c>
    </row>
    <row r="282" spans="1:6" x14ac:dyDescent="0.3">
      <c r="A282" s="8">
        <v>4</v>
      </c>
      <c r="B282" s="11">
        <v>2</v>
      </c>
      <c r="C282" s="11" t="s">
        <v>84</v>
      </c>
      <c r="D282" s="8" t="s">
        <v>4</v>
      </c>
      <c r="E282" s="8" t="s">
        <v>45</v>
      </c>
      <c r="F282" s="8" t="s">
        <v>71</v>
      </c>
    </row>
    <row r="283" spans="1:6" x14ac:dyDescent="0.3">
      <c r="A283" s="19">
        <v>4</v>
      </c>
      <c r="B283" s="16">
        <v>2</v>
      </c>
      <c r="C283" s="16" t="s">
        <v>84</v>
      </c>
      <c r="D283" s="19" t="s">
        <v>44</v>
      </c>
      <c r="E283" s="19" t="s">
        <v>13</v>
      </c>
      <c r="F283" s="19" t="s">
        <v>71</v>
      </c>
    </row>
    <row r="284" spans="1:6" x14ac:dyDescent="0.3">
      <c r="A284" s="8">
        <v>4</v>
      </c>
      <c r="B284" s="15">
        <v>1</v>
      </c>
      <c r="C284" s="15" t="s">
        <v>85</v>
      </c>
      <c r="D284" s="15" t="s">
        <v>33</v>
      </c>
      <c r="E284" s="8" t="s">
        <v>46</v>
      </c>
      <c r="F284" s="8" t="s">
        <v>70</v>
      </c>
    </row>
    <row r="285" spans="1:6" x14ac:dyDescent="0.3">
      <c r="A285" s="19">
        <v>4</v>
      </c>
      <c r="B285" s="16">
        <v>2</v>
      </c>
      <c r="C285" s="16" t="s">
        <v>84</v>
      </c>
      <c r="D285" s="19" t="s">
        <v>4</v>
      </c>
      <c r="E285" s="19" t="s">
        <v>45</v>
      </c>
      <c r="F285" s="19" t="s">
        <v>76</v>
      </c>
    </row>
    <row r="286" spans="1:6" x14ac:dyDescent="0.3">
      <c r="A286" s="8">
        <v>4</v>
      </c>
      <c r="B286" s="11">
        <v>1</v>
      </c>
      <c r="C286" s="11" t="s">
        <v>85</v>
      </c>
      <c r="D286" s="8" t="s">
        <v>44</v>
      </c>
      <c r="E286" s="8" t="s">
        <v>14</v>
      </c>
      <c r="F286" s="8" t="s">
        <v>76</v>
      </c>
    </row>
    <row r="287" spans="1:6" x14ac:dyDescent="0.3">
      <c r="A287" s="19">
        <v>4</v>
      </c>
      <c r="B287" s="16">
        <v>1</v>
      </c>
      <c r="C287" s="16" t="s">
        <v>85</v>
      </c>
      <c r="D287" s="19" t="s">
        <v>4</v>
      </c>
      <c r="E287" s="19" t="s">
        <v>45</v>
      </c>
      <c r="F287" s="19" t="s">
        <v>72</v>
      </c>
    </row>
    <row r="288" spans="1:6" x14ac:dyDescent="0.3">
      <c r="A288" s="8">
        <v>4</v>
      </c>
      <c r="B288" s="11">
        <v>1</v>
      </c>
      <c r="C288" s="11" t="s">
        <v>85</v>
      </c>
      <c r="D288" s="8" t="s">
        <v>44</v>
      </c>
      <c r="E288" s="8" t="s">
        <v>13</v>
      </c>
      <c r="F288" s="8" t="s">
        <v>72</v>
      </c>
    </row>
    <row r="289" spans="1:6" x14ac:dyDescent="0.3">
      <c r="A289" s="19">
        <v>4</v>
      </c>
      <c r="B289" s="15">
        <v>2</v>
      </c>
      <c r="C289" s="15" t="s">
        <v>84</v>
      </c>
      <c r="D289" s="15" t="s">
        <v>33</v>
      </c>
      <c r="E289" s="19" t="s">
        <v>46</v>
      </c>
      <c r="F289" s="19" t="s">
        <v>67</v>
      </c>
    </row>
    <row r="290" spans="1:6" x14ac:dyDescent="0.3">
      <c r="A290" s="8">
        <v>4</v>
      </c>
      <c r="B290" s="15">
        <v>1</v>
      </c>
      <c r="C290" s="15" t="s">
        <v>85</v>
      </c>
      <c r="D290" s="15" t="s">
        <v>33</v>
      </c>
      <c r="E290" s="8" t="s">
        <v>46</v>
      </c>
      <c r="F290" s="8" t="s">
        <v>65</v>
      </c>
    </row>
    <row r="291" spans="1:6" x14ac:dyDescent="0.3">
      <c r="A291" s="19">
        <v>4</v>
      </c>
      <c r="B291" s="15">
        <v>2</v>
      </c>
      <c r="C291" s="15" t="s">
        <v>84</v>
      </c>
      <c r="D291" s="15" t="s">
        <v>33</v>
      </c>
      <c r="E291" s="19" t="s">
        <v>46</v>
      </c>
      <c r="F291" s="19" t="s">
        <v>63</v>
      </c>
    </row>
    <row r="292" spans="1:6" x14ac:dyDescent="0.3">
      <c r="A292" t="s">
        <v>29</v>
      </c>
    </row>
    <row r="293" spans="1:6" x14ac:dyDescent="0.3">
      <c r="A293" s="16">
        <v>1</v>
      </c>
      <c r="B293" s="18">
        <v>2</v>
      </c>
      <c r="C293" s="17" t="s">
        <v>84</v>
      </c>
      <c r="D293" s="12" t="s">
        <v>33</v>
      </c>
      <c r="E293" s="19" t="s">
        <v>46</v>
      </c>
      <c r="F293" s="19" t="s">
        <v>73</v>
      </c>
    </row>
    <row r="294" spans="1:6" x14ac:dyDescent="0.3">
      <c r="A294" s="11">
        <v>1</v>
      </c>
      <c r="B294" s="8">
        <v>2</v>
      </c>
      <c r="C294" s="8" t="s">
        <v>84</v>
      </c>
      <c r="D294" s="8" t="s">
        <v>4</v>
      </c>
      <c r="E294" s="8" t="s">
        <v>45</v>
      </c>
      <c r="F294" s="8" t="s">
        <v>51</v>
      </c>
    </row>
    <row r="295" spans="1:6" x14ac:dyDescent="0.3">
      <c r="A295" s="16">
        <v>1</v>
      </c>
      <c r="B295" s="19">
        <v>2</v>
      </c>
      <c r="C295" s="19" t="s">
        <v>84</v>
      </c>
      <c r="D295" s="19" t="s">
        <v>44</v>
      </c>
      <c r="E295" s="19" t="s">
        <v>13</v>
      </c>
      <c r="F295" s="19" t="s">
        <v>51</v>
      </c>
    </row>
    <row r="296" spans="1:6" x14ac:dyDescent="0.3">
      <c r="A296" s="11">
        <v>1</v>
      </c>
      <c r="B296" s="18">
        <v>1</v>
      </c>
      <c r="C296" s="18" t="s">
        <v>85</v>
      </c>
      <c r="D296" s="12" t="s">
        <v>33</v>
      </c>
      <c r="E296" s="8" t="s">
        <v>46</v>
      </c>
      <c r="F296" s="8" t="s">
        <v>76</v>
      </c>
    </row>
    <row r="297" spans="1:6" x14ac:dyDescent="0.3">
      <c r="A297" s="16">
        <v>1</v>
      </c>
      <c r="B297" s="18">
        <v>2</v>
      </c>
      <c r="C297" s="17" t="s">
        <v>84</v>
      </c>
      <c r="D297" s="12" t="s">
        <v>33</v>
      </c>
      <c r="E297" s="19" t="s">
        <v>46</v>
      </c>
      <c r="F297" s="19" t="s">
        <v>74</v>
      </c>
    </row>
    <row r="298" spans="1:6" x14ac:dyDescent="0.3">
      <c r="A298" s="11">
        <v>1</v>
      </c>
      <c r="B298" s="18">
        <v>1</v>
      </c>
      <c r="C298" s="18" t="s">
        <v>85</v>
      </c>
      <c r="D298" s="12" t="s">
        <v>33</v>
      </c>
      <c r="E298" s="8" t="s">
        <v>46</v>
      </c>
      <c r="F298" s="8" t="s">
        <v>78</v>
      </c>
    </row>
    <row r="299" spans="1:6" x14ac:dyDescent="0.3">
      <c r="A299" s="16">
        <v>1</v>
      </c>
      <c r="B299" s="19">
        <v>2</v>
      </c>
      <c r="C299" s="19" t="s">
        <v>84</v>
      </c>
      <c r="D299" s="19" t="s">
        <v>4</v>
      </c>
      <c r="E299" s="19" t="s">
        <v>45</v>
      </c>
      <c r="F299" s="19" t="s">
        <v>54</v>
      </c>
    </row>
    <row r="300" spans="1:6" x14ac:dyDescent="0.3">
      <c r="A300" s="11">
        <v>1</v>
      </c>
      <c r="B300" s="8">
        <v>2</v>
      </c>
      <c r="C300" s="19" t="s">
        <v>84</v>
      </c>
      <c r="D300" s="8" t="s">
        <v>44</v>
      </c>
      <c r="E300" s="8" t="s">
        <v>13</v>
      </c>
      <c r="F300" s="8" t="s">
        <v>54</v>
      </c>
    </row>
    <row r="301" spans="1:6" x14ac:dyDescent="0.3">
      <c r="A301" s="16">
        <v>1</v>
      </c>
      <c r="B301" s="19">
        <v>2</v>
      </c>
      <c r="C301" s="19" t="s">
        <v>84</v>
      </c>
      <c r="D301" s="19" t="s">
        <v>4</v>
      </c>
      <c r="E301" s="19" t="s">
        <v>45</v>
      </c>
      <c r="F301" s="19" t="s">
        <v>53</v>
      </c>
    </row>
    <row r="302" spans="1:6" x14ac:dyDescent="0.3">
      <c r="A302" s="11">
        <v>1</v>
      </c>
      <c r="B302" s="8">
        <v>1</v>
      </c>
      <c r="C302" s="8" t="s">
        <v>85</v>
      </c>
      <c r="D302" s="8" t="s">
        <v>44</v>
      </c>
      <c r="E302" s="8" t="s">
        <v>14</v>
      </c>
      <c r="F302" s="8" t="s">
        <v>53</v>
      </c>
    </row>
    <row r="303" spans="1:6" x14ac:dyDescent="0.3">
      <c r="A303" s="16">
        <v>1</v>
      </c>
      <c r="B303" s="18">
        <v>1</v>
      </c>
      <c r="C303" s="17" t="s">
        <v>85</v>
      </c>
      <c r="D303" s="12" t="s">
        <v>33</v>
      </c>
      <c r="E303" s="19" t="s">
        <v>46</v>
      </c>
      <c r="F303" s="19" t="s">
        <v>75</v>
      </c>
    </row>
    <row r="304" spans="1:6" x14ac:dyDescent="0.3">
      <c r="A304" s="11">
        <v>1</v>
      </c>
      <c r="B304" s="8">
        <v>1</v>
      </c>
      <c r="C304" s="8" t="s">
        <v>85</v>
      </c>
      <c r="D304" s="8" t="s">
        <v>4</v>
      </c>
      <c r="E304" s="8" t="s">
        <v>45</v>
      </c>
      <c r="F304" s="8" t="s">
        <v>49</v>
      </c>
    </row>
    <row r="305" spans="1:12" x14ac:dyDescent="0.3">
      <c r="A305" s="16">
        <v>1</v>
      </c>
      <c r="B305" s="19">
        <v>2</v>
      </c>
      <c r="C305" s="19" t="s">
        <v>84</v>
      </c>
      <c r="D305" s="19" t="s">
        <v>44</v>
      </c>
      <c r="E305" s="19" t="s">
        <v>14</v>
      </c>
      <c r="F305" s="19" t="s">
        <v>49</v>
      </c>
    </row>
    <row r="306" spans="1:12" x14ac:dyDescent="0.3">
      <c r="A306" s="11">
        <v>1</v>
      </c>
      <c r="B306" s="8">
        <v>2</v>
      </c>
      <c r="C306" s="8" t="s">
        <v>84</v>
      </c>
      <c r="D306" s="8" t="s">
        <v>4</v>
      </c>
      <c r="E306" s="8" t="s">
        <v>45</v>
      </c>
      <c r="F306" s="8" t="s">
        <v>48</v>
      </c>
    </row>
    <row r="307" spans="1:12" x14ac:dyDescent="0.3">
      <c r="A307" s="16">
        <v>1</v>
      </c>
      <c r="B307" s="19">
        <v>1</v>
      </c>
      <c r="C307" s="19" t="s">
        <v>85</v>
      </c>
      <c r="D307" s="19" t="s">
        <v>44</v>
      </c>
      <c r="E307" s="19" t="s">
        <v>14</v>
      </c>
      <c r="F307" s="19" t="s">
        <v>48</v>
      </c>
    </row>
    <row r="308" spans="1:12" x14ac:dyDescent="0.3">
      <c r="A308" s="11">
        <v>1</v>
      </c>
      <c r="B308" s="18">
        <v>2</v>
      </c>
      <c r="C308" s="18" t="s">
        <v>84</v>
      </c>
      <c r="D308" s="12" t="s">
        <v>33</v>
      </c>
      <c r="E308" s="8" t="s">
        <v>46</v>
      </c>
      <c r="F308" s="8" t="s">
        <v>72</v>
      </c>
    </row>
    <row r="309" spans="1:12" x14ac:dyDescent="0.3">
      <c r="A309" s="16">
        <v>1</v>
      </c>
      <c r="B309" s="19">
        <v>1</v>
      </c>
      <c r="C309" s="19" t="s">
        <v>85</v>
      </c>
      <c r="D309" s="19" t="s">
        <v>4</v>
      </c>
      <c r="E309" s="19" t="s">
        <v>45</v>
      </c>
      <c r="F309" s="19" t="s">
        <v>50</v>
      </c>
    </row>
    <row r="310" spans="1:12" x14ac:dyDescent="0.3">
      <c r="A310" s="11">
        <v>1</v>
      </c>
      <c r="B310" s="8">
        <v>1</v>
      </c>
      <c r="C310" s="19" t="s">
        <v>85</v>
      </c>
      <c r="D310" s="8" t="s">
        <v>44</v>
      </c>
      <c r="E310" s="8" t="s">
        <v>13</v>
      </c>
      <c r="F310" s="8" t="s">
        <v>50</v>
      </c>
    </row>
    <row r="311" spans="1:12" x14ac:dyDescent="0.3">
      <c r="A311" s="16">
        <v>1</v>
      </c>
      <c r="B311" s="18">
        <v>1</v>
      </c>
      <c r="C311" s="17" t="s">
        <v>85</v>
      </c>
      <c r="D311" s="12" t="s">
        <v>33</v>
      </c>
      <c r="E311" s="19" t="s">
        <v>46</v>
      </c>
      <c r="F311" s="19" t="s">
        <v>71</v>
      </c>
    </row>
    <row r="312" spans="1:12" x14ac:dyDescent="0.3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77</v>
      </c>
    </row>
    <row r="313" spans="1:12" x14ac:dyDescent="0.3">
      <c r="A313" s="16">
        <v>1</v>
      </c>
      <c r="B313" s="19">
        <v>1</v>
      </c>
      <c r="C313" s="19" t="s">
        <v>85</v>
      </c>
      <c r="D313" s="19" t="s">
        <v>4</v>
      </c>
      <c r="E313" s="19" t="s">
        <v>45</v>
      </c>
      <c r="F313" s="19" t="s">
        <v>47</v>
      </c>
      <c r="L313" t="s">
        <v>23</v>
      </c>
    </row>
    <row r="314" spans="1:12" x14ac:dyDescent="0.3">
      <c r="A314" s="11">
        <v>1</v>
      </c>
      <c r="B314" s="8">
        <v>1</v>
      </c>
      <c r="C314" s="19" t="s">
        <v>85</v>
      </c>
      <c r="D314" s="8" t="s">
        <v>44</v>
      </c>
      <c r="E314" s="8" t="s">
        <v>13</v>
      </c>
      <c r="F314" s="8" t="s">
        <v>47</v>
      </c>
    </row>
    <row r="315" spans="1:12" x14ac:dyDescent="0.3">
      <c r="A315" s="16">
        <v>1</v>
      </c>
      <c r="B315" s="19">
        <v>1</v>
      </c>
      <c r="C315" s="19" t="s">
        <v>85</v>
      </c>
      <c r="D315" s="19" t="s">
        <v>4</v>
      </c>
      <c r="E315" s="19" t="s">
        <v>45</v>
      </c>
      <c r="F315" s="19" t="s">
        <v>52</v>
      </c>
    </row>
    <row r="316" spans="1:12" x14ac:dyDescent="0.3">
      <c r="A316" s="11">
        <v>1</v>
      </c>
      <c r="B316" s="8">
        <v>2</v>
      </c>
      <c r="C316" s="8" t="s">
        <v>84</v>
      </c>
      <c r="D316" s="8" t="s">
        <v>44</v>
      </c>
      <c r="E316" s="8" t="s">
        <v>14</v>
      </c>
      <c r="F316" s="8" t="s">
        <v>52</v>
      </c>
    </row>
    <row r="317" spans="1:12" x14ac:dyDescent="0.3">
      <c r="A317" s="8">
        <v>2</v>
      </c>
      <c r="B317" s="8">
        <v>1</v>
      </c>
      <c r="C317" s="8" t="s">
        <v>85</v>
      </c>
      <c r="D317" s="8" t="s">
        <v>4</v>
      </c>
      <c r="E317" s="8" t="s">
        <v>45</v>
      </c>
      <c r="F317" s="8" t="s">
        <v>55</v>
      </c>
    </row>
    <row r="318" spans="1:12" x14ac:dyDescent="0.3">
      <c r="A318" s="8">
        <v>2</v>
      </c>
      <c r="B318" s="8">
        <v>1</v>
      </c>
      <c r="C318" s="8" t="s">
        <v>85</v>
      </c>
      <c r="D318" s="8" t="s">
        <v>44</v>
      </c>
      <c r="E318" s="8" t="s">
        <v>13</v>
      </c>
      <c r="F318" s="8" t="s">
        <v>55</v>
      </c>
    </row>
    <row r="319" spans="1:12" x14ac:dyDescent="0.3">
      <c r="A319" s="8">
        <v>2</v>
      </c>
      <c r="B319" s="13">
        <v>2</v>
      </c>
      <c r="C319" s="13" t="s">
        <v>84</v>
      </c>
      <c r="D319" s="13" t="s">
        <v>33</v>
      </c>
      <c r="E319" s="8" t="s">
        <v>46</v>
      </c>
      <c r="F319" s="8" t="s">
        <v>51</v>
      </c>
    </row>
    <row r="320" spans="1:12" x14ac:dyDescent="0.3">
      <c r="A320" s="19">
        <v>2</v>
      </c>
      <c r="B320" s="19">
        <v>1</v>
      </c>
      <c r="C320" s="19" t="s">
        <v>85</v>
      </c>
      <c r="D320" s="19" t="s">
        <v>4</v>
      </c>
      <c r="E320" s="19" t="s">
        <v>45</v>
      </c>
      <c r="F320" s="19" t="s">
        <v>59</v>
      </c>
    </row>
    <row r="321" spans="1:6" x14ac:dyDescent="0.3">
      <c r="A321" s="8">
        <v>2</v>
      </c>
      <c r="B321" s="8">
        <v>1</v>
      </c>
      <c r="C321" s="8" t="s">
        <v>85</v>
      </c>
      <c r="D321" s="8" t="s">
        <v>44</v>
      </c>
      <c r="E321" s="8" t="s">
        <v>13</v>
      </c>
      <c r="F321" s="8" t="s">
        <v>59</v>
      </c>
    </row>
    <row r="322" spans="1:6" x14ac:dyDescent="0.3">
      <c r="A322" s="19">
        <v>2</v>
      </c>
      <c r="B322" s="13">
        <v>2</v>
      </c>
      <c r="C322" s="13" t="s">
        <v>84</v>
      </c>
      <c r="D322" s="13" t="s">
        <v>33</v>
      </c>
      <c r="E322" s="19" t="s">
        <v>46</v>
      </c>
      <c r="F322" s="19" t="s">
        <v>54</v>
      </c>
    </row>
    <row r="323" spans="1:6" x14ac:dyDescent="0.3">
      <c r="A323" s="19">
        <v>2</v>
      </c>
      <c r="B323" s="19">
        <v>1</v>
      </c>
      <c r="C323" s="19" t="s">
        <v>85</v>
      </c>
      <c r="D323" s="19" t="s">
        <v>4</v>
      </c>
      <c r="E323" s="19" t="s">
        <v>45</v>
      </c>
      <c r="F323" s="19" t="s">
        <v>57</v>
      </c>
    </row>
    <row r="324" spans="1:6" x14ac:dyDescent="0.3">
      <c r="A324" s="8">
        <v>2</v>
      </c>
      <c r="B324" s="8">
        <v>1</v>
      </c>
      <c r="C324" s="37" t="s">
        <v>84</v>
      </c>
      <c r="D324" s="8" t="s">
        <v>44</v>
      </c>
      <c r="E324" s="8" t="s">
        <v>14</v>
      </c>
      <c r="F324" s="8" t="s">
        <v>57</v>
      </c>
    </row>
    <row r="325" spans="1:6" x14ac:dyDescent="0.3">
      <c r="A325" s="8">
        <v>2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61</v>
      </c>
    </row>
    <row r="326" spans="1:6" x14ac:dyDescent="0.3">
      <c r="A326" s="8">
        <v>2</v>
      </c>
      <c r="B326" s="8">
        <v>1</v>
      </c>
      <c r="C326" s="8" t="s">
        <v>85</v>
      </c>
      <c r="D326" s="8" t="s">
        <v>44</v>
      </c>
      <c r="E326" s="8" t="s">
        <v>14</v>
      </c>
      <c r="F326" s="8" t="s">
        <v>61</v>
      </c>
    </row>
    <row r="327" spans="1:6" x14ac:dyDescent="0.3">
      <c r="A327" s="8">
        <v>2</v>
      </c>
      <c r="B327" s="13">
        <v>1</v>
      </c>
      <c r="C327" s="13" t="s">
        <v>85</v>
      </c>
      <c r="D327" s="13" t="s">
        <v>33</v>
      </c>
      <c r="E327" s="8" t="s">
        <v>46</v>
      </c>
      <c r="F327" s="8" t="s">
        <v>53</v>
      </c>
    </row>
    <row r="328" spans="1:6" x14ac:dyDescent="0.3">
      <c r="A328" s="19">
        <v>2</v>
      </c>
      <c r="B328" s="13">
        <v>2</v>
      </c>
      <c r="C328" s="13" t="s">
        <v>84</v>
      </c>
      <c r="D328" s="13" t="s">
        <v>33</v>
      </c>
      <c r="E328" s="19" t="s">
        <v>46</v>
      </c>
      <c r="F328" s="19" t="s">
        <v>49</v>
      </c>
    </row>
    <row r="329" spans="1:6" x14ac:dyDescent="0.3">
      <c r="A329" s="8">
        <v>2</v>
      </c>
      <c r="B329" s="13">
        <v>1</v>
      </c>
      <c r="C329" s="13" t="s">
        <v>85</v>
      </c>
      <c r="D329" s="13" t="s">
        <v>33</v>
      </c>
      <c r="E329" s="8" t="s">
        <v>46</v>
      </c>
      <c r="F329" s="8" t="s">
        <v>48</v>
      </c>
    </row>
    <row r="330" spans="1:6" x14ac:dyDescent="0.3">
      <c r="A330" s="19">
        <v>2</v>
      </c>
      <c r="B330" s="19">
        <v>1</v>
      </c>
      <c r="C330" s="19" t="s">
        <v>85</v>
      </c>
      <c r="D330" s="19" t="s">
        <v>4</v>
      </c>
      <c r="E330" s="19" t="s">
        <v>45</v>
      </c>
      <c r="F330" s="19" t="s">
        <v>56</v>
      </c>
    </row>
    <row r="331" spans="1:6" x14ac:dyDescent="0.3">
      <c r="A331" s="8">
        <v>2</v>
      </c>
      <c r="B331" s="8">
        <v>2</v>
      </c>
      <c r="C331" s="8" t="s">
        <v>84</v>
      </c>
      <c r="D331" s="8" t="s">
        <v>44</v>
      </c>
      <c r="E331" s="8" t="s">
        <v>14</v>
      </c>
      <c r="F331" s="8" t="s">
        <v>56</v>
      </c>
    </row>
    <row r="332" spans="1:6" x14ac:dyDescent="0.3">
      <c r="A332" s="19">
        <v>2</v>
      </c>
      <c r="B332" s="19">
        <v>2</v>
      </c>
      <c r="C332" s="19" t="s">
        <v>84</v>
      </c>
      <c r="D332" s="19" t="s">
        <v>4</v>
      </c>
      <c r="E332" s="19" t="s">
        <v>45</v>
      </c>
      <c r="F332" s="19" t="s">
        <v>60</v>
      </c>
    </row>
    <row r="333" spans="1:6" x14ac:dyDescent="0.3">
      <c r="A333" s="8">
        <v>2</v>
      </c>
      <c r="B333" s="8">
        <v>2</v>
      </c>
      <c r="C333" s="8" t="s">
        <v>84</v>
      </c>
      <c r="D333" s="8" t="s">
        <v>44</v>
      </c>
      <c r="E333" s="8" t="s">
        <v>13</v>
      </c>
      <c r="F333" s="8" t="s">
        <v>60</v>
      </c>
    </row>
    <row r="334" spans="1:6" x14ac:dyDescent="0.3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50</v>
      </c>
    </row>
    <row r="335" spans="1:6" x14ac:dyDescent="0.3">
      <c r="A335" s="8">
        <v>2</v>
      </c>
      <c r="B335" s="8">
        <v>2</v>
      </c>
      <c r="C335" s="8" t="s">
        <v>84</v>
      </c>
      <c r="D335" s="8" t="s">
        <v>4</v>
      </c>
      <c r="E335" s="8" t="s">
        <v>45</v>
      </c>
      <c r="F335" s="8" t="s">
        <v>58</v>
      </c>
    </row>
    <row r="336" spans="1:6" x14ac:dyDescent="0.3">
      <c r="A336" s="8">
        <v>2</v>
      </c>
      <c r="B336" s="8">
        <v>2</v>
      </c>
      <c r="C336" s="8" t="s">
        <v>84</v>
      </c>
      <c r="D336" s="8" t="s">
        <v>44</v>
      </c>
      <c r="E336" s="8" t="s">
        <v>13</v>
      </c>
      <c r="F336" s="8" t="s">
        <v>58</v>
      </c>
    </row>
    <row r="337" spans="1:6" x14ac:dyDescent="0.3">
      <c r="A337" s="8">
        <v>2</v>
      </c>
      <c r="B337" s="13">
        <v>1</v>
      </c>
      <c r="C337" s="13" t="s">
        <v>85</v>
      </c>
      <c r="D337" s="13" t="s">
        <v>33</v>
      </c>
      <c r="E337" s="8" t="s">
        <v>46</v>
      </c>
      <c r="F337" s="8" t="s">
        <v>47</v>
      </c>
    </row>
    <row r="338" spans="1:6" x14ac:dyDescent="0.3">
      <c r="A338" s="19">
        <v>2</v>
      </c>
      <c r="B338" s="13">
        <v>2</v>
      </c>
      <c r="C338" s="13" t="s">
        <v>84</v>
      </c>
      <c r="D338" s="13" t="s">
        <v>33</v>
      </c>
      <c r="E338" s="19" t="s">
        <v>46</v>
      </c>
      <c r="F338" s="19" t="s">
        <v>52</v>
      </c>
    </row>
    <row r="339" spans="1:6" x14ac:dyDescent="0.3">
      <c r="A339" s="8">
        <v>2</v>
      </c>
      <c r="B339" s="8">
        <v>2</v>
      </c>
      <c r="C339" s="8" t="s">
        <v>84</v>
      </c>
      <c r="D339" s="8" t="s">
        <v>4</v>
      </c>
      <c r="E339" s="8" t="s">
        <v>45</v>
      </c>
      <c r="F339" s="8" t="s">
        <v>62</v>
      </c>
    </row>
    <row r="340" spans="1:6" x14ac:dyDescent="0.3">
      <c r="A340" s="8">
        <v>2</v>
      </c>
      <c r="B340" s="8">
        <v>1</v>
      </c>
      <c r="C340" s="8" t="s">
        <v>85</v>
      </c>
      <c r="D340" s="8" t="s">
        <v>44</v>
      </c>
      <c r="E340" s="8" t="s">
        <v>14</v>
      </c>
      <c r="F340" s="8" t="s">
        <v>62</v>
      </c>
    </row>
    <row r="341" spans="1:6" x14ac:dyDescent="0.3">
      <c r="A341" s="16">
        <v>3</v>
      </c>
      <c r="B341" s="19">
        <v>1</v>
      </c>
      <c r="C341" s="19" t="s">
        <v>85</v>
      </c>
      <c r="D341" s="19" t="s">
        <v>4</v>
      </c>
      <c r="E341" s="19" t="s">
        <v>45</v>
      </c>
      <c r="F341" s="19" t="s">
        <v>67</v>
      </c>
    </row>
    <row r="342" spans="1:6" x14ac:dyDescent="0.3">
      <c r="A342" s="11">
        <v>3</v>
      </c>
      <c r="B342" s="8">
        <v>2</v>
      </c>
      <c r="C342" s="8" t="s">
        <v>84</v>
      </c>
      <c r="D342" s="8" t="s">
        <v>44</v>
      </c>
      <c r="E342" s="8" t="s">
        <v>14</v>
      </c>
      <c r="F342" s="8" t="s">
        <v>67</v>
      </c>
    </row>
    <row r="343" spans="1:6" x14ac:dyDescent="0.3">
      <c r="A343" s="16">
        <v>3</v>
      </c>
      <c r="B343" s="19">
        <v>2</v>
      </c>
      <c r="C343" s="19" t="s">
        <v>84</v>
      </c>
      <c r="D343" s="19" t="s">
        <v>4</v>
      </c>
      <c r="E343" s="19" t="s">
        <v>45</v>
      </c>
      <c r="F343" s="19" t="s">
        <v>63</v>
      </c>
    </row>
    <row r="344" spans="1:6" x14ac:dyDescent="0.3">
      <c r="A344" s="11">
        <v>3</v>
      </c>
      <c r="B344" s="8">
        <v>1</v>
      </c>
      <c r="C344" s="8" t="s">
        <v>85</v>
      </c>
      <c r="D344" s="8" t="s">
        <v>44</v>
      </c>
      <c r="E344" s="8" t="s">
        <v>14</v>
      </c>
      <c r="F344" s="8" t="s">
        <v>63</v>
      </c>
    </row>
    <row r="345" spans="1:6" x14ac:dyDescent="0.3">
      <c r="A345" s="16">
        <v>3</v>
      </c>
      <c r="B345" s="14">
        <v>2</v>
      </c>
      <c r="C345" s="14" t="s">
        <v>84</v>
      </c>
      <c r="D345" s="14" t="s">
        <v>33</v>
      </c>
      <c r="E345" s="19" t="s">
        <v>46</v>
      </c>
      <c r="F345" s="19" t="s">
        <v>55</v>
      </c>
    </row>
    <row r="346" spans="1:6" x14ac:dyDescent="0.3">
      <c r="A346" s="11">
        <v>3</v>
      </c>
      <c r="B346" s="14">
        <v>1</v>
      </c>
      <c r="C346" s="14" t="s">
        <v>85</v>
      </c>
      <c r="D346" s="14" t="s">
        <v>33</v>
      </c>
      <c r="E346" s="8" t="s">
        <v>46</v>
      </c>
      <c r="F346" s="8" t="s">
        <v>59</v>
      </c>
    </row>
    <row r="347" spans="1:6" x14ac:dyDescent="0.3">
      <c r="A347" s="16">
        <v>3</v>
      </c>
      <c r="B347" s="19">
        <v>1</v>
      </c>
      <c r="C347" s="19" t="s">
        <v>85</v>
      </c>
      <c r="D347" s="19" t="s">
        <v>4</v>
      </c>
      <c r="E347" s="19" t="s">
        <v>45</v>
      </c>
      <c r="F347" s="19" t="s">
        <v>69</v>
      </c>
    </row>
    <row r="348" spans="1:6" x14ac:dyDescent="0.3">
      <c r="A348" s="11">
        <v>3</v>
      </c>
      <c r="B348" s="8">
        <v>2</v>
      </c>
      <c r="C348" s="8" t="s">
        <v>84</v>
      </c>
      <c r="D348" s="8" t="s">
        <v>44</v>
      </c>
      <c r="E348" s="8" t="s">
        <v>14</v>
      </c>
      <c r="F348" s="8" t="s">
        <v>69</v>
      </c>
    </row>
    <row r="349" spans="1:6" x14ac:dyDescent="0.3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57</v>
      </c>
    </row>
    <row r="350" spans="1:6" x14ac:dyDescent="0.3">
      <c r="A350" s="11">
        <v>3</v>
      </c>
      <c r="B350" s="8">
        <v>2</v>
      </c>
      <c r="C350" s="8" t="s">
        <v>84</v>
      </c>
      <c r="D350" s="8" t="s">
        <v>4</v>
      </c>
      <c r="E350" s="8" t="s">
        <v>45</v>
      </c>
      <c r="F350" s="8" t="s">
        <v>65</v>
      </c>
    </row>
    <row r="351" spans="1:6" x14ac:dyDescent="0.3">
      <c r="A351" s="16">
        <v>3</v>
      </c>
      <c r="B351" s="19">
        <v>2</v>
      </c>
      <c r="C351" s="19" t="s">
        <v>84</v>
      </c>
      <c r="D351" s="19" t="s">
        <v>44</v>
      </c>
      <c r="E351" s="19" t="s">
        <v>13</v>
      </c>
      <c r="F351" s="19" t="s">
        <v>65</v>
      </c>
    </row>
    <row r="352" spans="1:6" x14ac:dyDescent="0.3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61</v>
      </c>
    </row>
    <row r="353" spans="1:6" x14ac:dyDescent="0.3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56</v>
      </c>
    </row>
    <row r="354" spans="1:6" x14ac:dyDescent="0.3">
      <c r="A354" s="11">
        <v>3</v>
      </c>
      <c r="B354" s="8">
        <v>2</v>
      </c>
      <c r="C354" s="8" t="s">
        <v>84</v>
      </c>
      <c r="D354" s="8" t="s">
        <v>4</v>
      </c>
      <c r="E354" s="8" t="s">
        <v>45</v>
      </c>
      <c r="F354" s="8" t="s">
        <v>64</v>
      </c>
    </row>
    <row r="355" spans="1:6" x14ac:dyDescent="0.3">
      <c r="A355" s="16">
        <v>3</v>
      </c>
      <c r="B355" s="19">
        <v>2</v>
      </c>
      <c r="C355" s="19" t="s">
        <v>84</v>
      </c>
      <c r="D355" s="19" t="s">
        <v>44</v>
      </c>
      <c r="E355" s="19" t="s">
        <v>13</v>
      </c>
      <c r="F355" s="19" t="s">
        <v>64</v>
      </c>
    </row>
    <row r="356" spans="1:6" x14ac:dyDescent="0.3">
      <c r="A356" s="11">
        <v>3</v>
      </c>
      <c r="B356" s="8">
        <v>2</v>
      </c>
      <c r="C356" s="8" t="s">
        <v>84</v>
      </c>
      <c r="D356" s="8" t="s">
        <v>4</v>
      </c>
      <c r="E356" s="8" t="s">
        <v>45</v>
      </c>
      <c r="F356" s="8" t="s">
        <v>70</v>
      </c>
    </row>
    <row r="357" spans="1:6" x14ac:dyDescent="0.3">
      <c r="A357" s="16">
        <v>3</v>
      </c>
      <c r="B357" s="19">
        <v>1</v>
      </c>
      <c r="C357" s="19" t="s">
        <v>85</v>
      </c>
      <c r="D357" s="19" t="s">
        <v>44</v>
      </c>
      <c r="E357" s="19" t="s">
        <v>14</v>
      </c>
      <c r="F357" s="19" t="s">
        <v>70</v>
      </c>
    </row>
    <row r="358" spans="1:6" x14ac:dyDescent="0.3">
      <c r="A358" s="11">
        <v>3</v>
      </c>
      <c r="B358" s="14">
        <v>2</v>
      </c>
      <c r="C358" s="14" t="s">
        <v>84</v>
      </c>
      <c r="D358" s="14" t="s">
        <v>33</v>
      </c>
      <c r="E358" s="8" t="s">
        <v>46</v>
      </c>
      <c r="F358" s="8" t="s">
        <v>60</v>
      </c>
    </row>
    <row r="359" spans="1:6" x14ac:dyDescent="0.3">
      <c r="A359" s="16">
        <v>3</v>
      </c>
      <c r="B359" s="14">
        <v>2</v>
      </c>
      <c r="C359" s="14" t="s">
        <v>84</v>
      </c>
      <c r="D359" s="14" t="s">
        <v>33</v>
      </c>
      <c r="E359" s="19" t="s">
        <v>46</v>
      </c>
      <c r="F359" s="19" t="s">
        <v>58</v>
      </c>
    </row>
    <row r="360" spans="1:6" x14ac:dyDescent="0.3">
      <c r="A360" s="11">
        <v>3</v>
      </c>
      <c r="B360" s="8">
        <v>1</v>
      </c>
      <c r="C360" s="8" t="s">
        <v>85</v>
      </c>
      <c r="D360" s="8" t="s">
        <v>4</v>
      </c>
      <c r="E360" s="8" t="s">
        <v>45</v>
      </c>
      <c r="F360" s="8" t="s">
        <v>68</v>
      </c>
    </row>
    <row r="361" spans="1:6" x14ac:dyDescent="0.3">
      <c r="A361" s="16">
        <v>3</v>
      </c>
      <c r="B361" s="19">
        <v>1</v>
      </c>
      <c r="C361" s="19" t="s">
        <v>85</v>
      </c>
      <c r="D361" s="19" t="s">
        <v>44</v>
      </c>
      <c r="E361" s="19" t="s">
        <v>13</v>
      </c>
      <c r="F361" s="19" t="s">
        <v>68</v>
      </c>
    </row>
    <row r="362" spans="1:6" x14ac:dyDescent="0.3">
      <c r="A362" s="11">
        <v>3</v>
      </c>
      <c r="B362" s="14">
        <v>2</v>
      </c>
      <c r="C362" s="14" t="s">
        <v>84</v>
      </c>
      <c r="D362" s="14" t="s">
        <v>33</v>
      </c>
      <c r="E362" s="8" t="s">
        <v>46</v>
      </c>
      <c r="F362" s="8" t="s">
        <v>62</v>
      </c>
    </row>
    <row r="363" spans="1:6" x14ac:dyDescent="0.3">
      <c r="A363" s="16">
        <v>3</v>
      </c>
      <c r="B363" s="19">
        <v>1</v>
      </c>
      <c r="C363" s="19" t="s">
        <v>85</v>
      </c>
      <c r="D363" s="19" t="s">
        <v>4</v>
      </c>
      <c r="E363" s="19" t="s">
        <v>45</v>
      </c>
      <c r="F363" s="19" t="s">
        <v>66</v>
      </c>
    </row>
    <row r="364" spans="1:6" x14ac:dyDescent="0.3">
      <c r="A364" s="11">
        <v>3</v>
      </c>
      <c r="B364" s="8">
        <v>1</v>
      </c>
      <c r="C364" s="8" t="s">
        <v>85</v>
      </c>
      <c r="D364" s="8" t="s">
        <v>44</v>
      </c>
      <c r="E364" s="8" t="s">
        <v>13</v>
      </c>
      <c r="F364" s="8" t="s">
        <v>66</v>
      </c>
    </row>
    <row r="365" spans="1:6" x14ac:dyDescent="0.3">
      <c r="A365" s="8">
        <v>4</v>
      </c>
      <c r="B365" s="15">
        <v>2</v>
      </c>
      <c r="C365" s="15" t="s">
        <v>84</v>
      </c>
      <c r="D365" s="15" t="s">
        <v>33</v>
      </c>
      <c r="E365" s="8" t="s">
        <v>46</v>
      </c>
      <c r="F365" s="8" t="s">
        <v>67</v>
      </c>
    </row>
    <row r="366" spans="1:6" x14ac:dyDescent="0.3">
      <c r="A366" s="19">
        <v>4</v>
      </c>
      <c r="B366" s="15">
        <v>2</v>
      </c>
      <c r="C366" s="15" t="s">
        <v>84</v>
      </c>
      <c r="D366" s="15" t="s">
        <v>33</v>
      </c>
      <c r="E366" s="19" t="s">
        <v>46</v>
      </c>
      <c r="F366" s="19" t="s">
        <v>63</v>
      </c>
    </row>
    <row r="367" spans="1:6" x14ac:dyDescent="0.3">
      <c r="A367" s="8">
        <v>4</v>
      </c>
      <c r="B367" s="8">
        <v>1</v>
      </c>
      <c r="C367" s="8" t="s">
        <v>85</v>
      </c>
      <c r="D367" s="8" t="s">
        <v>4</v>
      </c>
      <c r="E367" s="8" t="s">
        <v>45</v>
      </c>
      <c r="F367" s="8" t="s">
        <v>73</v>
      </c>
    </row>
    <row r="368" spans="1:6" x14ac:dyDescent="0.3">
      <c r="A368" s="19">
        <v>4</v>
      </c>
      <c r="B368" s="19">
        <v>1</v>
      </c>
      <c r="C368" s="19" t="s">
        <v>85</v>
      </c>
      <c r="D368" s="19" t="s">
        <v>44</v>
      </c>
      <c r="E368" s="19" t="s">
        <v>13</v>
      </c>
      <c r="F368" s="19" t="s">
        <v>73</v>
      </c>
    </row>
    <row r="369" spans="1:6" x14ac:dyDescent="0.3">
      <c r="A369" s="8">
        <v>4</v>
      </c>
      <c r="B369" s="8">
        <v>1</v>
      </c>
      <c r="C369" s="8" t="s">
        <v>85</v>
      </c>
      <c r="D369" s="8" t="s">
        <v>4</v>
      </c>
      <c r="E369" s="8" t="s">
        <v>45</v>
      </c>
      <c r="F369" s="8" t="s">
        <v>76</v>
      </c>
    </row>
    <row r="370" spans="1:6" x14ac:dyDescent="0.3">
      <c r="A370" s="19">
        <v>4</v>
      </c>
      <c r="B370" s="19">
        <v>2</v>
      </c>
      <c r="C370" s="19" t="s">
        <v>84</v>
      </c>
      <c r="D370" s="19" t="s">
        <v>44</v>
      </c>
      <c r="E370" s="19" t="s">
        <v>14</v>
      </c>
      <c r="F370" s="19" t="s">
        <v>76</v>
      </c>
    </row>
    <row r="371" spans="1:6" x14ac:dyDescent="0.3">
      <c r="A371" s="8">
        <v>4</v>
      </c>
      <c r="B371" s="15">
        <v>1</v>
      </c>
      <c r="C371" s="15" t="s">
        <v>85</v>
      </c>
      <c r="D371" s="15" t="s">
        <v>33</v>
      </c>
      <c r="E371" s="8" t="s">
        <v>46</v>
      </c>
      <c r="F371" s="8" t="s">
        <v>69</v>
      </c>
    </row>
    <row r="372" spans="1:6" x14ac:dyDescent="0.3">
      <c r="A372" s="19">
        <v>4</v>
      </c>
      <c r="B372" s="19">
        <v>2</v>
      </c>
      <c r="C372" s="19" t="s">
        <v>84</v>
      </c>
      <c r="D372" s="19" t="s">
        <v>4</v>
      </c>
      <c r="E372" s="19" t="s">
        <v>45</v>
      </c>
      <c r="F372" s="19" t="s">
        <v>74</v>
      </c>
    </row>
    <row r="373" spans="1:6" x14ac:dyDescent="0.3">
      <c r="A373" s="8">
        <v>4</v>
      </c>
      <c r="B373" s="8">
        <v>2</v>
      </c>
      <c r="C373" s="8" t="s">
        <v>84</v>
      </c>
      <c r="D373" s="8" t="s">
        <v>44</v>
      </c>
      <c r="E373" s="8" t="s">
        <v>13</v>
      </c>
      <c r="F373" s="8" t="s">
        <v>74</v>
      </c>
    </row>
    <row r="374" spans="1:6" x14ac:dyDescent="0.3">
      <c r="A374" s="19">
        <v>4</v>
      </c>
      <c r="B374" s="19">
        <v>2</v>
      </c>
      <c r="C374" s="19" t="s">
        <v>84</v>
      </c>
      <c r="D374" s="19" t="s">
        <v>4</v>
      </c>
      <c r="E374" s="19" t="s">
        <v>45</v>
      </c>
      <c r="F374" s="19" t="s">
        <v>78</v>
      </c>
    </row>
    <row r="375" spans="1:6" x14ac:dyDescent="0.3">
      <c r="A375" s="8">
        <v>4</v>
      </c>
      <c r="B375" s="8">
        <v>1</v>
      </c>
      <c r="C375" s="8" t="s">
        <v>85</v>
      </c>
      <c r="D375" s="8" t="s">
        <v>44</v>
      </c>
      <c r="E375" s="8" t="s">
        <v>14</v>
      </c>
      <c r="F375" s="8" t="s">
        <v>78</v>
      </c>
    </row>
    <row r="376" spans="1:6" x14ac:dyDescent="0.3">
      <c r="A376" s="19">
        <v>4</v>
      </c>
      <c r="B376" s="15">
        <v>2</v>
      </c>
      <c r="C376" s="15" t="s">
        <v>84</v>
      </c>
      <c r="D376" s="15" t="s">
        <v>33</v>
      </c>
      <c r="E376" s="19" t="s">
        <v>46</v>
      </c>
      <c r="F376" s="19" t="s">
        <v>65</v>
      </c>
    </row>
    <row r="377" spans="1:6" x14ac:dyDescent="0.3">
      <c r="A377" s="8">
        <v>4</v>
      </c>
      <c r="B377" s="8">
        <v>1</v>
      </c>
      <c r="C377" s="8" t="s">
        <v>85</v>
      </c>
      <c r="D377" s="8" t="s">
        <v>4</v>
      </c>
      <c r="E377" s="8" t="s">
        <v>45</v>
      </c>
      <c r="F377" s="8" t="s">
        <v>75</v>
      </c>
    </row>
    <row r="378" spans="1:6" x14ac:dyDescent="0.3">
      <c r="A378" s="19">
        <v>4</v>
      </c>
      <c r="B378" s="19">
        <v>2</v>
      </c>
      <c r="C378" s="19" t="s">
        <v>84</v>
      </c>
      <c r="D378" s="19" t="s">
        <v>44</v>
      </c>
      <c r="E378" s="19" t="s">
        <v>14</v>
      </c>
      <c r="F378" s="19" t="s">
        <v>75</v>
      </c>
    </row>
    <row r="379" spans="1:6" x14ac:dyDescent="0.3">
      <c r="A379" s="8">
        <v>4</v>
      </c>
      <c r="B379" s="8">
        <v>2</v>
      </c>
      <c r="C379" s="8" t="s">
        <v>84</v>
      </c>
      <c r="D379" s="8" t="s">
        <v>4</v>
      </c>
      <c r="E379" s="8" t="s">
        <v>45</v>
      </c>
      <c r="F379" s="8" t="s">
        <v>72</v>
      </c>
    </row>
    <row r="380" spans="1:6" x14ac:dyDescent="0.3">
      <c r="A380" s="19">
        <v>4</v>
      </c>
      <c r="B380" s="19">
        <v>2</v>
      </c>
      <c r="C380" s="19" t="s">
        <v>84</v>
      </c>
      <c r="D380" s="19" t="s">
        <v>44</v>
      </c>
      <c r="E380" s="19" t="s">
        <v>13</v>
      </c>
      <c r="F380" s="19" t="s">
        <v>72</v>
      </c>
    </row>
    <row r="381" spans="1:6" x14ac:dyDescent="0.3">
      <c r="A381" s="19">
        <v>4</v>
      </c>
      <c r="B381" s="15">
        <v>1</v>
      </c>
      <c r="C381" s="15" t="s">
        <v>85</v>
      </c>
      <c r="D381" s="15" t="s">
        <v>33</v>
      </c>
      <c r="E381" s="19" t="s">
        <v>46</v>
      </c>
      <c r="F381" s="19" t="s">
        <v>64</v>
      </c>
    </row>
    <row r="382" spans="1:6" x14ac:dyDescent="0.3">
      <c r="A382" s="8">
        <v>4</v>
      </c>
      <c r="B382" s="15">
        <v>1</v>
      </c>
      <c r="C382" s="15" t="s">
        <v>85</v>
      </c>
      <c r="D382" s="15" t="s">
        <v>33</v>
      </c>
      <c r="E382" s="8" t="s">
        <v>46</v>
      </c>
      <c r="F382" s="8" t="s">
        <v>70</v>
      </c>
    </row>
    <row r="383" spans="1:6" x14ac:dyDescent="0.3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71</v>
      </c>
    </row>
    <row r="384" spans="1:6" x14ac:dyDescent="0.3">
      <c r="A384" s="19">
        <v>4</v>
      </c>
      <c r="B384" s="19">
        <v>1</v>
      </c>
      <c r="C384" s="19" t="s">
        <v>85</v>
      </c>
      <c r="D384" s="19" t="s">
        <v>44</v>
      </c>
      <c r="E384" s="19" t="s">
        <v>14</v>
      </c>
      <c r="F384" s="19" t="s">
        <v>71</v>
      </c>
    </row>
    <row r="385" spans="1:6" x14ac:dyDescent="0.3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77</v>
      </c>
    </row>
    <row r="386" spans="1:6" x14ac:dyDescent="0.3">
      <c r="A386" s="19">
        <v>4</v>
      </c>
      <c r="B386" s="19">
        <v>1</v>
      </c>
      <c r="C386" s="19" t="s">
        <v>85</v>
      </c>
      <c r="D386" s="19" t="s">
        <v>44</v>
      </c>
      <c r="E386" s="19" t="s">
        <v>13</v>
      </c>
      <c r="F386" s="19" t="s">
        <v>77</v>
      </c>
    </row>
    <row r="387" spans="1:6" x14ac:dyDescent="0.3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68</v>
      </c>
    </row>
    <row r="388" spans="1:6" x14ac:dyDescent="0.3">
      <c r="A388" s="19">
        <v>4</v>
      </c>
      <c r="B388" s="15">
        <v>1</v>
      </c>
      <c r="C388" s="15" t="s">
        <v>85</v>
      </c>
      <c r="D388" s="15" t="s">
        <v>33</v>
      </c>
      <c r="E388" s="19" t="s">
        <v>46</v>
      </c>
      <c r="F388" s="19" t="s">
        <v>66</v>
      </c>
    </row>
  </sheetData>
  <pageMargins left="0.7" right="0.7" top="0.75" bottom="0.75" header="0.3" footer="0.3"/>
  <pageSetup paperSize="9" fitToWidth="0" orientation="portrait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8"/>
  <sheetViews>
    <sheetView topLeftCell="A274" zoomScale="80" zoomScaleNormal="80" workbookViewId="0">
      <selection activeCell="O294" sqref="O294"/>
    </sheetView>
  </sheetViews>
  <sheetFormatPr defaultColWidth="8.6640625"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6">
        <v>1</v>
      </c>
      <c r="B2" s="18">
        <v>2</v>
      </c>
      <c r="C2" s="17" t="s">
        <v>84</v>
      </c>
      <c r="D2" s="12" t="s">
        <v>33</v>
      </c>
      <c r="E2" s="19" t="s">
        <v>46</v>
      </c>
      <c r="F2" s="19" t="s">
        <v>75</v>
      </c>
    </row>
    <row r="3" spans="1:6" x14ac:dyDescent="0.3">
      <c r="A3" s="11">
        <v>1</v>
      </c>
      <c r="B3" s="11">
        <v>2</v>
      </c>
      <c r="C3" s="11" t="s">
        <v>84</v>
      </c>
      <c r="D3" s="8" t="s">
        <v>4</v>
      </c>
      <c r="E3" s="8" t="s">
        <v>45</v>
      </c>
      <c r="F3" s="8" t="s">
        <v>53</v>
      </c>
    </row>
    <row r="4" spans="1:6" x14ac:dyDescent="0.3">
      <c r="A4" s="16">
        <v>1</v>
      </c>
      <c r="B4" s="16">
        <v>2</v>
      </c>
      <c r="C4" s="16" t="s">
        <v>84</v>
      </c>
      <c r="D4" s="19" t="s">
        <v>44</v>
      </c>
      <c r="E4" s="19" t="s">
        <v>13</v>
      </c>
      <c r="F4" s="19" t="s">
        <v>53</v>
      </c>
    </row>
    <row r="5" spans="1:6" x14ac:dyDescent="0.3">
      <c r="A5" s="11">
        <v>1</v>
      </c>
      <c r="B5" s="18">
        <v>1</v>
      </c>
      <c r="C5" s="18" t="s">
        <v>85</v>
      </c>
      <c r="D5" s="12" t="s">
        <v>33</v>
      </c>
      <c r="E5" s="8" t="s">
        <v>46</v>
      </c>
      <c r="F5" s="8" t="s">
        <v>73</v>
      </c>
    </row>
    <row r="6" spans="1:6" x14ac:dyDescent="0.3">
      <c r="A6" s="16">
        <v>1</v>
      </c>
      <c r="B6" s="18">
        <v>1</v>
      </c>
      <c r="C6" s="18" t="s">
        <v>85</v>
      </c>
      <c r="D6" s="12" t="s">
        <v>33</v>
      </c>
      <c r="E6" s="19" t="s">
        <v>46</v>
      </c>
      <c r="F6" s="19" t="s">
        <v>77</v>
      </c>
    </row>
    <row r="7" spans="1:6" x14ac:dyDescent="0.3">
      <c r="A7" s="11">
        <v>1</v>
      </c>
      <c r="B7" s="11">
        <v>2</v>
      </c>
      <c r="C7" s="11" t="s">
        <v>84</v>
      </c>
      <c r="D7" s="8" t="s">
        <v>4</v>
      </c>
      <c r="E7" s="8" t="s">
        <v>45</v>
      </c>
      <c r="F7" s="8" t="s">
        <v>52</v>
      </c>
    </row>
    <row r="8" spans="1:6" x14ac:dyDescent="0.3">
      <c r="A8" s="16">
        <v>1</v>
      </c>
      <c r="B8" s="16">
        <v>2</v>
      </c>
      <c r="C8" s="16" t="s">
        <v>84</v>
      </c>
      <c r="D8" s="19" t="s">
        <v>44</v>
      </c>
      <c r="E8" s="19" t="s">
        <v>13</v>
      </c>
      <c r="F8" s="19" t="s">
        <v>52</v>
      </c>
    </row>
    <row r="9" spans="1:6" x14ac:dyDescent="0.3">
      <c r="A9" s="11">
        <v>1</v>
      </c>
      <c r="B9" s="11">
        <v>2</v>
      </c>
      <c r="C9" s="11" t="s">
        <v>84</v>
      </c>
      <c r="D9" s="8" t="s">
        <v>4</v>
      </c>
      <c r="E9" s="8" t="s">
        <v>45</v>
      </c>
      <c r="F9" s="8" t="s">
        <v>54</v>
      </c>
    </row>
    <row r="10" spans="1:6" x14ac:dyDescent="0.3">
      <c r="A10" s="16">
        <v>1</v>
      </c>
      <c r="B10" s="16">
        <v>1</v>
      </c>
      <c r="C10" s="16" t="s">
        <v>85</v>
      </c>
      <c r="D10" s="19" t="s">
        <v>44</v>
      </c>
      <c r="E10" s="19" t="s">
        <v>14</v>
      </c>
      <c r="F10" s="19" t="s">
        <v>54</v>
      </c>
    </row>
    <row r="11" spans="1:6" x14ac:dyDescent="0.3">
      <c r="A11" s="11">
        <v>1</v>
      </c>
      <c r="B11" s="18">
        <v>2</v>
      </c>
      <c r="C11" s="18" t="s">
        <v>84</v>
      </c>
      <c r="D11" s="12" t="s">
        <v>33</v>
      </c>
      <c r="E11" s="8" t="s">
        <v>46</v>
      </c>
      <c r="F11" s="8" t="s">
        <v>74</v>
      </c>
    </row>
    <row r="12" spans="1:6" x14ac:dyDescent="0.3">
      <c r="A12" s="16">
        <v>1</v>
      </c>
      <c r="B12" s="16">
        <v>1</v>
      </c>
      <c r="C12" s="16" t="s">
        <v>85</v>
      </c>
      <c r="D12" s="19" t="s">
        <v>4</v>
      </c>
      <c r="E12" s="19" t="s">
        <v>45</v>
      </c>
      <c r="F12" s="19" t="s">
        <v>47</v>
      </c>
    </row>
    <row r="13" spans="1:6" x14ac:dyDescent="0.3">
      <c r="A13" s="11">
        <v>1</v>
      </c>
      <c r="B13" s="11">
        <v>2</v>
      </c>
      <c r="C13" s="11" t="s">
        <v>84</v>
      </c>
      <c r="D13" s="8" t="s">
        <v>44</v>
      </c>
      <c r="E13" s="8" t="s">
        <v>14</v>
      </c>
      <c r="F13" s="8" t="s">
        <v>47</v>
      </c>
    </row>
    <row r="14" spans="1:6" x14ac:dyDescent="0.3">
      <c r="A14" s="16">
        <v>1</v>
      </c>
      <c r="B14" s="16">
        <v>2</v>
      </c>
      <c r="C14" s="16" t="s">
        <v>84</v>
      </c>
      <c r="D14" s="19" t="s">
        <v>4</v>
      </c>
      <c r="E14" s="19" t="s">
        <v>45</v>
      </c>
      <c r="F14" s="19" t="s">
        <v>50</v>
      </c>
    </row>
    <row r="15" spans="1:6" x14ac:dyDescent="0.3">
      <c r="A15" s="11">
        <v>1</v>
      </c>
      <c r="B15" s="11">
        <v>1</v>
      </c>
      <c r="C15" s="11" t="s">
        <v>85</v>
      </c>
      <c r="D15" s="8" t="s">
        <v>44</v>
      </c>
      <c r="E15" s="8" t="s">
        <v>14</v>
      </c>
      <c r="F15" s="8" t="s">
        <v>50</v>
      </c>
    </row>
    <row r="16" spans="1:6" x14ac:dyDescent="0.3">
      <c r="A16" s="16">
        <v>1</v>
      </c>
      <c r="B16" s="18">
        <v>1</v>
      </c>
      <c r="C16" s="17" t="s">
        <v>85</v>
      </c>
      <c r="D16" s="12" t="s">
        <v>33</v>
      </c>
      <c r="E16" s="19" t="s">
        <v>46</v>
      </c>
      <c r="F16" s="19" t="s">
        <v>78</v>
      </c>
    </row>
    <row r="17" spans="1:6" x14ac:dyDescent="0.3">
      <c r="A17" s="11">
        <v>1</v>
      </c>
      <c r="B17" s="18">
        <v>2</v>
      </c>
      <c r="C17" s="18" t="s">
        <v>84</v>
      </c>
      <c r="D17" s="12" t="s">
        <v>33</v>
      </c>
      <c r="E17" s="8" t="s">
        <v>46</v>
      </c>
      <c r="F17" s="8" t="s">
        <v>71</v>
      </c>
    </row>
    <row r="18" spans="1:6" x14ac:dyDescent="0.3">
      <c r="A18" s="16">
        <v>1</v>
      </c>
      <c r="B18" s="16">
        <v>1</v>
      </c>
      <c r="C18" s="16" t="s">
        <v>85</v>
      </c>
      <c r="D18" s="19" t="s">
        <v>4</v>
      </c>
      <c r="E18" s="19" t="s">
        <v>45</v>
      </c>
      <c r="F18" s="19" t="s">
        <v>48</v>
      </c>
    </row>
    <row r="19" spans="1:6" x14ac:dyDescent="0.3">
      <c r="A19" s="11">
        <v>1</v>
      </c>
      <c r="B19" s="11">
        <v>1</v>
      </c>
      <c r="C19" s="16" t="s">
        <v>85</v>
      </c>
      <c r="D19" s="8" t="s">
        <v>44</v>
      </c>
      <c r="E19" s="8" t="s">
        <v>13</v>
      </c>
      <c r="F19" s="8" t="s">
        <v>48</v>
      </c>
    </row>
    <row r="20" spans="1:6" x14ac:dyDescent="0.3">
      <c r="A20" s="16">
        <v>1</v>
      </c>
      <c r="B20" s="18">
        <v>1</v>
      </c>
      <c r="C20" s="17" t="s">
        <v>85</v>
      </c>
      <c r="D20" s="12" t="s">
        <v>33</v>
      </c>
      <c r="E20" s="19" t="s">
        <v>46</v>
      </c>
      <c r="F20" s="19" t="s">
        <v>76</v>
      </c>
    </row>
    <row r="21" spans="1:6" x14ac:dyDescent="0.3">
      <c r="A21" s="11">
        <v>1</v>
      </c>
      <c r="B21" s="18">
        <v>2</v>
      </c>
      <c r="C21" s="18" t="s">
        <v>84</v>
      </c>
      <c r="D21" s="12" t="s">
        <v>33</v>
      </c>
      <c r="E21" s="8" t="s">
        <v>46</v>
      </c>
      <c r="F21" s="8" t="s">
        <v>72</v>
      </c>
    </row>
    <row r="22" spans="1:6" x14ac:dyDescent="0.3">
      <c r="A22" s="16">
        <v>1</v>
      </c>
      <c r="B22" s="16">
        <v>1</v>
      </c>
      <c r="C22" s="16" t="s">
        <v>85</v>
      </c>
      <c r="D22" s="19" t="s">
        <v>4</v>
      </c>
      <c r="E22" s="19" t="s">
        <v>45</v>
      </c>
      <c r="F22" s="19" t="s">
        <v>49</v>
      </c>
    </row>
    <row r="23" spans="1:6" x14ac:dyDescent="0.3">
      <c r="A23" s="11">
        <v>1</v>
      </c>
      <c r="B23" s="11">
        <v>1</v>
      </c>
      <c r="C23" s="16" t="s">
        <v>85</v>
      </c>
      <c r="D23" s="8" t="s">
        <v>44</v>
      </c>
      <c r="E23" s="8" t="s">
        <v>13</v>
      </c>
      <c r="F23" s="8" t="s">
        <v>49</v>
      </c>
    </row>
    <row r="24" spans="1:6" x14ac:dyDescent="0.3">
      <c r="A24" s="16">
        <v>1</v>
      </c>
      <c r="B24" s="16">
        <v>1</v>
      </c>
      <c r="C24" s="16" t="s">
        <v>85</v>
      </c>
      <c r="D24" s="19" t="s">
        <v>4</v>
      </c>
      <c r="E24" s="19" t="s">
        <v>45</v>
      </c>
      <c r="F24" s="19" t="s">
        <v>51</v>
      </c>
    </row>
    <row r="25" spans="1:6" x14ac:dyDescent="0.3">
      <c r="A25" s="11">
        <v>1</v>
      </c>
      <c r="B25" s="11">
        <v>2</v>
      </c>
      <c r="C25" s="11" t="s">
        <v>84</v>
      </c>
      <c r="D25" s="8" t="s">
        <v>44</v>
      </c>
      <c r="E25" s="8" t="s">
        <v>14</v>
      </c>
      <c r="F25" s="8" t="s">
        <v>51</v>
      </c>
    </row>
    <row r="26" spans="1:6" x14ac:dyDescent="0.3">
      <c r="A26" s="31">
        <v>2</v>
      </c>
      <c r="B26" s="32">
        <v>1</v>
      </c>
      <c r="C26" s="31" t="s">
        <v>85</v>
      </c>
      <c r="D26" s="31" t="s">
        <v>4</v>
      </c>
      <c r="E26" s="31" t="s">
        <v>45</v>
      </c>
      <c r="F26" s="31" t="s">
        <v>56</v>
      </c>
    </row>
    <row r="27" spans="1:6" x14ac:dyDescent="0.3">
      <c r="A27" s="19">
        <v>2</v>
      </c>
      <c r="B27" s="16">
        <v>1</v>
      </c>
      <c r="C27" s="19" t="s">
        <v>85</v>
      </c>
      <c r="D27" s="19" t="s">
        <v>44</v>
      </c>
      <c r="E27" s="19" t="s">
        <v>13</v>
      </c>
      <c r="F27" s="19" t="s">
        <v>56</v>
      </c>
    </row>
    <row r="28" spans="1:6" x14ac:dyDescent="0.3">
      <c r="A28" s="31">
        <v>2</v>
      </c>
      <c r="B28" s="13">
        <v>2</v>
      </c>
      <c r="C28" s="13" t="s">
        <v>84</v>
      </c>
      <c r="D28" s="13" t="s">
        <v>33</v>
      </c>
      <c r="E28" s="31" t="s">
        <v>46</v>
      </c>
      <c r="F28" s="31" t="s">
        <v>53</v>
      </c>
    </row>
    <row r="29" spans="1:6" x14ac:dyDescent="0.3">
      <c r="A29" s="19">
        <v>2</v>
      </c>
      <c r="B29" s="13">
        <v>2</v>
      </c>
      <c r="C29" s="13" t="s">
        <v>84</v>
      </c>
      <c r="D29" s="13" t="s">
        <v>33</v>
      </c>
      <c r="E29" s="19" t="s">
        <v>46</v>
      </c>
      <c r="F29" s="19" t="s">
        <v>52</v>
      </c>
    </row>
    <row r="30" spans="1:6" x14ac:dyDescent="0.3">
      <c r="A30" s="31">
        <v>2</v>
      </c>
      <c r="B30" s="32">
        <v>1</v>
      </c>
      <c r="C30" s="32" t="s">
        <v>85</v>
      </c>
      <c r="D30" s="31" t="s">
        <v>4</v>
      </c>
      <c r="E30" s="31" t="s">
        <v>45</v>
      </c>
      <c r="F30" s="31" t="s">
        <v>57</v>
      </c>
    </row>
    <row r="31" spans="1:6" x14ac:dyDescent="0.3">
      <c r="A31" s="19">
        <v>2</v>
      </c>
      <c r="B31" s="16">
        <v>1</v>
      </c>
      <c r="C31" s="16" t="s">
        <v>85</v>
      </c>
      <c r="D31" s="19" t="s">
        <v>44</v>
      </c>
      <c r="E31" s="19" t="s">
        <v>13</v>
      </c>
      <c r="F31" s="19" t="s">
        <v>57</v>
      </c>
    </row>
    <row r="32" spans="1:6" x14ac:dyDescent="0.3">
      <c r="A32" s="31">
        <v>2</v>
      </c>
      <c r="B32" s="32">
        <v>1</v>
      </c>
      <c r="C32" s="32" t="s">
        <v>85</v>
      </c>
      <c r="D32" s="31" t="s">
        <v>4</v>
      </c>
      <c r="E32" s="31" t="s">
        <v>45</v>
      </c>
      <c r="F32" s="31" t="s">
        <v>59</v>
      </c>
    </row>
    <row r="33" spans="1:6" x14ac:dyDescent="0.3">
      <c r="A33" s="19">
        <v>2</v>
      </c>
      <c r="B33" s="16">
        <v>2</v>
      </c>
      <c r="C33" s="16" t="s">
        <v>84</v>
      </c>
      <c r="D33" s="19" t="s">
        <v>44</v>
      </c>
      <c r="E33" s="19" t="s">
        <v>14</v>
      </c>
      <c r="F33" s="19" t="s">
        <v>59</v>
      </c>
    </row>
    <row r="34" spans="1:6" x14ac:dyDescent="0.3">
      <c r="A34" s="31">
        <v>2</v>
      </c>
      <c r="B34" s="13">
        <v>1</v>
      </c>
      <c r="C34" s="13" t="s">
        <v>85</v>
      </c>
      <c r="D34" s="13" t="s">
        <v>33</v>
      </c>
      <c r="E34" s="31" t="s">
        <v>46</v>
      </c>
      <c r="F34" s="31" t="s">
        <v>54</v>
      </c>
    </row>
    <row r="35" spans="1:6" x14ac:dyDescent="0.3">
      <c r="A35" s="19">
        <v>2</v>
      </c>
      <c r="B35" s="16">
        <v>2</v>
      </c>
      <c r="C35" s="16" t="s">
        <v>84</v>
      </c>
      <c r="D35" s="19" t="s">
        <v>4</v>
      </c>
      <c r="E35" s="19" t="s">
        <v>45</v>
      </c>
      <c r="F35" s="19" t="s">
        <v>58</v>
      </c>
    </row>
    <row r="36" spans="1:6" x14ac:dyDescent="0.3">
      <c r="A36" s="31">
        <v>2</v>
      </c>
      <c r="B36" s="32">
        <v>1</v>
      </c>
      <c r="C36" s="32" t="s">
        <v>85</v>
      </c>
      <c r="D36" s="31" t="s">
        <v>44</v>
      </c>
      <c r="E36" s="31" t="s">
        <v>14</v>
      </c>
      <c r="F36" s="31" t="s">
        <v>58</v>
      </c>
    </row>
    <row r="37" spans="1:6" x14ac:dyDescent="0.3">
      <c r="A37" s="19">
        <v>2</v>
      </c>
      <c r="B37" s="16">
        <v>1</v>
      </c>
      <c r="C37" s="16" t="s">
        <v>85</v>
      </c>
      <c r="D37" s="19" t="s">
        <v>4</v>
      </c>
      <c r="E37" s="19" t="s">
        <v>45</v>
      </c>
      <c r="F37" s="19" t="s">
        <v>55</v>
      </c>
    </row>
    <row r="38" spans="1:6" x14ac:dyDescent="0.3">
      <c r="A38" s="31">
        <v>2</v>
      </c>
      <c r="B38" s="32">
        <v>2</v>
      </c>
      <c r="C38" s="32" t="s">
        <v>84</v>
      </c>
      <c r="D38" s="31" t="s">
        <v>44</v>
      </c>
      <c r="E38" s="31" t="s">
        <v>14</v>
      </c>
      <c r="F38" s="31" t="s">
        <v>55</v>
      </c>
    </row>
    <row r="39" spans="1:6" x14ac:dyDescent="0.3">
      <c r="A39" s="19">
        <v>2</v>
      </c>
      <c r="B39" s="13">
        <v>2</v>
      </c>
      <c r="C39" s="13" t="s">
        <v>84</v>
      </c>
      <c r="D39" s="13" t="s">
        <v>33</v>
      </c>
      <c r="E39" s="19" t="s">
        <v>46</v>
      </c>
      <c r="F39" s="19" t="s">
        <v>47</v>
      </c>
    </row>
    <row r="40" spans="1:6" x14ac:dyDescent="0.3">
      <c r="A40" s="31">
        <v>2</v>
      </c>
      <c r="B40" s="13">
        <v>1</v>
      </c>
      <c r="C40" s="13" t="s">
        <v>85</v>
      </c>
      <c r="D40" s="13" t="s">
        <v>33</v>
      </c>
      <c r="E40" s="31" t="s">
        <v>46</v>
      </c>
      <c r="F40" s="31" t="s">
        <v>50</v>
      </c>
    </row>
    <row r="41" spans="1:6" x14ac:dyDescent="0.3">
      <c r="A41" s="19">
        <v>2</v>
      </c>
      <c r="B41" s="16">
        <v>2</v>
      </c>
      <c r="C41" s="16" t="s">
        <v>84</v>
      </c>
      <c r="D41" s="19" t="s">
        <v>4</v>
      </c>
      <c r="E41" s="19" t="s">
        <v>45</v>
      </c>
      <c r="F41" s="19" t="s">
        <v>61</v>
      </c>
    </row>
    <row r="42" spans="1:6" x14ac:dyDescent="0.3">
      <c r="A42" s="31">
        <v>2</v>
      </c>
      <c r="B42" s="32">
        <v>2</v>
      </c>
      <c r="C42" s="32" t="s">
        <v>84</v>
      </c>
      <c r="D42" s="31" t="s">
        <v>44</v>
      </c>
      <c r="E42" s="31" t="s">
        <v>13</v>
      </c>
      <c r="F42" s="31" t="s">
        <v>61</v>
      </c>
    </row>
    <row r="43" spans="1:6" x14ac:dyDescent="0.3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48</v>
      </c>
    </row>
    <row r="44" spans="1:6" x14ac:dyDescent="0.3">
      <c r="A44" s="31">
        <v>2</v>
      </c>
      <c r="B44" s="32">
        <v>2</v>
      </c>
      <c r="C44" s="32" t="s">
        <v>84</v>
      </c>
      <c r="D44" s="31" t="s">
        <v>4</v>
      </c>
      <c r="E44" s="31" t="s">
        <v>45</v>
      </c>
      <c r="F44" s="31" t="s">
        <v>62</v>
      </c>
    </row>
    <row r="45" spans="1:6" x14ac:dyDescent="0.3">
      <c r="A45" s="19">
        <v>2</v>
      </c>
      <c r="B45" s="16">
        <v>2</v>
      </c>
      <c r="C45" s="16" t="s">
        <v>84</v>
      </c>
      <c r="D45" s="19" t="s">
        <v>44</v>
      </c>
      <c r="E45" s="19" t="s">
        <v>13</v>
      </c>
      <c r="F45" s="19" t="s">
        <v>62</v>
      </c>
    </row>
    <row r="46" spans="1:6" x14ac:dyDescent="0.3">
      <c r="A46" s="31">
        <v>2</v>
      </c>
      <c r="B46" s="32">
        <v>2</v>
      </c>
      <c r="C46" s="32" t="s">
        <v>84</v>
      </c>
      <c r="D46" s="31" t="s">
        <v>4</v>
      </c>
      <c r="E46" s="31" t="s">
        <v>45</v>
      </c>
      <c r="F46" s="31" t="s">
        <v>60</v>
      </c>
    </row>
    <row r="47" spans="1:6" x14ac:dyDescent="0.3">
      <c r="A47" s="19">
        <v>2</v>
      </c>
      <c r="B47" s="16">
        <v>1</v>
      </c>
      <c r="C47" s="16" t="s">
        <v>85</v>
      </c>
      <c r="D47" s="19" t="s">
        <v>44</v>
      </c>
      <c r="E47" s="19" t="s">
        <v>14</v>
      </c>
      <c r="F47" s="19" t="s">
        <v>60</v>
      </c>
    </row>
    <row r="48" spans="1:6" x14ac:dyDescent="0.3">
      <c r="A48" s="31">
        <v>2</v>
      </c>
      <c r="B48" s="13">
        <v>1</v>
      </c>
      <c r="C48" s="13" t="s">
        <v>85</v>
      </c>
      <c r="D48" s="13" t="s">
        <v>33</v>
      </c>
      <c r="E48" s="31" t="s">
        <v>46</v>
      </c>
      <c r="F48" s="31" t="s">
        <v>49</v>
      </c>
    </row>
    <row r="49" spans="1:6" x14ac:dyDescent="0.3">
      <c r="A49" s="19">
        <v>2</v>
      </c>
      <c r="B49" s="13">
        <v>2</v>
      </c>
      <c r="C49" s="13" t="s">
        <v>84</v>
      </c>
      <c r="D49" s="13" t="s">
        <v>33</v>
      </c>
      <c r="E49" s="19" t="s">
        <v>46</v>
      </c>
      <c r="F49" s="19" t="s">
        <v>51</v>
      </c>
    </row>
    <row r="50" spans="1:6" x14ac:dyDescent="0.3">
      <c r="A50" s="16">
        <v>3</v>
      </c>
      <c r="B50" s="16">
        <v>1</v>
      </c>
      <c r="C50" s="16" t="s">
        <v>85</v>
      </c>
      <c r="D50" s="19" t="s">
        <v>4</v>
      </c>
      <c r="E50" s="19" t="s">
        <v>45</v>
      </c>
      <c r="F50" s="19" t="s">
        <v>66</v>
      </c>
    </row>
    <row r="51" spans="1:6" x14ac:dyDescent="0.3">
      <c r="A51" s="11">
        <v>3</v>
      </c>
      <c r="B51" s="11">
        <v>2</v>
      </c>
      <c r="C51" s="11" t="s">
        <v>84</v>
      </c>
      <c r="D51" s="8" t="s">
        <v>44</v>
      </c>
      <c r="E51" s="8" t="s">
        <v>14</v>
      </c>
      <c r="F51" s="8" t="s">
        <v>66</v>
      </c>
    </row>
    <row r="52" spans="1:6" x14ac:dyDescent="0.3">
      <c r="A52" s="16">
        <v>3</v>
      </c>
      <c r="B52" s="14">
        <v>2</v>
      </c>
      <c r="C52" s="14" t="s">
        <v>84</v>
      </c>
      <c r="D52" s="14" t="s">
        <v>33</v>
      </c>
      <c r="E52" s="19" t="s">
        <v>46</v>
      </c>
      <c r="F52" s="19" t="s">
        <v>56</v>
      </c>
    </row>
    <row r="53" spans="1:6" x14ac:dyDescent="0.3">
      <c r="A53" s="11">
        <v>3</v>
      </c>
      <c r="B53" s="14">
        <v>1</v>
      </c>
      <c r="C53" s="14" t="s">
        <v>85</v>
      </c>
      <c r="D53" s="14" t="s">
        <v>33</v>
      </c>
      <c r="E53" s="8" t="s">
        <v>46</v>
      </c>
      <c r="F53" s="8" t="s">
        <v>57</v>
      </c>
    </row>
    <row r="54" spans="1:6" x14ac:dyDescent="0.3">
      <c r="A54" s="16">
        <v>3</v>
      </c>
      <c r="B54" s="16">
        <v>2</v>
      </c>
      <c r="C54" s="16" t="s">
        <v>84</v>
      </c>
      <c r="D54" s="19" t="s">
        <v>4</v>
      </c>
      <c r="E54" s="19" t="s">
        <v>45</v>
      </c>
      <c r="F54" s="19" t="s">
        <v>69</v>
      </c>
    </row>
    <row r="55" spans="1:6" x14ac:dyDescent="0.3">
      <c r="A55" s="11">
        <v>3</v>
      </c>
      <c r="B55" s="11">
        <v>1</v>
      </c>
      <c r="C55" s="11" t="s">
        <v>85</v>
      </c>
      <c r="D55" s="8" t="s">
        <v>44</v>
      </c>
      <c r="E55" s="8" t="s">
        <v>14</v>
      </c>
      <c r="F55" s="8" t="s">
        <v>69</v>
      </c>
    </row>
    <row r="56" spans="1:6" x14ac:dyDescent="0.3">
      <c r="A56" s="16">
        <v>3</v>
      </c>
      <c r="B56" s="16">
        <v>1</v>
      </c>
      <c r="C56" s="16" t="s">
        <v>85</v>
      </c>
      <c r="D56" s="19" t="s">
        <v>4</v>
      </c>
      <c r="E56" s="19" t="s">
        <v>45</v>
      </c>
      <c r="F56" s="19" t="s">
        <v>64</v>
      </c>
    </row>
    <row r="57" spans="1:6" x14ac:dyDescent="0.3">
      <c r="A57" s="11">
        <v>3</v>
      </c>
      <c r="B57" s="11">
        <v>2</v>
      </c>
      <c r="C57" s="11" t="s">
        <v>84</v>
      </c>
      <c r="D57" s="8" t="s">
        <v>44</v>
      </c>
      <c r="E57" s="8" t="s">
        <v>14</v>
      </c>
      <c r="F57" s="8" t="s">
        <v>64</v>
      </c>
    </row>
    <row r="58" spans="1:6" x14ac:dyDescent="0.3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59</v>
      </c>
    </row>
    <row r="59" spans="1:6" x14ac:dyDescent="0.3">
      <c r="A59" s="11">
        <v>3</v>
      </c>
      <c r="B59" s="11">
        <v>2</v>
      </c>
      <c r="C59" s="11" t="s">
        <v>84</v>
      </c>
      <c r="D59" s="8" t="s">
        <v>4</v>
      </c>
      <c r="E59" s="8" t="s">
        <v>45</v>
      </c>
      <c r="F59" s="8" t="s">
        <v>68</v>
      </c>
    </row>
    <row r="60" spans="1:6" x14ac:dyDescent="0.3">
      <c r="A60" s="16">
        <v>3</v>
      </c>
      <c r="B60" s="16">
        <v>2</v>
      </c>
      <c r="C60" s="16" t="s">
        <v>84</v>
      </c>
      <c r="D60" s="19" t="s">
        <v>44</v>
      </c>
      <c r="E60" s="19" t="s">
        <v>13</v>
      </c>
      <c r="F60" s="19" t="s">
        <v>68</v>
      </c>
    </row>
    <row r="61" spans="1:6" x14ac:dyDescent="0.3">
      <c r="A61" s="11">
        <v>3</v>
      </c>
      <c r="B61" s="14">
        <v>1</v>
      </c>
      <c r="C61" s="14" t="s">
        <v>85</v>
      </c>
      <c r="D61" s="14" t="s">
        <v>33</v>
      </c>
      <c r="E61" s="8" t="s">
        <v>46</v>
      </c>
      <c r="F61" s="8" t="s">
        <v>58</v>
      </c>
    </row>
    <row r="62" spans="1:6" x14ac:dyDescent="0.3">
      <c r="A62" s="16">
        <v>3</v>
      </c>
      <c r="B62" s="14">
        <v>2</v>
      </c>
      <c r="C62" s="14" t="s">
        <v>84</v>
      </c>
      <c r="D62" s="14" t="s">
        <v>33</v>
      </c>
      <c r="E62" s="19" t="s">
        <v>46</v>
      </c>
      <c r="F62" s="19" t="s">
        <v>55</v>
      </c>
    </row>
    <row r="63" spans="1:6" x14ac:dyDescent="0.3">
      <c r="A63" s="11">
        <v>3</v>
      </c>
      <c r="B63" s="14">
        <v>1</v>
      </c>
      <c r="C63" s="14" t="s">
        <v>85</v>
      </c>
      <c r="D63" s="14" t="s">
        <v>33</v>
      </c>
      <c r="E63" s="8" t="s">
        <v>46</v>
      </c>
      <c r="F63" s="8" t="s">
        <v>61</v>
      </c>
    </row>
    <row r="64" spans="1:6" x14ac:dyDescent="0.3">
      <c r="A64" s="16">
        <v>3</v>
      </c>
      <c r="B64" s="16">
        <v>2</v>
      </c>
      <c r="C64" s="16" t="s">
        <v>84</v>
      </c>
      <c r="D64" s="19" t="s">
        <v>4</v>
      </c>
      <c r="E64" s="19" t="s">
        <v>45</v>
      </c>
      <c r="F64" s="19" t="s">
        <v>70</v>
      </c>
    </row>
    <row r="65" spans="1:6" x14ac:dyDescent="0.3">
      <c r="A65" s="11">
        <v>3</v>
      </c>
      <c r="B65" s="11">
        <v>2</v>
      </c>
      <c r="C65" s="11" t="s">
        <v>84</v>
      </c>
      <c r="D65" s="8" t="s">
        <v>44</v>
      </c>
      <c r="E65" s="8" t="s">
        <v>13</v>
      </c>
      <c r="F65" s="8" t="s">
        <v>70</v>
      </c>
    </row>
    <row r="66" spans="1:6" x14ac:dyDescent="0.3">
      <c r="A66" s="16">
        <v>3</v>
      </c>
      <c r="B66" s="16">
        <v>2</v>
      </c>
      <c r="C66" s="16" t="s">
        <v>84</v>
      </c>
      <c r="D66" s="19" t="s">
        <v>4</v>
      </c>
      <c r="E66" s="19" t="s">
        <v>45</v>
      </c>
      <c r="F66" s="19" t="s">
        <v>67</v>
      </c>
    </row>
    <row r="67" spans="1:6" x14ac:dyDescent="0.3">
      <c r="A67" s="11">
        <v>3</v>
      </c>
      <c r="B67" s="11">
        <v>1</v>
      </c>
      <c r="C67" s="11" t="s">
        <v>85</v>
      </c>
      <c r="D67" s="8" t="s">
        <v>44</v>
      </c>
      <c r="E67" s="8" t="s">
        <v>14</v>
      </c>
      <c r="F67" s="8" t="s">
        <v>67</v>
      </c>
    </row>
    <row r="68" spans="1:6" x14ac:dyDescent="0.3">
      <c r="A68" s="32">
        <v>3</v>
      </c>
      <c r="B68" s="32">
        <v>1</v>
      </c>
      <c r="C68" s="32" t="s">
        <v>85</v>
      </c>
      <c r="D68" s="31" t="s">
        <v>4</v>
      </c>
      <c r="E68" s="31" t="s">
        <v>45</v>
      </c>
      <c r="F68" s="31" t="s">
        <v>65</v>
      </c>
    </row>
    <row r="69" spans="1:6" x14ac:dyDescent="0.3">
      <c r="A69" s="16">
        <v>3</v>
      </c>
      <c r="B69" s="16">
        <v>1</v>
      </c>
      <c r="C69" s="16" t="s">
        <v>85</v>
      </c>
      <c r="D69" s="19" t="s">
        <v>44</v>
      </c>
      <c r="E69" s="19" t="s">
        <v>13</v>
      </c>
      <c r="F69" s="19" t="s">
        <v>65</v>
      </c>
    </row>
    <row r="70" spans="1:6" x14ac:dyDescent="0.3">
      <c r="A70" s="32">
        <v>3</v>
      </c>
      <c r="B70" s="14">
        <v>2</v>
      </c>
      <c r="C70" s="14" t="s">
        <v>84</v>
      </c>
      <c r="D70" s="14" t="s">
        <v>33</v>
      </c>
      <c r="E70" s="31" t="s">
        <v>46</v>
      </c>
      <c r="F70" s="31" t="s">
        <v>60</v>
      </c>
    </row>
    <row r="71" spans="1:6" x14ac:dyDescent="0.3">
      <c r="A71" s="16">
        <v>3</v>
      </c>
      <c r="B71" s="16">
        <v>1</v>
      </c>
      <c r="C71" s="16" t="s">
        <v>85</v>
      </c>
      <c r="D71" s="19" t="s">
        <v>4</v>
      </c>
      <c r="E71" s="19" t="s">
        <v>45</v>
      </c>
      <c r="F71" s="19" t="s">
        <v>63</v>
      </c>
    </row>
    <row r="72" spans="1:6" x14ac:dyDescent="0.3">
      <c r="A72" s="32">
        <v>3</v>
      </c>
      <c r="B72" s="32">
        <v>1</v>
      </c>
      <c r="C72" s="32" t="s">
        <v>85</v>
      </c>
      <c r="D72" s="31" t="s">
        <v>44</v>
      </c>
      <c r="E72" s="31" t="s">
        <v>13</v>
      </c>
      <c r="F72" s="31" t="s">
        <v>63</v>
      </c>
    </row>
    <row r="73" spans="1:6" x14ac:dyDescent="0.3">
      <c r="A73" s="16">
        <v>3</v>
      </c>
      <c r="B73" s="14">
        <v>2</v>
      </c>
      <c r="C73" s="14" t="s">
        <v>84</v>
      </c>
      <c r="D73" s="14" t="s">
        <v>33</v>
      </c>
      <c r="E73" s="19" t="s">
        <v>46</v>
      </c>
      <c r="F73" s="19" t="s">
        <v>62</v>
      </c>
    </row>
    <row r="74" spans="1:6" x14ac:dyDescent="0.3">
      <c r="A74" s="31">
        <v>4</v>
      </c>
      <c r="B74" s="32">
        <v>1</v>
      </c>
      <c r="C74" s="32" t="s">
        <v>85</v>
      </c>
      <c r="D74" s="31" t="s">
        <v>4</v>
      </c>
      <c r="E74" s="31" t="s">
        <v>45</v>
      </c>
      <c r="F74" s="31" t="s">
        <v>75</v>
      </c>
    </row>
    <row r="75" spans="1:6" x14ac:dyDescent="0.3">
      <c r="A75" s="19">
        <v>4</v>
      </c>
      <c r="B75" s="16">
        <v>1</v>
      </c>
      <c r="C75" s="16" t="s">
        <v>85</v>
      </c>
      <c r="D75" s="19" t="s">
        <v>44</v>
      </c>
      <c r="E75" s="19" t="s">
        <v>13</v>
      </c>
      <c r="F75" s="19" t="s">
        <v>75</v>
      </c>
    </row>
    <row r="76" spans="1:6" x14ac:dyDescent="0.3">
      <c r="A76" s="31">
        <v>4</v>
      </c>
      <c r="B76" s="15">
        <v>2</v>
      </c>
      <c r="C76" s="15" t="s">
        <v>84</v>
      </c>
      <c r="D76" s="15" t="s">
        <v>33</v>
      </c>
      <c r="E76" s="31" t="s">
        <v>46</v>
      </c>
      <c r="F76" s="31" t="s">
        <v>66</v>
      </c>
    </row>
    <row r="77" spans="1:6" x14ac:dyDescent="0.3">
      <c r="A77" s="19">
        <v>4</v>
      </c>
      <c r="B77" s="16">
        <v>1</v>
      </c>
      <c r="C77" s="16" t="s">
        <v>85</v>
      </c>
      <c r="D77" s="19" t="s">
        <v>4</v>
      </c>
      <c r="E77" s="19" t="s">
        <v>45</v>
      </c>
      <c r="F77" s="19" t="s">
        <v>73</v>
      </c>
    </row>
    <row r="78" spans="1:6" x14ac:dyDescent="0.3">
      <c r="A78" s="31">
        <v>4</v>
      </c>
      <c r="B78" s="32">
        <v>2</v>
      </c>
      <c r="C78" s="32" t="s">
        <v>84</v>
      </c>
      <c r="D78" s="31" t="s">
        <v>44</v>
      </c>
      <c r="E78" s="31" t="s">
        <v>14</v>
      </c>
      <c r="F78" s="31" t="s">
        <v>73</v>
      </c>
    </row>
    <row r="79" spans="1:6" x14ac:dyDescent="0.3">
      <c r="A79" s="19">
        <v>4</v>
      </c>
      <c r="B79" s="16">
        <v>2</v>
      </c>
      <c r="C79" s="16" t="s">
        <v>84</v>
      </c>
      <c r="D79" s="19" t="s">
        <v>4</v>
      </c>
      <c r="E79" s="19" t="s">
        <v>45</v>
      </c>
      <c r="F79" s="19" t="s">
        <v>77</v>
      </c>
    </row>
    <row r="80" spans="1:6" x14ac:dyDescent="0.3">
      <c r="A80" s="31">
        <v>4</v>
      </c>
      <c r="B80" s="32">
        <v>2</v>
      </c>
      <c r="C80" s="32" t="s">
        <v>84</v>
      </c>
      <c r="D80" s="31" t="s">
        <v>44</v>
      </c>
      <c r="E80" s="31" t="s">
        <v>13</v>
      </c>
      <c r="F80" s="31" t="s">
        <v>77</v>
      </c>
    </row>
    <row r="81" spans="1:6" x14ac:dyDescent="0.3">
      <c r="A81" s="19">
        <v>4</v>
      </c>
      <c r="B81" s="15">
        <v>1</v>
      </c>
      <c r="C81" s="15" t="s">
        <v>85</v>
      </c>
      <c r="D81" s="15" t="s">
        <v>33</v>
      </c>
      <c r="E81" s="19" t="s">
        <v>46</v>
      </c>
      <c r="F81" s="19" t="s">
        <v>69</v>
      </c>
    </row>
    <row r="82" spans="1:6" x14ac:dyDescent="0.3">
      <c r="A82" s="31">
        <v>4</v>
      </c>
      <c r="B82" s="15">
        <v>2</v>
      </c>
      <c r="C82" s="15" t="s">
        <v>84</v>
      </c>
      <c r="D82" s="15" t="s">
        <v>33</v>
      </c>
      <c r="E82" s="31" t="s">
        <v>46</v>
      </c>
      <c r="F82" s="31" t="s">
        <v>64</v>
      </c>
    </row>
    <row r="83" spans="1:6" x14ac:dyDescent="0.3">
      <c r="A83" s="19">
        <v>4</v>
      </c>
      <c r="B83" s="16">
        <v>2</v>
      </c>
      <c r="C83" s="16" t="s">
        <v>84</v>
      </c>
      <c r="D83" s="19" t="s">
        <v>4</v>
      </c>
      <c r="E83" s="19" t="s">
        <v>45</v>
      </c>
      <c r="F83" s="19" t="s">
        <v>74</v>
      </c>
    </row>
    <row r="84" spans="1:6" x14ac:dyDescent="0.3">
      <c r="A84" s="31">
        <v>4</v>
      </c>
      <c r="B84" s="32">
        <v>1</v>
      </c>
      <c r="C84" s="32" t="s">
        <v>85</v>
      </c>
      <c r="D84" s="31" t="s">
        <v>44</v>
      </c>
      <c r="E84" s="31" t="s">
        <v>14</v>
      </c>
      <c r="F84" s="31" t="s">
        <v>74</v>
      </c>
    </row>
    <row r="85" spans="1:6" x14ac:dyDescent="0.3">
      <c r="A85" s="19">
        <v>4</v>
      </c>
      <c r="B85" s="16">
        <v>1</v>
      </c>
      <c r="C85" s="16" t="s">
        <v>85</v>
      </c>
      <c r="D85" s="19" t="s">
        <v>4</v>
      </c>
      <c r="E85" s="19" t="s">
        <v>45</v>
      </c>
      <c r="F85" s="19" t="s">
        <v>78</v>
      </c>
    </row>
    <row r="86" spans="1:6" x14ac:dyDescent="0.3">
      <c r="A86" s="31">
        <v>4</v>
      </c>
      <c r="B86" s="32">
        <v>2</v>
      </c>
      <c r="C86" s="32" t="s">
        <v>84</v>
      </c>
      <c r="D86" s="31" t="s">
        <v>44</v>
      </c>
      <c r="E86" s="31" t="s">
        <v>14</v>
      </c>
      <c r="F86" s="31" t="s">
        <v>78</v>
      </c>
    </row>
    <row r="87" spans="1:6" x14ac:dyDescent="0.3">
      <c r="A87" s="19">
        <v>4</v>
      </c>
      <c r="B87" s="15">
        <v>1</v>
      </c>
      <c r="C87" s="15" t="s">
        <v>85</v>
      </c>
      <c r="D87" s="15" t="s">
        <v>33</v>
      </c>
      <c r="E87" s="19" t="s">
        <v>46</v>
      </c>
      <c r="F87" s="19" t="s">
        <v>68</v>
      </c>
    </row>
    <row r="88" spans="1:6" x14ac:dyDescent="0.3">
      <c r="A88" s="31">
        <v>4</v>
      </c>
      <c r="B88" s="32">
        <v>2</v>
      </c>
      <c r="C88" s="32" t="s">
        <v>84</v>
      </c>
      <c r="D88" s="31" t="s">
        <v>4</v>
      </c>
      <c r="E88" s="31" t="s">
        <v>45</v>
      </c>
      <c r="F88" s="31" t="s">
        <v>71</v>
      </c>
    </row>
    <row r="89" spans="1:6" x14ac:dyDescent="0.3">
      <c r="A89" s="19">
        <v>4</v>
      </c>
      <c r="B89" s="16">
        <v>2</v>
      </c>
      <c r="C89" s="16" t="s">
        <v>84</v>
      </c>
      <c r="D89" s="19" t="s">
        <v>44</v>
      </c>
      <c r="E89" s="19" t="s">
        <v>13</v>
      </c>
      <c r="F89" s="19" t="s">
        <v>71</v>
      </c>
    </row>
    <row r="90" spans="1:6" x14ac:dyDescent="0.3">
      <c r="A90" s="31">
        <v>4</v>
      </c>
      <c r="B90" s="15">
        <v>1</v>
      </c>
      <c r="C90" s="15" t="s">
        <v>85</v>
      </c>
      <c r="D90" s="15" t="s">
        <v>33</v>
      </c>
      <c r="E90" s="31" t="s">
        <v>46</v>
      </c>
      <c r="F90" s="31" t="s">
        <v>70</v>
      </c>
    </row>
    <row r="91" spans="1:6" x14ac:dyDescent="0.3">
      <c r="A91" s="19">
        <v>4</v>
      </c>
      <c r="B91" s="16">
        <v>2</v>
      </c>
      <c r="C91" s="16" t="s">
        <v>84</v>
      </c>
      <c r="D91" s="19" t="s">
        <v>4</v>
      </c>
      <c r="E91" s="19" t="s">
        <v>45</v>
      </c>
      <c r="F91" s="19" t="s">
        <v>76</v>
      </c>
    </row>
    <row r="92" spans="1:6" x14ac:dyDescent="0.3">
      <c r="A92" s="31">
        <v>4</v>
      </c>
      <c r="B92" s="32">
        <v>1</v>
      </c>
      <c r="C92" s="32" t="s">
        <v>85</v>
      </c>
      <c r="D92" s="31" t="s">
        <v>44</v>
      </c>
      <c r="E92" s="31" t="s">
        <v>14</v>
      </c>
      <c r="F92" s="31" t="s">
        <v>76</v>
      </c>
    </row>
    <row r="93" spans="1:6" x14ac:dyDescent="0.3">
      <c r="A93" s="19">
        <v>4</v>
      </c>
      <c r="B93" s="16">
        <v>1</v>
      </c>
      <c r="C93" s="16" t="s">
        <v>85</v>
      </c>
      <c r="D93" s="19" t="s">
        <v>4</v>
      </c>
      <c r="E93" s="19" t="s">
        <v>45</v>
      </c>
      <c r="F93" s="19" t="s">
        <v>72</v>
      </c>
    </row>
    <row r="94" spans="1:6" x14ac:dyDescent="0.3">
      <c r="A94" s="31">
        <v>4</v>
      </c>
      <c r="B94" s="32">
        <v>1</v>
      </c>
      <c r="C94" s="32" t="s">
        <v>85</v>
      </c>
      <c r="D94" s="31" t="s">
        <v>44</v>
      </c>
      <c r="E94" s="31" t="s">
        <v>13</v>
      </c>
      <c r="F94" s="31" t="s">
        <v>72</v>
      </c>
    </row>
    <row r="95" spans="1:6" x14ac:dyDescent="0.3">
      <c r="A95" s="19">
        <v>4</v>
      </c>
      <c r="B95" s="15">
        <v>2</v>
      </c>
      <c r="C95" s="15" t="s">
        <v>84</v>
      </c>
      <c r="D95" s="15" t="s">
        <v>33</v>
      </c>
      <c r="E95" s="19" t="s">
        <v>46</v>
      </c>
      <c r="F95" s="19" t="s">
        <v>67</v>
      </c>
    </row>
    <row r="96" spans="1:6" x14ac:dyDescent="0.3">
      <c r="A96" s="31">
        <v>4</v>
      </c>
      <c r="B96" s="15">
        <v>1</v>
      </c>
      <c r="C96" s="15" t="s">
        <v>85</v>
      </c>
      <c r="D96" s="15" t="s">
        <v>33</v>
      </c>
      <c r="E96" s="31" t="s">
        <v>46</v>
      </c>
      <c r="F96" s="31" t="s">
        <v>65</v>
      </c>
    </row>
    <row r="97" spans="1:6" x14ac:dyDescent="0.3">
      <c r="A97" s="19">
        <v>4</v>
      </c>
      <c r="B97" s="15">
        <v>2</v>
      </c>
      <c r="C97" s="15" t="s">
        <v>84</v>
      </c>
      <c r="D97" s="15" t="s">
        <v>33</v>
      </c>
      <c r="E97" s="19" t="s">
        <v>46</v>
      </c>
      <c r="F97" s="19" t="s">
        <v>63</v>
      </c>
    </row>
    <row r="98" spans="1:6" x14ac:dyDescent="0.3">
      <c r="A98" s="33" t="s">
        <v>29</v>
      </c>
      <c r="B98" s="33"/>
      <c r="C98" s="33"/>
      <c r="D98" s="33"/>
      <c r="E98" s="33"/>
      <c r="F98" s="33"/>
    </row>
    <row r="99" spans="1:6" x14ac:dyDescent="0.3">
      <c r="A99" s="16">
        <v>1</v>
      </c>
      <c r="B99" s="16">
        <v>2</v>
      </c>
      <c r="C99" s="16" t="s">
        <v>84</v>
      </c>
      <c r="D99" s="19" t="s">
        <v>4</v>
      </c>
      <c r="E99" s="19" t="s">
        <v>45</v>
      </c>
      <c r="F99" s="19" t="s">
        <v>47</v>
      </c>
    </row>
    <row r="100" spans="1:6" x14ac:dyDescent="0.3">
      <c r="A100" s="11">
        <v>1</v>
      </c>
      <c r="B100" s="11">
        <v>2</v>
      </c>
      <c r="C100" s="11" t="s">
        <v>84</v>
      </c>
      <c r="D100" s="8" t="s">
        <v>44</v>
      </c>
      <c r="E100" s="8" t="s">
        <v>13</v>
      </c>
      <c r="F100" s="8" t="s">
        <v>47</v>
      </c>
    </row>
    <row r="101" spans="1:6" x14ac:dyDescent="0.3">
      <c r="A101" s="16">
        <v>1</v>
      </c>
      <c r="B101" s="18">
        <v>1</v>
      </c>
      <c r="C101" s="17" t="s">
        <v>85</v>
      </c>
      <c r="D101" s="12" t="s">
        <v>33</v>
      </c>
      <c r="E101" s="19" t="s">
        <v>46</v>
      </c>
      <c r="F101" s="19" t="s">
        <v>78</v>
      </c>
    </row>
    <row r="102" spans="1:6" x14ac:dyDescent="0.3">
      <c r="A102" s="11">
        <v>1</v>
      </c>
      <c r="B102" s="11">
        <v>2</v>
      </c>
      <c r="C102" s="11" t="s">
        <v>84</v>
      </c>
      <c r="D102" s="8" t="s">
        <v>4</v>
      </c>
      <c r="E102" s="8" t="s">
        <v>45</v>
      </c>
      <c r="F102" s="8" t="s">
        <v>48</v>
      </c>
    </row>
    <row r="103" spans="1:6" x14ac:dyDescent="0.3">
      <c r="A103" s="16">
        <v>1</v>
      </c>
      <c r="B103" s="16">
        <v>2</v>
      </c>
      <c r="C103" s="16" t="s">
        <v>84</v>
      </c>
      <c r="D103" s="19" t="s">
        <v>44</v>
      </c>
      <c r="E103" s="19" t="s">
        <v>13</v>
      </c>
      <c r="F103" s="19" t="s">
        <v>48</v>
      </c>
    </row>
    <row r="104" spans="1:6" x14ac:dyDescent="0.3">
      <c r="A104" s="11">
        <v>1</v>
      </c>
      <c r="B104" s="18">
        <v>1</v>
      </c>
      <c r="C104" s="18" t="s">
        <v>85</v>
      </c>
      <c r="D104" s="12" t="s">
        <v>33</v>
      </c>
      <c r="E104" s="8" t="s">
        <v>46</v>
      </c>
      <c r="F104" s="8" t="s">
        <v>77</v>
      </c>
    </row>
    <row r="105" spans="1:6" x14ac:dyDescent="0.3">
      <c r="A105" s="16">
        <v>1</v>
      </c>
      <c r="B105" s="16">
        <v>2</v>
      </c>
      <c r="C105" s="16" t="s">
        <v>84</v>
      </c>
      <c r="D105" s="19" t="s">
        <v>4</v>
      </c>
      <c r="E105" s="19" t="s">
        <v>45</v>
      </c>
      <c r="F105" s="19" t="s">
        <v>49</v>
      </c>
    </row>
    <row r="106" spans="1:6" x14ac:dyDescent="0.3">
      <c r="A106" s="11">
        <v>1</v>
      </c>
      <c r="B106" s="11">
        <v>1</v>
      </c>
      <c r="C106" s="11" t="s">
        <v>85</v>
      </c>
      <c r="D106" s="8" t="s">
        <v>44</v>
      </c>
      <c r="E106" s="8" t="s">
        <v>14</v>
      </c>
      <c r="F106" s="8" t="s">
        <v>49</v>
      </c>
    </row>
    <row r="107" spans="1:6" x14ac:dyDescent="0.3">
      <c r="A107" s="16">
        <v>1</v>
      </c>
      <c r="B107" s="16">
        <v>1</v>
      </c>
      <c r="C107" s="16" t="s">
        <v>85</v>
      </c>
      <c r="D107" s="19" t="s">
        <v>4</v>
      </c>
      <c r="E107" s="19" t="s">
        <v>45</v>
      </c>
      <c r="F107" s="19" t="s">
        <v>50</v>
      </c>
    </row>
    <row r="108" spans="1:6" x14ac:dyDescent="0.3">
      <c r="A108" s="11">
        <v>1</v>
      </c>
      <c r="B108" s="11">
        <v>2</v>
      </c>
      <c r="C108" s="11" t="s">
        <v>84</v>
      </c>
      <c r="D108" s="8" t="s">
        <v>44</v>
      </c>
      <c r="E108" s="8" t="s">
        <v>14</v>
      </c>
      <c r="F108" s="8" t="s">
        <v>50</v>
      </c>
    </row>
    <row r="109" spans="1:6" x14ac:dyDescent="0.3">
      <c r="A109" s="16">
        <v>1</v>
      </c>
      <c r="B109" s="18">
        <v>2</v>
      </c>
      <c r="C109" s="17" t="s">
        <v>84</v>
      </c>
      <c r="D109" s="12" t="s">
        <v>33</v>
      </c>
      <c r="E109" s="19" t="s">
        <v>46</v>
      </c>
      <c r="F109" s="19" t="s">
        <v>76</v>
      </c>
    </row>
    <row r="110" spans="1:6" x14ac:dyDescent="0.3">
      <c r="A110" s="11">
        <v>1</v>
      </c>
      <c r="B110" s="11">
        <v>2</v>
      </c>
      <c r="C110" s="11" t="s">
        <v>84</v>
      </c>
      <c r="D110" s="8" t="s">
        <v>4</v>
      </c>
      <c r="E110" s="8" t="s">
        <v>45</v>
      </c>
      <c r="F110" s="8" t="s">
        <v>51</v>
      </c>
    </row>
    <row r="111" spans="1:6" x14ac:dyDescent="0.3">
      <c r="A111" s="16">
        <v>1</v>
      </c>
      <c r="B111" s="16">
        <v>1</v>
      </c>
      <c r="C111" s="16" t="s">
        <v>85</v>
      </c>
      <c r="D111" s="19" t="s">
        <v>44</v>
      </c>
      <c r="E111" s="19" t="s">
        <v>14</v>
      </c>
      <c r="F111" s="19" t="s">
        <v>51</v>
      </c>
    </row>
    <row r="112" spans="1:6" x14ac:dyDescent="0.3">
      <c r="A112" s="11">
        <v>1</v>
      </c>
      <c r="B112" s="18">
        <v>2</v>
      </c>
      <c r="C112" s="18" t="s">
        <v>84</v>
      </c>
      <c r="D112" s="12" t="s">
        <v>33</v>
      </c>
      <c r="E112" s="8" t="s">
        <v>46</v>
      </c>
      <c r="F112" s="8" t="s">
        <v>75</v>
      </c>
    </row>
    <row r="113" spans="1:6" x14ac:dyDescent="0.3">
      <c r="A113" s="16">
        <v>1</v>
      </c>
      <c r="B113" s="16">
        <v>1</v>
      </c>
      <c r="C113" s="16" t="s">
        <v>85</v>
      </c>
      <c r="D113" s="19" t="s">
        <v>4</v>
      </c>
      <c r="E113" s="19" t="s">
        <v>45</v>
      </c>
      <c r="F113" s="19" t="s">
        <v>52</v>
      </c>
    </row>
    <row r="114" spans="1:6" x14ac:dyDescent="0.3">
      <c r="A114" s="11">
        <v>1</v>
      </c>
      <c r="B114" s="11">
        <v>1</v>
      </c>
      <c r="C114" s="11" t="s">
        <v>85</v>
      </c>
      <c r="D114" s="8" t="s">
        <v>44</v>
      </c>
      <c r="E114" s="8" t="s">
        <v>13</v>
      </c>
      <c r="F114" s="8" t="s">
        <v>52</v>
      </c>
    </row>
    <row r="115" spans="1:6" x14ac:dyDescent="0.3">
      <c r="A115" s="16">
        <v>1</v>
      </c>
      <c r="B115" s="18">
        <v>2</v>
      </c>
      <c r="C115" s="17" t="s">
        <v>84</v>
      </c>
      <c r="D115" s="12" t="s">
        <v>33</v>
      </c>
      <c r="E115" s="19" t="s">
        <v>46</v>
      </c>
      <c r="F115" s="19" t="s">
        <v>74</v>
      </c>
    </row>
    <row r="116" spans="1:6" x14ac:dyDescent="0.3">
      <c r="A116" s="11">
        <v>1</v>
      </c>
      <c r="B116" s="11">
        <v>1</v>
      </c>
      <c r="C116" s="11" t="s">
        <v>85</v>
      </c>
      <c r="D116" s="8" t="s">
        <v>4</v>
      </c>
      <c r="E116" s="8" t="s">
        <v>45</v>
      </c>
      <c r="F116" s="8" t="s">
        <v>53</v>
      </c>
    </row>
    <row r="117" spans="1:6" x14ac:dyDescent="0.3">
      <c r="A117" s="16">
        <v>1</v>
      </c>
      <c r="B117" s="16">
        <v>1</v>
      </c>
      <c r="C117" s="16" t="s">
        <v>85</v>
      </c>
      <c r="D117" s="19" t="s">
        <v>44</v>
      </c>
      <c r="E117" s="19" t="s">
        <v>13</v>
      </c>
      <c r="F117" s="19" t="s">
        <v>53</v>
      </c>
    </row>
    <row r="118" spans="1:6" x14ac:dyDescent="0.3">
      <c r="A118" s="11">
        <v>1</v>
      </c>
      <c r="B118" s="18">
        <v>2</v>
      </c>
      <c r="C118" s="18" t="s">
        <v>84</v>
      </c>
      <c r="D118" s="12" t="s">
        <v>33</v>
      </c>
      <c r="E118" s="8" t="s">
        <v>46</v>
      </c>
      <c r="F118" s="8" t="s">
        <v>73</v>
      </c>
    </row>
    <row r="119" spans="1:6" x14ac:dyDescent="0.3">
      <c r="A119" s="16">
        <v>1</v>
      </c>
      <c r="B119" s="16">
        <v>1</v>
      </c>
      <c r="C119" s="16" t="s">
        <v>85</v>
      </c>
      <c r="D119" s="19" t="s">
        <v>4</v>
      </c>
      <c r="E119" s="19" t="s">
        <v>45</v>
      </c>
      <c r="F119" s="19" t="s">
        <v>54</v>
      </c>
    </row>
    <row r="120" spans="1:6" x14ac:dyDescent="0.3">
      <c r="A120" s="11">
        <v>1</v>
      </c>
      <c r="B120" s="11">
        <v>2</v>
      </c>
      <c r="C120" s="11" t="s">
        <v>84</v>
      </c>
      <c r="D120" s="8" t="s">
        <v>44</v>
      </c>
      <c r="E120" s="8" t="s">
        <v>14</v>
      </c>
      <c r="F120" s="8" t="s">
        <v>54</v>
      </c>
    </row>
    <row r="121" spans="1:6" x14ac:dyDescent="0.3">
      <c r="A121" s="16">
        <v>1</v>
      </c>
      <c r="B121" s="18">
        <v>1</v>
      </c>
      <c r="C121" s="17" t="s">
        <v>85</v>
      </c>
      <c r="D121" s="12" t="s">
        <v>33</v>
      </c>
      <c r="E121" s="19" t="s">
        <v>46</v>
      </c>
      <c r="F121" s="19" t="s">
        <v>72</v>
      </c>
    </row>
    <row r="122" spans="1:6" x14ac:dyDescent="0.3">
      <c r="A122" s="11">
        <v>1</v>
      </c>
      <c r="B122" s="18">
        <v>1</v>
      </c>
      <c r="C122" s="18" t="s">
        <v>85</v>
      </c>
      <c r="D122" s="12" t="s">
        <v>33</v>
      </c>
      <c r="E122" s="8" t="s">
        <v>46</v>
      </c>
      <c r="F122" s="8" t="s">
        <v>71</v>
      </c>
    </row>
    <row r="123" spans="1:6" x14ac:dyDescent="0.3">
      <c r="A123" s="31">
        <v>2</v>
      </c>
      <c r="B123" s="13">
        <v>2</v>
      </c>
      <c r="C123" s="13" t="s">
        <v>84</v>
      </c>
      <c r="D123" s="13" t="s">
        <v>33</v>
      </c>
      <c r="E123" s="31" t="s">
        <v>46</v>
      </c>
      <c r="F123" s="31" t="s">
        <v>47</v>
      </c>
    </row>
    <row r="124" spans="1:6" x14ac:dyDescent="0.3">
      <c r="A124" s="19">
        <v>2</v>
      </c>
      <c r="B124" s="16">
        <v>1</v>
      </c>
      <c r="C124" s="16" t="s">
        <v>85</v>
      </c>
      <c r="D124" s="19" t="s">
        <v>4</v>
      </c>
      <c r="E124" s="19" t="s">
        <v>45</v>
      </c>
      <c r="F124" s="19" t="s">
        <v>62</v>
      </c>
    </row>
    <row r="125" spans="1:6" x14ac:dyDescent="0.3">
      <c r="A125" s="31">
        <v>2</v>
      </c>
      <c r="B125" s="32">
        <v>1</v>
      </c>
      <c r="C125" s="32" t="s">
        <v>85</v>
      </c>
      <c r="D125" s="31" t="s">
        <v>44</v>
      </c>
      <c r="E125" s="31" t="s">
        <v>13</v>
      </c>
      <c r="F125" s="31" t="s">
        <v>62</v>
      </c>
    </row>
    <row r="126" spans="1:6" x14ac:dyDescent="0.3">
      <c r="A126" s="19">
        <v>2</v>
      </c>
      <c r="B126" s="13">
        <v>2</v>
      </c>
      <c r="C126" s="13" t="s">
        <v>84</v>
      </c>
      <c r="D126" s="13" t="s">
        <v>33</v>
      </c>
      <c r="E126" s="19" t="s">
        <v>46</v>
      </c>
      <c r="F126" s="19" t="s">
        <v>48</v>
      </c>
    </row>
    <row r="127" spans="1:6" x14ac:dyDescent="0.3">
      <c r="A127" s="19">
        <v>2</v>
      </c>
      <c r="B127" s="16">
        <v>1</v>
      </c>
      <c r="C127" s="32" t="s">
        <v>85</v>
      </c>
      <c r="D127" s="19" t="s">
        <v>4</v>
      </c>
      <c r="E127" s="19" t="s">
        <v>45</v>
      </c>
      <c r="F127" s="19" t="s">
        <v>61</v>
      </c>
    </row>
    <row r="128" spans="1:6" x14ac:dyDescent="0.3">
      <c r="A128" s="8">
        <v>2</v>
      </c>
      <c r="B128" s="11">
        <v>1</v>
      </c>
      <c r="C128" s="11" t="s">
        <v>85</v>
      </c>
      <c r="D128" s="8" t="s">
        <v>44</v>
      </c>
      <c r="E128" s="8" t="s">
        <v>13</v>
      </c>
      <c r="F128" s="8" t="s">
        <v>61</v>
      </c>
    </row>
    <row r="129" spans="1:6" x14ac:dyDescent="0.3">
      <c r="A129" s="19">
        <v>2</v>
      </c>
      <c r="B129" s="16">
        <v>1</v>
      </c>
      <c r="C129" s="32" t="s">
        <v>85</v>
      </c>
      <c r="D129" s="19" t="s">
        <v>4</v>
      </c>
      <c r="E129" s="19" t="s">
        <v>45</v>
      </c>
      <c r="F129" s="19" t="s">
        <v>60</v>
      </c>
    </row>
    <row r="130" spans="1:6" x14ac:dyDescent="0.3">
      <c r="A130" s="8">
        <v>2</v>
      </c>
      <c r="B130" s="11">
        <v>2</v>
      </c>
      <c r="C130" s="11" t="s">
        <v>84</v>
      </c>
      <c r="D130" s="8" t="s">
        <v>44</v>
      </c>
      <c r="E130" s="8" t="s">
        <v>14</v>
      </c>
      <c r="F130" s="8" t="s">
        <v>60</v>
      </c>
    </row>
    <row r="131" spans="1:6" x14ac:dyDescent="0.3">
      <c r="A131" s="19">
        <v>2</v>
      </c>
      <c r="B131" s="16">
        <v>2</v>
      </c>
      <c r="C131" s="32" t="s">
        <v>84</v>
      </c>
      <c r="D131" s="19" t="s">
        <v>4</v>
      </c>
      <c r="E131" s="19" t="s">
        <v>45</v>
      </c>
      <c r="F131" s="19" t="s">
        <v>59</v>
      </c>
    </row>
    <row r="132" spans="1:6" x14ac:dyDescent="0.3">
      <c r="A132" s="8">
        <v>2</v>
      </c>
      <c r="B132" s="11">
        <v>1</v>
      </c>
      <c r="C132" s="11" t="s">
        <v>85</v>
      </c>
      <c r="D132" s="8" t="s">
        <v>44</v>
      </c>
      <c r="E132" s="8" t="s">
        <v>14</v>
      </c>
      <c r="F132" s="8" t="s">
        <v>59</v>
      </c>
    </row>
    <row r="133" spans="1:6" x14ac:dyDescent="0.3">
      <c r="A133" s="31">
        <v>2</v>
      </c>
      <c r="B133" s="13">
        <v>2</v>
      </c>
      <c r="C133" s="13" t="s">
        <v>84</v>
      </c>
      <c r="D133" s="13" t="s">
        <v>33</v>
      </c>
      <c r="E133" s="31" t="s">
        <v>46</v>
      </c>
      <c r="F133" s="31" t="s">
        <v>49</v>
      </c>
    </row>
    <row r="134" spans="1:6" x14ac:dyDescent="0.3">
      <c r="A134" s="19">
        <v>2</v>
      </c>
      <c r="B134" s="16">
        <v>1</v>
      </c>
      <c r="C134" s="11" t="s">
        <v>85</v>
      </c>
      <c r="D134" s="19" t="s">
        <v>4</v>
      </c>
      <c r="E134" s="19" t="s">
        <v>45</v>
      </c>
      <c r="F134" s="19" t="s">
        <v>58</v>
      </c>
    </row>
    <row r="135" spans="1:6" x14ac:dyDescent="0.3">
      <c r="A135" s="31">
        <v>2</v>
      </c>
      <c r="B135" s="32">
        <v>2</v>
      </c>
      <c r="C135" s="32" t="s">
        <v>84</v>
      </c>
      <c r="D135" s="31" t="s">
        <v>44</v>
      </c>
      <c r="E135" s="31" t="s">
        <v>14</v>
      </c>
      <c r="F135" s="31" t="s">
        <v>58</v>
      </c>
    </row>
    <row r="136" spans="1:6" x14ac:dyDescent="0.3">
      <c r="A136" s="19">
        <v>2</v>
      </c>
      <c r="B136" s="13">
        <v>1</v>
      </c>
      <c r="C136" s="13" t="s">
        <v>85</v>
      </c>
      <c r="D136" s="13" t="s">
        <v>33</v>
      </c>
      <c r="E136" s="19" t="s">
        <v>46</v>
      </c>
      <c r="F136" s="19" t="s">
        <v>50</v>
      </c>
    </row>
    <row r="137" spans="1:6" x14ac:dyDescent="0.3">
      <c r="A137" s="31">
        <v>2</v>
      </c>
      <c r="B137" s="13">
        <v>1</v>
      </c>
      <c r="C137" s="13" t="s">
        <v>85</v>
      </c>
      <c r="D137" s="13" t="s">
        <v>33</v>
      </c>
      <c r="E137" s="31" t="s">
        <v>46</v>
      </c>
      <c r="F137" s="31" t="s">
        <v>51</v>
      </c>
    </row>
    <row r="138" spans="1:6" x14ac:dyDescent="0.3">
      <c r="A138" s="19">
        <v>2</v>
      </c>
      <c r="B138" s="16">
        <v>2</v>
      </c>
      <c r="C138" s="16" t="s">
        <v>84</v>
      </c>
      <c r="D138" s="19" t="s">
        <v>4</v>
      </c>
      <c r="E138" s="19" t="s">
        <v>45</v>
      </c>
      <c r="F138" s="19" t="s">
        <v>57</v>
      </c>
    </row>
    <row r="139" spans="1:6" x14ac:dyDescent="0.3">
      <c r="A139" s="31">
        <v>2</v>
      </c>
      <c r="B139" s="32">
        <v>2</v>
      </c>
      <c r="C139" s="32" t="s">
        <v>84</v>
      </c>
      <c r="D139" s="31" t="s">
        <v>44</v>
      </c>
      <c r="E139" s="31" t="s">
        <v>13</v>
      </c>
      <c r="F139" s="31" t="s">
        <v>57</v>
      </c>
    </row>
    <row r="140" spans="1:6" x14ac:dyDescent="0.3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52</v>
      </c>
    </row>
    <row r="141" spans="1:6" x14ac:dyDescent="0.3">
      <c r="A141" s="31">
        <v>2</v>
      </c>
      <c r="B141" s="32">
        <v>2</v>
      </c>
      <c r="C141" s="32" t="s">
        <v>84</v>
      </c>
      <c r="D141" s="31" t="s">
        <v>4</v>
      </c>
      <c r="E141" s="31" t="s">
        <v>45</v>
      </c>
      <c r="F141" s="31" t="s">
        <v>56</v>
      </c>
    </row>
    <row r="142" spans="1:6" x14ac:dyDescent="0.3">
      <c r="A142" s="19">
        <v>2</v>
      </c>
      <c r="B142" s="16">
        <v>2</v>
      </c>
      <c r="C142" s="16" t="s">
        <v>84</v>
      </c>
      <c r="D142" s="19" t="s">
        <v>44</v>
      </c>
      <c r="E142" s="19" t="s">
        <v>13</v>
      </c>
      <c r="F142" s="19" t="s">
        <v>56</v>
      </c>
    </row>
    <row r="143" spans="1:6" x14ac:dyDescent="0.3">
      <c r="A143" s="31">
        <v>2</v>
      </c>
      <c r="B143" s="13">
        <v>2</v>
      </c>
      <c r="C143" s="13" t="s">
        <v>84</v>
      </c>
      <c r="D143" s="13" t="s">
        <v>33</v>
      </c>
      <c r="E143" s="31" t="s">
        <v>46</v>
      </c>
      <c r="F143" s="31" t="s">
        <v>53</v>
      </c>
    </row>
    <row r="144" spans="1:6" x14ac:dyDescent="0.3">
      <c r="A144" s="19">
        <v>2</v>
      </c>
      <c r="B144" s="13">
        <v>1</v>
      </c>
      <c r="C144" s="13" t="s">
        <v>85</v>
      </c>
      <c r="D144" s="13" t="s">
        <v>33</v>
      </c>
      <c r="E144" s="19" t="s">
        <v>46</v>
      </c>
      <c r="F144" s="19" t="s">
        <v>54</v>
      </c>
    </row>
    <row r="145" spans="1:6" x14ac:dyDescent="0.3">
      <c r="A145" s="31">
        <v>2</v>
      </c>
      <c r="B145" s="32">
        <v>2</v>
      </c>
      <c r="C145" s="32" t="s">
        <v>84</v>
      </c>
      <c r="D145" s="31" t="s">
        <v>4</v>
      </c>
      <c r="E145" s="31" t="s">
        <v>45</v>
      </c>
      <c r="F145" s="31" t="s">
        <v>55</v>
      </c>
    </row>
    <row r="146" spans="1:6" x14ac:dyDescent="0.3">
      <c r="A146" s="19">
        <v>2</v>
      </c>
      <c r="B146" s="16">
        <v>1</v>
      </c>
      <c r="C146" s="16" t="s">
        <v>85</v>
      </c>
      <c r="D146" s="19" t="s">
        <v>44</v>
      </c>
      <c r="E146" s="19" t="s">
        <v>14</v>
      </c>
      <c r="F146" s="19" t="s">
        <v>55</v>
      </c>
    </row>
    <row r="147" spans="1:6" x14ac:dyDescent="0.3">
      <c r="A147" s="16">
        <v>3</v>
      </c>
      <c r="B147" s="16">
        <v>1</v>
      </c>
      <c r="C147" s="16" t="s">
        <v>85</v>
      </c>
      <c r="D147" s="19" t="s">
        <v>4</v>
      </c>
      <c r="E147" s="19" t="s">
        <v>45</v>
      </c>
      <c r="F147" s="19" t="s">
        <v>63</v>
      </c>
    </row>
    <row r="148" spans="1:6" x14ac:dyDescent="0.3">
      <c r="A148" s="11">
        <v>3</v>
      </c>
      <c r="B148" s="11">
        <v>2</v>
      </c>
      <c r="C148" s="11" t="s">
        <v>84</v>
      </c>
      <c r="D148" s="8" t="s">
        <v>44</v>
      </c>
      <c r="E148" s="8" t="s">
        <v>14</v>
      </c>
      <c r="F148" s="8" t="s">
        <v>63</v>
      </c>
    </row>
    <row r="149" spans="1:6" x14ac:dyDescent="0.3">
      <c r="A149" s="16">
        <v>3</v>
      </c>
      <c r="B149" s="16">
        <v>2</v>
      </c>
      <c r="C149" s="16" t="s">
        <v>84</v>
      </c>
      <c r="D149" s="19" t="s">
        <v>4</v>
      </c>
      <c r="E149" s="19" t="s">
        <v>45</v>
      </c>
      <c r="F149" s="19" t="s">
        <v>64</v>
      </c>
    </row>
    <row r="150" spans="1:6" x14ac:dyDescent="0.3">
      <c r="A150" s="11">
        <v>3</v>
      </c>
      <c r="B150" s="11">
        <v>1</v>
      </c>
      <c r="C150" s="11" t="s">
        <v>85</v>
      </c>
      <c r="D150" s="8" t="s">
        <v>44</v>
      </c>
      <c r="E150" s="8" t="s">
        <v>14</v>
      </c>
      <c r="F150" s="8" t="s">
        <v>64</v>
      </c>
    </row>
    <row r="151" spans="1:6" x14ac:dyDescent="0.3">
      <c r="A151" s="16">
        <v>3</v>
      </c>
      <c r="B151" s="14">
        <v>1</v>
      </c>
      <c r="C151" s="14" t="s">
        <v>85</v>
      </c>
      <c r="D151" s="14" t="s">
        <v>33</v>
      </c>
      <c r="E151" s="19" t="s">
        <v>46</v>
      </c>
      <c r="F151" s="19" t="s">
        <v>62</v>
      </c>
    </row>
    <row r="152" spans="1:6" x14ac:dyDescent="0.3">
      <c r="A152" s="11">
        <v>3</v>
      </c>
      <c r="B152" s="11">
        <v>1</v>
      </c>
      <c r="C152" s="11" t="s">
        <v>85</v>
      </c>
      <c r="D152" s="8" t="s">
        <v>4</v>
      </c>
      <c r="E152" s="8" t="s">
        <v>45</v>
      </c>
      <c r="F152" s="8" t="s">
        <v>65</v>
      </c>
    </row>
    <row r="153" spans="1:6" x14ac:dyDescent="0.3">
      <c r="A153" s="16">
        <v>3</v>
      </c>
      <c r="B153" s="16">
        <v>2</v>
      </c>
      <c r="C153" s="16" t="s">
        <v>84</v>
      </c>
      <c r="D153" s="19" t="s">
        <v>44</v>
      </c>
      <c r="E153" s="19" t="s">
        <v>14</v>
      </c>
      <c r="F153" s="19" t="s">
        <v>65</v>
      </c>
    </row>
    <row r="154" spans="1:6" x14ac:dyDescent="0.3">
      <c r="A154" s="11">
        <v>3</v>
      </c>
      <c r="B154" s="14">
        <v>1</v>
      </c>
      <c r="C154" s="14" t="s">
        <v>85</v>
      </c>
      <c r="D154" s="14" t="s">
        <v>33</v>
      </c>
      <c r="E154" s="8" t="s">
        <v>46</v>
      </c>
      <c r="F154" s="8" t="s">
        <v>61</v>
      </c>
    </row>
    <row r="155" spans="1:6" x14ac:dyDescent="0.3">
      <c r="A155" s="16">
        <v>3</v>
      </c>
      <c r="B155" s="16">
        <v>2</v>
      </c>
      <c r="C155" s="16" t="s">
        <v>84</v>
      </c>
      <c r="D155" s="19" t="s">
        <v>4</v>
      </c>
      <c r="E155" s="19" t="s">
        <v>45</v>
      </c>
      <c r="F155" s="19" t="s">
        <v>66</v>
      </c>
    </row>
    <row r="156" spans="1:6" x14ac:dyDescent="0.3">
      <c r="A156" s="11">
        <v>3</v>
      </c>
      <c r="B156" s="11">
        <v>2</v>
      </c>
      <c r="C156" s="11" t="s">
        <v>84</v>
      </c>
      <c r="D156" s="8" t="s">
        <v>44</v>
      </c>
      <c r="E156" s="8" t="s">
        <v>13</v>
      </c>
      <c r="F156" s="8" t="s">
        <v>66</v>
      </c>
    </row>
    <row r="157" spans="1:6" x14ac:dyDescent="0.3">
      <c r="A157" s="16">
        <v>3</v>
      </c>
      <c r="B157" s="14">
        <v>2</v>
      </c>
      <c r="C157" s="14" t="s">
        <v>84</v>
      </c>
      <c r="D157" s="14" t="s">
        <v>33</v>
      </c>
      <c r="E157" s="19" t="s">
        <v>46</v>
      </c>
      <c r="F157" s="19" t="s">
        <v>60</v>
      </c>
    </row>
    <row r="158" spans="1:6" x14ac:dyDescent="0.3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59</v>
      </c>
    </row>
    <row r="159" spans="1:6" x14ac:dyDescent="0.3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58</v>
      </c>
    </row>
    <row r="160" spans="1:6" x14ac:dyDescent="0.3">
      <c r="A160" s="11">
        <v>3</v>
      </c>
      <c r="B160" s="11">
        <v>2</v>
      </c>
      <c r="C160" s="11" t="s">
        <v>84</v>
      </c>
      <c r="D160" s="8" t="s">
        <v>4</v>
      </c>
      <c r="E160" s="8" t="s">
        <v>45</v>
      </c>
      <c r="F160" s="8" t="s">
        <v>67</v>
      </c>
    </row>
    <row r="161" spans="1:6" x14ac:dyDescent="0.3">
      <c r="A161" s="16">
        <v>3</v>
      </c>
      <c r="B161" s="16">
        <v>2</v>
      </c>
      <c r="C161" s="16" t="s">
        <v>84</v>
      </c>
      <c r="D161" s="19" t="s">
        <v>44</v>
      </c>
      <c r="E161" s="19" t="s">
        <v>13</v>
      </c>
      <c r="F161" s="19" t="s">
        <v>67</v>
      </c>
    </row>
    <row r="162" spans="1:6" x14ac:dyDescent="0.3">
      <c r="A162" s="11">
        <v>3</v>
      </c>
      <c r="B162" s="11">
        <v>2</v>
      </c>
      <c r="C162" s="11" t="s">
        <v>84</v>
      </c>
      <c r="D162" s="8" t="s">
        <v>4</v>
      </c>
      <c r="E162" s="8" t="s">
        <v>45</v>
      </c>
      <c r="F162" s="8" t="s">
        <v>68</v>
      </c>
    </row>
    <row r="163" spans="1:6" x14ac:dyDescent="0.3">
      <c r="A163" s="16">
        <v>3</v>
      </c>
      <c r="B163" s="16">
        <v>1</v>
      </c>
      <c r="C163" s="16" t="s">
        <v>85</v>
      </c>
      <c r="D163" s="19" t="s">
        <v>44</v>
      </c>
      <c r="E163" s="19" t="s">
        <v>14</v>
      </c>
      <c r="F163" s="19" t="s">
        <v>68</v>
      </c>
    </row>
    <row r="164" spans="1:6" x14ac:dyDescent="0.3">
      <c r="A164" s="11">
        <v>3</v>
      </c>
      <c r="B164" s="14">
        <v>2</v>
      </c>
      <c r="C164" s="14" t="s">
        <v>84</v>
      </c>
      <c r="D164" s="14" t="s">
        <v>33</v>
      </c>
      <c r="E164" s="8" t="s">
        <v>46</v>
      </c>
      <c r="F164" s="8" t="s">
        <v>57</v>
      </c>
    </row>
    <row r="165" spans="1:6" x14ac:dyDescent="0.3">
      <c r="A165" s="16">
        <v>3</v>
      </c>
      <c r="B165" s="16">
        <v>1</v>
      </c>
      <c r="C165" s="16" t="s">
        <v>85</v>
      </c>
      <c r="D165" s="19" t="s">
        <v>4</v>
      </c>
      <c r="E165" s="19" t="s">
        <v>45</v>
      </c>
      <c r="F165" s="19" t="s">
        <v>69</v>
      </c>
    </row>
    <row r="166" spans="1:6" x14ac:dyDescent="0.3">
      <c r="A166" s="11">
        <v>3</v>
      </c>
      <c r="B166" s="11">
        <v>1</v>
      </c>
      <c r="C166" s="11" t="s">
        <v>85</v>
      </c>
      <c r="D166" s="8" t="s">
        <v>44</v>
      </c>
      <c r="E166" s="8" t="s">
        <v>13</v>
      </c>
      <c r="F166" s="8" t="s">
        <v>69</v>
      </c>
    </row>
    <row r="167" spans="1:6" x14ac:dyDescent="0.3">
      <c r="A167" s="16">
        <v>3</v>
      </c>
      <c r="B167" s="14">
        <v>2</v>
      </c>
      <c r="C167" s="14" t="s">
        <v>84</v>
      </c>
      <c r="D167" s="14" t="s">
        <v>33</v>
      </c>
      <c r="E167" s="19" t="s">
        <v>46</v>
      </c>
      <c r="F167" s="19" t="s">
        <v>56</v>
      </c>
    </row>
    <row r="168" spans="1:6" x14ac:dyDescent="0.3">
      <c r="A168" s="11">
        <v>3</v>
      </c>
      <c r="B168" s="14">
        <v>2</v>
      </c>
      <c r="C168" s="14" t="s">
        <v>84</v>
      </c>
      <c r="D168" s="14" t="s">
        <v>33</v>
      </c>
      <c r="E168" s="8" t="s">
        <v>46</v>
      </c>
      <c r="F168" s="8" t="s">
        <v>55</v>
      </c>
    </row>
    <row r="169" spans="1:6" x14ac:dyDescent="0.3">
      <c r="A169" s="16">
        <v>3</v>
      </c>
      <c r="B169" s="16">
        <v>1</v>
      </c>
      <c r="C169" s="16" t="s">
        <v>85</v>
      </c>
      <c r="D169" s="19" t="s">
        <v>4</v>
      </c>
      <c r="E169" s="19" t="s">
        <v>45</v>
      </c>
      <c r="F169" s="19" t="s">
        <v>70</v>
      </c>
    </row>
    <row r="170" spans="1:6" x14ac:dyDescent="0.3">
      <c r="A170" s="11">
        <v>3</v>
      </c>
      <c r="B170" s="11">
        <v>1</v>
      </c>
      <c r="C170" s="11" t="s">
        <v>85</v>
      </c>
      <c r="D170" s="8" t="s">
        <v>44</v>
      </c>
      <c r="E170" s="8" t="s">
        <v>13</v>
      </c>
      <c r="F170" s="8" t="s">
        <v>70</v>
      </c>
    </row>
    <row r="171" spans="1:6" x14ac:dyDescent="0.3">
      <c r="A171" s="31">
        <v>4</v>
      </c>
      <c r="B171" s="15">
        <v>2</v>
      </c>
      <c r="C171" s="15" t="s">
        <v>84</v>
      </c>
      <c r="D171" s="15" t="s">
        <v>33</v>
      </c>
      <c r="E171" s="31" t="s">
        <v>46</v>
      </c>
      <c r="F171" s="31" t="s">
        <v>63</v>
      </c>
    </row>
    <row r="172" spans="1:6" x14ac:dyDescent="0.3">
      <c r="A172" s="19">
        <v>4</v>
      </c>
      <c r="B172" s="16">
        <v>1</v>
      </c>
      <c r="C172" s="16" t="s">
        <v>85</v>
      </c>
      <c r="D172" s="19" t="s">
        <v>4</v>
      </c>
      <c r="E172" s="19" t="s">
        <v>45</v>
      </c>
      <c r="F172" s="19" t="s">
        <v>78</v>
      </c>
    </row>
    <row r="173" spans="1:6" x14ac:dyDescent="0.3">
      <c r="A173" s="31">
        <v>4</v>
      </c>
      <c r="B173" s="32">
        <v>1</v>
      </c>
      <c r="C173" s="32" t="s">
        <v>85</v>
      </c>
      <c r="D173" s="31" t="s">
        <v>44</v>
      </c>
      <c r="E173" s="31" t="s">
        <v>13</v>
      </c>
      <c r="F173" s="31" t="s">
        <v>78</v>
      </c>
    </row>
    <row r="174" spans="1:6" x14ac:dyDescent="0.3">
      <c r="A174" s="19">
        <v>4</v>
      </c>
      <c r="B174" s="16">
        <v>1</v>
      </c>
      <c r="C174" s="16" t="s">
        <v>85</v>
      </c>
      <c r="D174" s="19" t="s">
        <v>4</v>
      </c>
      <c r="E174" s="19" t="s">
        <v>45</v>
      </c>
      <c r="F174" s="19" t="s">
        <v>77</v>
      </c>
    </row>
    <row r="175" spans="1:6" x14ac:dyDescent="0.3">
      <c r="A175" s="31">
        <v>4</v>
      </c>
      <c r="B175" s="32">
        <v>2</v>
      </c>
      <c r="C175" s="32" t="s">
        <v>84</v>
      </c>
      <c r="D175" s="31" t="s">
        <v>44</v>
      </c>
      <c r="E175" s="31" t="s">
        <v>14</v>
      </c>
      <c r="F175" s="31" t="s">
        <v>77</v>
      </c>
    </row>
    <row r="176" spans="1:6" x14ac:dyDescent="0.3">
      <c r="A176" s="19">
        <v>4</v>
      </c>
      <c r="B176" s="15">
        <v>1</v>
      </c>
      <c r="C176" s="15" t="s">
        <v>85</v>
      </c>
      <c r="D176" s="15" t="s">
        <v>33</v>
      </c>
      <c r="E176" s="19" t="s">
        <v>46</v>
      </c>
      <c r="F176" s="19" t="s">
        <v>64</v>
      </c>
    </row>
    <row r="177" spans="1:6" x14ac:dyDescent="0.3">
      <c r="A177" s="31">
        <v>4</v>
      </c>
      <c r="B177" s="15">
        <v>1</v>
      </c>
      <c r="C177" s="15" t="s">
        <v>85</v>
      </c>
      <c r="D177" s="15" t="s">
        <v>33</v>
      </c>
      <c r="E177" s="31" t="s">
        <v>46</v>
      </c>
      <c r="F177" s="31" t="s">
        <v>65</v>
      </c>
    </row>
    <row r="178" spans="1:6" x14ac:dyDescent="0.3">
      <c r="A178" s="19">
        <v>4</v>
      </c>
      <c r="B178" s="16">
        <v>2</v>
      </c>
      <c r="C178" s="16" t="s">
        <v>84</v>
      </c>
      <c r="D178" s="19" t="s">
        <v>4</v>
      </c>
      <c r="E178" s="19" t="s">
        <v>45</v>
      </c>
      <c r="F178" s="19" t="s">
        <v>76</v>
      </c>
    </row>
    <row r="179" spans="1:6" x14ac:dyDescent="0.3">
      <c r="A179" s="31">
        <v>4</v>
      </c>
      <c r="B179" s="32">
        <v>2</v>
      </c>
      <c r="C179" s="32" t="s">
        <v>84</v>
      </c>
      <c r="D179" s="31" t="s">
        <v>44</v>
      </c>
      <c r="E179" s="31" t="s">
        <v>13</v>
      </c>
      <c r="F179" s="31" t="s">
        <v>76</v>
      </c>
    </row>
    <row r="180" spans="1:6" x14ac:dyDescent="0.3">
      <c r="A180" s="19">
        <v>4</v>
      </c>
      <c r="B180" s="16">
        <v>2</v>
      </c>
      <c r="C180" s="16" t="s">
        <v>84</v>
      </c>
      <c r="D180" s="19" t="s">
        <v>4</v>
      </c>
      <c r="E180" s="19" t="s">
        <v>45</v>
      </c>
      <c r="F180" s="19" t="s">
        <v>75</v>
      </c>
    </row>
    <row r="181" spans="1:6" x14ac:dyDescent="0.3">
      <c r="A181" s="31">
        <v>4</v>
      </c>
      <c r="B181" s="32">
        <v>1</v>
      </c>
      <c r="C181" s="32" t="s">
        <v>85</v>
      </c>
      <c r="D181" s="31" t="s">
        <v>44</v>
      </c>
      <c r="E181" s="31" t="s">
        <v>14</v>
      </c>
      <c r="F181" s="31" t="s">
        <v>75</v>
      </c>
    </row>
    <row r="182" spans="1:6" x14ac:dyDescent="0.3">
      <c r="A182" s="19">
        <v>4</v>
      </c>
      <c r="B182" s="15">
        <v>2</v>
      </c>
      <c r="C182" s="15" t="s">
        <v>84</v>
      </c>
      <c r="D182" s="15" t="s">
        <v>33</v>
      </c>
      <c r="E182" s="19" t="s">
        <v>46</v>
      </c>
      <c r="F182" s="19" t="s">
        <v>66</v>
      </c>
    </row>
    <row r="183" spans="1:6" x14ac:dyDescent="0.3">
      <c r="A183" s="31">
        <v>4</v>
      </c>
      <c r="B183" s="32">
        <v>1</v>
      </c>
      <c r="C183" s="32" t="s">
        <v>85</v>
      </c>
      <c r="D183" s="31" t="s">
        <v>4</v>
      </c>
      <c r="E183" s="31" t="s">
        <v>45</v>
      </c>
      <c r="F183" s="31" t="s">
        <v>74</v>
      </c>
    </row>
    <row r="184" spans="1:6" x14ac:dyDescent="0.3">
      <c r="A184" s="19">
        <v>4</v>
      </c>
      <c r="B184" s="16">
        <v>2</v>
      </c>
      <c r="C184" s="16" t="s">
        <v>84</v>
      </c>
      <c r="D184" s="19" t="s">
        <v>44</v>
      </c>
      <c r="E184" s="19" t="s">
        <v>14</v>
      </c>
      <c r="F184" s="19" t="s">
        <v>74</v>
      </c>
    </row>
    <row r="185" spans="1:6" x14ac:dyDescent="0.3">
      <c r="A185" s="31">
        <v>4</v>
      </c>
      <c r="B185" s="32">
        <v>2</v>
      </c>
      <c r="C185" s="32" t="s">
        <v>84</v>
      </c>
      <c r="D185" s="31" t="s">
        <v>4</v>
      </c>
      <c r="E185" s="31" t="s">
        <v>45</v>
      </c>
      <c r="F185" s="31" t="s">
        <v>73</v>
      </c>
    </row>
    <row r="186" spans="1:6" x14ac:dyDescent="0.3">
      <c r="A186" s="19">
        <v>4</v>
      </c>
      <c r="B186" s="16">
        <v>2</v>
      </c>
      <c r="C186" s="16" t="s">
        <v>84</v>
      </c>
      <c r="D186" s="19" t="s">
        <v>44</v>
      </c>
      <c r="E186" s="19" t="s">
        <v>13</v>
      </c>
      <c r="F186" s="19" t="s">
        <v>73</v>
      </c>
    </row>
    <row r="187" spans="1:6" x14ac:dyDescent="0.3">
      <c r="A187" s="31">
        <v>4</v>
      </c>
      <c r="B187" s="15">
        <v>1</v>
      </c>
      <c r="C187" s="15" t="s">
        <v>85</v>
      </c>
      <c r="D187" s="15" t="s">
        <v>33</v>
      </c>
      <c r="E187" s="31" t="s">
        <v>46</v>
      </c>
      <c r="F187" s="31" t="s">
        <v>67</v>
      </c>
    </row>
    <row r="188" spans="1:6" x14ac:dyDescent="0.3">
      <c r="A188" s="19">
        <v>4</v>
      </c>
      <c r="B188" s="15">
        <v>2</v>
      </c>
      <c r="C188" s="15" t="s">
        <v>84</v>
      </c>
      <c r="D188" s="15" t="s">
        <v>33</v>
      </c>
      <c r="E188" s="19" t="s">
        <v>46</v>
      </c>
      <c r="F188" s="19" t="s">
        <v>68</v>
      </c>
    </row>
    <row r="189" spans="1:6" x14ac:dyDescent="0.3">
      <c r="A189" s="31">
        <v>4</v>
      </c>
      <c r="B189" s="15">
        <v>1</v>
      </c>
      <c r="C189" s="15" t="s">
        <v>85</v>
      </c>
      <c r="D189" s="15" t="s">
        <v>33</v>
      </c>
      <c r="E189" s="31" t="s">
        <v>46</v>
      </c>
      <c r="F189" s="31" t="s">
        <v>69</v>
      </c>
    </row>
    <row r="190" spans="1:6" x14ac:dyDescent="0.3">
      <c r="A190" s="19">
        <v>4</v>
      </c>
      <c r="B190" s="16">
        <v>2</v>
      </c>
      <c r="C190" s="16" t="s">
        <v>84</v>
      </c>
      <c r="D190" s="19" t="s">
        <v>4</v>
      </c>
      <c r="E190" s="19" t="s">
        <v>45</v>
      </c>
      <c r="F190" s="19" t="s">
        <v>72</v>
      </c>
    </row>
    <row r="191" spans="1:6" x14ac:dyDescent="0.3">
      <c r="A191" s="31">
        <v>4</v>
      </c>
      <c r="B191" s="32">
        <v>1</v>
      </c>
      <c r="C191" s="32" t="s">
        <v>85</v>
      </c>
      <c r="D191" s="31" t="s">
        <v>44</v>
      </c>
      <c r="E191" s="31" t="s">
        <v>14</v>
      </c>
      <c r="F191" s="31" t="s">
        <v>72</v>
      </c>
    </row>
    <row r="192" spans="1:6" x14ac:dyDescent="0.3">
      <c r="A192" s="19">
        <v>4</v>
      </c>
      <c r="B192" s="15">
        <v>1</v>
      </c>
      <c r="C192" s="15" t="s">
        <v>84</v>
      </c>
      <c r="D192" s="15" t="s">
        <v>33</v>
      </c>
      <c r="E192" s="19" t="s">
        <v>46</v>
      </c>
      <c r="F192" s="19" t="s">
        <v>70</v>
      </c>
    </row>
    <row r="193" spans="1:6" x14ac:dyDescent="0.3">
      <c r="A193" s="31">
        <v>4</v>
      </c>
      <c r="B193" s="32">
        <v>1</v>
      </c>
      <c r="C193" s="32" t="s">
        <v>85</v>
      </c>
      <c r="D193" s="31" t="s">
        <v>4</v>
      </c>
      <c r="E193" s="31" t="s">
        <v>45</v>
      </c>
      <c r="F193" s="31" t="s">
        <v>71</v>
      </c>
    </row>
    <row r="194" spans="1:6" x14ac:dyDescent="0.3">
      <c r="A194" s="19">
        <v>4</v>
      </c>
      <c r="B194" s="16">
        <v>1</v>
      </c>
      <c r="C194" s="16" t="s">
        <v>85</v>
      </c>
      <c r="D194" s="19" t="s">
        <v>44</v>
      </c>
      <c r="E194" s="19" t="s">
        <v>13</v>
      </c>
      <c r="F194" s="19" t="s">
        <v>71</v>
      </c>
    </row>
    <row r="195" spans="1:6" x14ac:dyDescent="0.3">
      <c r="A195" s="33" t="s">
        <v>29</v>
      </c>
      <c r="B195" s="33"/>
      <c r="C195" s="33"/>
      <c r="D195" s="33"/>
      <c r="E195" s="33"/>
      <c r="F195" s="33"/>
    </row>
    <row r="196" spans="1:6" x14ac:dyDescent="0.3">
      <c r="A196" s="16">
        <v>1</v>
      </c>
      <c r="B196" s="18">
        <v>2</v>
      </c>
      <c r="C196" s="17" t="s">
        <v>84</v>
      </c>
      <c r="D196" s="12" t="s">
        <v>33</v>
      </c>
      <c r="E196" s="19" t="s">
        <v>46</v>
      </c>
      <c r="F196" s="19" t="s">
        <v>73</v>
      </c>
    </row>
    <row r="197" spans="1:6" x14ac:dyDescent="0.3">
      <c r="A197" s="32">
        <v>1</v>
      </c>
      <c r="B197" s="31">
        <v>2</v>
      </c>
      <c r="C197" s="31" t="s">
        <v>84</v>
      </c>
      <c r="D197" s="31" t="s">
        <v>4</v>
      </c>
      <c r="E197" s="31" t="s">
        <v>45</v>
      </c>
      <c r="F197" s="31" t="s">
        <v>51</v>
      </c>
    </row>
    <row r="198" spans="1:6" x14ac:dyDescent="0.3">
      <c r="A198" s="16">
        <v>1</v>
      </c>
      <c r="B198" s="19">
        <v>2</v>
      </c>
      <c r="C198" s="19" t="s">
        <v>84</v>
      </c>
      <c r="D198" s="19" t="s">
        <v>44</v>
      </c>
      <c r="E198" s="19" t="s">
        <v>13</v>
      </c>
      <c r="F198" s="19" t="s">
        <v>51</v>
      </c>
    </row>
    <row r="199" spans="1:6" x14ac:dyDescent="0.3">
      <c r="A199" s="32">
        <v>1</v>
      </c>
      <c r="B199" s="18">
        <v>1</v>
      </c>
      <c r="C199" s="18" t="s">
        <v>85</v>
      </c>
      <c r="D199" s="12" t="s">
        <v>33</v>
      </c>
      <c r="E199" s="31" t="s">
        <v>46</v>
      </c>
      <c r="F199" s="31" t="s">
        <v>76</v>
      </c>
    </row>
    <row r="200" spans="1:6" x14ac:dyDescent="0.3">
      <c r="A200" s="16">
        <v>1</v>
      </c>
      <c r="B200" s="18">
        <v>2</v>
      </c>
      <c r="C200" s="17" t="s">
        <v>84</v>
      </c>
      <c r="D200" s="12" t="s">
        <v>33</v>
      </c>
      <c r="E200" s="19" t="s">
        <v>46</v>
      </c>
      <c r="F200" s="19" t="s">
        <v>74</v>
      </c>
    </row>
    <row r="201" spans="1:6" x14ac:dyDescent="0.3">
      <c r="A201" s="32">
        <v>1</v>
      </c>
      <c r="B201" s="18">
        <v>1</v>
      </c>
      <c r="C201" s="18" t="s">
        <v>85</v>
      </c>
      <c r="D201" s="12" t="s">
        <v>33</v>
      </c>
      <c r="E201" s="31" t="s">
        <v>46</v>
      </c>
      <c r="F201" s="31" t="s">
        <v>78</v>
      </c>
    </row>
    <row r="202" spans="1:6" x14ac:dyDescent="0.3">
      <c r="A202" s="16">
        <v>1</v>
      </c>
      <c r="B202" s="19">
        <v>2</v>
      </c>
      <c r="C202" s="19" t="s">
        <v>84</v>
      </c>
      <c r="D202" s="19" t="s">
        <v>4</v>
      </c>
      <c r="E202" s="19" t="s">
        <v>45</v>
      </c>
      <c r="F202" s="19" t="s">
        <v>54</v>
      </c>
    </row>
    <row r="203" spans="1:6" x14ac:dyDescent="0.3">
      <c r="A203" s="32">
        <v>1</v>
      </c>
      <c r="B203" s="31">
        <v>2</v>
      </c>
      <c r="C203" s="19" t="s">
        <v>84</v>
      </c>
      <c r="D203" s="31" t="s">
        <v>44</v>
      </c>
      <c r="E203" s="31" t="s">
        <v>13</v>
      </c>
      <c r="F203" s="31" t="s">
        <v>54</v>
      </c>
    </row>
    <row r="204" spans="1:6" x14ac:dyDescent="0.3">
      <c r="A204" s="16">
        <v>1</v>
      </c>
      <c r="B204" s="19">
        <v>2</v>
      </c>
      <c r="C204" s="19" t="s">
        <v>84</v>
      </c>
      <c r="D204" s="19" t="s">
        <v>4</v>
      </c>
      <c r="E204" s="19" t="s">
        <v>45</v>
      </c>
      <c r="F204" s="19" t="s">
        <v>53</v>
      </c>
    </row>
    <row r="205" spans="1:6" x14ac:dyDescent="0.3">
      <c r="A205" s="32">
        <v>1</v>
      </c>
      <c r="B205" s="31">
        <v>1</v>
      </c>
      <c r="C205" s="31" t="s">
        <v>85</v>
      </c>
      <c r="D205" s="31" t="s">
        <v>44</v>
      </c>
      <c r="E205" s="31" t="s">
        <v>14</v>
      </c>
      <c r="F205" s="31" t="s">
        <v>53</v>
      </c>
    </row>
    <row r="206" spans="1:6" x14ac:dyDescent="0.3">
      <c r="A206" s="16">
        <v>1</v>
      </c>
      <c r="B206" s="18">
        <v>1</v>
      </c>
      <c r="C206" s="17" t="s">
        <v>85</v>
      </c>
      <c r="D206" s="12" t="s">
        <v>33</v>
      </c>
      <c r="E206" s="19" t="s">
        <v>46</v>
      </c>
      <c r="F206" s="19" t="s">
        <v>75</v>
      </c>
    </row>
    <row r="207" spans="1:6" x14ac:dyDescent="0.3">
      <c r="A207" s="32">
        <v>1</v>
      </c>
      <c r="B207" s="31">
        <v>1</v>
      </c>
      <c r="C207" s="31" t="s">
        <v>85</v>
      </c>
      <c r="D207" s="31" t="s">
        <v>4</v>
      </c>
      <c r="E207" s="31" t="s">
        <v>45</v>
      </c>
      <c r="F207" s="31" t="s">
        <v>49</v>
      </c>
    </row>
    <row r="208" spans="1:6" x14ac:dyDescent="0.3">
      <c r="A208" s="16">
        <v>1</v>
      </c>
      <c r="B208" s="19">
        <v>2</v>
      </c>
      <c r="C208" s="19" t="s">
        <v>84</v>
      </c>
      <c r="D208" s="19" t="s">
        <v>44</v>
      </c>
      <c r="E208" s="19" t="s">
        <v>14</v>
      </c>
      <c r="F208" s="19" t="s">
        <v>49</v>
      </c>
    </row>
    <row r="209" spans="1:6" x14ac:dyDescent="0.3">
      <c r="A209" s="32">
        <v>1</v>
      </c>
      <c r="B209" s="31">
        <v>2</v>
      </c>
      <c r="C209" s="31" t="s">
        <v>84</v>
      </c>
      <c r="D209" s="31" t="s">
        <v>4</v>
      </c>
      <c r="E209" s="31" t="s">
        <v>45</v>
      </c>
      <c r="F209" s="31" t="s">
        <v>48</v>
      </c>
    </row>
    <row r="210" spans="1:6" x14ac:dyDescent="0.3">
      <c r="A210" s="16">
        <v>1</v>
      </c>
      <c r="B210" s="19">
        <v>1</v>
      </c>
      <c r="C210" s="19" t="s">
        <v>85</v>
      </c>
      <c r="D210" s="19" t="s">
        <v>44</v>
      </c>
      <c r="E210" s="19" t="s">
        <v>14</v>
      </c>
      <c r="F210" s="19" t="s">
        <v>48</v>
      </c>
    </row>
    <row r="211" spans="1:6" x14ac:dyDescent="0.3">
      <c r="A211" s="32">
        <v>1</v>
      </c>
      <c r="B211" s="18">
        <v>2</v>
      </c>
      <c r="C211" s="18" t="s">
        <v>84</v>
      </c>
      <c r="D211" s="12" t="s">
        <v>33</v>
      </c>
      <c r="E211" s="31" t="s">
        <v>46</v>
      </c>
      <c r="F211" s="31" t="s">
        <v>72</v>
      </c>
    </row>
    <row r="212" spans="1:6" x14ac:dyDescent="0.3">
      <c r="A212" s="16">
        <v>1</v>
      </c>
      <c r="B212" s="19">
        <v>1</v>
      </c>
      <c r="C212" s="19" t="s">
        <v>85</v>
      </c>
      <c r="D212" s="19" t="s">
        <v>4</v>
      </c>
      <c r="E212" s="19" t="s">
        <v>45</v>
      </c>
      <c r="F212" s="19" t="s">
        <v>50</v>
      </c>
    </row>
    <row r="213" spans="1:6" x14ac:dyDescent="0.3">
      <c r="A213" s="32">
        <v>1</v>
      </c>
      <c r="B213" s="31">
        <v>1</v>
      </c>
      <c r="C213" s="19" t="s">
        <v>85</v>
      </c>
      <c r="D213" s="31" t="s">
        <v>44</v>
      </c>
      <c r="E213" s="31" t="s">
        <v>13</v>
      </c>
      <c r="F213" s="31" t="s">
        <v>50</v>
      </c>
    </row>
    <row r="214" spans="1:6" x14ac:dyDescent="0.3">
      <c r="A214" s="16">
        <v>1</v>
      </c>
      <c r="B214" s="18">
        <v>1</v>
      </c>
      <c r="C214" s="17" t="s">
        <v>85</v>
      </c>
      <c r="D214" s="12" t="s">
        <v>33</v>
      </c>
      <c r="E214" s="19" t="s">
        <v>46</v>
      </c>
      <c r="F214" s="19" t="s">
        <v>71</v>
      </c>
    </row>
    <row r="215" spans="1:6" x14ac:dyDescent="0.3">
      <c r="A215" s="32">
        <v>1</v>
      </c>
      <c r="B215" s="18">
        <v>2</v>
      </c>
      <c r="C215" s="18" t="s">
        <v>84</v>
      </c>
      <c r="D215" s="12" t="s">
        <v>33</v>
      </c>
      <c r="E215" s="31" t="s">
        <v>46</v>
      </c>
      <c r="F215" s="31" t="s">
        <v>77</v>
      </c>
    </row>
    <row r="216" spans="1:6" x14ac:dyDescent="0.3">
      <c r="A216" s="16">
        <v>1</v>
      </c>
      <c r="B216" s="19">
        <v>1</v>
      </c>
      <c r="C216" s="19" t="s">
        <v>85</v>
      </c>
      <c r="D216" s="19" t="s">
        <v>4</v>
      </c>
      <c r="E216" s="19" t="s">
        <v>45</v>
      </c>
      <c r="F216" s="19" t="s">
        <v>47</v>
      </c>
    </row>
    <row r="217" spans="1:6" x14ac:dyDescent="0.3">
      <c r="A217" s="32">
        <v>1</v>
      </c>
      <c r="B217" s="31">
        <v>1</v>
      </c>
      <c r="C217" s="19" t="s">
        <v>85</v>
      </c>
      <c r="D217" s="31" t="s">
        <v>44</v>
      </c>
      <c r="E217" s="31" t="s">
        <v>13</v>
      </c>
      <c r="F217" s="31" t="s">
        <v>47</v>
      </c>
    </row>
    <row r="218" spans="1:6" x14ac:dyDescent="0.3">
      <c r="A218" s="16">
        <v>1</v>
      </c>
      <c r="B218" s="19">
        <v>1</v>
      </c>
      <c r="C218" s="19" t="s">
        <v>85</v>
      </c>
      <c r="D218" s="19" t="s">
        <v>4</v>
      </c>
      <c r="E218" s="19" t="s">
        <v>45</v>
      </c>
      <c r="F218" s="19" t="s">
        <v>52</v>
      </c>
    </row>
    <row r="219" spans="1:6" x14ac:dyDescent="0.3">
      <c r="A219" s="32">
        <v>1</v>
      </c>
      <c r="B219" s="31">
        <v>2</v>
      </c>
      <c r="C219" s="31" t="s">
        <v>84</v>
      </c>
      <c r="D219" s="31" t="s">
        <v>44</v>
      </c>
      <c r="E219" s="31" t="s">
        <v>14</v>
      </c>
      <c r="F219" s="31" t="s">
        <v>52</v>
      </c>
    </row>
    <row r="220" spans="1:6" x14ac:dyDescent="0.3">
      <c r="A220" s="8">
        <v>2</v>
      </c>
      <c r="B220" s="8">
        <v>1</v>
      </c>
      <c r="C220" s="8" t="s">
        <v>85</v>
      </c>
      <c r="D220" s="8" t="s">
        <v>4</v>
      </c>
      <c r="E220" s="8" t="s">
        <v>45</v>
      </c>
      <c r="F220" s="8" t="s">
        <v>55</v>
      </c>
    </row>
    <row r="221" spans="1:6" x14ac:dyDescent="0.3">
      <c r="A221" s="19">
        <v>2</v>
      </c>
      <c r="B221" s="19">
        <v>1</v>
      </c>
      <c r="C221" s="19" t="s">
        <v>85</v>
      </c>
      <c r="D221" s="19" t="s">
        <v>44</v>
      </c>
      <c r="E221" s="19" t="s">
        <v>13</v>
      </c>
      <c r="F221" s="19" t="s">
        <v>55</v>
      </c>
    </row>
    <row r="222" spans="1:6" x14ac:dyDescent="0.3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51</v>
      </c>
    </row>
    <row r="223" spans="1:6" x14ac:dyDescent="0.3">
      <c r="A223" s="19">
        <v>2</v>
      </c>
      <c r="B223" s="19">
        <v>1</v>
      </c>
      <c r="C223" s="19" t="s">
        <v>85</v>
      </c>
      <c r="D223" s="19" t="s">
        <v>4</v>
      </c>
      <c r="E223" s="19" t="s">
        <v>45</v>
      </c>
      <c r="F223" s="19" t="s">
        <v>59</v>
      </c>
    </row>
    <row r="224" spans="1:6" x14ac:dyDescent="0.3">
      <c r="A224" s="8">
        <v>2</v>
      </c>
      <c r="B224" s="8">
        <v>1</v>
      </c>
      <c r="C224" s="8" t="s">
        <v>85</v>
      </c>
      <c r="D224" s="8" t="s">
        <v>44</v>
      </c>
      <c r="E224" s="8" t="s">
        <v>13</v>
      </c>
      <c r="F224" s="8" t="s">
        <v>59</v>
      </c>
    </row>
    <row r="225" spans="1:6" x14ac:dyDescent="0.3">
      <c r="A225" s="19">
        <v>2</v>
      </c>
      <c r="B225" s="13">
        <v>2</v>
      </c>
      <c r="C225" s="13" t="s">
        <v>84</v>
      </c>
      <c r="D225" s="13" t="s">
        <v>33</v>
      </c>
      <c r="E225" s="19" t="s">
        <v>46</v>
      </c>
      <c r="F225" s="19" t="s">
        <v>54</v>
      </c>
    </row>
    <row r="226" spans="1:6" x14ac:dyDescent="0.3">
      <c r="A226" s="19">
        <v>2</v>
      </c>
      <c r="B226" s="19">
        <v>1</v>
      </c>
      <c r="C226" s="19" t="s">
        <v>85</v>
      </c>
      <c r="D226" s="19" t="s">
        <v>4</v>
      </c>
      <c r="E226" s="19" t="s">
        <v>45</v>
      </c>
      <c r="F226" s="19" t="s">
        <v>57</v>
      </c>
    </row>
    <row r="227" spans="1:6" x14ac:dyDescent="0.3">
      <c r="A227" s="31">
        <v>2</v>
      </c>
      <c r="B227" s="31">
        <v>1</v>
      </c>
      <c r="C227" s="31" t="s">
        <v>84</v>
      </c>
      <c r="D227" s="31" t="s">
        <v>44</v>
      </c>
      <c r="E227" s="31" t="s">
        <v>14</v>
      </c>
      <c r="F227" s="31" t="s">
        <v>57</v>
      </c>
    </row>
    <row r="228" spans="1:6" x14ac:dyDescent="0.3">
      <c r="A228" s="8">
        <v>2</v>
      </c>
      <c r="B228" s="8">
        <v>2</v>
      </c>
      <c r="C228" s="8" t="s">
        <v>84</v>
      </c>
      <c r="D228" s="8" t="s">
        <v>4</v>
      </c>
      <c r="E228" s="8" t="s">
        <v>45</v>
      </c>
      <c r="F228" s="8" t="s">
        <v>61</v>
      </c>
    </row>
    <row r="229" spans="1:6" x14ac:dyDescent="0.3">
      <c r="A229" s="19">
        <v>2</v>
      </c>
      <c r="B229" s="19">
        <v>1</v>
      </c>
      <c r="C229" s="19" t="s">
        <v>85</v>
      </c>
      <c r="D229" s="19" t="s">
        <v>44</v>
      </c>
      <c r="E229" s="19" t="s">
        <v>14</v>
      </c>
      <c r="F229" s="19" t="s">
        <v>61</v>
      </c>
    </row>
    <row r="230" spans="1:6" x14ac:dyDescent="0.3">
      <c r="A230" s="8">
        <v>2</v>
      </c>
      <c r="B230" s="13">
        <v>1</v>
      </c>
      <c r="C230" s="13" t="s">
        <v>85</v>
      </c>
      <c r="D230" s="13" t="s">
        <v>33</v>
      </c>
      <c r="E230" s="8" t="s">
        <v>46</v>
      </c>
      <c r="F230" s="8" t="s">
        <v>53</v>
      </c>
    </row>
    <row r="231" spans="1:6" x14ac:dyDescent="0.3">
      <c r="A231" s="19">
        <v>2</v>
      </c>
      <c r="B231" s="13">
        <v>2</v>
      </c>
      <c r="C231" s="13" t="s">
        <v>84</v>
      </c>
      <c r="D231" s="13" t="s">
        <v>33</v>
      </c>
      <c r="E231" s="19" t="s">
        <v>46</v>
      </c>
      <c r="F231" s="19" t="s">
        <v>49</v>
      </c>
    </row>
    <row r="232" spans="1:6" x14ac:dyDescent="0.3">
      <c r="A232" s="8">
        <v>2</v>
      </c>
      <c r="B232" s="13">
        <v>1</v>
      </c>
      <c r="C232" s="13" t="s">
        <v>85</v>
      </c>
      <c r="D232" s="13" t="s">
        <v>33</v>
      </c>
      <c r="E232" s="8" t="s">
        <v>46</v>
      </c>
      <c r="F232" s="8" t="s">
        <v>48</v>
      </c>
    </row>
    <row r="233" spans="1:6" x14ac:dyDescent="0.3">
      <c r="A233" s="19">
        <v>2</v>
      </c>
      <c r="B233" s="19">
        <v>1</v>
      </c>
      <c r="C233" s="19" t="s">
        <v>85</v>
      </c>
      <c r="D233" s="19" t="s">
        <v>4</v>
      </c>
      <c r="E233" s="19" t="s">
        <v>45</v>
      </c>
      <c r="F233" s="19" t="s">
        <v>56</v>
      </c>
    </row>
    <row r="234" spans="1:6" x14ac:dyDescent="0.3">
      <c r="A234" s="8">
        <v>2</v>
      </c>
      <c r="B234" s="8">
        <v>2</v>
      </c>
      <c r="C234" s="8" t="s">
        <v>84</v>
      </c>
      <c r="D234" s="8" t="s">
        <v>44</v>
      </c>
      <c r="E234" s="8" t="s">
        <v>14</v>
      </c>
      <c r="F234" s="8" t="s">
        <v>56</v>
      </c>
    </row>
    <row r="235" spans="1:6" x14ac:dyDescent="0.3">
      <c r="A235" s="19">
        <v>2</v>
      </c>
      <c r="B235" s="19">
        <v>2</v>
      </c>
      <c r="C235" s="19" t="s">
        <v>84</v>
      </c>
      <c r="D235" s="19" t="s">
        <v>4</v>
      </c>
      <c r="E235" s="19" t="s">
        <v>45</v>
      </c>
      <c r="F235" s="19" t="s">
        <v>60</v>
      </c>
    </row>
    <row r="236" spans="1:6" x14ac:dyDescent="0.3">
      <c r="A236" s="8">
        <v>2</v>
      </c>
      <c r="B236" s="8">
        <v>2</v>
      </c>
      <c r="C236" s="8" t="s">
        <v>84</v>
      </c>
      <c r="D236" s="8" t="s">
        <v>44</v>
      </c>
      <c r="E236" s="8" t="s">
        <v>13</v>
      </c>
      <c r="F236" s="8" t="s">
        <v>60</v>
      </c>
    </row>
    <row r="237" spans="1:6" x14ac:dyDescent="0.3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50</v>
      </c>
    </row>
    <row r="238" spans="1:6" x14ac:dyDescent="0.3">
      <c r="A238" s="8">
        <v>2</v>
      </c>
      <c r="B238" s="8">
        <v>2</v>
      </c>
      <c r="C238" s="8" t="s">
        <v>84</v>
      </c>
      <c r="D238" s="8" t="s">
        <v>4</v>
      </c>
      <c r="E238" s="8" t="s">
        <v>45</v>
      </c>
      <c r="F238" s="8" t="s">
        <v>58</v>
      </c>
    </row>
    <row r="239" spans="1:6" x14ac:dyDescent="0.3">
      <c r="A239" s="19">
        <v>2</v>
      </c>
      <c r="B239" s="19">
        <v>2</v>
      </c>
      <c r="C239" s="19" t="s">
        <v>84</v>
      </c>
      <c r="D239" s="19" t="s">
        <v>44</v>
      </c>
      <c r="E239" s="19" t="s">
        <v>13</v>
      </c>
      <c r="F239" s="19" t="s">
        <v>58</v>
      </c>
    </row>
    <row r="240" spans="1:6" x14ac:dyDescent="0.3">
      <c r="A240" s="8">
        <v>2</v>
      </c>
      <c r="B240" s="13">
        <v>1</v>
      </c>
      <c r="C240" s="13" t="s">
        <v>85</v>
      </c>
      <c r="D240" s="13" t="s">
        <v>33</v>
      </c>
      <c r="E240" s="8" t="s">
        <v>46</v>
      </c>
      <c r="F240" s="8" t="s">
        <v>47</v>
      </c>
    </row>
    <row r="241" spans="1:6" x14ac:dyDescent="0.3">
      <c r="A241" s="19">
        <v>2</v>
      </c>
      <c r="B241" s="13">
        <v>2</v>
      </c>
      <c r="C241" s="13" t="s">
        <v>84</v>
      </c>
      <c r="D241" s="13" t="s">
        <v>33</v>
      </c>
      <c r="E241" s="19" t="s">
        <v>46</v>
      </c>
      <c r="F241" s="19" t="s">
        <v>52</v>
      </c>
    </row>
    <row r="242" spans="1:6" x14ac:dyDescent="0.3">
      <c r="A242" s="8">
        <v>2</v>
      </c>
      <c r="B242" s="8">
        <v>2</v>
      </c>
      <c r="C242" s="8" t="s">
        <v>84</v>
      </c>
      <c r="D242" s="8" t="s">
        <v>4</v>
      </c>
      <c r="E242" s="8" t="s">
        <v>45</v>
      </c>
      <c r="F242" s="8" t="s">
        <v>62</v>
      </c>
    </row>
    <row r="243" spans="1:6" x14ac:dyDescent="0.3">
      <c r="A243" s="19">
        <v>2</v>
      </c>
      <c r="B243" s="19">
        <v>1</v>
      </c>
      <c r="C243" s="19" t="s">
        <v>85</v>
      </c>
      <c r="D243" s="19" t="s">
        <v>44</v>
      </c>
      <c r="E243" s="19" t="s">
        <v>14</v>
      </c>
      <c r="F243" s="19" t="s">
        <v>62</v>
      </c>
    </row>
    <row r="244" spans="1:6" x14ac:dyDescent="0.3">
      <c r="A244" s="16">
        <v>3</v>
      </c>
      <c r="B244" s="19">
        <v>1</v>
      </c>
      <c r="C244" s="19" t="s">
        <v>85</v>
      </c>
      <c r="D244" s="19" t="s">
        <v>4</v>
      </c>
      <c r="E244" s="19" t="s">
        <v>45</v>
      </c>
      <c r="F244" s="19" t="s">
        <v>67</v>
      </c>
    </row>
    <row r="245" spans="1:6" x14ac:dyDescent="0.3">
      <c r="A245" s="32">
        <v>3</v>
      </c>
      <c r="B245" s="31">
        <v>2</v>
      </c>
      <c r="C245" s="31" t="s">
        <v>84</v>
      </c>
      <c r="D245" s="31" t="s">
        <v>44</v>
      </c>
      <c r="E245" s="31" t="s">
        <v>14</v>
      </c>
      <c r="F245" s="31" t="s">
        <v>67</v>
      </c>
    </row>
    <row r="246" spans="1:6" x14ac:dyDescent="0.3">
      <c r="A246" s="16">
        <v>3</v>
      </c>
      <c r="B246" s="19">
        <v>2</v>
      </c>
      <c r="C246" s="19" t="s">
        <v>84</v>
      </c>
      <c r="D246" s="19" t="s">
        <v>4</v>
      </c>
      <c r="E246" s="19" t="s">
        <v>45</v>
      </c>
      <c r="F246" s="19" t="s">
        <v>63</v>
      </c>
    </row>
    <row r="247" spans="1:6" x14ac:dyDescent="0.3">
      <c r="A247" s="32">
        <v>3</v>
      </c>
      <c r="B247" s="31">
        <v>1</v>
      </c>
      <c r="C247" s="31" t="s">
        <v>85</v>
      </c>
      <c r="D247" s="31" t="s">
        <v>44</v>
      </c>
      <c r="E247" s="31" t="s">
        <v>14</v>
      </c>
      <c r="F247" s="31" t="s">
        <v>63</v>
      </c>
    </row>
    <row r="248" spans="1:6" x14ac:dyDescent="0.3">
      <c r="A248" s="16">
        <v>3</v>
      </c>
      <c r="B248" s="14">
        <v>2</v>
      </c>
      <c r="C248" s="14" t="s">
        <v>84</v>
      </c>
      <c r="D248" s="14" t="s">
        <v>33</v>
      </c>
      <c r="E248" s="19" t="s">
        <v>46</v>
      </c>
      <c r="F248" s="19" t="s">
        <v>55</v>
      </c>
    </row>
    <row r="249" spans="1:6" x14ac:dyDescent="0.3">
      <c r="A249" s="32">
        <v>3</v>
      </c>
      <c r="B249" s="14">
        <v>1</v>
      </c>
      <c r="C249" s="14" t="s">
        <v>85</v>
      </c>
      <c r="D249" s="14" t="s">
        <v>33</v>
      </c>
      <c r="E249" s="31" t="s">
        <v>46</v>
      </c>
      <c r="F249" s="31" t="s">
        <v>59</v>
      </c>
    </row>
    <row r="250" spans="1:6" x14ac:dyDescent="0.3">
      <c r="A250" s="16">
        <v>3</v>
      </c>
      <c r="B250" s="19">
        <v>1</v>
      </c>
      <c r="C250" s="19" t="s">
        <v>85</v>
      </c>
      <c r="D250" s="19" t="s">
        <v>4</v>
      </c>
      <c r="E250" s="19" t="s">
        <v>45</v>
      </c>
      <c r="F250" s="19" t="s">
        <v>69</v>
      </c>
    </row>
    <row r="251" spans="1:6" x14ac:dyDescent="0.3">
      <c r="A251" s="32">
        <v>3</v>
      </c>
      <c r="B251" s="31">
        <v>2</v>
      </c>
      <c r="C251" s="31" t="s">
        <v>84</v>
      </c>
      <c r="D251" s="31" t="s">
        <v>44</v>
      </c>
      <c r="E251" s="31" t="s">
        <v>14</v>
      </c>
      <c r="F251" s="31" t="s">
        <v>69</v>
      </c>
    </row>
    <row r="252" spans="1:6" x14ac:dyDescent="0.3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57</v>
      </c>
    </row>
    <row r="253" spans="1:6" x14ac:dyDescent="0.3">
      <c r="A253" s="32">
        <v>3</v>
      </c>
      <c r="B253" s="31">
        <v>2</v>
      </c>
      <c r="C253" s="31" t="s">
        <v>84</v>
      </c>
      <c r="D253" s="31" t="s">
        <v>4</v>
      </c>
      <c r="E253" s="31" t="s">
        <v>45</v>
      </c>
      <c r="F253" s="31" t="s">
        <v>65</v>
      </c>
    </row>
    <row r="254" spans="1:6" x14ac:dyDescent="0.3">
      <c r="A254" s="16">
        <v>3</v>
      </c>
      <c r="B254" s="19">
        <v>2</v>
      </c>
      <c r="C254" s="19" t="s">
        <v>84</v>
      </c>
      <c r="D254" s="19" t="s">
        <v>44</v>
      </c>
      <c r="E254" s="19" t="s">
        <v>13</v>
      </c>
      <c r="F254" s="19" t="s">
        <v>65</v>
      </c>
    </row>
    <row r="255" spans="1:6" x14ac:dyDescent="0.3">
      <c r="A255" s="32">
        <v>3</v>
      </c>
      <c r="B255" s="14">
        <v>1</v>
      </c>
      <c r="C255" s="14" t="s">
        <v>85</v>
      </c>
      <c r="D255" s="14" t="s">
        <v>33</v>
      </c>
      <c r="E255" s="31" t="s">
        <v>46</v>
      </c>
      <c r="F255" s="31" t="s">
        <v>61</v>
      </c>
    </row>
    <row r="256" spans="1:6" x14ac:dyDescent="0.3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56</v>
      </c>
    </row>
    <row r="257" spans="1:6" x14ac:dyDescent="0.3">
      <c r="A257" s="32">
        <v>3</v>
      </c>
      <c r="B257" s="31">
        <v>2</v>
      </c>
      <c r="C257" s="31" t="s">
        <v>84</v>
      </c>
      <c r="D257" s="31" t="s">
        <v>4</v>
      </c>
      <c r="E257" s="31" t="s">
        <v>45</v>
      </c>
      <c r="F257" s="31" t="s">
        <v>64</v>
      </c>
    </row>
    <row r="258" spans="1:6" x14ac:dyDescent="0.3">
      <c r="A258" s="16">
        <v>3</v>
      </c>
      <c r="B258" s="19">
        <v>2</v>
      </c>
      <c r="C258" s="19" t="s">
        <v>84</v>
      </c>
      <c r="D258" s="19" t="s">
        <v>44</v>
      </c>
      <c r="E258" s="19" t="s">
        <v>13</v>
      </c>
      <c r="F258" s="19" t="s">
        <v>64</v>
      </c>
    </row>
    <row r="259" spans="1:6" x14ac:dyDescent="0.3">
      <c r="A259" s="32">
        <v>3</v>
      </c>
      <c r="B259" s="31">
        <v>2</v>
      </c>
      <c r="C259" s="31" t="s">
        <v>84</v>
      </c>
      <c r="D259" s="31" t="s">
        <v>4</v>
      </c>
      <c r="E259" s="31" t="s">
        <v>45</v>
      </c>
      <c r="F259" s="31" t="s">
        <v>70</v>
      </c>
    </row>
    <row r="260" spans="1:6" x14ac:dyDescent="0.3">
      <c r="A260" s="16">
        <v>3</v>
      </c>
      <c r="B260" s="19">
        <v>1</v>
      </c>
      <c r="C260" s="19" t="s">
        <v>85</v>
      </c>
      <c r="D260" s="19" t="s">
        <v>44</v>
      </c>
      <c r="E260" s="19" t="s">
        <v>14</v>
      </c>
      <c r="F260" s="19" t="s">
        <v>70</v>
      </c>
    </row>
    <row r="261" spans="1:6" x14ac:dyDescent="0.3">
      <c r="A261" s="32">
        <v>3</v>
      </c>
      <c r="B261" s="14">
        <v>2</v>
      </c>
      <c r="C261" s="14" t="s">
        <v>84</v>
      </c>
      <c r="D261" s="14" t="s">
        <v>33</v>
      </c>
      <c r="E261" s="31" t="s">
        <v>46</v>
      </c>
      <c r="F261" s="31" t="s">
        <v>60</v>
      </c>
    </row>
    <row r="262" spans="1:6" x14ac:dyDescent="0.3">
      <c r="A262" s="16">
        <v>3</v>
      </c>
      <c r="B262" s="14">
        <v>2</v>
      </c>
      <c r="C262" s="14" t="s">
        <v>84</v>
      </c>
      <c r="D262" s="14" t="s">
        <v>33</v>
      </c>
      <c r="E262" s="19" t="s">
        <v>46</v>
      </c>
      <c r="F262" s="19" t="s">
        <v>58</v>
      </c>
    </row>
    <row r="263" spans="1:6" x14ac:dyDescent="0.3">
      <c r="A263" s="32">
        <v>3</v>
      </c>
      <c r="B263" s="31">
        <v>1</v>
      </c>
      <c r="C263" s="31" t="s">
        <v>85</v>
      </c>
      <c r="D263" s="31" t="s">
        <v>4</v>
      </c>
      <c r="E263" s="31" t="s">
        <v>45</v>
      </c>
      <c r="F263" s="31" t="s">
        <v>68</v>
      </c>
    </row>
    <row r="264" spans="1:6" x14ac:dyDescent="0.3">
      <c r="A264" s="16">
        <v>3</v>
      </c>
      <c r="B264" s="19">
        <v>1</v>
      </c>
      <c r="C264" s="19" t="s">
        <v>85</v>
      </c>
      <c r="D264" s="19" t="s">
        <v>44</v>
      </c>
      <c r="E264" s="19" t="s">
        <v>13</v>
      </c>
      <c r="F264" s="19" t="s">
        <v>68</v>
      </c>
    </row>
    <row r="265" spans="1:6" x14ac:dyDescent="0.3">
      <c r="A265" s="32">
        <v>3</v>
      </c>
      <c r="B265" s="14">
        <v>2</v>
      </c>
      <c r="C265" s="14" t="s">
        <v>84</v>
      </c>
      <c r="D265" s="14" t="s">
        <v>33</v>
      </c>
      <c r="E265" s="31" t="s">
        <v>46</v>
      </c>
      <c r="F265" s="31" t="s">
        <v>62</v>
      </c>
    </row>
    <row r="266" spans="1:6" x14ac:dyDescent="0.3">
      <c r="A266" s="16">
        <v>3</v>
      </c>
      <c r="B266" s="19">
        <v>1</v>
      </c>
      <c r="C266" s="19" t="s">
        <v>85</v>
      </c>
      <c r="D266" s="19" t="s">
        <v>4</v>
      </c>
      <c r="E266" s="19" t="s">
        <v>45</v>
      </c>
      <c r="F266" s="19" t="s">
        <v>66</v>
      </c>
    </row>
    <row r="267" spans="1:6" x14ac:dyDescent="0.3">
      <c r="A267" s="32">
        <v>3</v>
      </c>
      <c r="B267" s="31">
        <v>1</v>
      </c>
      <c r="C267" s="31" t="s">
        <v>85</v>
      </c>
      <c r="D267" s="31" t="s">
        <v>44</v>
      </c>
      <c r="E267" s="31" t="s">
        <v>13</v>
      </c>
      <c r="F267" s="31" t="s">
        <v>66</v>
      </c>
    </row>
    <row r="268" spans="1:6" x14ac:dyDescent="0.3">
      <c r="A268" s="8">
        <v>4</v>
      </c>
      <c r="B268" s="15">
        <v>2</v>
      </c>
      <c r="C268" s="15" t="s">
        <v>84</v>
      </c>
      <c r="D268" s="15" t="s">
        <v>33</v>
      </c>
      <c r="E268" s="8" t="s">
        <v>46</v>
      </c>
      <c r="F268" s="8" t="s">
        <v>67</v>
      </c>
    </row>
    <row r="269" spans="1:6" x14ac:dyDescent="0.3">
      <c r="A269" s="19">
        <v>4</v>
      </c>
      <c r="B269" s="15">
        <v>2</v>
      </c>
      <c r="C269" s="15" t="s">
        <v>84</v>
      </c>
      <c r="D269" s="15" t="s">
        <v>33</v>
      </c>
      <c r="E269" s="19" t="s">
        <v>46</v>
      </c>
      <c r="F269" s="19" t="s">
        <v>63</v>
      </c>
    </row>
    <row r="270" spans="1:6" x14ac:dyDescent="0.3">
      <c r="A270" s="8">
        <v>4</v>
      </c>
      <c r="B270" s="8">
        <v>1</v>
      </c>
      <c r="C270" s="8" t="s">
        <v>85</v>
      </c>
      <c r="D270" s="8" t="s">
        <v>4</v>
      </c>
      <c r="E270" s="8" t="s">
        <v>45</v>
      </c>
      <c r="F270" s="8" t="s">
        <v>73</v>
      </c>
    </row>
    <row r="271" spans="1:6" x14ac:dyDescent="0.3">
      <c r="A271" s="19">
        <v>4</v>
      </c>
      <c r="B271" s="19">
        <v>1</v>
      </c>
      <c r="C271" s="19" t="s">
        <v>85</v>
      </c>
      <c r="D271" s="19" t="s">
        <v>44</v>
      </c>
      <c r="E271" s="19" t="s">
        <v>13</v>
      </c>
      <c r="F271" s="19" t="s">
        <v>73</v>
      </c>
    </row>
    <row r="272" spans="1:6" x14ac:dyDescent="0.3">
      <c r="A272" s="8">
        <v>4</v>
      </c>
      <c r="B272" s="8">
        <v>1</v>
      </c>
      <c r="C272" s="8" t="s">
        <v>85</v>
      </c>
      <c r="D272" s="8" t="s">
        <v>4</v>
      </c>
      <c r="E272" s="8" t="s">
        <v>45</v>
      </c>
      <c r="F272" s="8" t="s">
        <v>76</v>
      </c>
    </row>
    <row r="273" spans="1:6" x14ac:dyDescent="0.3">
      <c r="A273" s="19">
        <v>4</v>
      </c>
      <c r="B273" s="19">
        <v>2</v>
      </c>
      <c r="C273" s="19" t="s">
        <v>84</v>
      </c>
      <c r="D273" s="19" t="s">
        <v>44</v>
      </c>
      <c r="E273" s="19" t="s">
        <v>14</v>
      </c>
      <c r="F273" s="19" t="s">
        <v>76</v>
      </c>
    </row>
    <row r="274" spans="1:6" x14ac:dyDescent="0.3">
      <c r="A274" s="8">
        <v>4</v>
      </c>
      <c r="B274" s="15">
        <v>1</v>
      </c>
      <c r="C274" s="15" t="s">
        <v>85</v>
      </c>
      <c r="D274" s="15" t="s">
        <v>33</v>
      </c>
      <c r="E274" s="8" t="s">
        <v>46</v>
      </c>
      <c r="F274" s="8" t="s">
        <v>69</v>
      </c>
    </row>
    <row r="275" spans="1:6" x14ac:dyDescent="0.3">
      <c r="A275" s="19">
        <v>4</v>
      </c>
      <c r="B275" s="19">
        <v>2</v>
      </c>
      <c r="C275" s="19" t="s">
        <v>84</v>
      </c>
      <c r="D275" s="19" t="s">
        <v>4</v>
      </c>
      <c r="E275" s="19" t="s">
        <v>45</v>
      </c>
      <c r="F275" s="19" t="s">
        <v>74</v>
      </c>
    </row>
    <row r="276" spans="1:6" x14ac:dyDescent="0.3">
      <c r="A276" s="8">
        <v>4</v>
      </c>
      <c r="B276" s="8">
        <v>2</v>
      </c>
      <c r="C276" s="8" t="s">
        <v>84</v>
      </c>
      <c r="D276" s="8" t="s">
        <v>44</v>
      </c>
      <c r="E276" s="8" t="s">
        <v>13</v>
      </c>
      <c r="F276" s="8" t="s">
        <v>74</v>
      </c>
    </row>
    <row r="277" spans="1:6" x14ac:dyDescent="0.3">
      <c r="A277" s="19">
        <v>4</v>
      </c>
      <c r="B277" s="19">
        <v>2</v>
      </c>
      <c r="C277" s="19" t="s">
        <v>84</v>
      </c>
      <c r="D277" s="19" t="s">
        <v>4</v>
      </c>
      <c r="E277" s="19" t="s">
        <v>45</v>
      </c>
      <c r="F277" s="19" t="s">
        <v>78</v>
      </c>
    </row>
    <row r="278" spans="1:6" x14ac:dyDescent="0.3">
      <c r="A278" s="8">
        <v>4</v>
      </c>
      <c r="B278" s="8">
        <v>1</v>
      </c>
      <c r="C278" s="8" t="s">
        <v>85</v>
      </c>
      <c r="D278" s="8" t="s">
        <v>44</v>
      </c>
      <c r="E278" s="8" t="s">
        <v>14</v>
      </c>
      <c r="F278" s="8" t="s">
        <v>78</v>
      </c>
    </row>
    <row r="279" spans="1:6" x14ac:dyDescent="0.3">
      <c r="A279" s="19">
        <v>4</v>
      </c>
      <c r="B279" s="15">
        <v>2</v>
      </c>
      <c r="C279" s="15" t="s">
        <v>84</v>
      </c>
      <c r="D279" s="15" t="s">
        <v>33</v>
      </c>
      <c r="E279" s="19" t="s">
        <v>46</v>
      </c>
      <c r="F279" s="19" t="s">
        <v>65</v>
      </c>
    </row>
    <row r="280" spans="1:6" x14ac:dyDescent="0.3">
      <c r="A280" s="8">
        <v>4</v>
      </c>
      <c r="B280" s="8">
        <v>1</v>
      </c>
      <c r="C280" s="8" t="s">
        <v>85</v>
      </c>
      <c r="D280" s="8" t="s">
        <v>4</v>
      </c>
      <c r="E280" s="8" t="s">
        <v>45</v>
      </c>
      <c r="F280" s="8" t="s">
        <v>75</v>
      </c>
    </row>
    <row r="281" spans="1:6" x14ac:dyDescent="0.3">
      <c r="A281" s="19">
        <v>4</v>
      </c>
      <c r="B281" s="19">
        <v>2</v>
      </c>
      <c r="C281" s="19" t="s">
        <v>84</v>
      </c>
      <c r="D281" s="19" t="s">
        <v>44</v>
      </c>
      <c r="E281" s="19" t="s">
        <v>14</v>
      </c>
      <c r="F281" s="19" t="s">
        <v>75</v>
      </c>
    </row>
    <row r="282" spans="1:6" x14ac:dyDescent="0.3">
      <c r="A282" s="8">
        <v>4</v>
      </c>
      <c r="B282" s="8">
        <v>2</v>
      </c>
      <c r="C282" s="8" t="s">
        <v>84</v>
      </c>
      <c r="D282" s="8" t="s">
        <v>4</v>
      </c>
      <c r="E282" s="8" t="s">
        <v>45</v>
      </c>
      <c r="F282" s="8" t="s">
        <v>72</v>
      </c>
    </row>
    <row r="283" spans="1:6" x14ac:dyDescent="0.3">
      <c r="A283" s="19">
        <v>4</v>
      </c>
      <c r="B283" s="19">
        <v>2</v>
      </c>
      <c r="C283" s="19" t="s">
        <v>84</v>
      </c>
      <c r="D283" s="19" t="s">
        <v>44</v>
      </c>
      <c r="E283" s="19" t="s">
        <v>13</v>
      </c>
      <c r="F283" s="19" t="s">
        <v>72</v>
      </c>
    </row>
    <row r="284" spans="1:6" x14ac:dyDescent="0.3">
      <c r="A284" s="19">
        <v>4</v>
      </c>
      <c r="B284" s="15">
        <v>1</v>
      </c>
      <c r="C284" s="15" t="s">
        <v>85</v>
      </c>
      <c r="D284" s="15" t="s">
        <v>33</v>
      </c>
      <c r="E284" s="19" t="s">
        <v>46</v>
      </c>
      <c r="F284" s="19" t="s">
        <v>64</v>
      </c>
    </row>
    <row r="285" spans="1:6" x14ac:dyDescent="0.3">
      <c r="A285" s="8">
        <v>4</v>
      </c>
      <c r="B285" s="15">
        <v>1</v>
      </c>
      <c r="C285" s="15" t="s">
        <v>85</v>
      </c>
      <c r="D285" s="15" t="s">
        <v>33</v>
      </c>
      <c r="E285" s="8" t="s">
        <v>46</v>
      </c>
      <c r="F285" s="8" t="s">
        <v>70</v>
      </c>
    </row>
    <row r="286" spans="1:6" x14ac:dyDescent="0.3">
      <c r="A286" s="8">
        <v>4</v>
      </c>
      <c r="B286" s="8">
        <v>2</v>
      </c>
      <c r="C286" s="8" t="s">
        <v>84</v>
      </c>
      <c r="D286" s="8" t="s">
        <v>4</v>
      </c>
      <c r="E286" s="8" t="s">
        <v>45</v>
      </c>
      <c r="F286" s="8" t="s">
        <v>71</v>
      </c>
    </row>
    <row r="287" spans="1:6" x14ac:dyDescent="0.3">
      <c r="A287" s="19">
        <v>4</v>
      </c>
      <c r="B287" s="19">
        <v>1</v>
      </c>
      <c r="C287" s="19" t="s">
        <v>85</v>
      </c>
      <c r="D287" s="19" t="s">
        <v>44</v>
      </c>
      <c r="E287" s="19" t="s">
        <v>14</v>
      </c>
      <c r="F287" s="19" t="s">
        <v>71</v>
      </c>
    </row>
    <row r="288" spans="1:6" x14ac:dyDescent="0.3">
      <c r="A288" s="8">
        <v>4</v>
      </c>
      <c r="B288" s="8">
        <v>1</v>
      </c>
      <c r="C288" s="8" t="s">
        <v>85</v>
      </c>
      <c r="D288" s="8" t="s">
        <v>4</v>
      </c>
      <c r="E288" s="8" t="s">
        <v>45</v>
      </c>
      <c r="F288" s="8" t="s">
        <v>77</v>
      </c>
    </row>
    <row r="289" spans="1:14" x14ac:dyDescent="0.3">
      <c r="A289" s="19">
        <v>4</v>
      </c>
      <c r="B289" s="19">
        <v>1</v>
      </c>
      <c r="C289" s="19" t="s">
        <v>85</v>
      </c>
      <c r="D289" s="19" t="s">
        <v>44</v>
      </c>
      <c r="E289" s="19" t="s">
        <v>13</v>
      </c>
      <c r="F289" s="19" t="s">
        <v>77</v>
      </c>
    </row>
    <row r="290" spans="1:14" x14ac:dyDescent="0.3">
      <c r="A290" s="8">
        <v>4</v>
      </c>
      <c r="B290" s="15">
        <v>2</v>
      </c>
      <c r="C290" s="15" t="s">
        <v>84</v>
      </c>
      <c r="D290" s="15" t="s">
        <v>33</v>
      </c>
      <c r="E290" s="8" t="s">
        <v>46</v>
      </c>
      <c r="F290" s="8" t="s">
        <v>68</v>
      </c>
    </row>
    <row r="291" spans="1:14" x14ac:dyDescent="0.3">
      <c r="A291" s="34">
        <v>4</v>
      </c>
      <c r="B291" s="35">
        <v>1</v>
      </c>
      <c r="C291" s="35" t="s">
        <v>85</v>
      </c>
      <c r="D291" s="35" t="s">
        <v>33</v>
      </c>
      <c r="E291" s="34" t="s">
        <v>46</v>
      </c>
      <c r="F291" s="34" t="s">
        <v>66</v>
      </c>
      <c r="N291" t="s">
        <v>23</v>
      </c>
    </row>
    <row r="292" spans="1:14" x14ac:dyDescent="0.3">
      <c r="A292" s="33" t="s">
        <v>29</v>
      </c>
      <c r="B292" s="33"/>
      <c r="C292" s="33"/>
      <c r="D292" s="33"/>
      <c r="E292" s="33"/>
      <c r="F292" s="33"/>
    </row>
    <row r="293" spans="1:14" x14ac:dyDescent="0.3">
      <c r="A293" s="16">
        <v>1</v>
      </c>
      <c r="B293" s="19">
        <v>2</v>
      </c>
      <c r="C293" s="19" t="s">
        <v>84</v>
      </c>
      <c r="D293" s="19" t="s">
        <v>4</v>
      </c>
      <c r="E293" s="19" t="s">
        <v>45</v>
      </c>
      <c r="F293" s="19" t="s">
        <v>50</v>
      </c>
    </row>
    <row r="294" spans="1:14" x14ac:dyDescent="0.3">
      <c r="A294" s="32">
        <v>1</v>
      </c>
      <c r="B294" s="31">
        <v>2</v>
      </c>
      <c r="C294" s="19" t="s">
        <v>84</v>
      </c>
      <c r="D294" s="31" t="s">
        <v>44</v>
      </c>
      <c r="E294" s="31" t="s">
        <v>13</v>
      </c>
      <c r="F294" s="31" t="s">
        <v>50</v>
      </c>
    </row>
    <row r="295" spans="1:14" x14ac:dyDescent="0.3">
      <c r="A295" s="16">
        <v>1</v>
      </c>
      <c r="B295" s="18">
        <v>1</v>
      </c>
      <c r="C295" s="17" t="s">
        <v>85</v>
      </c>
      <c r="D295" s="12" t="s">
        <v>33</v>
      </c>
      <c r="E295" s="19" t="s">
        <v>46</v>
      </c>
      <c r="F295" s="19" t="s">
        <v>76</v>
      </c>
    </row>
    <row r="296" spans="1:14" x14ac:dyDescent="0.3">
      <c r="A296" s="32">
        <v>1</v>
      </c>
      <c r="B296" s="18">
        <v>1</v>
      </c>
      <c r="C296" s="18" t="s">
        <v>85</v>
      </c>
      <c r="D296" s="12" t="s">
        <v>33</v>
      </c>
      <c r="E296" s="31" t="s">
        <v>46</v>
      </c>
      <c r="F296" s="31" t="s">
        <v>71</v>
      </c>
    </row>
    <row r="297" spans="1:14" x14ac:dyDescent="0.3">
      <c r="A297" s="16">
        <v>1</v>
      </c>
      <c r="B297" s="19">
        <v>2</v>
      </c>
      <c r="C297" s="19" t="s">
        <v>84</v>
      </c>
      <c r="D297" s="19" t="s">
        <v>4</v>
      </c>
      <c r="E297" s="19" t="s">
        <v>45</v>
      </c>
      <c r="F297" s="19" t="s">
        <v>49</v>
      </c>
    </row>
    <row r="298" spans="1:14" x14ac:dyDescent="0.3">
      <c r="A298" s="32">
        <v>1</v>
      </c>
      <c r="B298" s="31">
        <v>2</v>
      </c>
      <c r="C298" s="19" t="s">
        <v>84</v>
      </c>
      <c r="D298" s="31" t="s">
        <v>44</v>
      </c>
      <c r="E298" s="31" t="s">
        <v>13</v>
      </c>
      <c r="F298" s="31" t="s">
        <v>49</v>
      </c>
    </row>
    <row r="299" spans="1:14" x14ac:dyDescent="0.3">
      <c r="A299" s="16">
        <v>1</v>
      </c>
      <c r="B299" s="19">
        <v>2</v>
      </c>
      <c r="C299" s="19" t="s">
        <v>84</v>
      </c>
      <c r="D299" s="19" t="s">
        <v>4</v>
      </c>
      <c r="E299" s="19" t="s">
        <v>45</v>
      </c>
      <c r="F299" s="19" t="s">
        <v>52</v>
      </c>
    </row>
    <row r="300" spans="1:14" x14ac:dyDescent="0.3">
      <c r="A300" s="32">
        <v>1</v>
      </c>
      <c r="B300" s="31">
        <v>1</v>
      </c>
      <c r="C300" s="31" t="s">
        <v>85</v>
      </c>
      <c r="D300" s="31" t="s">
        <v>44</v>
      </c>
      <c r="E300" s="31" t="s">
        <v>14</v>
      </c>
      <c r="F300" s="31" t="s">
        <v>52</v>
      </c>
    </row>
    <row r="301" spans="1:14" x14ac:dyDescent="0.3">
      <c r="A301" s="16">
        <v>1</v>
      </c>
      <c r="B301" s="18">
        <v>2</v>
      </c>
      <c r="C301" s="17" t="s">
        <v>84</v>
      </c>
      <c r="D301" s="12" t="s">
        <v>33</v>
      </c>
      <c r="E301" s="19" t="s">
        <v>46</v>
      </c>
      <c r="F301" s="19" t="s">
        <v>75</v>
      </c>
    </row>
    <row r="302" spans="1:14" x14ac:dyDescent="0.3">
      <c r="A302" s="32">
        <v>1</v>
      </c>
      <c r="B302" s="31">
        <v>1</v>
      </c>
      <c r="C302" s="31" t="s">
        <v>85</v>
      </c>
      <c r="D302" s="31" t="s">
        <v>4</v>
      </c>
      <c r="E302" s="31" t="s">
        <v>45</v>
      </c>
      <c r="F302" s="31" t="s">
        <v>48</v>
      </c>
    </row>
    <row r="303" spans="1:14" x14ac:dyDescent="0.3">
      <c r="A303" s="16">
        <v>1</v>
      </c>
      <c r="B303" s="19">
        <v>2</v>
      </c>
      <c r="C303" s="19" t="s">
        <v>84</v>
      </c>
      <c r="D303" s="19" t="s">
        <v>44</v>
      </c>
      <c r="E303" s="19" t="s">
        <v>14</v>
      </c>
      <c r="F303" s="19" t="s">
        <v>48</v>
      </c>
    </row>
    <row r="304" spans="1:14" x14ac:dyDescent="0.3">
      <c r="A304" s="32">
        <v>1</v>
      </c>
      <c r="B304" s="31">
        <v>2</v>
      </c>
      <c r="C304" s="31" t="s">
        <v>84</v>
      </c>
      <c r="D304" s="31" t="s">
        <v>4</v>
      </c>
      <c r="E304" s="31" t="s">
        <v>45</v>
      </c>
      <c r="F304" s="31" t="s">
        <v>47</v>
      </c>
    </row>
    <row r="305" spans="1:6" x14ac:dyDescent="0.3">
      <c r="A305" s="16">
        <v>1</v>
      </c>
      <c r="B305" s="19">
        <v>1</v>
      </c>
      <c r="C305" s="19" t="s">
        <v>85</v>
      </c>
      <c r="D305" s="19" t="s">
        <v>44</v>
      </c>
      <c r="E305" s="19" t="s">
        <v>14</v>
      </c>
      <c r="F305" s="19" t="s">
        <v>47</v>
      </c>
    </row>
    <row r="306" spans="1:6" x14ac:dyDescent="0.3">
      <c r="A306" s="32">
        <v>1</v>
      </c>
      <c r="B306" s="18">
        <v>2</v>
      </c>
      <c r="C306" s="18" t="s">
        <v>84</v>
      </c>
      <c r="D306" s="12" t="s">
        <v>33</v>
      </c>
      <c r="E306" s="31" t="s">
        <v>46</v>
      </c>
      <c r="F306" s="31" t="s">
        <v>77</v>
      </c>
    </row>
    <row r="307" spans="1:6" x14ac:dyDescent="0.3">
      <c r="A307" s="16">
        <v>1</v>
      </c>
      <c r="B307" s="19">
        <v>1</v>
      </c>
      <c r="C307" s="19" t="s">
        <v>85</v>
      </c>
      <c r="D307" s="19" t="s">
        <v>4</v>
      </c>
      <c r="E307" s="19" t="s">
        <v>45</v>
      </c>
      <c r="F307" s="19" t="s">
        <v>54</v>
      </c>
    </row>
    <row r="308" spans="1:6" x14ac:dyDescent="0.3">
      <c r="A308" s="32">
        <v>1</v>
      </c>
      <c r="B308" s="31">
        <v>1</v>
      </c>
      <c r="C308" s="19" t="s">
        <v>85</v>
      </c>
      <c r="D308" s="31" t="s">
        <v>44</v>
      </c>
      <c r="E308" s="31" t="s">
        <v>13</v>
      </c>
      <c r="F308" s="31" t="s">
        <v>54</v>
      </c>
    </row>
    <row r="309" spans="1:6" x14ac:dyDescent="0.3">
      <c r="A309" s="16">
        <v>1</v>
      </c>
      <c r="B309" s="18">
        <v>2</v>
      </c>
      <c r="C309" s="17" t="s">
        <v>84</v>
      </c>
      <c r="D309" s="12" t="s">
        <v>33</v>
      </c>
      <c r="E309" s="19" t="s">
        <v>46</v>
      </c>
      <c r="F309" s="19" t="s">
        <v>72</v>
      </c>
    </row>
    <row r="310" spans="1:6" x14ac:dyDescent="0.3">
      <c r="A310" s="32">
        <v>1</v>
      </c>
      <c r="B310" s="31">
        <v>1</v>
      </c>
      <c r="C310" s="31" t="s">
        <v>85</v>
      </c>
      <c r="D310" s="31" t="s">
        <v>4</v>
      </c>
      <c r="E310" s="31" t="s">
        <v>45</v>
      </c>
      <c r="F310" s="31" t="s">
        <v>51</v>
      </c>
    </row>
    <row r="311" spans="1:6" x14ac:dyDescent="0.3">
      <c r="A311" s="16">
        <v>1</v>
      </c>
      <c r="B311" s="19">
        <v>1</v>
      </c>
      <c r="C311" s="19" t="s">
        <v>85</v>
      </c>
      <c r="D311" s="19" t="s">
        <v>44</v>
      </c>
      <c r="E311" s="19" t="s">
        <v>13</v>
      </c>
      <c r="F311" s="19" t="s">
        <v>51</v>
      </c>
    </row>
    <row r="312" spans="1:6" x14ac:dyDescent="0.3">
      <c r="A312" s="32">
        <v>1</v>
      </c>
      <c r="B312" s="18">
        <v>1</v>
      </c>
      <c r="C312" s="18" t="s">
        <v>85</v>
      </c>
      <c r="D312" s="12" t="s">
        <v>33</v>
      </c>
      <c r="E312" s="31" t="s">
        <v>46</v>
      </c>
      <c r="F312" s="31" t="s">
        <v>78</v>
      </c>
    </row>
    <row r="313" spans="1:6" x14ac:dyDescent="0.3">
      <c r="A313" s="16">
        <v>1</v>
      </c>
      <c r="B313" s="18">
        <v>2</v>
      </c>
      <c r="C313" s="17" t="s">
        <v>84</v>
      </c>
      <c r="D313" s="12" t="s">
        <v>33</v>
      </c>
      <c r="E313" s="19" t="s">
        <v>46</v>
      </c>
      <c r="F313" s="19" t="s">
        <v>73</v>
      </c>
    </row>
    <row r="314" spans="1:6" x14ac:dyDescent="0.3">
      <c r="A314" s="32">
        <v>1</v>
      </c>
      <c r="B314" s="31">
        <v>1</v>
      </c>
      <c r="C314" s="31" t="s">
        <v>85</v>
      </c>
      <c r="D314" s="31" t="s">
        <v>4</v>
      </c>
      <c r="E314" s="31" t="s">
        <v>45</v>
      </c>
      <c r="F314" s="31" t="s">
        <v>53</v>
      </c>
    </row>
    <row r="315" spans="1:6" x14ac:dyDescent="0.3">
      <c r="A315" s="16">
        <v>1</v>
      </c>
      <c r="B315" s="19">
        <v>2</v>
      </c>
      <c r="C315" s="19" t="s">
        <v>84</v>
      </c>
      <c r="D315" s="19" t="s">
        <v>44</v>
      </c>
      <c r="E315" s="19" t="s">
        <v>14</v>
      </c>
      <c r="F315" s="19" t="s">
        <v>53</v>
      </c>
    </row>
    <row r="316" spans="1:6" x14ac:dyDescent="0.3">
      <c r="A316" s="32">
        <v>1</v>
      </c>
      <c r="B316" s="18">
        <v>1</v>
      </c>
      <c r="C316" s="18" t="s">
        <v>85</v>
      </c>
      <c r="D316" s="12" t="s">
        <v>33</v>
      </c>
      <c r="E316" s="31" t="s">
        <v>46</v>
      </c>
      <c r="F316" s="31" t="s">
        <v>74</v>
      </c>
    </row>
    <row r="317" spans="1:6" x14ac:dyDescent="0.3">
      <c r="A317" s="8">
        <v>2</v>
      </c>
      <c r="B317" s="8">
        <v>1</v>
      </c>
      <c r="C317" s="11" t="s">
        <v>85</v>
      </c>
      <c r="D317" s="8" t="s">
        <v>4</v>
      </c>
      <c r="E317" s="8" t="s">
        <v>45</v>
      </c>
      <c r="F317" s="8" t="s">
        <v>58</v>
      </c>
    </row>
    <row r="318" spans="1:6" x14ac:dyDescent="0.3">
      <c r="A318" s="19">
        <v>2</v>
      </c>
      <c r="B318" s="19">
        <v>1</v>
      </c>
      <c r="C318" s="16" t="s">
        <v>85</v>
      </c>
      <c r="D318" s="19" t="s">
        <v>44</v>
      </c>
      <c r="E318" s="19" t="s">
        <v>13</v>
      </c>
      <c r="F318" s="19" t="s">
        <v>58</v>
      </c>
    </row>
    <row r="319" spans="1:6" x14ac:dyDescent="0.3">
      <c r="A319" s="8">
        <v>2</v>
      </c>
      <c r="B319" s="13">
        <v>2</v>
      </c>
      <c r="C319" s="13" t="s">
        <v>84</v>
      </c>
      <c r="D319" s="13" t="s">
        <v>33</v>
      </c>
      <c r="E319" s="8" t="s">
        <v>46</v>
      </c>
      <c r="F319" s="8" t="s">
        <v>50</v>
      </c>
    </row>
    <row r="320" spans="1:6" x14ac:dyDescent="0.3">
      <c r="A320" s="19">
        <v>2</v>
      </c>
      <c r="B320" s="19">
        <v>1</v>
      </c>
      <c r="C320" s="19" t="s">
        <v>85</v>
      </c>
      <c r="D320" s="19" t="s">
        <v>4</v>
      </c>
      <c r="E320" s="19" t="s">
        <v>45</v>
      </c>
      <c r="F320" s="19" t="s">
        <v>60</v>
      </c>
    </row>
    <row r="321" spans="1:6" x14ac:dyDescent="0.3">
      <c r="A321" s="8">
        <v>2</v>
      </c>
      <c r="B321" s="8">
        <v>1</v>
      </c>
      <c r="C321" s="8" t="s">
        <v>85</v>
      </c>
      <c r="D321" s="8" t="s">
        <v>44</v>
      </c>
      <c r="E321" s="8" t="s">
        <v>13</v>
      </c>
      <c r="F321" s="8" t="s">
        <v>60</v>
      </c>
    </row>
    <row r="322" spans="1:6" x14ac:dyDescent="0.3">
      <c r="A322" s="19">
        <v>2</v>
      </c>
      <c r="B322" s="19">
        <v>1</v>
      </c>
      <c r="C322" s="19" t="s">
        <v>85</v>
      </c>
      <c r="D322" s="19" t="s">
        <v>4</v>
      </c>
      <c r="E322" s="19" t="s">
        <v>45</v>
      </c>
      <c r="F322" s="19" t="s">
        <v>62</v>
      </c>
    </row>
    <row r="323" spans="1:6" x14ac:dyDescent="0.3">
      <c r="A323" s="8">
        <v>2</v>
      </c>
      <c r="B323" s="8">
        <v>2</v>
      </c>
      <c r="C323" s="8" t="s">
        <v>84</v>
      </c>
      <c r="D323" s="8" t="s">
        <v>44</v>
      </c>
      <c r="E323" s="8" t="s">
        <v>14</v>
      </c>
      <c r="F323" s="8" t="s">
        <v>62</v>
      </c>
    </row>
    <row r="324" spans="1:6" x14ac:dyDescent="0.3">
      <c r="A324" s="19">
        <v>2</v>
      </c>
      <c r="B324" s="13">
        <v>2</v>
      </c>
      <c r="C324" s="13" t="s">
        <v>84</v>
      </c>
      <c r="D324" s="13" t="s">
        <v>33</v>
      </c>
      <c r="E324" s="19" t="s">
        <v>46</v>
      </c>
      <c r="F324" s="19" t="s">
        <v>49</v>
      </c>
    </row>
    <row r="325" spans="1:6" x14ac:dyDescent="0.3">
      <c r="A325" s="8">
        <v>2</v>
      </c>
      <c r="B325" s="8">
        <v>2</v>
      </c>
      <c r="C325" s="8" t="s">
        <v>84</v>
      </c>
      <c r="D325" s="8" t="s">
        <v>4</v>
      </c>
      <c r="E325" s="8" t="s">
        <v>45</v>
      </c>
      <c r="F325" s="8" t="s">
        <v>56</v>
      </c>
    </row>
    <row r="326" spans="1:6" x14ac:dyDescent="0.3">
      <c r="A326" s="19">
        <v>2</v>
      </c>
      <c r="B326" s="19">
        <v>1</v>
      </c>
      <c r="C326" s="19" t="s">
        <v>85</v>
      </c>
      <c r="D326" s="19" t="s">
        <v>44</v>
      </c>
      <c r="E326" s="19" t="s">
        <v>14</v>
      </c>
      <c r="F326" s="19" t="s">
        <v>56</v>
      </c>
    </row>
    <row r="327" spans="1:6" x14ac:dyDescent="0.3">
      <c r="A327" s="8">
        <v>2</v>
      </c>
      <c r="B327" s="8">
        <v>1</v>
      </c>
      <c r="C327" s="8" t="s">
        <v>85</v>
      </c>
      <c r="D327" s="8" t="s">
        <v>4</v>
      </c>
      <c r="E327" s="8" t="s">
        <v>45</v>
      </c>
      <c r="F327" s="8" t="s">
        <v>61</v>
      </c>
    </row>
    <row r="328" spans="1:6" x14ac:dyDescent="0.3">
      <c r="A328" s="19">
        <v>2</v>
      </c>
      <c r="B328" s="19">
        <v>2</v>
      </c>
      <c r="C328" s="19" t="s">
        <v>84</v>
      </c>
      <c r="D328" s="19" t="s">
        <v>44</v>
      </c>
      <c r="E328" s="19" t="s">
        <v>14</v>
      </c>
      <c r="F328" s="19" t="s">
        <v>61</v>
      </c>
    </row>
    <row r="329" spans="1:6" x14ac:dyDescent="0.3">
      <c r="A329" s="8">
        <v>2</v>
      </c>
      <c r="B329" s="13">
        <v>1</v>
      </c>
      <c r="C329" s="13" t="s">
        <v>85</v>
      </c>
      <c r="D329" s="13" t="s">
        <v>33</v>
      </c>
      <c r="E329" s="8" t="s">
        <v>46</v>
      </c>
      <c r="F329" s="8" t="s">
        <v>52</v>
      </c>
    </row>
    <row r="330" spans="1:6" x14ac:dyDescent="0.3">
      <c r="A330" s="19">
        <v>2</v>
      </c>
      <c r="B330" s="13">
        <v>1</v>
      </c>
      <c r="C330" s="13" t="s">
        <v>85</v>
      </c>
      <c r="D330" s="13" t="s">
        <v>33</v>
      </c>
      <c r="E330" s="19" t="s">
        <v>46</v>
      </c>
      <c r="F330" s="19" t="s">
        <v>48</v>
      </c>
    </row>
    <row r="331" spans="1:6" x14ac:dyDescent="0.3">
      <c r="A331" s="8">
        <v>2</v>
      </c>
      <c r="B331" s="8">
        <v>2</v>
      </c>
      <c r="C331" s="8" t="s">
        <v>84</v>
      </c>
      <c r="D331" s="8" t="s">
        <v>4</v>
      </c>
      <c r="E331" s="8" t="s">
        <v>45</v>
      </c>
      <c r="F331" s="8" t="s">
        <v>59</v>
      </c>
    </row>
    <row r="332" spans="1:6" x14ac:dyDescent="0.3">
      <c r="A332" s="19">
        <v>2</v>
      </c>
      <c r="B332" s="19">
        <v>2</v>
      </c>
      <c r="C332" s="19" t="s">
        <v>84</v>
      </c>
      <c r="D332" s="19" t="s">
        <v>44</v>
      </c>
      <c r="E332" s="19" t="s">
        <v>13</v>
      </c>
      <c r="F332" s="19" t="s">
        <v>59</v>
      </c>
    </row>
    <row r="333" spans="1:6" x14ac:dyDescent="0.3">
      <c r="A333" s="8">
        <v>2</v>
      </c>
      <c r="B333" s="13">
        <v>1</v>
      </c>
      <c r="C333" s="13" t="s">
        <v>85</v>
      </c>
      <c r="D333" s="13" t="s">
        <v>33</v>
      </c>
      <c r="E333" s="8" t="s">
        <v>46</v>
      </c>
      <c r="F333" s="8" t="s">
        <v>47</v>
      </c>
    </row>
    <row r="334" spans="1:6" x14ac:dyDescent="0.3">
      <c r="A334" s="19">
        <v>2</v>
      </c>
      <c r="B334" s="19">
        <v>2</v>
      </c>
      <c r="C334" s="19" t="s">
        <v>84</v>
      </c>
      <c r="D334" s="19" t="s">
        <v>4</v>
      </c>
      <c r="E334" s="19" t="s">
        <v>45</v>
      </c>
      <c r="F334" s="19" t="s">
        <v>55</v>
      </c>
    </row>
    <row r="335" spans="1:6" x14ac:dyDescent="0.3">
      <c r="A335" s="8">
        <v>2</v>
      </c>
      <c r="B335" s="8">
        <v>2</v>
      </c>
      <c r="C335" s="8" t="s">
        <v>84</v>
      </c>
      <c r="D335" s="8" t="s">
        <v>44</v>
      </c>
      <c r="E335" s="8" t="s">
        <v>13</v>
      </c>
      <c r="F335" s="8" t="s">
        <v>55</v>
      </c>
    </row>
    <row r="336" spans="1:6" x14ac:dyDescent="0.3">
      <c r="A336" s="19">
        <v>2</v>
      </c>
      <c r="B336" s="13">
        <v>2</v>
      </c>
      <c r="C336" s="13" t="s">
        <v>84</v>
      </c>
      <c r="D336" s="13" t="s">
        <v>33</v>
      </c>
      <c r="E336" s="19" t="s">
        <v>46</v>
      </c>
      <c r="F336" s="19" t="s">
        <v>54</v>
      </c>
    </row>
    <row r="337" spans="1:6" x14ac:dyDescent="0.3">
      <c r="A337" s="8">
        <v>2</v>
      </c>
      <c r="B337" s="13">
        <v>1</v>
      </c>
      <c r="C337" s="13" t="s">
        <v>85</v>
      </c>
      <c r="D337" s="13" t="s">
        <v>33</v>
      </c>
      <c r="E337" s="8" t="s">
        <v>46</v>
      </c>
      <c r="F337" s="8" t="s">
        <v>51</v>
      </c>
    </row>
    <row r="338" spans="1:6" x14ac:dyDescent="0.3">
      <c r="A338" s="19">
        <v>2</v>
      </c>
      <c r="B338" s="13">
        <v>2</v>
      </c>
      <c r="C338" s="13" t="s">
        <v>84</v>
      </c>
      <c r="D338" s="13" t="s">
        <v>33</v>
      </c>
      <c r="E338" s="19" t="s">
        <v>46</v>
      </c>
      <c r="F338" s="19" t="s">
        <v>53</v>
      </c>
    </row>
    <row r="339" spans="1:6" x14ac:dyDescent="0.3">
      <c r="A339" s="8">
        <v>2</v>
      </c>
      <c r="B339" s="8">
        <v>2</v>
      </c>
      <c r="C339" s="8" t="s">
        <v>84</v>
      </c>
      <c r="D339" s="8" t="s">
        <v>4</v>
      </c>
      <c r="E339" s="8" t="s">
        <v>45</v>
      </c>
      <c r="F339" s="8" t="s">
        <v>57</v>
      </c>
    </row>
    <row r="340" spans="1:6" x14ac:dyDescent="0.3">
      <c r="A340" s="19">
        <v>2</v>
      </c>
      <c r="B340" s="19">
        <v>1</v>
      </c>
      <c r="C340" s="19" t="s">
        <v>85</v>
      </c>
      <c r="D340" s="19" t="s">
        <v>44</v>
      </c>
      <c r="E340" s="19" t="s">
        <v>14</v>
      </c>
      <c r="F340" s="19" t="s">
        <v>57</v>
      </c>
    </row>
    <row r="341" spans="1:6" x14ac:dyDescent="0.3">
      <c r="A341" s="16">
        <v>3</v>
      </c>
      <c r="B341" s="14">
        <v>2</v>
      </c>
      <c r="C341" s="14" t="s">
        <v>84</v>
      </c>
      <c r="D341" s="14" t="s">
        <v>33</v>
      </c>
      <c r="E341" s="19" t="s">
        <v>46</v>
      </c>
      <c r="F341" s="19" t="s">
        <v>58</v>
      </c>
    </row>
    <row r="342" spans="1:6" x14ac:dyDescent="0.3">
      <c r="A342" s="32">
        <v>3</v>
      </c>
      <c r="B342" s="31">
        <v>1</v>
      </c>
      <c r="C342" s="31" t="s">
        <v>85</v>
      </c>
      <c r="D342" s="31" t="s">
        <v>4</v>
      </c>
      <c r="E342" s="31" t="s">
        <v>45</v>
      </c>
      <c r="F342" s="31" t="s">
        <v>68</v>
      </c>
    </row>
    <row r="343" spans="1:6" x14ac:dyDescent="0.3">
      <c r="A343" s="16">
        <v>3</v>
      </c>
      <c r="B343" s="19">
        <v>2</v>
      </c>
      <c r="C343" s="19" t="s">
        <v>84</v>
      </c>
      <c r="D343" s="19" t="s">
        <v>44</v>
      </c>
      <c r="E343" s="19" t="s">
        <v>14</v>
      </c>
      <c r="F343" s="19" t="s">
        <v>68</v>
      </c>
    </row>
    <row r="344" spans="1:6" x14ac:dyDescent="0.3">
      <c r="A344" s="32">
        <v>3</v>
      </c>
      <c r="B344" s="14">
        <v>2</v>
      </c>
      <c r="C344" s="14" t="s">
        <v>84</v>
      </c>
      <c r="D344" s="14" t="s">
        <v>33</v>
      </c>
      <c r="E344" s="31" t="s">
        <v>46</v>
      </c>
      <c r="F344" s="31" t="s">
        <v>60</v>
      </c>
    </row>
    <row r="345" spans="1:6" x14ac:dyDescent="0.3">
      <c r="A345" s="16">
        <v>3</v>
      </c>
      <c r="B345" s="19">
        <v>2</v>
      </c>
      <c r="C345" s="19" t="s">
        <v>84</v>
      </c>
      <c r="D345" s="19" t="s">
        <v>4</v>
      </c>
      <c r="E345" s="19" t="s">
        <v>45</v>
      </c>
      <c r="F345" s="19" t="s">
        <v>66</v>
      </c>
    </row>
    <row r="346" spans="1:6" x14ac:dyDescent="0.3">
      <c r="A346" s="32">
        <v>3</v>
      </c>
      <c r="B346" s="31">
        <v>1</v>
      </c>
      <c r="C346" s="31" t="s">
        <v>85</v>
      </c>
      <c r="D346" s="31" t="s">
        <v>44</v>
      </c>
      <c r="E346" s="31" t="s">
        <v>14</v>
      </c>
      <c r="F346" s="31" t="s">
        <v>66</v>
      </c>
    </row>
    <row r="347" spans="1:6" x14ac:dyDescent="0.3">
      <c r="A347" s="16">
        <v>3</v>
      </c>
      <c r="B347" s="19">
        <v>1</v>
      </c>
      <c r="C347" s="19" t="s">
        <v>85</v>
      </c>
      <c r="D347" s="19" t="s">
        <v>4</v>
      </c>
      <c r="E347" s="19" t="s">
        <v>45</v>
      </c>
      <c r="F347" s="19" t="s">
        <v>70</v>
      </c>
    </row>
    <row r="348" spans="1:6" x14ac:dyDescent="0.3">
      <c r="A348" s="32">
        <v>3</v>
      </c>
      <c r="B348" s="31">
        <v>2</v>
      </c>
      <c r="C348" s="31" t="s">
        <v>84</v>
      </c>
      <c r="D348" s="31" t="s">
        <v>44</v>
      </c>
      <c r="E348" s="31" t="s">
        <v>14</v>
      </c>
      <c r="F348" s="31" t="s">
        <v>70</v>
      </c>
    </row>
    <row r="349" spans="1:6" x14ac:dyDescent="0.3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62</v>
      </c>
    </row>
    <row r="350" spans="1:6" x14ac:dyDescent="0.3">
      <c r="A350" s="32">
        <v>3</v>
      </c>
      <c r="B350" s="31">
        <v>2</v>
      </c>
      <c r="C350" s="31" t="s">
        <v>84</v>
      </c>
      <c r="D350" s="31" t="s">
        <v>4</v>
      </c>
      <c r="E350" s="31" t="s">
        <v>45</v>
      </c>
      <c r="F350" s="31" t="s">
        <v>69</v>
      </c>
    </row>
    <row r="351" spans="1:6" x14ac:dyDescent="0.3">
      <c r="A351" s="16">
        <v>3</v>
      </c>
      <c r="B351" s="19">
        <v>2</v>
      </c>
      <c r="C351" s="19" t="s">
        <v>84</v>
      </c>
      <c r="D351" s="19" t="s">
        <v>44</v>
      </c>
      <c r="E351" s="19" t="s">
        <v>13</v>
      </c>
      <c r="F351" s="19" t="s">
        <v>69</v>
      </c>
    </row>
    <row r="352" spans="1:6" x14ac:dyDescent="0.3">
      <c r="A352" s="32">
        <v>3</v>
      </c>
      <c r="B352" s="14">
        <v>1</v>
      </c>
      <c r="C352" s="14" t="s">
        <v>85</v>
      </c>
      <c r="D352" s="14" t="s">
        <v>33</v>
      </c>
      <c r="E352" s="31" t="s">
        <v>46</v>
      </c>
      <c r="F352" s="31" t="s">
        <v>56</v>
      </c>
    </row>
    <row r="353" spans="1:6" x14ac:dyDescent="0.3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61</v>
      </c>
    </row>
    <row r="354" spans="1:6" x14ac:dyDescent="0.3">
      <c r="A354" s="32">
        <v>3</v>
      </c>
      <c r="B354" s="31">
        <v>2</v>
      </c>
      <c r="C354" s="31" t="s">
        <v>84</v>
      </c>
      <c r="D354" s="31" t="s">
        <v>4</v>
      </c>
      <c r="E354" s="31" t="s">
        <v>45</v>
      </c>
      <c r="F354" s="31" t="s">
        <v>63</v>
      </c>
    </row>
    <row r="355" spans="1:6" x14ac:dyDescent="0.3">
      <c r="A355" s="16">
        <v>3</v>
      </c>
      <c r="B355" s="19">
        <v>2</v>
      </c>
      <c r="C355" s="19" t="s">
        <v>84</v>
      </c>
      <c r="D355" s="19" t="s">
        <v>44</v>
      </c>
      <c r="E355" s="19" t="s">
        <v>13</v>
      </c>
      <c r="F355" s="19" t="s">
        <v>63</v>
      </c>
    </row>
    <row r="356" spans="1:6" x14ac:dyDescent="0.3">
      <c r="A356" s="32">
        <v>3</v>
      </c>
      <c r="B356" s="31">
        <v>2</v>
      </c>
      <c r="C356" s="31" t="s">
        <v>84</v>
      </c>
      <c r="D356" s="31" t="s">
        <v>4</v>
      </c>
      <c r="E356" s="31" t="s">
        <v>45</v>
      </c>
      <c r="F356" s="31" t="s">
        <v>65</v>
      </c>
    </row>
    <row r="357" spans="1:6" x14ac:dyDescent="0.3">
      <c r="A357" s="16">
        <v>3</v>
      </c>
      <c r="B357" s="19">
        <v>1</v>
      </c>
      <c r="C357" s="19" t="s">
        <v>85</v>
      </c>
      <c r="D357" s="19" t="s">
        <v>44</v>
      </c>
      <c r="E357" s="19" t="s">
        <v>14</v>
      </c>
      <c r="F357" s="19" t="s">
        <v>65</v>
      </c>
    </row>
    <row r="358" spans="1:6" x14ac:dyDescent="0.3">
      <c r="A358" s="32">
        <v>3</v>
      </c>
      <c r="B358" s="14">
        <v>2</v>
      </c>
      <c r="C358" s="14" t="s">
        <v>84</v>
      </c>
      <c r="D358" s="14" t="s">
        <v>33</v>
      </c>
      <c r="E358" s="31" t="s">
        <v>46</v>
      </c>
      <c r="F358" s="31" t="s">
        <v>59</v>
      </c>
    </row>
    <row r="359" spans="1:6" x14ac:dyDescent="0.3">
      <c r="A359" s="16">
        <v>3</v>
      </c>
      <c r="B359" s="19">
        <v>1</v>
      </c>
      <c r="C359" s="19" t="s">
        <v>85</v>
      </c>
      <c r="D359" s="19" t="s">
        <v>4</v>
      </c>
      <c r="E359" s="19" t="s">
        <v>45</v>
      </c>
      <c r="F359" s="19" t="s">
        <v>67</v>
      </c>
    </row>
    <row r="360" spans="1:6" x14ac:dyDescent="0.3">
      <c r="A360" s="32">
        <v>3</v>
      </c>
      <c r="B360" s="31">
        <v>1</v>
      </c>
      <c r="C360" s="31" t="s">
        <v>85</v>
      </c>
      <c r="D360" s="31" t="s">
        <v>44</v>
      </c>
      <c r="E360" s="31" t="s">
        <v>13</v>
      </c>
      <c r="F360" s="31" t="s">
        <v>67</v>
      </c>
    </row>
    <row r="361" spans="1:6" x14ac:dyDescent="0.3">
      <c r="A361" s="16">
        <v>3</v>
      </c>
      <c r="B361" s="14">
        <v>2</v>
      </c>
      <c r="C361" s="14" t="s">
        <v>84</v>
      </c>
      <c r="D361" s="14" t="s">
        <v>33</v>
      </c>
      <c r="E361" s="19" t="s">
        <v>46</v>
      </c>
      <c r="F361" s="19" t="s">
        <v>55</v>
      </c>
    </row>
    <row r="362" spans="1:6" x14ac:dyDescent="0.3">
      <c r="A362" s="32">
        <v>3</v>
      </c>
      <c r="B362" s="31">
        <v>1</v>
      </c>
      <c r="C362" s="31" t="s">
        <v>85</v>
      </c>
      <c r="D362" s="31" t="s">
        <v>4</v>
      </c>
      <c r="E362" s="31" t="s">
        <v>45</v>
      </c>
      <c r="F362" s="31" t="s">
        <v>64</v>
      </c>
    </row>
    <row r="363" spans="1:6" x14ac:dyDescent="0.3">
      <c r="A363" s="16">
        <v>3</v>
      </c>
      <c r="B363" s="19">
        <v>1</v>
      </c>
      <c r="C363" s="19" t="s">
        <v>85</v>
      </c>
      <c r="D363" s="19" t="s">
        <v>44</v>
      </c>
      <c r="E363" s="19" t="s">
        <v>13</v>
      </c>
      <c r="F363" s="19" t="s">
        <v>64</v>
      </c>
    </row>
    <row r="364" spans="1:6" x14ac:dyDescent="0.3">
      <c r="A364" s="32">
        <v>3</v>
      </c>
      <c r="B364" s="14">
        <v>1</v>
      </c>
      <c r="C364" s="14" t="s">
        <v>85</v>
      </c>
      <c r="D364" s="14" t="s">
        <v>33</v>
      </c>
      <c r="E364" s="31" t="s">
        <v>46</v>
      </c>
      <c r="F364" s="31" t="s">
        <v>57</v>
      </c>
    </row>
    <row r="365" spans="1:6" x14ac:dyDescent="0.3">
      <c r="A365" s="8">
        <v>4</v>
      </c>
      <c r="B365" s="15">
        <v>2</v>
      </c>
      <c r="C365" s="15" t="s">
        <v>84</v>
      </c>
      <c r="D365" s="15" t="s">
        <v>33</v>
      </c>
      <c r="E365" s="8" t="s">
        <v>46</v>
      </c>
      <c r="F365" s="8" t="s">
        <v>68</v>
      </c>
    </row>
    <row r="366" spans="1:6" x14ac:dyDescent="0.3">
      <c r="A366" s="19">
        <v>4</v>
      </c>
      <c r="B366" s="19">
        <v>1</v>
      </c>
      <c r="C366" s="19" t="s">
        <v>85</v>
      </c>
      <c r="D366" s="19" t="s">
        <v>4</v>
      </c>
      <c r="E366" s="19" t="s">
        <v>45</v>
      </c>
      <c r="F366" s="19" t="s">
        <v>76</v>
      </c>
    </row>
    <row r="367" spans="1:6" x14ac:dyDescent="0.3">
      <c r="A367" s="8">
        <v>4</v>
      </c>
      <c r="B367" s="8">
        <v>1</v>
      </c>
      <c r="C367" s="8" t="s">
        <v>85</v>
      </c>
      <c r="D367" s="8" t="s">
        <v>44</v>
      </c>
      <c r="E367" s="8" t="s">
        <v>13</v>
      </c>
      <c r="F367" s="8" t="s">
        <v>76</v>
      </c>
    </row>
    <row r="368" spans="1:6" x14ac:dyDescent="0.3">
      <c r="A368" s="19">
        <v>4</v>
      </c>
      <c r="B368" s="19">
        <v>1</v>
      </c>
      <c r="C368" s="19" t="s">
        <v>85</v>
      </c>
      <c r="D368" s="19" t="s">
        <v>4</v>
      </c>
      <c r="E368" s="19" t="s">
        <v>45</v>
      </c>
      <c r="F368" s="19" t="s">
        <v>71</v>
      </c>
    </row>
    <row r="369" spans="1:6" x14ac:dyDescent="0.3">
      <c r="A369" s="8">
        <v>4</v>
      </c>
      <c r="B369" s="8">
        <v>2</v>
      </c>
      <c r="C369" s="8" t="s">
        <v>84</v>
      </c>
      <c r="D369" s="8" t="s">
        <v>44</v>
      </c>
      <c r="E369" s="8" t="s">
        <v>14</v>
      </c>
      <c r="F369" s="8" t="s">
        <v>71</v>
      </c>
    </row>
    <row r="370" spans="1:6" x14ac:dyDescent="0.3">
      <c r="A370" s="19">
        <v>4</v>
      </c>
      <c r="B370" s="15">
        <v>1</v>
      </c>
      <c r="C370" s="15" t="s">
        <v>85</v>
      </c>
      <c r="D370" s="15" t="s">
        <v>33</v>
      </c>
      <c r="E370" s="19" t="s">
        <v>46</v>
      </c>
      <c r="F370" s="19" t="s">
        <v>66</v>
      </c>
    </row>
    <row r="371" spans="1:6" x14ac:dyDescent="0.3">
      <c r="A371" s="8">
        <v>4</v>
      </c>
      <c r="B371" s="8">
        <v>2</v>
      </c>
      <c r="C371" s="8" t="s">
        <v>84</v>
      </c>
      <c r="D371" s="8" t="s">
        <v>4</v>
      </c>
      <c r="E371" s="8" t="s">
        <v>45</v>
      </c>
      <c r="F371" s="8" t="s">
        <v>75</v>
      </c>
    </row>
    <row r="372" spans="1:6" x14ac:dyDescent="0.3">
      <c r="A372" s="19">
        <v>4</v>
      </c>
      <c r="B372" s="19">
        <v>2</v>
      </c>
      <c r="C372" s="19" t="s">
        <v>84</v>
      </c>
      <c r="D372" s="19" t="s">
        <v>44</v>
      </c>
      <c r="E372" s="19" t="s">
        <v>13</v>
      </c>
      <c r="F372" s="19" t="s">
        <v>75</v>
      </c>
    </row>
    <row r="373" spans="1:6" x14ac:dyDescent="0.3">
      <c r="A373" s="8">
        <v>4</v>
      </c>
      <c r="B373" s="8">
        <v>2</v>
      </c>
      <c r="C373" s="8" t="s">
        <v>84</v>
      </c>
      <c r="D373" s="8" t="s">
        <v>4</v>
      </c>
      <c r="E373" s="8" t="s">
        <v>45</v>
      </c>
      <c r="F373" s="8" t="s">
        <v>77</v>
      </c>
    </row>
    <row r="374" spans="1:6" x14ac:dyDescent="0.3">
      <c r="A374" s="19">
        <v>4</v>
      </c>
      <c r="B374" s="19">
        <v>1</v>
      </c>
      <c r="C374" s="19" t="s">
        <v>85</v>
      </c>
      <c r="D374" s="19" t="s">
        <v>44</v>
      </c>
      <c r="E374" s="19" t="s">
        <v>14</v>
      </c>
      <c r="F374" s="19" t="s">
        <v>77</v>
      </c>
    </row>
    <row r="375" spans="1:6" x14ac:dyDescent="0.3">
      <c r="A375" s="8">
        <v>4</v>
      </c>
      <c r="B375" s="15">
        <v>2</v>
      </c>
      <c r="C375" s="15" t="s">
        <v>84</v>
      </c>
      <c r="D375" s="15" t="s">
        <v>33</v>
      </c>
      <c r="E375" s="8" t="s">
        <v>46</v>
      </c>
      <c r="F375" s="8" t="s">
        <v>70</v>
      </c>
    </row>
    <row r="376" spans="1:6" x14ac:dyDescent="0.3">
      <c r="A376" s="19">
        <v>4</v>
      </c>
      <c r="B376" s="15">
        <v>1</v>
      </c>
      <c r="C376" s="15" t="s">
        <v>85</v>
      </c>
      <c r="D376" s="15" t="s">
        <v>33</v>
      </c>
      <c r="E376" s="19" t="s">
        <v>46</v>
      </c>
      <c r="F376" s="19" t="s">
        <v>69</v>
      </c>
    </row>
    <row r="377" spans="1:6" x14ac:dyDescent="0.3">
      <c r="A377" s="8">
        <v>4</v>
      </c>
      <c r="B377" s="15">
        <v>2</v>
      </c>
      <c r="C377" s="15" t="s">
        <v>84</v>
      </c>
      <c r="D377" s="15" t="s">
        <v>33</v>
      </c>
      <c r="E377" s="8" t="s">
        <v>46</v>
      </c>
      <c r="F377" s="8" t="s">
        <v>63</v>
      </c>
    </row>
    <row r="378" spans="1:6" x14ac:dyDescent="0.3">
      <c r="A378" s="19">
        <v>4</v>
      </c>
      <c r="B378" s="19">
        <v>1</v>
      </c>
      <c r="C378" s="19" t="s">
        <v>85</v>
      </c>
      <c r="D378" s="19" t="s">
        <v>4</v>
      </c>
      <c r="E378" s="19" t="s">
        <v>45</v>
      </c>
      <c r="F378" s="19" t="s">
        <v>72</v>
      </c>
    </row>
    <row r="379" spans="1:6" x14ac:dyDescent="0.3">
      <c r="A379" s="8">
        <v>4</v>
      </c>
      <c r="B379" s="8">
        <v>2</v>
      </c>
      <c r="C379" s="8" t="s">
        <v>84</v>
      </c>
      <c r="D379" s="8" t="s">
        <v>44</v>
      </c>
      <c r="E379" s="8" t="s">
        <v>14</v>
      </c>
      <c r="F379" s="8" t="s">
        <v>72</v>
      </c>
    </row>
    <row r="380" spans="1:6" x14ac:dyDescent="0.3">
      <c r="A380" s="19">
        <v>4</v>
      </c>
      <c r="B380" s="19">
        <v>2</v>
      </c>
      <c r="C380" s="19" t="s">
        <v>84</v>
      </c>
      <c r="D380" s="19" t="s">
        <v>4</v>
      </c>
      <c r="E380" s="19" t="s">
        <v>45</v>
      </c>
      <c r="F380" s="19" t="s">
        <v>78</v>
      </c>
    </row>
    <row r="381" spans="1:6" x14ac:dyDescent="0.3">
      <c r="A381" s="8">
        <v>4</v>
      </c>
      <c r="B381" s="8">
        <v>2</v>
      </c>
      <c r="C381" s="8" t="s">
        <v>84</v>
      </c>
      <c r="D381" s="8" t="s">
        <v>44</v>
      </c>
      <c r="E381" s="8" t="s">
        <v>13</v>
      </c>
      <c r="F381" s="8" t="s">
        <v>78</v>
      </c>
    </row>
    <row r="382" spans="1:6" x14ac:dyDescent="0.3">
      <c r="A382" s="19">
        <v>4</v>
      </c>
      <c r="B382" s="15">
        <v>1</v>
      </c>
      <c r="C382" s="15" t="s">
        <v>85</v>
      </c>
      <c r="D382" s="15" t="s">
        <v>33</v>
      </c>
      <c r="E382" s="19" t="s">
        <v>46</v>
      </c>
      <c r="F382" s="19" t="s">
        <v>65</v>
      </c>
    </row>
    <row r="383" spans="1:6" x14ac:dyDescent="0.3">
      <c r="A383" s="8">
        <v>4</v>
      </c>
      <c r="B383" s="8">
        <v>2</v>
      </c>
      <c r="C383" s="8" t="s">
        <v>84</v>
      </c>
      <c r="D383" s="8" t="s">
        <v>4</v>
      </c>
      <c r="E383" s="8" t="s">
        <v>45</v>
      </c>
      <c r="F383" s="8" t="s">
        <v>73</v>
      </c>
    </row>
    <row r="384" spans="1:6" x14ac:dyDescent="0.3">
      <c r="A384" s="19">
        <v>4</v>
      </c>
      <c r="B384" s="19">
        <v>1</v>
      </c>
      <c r="C384" s="19" t="s">
        <v>85</v>
      </c>
      <c r="D384" s="19" t="s">
        <v>44</v>
      </c>
      <c r="E384" s="19" t="s">
        <v>14</v>
      </c>
      <c r="F384" s="19" t="s">
        <v>73</v>
      </c>
    </row>
    <row r="385" spans="1:6" x14ac:dyDescent="0.3">
      <c r="A385" s="8">
        <v>4</v>
      </c>
      <c r="B385" s="8">
        <v>1</v>
      </c>
      <c r="C385" s="8" t="s">
        <v>85</v>
      </c>
      <c r="D385" s="8" t="s">
        <v>4</v>
      </c>
      <c r="E385" s="8" t="s">
        <v>45</v>
      </c>
      <c r="F385" s="8" t="s">
        <v>74</v>
      </c>
    </row>
    <row r="386" spans="1:6" x14ac:dyDescent="0.3">
      <c r="A386" s="19">
        <v>4</v>
      </c>
      <c r="B386" s="19">
        <v>1</v>
      </c>
      <c r="C386" s="19" t="s">
        <v>85</v>
      </c>
      <c r="D386" s="19" t="s">
        <v>44</v>
      </c>
      <c r="E386" s="19" t="s">
        <v>13</v>
      </c>
      <c r="F386" s="19" t="s">
        <v>74</v>
      </c>
    </row>
    <row r="387" spans="1:6" x14ac:dyDescent="0.3">
      <c r="A387" s="8">
        <v>4</v>
      </c>
      <c r="B387" s="15">
        <v>2</v>
      </c>
      <c r="C387" s="15" t="s">
        <v>84</v>
      </c>
      <c r="D387" s="15" t="s">
        <v>33</v>
      </c>
      <c r="E387" s="8" t="s">
        <v>46</v>
      </c>
      <c r="F387" s="8" t="s">
        <v>67</v>
      </c>
    </row>
    <row r="388" spans="1:6" x14ac:dyDescent="0.3">
      <c r="A388" s="19">
        <v>4</v>
      </c>
      <c r="B388" s="15">
        <v>1</v>
      </c>
      <c r="C388" s="15" t="s">
        <v>85</v>
      </c>
      <c r="D388" s="15" t="s">
        <v>33</v>
      </c>
      <c r="E388" s="19" t="s">
        <v>46</v>
      </c>
      <c r="F388" s="19" t="s">
        <v>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8"/>
  <sheetViews>
    <sheetView topLeftCell="A173" zoomScale="90" zoomScaleNormal="90" workbookViewId="0">
      <selection activeCell="M184" sqref="M184"/>
    </sheetView>
  </sheetViews>
  <sheetFormatPr defaultColWidth="8.6640625"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6">
        <v>1</v>
      </c>
      <c r="B2" s="19">
        <v>2</v>
      </c>
      <c r="C2" s="19" t="s">
        <v>84</v>
      </c>
      <c r="D2" s="19" t="s">
        <v>4</v>
      </c>
      <c r="E2" s="19" t="s">
        <v>45</v>
      </c>
      <c r="F2" s="19" t="s">
        <v>50</v>
      </c>
    </row>
    <row r="3" spans="1:6" x14ac:dyDescent="0.3">
      <c r="A3" s="32">
        <v>1</v>
      </c>
      <c r="B3" s="31">
        <v>2</v>
      </c>
      <c r="C3" s="19" t="s">
        <v>84</v>
      </c>
      <c r="D3" s="31" t="s">
        <v>44</v>
      </c>
      <c r="E3" s="31" t="s">
        <v>13</v>
      </c>
      <c r="F3" s="31" t="s">
        <v>50</v>
      </c>
    </row>
    <row r="4" spans="1:6" x14ac:dyDescent="0.3">
      <c r="A4" s="16">
        <v>1</v>
      </c>
      <c r="B4" s="18">
        <v>1</v>
      </c>
      <c r="C4" s="17" t="s">
        <v>85</v>
      </c>
      <c r="D4" s="12" t="s">
        <v>33</v>
      </c>
      <c r="E4" s="19" t="s">
        <v>46</v>
      </c>
      <c r="F4" s="19" t="s">
        <v>76</v>
      </c>
    </row>
    <row r="5" spans="1:6" x14ac:dyDescent="0.3">
      <c r="A5" s="32">
        <v>1</v>
      </c>
      <c r="B5" s="18">
        <v>1</v>
      </c>
      <c r="C5" s="18" t="s">
        <v>85</v>
      </c>
      <c r="D5" s="12" t="s">
        <v>33</v>
      </c>
      <c r="E5" s="31" t="s">
        <v>46</v>
      </c>
      <c r="F5" s="31" t="s">
        <v>71</v>
      </c>
    </row>
    <row r="6" spans="1:6" x14ac:dyDescent="0.3">
      <c r="A6" s="16">
        <v>1</v>
      </c>
      <c r="B6" s="19">
        <v>2</v>
      </c>
      <c r="C6" s="19" t="s">
        <v>84</v>
      </c>
      <c r="D6" s="19" t="s">
        <v>4</v>
      </c>
      <c r="E6" s="19" t="s">
        <v>45</v>
      </c>
      <c r="F6" s="19" t="s">
        <v>49</v>
      </c>
    </row>
    <row r="7" spans="1:6" x14ac:dyDescent="0.3">
      <c r="A7" s="32">
        <v>1</v>
      </c>
      <c r="B7" s="31">
        <v>2</v>
      </c>
      <c r="C7" s="19" t="s">
        <v>84</v>
      </c>
      <c r="D7" s="31" t="s">
        <v>44</v>
      </c>
      <c r="E7" s="31" t="s">
        <v>13</v>
      </c>
      <c r="F7" s="31" t="s">
        <v>49</v>
      </c>
    </row>
    <row r="8" spans="1:6" x14ac:dyDescent="0.3">
      <c r="A8" s="16">
        <v>1</v>
      </c>
      <c r="B8" s="19">
        <v>2</v>
      </c>
      <c r="C8" s="19" t="s">
        <v>84</v>
      </c>
      <c r="D8" s="19" t="s">
        <v>4</v>
      </c>
      <c r="E8" s="19" t="s">
        <v>45</v>
      </c>
      <c r="F8" s="19" t="s">
        <v>52</v>
      </c>
    </row>
    <row r="9" spans="1:6" x14ac:dyDescent="0.3">
      <c r="A9" s="32">
        <v>1</v>
      </c>
      <c r="B9" s="31">
        <v>1</v>
      </c>
      <c r="C9" s="31" t="s">
        <v>85</v>
      </c>
      <c r="D9" s="31" t="s">
        <v>44</v>
      </c>
      <c r="E9" s="31" t="s">
        <v>14</v>
      </c>
      <c r="F9" s="31" t="s">
        <v>52</v>
      </c>
    </row>
    <row r="10" spans="1:6" x14ac:dyDescent="0.3">
      <c r="A10" s="16">
        <v>1</v>
      </c>
      <c r="B10" s="18">
        <v>2</v>
      </c>
      <c r="C10" s="17" t="s">
        <v>84</v>
      </c>
      <c r="D10" s="12" t="s">
        <v>33</v>
      </c>
      <c r="E10" s="19" t="s">
        <v>46</v>
      </c>
      <c r="F10" s="19" t="s">
        <v>75</v>
      </c>
    </row>
    <row r="11" spans="1:6" x14ac:dyDescent="0.3">
      <c r="A11" s="32">
        <v>1</v>
      </c>
      <c r="B11" s="31">
        <v>1</v>
      </c>
      <c r="C11" s="31" t="s">
        <v>85</v>
      </c>
      <c r="D11" s="31" t="s">
        <v>4</v>
      </c>
      <c r="E11" s="31" t="s">
        <v>45</v>
      </c>
      <c r="F11" s="31" t="s">
        <v>48</v>
      </c>
    </row>
    <row r="12" spans="1:6" x14ac:dyDescent="0.3">
      <c r="A12" s="16">
        <v>1</v>
      </c>
      <c r="B12" s="19">
        <v>2</v>
      </c>
      <c r="C12" s="19" t="s">
        <v>84</v>
      </c>
      <c r="D12" s="19" t="s">
        <v>44</v>
      </c>
      <c r="E12" s="19" t="s">
        <v>14</v>
      </c>
      <c r="F12" s="19" t="s">
        <v>48</v>
      </c>
    </row>
    <row r="13" spans="1:6" x14ac:dyDescent="0.3">
      <c r="A13" s="32">
        <v>1</v>
      </c>
      <c r="B13" s="31">
        <v>2</v>
      </c>
      <c r="C13" s="31" t="s">
        <v>84</v>
      </c>
      <c r="D13" s="31" t="s">
        <v>4</v>
      </c>
      <c r="E13" s="31" t="s">
        <v>45</v>
      </c>
      <c r="F13" s="31" t="s">
        <v>47</v>
      </c>
    </row>
    <row r="14" spans="1:6" x14ac:dyDescent="0.3">
      <c r="A14" s="16">
        <v>1</v>
      </c>
      <c r="B14" s="19">
        <v>1</v>
      </c>
      <c r="C14" s="19" t="s">
        <v>85</v>
      </c>
      <c r="D14" s="19" t="s">
        <v>44</v>
      </c>
      <c r="E14" s="19" t="s">
        <v>14</v>
      </c>
      <c r="F14" s="19" t="s">
        <v>47</v>
      </c>
    </row>
    <row r="15" spans="1:6" x14ac:dyDescent="0.3">
      <c r="A15" s="32">
        <v>1</v>
      </c>
      <c r="B15" s="18">
        <v>2</v>
      </c>
      <c r="C15" s="18" t="s">
        <v>84</v>
      </c>
      <c r="D15" s="12" t="s">
        <v>33</v>
      </c>
      <c r="E15" s="31" t="s">
        <v>46</v>
      </c>
      <c r="F15" s="31" t="s">
        <v>77</v>
      </c>
    </row>
    <row r="16" spans="1:6" x14ac:dyDescent="0.3">
      <c r="A16" s="16">
        <v>1</v>
      </c>
      <c r="B16" s="19">
        <v>1</v>
      </c>
      <c r="C16" s="19" t="s">
        <v>85</v>
      </c>
      <c r="D16" s="19" t="s">
        <v>4</v>
      </c>
      <c r="E16" s="19" t="s">
        <v>45</v>
      </c>
      <c r="F16" s="19" t="s">
        <v>54</v>
      </c>
    </row>
    <row r="17" spans="1:6" x14ac:dyDescent="0.3">
      <c r="A17" s="32">
        <v>1</v>
      </c>
      <c r="B17" s="31">
        <v>1</v>
      </c>
      <c r="C17" s="19" t="s">
        <v>85</v>
      </c>
      <c r="D17" s="31" t="s">
        <v>44</v>
      </c>
      <c r="E17" s="31" t="s">
        <v>13</v>
      </c>
      <c r="F17" s="31" t="s">
        <v>54</v>
      </c>
    </row>
    <row r="18" spans="1:6" x14ac:dyDescent="0.3">
      <c r="A18" s="16">
        <v>1</v>
      </c>
      <c r="B18" s="18">
        <v>2</v>
      </c>
      <c r="C18" s="17" t="s">
        <v>84</v>
      </c>
      <c r="D18" s="12" t="s">
        <v>33</v>
      </c>
      <c r="E18" s="19" t="s">
        <v>46</v>
      </c>
      <c r="F18" s="19" t="s">
        <v>72</v>
      </c>
    </row>
    <row r="19" spans="1:6" x14ac:dyDescent="0.3">
      <c r="A19" s="32">
        <v>1</v>
      </c>
      <c r="B19" s="31">
        <v>1</v>
      </c>
      <c r="C19" s="31" t="s">
        <v>85</v>
      </c>
      <c r="D19" s="31" t="s">
        <v>4</v>
      </c>
      <c r="E19" s="31" t="s">
        <v>45</v>
      </c>
      <c r="F19" s="31" t="s">
        <v>51</v>
      </c>
    </row>
    <row r="20" spans="1:6" x14ac:dyDescent="0.3">
      <c r="A20" s="16">
        <v>1</v>
      </c>
      <c r="B20" s="19">
        <v>1</v>
      </c>
      <c r="C20" s="19" t="s">
        <v>85</v>
      </c>
      <c r="D20" s="19" t="s">
        <v>44</v>
      </c>
      <c r="E20" s="19" t="s">
        <v>13</v>
      </c>
      <c r="F20" s="19" t="s">
        <v>51</v>
      </c>
    </row>
    <row r="21" spans="1:6" x14ac:dyDescent="0.3">
      <c r="A21" s="32">
        <v>1</v>
      </c>
      <c r="B21" s="18">
        <v>1</v>
      </c>
      <c r="C21" s="18" t="s">
        <v>85</v>
      </c>
      <c r="D21" s="12" t="s">
        <v>33</v>
      </c>
      <c r="E21" s="31" t="s">
        <v>46</v>
      </c>
      <c r="F21" s="31" t="s">
        <v>78</v>
      </c>
    </row>
    <row r="22" spans="1:6" x14ac:dyDescent="0.3">
      <c r="A22" s="16">
        <v>1</v>
      </c>
      <c r="B22" s="18">
        <v>2</v>
      </c>
      <c r="C22" s="17" t="s">
        <v>84</v>
      </c>
      <c r="D22" s="12" t="s">
        <v>33</v>
      </c>
      <c r="E22" s="19" t="s">
        <v>46</v>
      </c>
      <c r="F22" s="19" t="s">
        <v>73</v>
      </c>
    </row>
    <row r="23" spans="1:6" x14ac:dyDescent="0.3">
      <c r="A23" s="32">
        <v>1</v>
      </c>
      <c r="B23" s="31">
        <v>1</v>
      </c>
      <c r="C23" s="31" t="s">
        <v>85</v>
      </c>
      <c r="D23" s="31" t="s">
        <v>4</v>
      </c>
      <c r="E23" s="31" t="s">
        <v>45</v>
      </c>
      <c r="F23" s="31" t="s">
        <v>53</v>
      </c>
    </row>
    <row r="24" spans="1:6" x14ac:dyDescent="0.3">
      <c r="A24" s="16">
        <v>1</v>
      </c>
      <c r="B24" s="19">
        <v>2</v>
      </c>
      <c r="C24" s="19" t="s">
        <v>84</v>
      </c>
      <c r="D24" s="19" t="s">
        <v>44</v>
      </c>
      <c r="E24" s="19" t="s">
        <v>14</v>
      </c>
      <c r="F24" s="19" t="s">
        <v>53</v>
      </c>
    </row>
    <row r="25" spans="1:6" x14ac:dyDescent="0.3">
      <c r="A25" s="32">
        <v>1</v>
      </c>
      <c r="B25" s="18">
        <v>1</v>
      </c>
      <c r="C25" s="18" t="s">
        <v>85</v>
      </c>
      <c r="D25" s="12" t="s">
        <v>33</v>
      </c>
      <c r="E25" s="31" t="s">
        <v>46</v>
      </c>
      <c r="F25" s="31" t="s">
        <v>74</v>
      </c>
    </row>
    <row r="26" spans="1:6" x14ac:dyDescent="0.3">
      <c r="A26" s="8">
        <v>2</v>
      </c>
      <c r="B26" s="8">
        <v>1</v>
      </c>
      <c r="C26" s="11" t="s">
        <v>85</v>
      </c>
      <c r="D26" s="8" t="s">
        <v>4</v>
      </c>
      <c r="E26" s="8" t="s">
        <v>45</v>
      </c>
      <c r="F26" s="8" t="s">
        <v>58</v>
      </c>
    </row>
    <row r="27" spans="1:6" x14ac:dyDescent="0.3">
      <c r="A27" s="19">
        <v>2</v>
      </c>
      <c r="B27" s="19">
        <v>1</v>
      </c>
      <c r="C27" s="16" t="s">
        <v>85</v>
      </c>
      <c r="D27" s="19" t="s">
        <v>44</v>
      </c>
      <c r="E27" s="19" t="s">
        <v>13</v>
      </c>
      <c r="F27" s="19" t="s">
        <v>58</v>
      </c>
    </row>
    <row r="28" spans="1:6" x14ac:dyDescent="0.3">
      <c r="A28" s="8">
        <v>2</v>
      </c>
      <c r="B28" s="13">
        <v>2</v>
      </c>
      <c r="C28" s="13" t="s">
        <v>84</v>
      </c>
      <c r="D28" s="13" t="s">
        <v>33</v>
      </c>
      <c r="E28" s="8" t="s">
        <v>46</v>
      </c>
      <c r="F28" s="8" t="s">
        <v>50</v>
      </c>
    </row>
    <row r="29" spans="1:6" x14ac:dyDescent="0.3">
      <c r="A29" s="19">
        <v>2</v>
      </c>
      <c r="B29" s="19">
        <v>1</v>
      </c>
      <c r="C29" s="19" t="s">
        <v>85</v>
      </c>
      <c r="D29" s="19" t="s">
        <v>4</v>
      </c>
      <c r="E29" s="19" t="s">
        <v>45</v>
      </c>
      <c r="F29" s="19" t="s">
        <v>60</v>
      </c>
    </row>
    <row r="30" spans="1:6" x14ac:dyDescent="0.3">
      <c r="A30" s="8">
        <v>2</v>
      </c>
      <c r="B30" s="8">
        <v>1</v>
      </c>
      <c r="C30" s="8" t="s">
        <v>85</v>
      </c>
      <c r="D30" s="8" t="s">
        <v>44</v>
      </c>
      <c r="E30" s="8" t="s">
        <v>13</v>
      </c>
      <c r="F30" s="8" t="s">
        <v>60</v>
      </c>
    </row>
    <row r="31" spans="1:6" x14ac:dyDescent="0.3">
      <c r="A31" s="19">
        <v>2</v>
      </c>
      <c r="B31" s="19">
        <v>1</v>
      </c>
      <c r="C31" s="19" t="s">
        <v>85</v>
      </c>
      <c r="D31" s="19" t="s">
        <v>4</v>
      </c>
      <c r="E31" s="19" t="s">
        <v>45</v>
      </c>
      <c r="F31" s="19" t="s">
        <v>62</v>
      </c>
    </row>
    <row r="32" spans="1:6" x14ac:dyDescent="0.3">
      <c r="A32" s="8">
        <v>2</v>
      </c>
      <c r="B32" s="8">
        <v>2</v>
      </c>
      <c r="C32" s="8" t="s">
        <v>84</v>
      </c>
      <c r="D32" s="8" t="s">
        <v>44</v>
      </c>
      <c r="E32" s="8" t="s">
        <v>14</v>
      </c>
      <c r="F32" s="8" t="s">
        <v>62</v>
      </c>
    </row>
    <row r="33" spans="1:6" x14ac:dyDescent="0.3">
      <c r="A33" s="19">
        <v>2</v>
      </c>
      <c r="B33" s="13">
        <v>2</v>
      </c>
      <c r="C33" s="13" t="s">
        <v>84</v>
      </c>
      <c r="D33" s="13" t="s">
        <v>33</v>
      </c>
      <c r="E33" s="19" t="s">
        <v>46</v>
      </c>
      <c r="F33" s="19" t="s">
        <v>49</v>
      </c>
    </row>
    <row r="34" spans="1:6" x14ac:dyDescent="0.3">
      <c r="A34" s="8">
        <v>2</v>
      </c>
      <c r="B34" s="8">
        <v>2</v>
      </c>
      <c r="C34" s="8" t="s">
        <v>84</v>
      </c>
      <c r="D34" s="8" t="s">
        <v>4</v>
      </c>
      <c r="E34" s="8" t="s">
        <v>45</v>
      </c>
      <c r="F34" s="8" t="s">
        <v>56</v>
      </c>
    </row>
    <row r="35" spans="1:6" x14ac:dyDescent="0.3">
      <c r="A35" s="19">
        <v>2</v>
      </c>
      <c r="B35" s="19">
        <v>1</v>
      </c>
      <c r="C35" s="19" t="s">
        <v>85</v>
      </c>
      <c r="D35" s="19" t="s">
        <v>44</v>
      </c>
      <c r="E35" s="19" t="s">
        <v>14</v>
      </c>
      <c r="F35" s="19" t="s">
        <v>56</v>
      </c>
    </row>
    <row r="36" spans="1:6" x14ac:dyDescent="0.3">
      <c r="A36" s="8">
        <v>2</v>
      </c>
      <c r="B36" s="8">
        <v>1</v>
      </c>
      <c r="C36" s="8" t="s">
        <v>85</v>
      </c>
      <c r="D36" s="8" t="s">
        <v>4</v>
      </c>
      <c r="E36" s="8" t="s">
        <v>45</v>
      </c>
      <c r="F36" s="8" t="s">
        <v>61</v>
      </c>
    </row>
    <row r="37" spans="1:6" x14ac:dyDescent="0.3">
      <c r="A37" s="19">
        <v>2</v>
      </c>
      <c r="B37" s="19">
        <v>2</v>
      </c>
      <c r="C37" s="19" t="s">
        <v>84</v>
      </c>
      <c r="D37" s="19" t="s">
        <v>44</v>
      </c>
      <c r="E37" s="19" t="s">
        <v>14</v>
      </c>
      <c r="F37" s="19" t="s">
        <v>61</v>
      </c>
    </row>
    <row r="38" spans="1:6" x14ac:dyDescent="0.3">
      <c r="A38" s="8">
        <v>2</v>
      </c>
      <c r="B38" s="13">
        <v>1</v>
      </c>
      <c r="C38" s="13" t="s">
        <v>85</v>
      </c>
      <c r="D38" s="13" t="s">
        <v>33</v>
      </c>
      <c r="E38" s="8" t="s">
        <v>46</v>
      </c>
      <c r="F38" s="8" t="s">
        <v>52</v>
      </c>
    </row>
    <row r="39" spans="1:6" x14ac:dyDescent="0.3">
      <c r="A39" s="19">
        <v>2</v>
      </c>
      <c r="B39" s="13">
        <v>1</v>
      </c>
      <c r="C39" s="13" t="s">
        <v>85</v>
      </c>
      <c r="D39" s="13" t="s">
        <v>33</v>
      </c>
      <c r="E39" s="19" t="s">
        <v>46</v>
      </c>
      <c r="F39" s="19" t="s">
        <v>48</v>
      </c>
    </row>
    <row r="40" spans="1:6" x14ac:dyDescent="0.3">
      <c r="A40" s="8">
        <v>2</v>
      </c>
      <c r="B40" s="8">
        <v>2</v>
      </c>
      <c r="C40" s="8" t="s">
        <v>84</v>
      </c>
      <c r="D40" s="8" t="s">
        <v>4</v>
      </c>
      <c r="E40" s="8" t="s">
        <v>45</v>
      </c>
      <c r="F40" s="8" t="s">
        <v>59</v>
      </c>
    </row>
    <row r="41" spans="1:6" x14ac:dyDescent="0.3">
      <c r="A41" s="19">
        <v>2</v>
      </c>
      <c r="B41" s="19">
        <v>2</v>
      </c>
      <c r="C41" s="19" t="s">
        <v>84</v>
      </c>
      <c r="D41" s="19" t="s">
        <v>44</v>
      </c>
      <c r="E41" s="19" t="s">
        <v>13</v>
      </c>
      <c r="F41" s="19" t="s">
        <v>59</v>
      </c>
    </row>
    <row r="42" spans="1:6" x14ac:dyDescent="0.3">
      <c r="A42" s="8">
        <v>2</v>
      </c>
      <c r="B42" s="13">
        <v>1</v>
      </c>
      <c r="C42" s="13" t="s">
        <v>85</v>
      </c>
      <c r="D42" s="13" t="s">
        <v>33</v>
      </c>
      <c r="E42" s="8" t="s">
        <v>46</v>
      </c>
      <c r="F42" s="8" t="s">
        <v>47</v>
      </c>
    </row>
    <row r="43" spans="1:6" x14ac:dyDescent="0.3">
      <c r="A43" s="19">
        <v>2</v>
      </c>
      <c r="B43" s="19">
        <v>2</v>
      </c>
      <c r="C43" s="19" t="s">
        <v>84</v>
      </c>
      <c r="D43" s="19" t="s">
        <v>4</v>
      </c>
      <c r="E43" s="19" t="s">
        <v>45</v>
      </c>
      <c r="F43" s="19" t="s">
        <v>55</v>
      </c>
    </row>
    <row r="44" spans="1:6" x14ac:dyDescent="0.3">
      <c r="A44" s="8">
        <v>2</v>
      </c>
      <c r="B44" s="8">
        <v>2</v>
      </c>
      <c r="C44" s="8" t="s">
        <v>84</v>
      </c>
      <c r="D44" s="8" t="s">
        <v>44</v>
      </c>
      <c r="E44" s="8" t="s">
        <v>13</v>
      </c>
      <c r="F44" s="8" t="s">
        <v>55</v>
      </c>
    </row>
    <row r="45" spans="1:6" x14ac:dyDescent="0.3">
      <c r="A45" s="19">
        <v>2</v>
      </c>
      <c r="B45" s="13">
        <v>2</v>
      </c>
      <c r="C45" s="13" t="s">
        <v>84</v>
      </c>
      <c r="D45" s="13" t="s">
        <v>33</v>
      </c>
      <c r="E45" s="19" t="s">
        <v>46</v>
      </c>
      <c r="F45" s="19" t="s">
        <v>54</v>
      </c>
    </row>
    <row r="46" spans="1:6" x14ac:dyDescent="0.3">
      <c r="A46" s="8">
        <v>2</v>
      </c>
      <c r="B46" s="13">
        <v>1</v>
      </c>
      <c r="C46" s="13" t="s">
        <v>85</v>
      </c>
      <c r="D46" s="13" t="s">
        <v>33</v>
      </c>
      <c r="E46" s="8" t="s">
        <v>46</v>
      </c>
      <c r="F46" s="8" t="s">
        <v>51</v>
      </c>
    </row>
    <row r="47" spans="1:6" x14ac:dyDescent="0.3">
      <c r="A47" s="19">
        <v>2</v>
      </c>
      <c r="B47" s="13">
        <v>2</v>
      </c>
      <c r="C47" s="13" t="s">
        <v>84</v>
      </c>
      <c r="D47" s="13" t="s">
        <v>33</v>
      </c>
      <c r="E47" s="19" t="s">
        <v>46</v>
      </c>
      <c r="F47" s="19" t="s">
        <v>53</v>
      </c>
    </row>
    <row r="48" spans="1:6" x14ac:dyDescent="0.3">
      <c r="A48" s="8">
        <v>2</v>
      </c>
      <c r="B48" s="8">
        <v>2</v>
      </c>
      <c r="C48" s="8" t="s">
        <v>84</v>
      </c>
      <c r="D48" s="8" t="s">
        <v>4</v>
      </c>
      <c r="E48" s="8" t="s">
        <v>45</v>
      </c>
      <c r="F48" s="8" t="s">
        <v>57</v>
      </c>
    </row>
    <row r="49" spans="1:6" x14ac:dyDescent="0.3">
      <c r="A49" s="19">
        <v>2</v>
      </c>
      <c r="B49" s="19">
        <v>1</v>
      </c>
      <c r="C49" s="19" t="s">
        <v>85</v>
      </c>
      <c r="D49" s="19" t="s">
        <v>44</v>
      </c>
      <c r="E49" s="19" t="s">
        <v>14</v>
      </c>
      <c r="F49" s="19" t="s">
        <v>57</v>
      </c>
    </row>
    <row r="50" spans="1:6" x14ac:dyDescent="0.3">
      <c r="A50" s="16">
        <v>3</v>
      </c>
      <c r="B50" s="14">
        <v>2</v>
      </c>
      <c r="C50" s="14" t="s">
        <v>84</v>
      </c>
      <c r="D50" s="14" t="s">
        <v>33</v>
      </c>
      <c r="E50" s="19" t="s">
        <v>46</v>
      </c>
      <c r="F50" s="19" t="s">
        <v>58</v>
      </c>
    </row>
    <row r="51" spans="1:6" x14ac:dyDescent="0.3">
      <c r="A51" s="32">
        <v>3</v>
      </c>
      <c r="B51" s="31">
        <v>1</v>
      </c>
      <c r="C51" s="31" t="s">
        <v>85</v>
      </c>
      <c r="D51" s="31" t="s">
        <v>4</v>
      </c>
      <c r="E51" s="31" t="s">
        <v>45</v>
      </c>
      <c r="F51" s="31" t="s">
        <v>68</v>
      </c>
    </row>
    <row r="52" spans="1:6" x14ac:dyDescent="0.3">
      <c r="A52" s="16">
        <v>3</v>
      </c>
      <c r="B52" s="19">
        <v>2</v>
      </c>
      <c r="C52" s="19" t="s">
        <v>84</v>
      </c>
      <c r="D52" s="19" t="s">
        <v>44</v>
      </c>
      <c r="E52" s="19" t="s">
        <v>14</v>
      </c>
      <c r="F52" s="19" t="s">
        <v>68</v>
      </c>
    </row>
    <row r="53" spans="1:6" x14ac:dyDescent="0.3">
      <c r="A53" s="32">
        <v>3</v>
      </c>
      <c r="B53" s="14">
        <v>2</v>
      </c>
      <c r="C53" s="14" t="s">
        <v>84</v>
      </c>
      <c r="D53" s="14" t="s">
        <v>33</v>
      </c>
      <c r="E53" s="31" t="s">
        <v>46</v>
      </c>
      <c r="F53" s="31" t="s">
        <v>60</v>
      </c>
    </row>
    <row r="54" spans="1:6" x14ac:dyDescent="0.3">
      <c r="A54" s="16">
        <v>3</v>
      </c>
      <c r="B54" s="19">
        <v>2</v>
      </c>
      <c r="C54" s="19" t="s">
        <v>84</v>
      </c>
      <c r="D54" s="19" t="s">
        <v>4</v>
      </c>
      <c r="E54" s="19" t="s">
        <v>45</v>
      </c>
      <c r="F54" s="19" t="s">
        <v>66</v>
      </c>
    </row>
    <row r="55" spans="1:6" x14ac:dyDescent="0.3">
      <c r="A55" s="32">
        <v>3</v>
      </c>
      <c r="B55" s="31">
        <v>1</v>
      </c>
      <c r="C55" s="31" t="s">
        <v>85</v>
      </c>
      <c r="D55" s="31" t="s">
        <v>44</v>
      </c>
      <c r="E55" s="31" t="s">
        <v>14</v>
      </c>
      <c r="F55" s="31" t="s">
        <v>66</v>
      </c>
    </row>
    <row r="56" spans="1:6" x14ac:dyDescent="0.3">
      <c r="A56" s="16">
        <v>3</v>
      </c>
      <c r="B56" s="19">
        <v>1</v>
      </c>
      <c r="C56" s="19" t="s">
        <v>85</v>
      </c>
      <c r="D56" s="19" t="s">
        <v>4</v>
      </c>
      <c r="E56" s="19" t="s">
        <v>45</v>
      </c>
      <c r="F56" s="19" t="s">
        <v>70</v>
      </c>
    </row>
    <row r="57" spans="1:6" x14ac:dyDescent="0.3">
      <c r="A57" s="32">
        <v>3</v>
      </c>
      <c r="B57" s="31">
        <v>2</v>
      </c>
      <c r="C57" s="31" t="s">
        <v>84</v>
      </c>
      <c r="D57" s="31" t="s">
        <v>44</v>
      </c>
      <c r="E57" s="31" t="s">
        <v>14</v>
      </c>
      <c r="F57" s="31" t="s">
        <v>70</v>
      </c>
    </row>
    <row r="58" spans="1:6" x14ac:dyDescent="0.3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62</v>
      </c>
    </row>
    <row r="59" spans="1:6" x14ac:dyDescent="0.3">
      <c r="A59" s="32">
        <v>3</v>
      </c>
      <c r="B59" s="31">
        <v>2</v>
      </c>
      <c r="C59" s="31" t="s">
        <v>84</v>
      </c>
      <c r="D59" s="31" t="s">
        <v>4</v>
      </c>
      <c r="E59" s="31" t="s">
        <v>45</v>
      </c>
      <c r="F59" s="31" t="s">
        <v>69</v>
      </c>
    </row>
    <row r="60" spans="1:6" x14ac:dyDescent="0.3">
      <c r="A60" s="16">
        <v>3</v>
      </c>
      <c r="B60" s="19">
        <v>2</v>
      </c>
      <c r="C60" s="19" t="s">
        <v>84</v>
      </c>
      <c r="D60" s="19" t="s">
        <v>44</v>
      </c>
      <c r="E60" s="19" t="s">
        <v>13</v>
      </c>
      <c r="F60" s="19" t="s">
        <v>69</v>
      </c>
    </row>
    <row r="61" spans="1:6" x14ac:dyDescent="0.3">
      <c r="A61" s="32">
        <v>3</v>
      </c>
      <c r="B61" s="14">
        <v>1</v>
      </c>
      <c r="C61" s="14" t="s">
        <v>85</v>
      </c>
      <c r="D61" s="14" t="s">
        <v>33</v>
      </c>
      <c r="E61" s="31" t="s">
        <v>46</v>
      </c>
      <c r="F61" s="31" t="s">
        <v>56</v>
      </c>
    </row>
    <row r="62" spans="1:6" x14ac:dyDescent="0.3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61</v>
      </c>
    </row>
    <row r="63" spans="1:6" x14ac:dyDescent="0.3">
      <c r="A63" s="32">
        <v>3</v>
      </c>
      <c r="B63" s="31">
        <v>2</v>
      </c>
      <c r="C63" s="31" t="s">
        <v>84</v>
      </c>
      <c r="D63" s="31" t="s">
        <v>4</v>
      </c>
      <c r="E63" s="31" t="s">
        <v>45</v>
      </c>
      <c r="F63" s="31" t="s">
        <v>63</v>
      </c>
    </row>
    <row r="64" spans="1:6" x14ac:dyDescent="0.3">
      <c r="A64" s="16">
        <v>3</v>
      </c>
      <c r="B64" s="19">
        <v>2</v>
      </c>
      <c r="C64" s="19" t="s">
        <v>84</v>
      </c>
      <c r="D64" s="19" t="s">
        <v>44</v>
      </c>
      <c r="E64" s="19" t="s">
        <v>13</v>
      </c>
      <c r="F64" s="19" t="s">
        <v>63</v>
      </c>
    </row>
    <row r="65" spans="1:6" x14ac:dyDescent="0.3">
      <c r="A65" s="32">
        <v>3</v>
      </c>
      <c r="B65" s="31">
        <v>2</v>
      </c>
      <c r="C65" s="31" t="s">
        <v>84</v>
      </c>
      <c r="D65" s="31" t="s">
        <v>4</v>
      </c>
      <c r="E65" s="31" t="s">
        <v>45</v>
      </c>
      <c r="F65" s="31" t="s">
        <v>65</v>
      </c>
    </row>
    <row r="66" spans="1:6" x14ac:dyDescent="0.3">
      <c r="A66" s="16">
        <v>3</v>
      </c>
      <c r="B66" s="19">
        <v>1</v>
      </c>
      <c r="C66" s="19" t="s">
        <v>85</v>
      </c>
      <c r="D66" s="19" t="s">
        <v>44</v>
      </c>
      <c r="E66" s="19" t="s">
        <v>14</v>
      </c>
      <c r="F66" s="19" t="s">
        <v>65</v>
      </c>
    </row>
    <row r="67" spans="1:6" x14ac:dyDescent="0.3">
      <c r="A67" s="32">
        <v>3</v>
      </c>
      <c r="B67" s="14">
        <v>2</v>
      </c>
      <c r="C67" s="14" t="s">
        <v>84</v>
      </c>
      <c r="D67" s="14" t="s">
        <v>33</v>
      </c>
      <c r="E67" s="31" t="s">
        <v>46</v>
      </c>
      <c r="F67" s="31" t="s">
        <v>59</v>
      </c>
    </row>
    <row r="68" spans="1:6" x14ac:dyDescent="0.3">
      <c r="A68" s="16">
        <v>3</v>
      </c>
      <c r="B68" s="19">
        <v>1</v>
      </c>
      <c r="C68" s="19" t="s">
        <v>85</v>
      </c>
      <c r="D68" s="19" t="s">
        <v>4</v>
      </c>
      <c r="E68" s="19" t="s">
        <v>45</v>
      </c>
      <c r="F68" s="19" t="s">
        <v>67</v>
      </c>
    </row>
    <row r="69" spans="1:6" x14ac:dyDescent="0.3">
      <c r="A69" s="32">
        <v>3</v>
      </c>
      <c r="B69" s="31">
        <v>1</v>
      </c>
      <c r="C69" s="31" t="s">
        <v>85</v>
      </c>
      <c r="D69" s="31" t="s">
        <v>44</v>
      </c>
      <c r="E69" s="31" t="s">
        <v>13</v>
      </c>
      <c r="F69" s="31" t="s">
        <v>67</v>
      </c>
    </row>
    <row r="70" spans="1:6" x14ac:dyDescent="0.3">
      <c r="A70" s="16">
        <v>3</v>
      </c>
      <c r="B70" s="14">
        <v>2</v>
      </c>
      <c r="C70" s="14" t="s">
        <v>84</v>
      </c>
      <c r="D70" s="14" t="s">
        <v>33</v>
      </c>
      <c r="E70" s="19" t="s">
        <v>46</v>
      </c>
      <c r="F70" s="19" t="s">
        <v>55</v>
      </c>
    </row>
    <row r="71" spans="1:6" x14ac:dyDescent="0.3">
      <c r="A71" s="32">
        <v>3</v>
      </c>
      <c r="B71" s="31">
        <v>1</v>
      </c>
      <c r="C71" s="31" t="s">
        <v>85</v>
      </c>
      <c r="D71" s="31" t="s">
        <v>4</v>
      </c>
      <c r="E71" s="31" t="s">
        <v>45</v>
      </c>
      <c r="F71" s="31" t="s">
        <v>64</v>
      </c>
    </row>
    <row r="72" spans="1:6" x14ac:dyDescent="0.3">
      <c r="A72" s="16">
        <v>3</v>
      </c>
      <c r="B72" s="19">
        <v>1</v>
      </c>
      <c r="C72" s="19" t="s">
        <v>85</v>
      </c>
      <c r="D72" s="19" t="s">
        <v>44</v>
      </c>
      <c r="E72" s="19" t="s">
        <v>13</v>
      </c>
      <c r="F72" s="19" t="s">
        <v>64</v>
      </c>
    </row>
    <row r="73" spans="1:6" x14ac:dyDescent="0.3">
      <c r="A73" s="32">
        <v>3</v>
      </c>
      <c r="B73" s="14">
        <v>1</v>
      </c>
      <c r="C73" s="14" t="s">
        <v>85</v>
      </c>
      <c r="D73" s="14" t="s">
        <v>33</v>
      </c>
      <c r="E73" s="31" t="s">
        <v>46</v>
      </c>
      <c r="F73" s="31" t="s">
        <v>57</v>
      </c>
    </row>
    <row r="74" spans="1:6" x14ac:dyDescent="0.3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68</v>
      </c>
    </row>
    <row r="75" spans="1:6" x14ac:dyDescent="0.3">
      <c r="A75" s="19">
        <v>4</v>
      </c>
      <c r="B75" s="19">
        <v>1</v>
      </c>
      <c r="C75" s="19" t="s">
        <v>85</v>
      </c>
      <c r="D75" s="19" t="s">
        <v>4</v>
      </c>
      <c r="E75" s="19" t="s">
        <v>45</v>
      </c>
      <c r="F75" s="19" t="s">
        <v>76</v>
      </c>
    </row>
    <row r="76" spans="1:6" x14ac:dyDescent="0.3">
      <c r="A76" s="8">
        <v>4</v>
      </c>
      <c r="B76" s="8">
        <v>1</v>
      </c>
      <c r="C76" s="8" t="s">
        <v>85</v>
      </c>
      <c r="D76" s="8" t="s">
        <v>44</v>
      </c>
      <c r="E76" s="8" t="s">
        <v>13</v>
      </c>
      <c r="F76" s="8" t="s">
        <v>76</v>
      </c>
    </row>
    <row r="77" spans="1:6" x14ac:dyDescent="0.3">
      <c r="A77" s="19">
        <v>4</v>
      </c>
      <c r="B77" s="19">
        <v>1</v>
      </c>
      <c r="C77" s="19" t="s">
        <v>85</v>
      </c>
      <c r="D77" s="19" t="s">
        <v>4</v>
      </c>
      <c r="E77" s="19" t="s">
        <v>45</v>
      </c>
      <c r="F77" s="19" t="s">
        <v>71</v>
      </c>
    </row>
    <row r="78" spans="1:6" x14ac:dyDescent="0.3">
      <c r="A78" s="8">
        <v>4</v>
      </c>
      <c r="B78" s="8">
        <v>2</v>
      </c>
      <c r="C78" s="8" t="s">
        <v>84</v>
      </c>
      <c r="D78" s="8" t="s">
        <v>44</v>
      </c>
      <c r="E78" s="8" t="s">
        <v>14</v>
      </c>
      <c r="F78" s="8" t="s">
        <v>71</v>
      </c>
    </row>
    <row r="79" spans="1:6" x14ac:dyDescent="0.3">
      <c r="A79" s="19">
        <v>4</v>
      </c>
      <c r="B79" s="15">
        <v>1</v>
      </c>
      <c r="C79" s="15" t="s">
        <v>85</v>
      </c>
      <c r="D79" s="15" t="s">
        <v>33</v>
      </c>
      <c r="E79" s="19" t="s">
        <v>46</v>
      </c>
      <c r="F79" s="19" t="s">
        <v>66</v>
      </c>
    </row>
    <row r="80" spans="1:6" x14ac:dyDescent="0.3">
      <c r="A80" s="8">
        <v>4</v>
      </c>
      <c r="B80" s="8">
        <v>2</v>
      </c>
      <c r="C80" s="8" t="s">
        <v>84</v>
      </c>
      <c r="D80" s="8" t="s">
        <v>4</v>
      </c>
      <c r="E80" s="8" t="s">
        <v>45</v>
      </c>
      <c r="F80" s="8" t="s">
        <v>75</v>
      </c>
    </row>
    <row r="81" spans="1:6" x14ac:dyDescent="0.3">
      <c r="A81" s="19">
        <v>4</v>
      </c>
      <c r="B81" s="19">
        <v>2</v>
      </c>
      <c r="C81" s="19" t="s">
        <v>84</v>
      </c>
      <c r="D81" s="19" t="s">
        <v>44</v>
      </c>
      <c r="E81" s="19" t="s">
        <v>13</v>
      </c>
      <c r="F81" s="19" t="s">
        <v>75</v>
      </c>
    </row>
    <row r="82" spans="1:6" x14ac:dyDescent="0.3">
      <c r="A82" s="8">
        <v>4</v>
      </c>
      <c r="B82" s="8">
        <v>2</v>
      </c>
      <c r="C82" s="8" t="s">
        <v>84</v>
      </c>
      <c r="D82" s="8" t="s">
        <v>4</v>
      </c>
      <c r="E82" s="8" t="s">
        <v>45</v>
      </c>
      <c r="F82" s="8" t="s">
        <v>77</v>
      </c>
    </row>
    <row r="83" spans="1:6" x14ac:dyDescent="0.3">
      <c r="A83" s="19">
        <v>4</v>
      </c>
      <c r="B83" s="19">
        <v>1</v>
      </c>
      <c r="C83" s="19" t="s">
        <v>85</v>
      </c>
      <c r="D83" s="19" t="s">
        <v>44</v>
      </c>
      <c r="E83" s="19" t="s">
        <v>14</v>
      </c>
      <c r="F83" s="19" t="s">
        <v>77</v>
      </c>
    </row>
    <row r="84" spans="1:6" x14ac:dyDescent="0.3">
      <c r="A84" s="8">
        <v>4</v>
      </c>
      <c r="B84" s="15">
        <v>2</v>
      </c>
      <c r="C84" s="15" t="s">
        <v>84</v>
      </c>
      <c r="D84" s="15" t="s">
        <v>33</v>
      </c>
      <c r="E84" s="8" t="s">
        <v>46</v>
      </c>
      <c r="F84" s="8" t="s">
        <v>70</v>
      </c>
    </row>
    <row r="85" spans="1:6" x14ac:dyDescent="0.3">
      <c r="A85" s="19">
        <v>4</v>
      </c>
      <c r="B85" s="15">
        <v>1</v>
      </c>
      <c r="C85" s="15" t="s">
        <v>85</v>
      </c>
      <c r="D85" s="15" t="s">
        <v>33</v>
      </c>
      <c r="E85" s="19" t="s">
        <v>46</v>
      </c>
      <c r="F85" s="19" t="s">
        <v>69</v>
      </c>
    </row>
    <row r="86" spans="1:6" x14ac:dyDescent="0.3">
      <c r="A86" s="8">
        <v>4</v>
      </c>
      <c r="B86" s="15">
        <v>2</v>
      </c>
      <c r="C86" s="15" t="s">
        <v>84</v>
      </c>
      <c r="D86" s="15" t="s">
        <v>33</v>
      </c>
      <c r="E86" s="8" t="s">
        <v>46</v>
      </c>
      <c r="F86" s="8" t="s">
        <v>63</v>
      </c>
    </row>
    <row r="87" spans="1:6" x14ac:dyDescent="0.3">
      <c r="A87" s="19">
        <v>4</v>
      </c>
      <c r="B87" s="19">
        <v>1</v>
      </c>
      <c r="C87" s="19" t="s">
        <v>85</v>
      </c>
      <c r="D87" s="19" t="s">
        <v>4</v>
      </c>
      <c r="E87" s="19" t="s">
        <v>45</v>
      </c>
      <c r="F87" s="19" t="s">
        <v>72</v>
      </c>
    </row>
    <row r="88" spans="1:6" x14ac:dyDescent="0.3">
      <c r="A88" s="8">
        <v>4</v>
      </c>
      <c r="B88" s="8">
        <v>2</v>
      </c>
      <c r="C88" s="8" t="s">
        <v>84</v>
      </c>
      <c r="D88" s="8" t="s">
        <v>44</v>
      </c>
      <c r="E88" s="8" t="s">
        <v>14</v>
      </c>
      <c r="F88" s="8" t="s">
        <v>72</v>
      </c>
    </row>
    <row r="89" spans="1:6" x14ac:dyDescent="0.3">
      <c r="A89" s="19">
        <v>4</v>
      </c>
      <c r="B89" s="19">
        <v>2</v>
      </c>
      <c r="C89" s="19" t="s">
        <v>84</v>
      </c>
      <c r="D89" s="19" t="s">
        <v>4</v>
      </c>
      <c r="E89" s="19" t="s">
        <v>45</v>
      </c>
      <c r="F89" s="19" t="s">
        <v>78</v>
      </c>
    </row>
    <row r="90" spans="1:6" x14ac:dyDescent="0.3">
      <c r="A90" s="8">
        <v>4</v>
      </c>
      <c r="B90" s="8">
        <v>2</v>
      </c>
      <c r="C90" s="8" t="s">
        <v>84</v>
      </c>
      <c r="D90" s="8" t="s">
        <v>44</v>
      </c>
      <c r="E90" s="8" t="s">
        <v>13</v>
      </c>
      <c r="F90" s="8" t="s">
        <v>78</v>
      </c>
    </row>
    <row r="91" spans="1:6" x14ac:dyDescent="0.3">
      <c r="A91" s="19">
        <v>4</v>
      </c>
      <c r="B91" s="15">
        <v>1</v>
      </c>
      <c r="C91" s="15" t="s">
        <v>85</v>
      </c>
      <c r="D91" s="15" t="s">
        <v>33</v>
      </c>
      <c r="E91" s="19" t="s">
        <v>46</v>
      </c>
      <c r="F91" s="19" t="s">
        <v>65</v>
      </c>
    </row>
    <row r="92" spans="1:6" x14ac:dyDescent="0.3">
      <c r="A92" s="8">
        <v>4</v>
      </c>
      <c r="B92" s="8">
        <v>2</v>
      </c>
      <c r="C92" s="8" t="s">
        <v>84</v>
      </c>
      <c r="D92" s="8" t="s">
        <v>4</v>
      </c>
      <c r="E92" s="8" t="s">
        <v>45</v>
      </c>
      <c r="F92" s="8" t="s">
        <v>73</v>
      </c>
    </row>
    <row r="93" spans="1:6" x14ac:dyDescent="0.3">
      <c r="A93" s="19">
        <v>4</v>
      </c>
      <c r="B93" s="19">
        <v>1</v>
      </c>
      <c r="C93" s="19" t="s">
        <v>85</v>
      </c>
      <c r="D93" s="19" t="s">
        <v>44</v>
      </c>
      <c r="E93" s="19" t="s">
        <v>14</v>
      </c>
      <c r="F93" s="19" t="s">
        <v>73</v>
      </c>
    </row>
    <row r="94" spans="1:6" x14ac:dyDescent="0.3">
      <c r="A94" s="8">
        <v>4</v>
      </c>
      <c r="B94" s="8">
        <v>1</v>
      </c>
      <c r="C94" s="8" t="s">
        <v>85</v>
      </c>
      <c r="D94" s="8" t="s">
        <v>4</v>
      </c>
      <c r="E94" s="8" t="s">
        <v>45</v>
      </c>
      <c r="F94" s="8" t="s">
        <v>74</v>
      </c>
    </row>
    <row r="95" spans="1:6" x14ac:dyDescent="0.3">
      <c r="A95" s="19">
        <v>4</v>
      </c>
      <c r="B95" s="19">
        <v>1</v>
      </c>
      <c r="C95" s="19" t="s">
        <v>85</v>
      </c>
      <c r="D95" s="19" t="s">
        <v>44</v>
      </c>
      <c r="E95" s="19" t="s">
        <v>13</v>
      </c>
      <c r="F95" s="19" t="s">
        <v>74</v>
      </c>
    </row>
    <row r="96" spans="1:6" x14ac:dyDescent="0.3">
      <c r="A96" s="8">
        <v>4</v>
      </c>
      <c r="B96" s="15">
        <v>2</v>
      </c>
      <c r="C96" s="15" t="s">
        <v>84</v>
      </c>
      <c r="D96" s="15" t="s">
        <v>33</v>
      </c>
      <c r="E96" s="8" t="s">
        <v>46</v>
      </c>
      <c r="F96" s="8" t="s">
        <v>67</v>
      </c>
    </row>
    <row r="97" spans="1:11" x14ac:dyDescent="0.3">
      <c r="A97" s="19">
        <v>4</v>
      </c>
      <c r="B97" s="15">
        <v>1</v>
      </c>
      <c r="C97" s="15" t="s">
        <v>85</v>
      </c>
      <c r="D97" s="15" t="s">
        <v>33</v>
      </c>
      <c r="E97" s="19" t="s">
        <v>46</v>
      </c>
      <c r="F97" s="19" t="s">
        <v>64</v>
      </c>
    </row>
    <row r="98" spans="1:11" x14ac:dyDescent="0.3">
      <c r="A98" s="6" t="s">
        <v>29</v>
      </c>
      <c r="B98" s="6"/>
      <c r="C98" s="6"/>
      <c r="D98" s="6"/>
      <c r="E98" s="6"/>
      <c r="F98" s="6"/>
    </row>
    <row r="99" spans="1:11" x14ac:dyDescent="0.3">
      <c r="A99" s="16">
        <v>1</v>
      </c>
      <c r="B99" s="18">
        <v>2</v>
      </c>
      <c r="C99" s="17" t="s">
        <v>84</v>
      </c>
      <c r="D99" s="12" t="s">
        <v>33</v>
      </c>
      <c r="E99" s="19" t="s">
        <v>46</v>
      </c>
      <c r="F99" s="19" t="s">
        <v>73</v>
      </c>
    </row>
    <row r="100" spans="1:11" x14ac:dyDescent="0.3">
      <c r="A100" s="32">
        <v>1</v>
      </c>
      <c r="B100" s="31">
        <v>2</v>
      </c>
      <c r="C100" s="31" t="s">
        <v>84</v>
      </c>
      <c r="D100" s="31" t="s">
        <v>4</v>
      </c>
      <c r="E100" s="31" t="s">
        <v>45</v>
      </c>
      <c r="F100" s="31" t="s">
        <v>51</v>
      </c>
    </row>
    <row r="101" spans="1:11" x14ac:dyDescent="0.3">
      <c r="A101" s="16">
        <v>1</v>
      </c>
      <c r="B101" s="19">
        <v>2</v>
      </c>
      <c r="C101" s="19" t="s">
        <v>84</v>
      </c>
      <c r="D101" s="19" t="s">
        <v>44</v>
      </c>
      <c r="E101" s="19" t="s">
        <v>13</v>
      </c>
      <c r="F101" s="19" t="s">
        <v>51</v>
      </c>
    </row>
    <row r="102" spans="1:11" x14ac:dyDescent="0.3">
      <c r="A102" s="32">
        <v>1</v>
      </c>
      <c r="B102" s="18">
        <v>1</v>
      </c>
      <c r="C102" s="18" t="s">
        <v>85</v>
      </c>
      <c r="D102" s="12" t="s">
        <v>33</v>
      </c>
      <c r="E102" s="31" t="s">
        <v>46</v>
      </c>
      <c r="F102" s="31" t="s">
        <v>76</v>
      </c>
      <c r="K102" t="s">
        <v>23</v>
      </c>
    </row>
    <row r="103" spans="1:11" x14ac:dyDescent="0.3">
      <c r="A103" s="16">
        <v>1</v>
      </c>
      <c r="B103" s="18">
        <v>2</v>
      </c>
      <c r="C103" s="17" t="s">
        <v>84</v>
      </c>
      <c r="D103" s="12" t="s">
        <v>33</v>
      </c>
      <c r="E103" s="19" t="s">
        <v>46</v>
      </c>
      <c r="F103" s="19" t="s">
        <v>74</v>
      </c>
    </row>
    <row r="104" spans="1:11" x14ac:dyDescent="0.3">
      <c r="A104" s="32">
        <v>1</v>
      </c>
      <c r="B104" s="18">
        <v>1</v>
      </c>
      <c r="C104" s="18" t="s">
        <v>85</v>
      </c>
      <c r="D104" s="12" t="s">
        <v>33</v>
      </c>
      <c r="E104" s="31" t="s">
        <v>46</v>
      </c>
      <c r="F104" s="31" t="s">
        <v>78</v>
      </c>
    </row>
    <row r="105" spans="1:11" x14ac:dyDescent="0.3">
      <c r="A105" s="16">
        <v>1</v>
      </c>
      <c r="B105" s="19">
        <v>2</v>
      </c>
      <c r="C105" s="19" t="s">
        <v>84</v>
      </c>
      <c r="D105" s="19" t="s">
        <v>4</v>
      </c>
      <c r="E105" s="19" t="s">
        <v>45</v>
      </c>
      <c r="F105" s="19" t="s">
        <v>54</v>
      </c>
    </row>
    <row r="106" spans="1:11" x14ac:dyDescent="0.3">
      <c r="A106" s="32">
        <v>1</v>
      </c>
      <c r="B106" s="31">
        <v>2</v>
      </c>
      <c r="C106" s="19" t="s">
        <v>84</v>
      </c>
      <c r="D106" s="31" t="s">
        <v>44</v>
      </c>
      <c r="E106" s="31" t="s">
        <v>13</v>
      </c>
      <c r="F106" s="31" t="s">
        <v>54</v>
      </c>
    </row>
    <row r="107" spans="1:11" x14ac:dyDescent="0.3">
      <c r="A107" s="16">
        <v>1</v>
      </c>
      <c r="B107" s="19">
        <v>2</v>
      </c>
      <c r="C107" s="19" t="s">
        <v>84</v>
      </c>
      <c r="D107" s="19" t="s">
        <v>4</v>
      </c>
      <c r="E107" s="19" t="s">
        <v>45</v>
      </c>
      <c r="F107" s="19" t="s">
        <v>53</v>
      </c>
    </row>
    <row r="108" spans="1:11" x14ac:dyDescent="0.3">
      <c r="A108" s="32">
        <v>1</v>
      </c>
      <c r="B108" s="31">
        <v>1</v>
      </c>
      <c r="C108" s="31" t="s">
        <v>85</v>
      </c>
      <c r="D108" s="31" t="s">
        <v>44</v>
      </c>
      <c r="E108" s="31" t="s">
        <v>14</v>
      </c>
      <c r="F108" s="31" t="s">
        <v>53</v>
      </c>
    </row>
    <row r="109" spans="1:11" x14ac:dyDescent="0.3">
      <c r="A109" s="16">
        <v>1</v>
      </c>
      <c r="B109" s="18">
        <v>1</v>
      </c>
      <c r="C109" s="17" t="s">
        <v>85</v>
      </c>
      <c r="D109" s="12" t="s">
        <v>33</v>
      </c>
      <c r="E109" s="19" t="s">
        <v>46</v>
      </c>
      <c r="F109" s="19" t="s">
        <v>75</v>
      </c>
    </row>
    <row r="110" spans="1:11" x14ac:dyDescent="0.3">
      <c r="A110" s="32">
        <v>1</v>
      </c>
      <c r="B110" s="31">
        <v>1</v>
      </c>
      <c r="C110" s="31" t="s">
        <v>85</v>
      </c>
      <c r="D110" s="31" t="s">
        <v>4</v>
      </c>
      <c r="E110" s="31" t="s">
        <v>45</v>
      </c>
      <c r="F110" s="31" t="s">
        <v>49</v>
      </c>
    </row>
    <row r="111" spans="1:11" x14ac:dyDescent="0.3">
      <c r="A111" s="16">
        <v>1</v>
      </c>
      <c r="B111" s="19">
        <v>2</v>
      </c>
      <c r="C111" s="19" t="s">
        <v>84</v>
      </c>
      <c r="D111" s="19" t="s">
        <v>44</v>
      </c>
      <c r="E111" s="19" t="s">
        <v>14</v>
      </c>
      <c r="F111" s="19" t="s">
        <v>49</v>
      </c>
    </row>
    <row r="112" spans="1:11" x14ac:dyDescent="0.3">
      <c r="A112" s="32">
        <v>1</v>
      </c>
      <c r="B112" s="31">
        <v>2</v>
      </c>
      <c r="C112" s="31" t="s">
        <v>84</v>
      </c>
      <c r="D112" s="31" t="s">
        <v>4</v>
      </c>
      <c r="E112" s="31" t="s">
        <v>45</v>
      </c>
      <c r="F112" s="31" t="s">
        <v>48</v>
      </c>
    </row>
    <row r="113" spans="1:6" x14ac:dyDescent="0.3">
      <c r="A113" s="16">
        <v>1</v>
      </c>
      <c r="B113" s="19">
        <v>1</v>
      </c>
      <c r="C113" s="19" t="s">
        <v>85</v>
      </c>
      <c r="D113" s="19" t="s">
        <v>44</v>
      </c>
      <c r="E113" s="19" t="s">
        <v>14</v>
      </c>
      <c r="F113" s="19" t="s">
        <v>48</v>
      </c>
    </row>
    <row r="114" spans="1:6" x14ac:dyDescent="0.3">
      <c r="A114" s="32">
        <v>1</v>
      </c>
      <c r="B114" s="18">
        <v>2</v>
      </c>
      <c r="C114" s="18" t="s">
        <v>84</v>
      </c>
      <c r="D114" s="12" t="s">
        <v>33</v>
      </c>
      <c r="E114" s="31" t="s">
        <v>46</v>
      </c>
      <c r="F114" s="31" t="s">
        <v>72</v>
      </c>
    </row>
    <row r="115" spans="1:6" x14ac:dyDescent="0.3">
      <c r="A115" s="16">
        <v>1</v>
      </c>
      <c r="B115" s="19">
        <v>1</v>
      </c>
      <c r="C115" s="19" t="s">
        <v>85</v>
      </c>
      <c r="D115" s="19" t="s">
        <v>4</v>
      </c>
      <c r="E115" s="19" t="s">
        <v>45</v>
      </c>
      <c r="F115" s="19" t="s">
        <v>50</v>
      </c>
    </row>
    <row r="116" spans="1:6" x14ac:dyDescent="0.3">
      <c r="A116" s="32">
        <v>1</v>
      </c>
      <c r="B116" s="31">
        <v>1</v>
      </c>
      <c r="C116" s="19" t="s">
        <v>85</v>
      </c>
      <c r="D116" s="31" t="s">
        <v>44</v>
      </c>
      <c r="E116" s="31" t="s">
        <v>13</v>
      </c>
      <c r="F116" s="31" t="s">
        <v>50</v>
      </c>
    </row>
    <row r="117" spans="1:6" x14ac:dyDescent="0.3">
      <c r="A117" s="16">
        <v>1</v>
      </c>
      <c r="B117" s="18">
        <v>1</v>
      </c>
      <c r="C117" s="17" t="s">
        <v>85</v>
      </c>
      <c r="D117" s="12" t="s">
        <v>33</v>
      </c>
      <c r="E117" s="19" t="s">
        <v>46</v>
      </c>
      <c r="F117" s="19" t="s">
        <v>71</v>
      </c>
    </row>
    <row r="118" spans="1:6" x14ac:dyDescent="0.3">
      <c r="A118" s="32">
        <v>1</v>
      </c>
      <c r="B118" s="18">
        <v>2</v>
      </c>
      <c r="C118" s="18" t="s">
        <v>84</v>
      </c>
      <c r="D118" s="12" t="s">
        <v>33</v>
      </c>
      <c r="E118" s="31" t="s">
        <v>46</v>
      </c>
      <c r="F118" s="31" t="s">
        <v>77</v>
      </c>
    </row>
    <row r="119" spans="1:6" x14ac:dyDescent="0.3">
      <c r="A119" s="16">
        <v>1</v>
      </c>
      <c r="B119" s="19">
        <v>1</v>
      </c>
      <c r="C119" s="19" t="s">
        <v>85</v>
      </c>
      <c r="D119" s="19" t="s">
        <v>4</v>
      </c>
      <c r="E119" s="19" t="s">
        <v>45</v>
      </c>
      <c r="F119" s="19" t="s">
        <v>47</v>
      </c>
    </row>
    <row r="120" spans="1:6" x14ac:dyDescent="0.3">
      <c r="A120" s="32">
        <v>1</v>
      </c>
      <c r="B120" s="31">
        <v>1</v>
      </c>
      <c r="C120" s="19" t="s">
        <v>85</v>
      </c>
      <c r="D120" s="31" t="s">
        <v>44</v>
      </c>
      <c r="E120" s="31" t="s">
        <v>13</v>
      </c>
      <c r="F120" s="31" t="s">
        <v>47</v>
      </c>
    </row>
    <row r="121" spans="1:6" x14ac:dyDescent="0.3">
      <c r="A121" s="16">
        <v>1</v>
      </c>
      <c r="B121" s="19">
        <v>1</v>
      </c>
      <c r="C121" s="19" t="s">
        <v>85</v>
      </c>
      <c r="D121" s="19" t="s">
        <v>4</v>
      </c>
      <c r="E121" s="19" t="s">
        <v>45</v>
      </c>
      <c r="F121" s="19" t="s">
        <v>52</v>
      </c>
    </row>
    <row r="122" spans="1:6" x14ac:dyDescent="0.3">
      <c r="A122" s="32">
        <v>1</v>
      </c>
      <c r="B122" s="31">
        <v>2</v>
      </c>
      <c r="C122" s="31" t="s">
        <v>84</v>
      </c>
      <c r="D122" s="31" t="s">
        <v>44</v>
      </c>
      <c r="E122" s="31" t="s">
        <v>14</v>
      </c>
      <c r="F122" s="31" t="s">
        <v>52</v>
      </c>
    </row>
    <row r="123" spans="1:6" x14ac:dyDescent="0.3">
      <c r="A123" s="8">
        <v>2</v>
      </c>
      <c r="B123" s="8">
        <v>1</v>
      </c>
      <c r="C123" s="8" t="s">
        <v>85</v>
      </c>
      <c r="D123" s="8" t="s">
        <v>4</v>
      </c>
      <c r="E123" s="8" t="s">
        <v>45</v>
      </c>
      <c r="F123" s="8" t="s">
        <v>55</v>
      </c>
    </row>
    <row r="124" spans="1:6" x14ac:dyDescent="0.3">
      <c r="A124" s="19">
        <v>2</v>
      </c>
      <c r="B124" s="19">
        <v>1</v>
      </c>
      <c r="C124" s="19" t="s">
        <v>85</v>
      </c>
      <c r="D124" s="19" t="s">
        <v>44</v>
      </c>
      <c r="E124" s="19" t="s">
        <v>13</v>
      </c>
      <c r="F124" s="19" t="s">
        <v>55</v>
      </c>
    </row>
    <row r="125" spans="1:6" x14ac:dyDescent="0.3">
      <c r="A125" s="8">
        <v>2</v>
      </c>
      <c r="B125" s="13">
        <v>2</v>
      </c>
      <c r="C125" s="13" t="s">
        <v>84</v>
      </c>
      <c r="D125" s="13" t="s">
        <v>33</v>
      </c>
      <c r="E125" s="8" t="s">
        <v>46</v>
      </c>
      <c r="F125" s="8" t="s">
        <v>51</v>
      </c>
    </row>
    <row r="126" spans="1:6" x14ac:dyDescent="0.3">
      <c r="A126" s="19">
        <v>2</v>
      </c>
      <c r="B126" s="19">
        <v>1</v>
      </c>
      <c r="C126" s="19" t="s">
        <v>85</v>
      </c>
      <c r="D126" s="19" t="s">
        <v>4</v>
      </c>
      <c r="E126" s="19" t="s">
        <v>45</v>
      </c>
      <c r="F126" s="19" t="s">
        <v>59</v>
      </c>
    </row>
    <row r="127" spans="1:6" x14ac:dyDescent="0.3">
      <c r="A127" s="8">
        <v>2</v>
      </c>
      <c r="B127" s="8">
        <v>1</v>
      </c>
      <c r="C127" s="8" t="s">
        <v>85</v>
      </c>
      <c r="D127" s="8" t="s">
        <v>44</v>
      </c>
      <c r="E127" s="8" t="s">
        <v>13</v>
      </c>
      <c r="F127" s="8" t="s">
        <v>59</v>
      </c>
    </row>
    <row r="128" spans="1:6" x14ac:dyDescent="0.3">
      <c r="A128" s="19">
        <v>2</v>
      </c>
      <c r="B128" s="13">
        <v>2</v>
      </c>
      <c r="C128" s="13" t="s">
        <v>84</v>
      </c>
      <c r="D128" s="13" t="s">
        <v>33</v>
      </c>
      <c r="E128" s="19" t="s">
        <v>46</v>
      </c>
      <c r="F128" s="19" t="s">
        <v>54</v>
      </c>
    </row>
    <row r="129" spans="1:6" x14ac:dyDescent="0.3">
      <c r="A129" s="19">
        <v>2</v>
      </c>
      <c r="B129" s="19">
        <v>1</v>
      </c>
      <c r="C129" s="19" t="s">
        <v>85</v>
      </c>
      <c r="D129" s="19" t="s">
        <v>4</v>
      </c>
      <c r="E129" s="19" t="s">
        <v>45</v>
      </c>
      <c r="F129" s="19" t="s">
        <v>57</v>
      </c>
    </row>
    <row r="130" spans="1:6" x14ac:dyDescent="0.3">
      <c r="A130" s="31">
        <v>2</v>
      </c>
      <c r="B130" s="31">
        <v>1</v>
      </c>
      <c r="C130" s="31" t="s">
        <v>84</v>
      </c>
      <c r="D130" s="31" t="s">
        <v>44</v>
      </c>
      <c r="E130" s="31" t="s">
        <v>14</v>
      </c>
      <c r="F130" s="31" t="s">
        <v>57</v>
      </c>
    </row>
    <row r="131" spans="1:6" x14ac:dyDescent="0.3">
      <c r="A131" s="8">
        <v>2</v>
      </c>
      <c r="B131" s="8">
        <v>2</v>
      </c>
      <c r="C131" s="8" t="s">
        <v>84</v>
      </c>
      <c r="D131" s="8" t="s">
        <v>4</v>
      </c>
      <c r="E131" s="8" t="s">
        <v>45</v>
      </c>
      <c r="F131" s="8" t="s">
        <v>61</v>
      </c>
    </row>
    <row r="132" spans="1:6" x14ac:dyDescent="0.3">
      <c r="A132" s="19">
        <v>2</v>
      </c>
      <c r="B132" s="19">
        <v>1</v>
      </c>
      <c r="C132" s="19" t="s">
        <v>85</v>
      </c>
      <c r="D132" s="19" t="s">
        <v>44</v>
      </c>
      <c r="E132" s="19" t="s">
        <v>14</v>
      </c>
      <c r="F132" s="19" t="s">
        <v>61</v>
      </c>
    </row>
    <row r="133" spans="1:6" x14ac:dyDescent="0.3">
      <c r="A133" s="8">
        <v>2</v>
      </c>
      <c r="B133" s="13">
        <v>1</v>
      </c>
      <c r="C133" s="13" t="s">
        <v>85</v>
      </c>
      <c r="D133" s="13" t="s">
        <v>33</v>
      </c>
      <c r="E133" s="8" t="s">
        <v>46</v>
      </c>
      <c r="F133" s="8" t="s">
        <v>53</v>
      </c>
    </row>
    <row r="134" spans="1:6" x14ac:dyDescent="0.3">
      <c r="A134" s="19">
        <v>2</v>
      </c>
      <c r="B134" s="13">
        <v>2</v>
      </c>
      <c r="C134" s="13" t="s">
        <v>84</v>
      </c>
      <c r="D134" s="13" t="s">
        <v>33</v>
      </c>
      <c r="E134" s="19" t="s">
        <v>46</v>
      </c>
      <c r="F134" s="19" t="s">
        <v>49</v>
      </c>
    </row>
    <row r="135" spans="1:6" x14ac:dyDescent="0.3">
      <c r="A135" s="8">
        <v>2</v>
      </c>
      <c r="B135" s="13">
        <v>1</v>
      </c>
      <c r="C135" s="13" t="s">
        <v>85</v>
      </c>
      <c r="D135" s="13" t="s">
        <v>33</v>
      </c>
      <c r="E135" s="8" t="s">
        <v>46</v>
      </c>
      <c r="F135" s="8" t="s">
        <v>48</v>
      </c>
    </row>
    <row r="136" spans="1:6" x14ac:dyDescent="0.3">
      <c r="A136" s="19">
        <v>2</v>
      </c>
      <c r="B136" s="19">
        <v>1</v>
      </c>
      <c r="C136" s="19" t="s">
        <v>85</v>
      </c>
      <c r="D136" s="19" t="s">
        <v>4</v>
      </c>
      <c r="E136" s="19" t="s">
        <v>45</v>
      </c>
      <c r="F136" s="19" t="s">
        <v>56</v>
      </c>
    </row>
    <row r="137" spans="1:6" x14ac:dyDescent="0.3">
      <c r="A137" s="8">
        <v>2</v>
      </c>
      <c r="B137" s="8">
        <v>2</v>
      </c>
      <c r="C137" s="8" t="s">
        <v>84</v>
      </c>
      <c r="D137" s="8" t="s">
        <v>44</v>
      </c>
      <c r="E137" s="8" t="s">
        <v>14</v>
      </c>
      <c r="F137" s="8" t="s">
        <v>56</v>
      </c>
    </row>
    <row r="138" spans="1:6" x14ac:dyDescent="0.3">
      <c r="A138" s="19">
        <v>2</v>
      </c>
      <c r="B138" s="19">
        <v>2</v>
      </c>
      <c r="C138" s="19" t="s">
        <v>84</v>
      </c>
      <c r="D138" s="19" t="s">
        <v>4</v>
      </c>
      <c r="E138" s="19" t="s">
        <v>45</v>
      </c>
      <c r="F138" s="19" t="s">
        <v>60</v>
      </c>
    </row>
    <row r="139" spans="1:6" x14ac:dyDescent="0.3">
      <c r="A139" s="8">
        <v>2</v>
      </c>
      <c r="B139" s="8">
        <v>2</v>
      </c>
      <c r="C139" s="8" t="s">
        <v>84</v>
      </c>
      <c r="D139" s="8" t="s">
        <v>44</v>
      </c>
      <c r="E139" s="8" t="s">
        <v>13</v>
      </c>
      <c r="F139" s="8" t="s">
        <v>60</v>
      </c>
    </row>
    <row r="140" spans="1:6" x14ac:dyDescent="0.3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50</v>
      </c>
    </row>
    <row r="141" spans="1:6" x14ac:dyDescent="0.3">
      <c r="A141" s="8">
        <v>2</v>
      </c>
      <c r="B141" s="8">
        <v>2</v>
      </c>
      <c r="C141" s="8" t="s">
        <v>84</v>
      </c>
      <c r="D141" s="8" t="s">
        <v>4</v>
      </c>
      <c r="E141" s="8" t="s">
        <v>45</v>
      </c>
      <c r="F141" s="8" t="s">
        <v>58</v>
      </c>
    </row>
    <row r="142" spans="1:6" x14ac:dyDescent="0.3">
      <c r="A142" s="19">
        <v>2</v>
      </c>
      <c r="B142" s="19">
        <v>2</v>
      </c>
      <c r="C142" s="19" t="s">
        <v>84</v>
      </c>
      <c r="D142" s="19" t="s">
        <v>44</v>
      </c>
      <c r="E142" s="19" t="s">
        <v>13</v>
      </c>
      <c r="F142" s="19" t="s">
        <v>58</v>
      </c>
    </row>
    <row r="143" spans="1:6" x14ac:dyDescent="0.3">
      <c r="A143" s="8">
        <v>2</v>
      </c>
      <c r="B143" s="13">
        <v>1</v>
      </c>
      <c r="C143" s="13" t="s">
        <v>85</v>
      </c>
      <c r="D143" s="13" t="s">
        <v>33</v>
      </c>
      <c r="E143" s="8" t="s">
        <v>46</v>
      </c>
      <c r="F143" s="8" t="s">
        <v>47</v>
      </c>
    </row>
    <row r="144" spans="1:6" x14ac:dyDescent="0.3">
      <c r="A144" s="19">
        <v>2</v>
      </c>
      <c r="B144" s="13">
        <v>2</v>
      </c>
      <c r="C144" s="13" t="s">
        <v>84</v>
      </c>
      <c r="D144" s="13" t="s">
        <v>33</v>
      </c>
      <c r="E144" s="19" t="s">
        <v>46</v>
      </c>
      <c r="F144" s="19" t="s">
        <v>52</v>
      </c>
    </row>
    <row r="145" spans="1:6" x14ac:dyDescent="0.3">
      <c r="A145" s="8">
        <v>2</v>
      </c>
      <c r="B145" s="8">
        <v>2</v>
      </c>
      <c r="C145" s="8" t="s">
        <v>84</v>
      </c>
      <c r="D145" s="8" t="s">
        <v>4</v>
      </c>
      <c r="E145" s="8" t="s">
        <v>45</v>
      </c>
      <c r="F145" s="8" t="s">
        <v>62</v>
      </c>
    </row>
    <row r="146" spans="1:6" x14ac:dyDescent="0.3">
      <c r="A146" s="19">
        <v>2</v>
      </c>
      <c r="B146" s="19">
        <v>1</v>
      </c>
      <c r="C146" s="19" t="s">
        <v>85</v>
      </c>
      <c r="D146" s="19" t="s">
        <v>44</v>
      </c>
      <c r="E146" s="19" t="s">
        <v>14</v>
      </c>
      <c r="F146" s="19" t="s">
        <v>62</v>
      </c>
    </row>
    <row r="147" spans="1:6" x14ac:dyDescent="0.3">
      <c r="A147" s="16">
        <v>3</v>
      </c>
      <c r="B147" s="19">
        <v>1</v>
      </c>
      <c r="C147" s="19" t="s">
        <v>85</v>
      </c>
      <c r="D147" s="19" t="s">
        <v>4</v>
      </c>
      <c r="E147" s="19" t="s">
        <v>45</v>
      </c>
      <c r="F147" s="19" t="s">
        <v>67</v>
      </c>
    </row>
    <row r="148" spans="1:6" x14ac:dyDescent="0.3">
      <c r="A148" s="32">
        <v>3</v>
      </c>
      <c r="B148" s="31">
        <v>2</v>
      </c>
      <c r="C148" s="31" t="s">
        <v>84</v>
      </c>
      <c r="D148" s="31" t="s">
        <v>44</v>
      </c>
      <c r="E148" s="31" t="s">
        <v>14</v>
      </c>
      <c r="F148" s="31" t="s">
        <v>67</v>
      </c>
    </row>
    <row r="149" spans="1:6" x14ac:dyDescent="0.3">
      <c r="A149" s="16">
        <v>3</v>
      </c>
      <c r="B149" s="19">
        <v>2</v>
      </c>
      <c r="C149" s="19" t="s">
        <v>84</v>
      </c>
      <c r="D149" s="19" t="s">
        <v>4</v>
      </c>
      <c r="E149" s="19" t="s">
        <v>45</v>
      </c>
      <c r="F149" s="19" t="s">
        <v>63</v>
      </c>
    </row>
    <row r="150" spans="1:6" x14ac:dyDescent="0.3">
      <c r="A150" s="32">
        <v>3</v>
      </c>
      <c r="B150" s="31">
        <v>1</v>
      </c>
      <c r="C150" s="31" t="s">
        <v>85</v>
      </c>
      <c r="D150" s="31" t="s">
        <v>44</v>
      </c>
      <c r="E150" s="31" t="s">
        <v>14</v>
      </c>
      <c r="F150" s="31" t="s">
        <v>63</v>
      </c>
    </row>
    <row r="151" spans="1:6" x14ac:dyDescent="0.3">
      <c r="A151" s="16">
        <v>3</v>
      </c>
      <c r="B151" s="14">
        <v>2</v>
      </c>
      <c r="C151" s="14" t="s">
        <v>84</v>
      </c>
      <c r="D151" s="14" t="s">
        <v>33</v>
      </c>
      <c r="E151" s="19" t="s">
        <v>46</v>
      </c>
      <c r="F151" s="19" t="s">
        <v>55</v>
      </c>
    </row>
    <row r="152" spans="1:6" x14ac:dyDescent="0.3">
      <c r="A152" s="32">
        <v>3</v>
      </c>
      <c r="B152" s="14">
        <v>1</v>
      </c>
      <c r="C152" s="14" t="s">
        <v>85</v>
      </c>
      <c r="D152" s="14" t="s">
        <v>33</v>
      </c>
      <c r="E152" s="31" t="s">
        <v>46</v>
      </c>
      <c r="F152" s="31" t="s">
        <v>59</v>
      </c>
    </row>
    <row r="153" spans="1:6" x14ac:dyDescent="0.3">
      <c r="A153" s="16">
        <v>3</v>
      </c>
      <c r="B153" s="19">
        <v>1</v>
      </c>
      <c r="C153" s="19" t="s">
        <v>85</v>
      </c>
      <c r="D153" s="19" t="s">
        <v>4</v>
      </c>
      <c r="E153" s="19" t="s">
        <v>45</v>
      </c>
      <c r="F153" s="19" t="s">
        <v>69</v>
      </c>
    </row>
    <row r="154" spans="1:6" x14ac:dyDescent="0.3">
      <c r="A154" s="32">
        <v>3</v>
      </c>
      <c r="B154" s="31">
        <v>2</v>
      </c>
      <c r="C154" s="31" t="s">
        <v>84</v>
      </c>
      <c r="D154" s="31" t="s">
        <v>44</v>
      </c>
      <c r="E154" s="31" t="s">
        <v>14</v>
      </c>
      <c r="F154" s="31" t="s">
        <v>69</v>
      </c>
    </row>
    <row r="155" spans="1:6" x14ac:dyDescent="0.3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57</v>
      </c>
    </row>
    <row r="156" spans="1:6" x14ac:dyDescent="0.3">
      <c r="A156" s="32">
        <v>3</v>
      </c>
      <c r="B156" s="31">
        <v>2</v>
      </c>
      <c r="C156" s="31" t="s">
        <v>84</v>
      </c>
      <c r="D156" s="31" t="s">
        <v>4</v>
      </c>
      <c r="E156" s="31" t="s">
        <v>45</v>
      </c>
      <c r="F156" s="31" t="s">
        <v>65</v>
      </c>
    </row>
    <row r="157" spans="1:6" x14ac:dyDescent="0.3">
      <c r="A157" s="16">
        <v>3</v>
      </c>
      <c r="B157" s="19">
        <v>2</v>
      </c>
      <c r="C157" s="19" t="s">
        <v>84</v>
      </c>
      <c r="D157" s="19" t="s">
        <v>44</v>
      </c>
      <c r="E157" s="19" t="s">
        <v>13</v>
      </c>
      <c r="F157" s="19" t="s">
        <v>65</v>
      </c>
    </row>
    <row r="158" spans="1:6" x14ac:dyDescent="0.3">
      <c r="A158" s="32">
        <v>3</v>
      </c>
      <c r="B158" s="14">
        <v>1</v>
      </c>
      <c r="C158" s="14" t="s">
        <v>85</v>
      </c>
      <c r="D158" s="14" t="s">
        <v>33</v>
      </c>
      <c r="E158" s="31" t="s">
        <v>46</v>
      </c>
      <c r="F158" s="31" t="s">
        <v>61</v>
      </c>
    </row>
    <row r="159" spans="1:6" x14ac:dyDescent="0.3">
      <c r="A159" s="16">
        <v>3</v>
      </c>
      <c r="B159" s="14">
        <v>1</v>
      </c>
      <c r="C159" s="14" t="s">
        <v>85</v>
      </c>
      <c r="D159" s="14" t="s">
        <v>33</v>
      </c>
      <c r="E159" s="19" t="s">
        <v>46</v>
      </c>
      <c r="F159" s="19" t="s">
        <v>56</v>
      </c>
    </row>
    <row r="160" spans="1:6" x14ac:dyDescent="0.3">
      <c r="A160" s="32">
        <v>3</v>
      </c>
      <c r="B160" s="31">
        <v>2</v>
      </c>
      <c r="C160" s="31" t="s">
        <v>84</v>
      </c>
      <c r="D160" s="31" t="s">
        <v>4</v>
      </c>
      <c r="E160" s="31" t="s">
        <v>45</v>
      </c>
      <c r="F160" s="31" t="s">
        <v>64</v>
      </c>
    </row>
    <row r="161" spans="1:6" x14ac:dyDescent="0.3">
      <c r="A161" s="16">
        <v>3</v>
      </c>
      <c r="B161" s="19">
        <v>2</v>
      </c>
      <c r="C161" s="19" t="s">
        <v>84</v>
      </c>
      <c r="D161" s="19" t="s">
        <v>44</v>
      </c>
      <c r="E161" s="19" t="s">
        <v>13</v>
      </c>
      <c r="F161" s="19" t="s">
        <v>64</v>
      </c>
    </row>
    <row r="162" spans="1:6" x14ac:dyDescent="0.3">
      <c r="A162" s="32">
        <v>3</v>
      </c>
      <c r="B162" s="31">
        <v>2</v>
      </c>
      <c r="C162" s="31" t="s">
        <v>84</v>
      </c>
      <c r="D162" s="31" t="s">
        <v>4</v>
      </c>
      <c r="E162" s="31" t="s">
        <v>45</v>
      </c>
      <c r="F162" s="31" t="s">
        <v>70</v>
      </c>
    </row>
    <row r="163" spans="1:6" x14ac:dyDescent="0.3">
      <c r="A163" s="16">
        <v>3</v>
      </c>
      <c r="B163" s="19">
        <v>1</v>
      </c>
      <c r="C163" s="19" t="s">
        <v>85</v>
      </c>
      <c r="D163" s="19" t="s">
        <v>44</v>
      </c>
      <c r="E163" s="19" t="s">
        <v>14</v>
      </c>
      <c r="F163" s="19" t="s">
        <v>70</v>
      </c>
    </row>
    <row r="164" spans="1:6" x14ac:dyDescent="0.3">
      <c r="A164" s="32">
        <v>3</v>
      </c>
      <c r="B164" s="14">
        <v>2</v>
      </c>
      <c r="C164" s="14" t="s">
        <v>84</v>
      </c>
      <c r="D164" s="14" t="s">
        <v>33</v>
      </c>
      <c r="E164" s="31" t="s">
        <v>46</v>
      </c>
      <c r="F164" s="31" t="s">
        <v>60</v>
      </c>
    </row>
    <row r="165" spans="1:6" x14ac:dyDescent="0.3">
      <c r="A165" s="16">
        <v>3</v>
      </c>
      <c r="B165" s="14">
        <v>2</v>
      </c>
      <c r="C165" s="14" t="s">
        <v>84</v>
      </c>
      <c r="D165" s="14" t="s">
        <v>33</v>
      </c>
      <c r="E165" s="19" t="s">
        <v>46</v>
      </c>
      <c r="F165" s="19" t="s">
        <v>58</v>
      </c>
    </row>
    <row r="166" spans="1:6" x14ac:dyDescent="0.3">
      <c r="A166" s="32">
        <v>3</v>
      </c>
      <c r="B166" s="31">
        <v>1</v>
      </c>
      <c r="C166" s="31" t="s">
        <v>85</v>
      </c>
      <c r="D166" s="31" t="s">
        <v>4</v>
      </c>
      <c r="E166" s="31" t="s">
        <v>45</v>
      </c>
      <c r="F166" s="31" t="s">
        <v>68</v>
      </c>
    </row>
    <row r="167" spans="1:6" x14ac:dyDescent="0.3">
      <c r="A167" s="16">
        <v>3</v>
      </c>
      <c r="B167" s="19">
        <v>1</v>
      </c>
      <c r="C167" s="19" t="s">
        <v>85</v>
      </c>
      <c r="D167" s="19" t="s">
        <v>44</v>
      </c>
      <c r="E167" s="19" t="s">
        <v>13</v>
      </c>
      <c r="F167" s="19" t="s">
        <v>68</v>
      </c>
    </row>
    <row r="168" spans="1:6" x14ac:dyDescent="0.3">
      <c r="A168" s="32">
        <v>3</v>
      </c>
      <c r="B168" s="14">
        <v>2</v>
      </c>
      <c r="C168" s="14" t="s">
        <v>84</v>
      </c>
      <c r="D168" s="14" t="s">
        <v>33</v>
      </c>
      <c r="E168" s="31" t="s">
        <v>46</v>
      </c>
      <c r="F168" s="31" t="s">
        <v>62</v>
      </c>
    </row>
    <row r="169" spans="1:6" x14ac:dyDescent="0.3">
      <c r="A169" s="16">
        <v>3</v>
      </c>
      <c r="B169" s="19">
        <v>1</v>
      </c>
      <c r="C169" s="19" t="s">
        <v>85</v>
      </c>
      <c r="D169" s="19" t="s">
        <v>4</v>
      </c>
      <c r="E169" s="19" t="s">
        <v>45</v>
      </c>
      <c r="F169" s="19" t="s">
        <v>66</v>
      </c>
    </row>
    <row r="170" spans="1:6" x14ac:dyDescent="0.3">
      <c r="A170" s="32">
        <v>3</v>
      </c>
      <c r="B170" s="31">
        <v>1</v>
      </c>
      <c r="C170" s="31" t="s">
        <v>85</v>
      </c>
      <c r="D170" s="31" t="s">
        <v>44</v>
      </c>
      <c r="E170" s="31" t="s">
        <v>13</v>
      </c>
      <c r="F170" s="31" t="s">
        <v>66</v>
      </c>
    </row>
    <row r="171" spans="1:6" x14ac:dyDescent="0.3">
      <c r="A171" s="8">
        <v>4</v>
      </c>
      <c r="B171" s="15">
        <v>2</v>
      </c>
      <c r="C171" s="15" t="s">
        <v>84</v>
      </c>
      <c r="D171" s="15" t="s">
        <v>33</v>
      </c>
      <c r="E171" s="8" t="s">
        <v>46</v>
      </c>
      <c r="F171" s="8" t="s">
        <v>67</v>
      </c>
    </row>
    <row r="172" spans="1:6" x14ac:dyDescent="0.3">
      <c r="A172" s="19">
        <v>4</v>
      </c>
      <c r="B172" s="15">
        <v>2</v>
      </c>
      <c r="C172" s="15" t="s">
        <v>84</v>
      </c>
      <c r="D172" s="15" t="s">
        <v>33</v>
      </c>
      <c r="E172" s="19" t="s">
        <v>46</v>
      </c>
      <c r="F172" s="19" t="s">
        <v>63</v>
      </c>
    </row>
    <row r="173" spans="1:6" x14ac:dyDescent="0.3">
      <c r="A173" s="8">
        <v>4</v>
      </c>
      <c r="B173" s="8">
        <v>1</v>
      </c>
      <c r="C173" s="8" t="s">
        <v>85</v>
      </c>
      <c r="D173" s="8" t="s">
        <v>4</v>
      </c>
      <c r="E173" s="8" t="s">
        <v>45</v>
      </c>
      <c r="F173" s="8" t="s">
        <v>73</v>
      </c>
    </row>
    <row r="174" spans="1:6" x14ac:dyDescent="0.3">
      <c r="A174" s="19">
        <v>4</v>
      </c>
      <c r="B174" s="19">
        <v>1</v>
      </c>
      <c r="C174" s="19" t="s">
        <v>85</v>
      </c>
      <c r="D174" s="19" t="s">
        <v>44</v>
      </c>
      <c r="E174" s="19" t="s">
        <v>13</v>
      </c>
      <c r="F174" s="19" t="s">
        <v>73</v>
      </c>
    </row>
    <row r="175" spans="1:6" x14ac:dyDescent="0.3">
      <c r="A175" s="8">
        <v>4</v>
      </c>
      <c r="B175" s="8">
        <v>1</v>
      </c>
      <c r="C175" s="8" t="s">
        <v>85</v>
      </c>
      <c r="D175" s="8" t="s">
        <v>4</v>
      </c>
      <c r="E175" s="8" t="s">
        <v>45</v>
      </c>
      <c r="F175" s="8" t="s">
        <v>76</v>
      </c>
    </row>
    <row r="176" spans="1:6" x14ac:dyDescent="0.3">
      <c r="A176" s="19">
        <v>4</v>
      </c>
      <c r="B176" s="19">
        <v>2</v>
      </c>
      <c r="C176" s="19" t="s">
        <v>84</v>
      </c>
      <c r="D176" s="19" t="s">
        <v>44</v>
      </c>
      <c r="E176" s="19" t="s">
        <v>14</v>
      </c>
      <c r="F176" s="19" t="s">
        <v>76</v>
      </c>
    </row>
    <row r="177" spans="1:6" x14ac:dyDescent="0.3">
      <c r="A177" s="8">
        <v>4</v>
      </c>
      <c r="B177" s="15">
        <v>1</v>
      </c>
      <c r="C177" s="15" t="s">
        <v>85</v>
      </c>
      <c r="D177" s="15" t="s">
        <v>33</v>
      </c>
      <c r="E177" s="8" t="s">
        <v>46</v>
      </c>
      <c r="F177" s="8" t="s">
        <v>69</v>
      </c>
    </row>
    <row r="178" spans="1:6" x14ac:dyDescent="0.3">
      <c r="A178" s="19">
        <v>4</v>
      </c>
      <c r="B178" s="19">
        <v>2</v>
      </c>
      <c r="C178" s="19" t="s">
        <v>84</v>
      </c>
      <c r="D178" s="19" t="s">
        <v>4</v>
      </c>
      <c r="E178" s="19" t="s">
        <v>45</v>
      </c>
      <c r="F178" s="19" t="s">
        <v>74</v>
      </c>
    </row>
    <row r="179" spans="1:6" x14ac:dyDescent="0.3">
      <c r="A179" s="8">
        <v>4</v>
      </c>
      <c r="B179" s="8">
        <v>2</v>
      </c>
      <c r="C179" s="8" t="s">
        <v>84</v>
      </c>
      <c r="D179" s="8" t="s">
        <v>44</v>
      </c>
      <c r="E179" s="8" t="s">
        <v>13</v>
      </c>
      <c r="F179" s="8" t="s">
        <v>74</v>
      </c>
    </row>
    <row r="180" spans="1:6" x14ac:dyDescent="0.3">
      <c r="A180" s="19">
        <v>4</v>
      </c>
      <c r="B180" s="19">
        <v>2</v>
      </c>
      <c r="C180" s="19" t="s">
        <v>84</v>
      </c>
      <c r="D180" s="19" t="s">
        <v>4</v>
      </c>
      <c r="E180" s="19" t="s">
        <v>45</v>
      </c>
      <c r="F180" s="19" t="s">
        <v>78</v>
      </c>
    </row>
    <row r="181" spans="1:6" x14ac:dyDescent="0.3">
      <c r="A181" s="8">
        <v>4</v>
      </c>
      <c r="B181" s="8">
        <v>1</v>
      </c>
      <c r="C181" s="8" t="s">
        <v>85</v>
      </c>
      <c r="D181" s="8" t="s">
        <v>44</v>
      </c>
      <c r="E181" s="8" t="s">
        <v>14</v>
      </c>
      <c r="F181" s="8" t="s">
        <v>78</v>
      </c>
    </row>
    <row r="182" spans="1:6" x14ac:dyDescent="0.3">
      <c r="A182" s="19">
        <v>4</v>
      </c>
      <c r="B182" s="15">
        <v>2</v>
      </c>
      <c r="C182" s="15" t="s">
        <v>84</v>
      </c>
      <c r="D182" s="15" t="s">
        <v>33</v>
      </c>
      <c r="E182" s="19" t="s">
        <v>46</v>
      </c>
      <c r="F182" s="19" t="s">
        <v>65</v>
      </c>
    </row>
    <row r="183" spans="1:6" x14ac:dyDescent="0.3">
      <c r="A183" s="8">
        <v>4</v>
      </c>
      <c r="B183" s="8">
        <v>1</v>
      </c>
      <c r="C183" s="8" t="s">
        <v>85</v>
      </c>
      <c r="D183" s="8" t="s">
        <v>4</v>
      </c>
      <c r="E183" s="8" t="s">
        <v>45</v>
      </c>
      <c r="F183" s="8" t="s">
        <v>75</v>
      </c>
    </row>
    <row r="184" spans="1:6" x14ac:dyDescent="0.3">
      <c r="A184" s="19">
        <v>4</v>
      </c>
      <c r="B184" s="19">
        <v>2</v>
      </c>
      <c r="C184" s="19" t="s">
        <v>84</v>
      </c>
      <c r="D184" s="19" t="s">
        <v>44</v>
      </c>
      <c r="E184" s="19" t="s">
        <v>14</v>
      </c>
      <c r="F184" s="19" t="s">
        <v>75</v>
      </c>
    </row>
    <row r="185" spans="1:6" x14ac:dyDescent="0.3">
      <c r="A185" s="8">
        <v>4</v>
      </c>
      <c r="B185" s="8">
        <v>2</v>
      </c>
      <c r="C185" s="8" t="s">
        <v>84</v>
      </c>
      <c r="D185" s="8" t="s">
        <v>4</v>
      </c>
      <c r="E185" s="8" t="s">
        <v>45</v>
      </c>
      <c r="F185" s="8" t="s">
        <v>72</v>
      </c>
    </row>
    <row r="186" spans="1:6" x14ac:dyDescent="0.3">
      <c r="A186" s="19">
        <v>4</v>
      </c>
      <c r="B186" s="19">
        <v>2</v>
      </c>
      <c r="C186" s="19" t="s">
        <v>84</v>
      </c>
      <c r="D186" s="19" t="s">
        <v>44</v>
      </c>
      <c r="E186" s="19" t="s">
        <v>13</v>
      </c>
      <c r="F186" s="19" t="s">
        <v>72</v>
      </c>
    </row>
    <row r="187" spans="1:6" x14ac:dyDescent="0.3">
      <c r="A187" s="19">
        <v>4</v>
      </c>
      <c r="B187" s="15">
        <v>1</v>
      </c>
      <c r="C187" s="15" t="s">
        <v>85</v>
      </c>
      <c r="D187" s="15" t="s">
        <v>33</v>
      </c>
      <c r="E187" s="19" t="s">
        <v>46</v>
      </c>
      <c r="F187" s="19" t="s">
        <v>64</v>
      </c>
    </row>
    <row r="188" spans="1:6" x14ac:dyDescent="0.3">
      <c r="A188" s="8">
        <v>4</v>
      </c>
      <c r="B188" s="15">
        <v>1</v>
      </c>
      <c r="C188" s="15" t="s">
        <v>85</v>
      </c>
      <c r="D188" s="15" t="s">
        <v>33</v>
      </c>
      <c r="E188" s="8" t="s">
        <v>46</v>
      </c>
      <c r="F188" s="8" t="s">
        <v>70</v>
      </c>
    </row>
    <row r="189" spans="1:6" x14ac:dyDescent="0.3">
      <c r="A189" s="8">
        <v>4</v>
      </c>
      <c r="B189" s="8">
        <v>2</v>
      </c>
      <c r="C189" s="8" t="s">
        <v>84</v>
      </c>
      <c r="D189" s="8" t="s">
        <v>4</v>
      </c>
      <c r="E189" s="8" t="s">
        <v>45</v>
      </c>
      <c r="F189" s="8" t="s">
        <v>71</v>
      </c>
    </row>
    <row r="190" spans="1:6" x14ac:dyDescent="0.3">
      <c r="A190" s="19">
        <v>4</v>
      </c>
      <c r="B190" s="19">
        <v>1</v>
      </c>
      <c r="C190" s="19" t="s">
        <v>85</v>
      </c>
      <c r="D190" s="19" t="s">
        <v>44</v>
      </c>
      <c r="E190" s="19" t="s">
        <v>14</v>
      </c>
      <c r="F190" s="19" t="s">
        <v>71</v>
      </c>
    </row>
    <row r="191" spans="1:6" x14ac:dyDescent="0.3">
      <c r="A191" s="8">
        <v>4</v>
      </c>
      <c r="B191" s="8">
        <v>1</v>
      </c>
      <c r="C191" s="8" t="s">
        <v>85</v>
      </c>
      <c r="D191" s="8" t="s">
        <v>4</v>
      </c>
      <c r="E191" s="8" t="s">
        <v>45</v>
      </c>
      <c r="F191" s="8" t="s">
        <v>77</v>
      </c>
    </row>
    <row r="192" spans="1:6" x14ac:dyDescent="0.3">
      <c r="A192" s="19">
        <v>4</v>
      </c>
      <c r="B192" s="19">
        <v>1</v>
      </c>
      <c r="C192" s="19" t="s">
        <v>85</v>
      </c>
      <c r="D192" s="19" t="s">
        <v>44</v>
      </c>
      <c r="E192" s="19" t="s">
        <v>13</v>
      </c>
      <c r="F192" s="19" t="s">
        <v>77</v>
      </c>
    </row>
    <row r="193" spans="1:6" x14ac:dyDescent="0.3">
      <c r="A193" s="8">
        <v>4</v>
      </c>
      <c r="B193" s="15">
        <v>2</v>
      </c>
      <c r="C193" s="15" t="s">
        <v>84</v>
      </c>
      <c r="D193" s="15" t="s">
        <v>33</v>
      </c>
      <c r="E193" s="8" t="s">
        <v>46</v>
      </c>
      <c r="F193" s="8" t="s">
        <v>68</v>
      </c>
    </row>
    <row r="194" spans="1:6" x14ac:dyDescent="0.3">
      <c r="A194" s="34">
        <v>4</v>
      </c>
      <c r="B194" s="35">
        <v>1</v>
      </c>
      <c r="C194" s="35" t="s">
        <v>85</v>
      </c>
      <c r="D194" s="35" t="s">
        <v>33</v>
      </c>
      <c r="E194" s="34" t="s">
        <v>46</v>
      </c>
      <c r="F194" s="34" t="s">
        <v>66</v>
      </c>
    </row>
    <row r="195" spans="1:6" x14ac:dyDescent="0.3">
      <c r="A195" s="6" t="s">
        <v>29</v>
      </c>
      <c r="B195" s="6"/>
      <c r="C195" s="6"/>
      <c r="D195" s="6"/>
      <c r="E195" s="6"/>
      <c r="F195" s="6"/>
    </row>
    <row r="196" spans="1:6" x14ac:dyDescent="0.3">
      <c r="A196" s="16">
        <v>1</v>
      </c>
      <c r="B196" s="16">
        <v>2</v>
      </c>
      <c r="C196" s="16" t="s">
        <v>84</v>
      </c>
      <c r="D196" s="19" t="s">
        <v>4</v>
      </c>
      <c r="E196" s="19" t="s">
        <v>45</v>
      </c>
      <c r="F196" s="19" t="s">
        <v>47</v>
      </c>
    </row>
    <row r="197" spans="1:6" x14ac:dyDescent="0.3">
      <c r="A197" s="11">
        <v>1</v>
      </c>
      <c r="B197" s="11">
        <v>2</v>
      </c>
      <c r="C197" s="11" t="s">
        <v>84</v>
      </c>
      <c r="D197" s="8" t="s">
        <v>44</v>
      </c>
      <c r="E197" s="8" t="s">
        <v>13</v>
      </c>
      <c r="F197" s="8" t="s">
        <v>47</v>
      </c>
    </row>
    <row r="198" spans="1:6" x14ac:dyDescent="0.3">
      <c r="A198" s="16">
        <v>1</v>
      </c>
      <c r="B198" s="18">
        <v>1</v>
      </c>
      <c r="C198" s="17" t="s">
        <v>85</v>
      </c>
      <c r="D198" s="12" t="s">
        <v>33</v>
      </c>
      <c r="E198" s="19" t="s">
        <v>46</v>
      </c>
      <c r="F198" s="19" t="s">
        <v>78</v>
      </c>
    </row>
    <row r="199" spans="1:6" x14ac:dyDescent="0.3">
      <c r="A199" s="11">
        <v>1</v>
      </c>
      <c r="B199" s="11">
        <v>2</v>
      </c>
      <c r="C199" s="11" t="s">
        <v>84</v>
      </c>
      <c r="D199" s="8" t="s">
        <v>4</v>
      </c>
      <c r="E199" s="8" t="s">
        <v>45</v>
      </c>
      <c r="F199" s="8" t="s">
        <v>48</v>
      </c>
    </row>
    <row r="200" spans="1:6" x14ac:dyDescent="0.3">
      <c r="A200" s="16">
        <v>1</v>
      </c>
      <c r="B200" s="16">
        <v>2</v>
      </c>
      <c r="C200" s="16" t="s">
        <v>84</v>
      </c>
      <c r="D200" s="19" t="s">
        <v>44</v>
      </c>
      <c r="E200" s="19" t="s">
        <v>13</v>
      </c>
      <c r="F200" s="19" t="s">
        <v>48</v>
      </c>
    </row>
    <row r="201" spans="1:6" x14ac:dyDescent="0.3">
      <c r="A201" s="11">
        <v>1</v>
      </c>
      <c r="B201" s="18">
        <v>1</v>
      </c>
      <c r="C201" s="18" t="s">
        <v>85</v>
      </c>
      <c r="D201" s="12" t="s">
        <v>33</v>
      </c>
      <c r="E201" s="8" t="s">
        <v>46</v>
      </c>
      <c r="F201" s="8" t="s">
        <v>77</v>
      </c>
    </row>
    <row r="202" spans="1:6" x14ac:dyDescent="0.3">
      <c r="A202" s="16">
        <v>1</v>
      </c>
      <c r="B202" s="16">
        <v>2</v>
      </c>
      <c r="C202" s="16" t="s">
        <v>84</v>
      </c>
      <c r="D202" s="19" t="s">
        <v>4</v>
      </c>
      <c r="E202" s="19" t="s">
        <v>45</v>
      </c>
      <c r="F202" s="19" t="s">
        <v>49</v>
      </c>
    </row>
    <row r="203" spans="1:6" x14ac:dyDescent="0.3">
      <c r="A203" s="11">
        <v>1</v>
      </c>
      <c r="B203" s="11">
        <v>1</v>
      </c>
      <c r="C203" s="11" t="s">
        <v>85</v>
      </c>
      <c r="D203" s="8" t="s">
        <v>44</v>
      </c>
      <c r="E203" s="8" t="s">
        <v>14</v>
      </c>
      <c r="F203" s="8" t="s">
        <v>49</v>
      </c>
    </row>
    <row r="204" spans="1:6" x14ac:dyDescent="0.3">
      <c r="A204" s="16">
        <v>1</v>
      </c>
      <c r="B204" s="16">
        <v>1</v>
      </c>
      <c r="C204" s="16" t="s">
        <v>85</v>
      </c>
      <c r="D204" s="19" t="s">
        <v>4</v>
      </c>
      <c r="E204" s="19" t="s">
        <v>45</v>
      </c>
      <c r="F204" s="19" t="s">
        <v>50</v>
      </c>
    </row>
    <row r="205" spans="1:6" x14ac:dyDescent="0.3">
      <c r="A205" s="11">
        <v>1</v>
      </c>
      <c r="B205" s="11">
        <v>2</v>
      </c>
      <c r="C205" s="11" t="s">
        <v>84</v>
      </c>
      <c r="D205" s="8" t="s">
        <v>44</v>
      </c>
      <c r="E205" s="8" t="s">
        <v>14</v>
      </c>
      <c r="F205" s="8" t="s">
        <v>50</v>
      </c>
    </row>
    <row r="206" spans="1:6" x14ac:dyDescent="0.3">
      <c r="A206" s="16">
        <v>1</v>
      </c>
      <c r="B206" s="18">
        <v>2</v>
      </c>
      <c r="C206" s="17" t="s">
        <v>84</v>
      </c>
      <c r="D206" s="12" t="s">
        <v>33</v>
      </c>
      <c r="E206" s="19" t="s">
        <v>46</v>
      </c>
      <c r="F206" s="19" t="s">
        <v>76</v>
      </c>
    </row>
    <row r="207" spans="1:6" x14ac:dyDescent="0.3">
      <c r="A207" s="11">
        <v>1</v>
      </c>
      <c r="B207" s="11">
        <v>2</v>
      </c>
      <c r="C207" s="11" t="s">
        <v>84</v>
      </c>
      <c r="D207" s="8" t="s">
        <v>4</v>
      </c>
      <c r="E207" s="8" t="s">
        <v>45</v>
      </c>
      <c r="F207" s="8" t="s">
        <v>51</v>
      </c>
    </row>
    <row r="208" spans="1:6" x14ac:dyDescent="0.3">
      <c r="A208" s="16">
        <v>1</v>
      </c>
      <c r="B208" s="16">
        <v>1</v>
      </c>
      <c r="C208" s="16" t="s">
        <v>85</v>
      </c>
      <c r="D208" s="19" t="s">
        <v>44</v>
      </c>
      <c r="E208" s="19" t="s">
        <v>14</v>
      </c>
      <c r="F208" s="19" t="s">
        <v>51</v>
      </c>
    </row>
    <row r="209" spans="1:6" x14ac:dyDescent="0.3">
      <c r="A209" s="11">
        <v>1</v>
      </c>
      <c r="B209" s="18">
        <v>2</v>
      </c>
      <c r="C209" s="18" t="s">
        <v>84</v>
      </c>
      <c r="D209" s="12" t="s">
        <v>33</v>
      </c>
      <c r="E209" s="8" t="s">
        <v>46</v>
      </c>
      <c r="F209" s="8" t="s">
        <v>75</v>
      </c>
    </row>
    <row r="210" spans="1:6" x14ac:dyDescent="0.3">
      <c r="A210" s="16">
        <v>1</v>
      </c>
      <c r="B210" s="16">
        <v>1</v>
      </c>
      <c r="C210" s="16" t="s">
        <v>85</v>
      </c>
      <c r="D210" s="19" t="s">
        <v>4</v>
      </c>
      <c r="E210" s="19" t="s">
        <v>45</v>
      </c>
      <c r="F210" s="19" t="s">
        <v>52</v>
      </c>
    </row>
    <row r="211" spans="1:6" x14ac:dyDescent="0.3">
      <c r="A211" s="11">
        <v>1</v>
      </c>
      <c r="B211" s="11">
        <v>1</v>
      </c>
      <c r="C211" s="11" t="s">
        <v>85</v>
      </c>
      <c r="D211" s="8" t="s">
        <v>44</v>
      </c>
      <c r="E211" s="8" t="s">
        <v>13</v>
      </c>
      <c r="F211" s="8" t="s">
        <v>52</v>
      </c>
    </row>
    <row r="212" spans="1:6" x14ac:dyDescent="0.3">
      <c r="A212" s="16">
        <v>1</v>
      </c>
      <c r="B212" s="18">
        <v>2</v>
      </c>
      <c r="C212" s="17" t="s">
        <v>84</v>
      </c>
      <c r="D212" s="12" t="s">
        <v>33</v>
      </c>
      <c r="E212" s="19" t="s">
        <v>46</v>
      </c>
      <c r="F212" s="19" t="s">
        <v>74</v>
      </c>
    </row>
    <row r="213" spans="1:6" x14ac:dyDescent="0.3">
      <c r="A213" s="11">
        <v>1</v>
      </c>
      <c r="B213" s="11">
        <v>1</v>
      </c>
      <c r="C213" s="11" t="s">
        <v>85</v>
      </c>
      <c r="D213" s="8" t="s">
        <v>4</v>
      </c>
      <c r="E213" s="8" t="s">
        <v>45</v>
      </c>
      <c r="F213" s="8" t="s">
        <v>53</v>
      </c>
    </row>
    <row r="214" spans="1:6" x14ac:dyDescent="0.3">
      <c r="A214" s="16">
        <v>1</v>
      </c>
      <c r="B214" s="16">
        <v>1</v>
      </c>
      <c r="C214" s="16" t="s">
        <v>85</v>
      </c>
      <c r="D214" s="19" t="s">
        <v>44</v>
      </c>
      <c r="E214" s="19" t="s">
        <v>13</v>
      </c>
      <c r="F214" s="19" t="s">
        <v>53</v>
      </c>
    </row>
    <row r="215" spans="1:6" x14ac:dyDescent="0.3">
      <c r="A215" s="11">
        <v>1</v>
      </c>
      <c r="B215" s="18">
        <v>2</v>
      </c>
      <c r="C215" s="18" t="s">
        <v>84</v>
      </c>
      <c r="D215" s="12" t="s">
        <v>33</v>
      </c>
      <c r="E215" s="8" t="s">
        <v>46</v>
      </c>
      <c r="F215" s="8" t="s">
        <v>73</v>
      </c>
    </row>
    <row r="216" spans="1:6" x14ac:dyDescent="0.3">
      <c r="A216" s="16">
        <v>1</v>
      </c>
      <c r="B216" s="16">
        <v>1</v>
      </c>
      <c r="C216" s="16" t="s">
        <v>85</v>
      </c>
      <c r="D216" s="19" t="s">
        <v>4</v>
      </c>
      <c r="E216" s="19" t="s">
        <v>45</v>
      </c>
      <c r="F216" s="19" t="s">
        <v>54</v>
      </c>
    </row>
    <row r="217" spans="1:6" x14ac:dyDescent="0.3">
      <c r="A217" s="11">
        <v>1</v>
      </c>
      <c r="B217" s="11">
        <v>2</v>
      </c>
      <c r="C217" s="11" t="s">
        <v>84</v>
      </c>
      <c r="D217" s="8" t="s">
        <v>44</v>
      </c>
      <c r="E217" s="8" t="s">
        <v>14</v>
      </c>
      <c r="F217" s="8" t="s">
        <v>54</v>
      </c>
    </row>
    <row r="218" spans="1:6" x14ac:dyDescent="0.3">
      <c r="A218" s="16">
        <v>1</v>
      </c>
      <c r="B218" s="18">
        <v>1</v>
      </c>
      <c r="C218" s="17" t="s">
        <v>85</v>
      </c>
      <c r="D218" s="12" t="s">
        <v>33</v>
      </c>
      <c r="E218" s="19" t="s">
        <v>46</v>
      </c>
      <c r="F218" s="19" t="s">
        <v>72</v>
      </c>
    </row>
    <row r="219" spans="1:6" x14ac:dyDescent="0.3">
      <c r="A219" s="11">
        <v>1</v>
      </c>
      <c r="B219" s="18">
        <v>1</v>
      </c>
      <c r="C219" s="18" t="s">
        <v>85</v>
      </c>
      <c r="D219" s="12" t="s">
        <v>33</v>
      </c>
      <c r="E219" s="8" t="s">
        <v>46</v>
      </c>
      <c r="F219" s="8" t="s">
        <v>71</v>
      </c>
    </row>
    <row r="220" spans="1:6" x14ac:dyDescent="0.3">
      <c r="A220" s="31">
        <v>2</v>
      </c>
      <c r="B220" s="13">
        <v>2</v>
      </c>
      <c r="C220" s="13" t="s">
        <v>84</v>
      </c>
      <c r="D220" s="13" t="s">
        <v>33</v>
      </c>
      <c r="E220" s="31" t="s">
        <v>46</v>
      </c>
      <c r="F220" s="31" t="s">
        <v>47</v>
      </c>
    </row>
    <row r="221" spans="1:6" x14ac:dyDescent="0.3">
      <c r="A221" s="19">
        <v>2</v>
      </c>
      <c r="B221" s="16">
        <v>1</v>
      </c>
      <c r="C221" s="16" t="s">
        <v>85</v>
      </c>
      <c r="D221" s="19" t="s">
        <v>4</v>
      </c>
      <c r="E221" s="19" t="s">
        <v>45</v>
      </c>
      <c r="F221" s="19" t="s">
        <v>62</v>
      </c>
    </row>
    <row r="222" spans="1:6" x14ac:dyDescent="0.3">
      <c r="A222" s="31">
        <v>2</v>
      </c>
      <c r="B222" s="32">
        <v>1</v>
      </c>
      <c r="C222" s="32" t="s">
        <v>85</v>
      </c>
      <c r="D222" s="31" t="s">
        <v>44</v>
      </c>
      <c r="E222" s="31" t="s">
        <v>13</v>
      </c>
      <c r="F222" s="31" t="s">
        <v>62</v>
      </c>
    </row>
    <row r="223" spans="1:6" x14ac:dyDescent="0.3">
      <c r="A223" s="19">
        <v>2</v>
      </c>
      <c r="B223" s="13">
        <v>2</v>
      </c>
      <c r="C223" s="13" t="s">
        <v>84</v>
      </c>
      <c r="D223" s="13" t="s">
        <v>33</v>
      </c>
      <c r="E223" s="19" t="s">
        <v>46</v>
      </c>
      <c r="F223" s="19" t="s">
        <v>48</v>
      </c>
    </row>
    <row r="224" spans="1:6" x14ac:dyDescent="0.3">
      <c r="A224" s="19">
        <v>2</v>
      </c>
      <c r="B224" s="16">
        <v>1</v>
      </c>
      <c r="C224" s="32" t="s">
        <v>85</v>
      </c>
      <c r="D224" s="19" t="s">
        <v>4</v>
      </c>
      <c r="E224" s="19" t="s">
        <v>45</v>
      </c>
      <c r="F224" s="19" t="s">
        <v>61</v>
      </c>
    </row>
    <row r="225" spans="1:6" x14ac:dyDescent="0.3">
      <c r="A225" s="8">
        <v>2</v>
      </c>
      <c r="B225" s="11">
        <v>1</v>
      </c>
      <c r="C225" s="11" t="s">
        <v>85</v>
      </c>
      <c r="D225" s="8" t="s">
        <v>44</v>
      </c>
      <c r="E225" s="8" t="s">
        <v>13</v>
      </c>
      <c r="F225" s="8" t="s">
        <v>61</v>
      </c>
    </row>
    <row r="226" spans="1:6" x14ac:dyDescent="0.3">
      <c r="A226" s="19">
        <v>2</v>
      </c>
      <c r="B226" s="16">
        <v>1</v>
      </c>
      <c r="C226" s="32" t="s">
        <v>85</v>
      </c>
      <c r="D226" s="19" t="s">
        <v>4</v>
      </c>
      <c r="E226" s="19" t="s">
        <v>45</v>
      </c>
      <c r="F226" s="19" t="s">
        <v>60</v>
      </c>
    </row>
    <row r="227" spans="1:6" x14ac:dyDescent="0.3">
      <c r="A227" s="8">
        <v>2</v>
      </c>
      <c r="B227" s="11">
        <v>2</v>
      </c>
      <c r="C227" s="11" t="s">
        <v>84</v>
      </c>
      <c r="D227" s="8" t="s">
        <v>44</v>
      </c>
      <c r="E227" s="8" t="s">
        <v>14</v>
      </c>
      <c r="F227" s="8" t="s">
        <v>60</v>
      </c>
    </row>
    <row r="228" spans="1:6" x14ac:dyDescent="0.3">
      <c r="A228" s="19">
        <v>2</v>
      </c>
      <c r="B228" s="16">
        <v>2</v>
      </c>
      <c r="C228" s="32" t="s">
        <v>84</v>
      </c>
      <c r="D228" s="19" t="s">
        <v>4</v>
      </c>
      <c r="E228" s="19" t="s">
        <v>45</v>
      </c>
      <c r="F228" s="19" t="s">
        <v>59</v>
      </c>
    </row>
    <row r="229" spans="1:6" x14ac:dyDescent="0.3">
      <c r="A229" s="8">
        <v>2</v>
      </c>
      <c r="B229" s="11">
        <v>1</v>
      </c>
      <c r="C229" s="11" t="s">
        <v>85</v>
      </c>
      <c r="D229" s="8" t="s">
        <v>44</v>
      </c>
      <c r="E229" s="8" t="s">
        <v>14</v>
      </c>
      <c r="F229" s="8" t="s">
        <v>59</v>
      </c>
    </row>
    <row r="230" spans="1:6" x14ac:dyDescent="0.3">
      <c r="A230" s="31">
        <v>2</v>
      </c>
      <c r="B230" s="13">
        <v>2</v>
      </c>
      <c r="C230" s="13" t="s">
        <v>84</v>
      </c>
      <c r="D230" s="13" t="s">
        <v>33</v>
      </c>
      <c r="E230" s="31" t="s">
        <v>46</v>
      </c>
      <c r="F230" s="31" t="s">
        <v>49</v>
      </c>
    </row>
    <row r="231" spans="1:6" x14ac:dyDescent="0.3">
      <c r="A231" s="19">
        <v>2</v>
      </c>
      <c r="B231" s="16">
        <v>1</v>
      </c>
      <c r="C231" s="11" t="s">
        <v>85</v>
      </c>
      <c r="D231" s="19" t="s">
        <v>4</v>
      </c>
      <c r="E231" s="19" t="s">
        <v>45</v>
      </c>
      <c r="F231" s="19" t="s">
        <v>58</v>
      </c>
    </row>
    <row r="232" spans="1:6" x14ac:dyDescent="0.3">
      <c r="A232" s="31">
        <v>2</v>
      </c>
      <c r="B232" s="32">
        <v>2</v>
      </c>
      <c r="C232" s="32" t="s">
        <v>84</v>
      </c>
      <c r="D232" s="31" t="s">
        <v>44</v>
      </c>
      <c r="E232" s="31" t="s">
        <v>14</v>
      </c>
      <c r="F232" s="31" t="s">
        <v>58</v>
      </c>
    </row>
    <row r="233" spans="1:6" x14ac:dyDescent="0.3">
      <c r="A233" s="19">
        <v>2</v>
      </c>
      <c r="B233" s="13">
        <v>1</v>
      </c>
      <c r="C233" s="13" t="s">
        <v>85</v>
      </c>
      <c r="D233" s="13" t="s">
        <v>33</v>
      </c>
      <c r="E233" s="19" t="s">
        <v>46</v>
      </c>
      <c r="F233" s="19" t="s">
        <v>50</v>
      </c>
    </row>
    <row r="234" spans="1:6" x14ac:dyDescent="0.3">
      <c r="A234" s="31">
        <v>2</v>
      </c>
      <c r="B234" s="13">
        <v>1</v>
      </c>
      <c r="C234" s="13" t="s">
        <v>85</v>
      </c>
      <c r="D234" s="13" t="s">
        <v>33</v>
      </c>
      <c r="E234" s="31" t="s">
        <v>46</v>
      </c>
      <c r="F234" s="31" t="s">
        <v>51</v>
      </c>
    </row>
    <row r="235" spans="1:6" x14ac:dyDescent="0.3">
      <c r="A235" s="19">
        <v>2</v>
      </c>
      <c r="B235" s="16">
        <v>2</v>
      </c>
      <c r="C235" s="16" t="s">
        <v>84</v>
      </c>
      <c r="D235" s="19" t="s">
        <v>4</v>
      </c>
      <c r="E235" s="19" t="s">
        <v>45</v>
      </c>
      <c r="F235" s="19" t="s">
        <v>57</v>
      </c>
    </row>
    <row r="236" spans="1:6" x14ac:dyDescent="0.3">
      <c r="A236" s="31">
        <v>2</v>
      </c>
      <c r="B236" s="32">
        <v>2</v>
      </c>
      <c r="C236" s="32" t="s">
        <v>84</v>
      </c>
      <c r="D236" s="31" t="s">
        <v>44</v>
      </c>
      <c r="E236" s="31" t="s">
        <v>13</v>
      </c>
      <c r="F236" s="31" t="s">
        <v>57</v>
      </c>
    </row>
    <row r="237" spans="1:6" x14ac:dyDescent="0.3">
      <c r="A237" s="19">
        <v>2</v>
      </c>
      <c r="B237" s="13">
        <v>1</v>
      </c>
      <c r="C237" s="13" t="s">
        <v>85</v>
      </c>
      <c r="D237" s="13" t="s">
        <v>33</v>
      </c>
      <c r="E237" s="19" t="s">
        <v>46</v>
      </c>
      <c r="F237" s="19" t="s">
        <v>52</v>
      </c>
    </row>
    <row r="238" spans="1:6" x14ac:dyDescent="0.3">
      <c r="A238" s="31">
        <v>2</v>
      </c>
      <c r="B238" s="32">
        <v>2</v>
      </c>
      <c r="C238" s="32" t="s">
        <v>84</v>
      </c>
      <c r="D238" s="31" t="s">
        <v>4</v>
      </c>
      <c r="E238" s="31" t="s">
        <v>45</v>
      </c>
      <c r="F238" s="31" t="s">
        <v>56</v>
      </c>
    </row>
    <row r="239" spans="1:6" x14ac:dyDescent="0.3">
      <c r="A239" s="19">
        <v>2</v>
      </c>
      <c r="B239" s="16">
        <v>2</v>
      </c>
      <c r="C239" s="16" t="s">
        <v>84</v>
      </c>
      <c r="D239" s="19" t="s">
        <v>44</v>
      </c>
      <c r="E239" s="19" t="s">
        <v>13</v>
      </c>
      <c r="F239" s="19" t="s">
        <v>56</v>
      </c>
    </row>
    <row r="240" spans="1:6" x14ac:dyDescent="0.3">
      <c r="A240" s="31">
        <v>2</v>
      </c>
      <c r="B240" s="13">
        <v>2</v>
      </c>
      <c r="C240" s="13" t="s">
        <v>84</v>
      </c>
      <c r="D240" s="13" t="s">
        <v>33</v>
      </c>
      <c r="E240" s="31" t="s">
        <v>46</v>
      </c>
      <c r="F240" s="31" t="s">
        <v>53</v>
      </c>
    </row>
    <row r="241" spans="1:6" x14ac:dyDescent="0.3">
      <c r="A241" s="19">
        <v>2</v>
      </c>
      <c r="B241" s="13">
        <v>1</v>
      </c>
      <c r="C241" s="13" t="s">
        <v>85</v>
      </c>
      <c r="D241" s="13" t="s">
        <v>33</v>
      </c>
      <c r="E241" s="19" t="s">
        <v>46</v>
      </c>
      <c r="F241" s="19" t="s">
        <v>54</v>
      </c>
    </row>
    <row r="242" spans="1:6" x14ac:dyDescent="0.3">
      <c r="A242" s="31">
        <v>2</v>
      </c>
      <c r="B242" s="32">
        <v>2</v>
      </c>
      <c r="C242" s="32" t="s">
        <v>84</v>
      </c>
      <c r="D242" s="31" t="s">
        <v>4</v>
      </c>
      <c r="E242" s="31" t="s">
        <v>45</v>
      </c>
      <c r="F242" s="31" t="s">
        <v>55</v>
      </c>
    </row>
    <row r="243" spans="1:6" x14ac:dyDescent="0.3">
      <c r="A243" s="19">
        <v>2</v>
      </c>
      <c r="B243" s="16">
        <v>1</v>
      </c>
      <c r="C243" s="16" t="s">
        <v>85</v>
      </c>
      <c r="D243" s="19" t="s">
        <v>44</v>
      </c>
      <c r="E243" s="19" t="s">
        <v>14</v>
      </c>
      <c r="F243" s="19" t="s">
        <v>55</v>
      </c>
    </row>
    <row r="244" spans="1:6" x14ac:dyDescent="0.3">
      <c r="A244" s="16">
        <v>3</v>
      </c>
      <c r="B244" s="16">
        <v>1</v>
      </c>
      <c r="C244" s="16" t="s">
        <v>85</v>
      </c>
      <c r="D244" s="19" t="s">
        <v>4</v>
      </c>
      <c r="E244" s="19" t="s">
        <v>45</v>
      </c>
      <c r="F244" s="19" t="s">
        <v>63</v>
      </c>
    </row>
    <row r="245" spans="1:6" x14ac:dyDescent="0.3">
      <c r="A245" s="11">
        <v>3</v>
      </c>
      <c r="B245" s="11">
        <v>2</v>
      </c>
      <c r="C245" s="11" t="s">
        <v>84</v>
      </c>
      <c r="D245" s="8" t="s">
        <v>44</v>
      </c>
      <c r="E245" s="8" t="s">
        <v>14</v>
      </c>
      <c r="F245" s="8" t="s">
        <v>63</v>
      </c>
    </row>
    <row r="246" spans="1:6" x14ac:dyDescent="0.3">
      <c r="A246" s="16">
        <v>3</v>
      </c>
      <c r="B246" s="16">
        <v>2</v>
      </c>
      <c r="C246" s="16" t="s">
        <v>84</v>
      </c>
      <c r="D246" s="19" t="s">
        <v>4</v>
      </c>
      <c r="E246" s="19" t="s">
        <v>45</v>
      </c>
      <c r="F246" s="19" t="s">
        <v>64</v>
      </c>
    </row>
    <row r="247" spans="1:6" x14ac:dyDescent="0.3">
      <c r="A247" s="11">
        <v>3</v>
      </c>
      <c r="B247" s="11">
        <v>1</v>
      </c>
      <c r="C247" s="11" t="s">
        <v>85</v>
      </c>
      <c r="D247" s="8" t="s">
        <v>44</v>
      </c>
      <c r="E247" s="8" t="s">
        <v>14</v>
      </c>
      <c r="F247" s="8" t="s">
        <v>64</v>
      </c>
    </row>
    <row r="248" spans="1:6" x14ac:dyDescent="0.3">
      <c r="A248" s="16">
        <v>3</v>
      </c>
      <c r="B248" s="14">
        <v>1</v>
      </c>
      <c r="C248" s="14" t="s">
        <v>85</v>
      </c>
      <c r="D248" s="14" t="s">
        <v>33</v>
      </c>
      <c r="E248" s="19" t="s">
        <v>46</v>
      </c>
      <c r="F248" s="19" t="s">
        <v>62</v>
      </c>
    </row>
    <row r="249" spans="1:6" x14ac:dyDescent="0.3">
      <c r="A249" s="11">
        <v>3</v>
      </c>
      <c r="B249" s="11">
        <v>1</v>
      </c>
      <c r="C249" s="11" t="s">
        <v>85</v>
      </c>
      <c r="D249" s="8" t="s">
        <v>4</v>
      </c>
      <c r="E249" s="8" t="s">
        <v>45</v>
      </c>
      <c r="F249" s="8" t="s">
        <v>65</v>
      </c>
    </row>
    <row r="250" spans="1:6" x14ac:dyDescent="0.3">
      <c r="A250" s="16">
        <v>3</v>
      </c>
      <c r="B250" s="16">
        <v>2</v>
      </c>
      <c r="C250" s="16" t="s">
        <v>84</v>
      </c>
      <c r="D250" s="19" t="s">
        <v>44</v>
      </c>
      <c r="E250" s="19" t="s">
        <v>14</v>
      </c>
      <c r="F250" s="19" t="s">
        <v>65</v>
      </c>
    </row>
    <row r="251" spans="1:6" x14ac:dyDescent="0.3">
      <c r="A251" s="11">
        <v>3</v>
      </c>
      <c r="B251" s="14">
        <v>1</v>
      </c>
      <c r="C251" s="14" t="s">
        <v>85</v>
      </c>
      <c r="D251" s="14" t="s">
        <v>33</v>
      </c>
      <c r="E251" s="8" t="s">
        <v>46</v>
      </c>
      <c r="F251" s="8" t="s">
        <v>61</v>
      </c>
    </row>
    <row r="252" spans="1:6" x14ac:dyDescent="0.3">
      <c r="A252" s="16">
        <v>3</v>
      </c>
      <c r="B252" s="16">
        <v>2</v>
      </c>
      <c r="C252" s="16" t="s">
        <v>84</v>
      </c>
      <c r="D252" s="19" t="s">
        <v>4</v>
      </c>
      <c r="E252" s="19" t="s">
        <v>45</v>
      </c>
      <c r="F252" s="19" t="s">
        <v>66</v>
      </c>
    </row>
    <row r="253" spans="1:6" x14ac:dyDescent="0.3">
      <c r="A253" s="11">
        <v>3</v>
      </c>
      <c r="B253" s="11">
        <v>2</v>
      </c>
      <c r="C253" s="11" t="s">
        <v>84</v>
      </c>
      <c r="D253" s="8" t="s">
        <v>44</v>
      </c>
      <c r="E253" s="8" t="s">
        <v>13</v>
      </c>
      <c r="F253" s="8" t="s">
        <v>66</v>
      </c>
    </row>
    <row r="254" spans="1:6" x14ac:dyDescent="0.3">
      <c r="A254" s="16">
        <v>3</v>
      </c>
      <c r="B254" s="14">
        <v>2</v>
      </c>
      <c r="C254" s="14" t="s">
        <v>84</v>
      </c>
      <c r="D254" s="14" t="s">
        <v>33</v>
      </c>
      <c r="E254" s="19" t="s">
        <v>46</v>
      </c>
      <c r="F254" s="19" t="s">
        <v>60</v>
      </c>
    </row>
    <row r="255" spans="1:6" x14ac:dyDescent="0.3">
      <c r="A255" s="11">
        <v>3</v>
      </c>
      <c r="B255" s="14">
        <v>1</v>
      </c>
      <c r="C255" s="14" t="s">
        <v>85</v>
      </c>
      <c r="D255" s="14" t="s">
        <v>33</v>
      </c>
      <c r="E255" s="8" t="s">
        <v>46</v>
      </c>
      <c r="F255" s="8" t="s">
        <v>59</v>
      </c>
    </row>
    <row r="256" spans="1:6" x14ac:dyDescent="0.3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58</v>
      </c>
    </row>
    <row r="257" spans="1:6" x14ac:dyDescent="0.3">
      <c r="A257" s="11">
        <v>3</v>
      </c>
      <c r="B257" s="11">
        <v>2</v>
      </c>
      <c r="C257" s="11" t="s">
        <v>84</v>
      </c>
      <c r="D257" s="8" t="s">
        <v>4</v>
      </c>
      <c r="E257" s="8" t="s">
        <v>45</v>
      </c>
      <c r="F257" s="8" t="s">
        <v>67</v>
      </c>
    </row>
    <row r="258" spans="1:6" x14ac:dyDescent="0.3">
      <c r="A258" s="16">
        <v>3</v>
      </c>
      <c r="B258" s="16">
        <v>2</v>
      </c>
      <c r="C258" s="16" t="s">
        <v>84</v>
      </c>
      <c r="D258" s="19" t="s">
        <v>44</v>
      </c>
      <c r="E258" s="19" t="s">
        <v>13</v>
      </c>
      <c r="F258" s="19" t="s">
        <v>67</v>
      </c>
    </row>
    <row r="259" spans="1:6" x14ac:dyDescent="0.3">
      <c r="A259" s="11">
        <v>3</v>
      </c>
      <c r="B259" s="11">
        <v>2</v>
      </c>
      <c r="C259" s="11" t="s">
        <v>84</v>
      </c>
      <c r="D259" s="8" t="s">
        <v>4</v>
      </c>
      <c r="E259" s="8" t="s">
        <v>45</v>
      </c>
      <c r="F259" s="8" t="s">
        <v>68</v>
      </c>
    </row>
    <row r="260" spans="1:6" x14ac:dyDescent="0.3">
      <c r="A260" s="16">
        <v>3</v>
      </c>
      <c r="B260" s="16">
        <v>1</v>
      </c>
      <c r="C260" s="16" t="s">
        <v>85</v>
      </c>
      <c r="D260" s="19" t="s">
        <v>44</v>
      </c>
      <c r="E260" s="19" t="s">
        <v>14</v>
      </c>
      <c r="F260" s="19" t="s">
        <v>68</v>
      </c>
    </row>
    <row r="261" spans="1:6" x14ac:dyDescent="0.3">
      <c r="A261" s="11">
        <v>3</v>
      </c>
      <c r="B261" s="14">
        <v>2</v>
      </c>
      <c r="C261" s="14" t="s">
        <v>84</v>
      </c>
      <c r="D261" s="14" t="s">
        <v>33</v>
      </c>
      <c r="E261" s="8" t="s">
        <v>46</v>
      </c>
      <c r="F261" s="8" t="s">
        <v>57</v>
      </c>
    </row>
    <row r="262" spans="1:6" x14ac:dyDescent="0.3">
      <c r="A262" s="16">
        <v>3</v>
      </c>
      <c r="B262" s="16">
        <v>1</v>
      </c>
      <c r="C262" s="16" t="s">
        <v>85</v>
      </c>
      <c r="D262" s="19" t="s">
        <v>4</v>
      </c>
      <c r="E262" s="19" t="s">
        <v>45</v>
      </c>
      <c r="F262" s="19" t="s">
        <v>69</v>
      </c>
    </row>
    <row r="263" spans="1:6" x14ac:dyDescent="0.3">
      <c r="A263" s="11">
        <v>3</v>
      </c>
      <c r="B263" s="11">
        <v>1</v>
      </c>
      <c r="C263" s="11" t="s">
        <v>85</v>
      </c>
      <c r="D263" s="8" t="s">
        <v>44</v>
      </c>
      <c r="E263" s="8" t="s">
        <v>13</v>
      </c>
      <c r="F263" s="8" t="s">
        <v>69</v>
      </c>
    </row>
    <row r="264" spans="1:6" x14ac:dyDescent="0.3">
      <c r="A264" s="16">
        <v>3</v>
      </c>
      <c r="B264" s="14">
        <v>2</v>
      </c>
      <c r="C264" s="14" t="s">
        <v>84</v>
      </c>
      <c r="D264" s="14" t="s">
        <v>33</v>
      </c>
      <c r="E264" s="19" t="s">
        <v>46</v>
      </c>
      <c r="F264" s="19" t="s">
        <v>56</v>
      </c>
    </row>
    <row r="265" spans="1:6" x14ac:dyDescent="0.3">
      <c r="A265" s="11">
        <v>3</v>
      </c>
      <c r="B265" s="14">
        <v>2</v>
      </c>
      <c r="C265" s="14" t="s">
        <v>84</v>
      </c>
      <c r="D265" s="14" t="s">
        <v>33</v>
      </c>
      <c r="E265" s="8" t="s">
        <v>46</v>
      </c>
      <c r="F265" s="8" t="s">
        <v>55</v>
      </c>
    </row>
    <row r="266" spans="1:6" x14ac:dyDescent="0.3">
      <c r="A266" s="16">
        <v>3</v>
      </c>
      <c r="B266" s="16">
        <v>1</v>
      </c>
      <c r="C266" s="16" t="s">
        <v>85</v>
      </c>
      <c r="D266" s="19" t="s">
        <v>4</v>
      </c>
      <c r="E266" s="19" t="s">
        <v>45</v>
      </c>
      <c r="F266" s="19" t="s">
        <v>70</v>
      </c>
    </row>
    <row r="267" spans="1:6" x14ac:dyDescent="0.3">
      <c r="A267" s="11">
        <v>3</v>
      </c>
      <c r="B267" s="11">
        <v>1</v>
      </c>
      <c r="C267" s="11" t="s">
        <v>85</v>
      </c>
      <c r="D267" s="8" t="s">
        <v>44</v>
      </c>
      <c r="E267" s="8" t="s">
        <v>13</v>
      </c>
      <c r="F267" s="8" t="s">
        <v>70</v>
      </c>
    </row>
    <row r="268" spans="1:6" x14ac:dyDescent="0.3">
      <c r="A268" s="31">
        <v>4</v>
      </c>
      <c r="B268" s="15">
        <v>2</v>
      </c>
      <c r="C268" s="15" t="s">
        <v>84</v>
      </c>
      <c r="D268" s="15" t="s">
        <v>33</v>
      </c>
      <c r="E268" s="31" t="s">
        <v>46</v>
      </c>
      <c r="F268" s="31" t="s">
        <v>63</v>
      </c>
    </row>
    <row r="269" spans="1:6" x14ac:dyDescent="0.3">
      <c r="A269" s="19">
        <v>4</v>
      </c>
      <c r="B269" s="16">
        <v>1</v>
      </c>
      <c r="C269" s="16" t="s">
        <v>85</v>
      </c>
      <c r="D269" s="19" t="s">
        <v>4</v>
      </c>
      <c r="E269" s="19" t="s">
        <v>45</v>
      </c>
      <c r="F269" s="19" t="s">
        <v>78</v>
      </c>
    </row>
    <row r="270" spans="1:6" x14ac:dyDescent="0.3">
      <c r="A270" s="31">
        <v>4</v>
      </c>
      <c r="B270" s="32">
        <v>1</v>
      </c>
      <c r="C270" s="32" t="s">
        <v>85</v>
      </c>
      <c r="D270" s="31" t="s">
        <v>44</v>
      </c>
      <c r="E270" s="31" t="s">
        <v>13</v>
      </c>
      <c r="F270" s="31" t="s">
        <v>78</v>
      </c>
    </row>
    <row r="271" spans="1:6" x14ac:dyDescent="0.3">
      <c r="A271" s="19">
        <v>4</v>
      </c>
      <c r="B271" s="16">
        <v>1</v>
      </c>
      <c r="C271" s="16" t="s">
        <v>85</v>
      </c>
      <c r="D271" s="19" t="s">
        <v>4</v>
      </c>
      <c r="E271" s="19" t="s">
        <v>45</v>
      </c>
      <c r="F271" s="19" t="s">
        <v>77</v>
      </c>
    </row>
    <row r="272" spans="1:6" x14ac:dyDescent="0.3">
      <c r="A272" s="31">
        <v>4</v>
      </c>
      <c r="B272" s="32">
        <v>2</v>
      </c>
      <c r="C272" s="32" t="s">
        <v>84</v>
      </c>
      <c r="D272" s="31" t="s">
        <v>44</v>
      </c>
      <c r="E272" s="31" t="s">
        <v>14</v>
      </c>
      <c r="F272" s="31" t="s">
        <v>77</v>
      </c>
    </row>
    <row r="273" spans="1:6" x14ac:dyDescent="0.3">
      <c r="A273" s="19">
        <v>4</v>
      </c>
      <c r="B273" s="15">
        <v>1</v>
      </c>
      <c r="C273" s="15" t="s">
        <v>85</v>
      </c>
      <c r="D273" s="15" t="s">
        <v>33</v>
      </c>
      <c r="E273" s="19" t="s">
        <v>46</v>
      </c>
      <c r="F273" s="19" t="s">
        <v>64</v>
      </c>
    </row>
    <row r="274" spans="1:6" x14ac:dyDescent="0.3">
      <c r="A274" s="31">
        <v>4</v>
      </c>
      <c r="B274" s="15">
        <v>1</v>
      </c>
      <c r="C274" s="15" t="s">
        <v>85</v>
      </c>
      <c r="D274" s="15" t="s">
        <v>33</v>
      </c>
      <c r="E274" s="31" t="s">
        <v>46</v>
      </c>
      <c r="F274" s="31" t="s">
        <v>65</v>
      </c>
    </row>
    <row r="275" spans="1:6" x14ac:dyDescent="0.3">
      <c r="A275" s="19">
        <v>4</v>
      </c>
      <c r="B275" s="16">
        <v>2</v>
      </c>
      <c r="C275" s="16" t="s">
        <v>84</v>
      </c>
      <c r="D275" s="19" t="s">
        <v>4</v>
      </c>
      <c r="E275" s="19" t="s">
        <v>45</v>
      </c>
      <c r="F275" s="19" t="s">
        <v>76</v>
      </c>
    </row>
    <row r="276" spans="1:6" x14ac:dyDescent="0.3">
      <c r="A276" s="31">
        <v>4</v>
      </c>
      <c r="B276" s="32">
        <v>2</v>
      </c>
      <c r="C276" s="32" t="s">
        <v>84</v>
      </c>
      <c r="D276" s="31" t="s">
        <v>44</v>
      </c>
      <c r="E276" s="31" t="s">
        <v>13</v>
      </c>
      <c r="F276" s="31" t="s">
        <v>76</v>
      </c>
    </row>
    <row r="277" spans="1:6" x14ac:dyDescent="0.3">
      <c r="A277" s="19">
        <v>4</v>
      </c>
      <c r="B277" s="16">
        <v>2</v>
      </c>
      <c r="C277" s="16" t="s">
        <v>84</v>
      </c>
      <c r="D277" s="19" t="s">
        <v>4</v>
      </c>
      <c r="E277" s="19" t="s">
        <v>45</v>
      </c>
      <c r="F277" s="19" t="s">
        <v>75</v>
      </c>
    </row>
    <row r="278" spans="1:6" x14ac:dyDescent="0.3">
      <c r="A278" s="31">
        <v>4</v>
      </c>
      <c r="B278" s="32">
        <v>1</v>
      </c>
      <c r="C278" s="32" t="s">
        <v>85</v>
      </c>
      <c r="D278" s="31" t="s">
        <v>44</v>
      </c>
      <c r="E278" s="31" t="s">
        <v>14</v>
      </c>
      <c r="F278" s="31" t="s">
        <v>75</v>
      </c>
    </row>
    <row r="279" spans="1:6" x14ac:dyDescent="0.3">
      <c r="A279" s="19">
        <v>4</v>
      </c>
      <c r="B279" s="15">
        <v>2</v>
      </c>
      <c r="C279" s="15" t="s">
        <v>84</v>
      </c>
      <c r="D279" s="15" t="s">
        <v>33</v>
      </c>
      <c r="E279" s="19" t="s">
        <v>46</v>
      </c>
      <c r="F279" s="19" t="s">
        <v>66</v>
      </c>
    </row>
    <row r="280" spans="1:6" x14ac:dyDescent="0.3">
      <c r="A280" s="31">
        <v>4</v>
      </c>
      <c r="B280" s="32">
        <v>1</v>
      </c>
      <c r="C280" s="32" t="s">
        <v>85</v>
      </c>
      <c r="D280" s="31" t="s">
        <v>4</v>
      </c>
      <c r="E280" s="31" t="s">
        <v>45</v>
      </c>
      <c r="F280" s="31" t="s">
        <v>74</v>
      </c>
    </row>
    <row r="281" spans="1:6" x14ac:dyDescent="0.3">
      <c r="A281" s="19">
        <v>4</v>
      </c>
      <c r="B281" s="16">
        <v>2</v>
      </c>
      <c r="C281" s="16" t="s">
        <v>84</v>
      </c>
      <c r="D281" s="19" t="s">
        <v>44</v>
      </c>
      <c r="E281" s="19" t="s">
        <v>14</v>
      </c>
      <c r="F281" s="19" t="s">
        <v>74</v>
      </c>
    </row>
    <row r="282" spans="1:6" x14ac:dyDescent="0.3">
      <c r="A282" s="31">
        <v>4</v>
      </c>
      <c r="B282" s="32">
        <v>2</v>
      </c>
      <c r="C282" s="32" t="s">
        <v>84</v>
      </c>
      <c r="D282" s="31" t="s">
        <v>4</v>
      </c>
      <c r="E282" s="31" t="s">
        <v>45</v>
      </c>
      <c r="F282" s="31" t="s">
        <v>73</v>
      </c>
    </row>
    <row r="283" spans="1:6" x14ac:dyDescent="0.3">
      <c r="A283" s="19">
        <v>4</v>
      </c>
      <c r="B283" s="16">
        <v>2</v>
      </c>
      <c r="C283" s="16" t="s">
        <v>84</v>
      </c>
      <c r="D283" s="19" t="s">
        <v>44</v>
      </c>
      <c r="E283" s="19" t="s">
        <v>13</v>
      </c>
      <c r="F283" s="19" t="s">
        <v>73</v>
      </c>
    </row>
    <row r="284" spans="1:6" x14ac:dyDescent="0.3">
      <c r="A284" s="31">
        <v>4</v>
      </c>
      <c r="B284" s="15">
        <v>1</v>
      </c>
      <c r="C284" s="15" t="s">
        <v>85</v>
      </c>
      <c r="D284" s="15" t="s">
        <v>33</v>
      </c>
      <c r="E284" s="31" t="s">
        <v>46</v>
      </c>
      <c r="F284" s="31" t="s">
        <v>67</v>
      </c>
    </row>
    <row r="285" spans="1:6" x14ac:dyDescent="0.3">
      <c r="A285" s="19">
        <v>4</v>
      </c>
      <c r="B285" s="15">
        <v>2</v>
      </c>
      <c r="C285" s="15" t="s">
        <v>84</v>
      </c>
      <c r="D285" s="15" t="s">
        <v>33</v>
      </c>
      <c r="E285" s="19" t="s">
        <v>46</v>
      </c>
      <c r="F285" s="19" t="s">
        <v>68</v>
      </c>
    </row>
    <row r="286" spans="1:6" x14ac:dyDescent="0.3">
      <c r="A286" s="31">
        <v>4</v>
      </c>
      <c r="B286" s="15">
        <v>1</v>
      </c>
      <c r="C286" s="15" t="s">
        <v>85</v>
      </c>
      <c r="D286" s="15" t="s">
        <v>33</v>
      </c>
      <c r="E286" s="31" t="s">
        <v>46</v>
      </c>
      <c r="F286" s="31" t="s">
        <v>69</v>
      </c>
    </row>
    <row r="287" spans="1:6" x14ac:dyDescent="0.3">
      <c r="A287" s="19">
        <v>4</v>
      </c>
      <c r="B287" s="16">
        <v>2</v>
      </c>
      <c r="C287" s="16" t="s">
        <v>84</v>
      </c>
      <c r="D287" s="19" t="s">
        <v>4</v>
      </c>
      <c r="E287" s="19" t="s">
        <v>45</v>
      </c>
      <c r="F287" s="19" t="s">
        <v>72</v>
      </c>
    </row>
    <row r="288" spans="1:6" x14ac:dyDescent="0.3">
      <c r="A288" s="31">
        <v>4</v>
      </c>
      <c r="B288" s="32">
        <v>1</v>
      </c>
      <c r="C288" s="32" t="s">
        <v>85</v>
      </c>
      <c r="D288" s="31" t="s">
        <v>44</v>
      </c>
      <c r="E288" s="31" t="s">
        <v>14</v>
      </c>
      <c r="F288" s="31" t="s">
        <v>72</v>
      </c>
    </row>
    <row r="289" spans="1:6" x14ac:dyDescent="0.3">
      <c r="A289" s="19">
        <v>4</v>
      </c>
      <c r="B289" s="15">
        <v>1</v>
      </c>
      <c r="C289" s="15" t="s">
        <v>84</v>
      </c>
      <c r="D289" s="15" t="s">
        <v>33</v>
      </c>
      <c r="E289" s="19" t="s">
        <v>46</v>
      </c>
      <c r="F289" s="19" t="s">
        <v>70</v>
      </c>
    </row>
    <row r="290" spans="1:6" x14ac:dyDescent="0.3">
      <c r="A290" s="31">
        <v>4</v>
      </c>
      <c r="B290" s="32">
        <v>1</v>
      </c>
      <c r="C290" s="32" t="s">
        <v>85</v>
      </c>
      <c r="D290" s="31" t="s">
        <v>4</v>
      </c>
      <c r="E290" s="31" t="s">
        <v>45</v>
      </c>
      <c r="F290" s="31" t="s">
        <v>71</v>
      </c>
    </row>
    <row r="291" spans="1:6" x14ac:dyDescent="0.3">
      <c r="A291" s="19">
        <v>4</v>
      </c>
      <c r="B291" s="16">
        <v>1</v>
      </c>
      <c r="C291" s="16" t="s">
        <v>85</v>
      </c>
      <c r="D291" s="19" t="s">
        <v>44</v>
      </c>
      <c r="E291" s="19" t="s">
        <v>13</v>
      </c>
      <c r="F291" s="19" t="s">
        <v>71</v>
      </c>
    </row>
    <row r="292" spans="1:6" x14ac:dyDescent="0.3">
      <c r="A292" s="33" t="s">
        <v>29</v>
      </c>
      <c r="B292" s="33"/>
      <c r="C292" s="33"/>
      <c r="D292" s="33"/>
      <c r="E292" s="33"/>
      <c r="F292" s="33"/>
    </row>
    <row r="293" spans="1:6" x14ac:dyDescent="0.3">
      <c r="A293" s="16">
        <v>1</v>
      </c>
      <c r="B293" s="18">
        <v>2</v>
      </c>
      <c r="C293" s="17" t="s">
        <v>84</v>
      </c>
      <c r="D293" s="12" t="s">
        <v>33</v>
      </c>
      <c r="E293" s="19" t="s">
        <v>46</v>
      </c>
      <c r="F293" s="19" t="s">
        <v>75</v>
      </c>
    </row>
    <row r="294" spans="1:6" x14ac:dyDescent="0.3">
      <c r="A294" s="11">
        <v>1</v>
      </c>
      <c r="B294" s="11">
        <v>2</v>
      </c>
      <c r="C294" s="11" t="s">
        <v>84</v>
      </c>
      <c r="D294" s="8" t="s">
        <v>4</v>
      </c>
      <c r="E294" s="8" t="s">
        <v>45</v>
      </c>
      <c r="F294" s="8" t="s">
        <v>53</v>
      </c>
    </row>
    <row r="295" spans="1:6" x14ac:dyDescent="0.3">
      <c r="A295" s="16">
        <v>1</v>
      </c>
      <c r="B295" s="16">
        <v>2</v>
      </c>
      <c r="C295" s="16" t="s">
        <v>84</v>
      </c>
      <c r="D295" s="19" t="s">
        <v>44</v>
      </c>
      <c r="E295" s="19" t="s">
        <v>13</v>
      </c>
      <c r="F295" s="19" t="s">
        <v>53</v>
      </c>
    </row>
    <row r="296" spans="1:6" x14ac:dyDescent="0.3">
      <c r="A296" s="11">
        <v>1</v>
      </c>
      <c r="B296" s="18">
        <v>1</v>
      </c>
      <c r="C296" s="18" t="s">
        <v>85</v>
      </c>
      <c r="D296" s="12" t="s">
        <v>33</v>
      </c>
      <c r="E296" s="8" t="s">
        <v>46</v>
      </c>
      <c r="F296" s="8" t="s">
        <v>73</v>
      </c>
    </row>
    <row r="297" spans="1:6" x14ac:dyDescent="0.3">
      <c r="A297" s="16">
        <v>1</v>
      </c>
      <c r="B297" s="18">
        <v>1</v>
      </c>
      <c r="C297" s="18" t="s">
        <v>85</v>
      </c>
      <c r="D297" s="12" t="s">
        <v>33</v>
      </c>
      <c r="E297" s="19" t="s">
        <v>46</v>
      </c>
      <c r="F297" s="19" t="s">
        <v>77</v>
      </c>
    </row>
    <row r="298" spans="1:6" x14ac:dyDescent="0.3">
      <c r="A298" s="11">
        <v>1</v>
      </c>
      <c r="B298" s="11">
        <v>2</v>
      </c>
      <c r="C298" s="11" t="s">
        <v>84</v>
      </c>
      <c r="D298" s="8" t="s">
        <v>4</v>
      </c>
      <c r="E298" s="8" t="s">
        <v>45</v>
      </c>
      <c r="F298" s="8" t="s">
        <v>52</v>
      </c>
    </row>
    <row r="299" spans="1:6" x14ac:dyDescent="0.3">
      <c r="A299" s="16">
        <v>1</v>
      </c>
      <c r="B299" s="16">
        <v>2</v>
      </c>
      <c r="C299" s="16" t="s">
        <v>84</v>
      </c>
      <c r="D299" s="19" t="s">
        <v>44</v>
      </c>
      <c r="E299" s="19" t="s">
        <v>13</v>
      </c>
      <c r="F299" s="19" t="s">
        <v>52</v>
      </c>
    </row>
    <row r="300" spans="1:6" x14ac:dyDescent="0.3">
      <c r="A300" s="11">
        <v>1</v>
      </c>
      <c r="B300" s="11">
        <v>2</v>
      </c>
      <c r="C300" s="11" t="s">
        <v>84</v>
      </c>
      <c r="D300" s="8" t="s">
        <v>4</v>
      </c>
      <c r="E300" s="8" t="s">
        <v>45</v>
      </c>
      <c r="F300" s="8" t="s">
        <v>54</v>
      </c>
    </row>
    <row r="301" spans="1:6" x14ac:dyDescent="0.3">
      <c r="A301" s="16">
        <v>1</v>
      </c>
      <c r="B301" s="16">
        <v>1</v>
      </c>
      <c r="C301" s="16" t="s">
        <v>85</v>
      </c>
      <c r="D301" s="19" t="s">
        <v>44</v>
      </c>
      <c r="E301" s="19" t="s">
        <v>14</v>
      </c>
      <c r="F301" s="19" t="s">
        <v>54</v>
      </c>
    </row>
    <row r="302" spans="1:6" x14ac:dyDescent="0.3">
      <c r="A302" s="11">
        <v>1</v>
      </c>
      <c r="B302" s="18">
        <v>2</v>
      </c>
      <c r="C302" s="18" t="s">
        <v>84</v>
      </c>
      <c r="D302" s="12" t="s">
        <v>33</v>
      </c>
      <c r="E302" s="8" t="s">
        <v>46</v>
      </c>
      <c r="F302" s="8" t="s">
        <v>74</v>
      </c>
    </row>
    <row r="303" spans="1:6" x14ac:dyDescent="0.3">
      <c r="A303" s="16">
        <v>1</v>
      </c>
      <c r="B303" s="16">
        <v>1</v>
      </c>
      <c r="C303" s="16" t="s">
        <v>85</v>
      </c>
      <c r="D303" s="19" t="s">
        <v>4</v>
      </c>
      <c r="E303" s="19" t="s">
        <v>45</v>
      </c>
      <c r="F303" s="19" t="s">
        <v>47</v>
      </c>
    </row>
    <row r="304" spans="1:6" x14ac:dyDescent="0.3">
      <c r="A304" s="11">
        <v>1</v>
      </c>
      <c r="B304" s="11">
        <v>2</v>
      </c>
      <c r="C304" s="11" t="s">
        <v>84</v>
      </c>
      <c r="D304" s="8" t="s">
        <v>44</v>
      </c>
      <c r="E304" s="8" t="s">
        <v>14</v>
      </c>
      <c r="F304" s="8" t="s">
        <v>47</v>
      </c>
    </row>
    <row r="305" spans="1:6" x14ac:dyDescent="0.3">
      <c r="A305" s="16">
        <v>1</v>
      </c>
      <c r="B305" s="16">
        <v>2</v>
      </c>
      <c r="C305" s="16" t="s">
        <v>84</v>
      </c>
      <c r="D305" s="19" t="s">
        <v>4</v>
      </c>
      <c r="E305" s="19" t="s">
        <v>45</v>
      </c>
      <c r="F305" s="19" t="s">
        <v>50</v>
      </c>
    </row>
    <row r="306" spans="1:6" x14ac:dyDescent="0.3">
      <c r="A306" s="11">
        <v>1</v>
      </c>
      <c r="B306" s="11">
        <v>1</v>
      </c>
      <c r="C306" s="11" t="s">
        <v>85</v>
      </c>
      <c r="D306" s="8" t="s">
        <v>44</v>
      </c>
      <c r="E306" s="8" t="s">
        <v>14</v>
      </c>
      <c r="F306" s="8" t="s">
        <v>50</v>
      </c>
    </row>
    <row r="307" spans="1:6" x14ac:dyDescent="0.3">
      <c r="A307" s="16">
        <v>1</v>
      </c>
      <c r="B307" s="18">
        <v>1</v>
      </c>
      <c r="C307" s="17" t="s">
        <v>85</v>
      </c>
      <c r="D307" s="12" t="s">
        <v>33</v>
      </c>
      <c r="E307" s="19" t="s">
        <v>46</v>
      </c>
      <c r="F307" s="19" t="s">
        <v>78</v>
      </c>
    </row>
    <row r="308" spans="1:6" x14ac:dyDescent="0.3">
      <c r="A308" s="11">
        <v>1</v>
      </c>
      <c r="B308" s="18">
        <v>2</v>
      </c>
      <c r="C308" s="18" t="s">
        <v>84</v>
      </c>
      <c r="D308" s="12" t="s">
        <v>33</v>
      </c>
      <c r="E308" s="8" t="s">
        <v>46</v>
      </c>
      <c r="F308" s="8" t="s">
        <v>71</v>
      </c>
    </row>
    <row r="309" spans="1:6" x14ac:dyDescent="0.3">
      <c r="A309" s="16">
        <v>1</v>
      </c>
      <c r="B309" s="16">
        <v>1</v>
      </c>
      <c r="C309" s="16" t="s">
        <v>85</v>
      </c>
      <c r="D309" s="19" t="s">
        <v>4</v>
      </c>
      <c r="E309" s="19" t="s">
        <v>45</v>
      </c>
      <c r="F309" s="19" t="s">
        <v>48</v>
      </c>
    </row>
    <row r="310" spans="1:6" x14ac:dyDescent="0.3">
      <c r="A310" s="11">
        <v>1</v>
      </c>
      <c r="B310" s="11">
        <v>1</v>
      </c>
      <c r="C310" s="16" t="s">
        <v>85</v>
      </c>
      <c r="D310" s="8" t="s">
        <v>44</v>
      </c>
      <c r="E310" s="8" t="s">
        <v>13</v>
      </c>
      <c r="F310" s="8" t="s">
        <v>48</v>
      </c>
    </row>
    <row r="311" spans="1:6" x14ac:dyDescent="0.3">
      <c r="A311" s="16">
        <v>1</v>
      </c>
      <c r="B311" s="18">
        <v>1</v>
      </c>
      <c r="C311" s="17" t="s">
        <v>85</v>
      </c>
      <c r="D311" s="12" t="s">
        <v>33</v>
      </c>
      <c r="E311" s="19" t="s">
        <v>46</v>
      </c>
      <c r="F311" s="19" t="s">
        <v>76</v>
      </c>
    </row>
    <row r="312" spans="1:6" x14ac:dyDescent="0.3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72</v>
      </c>
    </row>
    <row r="313" spans="1:6" x14ac:dyDescent="0.3">
      <c r="A313" s="16">
        <v>1</v>
      </c>
      <c r="B313" s="16">
        <v>1</v>
      </c>
      <c r="C313" s="16" t="s">
        <v>85</v>
      </c>
      <c r="D313" s="19" t="s">
        <v>4</v>
      </c>
      <c r="E313" s="19" t="s">
        <v>45</v>
      </c>
      <c r="F313" s="19" t="s">
        <v>49</v>
      </c>
    </row>
    <row r="314" spans="1:6" x14ac:dyDescent="0.3">
      <c r="A314" s="11">
        <v>1</v>
      </c>
      <c r="B314" s="11">
        <v>1</v>
      </c>
      <c r="C314" s="16" t="s">
        <v>85</v>
      </c>
      <c r="D314" s="8" t="s">
        <v>44</v>
      </c>
      <c r="E314" s="8" t="s">
        <v>13</v>
      </c>
      <c r="F314" s="8" t="s">
        <v>49</v>
      </c>
    </row>
    <row r="315" spans="1:6" x14ac:dyDescent="0.3">
      <c r="A315" s="16">
        <v>1</v>
      </c>
      <c r="B315" s="16">
        <v>1</v>
      </c>
      <c r="C315" s="16" t="s">
        <v>85</v>
      </c>
      <c r="D315" s="19" t="s">
        <v>4</v>
      </c>
      <c r="E315" s="19" t="s">
        <v>45</v>
      </c>
      <c r="F315" s="19" t="s">
        <v>51</v>
      </c>
    </row>
    <row r="316" spans="1:6" x14ac:dyDescent="0.3">
      <c r="A316" s="11">
        <v>1</v>
      </c>
      <c r="B316" s="11">
        <v>2</v>
      </c>
      <c r="C316" s="11" t="s">
        <v>84</v>
      </c>
      <c r="D316" s="8" t="s">
        <v>44</v>
      </c>
      <c r="E316" s="8" t="s">
        <v>14</v>
      </c>
      <c r="F316" s="8" t="s">
        <v>51</v>
      </c>
    </row>
    <row r="317" spans="1:6" x14ac:dyDescent="0.3">
      <c r="A317" s="31">
        <v>2</v>
      </c>
      <c r="B317" s="32">
        <v>1</v>
      </c>
      <c r="C317" s="31" t="s">
        <v>85</v>
      </c>
      <c r="D317" s="31" t="s">
        <v>4</v>
      </c>
      <c r="E317" s="31" t="s">
        <v>45</v>
      </c>
      <c r="F317" s="31" t="s">
        <v>56</v>
      </c>
    </row>
    <row r="318" spans="1:6" x14ac:dyDescent="0.3">
      <c r="A318" s="19">
        <v>2</v>
      </c>
      <c r="B318" s="16">
        <v>1</v>
      </c>
      <c r="C318" s="19" t="s">
        <v>85</v>
      </c>
      <c r="D318" s="19" t="s">
        <v>44</v>
      </c>
      <c r="E318" s="19" t="s">
        <v>13</v>
      </c>
      <c r="F318" s="19" t="s">
        <v>56</v>
      </c>
    </row>
    <row r="319" spans="1:6" x14ac:dyDescent="0.3">
      <c r="A319" s="31">
        <v>2</v>
      </c>
      <c r="B319" s="13">
        <v>2</v>
      </c>
      <c r="C319" s="13" t="s">
        <v>84</v>
      </c>
      <c r="D319" s="13" t="s">
        <v>33</v>
      </c>
      <c r="E319" s="31" t="s">
        <v>46</v>
      </c>
      <c r="F319" s="31" t="s">
        <v>53</v>
      </c>
    </row>
    <row r="320" spans="1:6" x14ac:dyDescent="0.3">
      <c r="A320" s="19">
        <v>2</v>
      </c>
      <c r="B320" s="13">
        <v>2</v>
      </c>
      <c r="C320" s="13" t="s">
        <v>84</v>
      </c>
      <c r="D320" s="13" t="s">
        <v>33</v>
      </c>
      <c r="E320" s="19" t="s">
        <v>46</v>
      </c>
      <c r="F320" s="19" t="s">
        <v>52</v>
      </c>
    </row>
    <row r="321" spans="1:6" x14ac:dyDescent="0.3">
      <c r="A321" s="31">
        <v>2</v>
      </c>
      <c r="B321" s="32">
        <v>1</v>
      </c>
      <c r="C321" s="32" t="s">
        <v>85</v>
      </c>
      <c r="D321" s="31" t="s">
        <v>4</v>
      </c>
      <c r="E321" s="31" t="s">
        <v>45</v>
      </c>
      <c r="F321" s="31" t="s">
        <v>57</v>
      </c>
    </row>
    <row r="322" spans="1:6" x14ac:dyDescent="0.3">
      <c r="A322" s="19">
        <v>2</v>
      </c>
      <c r="B322" s="16">
        <v>1</v>
      </c>
      <c r="C322" s="16" t="s">
        <v>85</v>
      </c>
      <c r="D322" s="19" t="s">
        <v>44</v>
      </c>
      <c r="E322" s="19" t="s">
        <v>13</v>
      </c>
      <c r="F322" s="19" t="s">
        <v>57</v>
      </c>
    </row>
    <row r="323" spans="1:6" x14ac:dyDescent="0.3">
      <c r="A323" s="31">
        <v>2</v>
      </c>
      <c r="B323" s="32">
        <v>1</v>
      </c>
      <c r="C323" s="32" t="s">
        <v>85</v>
      </c>
      <c r="D323" s="31" t="s">
        <v>4</v>
      </c>
      <c r="E323" s="31" t="s">
        <v>45</v>
      </c>
      <c r="F323" s="31" t="s">
        <v>59</v>
      </c>
    </row>
    <row r="324" spans="1:6" x14ac:dyDescent="0.3">
      <c r="A324" s="19">
        <v>2</v>
      </c>
      <c r="B324" s="16">
        <v>2</v>
      </c>
      <c r="C324" s="16" t="s">
        <v>84</v>
      </c>
      <c r="D324" s="19" t="s">
        <v>44</v>
      </c>
      <c r="E324" s="19" t="s">
        <v>14</v>
      </c>
      <c r="F324" s="19" t="s">
        <v>59</v>
      </c>
    </row>
    <row r="325" spans="1:6" x14ac:dyDescent="0.3">
      <c r="A325" s="31">
        <v>2</v>
      </c>
      <c r="B325" s="13">
        <v>1</v>
      </c>
      <c r="C325" s="13" t="s">
        <v>85</v>
      </c>
      <c r="D325" s="13" t="s">
        <v>33</v>
      </c>
      <c r="E325" s="31" t="s">
        <v>46</v>
      </c>
      <c r="F325" s="31" t="s">
        <v>54</v>
      </c>
    </row>
    <row r="326" spans="1:6" x14ac:dyDescent="0.3">
      <c r="A326" s="19">
        <v>2</v>
      </c>
      <c r="B326" s="16">
        <v>2</v>
      </c>
      <c r="C326" s="16" t="s">
        <v>84</v>
      </c>
      <c r="D326" s="19" t="s">
        <v>4</v>
      </c>
      <c r="E326" s="19" t="s">
        <v>45</v>
      </c>
      <c r="F326" s="19" t="s">
        <v>58</v>
      </c>
    </row>
    <row r="327" spans="1:6" x14ac:dyDescent="0.3">
      <c r="A327" s="31">
        <v>2</v>
      </c>
      <c r="B327" s="32">
        <v>1</v>
      </c>
      <c r="C327" s="32" t="s">
        <v>85</v>
      </c>
      <c r="D327" s="31" t="s">
        <v>44</v>
      </c>
      <c r="E327" s="31" t="s">
        <v>14</v>
      </c>
      <c r="F327" s="31" t="s">
        <v>58</v>
      </c>
    </row>
    <row r="328" spans="1:6" x14ac:dyDescent="0.3">
      <c r="A328" s="19">
        <v>2</v>
      </c>
      <c r="B328" s="16">
        <v>1</v>
      </c>
      <c r="C328" s="16" t="s">
        <v>85</v>
      </c>
      <c r="D328" s="19" t="s">
        <v>4</v>
      </c>
      <c r="E328" s="19" t="s">
        <v>45</v>
      </c>
      <c r="F328" s="19" t="s">
        <v>55</v>
      </c>
    </row>
    <row r="329" spans="1:6" x14ac:dyDescent="0.3">
      <c r="A329" s="31">
        <v>2</v>
      </c>
      <c r="B329" s="32">
        <v>2</v>
      </c>
      <c r="C329" s="32" t="s">
        <v>84</v>
      </c>
      <c r="D329" s="31" t="s">
        <v>44</v>
      </c>
      <c r="E329" s="31" t="s">
        <v>14</v>
      </c>
      <c r="F329" s="31" t="s">
        <v>55</v>
      </c>
    </row>
    <row r="330" spans="1:6" x14ac:dyDescent="0.3">
      <c r="A330" s="19">
        <v>2</v>
      </c>
      <c r="B330" s="13">
        <v>2</v>
      </c>
      <c r="C330" s="13" t="s">
        <v>84</v>
      </c>
      <c r="D330" s="13" t="s">
        <v>33</v>
      </c>
      <c r="E330" s="19" t="s">
        <v>46</v>
      </c>
      <c r="F330" s="19" t="s">
        <v>47</v>
      </c>
    </row>
    <row r="331" spans="1:6" x14ac:dyDescent="0.3">
      <c r="A331" s="31">
        <v>2</v>
      </c>
      <c r="B331" s="13">
        <v>1</v>
      </c>
      <c r="C331" s="13" t="s">
        <v>85</v>
      </c>
      <c r="D331" s="13" t="s">
        <v>33</v>
      </c>
      <c r="E331" s="31" t="s">
        <v>46</v>
      </c>
      <c r="F331" s="31" t="s">
        <v>50</v>
      </c>
    </row>
    <row r="332" spans="1:6" x14ac:dyDescent="0.3">
      <c r="A332" s="19">
        <v>2</v>
      </c>
      <c r="B332" s="16">
        <v>2</v>
      </c>
      <c r="C332" s="16" t="s">
        <v>84</v>
      </c>
      <c r="D332" s="19" t="s">
        <v>4</v>
      </c>
      <c r="E332" s="19" t="s">
        <v>45</v>
      </c>
      <c r="F332" s="19" t="s">
        <v>61</v>
      </c>
    </row>
    <row r="333" spans="1:6" x14ac:dyDescent="0.3">
      <c r="A333" s="31">
        <v>2</v>
      </c>
      <c r="B333" s="32">
        <v>2</v>
      </c>
      <c r="C333" s="32" t="s">
        <v>84</v>
      </c>
      <c r="D333" s="31" t="s">
        <v>44</v>
      </c>
      <c r="E333" s="31" t="s">
        <v>13</v>
      </c>
      <c r="F333" s="31" t="s">
        <v>61</v>
      </c>
    </row>
    <row r="334" spans="1:6" x14ac:dyDescent="0.3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48</v>
      </c>
    </row>
    <row r="335" spans="1:6" x14ac:dyDescent="0.3">
      <c r="A335" s="31">
        <v>2</v>
      </c>
      <c r="B335" s="32">
        <v>2</v>
      </c>
      <c r="C335" s="32" t="s">
        <v>84</v>
      </c>
      <c r="D335" s="31" t="s">
        <v>4</v>
      </c>
      <c r="E335" s="31" t="s">
        <v>45</v>
      </c>
      <c r="F335" s="31" t="s">
        <v>62</v>
      </c>
    </row>
    <row r="336" spans="1:6" x14ac:dyDescent="0.3">
      <c r="A336" s="19">
        <v>2</v>
      </c>
      <c r="B336" s="16">
        <v>2</v>
      </c>
      <c r="C336" s="16" t="s">
        <v>84</v>
      </c>
      <c r="D336" s="19" t="s">
        <v>44</v>
      </c>
      <c r="E336" s="19" t="s">
        <v>13</v>
      </c>
      <c r="F336" s="19" t="s">
        <v>62</v>
      </c>
    </row>
    <row r="337" spans="1:6" x14ac:dyDescent="0.3">
      <c r="A337" s="31">
        <v>2</v>
      </c>
      <c r="B337" s="32">
        <v>2</v>
      </c>
      <c r="C337" s="32" t="s">
        <v>84</v>
      </c>
      <c r="D337" s="31" t="s">
        <v>4</v>
      </c>
      <c r="E337" s="31" t="s">
        <v>45</v>
      </c>
      <c r="F337" s="31" t="s">
        <v>60</v>
      </c>
    </row>
    <row r="338" spans="1:6" x14ac:dyDescent="0.3">
      <c r="A338" s="19">
        <v>2</v>
      </c>
      <c r="B338" s="16">
        <v>1</v>
      </c>
      <c r="C338" s="16" t="s">
        <v>85</v>
      </c>
      <c r="D338" s="19" t="s">
        <v>44</v>
      </c>
      <c r="E338" s="19" t="s">
        <v>14</v>
      </c>
      <c r="F338" s="19" t="s">
        <v>60</v>
      </c>
    </row>
    <row r="339" spans="1:6" x14ac:dyDescent="0.3">
      <c r="A339" s="31">
        <v>2</v>
      </c>
      <c r="B339" s="13">
        <v>1</v>
      </c>
      <c r="C339" s="13" t="s">
        <v>85</v>
      </c>
      <c r="D339" s="13" t="s">
        <v>33</v>
      </c>
      <c r="E339" s="31" t="s">
        <v>46</v>
      </c>
      <c r="F339" s="31" t="s">
        <v>49</v>
      </c>
    </row>
    <row r="340" spans="1:6" x14ac:dyDescent="0.3">
      <c r="A340" s="19">
        <v>2</v>
      </c>
      <c r="B340" s="13">
        <v>2</v>
      </c>
      <c r="C340" s="13" t="s">
        <v>84</v>
      </c>
      <c r="D340" s="13" t="s">
        <v>33</v>
      </c>
      <c r="E340" s="19" t="s">
        <v>46</v>
      </c>
      <c r="F340" s="19" t="s">
        <v>51</v>
      </c>
    </row>
    <row r="341" spans="1:6" x14ac:dyDescent="0.3">
      <c r="A341" s="16">
        <v>3</v>
      </c>
      <c r="B341" s="16">
        <v>1</v>
      </c>
      <c r="C341" s="16" t="s">
        <v>85</v>
      </c>
      <c r="D341" s="19" t="s">
        <v>4</v>
      </c>
      <c r="E341" s="19" t="s">
        <v>45</v>
      </c>
      <c r="F341" s="19" t="s">
        <v>66</v>
      </c>
    </row>
    <row r="342" spans="1:6" x14ac:dyDescent="0.3">
      <c r="A342" s="11">
        <v>3</v>
      </c>
      <c r="B342" s="11">
        <v>2</v>
      </c>
      <c r="C342" s="11" t="s">
        <v>84</v>
      </c>
      <c r="D342" s="8" t="s">
        <v>44</v>
      </c>
      <c r="E342" s="8" t="s">
        <v>14</v>
      </c>
      <c r="F342" s="8" t="s">
        <v>66</v>
      </c>
    </row>
    <row r="343" spans="1:6" x14ac:dyDescent="0.3">
      <c r="A343" s="16">
        <v>3</v>
      </c>
      <c r="B343" s="14">
        <v>2</v>
      </c>
      <c r="C343" s="14" t="s">
        <v>84</v>
      </c>
      <c r="D343" s="14" t="s">
        <v>33</v>
      </c>
      <c r="E343" s="19" t="s">
        <v>46</v>
      </c>
      <c r="F343" s="19" t="s">
        <v>56</v>
      </c>
    </row>
    <row r="344" spans="1:6" x14ac:dyDescent="0.3">
      <c r="A344" s="11">
        <v>3</v>
      </c>
      <c r="B344" s="14">
        <v>1</v>
      </c>
      <c r="C344" s="14" t="s">
        <v>85</v>
      </c>
      <c r="D344" s="14" t="s">
        <v>33</v>
      </c>
      <c r="E344" s="8" t="s">
        <v>46</v>
      </c>
      <c r="F344" s="8" t="s">
        <v>57</v>
      </c>
    </row>
    <row r="345" spans="1:6" x14ac:dyDescent="0.3">
      <c r="A345" s="16">
        <v>3</v>
      </c>
      <c r="B345" s="16">
        <v>2</v>
      </c>
      <c r="C345" s="16" t="s">
        <v>84</v>
      </c>
      <c r="D345" s="19" t="s">
        <v>4</v>
      </c>
      <c r="E345" s="19" t="s">
        <v>45</v>
      </c>
      <c r="F345" s="19" t="s">
        <v>69</v>
      </c>
    </row>
    <row r="346" spans="1:6" x14ac:dyDescent="0.3">
      <c r="A346" s="11">
        <v>3</v>
      </c>
      <c r="B346" s="11">
        <v>1</v>
      </c>
      <c r="C346" s="11" t="s">
        <v>85</v>
      </c>
      <c r="D346" s="8" t="s">
        <v>44</v>
      </c>
      <c r="E346" s="8" t="s">
        <v>14</v>
      </c>
      <c r="F346" s="8" t="s">
        <v>69</v>
      </c>
    </row>
    <row r="347" spans="1:6" x14ac:dyDescent="0.3">
      <c r="A347" s="16">
        <v>3</v>
      </c>
      <c r="B347" s="16">
        <v>1</v>
      </c>
      <c r="C347" s="16" t="s">
        <v>85</v>
      </c>
      <c r="D347" s="19" t="s">
        <v>4</v>
      </c>
      <c r="E347" s="19" t="s">
        <v>45</v>
      </c>
      <c r="F347" s="19" t="s">
        <v>64</v>
      </c>
    </row>
    <row r="348" spans="1:6" x14ac:dyDescent="0.3">
      <c r="A348" s="11">
        <v>3</v>
      </c>
      <c r="B348" s="11">
        <v>2</v>
      </c>
      <c r="C348" s="11" t="s">
        <v>84</v>
      </c>
      <c r="D348" s="8" t="s">
        <v>44</v>
      </c>
      <c r="E348" s="8" t="s">
        <v>14</v>
      </c>
      <c r="F348" s="8" t="s">
        <v>64</v>
      </c>
    </row>
    <row r="349" spans="1:6" x14ac:dyDescent="0.3">
      <c r="A349" s="16">
        <v>3</v>
      </c>
      <c r="B349" s="14">
        <v>1</v>
      </c>
      <c r="C349" s="14" t="s">
        <v>85</v>
      </c>
      <c r="D349" s="14" t="s">
        <v>33</v>
      </c>
      <c r="E349" s="19" t="s">
        <v>46</v>
      </c>
      <c r="F349" s="19" t="s">
        <v>59</v>
      </c>
    </row>
    <row r="350" spans="1:6" x14ac:dyDescent="0.3">
      <c r="A350" s="11">
        <v>3</v>
      </c>
      <c r="B350" s="11">
        <v>2</v>
      </c>
      <c r="C350" s="11" t="s">
        <v>84</v>
      </c>
      <c r="D350" s="8" t="s">
        <v>4</v>
      </c>
      <c r="E350" s="8" t="s">
        <v>45</v>
      </c>
      <c r="F350" s="8" t="s">
        <v>68</v>
      </c>
    </row>
    <row r="351" spans="1:6" x14ac:dyDescent="0.3">
      <c r="A351" s="16">
        <v>3</v>
      </c>
      <c r="B351" s="16">
        <v>2</v>
      </c>
      <c r="C351" s="16" t="s">
        <v>84</v>
      </c>
      <c r="D351" s="19" t="s">
        <v>44</v>
      </c>
      <c r="E351" s="19" t="s">
        <v>13</v>
      </c>
      <c r="F351" s="19" t="s">
        <v>68</v>
      </c>
    </row>
    <row r="352" spans="1:6" x14ac:dyDescent="0.3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58</v>
      </c>
    </row>
    <row r="353" spans="1:6" x14ac:dyDescent="0.3">
      <c r="A353" s="16">
        <v>3</v>
      </c>
      <c r="B353" s="14">
        <v>2</v>
      </c>
      <c r="C353" s="14" t="s">
        <v>84</v>
      </c>
      <c r="D353" s="14" t="s">
        <v>33</v>
      </c>
      <c r="E353" s="19" t="s">
        <v>46</v>
      </c>
      <c r="F353" s="19" t="s">
        <v>55</v>
      </c>
    </row>
    <row r="354" spans="1:6" x14ac:dyDescent="0.3">
      <c r="A354" s="11">
        <v>3</v>
      </c>
      <c r="B354" s="14">
        <v>1</v>
      </c>
      <c r="C354" s="14" t="s">
        <v>85</v>
      </c>
      <c r="D354" s="14" t="s">
        <v>33</v>
      </c>
      <c r="E354" s="8" t="s">
        <v>46</v>
      </c>
      <c r="F354" s="8" t="s">
        <v>61</v>
      </c>
    </row>
    <row r="355" spans="1:6" x14ac:dyDescent="0.3">
      <c r="A355" s="16">
        <v>3</v>
      </c>
      <c r="B355" s="16">
        <v>2</v>
      </c>
      <c r="C355" s="16" t="s">
        <v>84</v>
      </c>
      <c r="D355" s="19" t="s">
        <v>4</v>
      </c>
      <c r="E355" s="19" t="s">
        <v>45</v>
      </c>
      <c r="F355" s="19" t="s">
        <v>70</v>
      </c>
    </row>
    <row r="356" spans="1:6" x14ac:dyDescent="0.3">
      <c r="A356" s="11">
        <v>3</v>
      </c>
      <c r="B356" s="11">
        <v>2</v>
      </c>
      <c r="C356" s="11" t="s">
        <v>84</v>
      </c>
      <c r="D356" s="8" t="s">
        <v>44</v>
      </c>
      <c r="E356" s="8" t="s">
        <v>13</v>
      </c>
      <c r="F356" s="8" t="s">
        <v>70</v>
      </c>
    </row>
    <row r="357" spans="1:6" x14ac:dyDescent="0.3">
      <c r="A357" s="16">
        <v>3</v>
      </c>
      <c r="B357" s="16">
        <v>2</v>
      </c>
      <c r="C357" s="16" t="s">
        <v>84</v>
      </c>
      <c r="D357" s="19" t="s">
        <v>4</v>
      </c>
      <c r="E357" s="19" t="s">
        <v>45</v>
      </c>
      <c r="F357" s="19" t="s">
        <v>67</v>
      </c>
    </row>
    <row r="358" spans="1:6" x14ac:dyDescent="0.3">
      <c r="A358" s="11">
        <v>3</v>
      </c>
      <c r="B358" s="11">
        <v>1</v>
      </c>
      <c r="C358" s="11" t="s">
        <v>85</v>
      </c>
      <c r="D358" s="8" t="s">
        <v>44</v>
      </c>
      <c r="E358" s="8" t="s">
        <v>14</v>
      </c>
      <c r="F358" s="8" t="s">
        <v>67</v>
      </c>
    </row>
    <row r="359" spans="1:6" x14ac:dyDescent="0.3">
      <c r="A359" s="32">
        <v>3</v>
      </c>
      <c r="B359" s="32">
        <v>1</v>
      </c>
      <c r="C359" s="32" t="s">
        <v>85</v>
      </c>
      <c r="D359" s="31" t="s">
        <v>4</v>
      </c>
      <c r="E359" s="31" t="s">
        <v>45</v>
      </c>
      <c r="F359" s="31" t="s">
        <v>65</v>
      </c>
    </row>
    <row r="360" spans="1:6" x14ac:dyDescent="0.3">
      <c r="A360" s="16">
        <v>3</v>
      </c>
      <c r="B360" s="16">
        <v>1</v>
      </c>
      <c r="C360" s="16" t="s">
        <v>85</v>
      </c>
      <c r="D360" s="19" t="s">
        <v>44</v>
      </c>
      <c r="E360" s="19" t="s">
        <v>13</v>
      </c>
      <c r="F360" s="19" t="s">
        <v>65</v>
      </c>
    </row>
    <row r="361" spans="1:6" x14ac:dyDescent="0.3">
      <c r="A361" s="32">
        <v>3</v>
      </c>
      <c r="B361" s="14">
        <v>2</v>
      </c>
      <c r="C361" s="14" t="s">
        <v>84</v>
      </c>
      <c r="D361" s="14" t="s">
        <v>33</v>
      </c>
      <c r="E361" s="31" t="s">
        <v>46</v>
      </c>
      <c r="F361" s="31" t="s">
        <v>60</v>
      </c>
    </row>
    <row r="362" spans="1:6" x14ac:dyDescent="0.3">
      <c r="A362" s="16">
        <v>3</v>
      </c>
      <c r="B362" s="16">
        <v>1</v>
      </c>
      <c r="C362" s="16" t="s">
        <v>85</v>
      </c>
      <c r="D362" s="19" t="s">
        <v>4</v>
      </c>
      <c r="E362" s="19" t="s">
        <v>45</v>
      </c>
      <c r="F362" s="19" t="s">
        <v>63</v>
      </c>
    </row>
    <row r="363" spans="1:6" x14ac:dyDescent="0.3">
      <c r="A363" s="32">
        <v>3</v>
      </c>
      <c r="B363" s="32">
        <v>1</v>
      </c>
      <c r="C363" s="32" t="s">
        <v>85</v>
      </c>
      <c r="D363" s="31" t="s">
        <v>44</v>
      </c>
      <c r="E363" s="31" t="s">
        <v>13</v>
      </c>
      <c r="F363" s="31" t="s">
        <v>63</v>
      </c>
    </row>
    <row r="364" spans="1:6" x14ac:dyDescent="0.3">
      <c r="A364" s="16">
        <v>3</v>
      </c>
      <c r="B364" s="14">
        <v>2</v>
      </c>
      <c r="C364" s="14" t="s">
        <v>84</v>
      </c>
      <c r="D364" s="14" t="s">
        <v>33</v>
      </c>
      <c r="E364" s="19" t="s">
        <v>46</v>
      </c>
      <c r="F364" s="19" t="s">
        <v>62</v>
      </c>
    </row>
    <row r="365" spans="1:6" x14ac:dyDescent="0.3">
      <c r="A365" s="31">
        <v>4</v>
      </c>
      <c r="B365" s="32">
        <v>1</v>
      </c>
      <c r="C365" s="32" t="s">
        <v>85</v>
      </c>
      <c r="D365" s="31" t="s">
        <v>4</v>
      </c>
      <c r="E365" s="31" t="s">
        <v>45</v>
      </c>
      <c r="F365" s="31" t="s">
        <v>75</v>
      </c>
    </row>
    <row r="366" spans="1:6" x14ac:dyDescent="0.3">
      <c r="A366" s="19">
        <v>4</v>
      </c>
      <c r="B366" s="16">
        <v>1</v>
      </c>
      <c r="C366" s="16" t="s">
        <v>85</v>
      </c>
      <c r="D366" s="19" t="s">
        <v>44</v>
      </c>
      <c r="E366" s="19" t="s">
        <v>13</v>
      </c>
      <c r="F366" s="19" t="s">
        <v>75</v>
      </c>
    </row>
    <row r="367" spans="1:6" x14ac:dyDescent="0.3">
      <c r="A367" s="31">
        <v>4</v>
      </c>
      <c r="B367" s="15">
        <v>2</v>
      </c>
      <c r="C367" s="15" t="s">
        <v>84</v>
      </c>
      <c r="D367" s="15" t="s">
        <v>33</v>
      </c>
      <c r="E367" s="31" t="s">
        <v>46</v>
      </c>
      <c r="F367" s="31" t="s">
        <v>66</v>
      </c>
    </row>
    <row r="368" spans="1:6" x14ac:dyDescent="0.3">
      <c r="A368" s="19">
        <v>4</v>
      </c>
      <c r="B368" s="16">
        <v>1</v>
      </c>
      <c r="C368" s="16" t="s">
        <v>85</v>
      </c>
      <c r="D368" s="19" t="s">
        <v>4</v>
      </c>
      <c r="E368" s="19" t="s">
        <v>45</v>
      </c>
      <c r="F368" s="19" t="s">
        <v>73</v>
      </c>
    </row>
    <row r="369" spans="1:6" x14ac:dyDescent="0.3">
      <c r="A369" s="31">
        <v>4</v>
      </c>
      <c r="B369" s="32">
        <v>2</v>
      </c>
      <c r="C369" s="32" t="s">
        <v>84</v>
      </c>
      <c r="D369" s="31" t="s">
        <v>44</v>
      </c>
      <c r="E369" s="31" t="s">
        <v>14</v>
      </c>
      <c r="F369" s="31" t="s">
        <v>73</v>
      </c>
    </row>
    <row r="370" spans="1:6" x14ac:dyDescent="0.3">
      <c r="A370" s="19">
        <v>4</v>
      </c>
      <c r="B370" s="16">
        <v>2</v>
      </c>
      <c r="C370" s="16" t="s">
        <v>84</v>
      </c>
      <c r="D370" s="19" t="s">
        <v>4</v>
      </c>
      <c r="E370" s="19" t="s">
        <v>45</v>
      </c>
      <c r="F370" s="19" t="s">
        <v>77</v>
      </c>
    </row>
    <row r="371" spans="1:6" x14ac:dyDescent="0.3">
      <c r="A371" s="31">
        <v>4</v>
      </c>
      <c r="B371" s="32">
        <v>2</v>
      </c>
      <c r="C371" s="32" t="s">
        <v>84</v>
      </c>
      <c r="D371" s="31" t="s">
        <v>44</v>
      </c>
      <c r="E371" s="31" t="s">
        <v>13</v>
      </c>
      <c r="F371" s="31" t="s">
        <v>77</v>
      </c>
    </row>
    <row r="372" spans="1:6" x14ac:dyDescent="0.3">
      <c r="A372" s="19">
        <v>4</v>
      </c>
      <c r="B372" s="15">
        <v>1</v>
      </c>
      <c r="C372" s="15" t="s">
        <v>85</v>
      </c>
      <c r="D372" s="15" t="s">
        <v>33</v>
      </c>
      <c r="E372" s="19" t="s">
        <v>46</v>
      </c>
      <c r="F372" s="19" t="s">
        <v>69</v>
      </c>
    </row>
    <row r="373" spans="1:6" x14ac:dyDescent="0.3">
      <c r="A373" s="31">
        <v>4</v>
      </c>
      <c r="B373" s="15">
        <v>2</v>
      </c>
      <c r="C373" s="15" t="s">
        <v>84</v>
      </c>
      <c r="D373" s="15" t="s">
        <v>33</v>
      </c>
      <c r="E373" s="31" t="s">
        <v>46</v>
      </c>
      <c r="F373" s="31" t="s">
        <v>64</v>
      </c>
    </row>
    <row r="374" spans="1:6" x14ac:dyDescent="0.3">
      <c r="A374" s="19">
        <v>4</v>
      </c>
      <c r="B374" s="16">
        <v>2</v>
      </c>
      <c r="C374" s="16" t="s">
        <v>84</v>
      </c>
      <c r="D374" s="19" t="s">
        <v>4</v>
      </c>
      <c r="E374" s="19" t="s">
        <v>45</v>
      </c>
      <c r="F374" s="19" t="s">
        <v>74</v>
      </c>
    </row>
    <row r="375" spans="1:6" x14ac:dyDescent="0.3">
      <c r="A375" s="31">
        <v>4</v>
      </c>
      <c r="B375" s="32">
        <v>1</v>
      </c>
      <c r="C375" s="32" t="s">
        <v>85</v>
      </c>
      <c r="D375" s="31" t="s">
        <v>44</v>
      </c>
      <c r="E375" s="31" t="s">
        <v>14</v>
      </c>
      <c r="F375" s="31" t="s">
        <v>74</v>
      </c>
    </row>
    <row r="376" spans="1:6" x14ac:dyDescent="0.3">
      <c r="A376" s="19">
        <v>4</v>
      </c>
      <c r="B376" s="16">
        <v>1</v>
      </c>
      <c r="C376" s="16" t="s">
        <v>85</v>
      </c>
      <c r="D376" s="19" t="s">
        <v>4</v>
      </c>
      <c r="E376" s="19" t="s">
        <v>45</v>
      </c>
      <c r="F376" s="19" t="s">
        <v>78</v>
      </c>
    </row>
    <row r="377" spans="1:6" x14ac:dyDescent="0.3">
      <c r="A377" s="31">
        <v>4</v>
      </c>
      <c r="B377" s="32">
        <v>2</v>
      </c>
      <c r="C377" s="32" t="s">
        <v>84</v>
      </c>
      <c r="D377" s="31" t="s">
        <v>44</v>
      </c>
      <c r="E377" s="31" t="s">
        <v>14</v>
      </c>
      <c r="F377" s="31" t="s">
        <v>78</v>
      </c>
    </row>
    <row r="378" spans="1:6" x14ac:dyDescent="0.3">
      <c r="A378" s="19">
        <v>4</v>
      </c>
      <c r="B378" s="15">
        <v>1</v>
      </c>
      <c r="C378" s="15" t="s">
        <v>85</v>
      </c>
      <c r="D378" s="15" t="s">
        <v>33</v>
      </c>
      <c r="E378" s="19" t="s">
        <v>46</v>
      </c>
      <c r="F378" s="19" t="s">
        <v>68</v>
      </c>
    </row>
    <row r="379" spans="1:6" x14ac:dyDescent="0.3">
      <c r="A379" s="31">
        <v>4</v>
      </c>
      <c r="B379" s="32">
        <v>2</v>
      </c>
      <c r="C379" s="32" t="s">
        <v>84</v>
      </c>
      <c r="D379" s="31" t="s">
        <v>4</v>
      </c>
      <c r="E379" s="31" t="s">
        <v>45</v>
      </c>
      <c r="F379" s="31" t="s">
        <v>71</v>
      </c>
    </row>
    <row r="380" spans="1:6" x14ac:dyDescent="0.3">
      <c r="A380" s="19">
        <v>4</v>
      </c>
      <c r="B380" s="16">
        <v>2</v>
      </c>
      <c r="C380" s="16" t="s">
        <v>84</v>
      </c>
      <c r="D380" s="19" t="s">
        <v>44</v>
      </c>
      <c r="E380" s="19" t="s">
        <v>13</v>
      </c>
      <c r="F380" s="19" t="s">
        <v>71</v>
      </c>
    </row>
    <row r="381" spans="1:6" x14ac:dyDescent="0.3">
      <c r="A381" s="31">
        <v>4</v>
      </c>
      <c r="B381" s="15">
        <v>1</v>
      </c>
      <c r="C381" s="15" t="s">
        <v>85</v>
      </c>
      <c r="D381" s="15" t="s">
        <v>33</v>
      </c>
      <c r="E381" s="31" t="s">
        <v>46</v>
      </c>
      <c r="F381" s="31" t="s">
        <v>70</v>
      </c>
    </row>
    <row r="382" spans="1:6" x14ac:dyDescent="0.3">
      <c r="A382" s="19">
        <v>4</v>
      </c>
      <c r="B382" s="16">
        <v>2</v>
      </c>
      <c r="C382" s="16" t="s">
        <v>84</v>
      </c>
      <c r="D382" s="19" t="s">
        <v>4</v>
      </c>
      <c r="E382" s="19" t="s">
        <v>45</v>
      </c>
      <c r="F382" s="19" t="s">
        <v>76</v>
      </c>
    </row>
    <row r="383" spans="1:6" x14ac:dyDescent="0.3">
      <c r="A383" s="31">
        <v>4</v>
      </c>
      <c r="B383" s="32">
        <v>1</v>
      </c>
      <c r="C383" s="32" t="s">
        <v>85</v>
      </c>
      <c r="D383" s="31" t="s">
        <v>44</v>
      </c>
      <c r="E383" s="31" t="s">
        <v>14</v>
      </c>
      <c r="F383" s="31" t="s">
        <v>76</v>
      </c>
    </row>
    <row r="384" spans="1:6" x14ac:dyDescent="0.3">
      <c r="A384" s="19">
        <v>4</v>
      </c>
      <c r="B384" s="16">
        <v>1</v>
      </c>
      <c r="C384" s="16" t="s">
        <v>85</v>
      </c>
      <c r="D384" s="19" t="s">
        <v>4</v>
      </c>
      <c r="E384" s="19" t="s">
        <v>45</v>
      </c>
      <c r="F384" s="19" t="s">
        <v>72</v>
      </c>
    </row>
    <row r="385" spans="1:6" x14ac:dyDescent="0.3">
      <c r="A385" s="31">
        <v>4</v>
      </c>
      <c r="B385" s="32">
        <v>1</v>
      </c>
      <c r="C385" s="32" t="s">
        <v>85</v>
      </c>
      <c r="D385" s="31" t="s">
        <v>44</v>
      </c>
      <c r="E385" s="31" t="s">
        <v>13</v>
      </c>
      <c r="F385" s="31" t="s">
        <v>72</v>
      </c>
    </row>
    <row r="386" spans="1:6" x14ac:dyDescent="0.3">
      <c r="A386" s="19">
        <v>4</v>
      </c>
      <c r="B386" s="15">
        <v>2</v>
      </c>
      <c r="C386" s="15" t="s">
        <v>84</v>
      </c>
      <c r="D386" s="15" t="s">
        <v>33</v>
      </c>
      <c r="E386" s="19" t="s">
        <v>46</v>
      </c>
      <c r="F386" s="19" t="s">
        <v>67</v>
      </c>
    </row>
    <row r="387" spans="1:6" x14ac:dyDescent="0.3">
      <c r="A387" s="31">
        <v>4</v>
      </c>
      <c r="B387" s="15">
        <v>1</v>
      </c>
      <c r="C387" s="15" t="s">
        <v>85</v>
      </c>
      <c r="D387" s="15" t="s">
        <v>33</v>
      </c>
      <c r="E387" s="31" t="s">
        <v>46</v>
      </c>
      <c r="F387" s="31" t="s">
        <v>65</v>
      </c>
    </row>
    <row r="388" spans="1:6" x14ac:dyDescent="0.3">
      <c r="A388" s="19">
        <v>4</v>
      </c>
      <c r="B388" s="15">
        <v>2</v>
      </c>
      <c r="C388" s="15" t="s">
        <v>84</v>
      </c>
      <c r="D388" s="15" t="s">
        <v>33</v>
      </c>
      <c r="E388" s="19" t="s">
        <v>46</v>
      </c>
      <c r="F388" s="19" t="s">
        <v>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8"/>
  <sheetViews>
    <sheetView zoomScaleNormal="100" workbookViewId="0">
      <selection activeCell="I3" sqref="I3:L9"/>
    </sheetView>
  </sheetViews>
  <sheetFormatPr defaultColWidth="8.6640625"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87</v>
      </c>
      <c r="B1" s="25" t="s">
        <v>79</v>
      </c>
      <c r="C1" s="25" t="s">
        <v>80</v>
      </c>
      <c r="D1" s="25" t="s">
        <v>81</v>
      </c>
      <c r="E1" s="25" t="s">
        <v>82</v>
      </c>
      <c r="F1" s="25" t="s">
        <v>83</v>
      </c>
    </row>
    <row r="2" spans="1:6" x14ac:dyDescent="0.3">
      <c r="A2" s="16">
        <v>1</v>
      </c>
      <c r="B2" s="18">
        <v>2</v>
      </c>
      <c r="C2" s="17" t="s">
        <v>84</v>
      </c>
      <c r="D2" s="12" t="s">
        <v>33</v>
      </c>
      <c r="E2" s="19" t="s">
        <v>46</v>
      </c>
      <c r="F2" s="19" t="s">
        <v>73</v>
      </c>
    </row>
    <row r="3" spans="1:6" x14ac:dyDescent="0.3">
      <c r="A3" s="19">
        <v>1</v>
      </c>
      <c r="B3" s="31">
        <v>2</v>
      </c>
      <c r="C3" s="31" t="s">
        <v>84</v>
      </c>
      <c r="D3" s="31" t="s">
        <v>4</v>
      </c>
      <c r="E3" s="31" t="s">
        <v>45</v>
      </c>
      <c r="F3" s="31" t="s">
        <v>51</v>
      </c>
    </row>
    <row r="4" spans="1:6" x14ac:dyDescent="0.3">
      <c r="A4" s="19">
        <v>1</v>
      </c>
      <c r="B4" s="19">
        <v>2</v>
      </c>
      <c r="C4" s="19" t="s">
        <v>84</v>
      </c>
      <c r="D4" s="19" t="s">
        <v>44</v>
      </c>
      <c r="E4" s="19" t="s">
        <v>13</v>
      </c>
      <c r="F4" s="19" t="s">
        <v>51</v>
      </c>
    </row>
    <row r="5" spans="1:6" x14ac:dyDescent="0.3">
      <c r="A5" s="19">
        <v>1</v>
      </c>
      <c r="B5" s="18">
        <v>1</v>
      </c>
      <c r="C5" s="18" t="s">
        <v>85</v>
      </c>
      <c r="D5" s="12" t="s">
        <v>33</v>
      </c>
      <c r="E5" s="31" t="s">
        <v>46</v>
      </c>
      <c r="F5" s="31" t="s">
        <v>76</v>
      </c>
    </row>
    <row r="6" spans="1:6" x14ac:dyDescent="0.3">
      <c r="A6" s="19">
        <v>1</v>
      </c>
      <c r="B6" s="18">
        <v>2</v>
      </c>
      <c r="C6" s="17" t="s">
        <v>84</v>
      </c>
      <c r="D6" s="12" t="s">
        <v>33</v>
      </c>
      <c r="E6" s="19" t="s">
        <v>46</v>
      </c>
      <c r="F6" s="19" t="s">
        <v>74</v>
      </c>
    </row>
    <row r="7" spans="1:6" x14ac:dyDescent="0.3">
      <c r="A7" s="19">
        <v>1</v>
      </c>
      <c r="B7" s="18">
        <v>1</v>
      </c>
      <c r="C7" s="18" t="s">
        <v>85</v>
      </c>
      <c r="D7" s="12" t="s">
        <v>33</v>
      </c>
      <c r="E7" s="31" t="s">
        <v>46</v>
      </c>
      <c r="F7" s="31" t="s">
        <v>78</v>
      </c>
    </row>
    <row r="8" spans="1:6" x14ac:dyDescent="0.3">
      <c r="A8" s="19">
        <v>1</v>
      </c>
      <c r="B8" s="19">
        <v>2</v>
      </c>
      <c r="C8" s="19" t="s">
        <v>84</v>
      </c>
      <c r="D8" s="19" t="s">
        <v>4</v>
      </c>
      <c r="E8" s="19" t="s">
        <v>45</v>
      </c>
      <c r="F8" s="19" t="s">
        <v>54</v>
      </c>
    </row>
    <row r="9" spans="1:6" x14ac:dyDescent="0.3">
      <c r="A9" s="19">
        <v>1</v>
      </c>
      <c r="B9" s="31">
        <v>2</v>
      </c>
      <c r="C9" s="19" t="s">
        <v>84</v>
      </c>
      <c r="D9" s="31" t="s">
        <v>44</v>
      </c>
      <c r="E9" s="31" t="s">
        <v>13</v>
      </c>
      <c r="F9" s="31" t="s">
        <v>54</v>
      </c>
    </row>
    <row r="10" spans="1:6" x14ac:dyDescent="0.3">
      <c r="A10" s="16">
        <v>1</v>
      </c>
      <c r="B10" s="19">
        <v>2</v>
      </c>
      <c r="C10" s="19" t="s">
        <v>84</v>
      </c>
      <c r="D10" s="19" t="s">
        <v>4</v>
      </c>
      <c r="E10" s="19" t="s">
        <v>45</v>
      </c>
      <c r="F10" s="19" t="s">
        <v>53</v>
      </c>
    </row>
    <row r="11" spans="1:6" x14ac:dyDescent="0.3">
      <c r="A11" s="32">
        <v>1</v>
      </c>
      <c r="B11" s="31">
        <v>1</v>
      </c>
      <c r="C11" s="31" t="s">
        <v>85</v>
      </c>
      <c r="D11" s="31" t="s">
        <v>44</v>
      </c>
      <c r="E11" s="31" t="s">
        <v>14</v>
      </c>
      <c r="F11" s="31" t="s">
        <v>53</v>
      </c>
    </row>
    <row r="12" spans="1:6" x14ac:dyDescent="0.3">
      <c r="A12" s="16">
        <v>1</v>
      </c>
      <c r="B12" s="18">
        <v>1</v>
      </c>
      <c r="C12" s="17" t="s">
        <v>85</v>
      </c>
      <c r="D12" s="12" t="s">
        <v>33</v>
      </c>
      <c r="E12" s="19" t="s">
        <v>46</v>
      </c>
      <c r="F12" s="19" t="s">
        <v>75</v>
      </c>
    </row>
    <row r="13" spans="1:6" x14ac:dyDescent="0.3">
      <c r="A13" s="32">
        <v>1</v>
      </c>
      <c r="B13" s="31">
        <v>1</v>
      </c>
      <c r="C13" s="31" t="s">
        <v>85</v>
      </c>
      <c r="D13" s="31" t="s">
        <v>4</v>
      </c>
      <c r="E13" s="31" t="s">
        <v>45</v>
      </c>
      <c r="F13" s="31" t="s">
        <v>49</v>
      </c>
    </row>
    <row r="14" spans="1:6" x14ac:dyDescent="0.3">
      <c r="A14" s="16">
        <v>1</v>
      </c>
      <c r="B14" s="19">
        <v>2</v>
      </c>
      <c r="C14" s="19" t="s">
        <v>84</v>
      </c>
      <c r="D14" s="19" t="s">
        <v>44</v>
      </c>
      <c r="E14" s="19" t="s">
        <v>14</v>
      </c>
      <c r="F14" s="19" t="s">
        <v>49</v>
      </c>
    </row>
    <row r="15" spans="1:6" x14ac:dyDescent="0.3">
      <c r="A15" s="32">
        <v>1</v>
      </c>
      <c r="B15" s="31">
        <v>2</v>
      </c>
      <c r="C15" s="31" t="s">
        <v>84</v>
      </c>
      <c r="D15" s="31" t="s">
        <v>4</v>
      </c>
      <c r="E15" s="31" t="s">
        <v>45</v>
      </c>
      <c r="F15" s="31" t="s">
        <v>48</v>
      </c>
    </row>
    <row r="16" spans="1:6" x14ac:dyDescent="0.3">
      <c r="A16" s="16">
        <v>1</v>
      </c>
      <c r="B16" s="19">
        <v>1</v>
      </c>
      <c r="C16" s="19" t="s">
        <v>85</v>
      </c>
      <c r="D16" s="19" t="s">
        <v>44</v>
      </c>
      <c r="E16" s="19" t="s">
        <v>14</v>
      </c>
      <c r="F16" s="19" t="s">
        <v>48</v>
      </c>
    </row>
    <row r="17" spans="1:6" x14ac:dyDescent="0.3">
      <c r="A17" s="32">
        <v>1</v>
      </c>
      <c r="B17" s="18">
        <v>2</v>
      </c>
      <c r="C17" s="18" t="s">
        <v>84</v>
      </c>
      <c r="D17" s="12" t="s">
        <v>33</v>
      </c>
      <c r="E17" s="31" t="s">
        <v>46</v>
      </c>
      <c r="F17" s="31" t="s">
        <v>72</v>
      </c>
    </row>
    <row r="18" spans="1:6" x14ac:dyDescent="0.3">
      <c r="A18" s="16">
        <v>1</v>
      </c>
      <c r="B18" s="19">
        <v>1</v>
      </c>
      <c r="C18" s="19" t="s">
        <v>85</v>
      </c>
      <c r="D18" s="19" t="s">
        <v>4</v>
      </c>
      <c r="E18" s="19" t="s">
        <v>45</v>
      </c>
      <c r="F18" s="19" t="s">
        <v>50</v>
      </c>
    </row>
    <row r="19" spans="1:6" x14ac:dyDescent="0.3">
      <c r="A19" s="32">
        <v>1</v>
      </c>
      <c r="B19" s="31">
        <v>1</v>
      </c>
      <c r="C19" s="19" t="s">
        <v>85</v>
      </c>
      <c r="D19" s="31" t="s">
        <v>44</v>
      </c>
      <c r="E19" s="31" t="s">
        <v>13</v>
      </c>
      <c r="F19" s="31" t="s">
        <v>50</v>
      </c>
    </row>
    <row r="20" spans="1:6" x14ac:dyDescent="0.3">
      <c r="A20" s="16">
        <v>1</v>
      </c>
      <c r="B20" s="18">
        <v>1</v>
      </c>
      <c r="C20" s="17" t="s">
        <v>85</v>
      </c>
      <c r="D20" s="12" t="s">
        <v>33</v>
      </c>
      <c r="E20" s="19" t="s">
        <v>46</v>
      </c>
      <c r="F20" s="19" t="s">
        <v>71</v>
      </c>
    </row>
    <row r="21" spans="1:6" x14ac:dyDescent="0.3">
      <c r="A21" s="32">
        <v>1</v>
      </c>
      <c r="B21" s="18">
        <v>2</v>
      </c>
      <c r="C21" s="18" t="s">
        <v>84</v>
      </c>
      <c r="D21" s="12" t="s">
        <v>33</v>
      </c>
      <c r="E21" s="31" t="s">
        <v>46</v>
      </c>
      <c r="F21" s="31" t="s">
        <v>77</v>
      </c>
    </row>
    <row r="22" spans="1:6" x14ac:dyDescent="0.3">
      <c r="A22" s="16">
        <v>1</v>
      </c>
      <c r="B22" s="19">
        <v>1</v>
      </c>
      <c r="C22" s="19" t="s">
        <v>85</v>
      </c>
      <c r="D22" s="19" t="s">
        <v>4</v>
      </c>
      <c r="E22" s="19" t="s">
        <v>45</v>
      </c>
      <c r="F22" s="19" t="s">
        <v>47</v>
      </c>
    </row>
    <row r="23" spans="1:6" x14ac:dyDescent="0.3">
      <c r="A23" s="32">
        <v>1</v>
      </c>
      <c r="B23" s="31">
        <v>1</v>
      </c>
      <c r="C23" s="19" t="s">
        <v>85</v>
      </c>
      <c r="D23" s="31" t="s">
        <v>44</v>
      </c>
      <c r="E23" s="31" t="s">
        <v>13</v>
      </c>
      <c r="F23" s="31" t="s">
        <v>47</v>
      </c>
    </row>
    <row r="24" spans="1:6" x14ac:dyDescent="0.3">
      <c r="A24" s="16">
        <v>1</v>
      </c>
      <c r="B24" s="19">
        <v>1</v>
      </c>
      <c r="C24" s="19" t="s">
        <v>85</v>
      </c>
      <c r="D24" s="19" t="s">
        <v>4</v>
      </c>
      <c r="E24" s="19" t="s">
        <v>45</v>
      </c>
      <c r="F24" s="19" t="s">
        <v>52</v>
      </c>
    </row>
    <row r="25" spans="1:6" x14ac:dyDescent="0.3">
      <c r="A25" s="32">
        <v>1</v>
      </c>
      <c r="B25" s="31">
        <v>2</v>
      </c>
      <c r="C25" s="31" t="s">
        <v>84</v>
      </c>
      <c r="D25" s="31" t="s">
        <v>44</v>
      </c>
      <c r="E25" s="31" t="s">
        <v>14</v>
      </c>
      <c r="F25" s="31" t="s">
        <v>52</v>
      </c>
    </row>
    <row r="26" spans="1:6" x14ac:dyDescent="0.3">
      <c r="A26" s="8">
        <v>2</v>
      </c>
      <c r="B26" s="8">
        <v>1</v>
      </c>
      <c r="C26" s="8" t="s">
        <v>85</v>
      </c>
      <c r="D26" s="8" t="s">
        <v>4</v>
      </c>
      <c r="E26" s="8" t="s">
        <v>45</v>
      </c>
      <c r="F26" s="8" t="s">
        <v>55</v>
      </c>
    </row>
    <row r="27" spans="1:6" x14ac:dyDescent="0.3">
      <c r="A27" s="19">
        <v>2</v>
      </c>
      <c r="B27" s="19">
        <v>1</v>
      </c>
      <c r="C27" s="19" t="s">
        <v>85</v>
      </c>
      <c r="D27" s="19" t="s">
        <v>44</v>
      </c>
      <c r="E27" s="19" t="s">
        <v>13</v>
      </c>
      <c r="F27" s="19" t="s">
        <v>55</v>
      </c>
    </row>
    <row r="28" spans="1:6" x14ac:dyDescent="0.3">
      <c r="A28" s="8">
        <v>2</v>
      </c>
      <c r="B28" s="13">
        <v>2</v>
      </c>
      <c r="C28" s="13" t="s">
        <v>84</v>
      </c>
      <c r="D28" s="13" t="s">
        <v>33</v>
      </c>
      <c r="E28" s="8" t="s">
        <v>46</v>
      </c>
      <c r="F28" s="8" t="s">
        <v>51</v>
      </c>
    </row>
    <row r="29" spans="1:6" x14ac:dyDescent="0.3">
      <c r="A29" s="19">
        <v>2</v>
      </c>
      <c r="B29" s="19">
        <v>1</v>
      </c>
      <c r="C29" s="19" t="s">
        <v>85</v>
      </c>
      <c r="D29" s="19" t="s">
        <v>4</v>
      </c>
      <c r="E29" s="19" t="s">
        <v>45</v>
      </c>
      <c r="F29" s="19" t="s">
        <v>59</v>
      </c>
    </row>
    <row r="30" spans="1:6" x14ac:dyDescent="0.3">
      <c r="A30" s="8">
        <v>2</v>
      </c>
      <c r="B30" s="8">
        <v>1</v>
      </c>
      <c r="C30" s="8" t="s">
        <v>85</v>
      </c>
      <c r="D30" s="8" t="s">
        <v>44</v>
      </c>
      <c r="E30" s="8" t="s">
        <v>13</v>
      </c>
      <c r="F30" s="8" t="s">
        <v>59</v>
      </c>
    </row>
    <row r="31" spans="1:6" x14ac:dyDescent="0.3">
      <c r="A31" s="19">
        <v>2</v>
      </c>
      <c r="B31" s="13">
        <v>2</v>
      </c>
      <c r="C31" s="13" t="s">
        <v>84</v>
      </c>
      <c r="D31" s="13" t="s">
        <v>33</v>
      </c>
      <c r="E31" s="19" t="s">
        <v>46</v>
      </c>
      <c r="F31" s="19" t="s">
        <v>54</v>
      </c>
    </row>
    <row r="32" spans="1:6" x14ac:dyDescent="0.3">
      <c r="A32" s="19">
        <v>2</v>
      </c>
      <c r="B32" s="19">
        <v>1</v>
      </c>
      <c r="C32" s="19" t="s">
        <v>85</v>
      </c>
      <c r="D32" s="19" t="s">
        <v>4</v>
      </c>
      <c r="E32" s="19" t="s">
        <v>45</v>
      </c>
      <c r="F32" s="19" t="s">
        <v>57</v>
      </c>
    </row>
    <row r="33" spans="1:6" x14ac:dyDescent="0.3">
      <c r="A33" s="31">
        <v>2</v>
      </c>
      <c r="B33" s="31">
        <v>1</v>
      </c>
      <c r="C33" s="31" t="s">
        <v>84</v>
      </c>
      <c r="D33" s="31" t="s">
        <v>44</v>
      </c>
      <c r="E33" s="31" t="s">
        <v>14</v>
      </c>
      <c r="F33" s="31" t="s">
        <v>57</v>
      </c>
    </row>
    <row r="34" spans="1:6" x14ac:dyDescent="0.3">
      <c r="A34" s="8">
        <v>2</v>
      </c>
      <c r="B34" s="8">
        <v>2</v>
      </c>
      <c r="C34" s="8" t="s">
        <v>84</v>
      </c>
      <c r="D34" s="8" t="s">
        <v>4</v>
      </c>
      <c r="E34" s="8" t="s">
        <v>45</v>
      </c>
      <c r="F34" s="8" t="s">
        <v>61</v>
      </c>
    </row>
    <row r="35" spans="1:6" x14ac:dyDescent="0.3">
      <c r="A35" s="19">
        <v>2</v>
      </c>
      <c r="B35" s="19">
        <v>1</v>
      </c>
      <c r="C35" s="19" t="s">
        <v>85</v>
      </c>
      <c r="D35" s="19" t="s">
        <v>44</v>
      </c>
      <c r="E35" s="19" t="s">
        <v>14</v>
      </c>
      <c r="F35" s="19" t="s">
        <v>61</v>
      </c>
    </row>
    <row r="36" spans="1:6" x14ac:dyDescent="0.3">
      <c r="A36" s="8">
        <v>2</v>
      </c>
      <c r="B36" s="13">
        <v>1</v>
      </c>
      <c r="C36" s="13" t="s">
        <v>85</v>
      </c>
      <c r="D36" s="13" t="s">
        <v>33</v>
      </c>
      <c r="E36" s="8" t="s">
        <v>46</v>
      </c>
      <c r="F36" s="8" t="s">
        <v>53</v>
      </c>
    </row>
    <row r="37" spans="1:6" x14ac:dyDescent="0.3">
      <c r="A37" s="19">
        <v>2</v>
      </c>
      <c r="B37" s="13">
        <v>2</v>
      </c>
      <c r="C37" s="13" t="s">
        <v>84</v>
      </c>
      <c r="D37" s="13" t="s">
        <v>33</v>
      </c>
      <c r="E37" s="19" t="s">
        <v>46</v>
      </c>
      <c r="F37" s="19" t="s">
        <v>49</v>
      </c>
    </row>
    <row r="38" spans="1:6" x14ac:dyDescent="0.3">
      <c r="A38" s="8">
        <v>2</v>
      </c>
      <c r="B38" s="13">
        <v>1</v>
      </c>
      <c r="C38" s="13" t="s">
        <v>85</v>
      </c>
      <c r="D38" s="13" t="s">
        <v>33</v>
      </c>
      <c r="E38" s="8" t="s">
        <v>46</v>
      </c>
      <c r="F38" s="8" t="s">
        <v>48</v>
      </c>
    </row>
    <row r="39" spans="1:6" x14ac:dyDescent="0.3">
      <c r="A39" s="19">
        <v>2</v>
      </c>
      <c r="B39" s="19">
        <v>1</v>
      </c>
      <c r="C39" s="19" t="s">
        <v>85</v>
      </c>
      <c r="D39" s="19" t="s">
        <v>4</v>
      </c>
      <c r="E39" s="19" t="s">
        <v>45</v>
      </c>
      <c r="F39" s="19" t="s">
        <v>56</v>
      </c>
    </row>
    <row r="40" spans="1:6" x14ac:dyDescent="0.3">
      <c r="A40" s="8">
        <v>2</v>
      </c>
      <c r="B40" s="8">
        <v>2</v>
      </c>
      <c r="C40" s="8" t="s">
        <v>84</v>
      </c>
      <c r="D40" s="8" t="s">
        <v>44</v>
      </c>
      <c r="E40" s="8" t="s">
        <v>14</v>
      </c>
      <c r="F40" s="8" t="s">
        <v>56</v>
      </c>
    </row>
    <row r="41" spans="1:6" x14ac:dyDescent="0.3">
      <c r="A41" s="19">
        <v>2</v>
      </c>
      <c r="B41" s="19">
        <v>2</v>
      </c>
      <c r="C41" s="19" t="s">
        <v>84</v>
      </c>
      <c r="D41" s="19" t="s">
        <v>4</v>
      </c>
      <c r="E41" s="19" t="s">
        <v>45</v>
      </c>
      <c r="F41" s="19" t="s">
        <v>60</v>
      </c>
    </row>
    <row r="42" spans="1:6" x14ac:dyDescent="0.3">
      <c r="A42" s="8">
        <v>2</v>
      </c>
      <c r="B42" s="8">
        <v>2</v>
      </c>
      <c r="C42" s="8" t="s">
        <v>84</v>
      </c>
      <c r="D42" s="8" t="s">
        <v>44</v>
      </c>
      <c r="E42" s="8" t="s">
        <v>13</v>
      </c>
      <c r="F42" s="8" t="s">
        <v>60</v>
      </c>
    </row>
    <row r="43" spans="1:6" x14ac:dyDescent="0.3">
      <c r="A43" s="19">
        <v>2</v>
      </c>
      <c r="B43" s="13">
        <v>1</v>
      </c>
      <c r="C43" s="13" t="s">
        <v>85</v>
      </c>
      <c r="D43" s="13" t="s">
        <v>33</v>
      </c>
      <c r="E43" s="19" t="s">
        <v>46</v>
      </c>
      <c r="F43" s="19" t="s">
        <v>50</v>
      </c>
    </row>
    <row r="44" spans="1:6" x14ac:dyDescent="0.3">
      <c r="A44" s="8">
        <v>2</v>
      </c>
      <c r="B44" s="8">
        <v>2</v>
      </c>
      <c r="C44" s="8" t="s">
        <v>84</v>
      </c>
      <c r="D44" s="8" t="s">
        <v>4</v>
      </c>
      <c r="E44" s="8" t="s">
        <v>45</v>
      </c>
      <c r="F44" s="8" t="s">
        <v>58</v>
      </c>
    </row>
    <row r="45" spans="1:6" x14ac:dyDescent="0.3">
      <c r="A45" s="19">
        <v>2</v>
      </c>
      <c r="B45" s="19">
        <v>2</v>
      </c>
      <c r="C45" s="19" t="s">
        <v>84</v>
      </c>
      <c r="D45" s="19" t="s">
        <v>44</v>
      </c>
      <c r="E45" s="19" t="s">
        <v>13</v>
      </c>
      <c r="F45" s="19" t="s">
        <v>58</v>
      </c>
    </row>
    <row r="46" spans="1:6" x14ac:dyDescent="0.3">
      <c r="A46" s="8">
        <v>2</v>
      </c>
      <c r="B46" s="13">
        <v>1</v>
      </c>
      <c r="C46" s="13" t="s">
        <v>85</v>
      </c>
      <c r="D46" s="13" t="s">
        <v>33</v>
      </c>
      <c r="E46" s="8" t="s">
        <v>46</v>
      </c>
      <c r="F46" s="8" t="s">
        <v>47</v>
      </c>
    </row>
    <row r="47" spans="1:6" x14ac:dyDescent="0.3">
      <c r="A47" s="19">
        <v>2</v>
      </c>
      <c r="B47" s="13">
        <v>2</v>
      </c>
      <c r="C47" s="13" t="s">
        <v>84</v>
      </c>
      <c r="D47" s="13" t="s">
        <v>33</v>
      </c>
      <c r="E47" s="19" t="s">
        <v>46</v>
      </c>
      <c r="F47" s="19" t="s">
        <v>52</v>
      </c>
    </row>
    <row r="48" spans="1:6" x14ac:dyDescent="0.3">
      <c r="A48" s="8">
        <v>2</v>
      </c>
      <c r="B48" s="8">
        <v>2</v>
      </c>
      <c r="C48" s="8" t="s">
        <v>84</v>
      </c>
      <c r="D48" s="8" t="s">
        <v>4</v>
      </c>
      <c r="E48" s="8" t="s">
        <v>45</v>
      </c>
      <c r="F48" s="8" t="s">
        <v>62</v>
      </c>
    </row>
    <row r="49" spans="1:6" x14ac:dyDescent="0.3">
      <c r="A49" s="19">
        <v>2</v>
      </c>
      <c r="B49" s="19">
        <v>1</v>
      </c>
      <c r="C49" s="19" t="s">
        <v>85</v>
      </c>
      <c r="D49" s="19" t="s">
        <v>44</v>
      </c>
      <c r="E49" s="19" t="s">
        <v>14</v>
      </c>
      <c r="F49" s="19" t="s">
        <v>62</v>
      </c>
    </row>
    <row r="50" spans="1:6" x14ac:dyDescent="0.3">
      <c r="A50" s="16">
        <v>3</v>
      </c>
      <c r="B50" s="19">
        <v>1</v>
      </c>
      <c r="C50" s="19" t="s">
        <v>85</v>
      </c>
      <c r="D50" s="19" t="s">
        <v>4</v>
      </c>
      <c r="E50" s="19" t="s">
        <v>45</v>
      </c>
      <c r="F50" s="19" t="s">
        <v>67</v>
      </c>
    </row>
    <row r="51" spans="1:6" x14ac:dyDescent="0.3">
      <c r="A51" s="32">
        <v>3</v>
      </c>
      <c r="B51" s="31">
        <v>2</v>
      </c>
      <c r="C51" s="31" t="s">
        <v>84</v>
      </c>
      <c r="D51" s="31" t="s">
        <v>44</v>
      </c>
      <c r="E51" s="31" t="s">
        <v>14</v>
      </c>
      <c r="F51" s="31" t="s">
        <v>67</v>
      </c>
    </row>
    <row r="52" spans="1:6" x14ac:dyDescent="0.3">
      <c r="A52" s="16">
        <v>3</v>
      </c>
      <c r="B52" s="19">
        <v>2</v>
      </c>
      <c r="C52" s="19" t="s">
        <v>84</v>
      </c>
      <c r="D52" s="19" t="s">
        <v>4</v>
      </c>
      <c r="E52" s="19" t="s">
        <v>45</v>
      </c>
      <c r="F52" s="19" t="s">
        <v>63</v>
      </c>
    </row>
    <row r="53" spans="1:6" x14ac:dyDescent="0.3">
      <c r="A53" s="32">
        <v>3</v>
      </c>
      <c r="B53" s="31">
        <v>1</v>
      </c>
      <c r="C53" s="31" t="s">
        <v>85</v>
      </c>
      <c r="D53" s="31" t="s">
        <v>44</v>
      </c>
      <c r="E53" s="31" t="s">
        <v>14</v>
      </c>
      <c r="F53" s="31" t="s">
        <v>63</v>
      </c>
    </row>
    <row r="54" spans="1:6" x14ac:dyDescent="0.3">
      <c r="A54" s="16">
        <v>3</v>
      </c>
      <c r="B54" s="14">
        <v>2</v>
      </c>
      <c r="C54" s="14" t="s">
        <v>84</v>
      </c>
      <c r="D54" s="14" t="s">
        <v>33</v>
      </c>
      <c r="E54" s="19" t="s">
        <v>46</v>
      </c>
      <c r="F54" s="19" t="s">
        <v>55</v>
      </c>
    </row>
    <row r="55" spans="1:6" x14ac:dyDescent="0.3">
      <c r="A55" s="32">
        <v>3</v>
      </c>
      <c r="B55" s="14">
        <v>1</v>
      </c>
      <c r="C55" s="14" t="s">
        <v>85</v>
      </c>
      <c r="D55" s="14" t="s">
        <v>33</v>
      </c>
      <c r="E55" s="31" t="s">
        <v>46</v>
      </c>
      <c r="F55" s="31" t="s">
        <v>59</v>
      </c>
    </row>
    <row r="56" spans="1:6" x14ac:dyDescent="0.3">
      <c r="A56" s="16">
        <v>3</v>
      </c>
      <c r="B56" s="19">
        <v>1</v>
      </c>
      <c r="C56" s="19" t="s">
        <v>85</v>
      </c>
      <c r="D56" s="19" t="s">
        <v>4</v>
      </c>
      <c r="E56" s="19" t="s">
        <v>45</v>
      </c>
      <c r="F56" s="19" t="s">
        <v>69</v>
      </c>
    </row>
    <row r="57" spans="1:6" x14ac:dyDescent="0.3">
      <c r="A57" s="32">
        <v>3</v>
      </c>
      <c r="B57" s="31">
        <v>2</v>
      </c>
      <c r="C57" s="31" t="s">
        <v>84</v>
      </c>
      <c r="D57" s="31" t="s">
        <v>44</v>
      </c>
      <c r="E57" s="31" t="s">
        <v>14</v>
      </c>
      <c r="F57" s="31" t="s">
        <v>69</v>
      </c>
    </row>
    <row r="58" spans="1:6" x14ac:dyDescent="0.3">
      <c r="A58" s="16">
        <v>3</v>
      </c>
      <c r="B58" s="14">
        <v>1</v>
      </c>
      <c r="C58" s="14" t="s">
        <v>85</v>
      </c>
      <c r="D58" s="14" t="s">
        <v>33</v>
      </c>
      <c r="E58" s="19" t="s">
        <v>46</v>
      </c>
      <c r="F58" s="19" t="s">
        <v>57</v>
      </c>
    </row>
    <row r="59" spans="1:6" x14ac:dyDescent="0.3">
      <c r="A59" s="32">
        <v>3</v>
      </c>
      <c r="B59" s="31">
        <v>2</v>
      </c>
      <c r="C59" s="31" t="s">
        <v>84</v>
      </c>
      <c r="D59" s="31" t="s">
        <v>4</v>
      </c>
      <c r="E59" s="31" t="s">
        <v>45</v>
      </c>
      <c r="F59" s="31" t="s">
        <v>65</v>
      </c>
    </row>
    <row r="60" spans="1:6" x14ac:dyDescent="0.3">
      <c r="A60" s="16">
        <v>3</v>
      </c>
      <c r="B60" s="19">
        <v>2</v>
      </c>
      <c r="C60" s="19" t="s">
        <v>84</v>
      </c>
      <c r="D60" s="19" t="s">
        <v>44</v>
      </c>
      <c r="E60" s="19" t="s">
        <v>13</v>
      </c>
      <c r="F60" s="19" t="s">
        <v>65</v>
      </c>
    </row>
    <row r="61" spans="1:6" x14ac:dyDescent="0.3">
      <c r="A61" s="32">
        <v>3</v>
      </c>
      <c r="B61" s="14">
        <v>1</v>
      </c>
      <c r="C61" s="14" t="s">
        <v>85</v>
      </c>
      <c r="D61" s="14" t="s">
        <v>33</v>
      </c>
      <c r="E61" s="31" t="s">
        <v>46</v>
      </c>
      <c r="F61" s="31" t="s">
        <v>61</v>
      </c>
    </row>
    <row r="62" spans="1:6" x14ac:dyDescent="0.3">
      <c r="A62" s="16">
        <v>3</v>
      </c>
      <c r="B62" s="14">
        <v>1</v>
      </c>
      <c r="C62" s="14" t="s">
        <v>85</v>
      </c>
      <c r="D62" s="14" t="s">
        <v>33</v>
      </c>
      <c r="E62" s="19" t="s">
        <v>46</v>
      </c>
      <c r="F62" s="19" t="s">
        <v>56</v>
      </c>
    </row>
    <row r="63" spans="1:6" x14ac:dyDescent="0.3">
      <c r="A63" s="32">
        <v>3</v>
      </c>
      <c r="B63" s="31">
        <v>2</v>
      </c>
      <c r="C63" s="31" t="s">
        <v>84</v>
      </c>
      <c r="D63" s="31" t="s">
        <v>4</v>
      </c>
      <c r="E63" s="31" t="s">
        <v>45</v>
      </c>
      <c r="F63" s="31" t="s">
        <v>64</v>
      </c>
    </row>
    <row r="64" spans="1:6" x14ac:dyDescent="0.3">
      <c r="A64" s="16">
        <v>3</v>
      </c>
      <c r="B64" s="19">
        <v>2</v>
      </c>
      <c r="C64" s="19" t="s">
        <v>84</v>
      </c>
      <c r="D64" s="19" t="s">
        <v>44</v>
      </c>
      <c r="E64" s="19" t="s">
        <v>13</v>
      </c>
      <c r="F64" s="19" t="s">
        <v>64</v>
      </c>
    </row>
    <row r="65" spans="1:6" x14ac:dyDescent="0.3">
      <c r="A65" s="32">
        <v>3</v>
      </c>
      <c r="B65" s="31">
        <v>2</v>
      </c>
      <c r="C65" s="31" t="s">
        <v>84</v>
      </c>
      <c r="D65" s="31" t="s">
        <v>4</v>
      </c>
      <c r="E65" s="31" t="s">
        <v>45</v>
      </c>
      <c r="F65" s="31" t="s">
        <v>70</v>
      </c>
    </row>
    <row r="66" spans="1:6" x14ac:dyDescent="0.3">
      <c r="A66" s="16">
        <v>3</v>
      </c>
      <c r="B66" s="19">
        <v>1</v>
      </c>
      <c r="C66" s="19" t="s">
        <v>85</v>
      </c>
      <c r="D66" s="19" t="s">
        <v>44</v>
      </c>
      <c r="E66" s="19" t="s">
        <v>14</v>
      </c>
      <c r="F66" s="19" t="s">
        <v>70</v>
      </c>
    </row>
    <row r="67" spans="1:6" x14ac:dyDescent="0.3">
      <c r="A67" s="32">
        <v>3</v>
      </c>
      <c r="B67" s="14">
        <v>2</v>
      </c>
      <c r="C67" s="14" t="s">
        <v>84</v>
      </c>
      <c r="D67" s="14" t="s">
        <v>33</v>
      </c>
      <c r="E67" s="31" t="s">
        <v>46</v>
      </c>
      <c r="F67" s="31" t="s">
        <v>60</v>
      </c>
    </row>
    <row r="68" spans="1:6" x14ac:dyDescent="0.3">
      <c r="A68" s="16">
        <v>3</v>
      </c>
      <c r="B68" s="14">
        <v>2</v>
      </c>
      <c r="C68" s="14" t="s">
        <v>84</v>
      </c>
      <c r="D68" s="14" t="s">
        <v>33</v>
      </c>
      <c r="E68" s="19" t="s">
        <v>46</v>
      </c>
      <c r="F68" s="19" t="s">
        <v>58</v>
      </c>
    </row>
    <row r="69" spans="1:6" x14ac:dyDescent="0.3">
      <c r="A69" s="32">
        <v>3</v>
      </c>
      <c r="B69" s="31">
        <v>1</v>
      </c>
      <c r="C69" s="31" t="s">
        <v>85</v>
      </c>
      <c r="D69" s="31" t="s">
        <v>4</v>
      </c>
      <c r="E69" s="31" t="s">
        <v>45</v>
      </c>
      <c r="F69" s="31" t="s">
        <v>68</v>
      </c>
    </row>
    <row r="70" spans="1:6" x14ac:dyDescent="0.3">
      <c r="A70" s="16">
        <v>3</v>
      </c>
      <c r="B70" s="19">
        <v>1</v>
      </c>
      <c r="C70" s="19" t="s">
        <v>85</v>
      </c>
      <c r="D70" s="19" t="s">
        <v>44</v>
      </c>
      <c r="E70" s="19" t="s">
        <v>13</v>
      </c>
      <c r="F70" s="19" t="s">
        <v>68</v>
      </c>
    </row>
    <row r="71" spans="1:6" x14ac:dyDescent="0.3">
      <c r="A71" s="32">
        <v>3</v>
      </c>
      <c r="B71" s="14">
        <v>2</v>
      </c>
      <c r="C71" s="14" t="s">
        <v>84</v>
      </c>
      <c r="D71" s="14" t="s">
        <v>33</v>
      </c>
      <c r="E71" s="31" t="s">
        <v>46</v>
      </c>
      <c r="F71" s="31" t="s">
        <v>62</v>
      </c>
    </row>
    <row r="72" spans="1:6" x14ac:dyDescent="0.3">
      <c r="A72" s="16">
        <v>3</v>
      </c>
      <c r="B72" s="19">
        <v>1</v>
      </c>
      <c r="C72" s="19" t="s">
        <v>85</v>
      </c>
      <c r="D72" s="19" t="s">
        <v>4</v>
      </c>
      <c r="E72" s="19" t="s">
        <v>45</v>
      </c>
      <c r="F72" s="19" t="s">
        <v>66</v>
      </c>
    </row>
    <row r="73" spans="1:6" x14ac:dyDescent="0.3">
      <c r="A73" s="32">
        <v>3</v>
      </c>
      <c r="B73" s="31">
        <v>1</v>
      </c>
      <c r="C73" s="31" t="s">
        <v>85</v>
      </c>
      <c r="D73" s="31" t="s">
        <v>44</v>
      </c>
      <c r="E73" s="31" t="s">
        <v>13</v>
      </c>
      <c r="F73" s="31" t="s">
        <v>66</v>
      </c>
    </row>
    <row r="74" spans="1:6" x14ac:dyDescent="0.3">
      <c r="A74" s="8">
        <v>4</v>
      </c>
      <c r="B74" s="15">
        <v>2</v>
      </c>
      <c r="C74" s="15" t="s">
        <v>84</v>
      </c>
      <c r="D74" s="15" t="s">
        <v>33</v>
      </c>
      <c r="E74" s="8" t="s">
        <v>46</v>
      </c>
      <c r="F74" s="8" t="s">
        <v>67</v>
      </c>
    </row>
    <row r="75" spans="1:6" x14ac:dyDescent="0.3">
      <c r="A75" s="19">
        <v>4</v>
      </c>
      <c r="B75" s="15">
        <v>2</v>
      </c>
      <c r="C75" s="15" t="s">
        <v>84</v>
      </c>
      <c r="D75" s="15" t="s">
        <v>33</v>
      </c>
      <c r="E75" s="19" t="s">
        <v>46</v>
      </c>
      <c r="F75" s="19" t="s">
        <v>63</v>
      </c>
    </row>
    <row r="76" spans="1:6" x14ac:dyDescent="0.3">
      <c r="A76" s="8">
        <v>4</v>
      </c>
      <c r="B76" s="8">
        <v>1</v>
      </c>
      <c r="C76" s="8" t="s">
        <v>85</v>
      </c>
      <c r="D76" s="8" t="s">
        <v>4</v>
      </c>
      <c r="E76" s="8" t="s">
        <v>45</v>
      </c>
      <c r="F76" s="8" t="s">
        <v>73</v>
      </c>
    </row>
    <row r="77" spans="1:6" x14ac:dyDescent="0.3">
      <c r="A77" s="19">
        <v>4</v>
      </c>
      <c r="B77" s="19">
        <v>1</v>
      </c>
      <c r="C77" s="19" t="s">
        <v>85</v>
      </c>
      <c r="D77" s="19" t="s">
        <v>44</v>
      </c>
      <c r="E77" s="19" t="s">
        <v>13</v>
      </c>
      <c r="F77" s="19" t="s">
        <v>73</v>
      </c>
    </row>
    <row r="78" spans="1:6" x14ac:dyDescent="0.3">
      <c r="A78" s="8">
        <v>4</v>
      </c>
      <c r="B78" s="8">
        <v>1</v>
      </c>
      <c r="C78" s="8" t="s">
        <v>85</v>
      </c>
      <c r="D78" s="8" t="s">
        <v>4</v>
      </c>
      <c r="E78" s="8" t="s">
        <v>45</v>
      </c>
      <c r="F78" s="8" t="s">
        <v>76</v>
      </c>
    </row>
    <row r="79" spans="1:6" x14ac:dyDescent="0.3">
      <c r="A79" s="19">
        <v>4</v>
      </c>
      <c r="B79" s="19">
        <v>2</v>
      </c>
      <c r="C79" s="19" t="s">
        <v>84</v>
      </c>
      <c r="D79" s="19" t="s">
        <v>44</v>
      </c>
      <c r="E79" s="19" t="s">
        <v>14</v>
      </c>
      <c r="F79" s="19" t="s">
        <v>76</v>
      </c>
    </row>
    <row r="80" spans="1:6" x14ac:dyDescent="0.3">
      <c r="A80" s="8">
        <v>4</v>
      </c>
      <c r="B80" s="15">
        <v>1</v>
      </c>
      <c r="C80" s="15" t="s">
        <v>85</v>
      </c>
      <c r="D80" s="15" t="s">
        <v>33</v>
      </c>
      <c r="E80" s="8" t="s">
        <v>46</v>
      </c>
      <c r="F80" s="8" t="s">
        <v>69</v>
      </c>
    </row>
    <row r="81" spans="1:6" x14ac:dyDescent="0.3">
      <c r="A81" s="19">
        <v>4</v>
      </c>
      <c r="B81" s="19">
        <v>2</v>
      </c>
      <c r="C81" s="19" t="s">
        <v>84</v>
      </c>
      <c r="D81" s="19" t="s">
        <v>4</v>
      </c>
      <c r="E81" s="19" t="s">
        <v>45</v>
      </c>
      <c r="F81" s="19" t="s">
        <v>74</v>
      </c>
    </row>
    <row r="82" spans="1:6" x14ac:dyDescent="0.3">
      <c r="A82" s="8">
        <v>4</v>
      </c>
      <c r="B82" s="8">
        <v>2</v>
      </c>
      <c r="C82" s="8" t="s">
        <v>84</v>
      </c>
      <c r="D82" s="8" t="s">
        <v>44</v>
      </c>
      <c r="E82" s="8" t="s">
        <v>13</v>
      </c>
      <c r="F82" s="8" t="s">
        <v>74</v>
      </c>
    </row>
    <row r="83" spans="1:6" x14ac:dyDescent="0.3">
      <c r="A83" s="19">
        <v>4</v>
      </c>
      <c r="B83" s="19">
        <v>2</v>
      </c>
      <c r="C83" s="19" t="s">
        <v>84</v>
      </c>
      <c r="D83" s="19" t="s">
        <v>4</v>
      </c>
      <c r="E83" s="19" t="s">
        <v>45</v>
      </c>
      <c r="F83" s="19" t="s">
        <v>78</v>
      </c>
    </row>
    <row r="84" spans="1:6" x14ac:dyDescent="0.3">
      <c r="A84" s="8">
        <v>4</v>
      </c>
      <c r="B84" s="8">
        <v>1</v>
      </c>
      <c r="C84" s="8" t="s">
        <v>85</v>
      </c>
      <c r="D84" s="8" t="s">
        <v>44</v>
      </c>
      <c r="E84" s="8" t="s">
        <v>14</v>
      </c>
      <c r="F84" s="8" t="s">
        <v>78</v>
      </c>
    </row>
    <row r="85" spans="1:6" x14ac:dyDescent="0.3">
      <c r="A85" s="19">
        <v>4</v>
      </c>
      <c r="B85" s="15">
        <v>2</v>
      </c>
      <c r="C85" s="15" t="s">
        <v>84</v>
      </c>
      <c r="D85" s="15" t="s">
        <v>33</v>
      </c>
      <c r="E85" s="19" t="s">
        <v>46</v>
      </c>
      <c r="F85" s="19" t="s">
        <v>65</v>
      </c>
    </row>
    <row r="86" spans="1:6" x14ac:dyDescent="0.3">
      <c r="A86" s="8">
        <v>4</v>
      </c>
      <c r="B86" s="8">
        <v>1</v>
      </c>
      <c r="C86" s="8" t="s">
        <v>85</v>
      </c>
      <c r="D86" s="8" t="s">
        <v>4</v>
      </c>
      <c r="E86" s="8" t="s">
        <v>45</v>
      </c>
      <c r="F86" s="8" t="s">
        <v>75</v>
      </c>
    </row>
    <row r="87" spans="1:6" x14ac:dyDescent="0.3">
      <c r="A87" s="19">
        <v>4</v>
      </c>
      <c r="B87" s="19">
        <v>2</v>
      </c>
      <c r="C87" s="19" t="s">
        <v>84</v>
      </c>
      <c r="D87" s="19" t="s">
        <v>44</v>
      </c>
      <c r="E87" s="19" t="s">
        <v>14</v>
      </c>
      <c r="F87" s="19" t="s">
        <v>75</v>
      </c>
    </row>
    <row r="88" spans="1:6" x14ac:dyDescent="0.3">
      <c r="A88" s="8">
        <v>4</v>
      </c>
      <c r="B88" s="8">
        <v>2</v>
      </c>
      <c r="C88" s="8" t="s">
        <v>84</v>
      </c>
      <c r="D88" s="8" t="s">
        <v>4</v>
      </c>
      <c r="E88" s="8" t="s">
        <v>45</v>
      </c>
      <c r="F88" s="8" t="s">
        <v>72</v>
      </c>
    </row>
    <row r="89" spans="1:6" x14ac:dyDescent="0.3">
      <c r="A89" s="19">
        <v>4</v>
      </c>
      <c r="B89" s="19">
        <v>2</v>
      </c>
      <c r="C89" s="19" t="s">
        <v>84</v>
      </c>
      <c r="D89" s="19" t="s">
        <v>44</v>
      </c>
      <c r="E89" s="19" t="s">
        <v>13</v>
      </c>
      <c r="F89" s="19" t="s">
        <v>72</v>
      </c>
    </row>
    <row r="90" spans="1:6" x14ac:dyDescent="0.3">
      <c r="A90" s="19">
        <v>4</v>
      </c>
      <c r="B90" s="15">
        <v>1</v>
      </c>
      <c r="C90" s="15" t="s">
        <v>85</v>
      </c>
      <c r="D90" s="15" t="s">
        <v>33</v>
      </c>
      <c r="E90" s="19" t="s">
        <v>46</v>
      </c>
      <c r="F90" s="19" t="s">
        <v>64</v>
      </c>
    </row>
    <row r="91" spans="1:6" x14ac:dyDescent="0.3">
      <c r="A91" s="8">
        <v>4</v>
      </c>
      <c r="B91" s="15">
        <v>1</v>
      </c>
      <c r="C91" s="15" t="s">
        <v>85</v>
      </c>
      <c r="D91" s="15" t="s">
        <v>33</v>
      </c>
      <c r="E91" s="8" t="s">
        <v>46</v>
      </c>
      <c r="F91" s="8" t="s">
        <v>70</v>
      </c>
    </row>
    <row r="92" spans="1:6" x14ac:dyDescent="0.3">
      <c r="A92" s="8">
        <v>4</v>
      </c>
      <c r="B92" s="8">
        <v>2</v>
      </c>
      <c r="C92" s="8" t="s">
        <v>84</v>
      </c>
      <c r="D92" s="8" t="s">
        <v>4</v>
      </c>
      <c r="E92" s="8" t="s">
        <v>45</v>
      </c>
      <c r="F92" s="8" t="s">
        <v>71</v>
      </c>
    </row>
    <row r="93" spans="1:6" x14ac:dyDescent="0.3">
      <c r="A93" s="19">
        <v>4</v>
      </c>
      <c r="B93" s="19">
        <v>1</v>
      </c>
      <c r="C93" s="19" t="s">
        <v>85</v>
      </c>
      <c r="D93" s="19" t="s">
        <v>44</v>
      </c>
      <c r="E93" s="19" t="s">
        <v>14</v>
      </c>
      <c r="F93" s="19" t="s">
        <v>71</v>
      </c>
    </row>
    <row r="94" spans="1:6" x14ac:dyDescent="0.3">
      <c r="A94" s="8">
        <v>4</v>
      </c>
      <c r="B94" s="8">
        <v>1</v>
      </c>
      <c r="C94" s="8" t="s">
        <v>85</v>
      </c>
      <c r="D94" s="8" t="s">
        <v>4</v>
      </c>
      <c r="E94" s="8" t="s">
        <v>45</v>
      </c>
      <c r="F94" s="8" t="s">
        <v>77</v>
      </c>
    </row>
    <row r="95" spans="1:6" x14ac:dyDescent="0.3">
      <c r="A95" s="19">
        <v>4</v>
      </c>
      <c r="B95" s="19">
        <v>1</v>
      </c>
      <c r="C95" s="19" t="s">
        <v>85</v>
      </c>
      <c r="D95" s="19" t="s">
        <v>44</v>
      </c>
      <c r="E95" s="19" t="s">
        <v>13</v>
      </c>
      <c r="F95" s="19" t="s">
        <v>77</v>
      </c>
    </row>
    <row r="96" spans="1:6" x14ac:dyDescent="0.3">
      <c r="A96" s="8">
        <v>4</v>
      </c>
      <c r="B96" s="15">
        <v>2</v>
      </c>
      <c r="C96" s="15" t="s">
        <v>84</v>
      </c>
      <c r="D96" s="15" t="s">
        <v>33</v>
      </c>
      <c r="E96" s="8" t="s">
        <v>46</v>
      </c>
      <c r="F96" s="8" t="s">
        <v>68</v>
      </c>
    </row>
    <row r="97" spans="1:6" x14ac:dyDescent="0.3">
      <c r="A97" s="34">
        <v>4</v>
      </c>
      <c r="B97" s="35">
        <v>1</v>
      </c>
      <c r="C97" s="35" t="s">
        <v>85</v>
      </c>
      <c r="D97" s="35" t="s">
        <v>33</v>
      </c>
      <c r="E97" s="34" t="s">
        <v>46</v>
      </c>
      <c r="F97" s="34" t="s">
        <v>66</v>
      </c>
    </row>
    <row r="98" spans="1:6" x14ac:dyDescent="0.3">
      <c r="A98" s="33" t="s">
        <v>29</v>
      </c>
      <c r="B98" s="33"/>
      <c r="C98" s="33"/>
      <c r="D98" s="33"/>
      <c r="E98" s="33"/>
      <c r="F98" s="33"/>
    </row>
    <row r="99" spans="1:6" x14ac:dyDescent="0.3">
      <c r="A99" s="16">
        <v>1</v>
      </c>
      <c r="B99" s="18">
        <v>2</v>
      </c>
      <c r="C99" s="17" t="s">
        <v>84</v>
      </c>
      <c r="D99" s="12" t="s">
        <v>33</v>
      </c>
      <c r="E99" s="19" t="s">
        <v>46</v>
      </c>
      <c r="F99" s="19" t="s">
        <v>75</v>
      </c>
    </row>
    <row r="100" spans="1:6" x14ac:dyDescent="0.3">
      <c r="A100" s="11">
        <v>1</v>
      </c>
      <c r="B100" s="11">
        <v>2</v>
      </c>
      <c r="C100" s="11" t="s">
        <v>84</v>
      </c>
      <c r="D100" s="8" t="s">
        <v>4</v>
      </c>
      <c r="E100" s="8" t="s">
        <v>45</v>
      </c>
      <c r="F100" s="8" t="s">
        <v>53</v>
      </c>
    </row>
    <row r="101" spans="1:6" x14ac:dyDescent="0.3">
      <c r="A101" s="16">
        <v>1</v>
      </c>
      <c r="B101" s="16">
        <v>2</v>
      </c>
      <c r="C101" s="16" t="s">
        <v>84</v>
      </c>
      <c r="D101" s="19" t="s">
        <v>44</v>
      </c>
      <c r="E101" s="19" t="s">
        <v>13</v>
      </c>
      <c r="F101" s="19" t="s">
        <v>53</v>
      </c>
    </row>
    <row r="102" spans="1:6" x14ac:dyDescent="0.3">
      <c r="A102" s="11">
        <v>1</v>
      </c>
      <c r="B102" s="18">
        <v>1</v>
      </c>
      <c r="C102" s="18" t="s">
        <v>85</v>
      </c>
      <c r="D102" s="12" t="s">
        <v>33</v>
      </c>
      <c r="E102" s="8" t="s">
        <v>46</v>
      </c>
      <c r="F102" s="8" t="s">
        <v>73</v>
      </c>
    </row>
    <row r="103" spans="1:6" x14ac:dyDescent="0.3">
      <c r="A103" s="16">
        <v>1</v>
      </c>
      <c r="B103" s="18">
        <v>1</v>
      </c>
      <c r="C103" s="18" t="s">
        <v>85</v>
      </c>
      <c r="D103" s="12" t="s">
        <v>33</v>
      </c>
      <c r="E103" s="19" t="s">
        <v>46</v>
      </c>
      <c r="F103" s="19" t="s">
        <v>77</v>
      </c>
    </row>
    <row r="104" spans="1:6" x14ac:dyDescent="0.3">
      <c r="A104" s="11">
        <v>1</v>
      </c>
      <c r="B104" s="11">
        <v>2</v>
      </c>
      <c r="C104" s="11" t="s">
        <v>84</v>
      </c>
      <c r="D104" s="8" t="s">
        <v>4</v>
      </c>
      <c r="E104" s="8" t="s">
        <v>45</v>
      </c>
      <c r="F104" s="8" t="s">
        <v>52</v>
      </c>
    </row>
    <row r="105" spans="1:6" x14ac:dyDescent="0.3">
      <c r="A105" s="16">
        <v>1</v>
      </c>
      <c r="B105" s="16">
        <v>2</v>
      </c>
      <c r="C105" s="16" t="s">
        <v>84</v>
      </c>
      <c r="D105" s="19" t="s">
        <v>44</v>
      </c>
      <c r="E105" s="19" t="s">
        <v>13</v>
      </c>
      <c r="F105" s="19" t="s">
        <v>52</v>
      </c>
    </row>
    <row r="106" spans="1:6" x14ac:dyDescent="0.3">
      <c r="A106" s="11">
        <v>1</v>
      </c>
      <c r="B106" s="11">
        <v>2</v>
      </c>
      <c r="C106" s="11" t="s">
        <v>84</v>
      </c>
      <c r="D106" s="8" t="s">
        <v>4</v>
      </c>
      <c r="E106" s="8" t="s">
        <v>45</v>
      </c>
      <c r="F106" s="8" t="s">
        <v>54</v>
      </c>
    </row>
    <row r="107" spans="1:6" x14ac:dyDescent="0.3">
      <c r="A107" s="16">
        <v>1</v>
      </c>
      <c r="B107" s="16">
        <v>1</v>
      </c>
      <c r="C107" s="16" t="s">
        <v>85</v>
      </c>
      <c r="D107" s="19" t="s">
        <v>44</v>
      </c>
      <c r="E107" s="19" t="s">
        <v>14</v>
      </c>
      <c r="F107" s="19" t="s">
        <v>54</v>
      </c>
    </row>
    <row r="108" spans="1:6" x14ac:dyDescent="0.3">
      <c r="A108" s="11">
        <v>1</v>
      </c>
      <c r="B108" s="18">
        <v>2</v>
      </c>
      <c r="C108" s="18" t="s">
        <v>84</v>
      </c>
      <c r="D108" s="12" t="s">
        <v>33</v>
      </c>
      <c r="E108" s="8" t="s">
        <v>46</v>
      </c>
      <c r="F108" s="8" t="s">
        <v>74</v>
      </c>
    </row>
    <row r="109" spans="1:6" x14ac:dyDescent="0.3">
      <c r="A109" s="16">
        <v>1</v>
      </c>
      <c r="B109" s="16">
        <v>1</v>
      </c>
      <c r="C109" s="16" t="s">
        <v>85</v>
      </c>
      <c r="D109" s="19" t="s">
        <v>4</v>
      </c>
      <c r="E109" s="19" t="s">
        <v>45</v>
      </c>
      <c r="F109" s="19" t="s">
        <v>47</v>
      </c>
    </row>
    <row r="110" spans="1:6" x14ac:dyDescent="0.3">
      <c r="A110" s="11">
        <v>1</v>
      </c>
      <c r="B110" s="11">
        <v>2</v>
      </c>
      <c r="C110" s="11" t="s">
        <v>84</v>
      </c>
      <c r="D110" s="8" t="s">
        <v>44</v>
      </c>
      <c r="E110" s="8" t="s">
        <v>14</v>
      </c>
      <c r="F110" s="8" t="s">
        <v>47</v>
      </c>
    </row>
    <row r="111" spans="1:6" x14ac:dyDescent="0.3">
      <c r="A111" s="16">
        <v>1</v>
      </c>
      <c r="B111" s="16">
        <v>2</v>
      </c>
      <c r="C111" s="16" t="s">
        <v>84</v>
      </c>
      <c r="D111" s="19" t="s">
        <v>4</v>
      </c>
      <c r="E111" s="19" t="s">
        <v>45</v>
      </c>
      <c r="F111" s="19" t="s">
        <v>50</v>
      </c>
    </row>
    <row r="112" spans="1:6" x14ac:dyDescent="0.3">
      <c r="A112" s="11">
        <v>1</v>
      </c>
      <c r="B112" s="11">
        <v>1</v>
      </c>
      <c r="C112" s="11" t="s">
        <v>85</v>
      </c>
      <c r="D112" s="8" t="s">
        <v>44</v>
      </c>
      <c r="E112" s="8" t="s">
        <v>14</v>
      </c>
      <c r="F112" s="8" t="s">
        <v>50</v>
      </c>
    </row>
    <row r="113" spans="1:6" x14ac:dyDescent="0.3">
      <c r="A113" s="16">
        <v>1</v>
      </c>
      <c r="B113" s="18">
        <v>1</v>
      </c>
      <c r="C113" s="17" t="s">
        <v>85</v>
      </c>
      <c r="D113" s="12" t="s">
        <v>33</v>
      </c>
      <c r="E113" s="19" t="s">
        <v>46</v>
      </c>
      <c r="F113" s="19" t="s">
        <v>78</v>
      </c>
    </row>
    <row r="114" spans="1:6" x14ac:dyDescent="0.3">
      <c r="A114" s="11">
        <v>1</v>
      </c>
      <c r="B114" s="18">
        <v>2</v>
      </c>
      <c r="C114" s="18" t="s">
        <v>84</v>
      </c>
      <c r="D114" s="12" t="s">
        <v>33</v>
      </c>
      <c r="E114" s="8" t="s">
        <v>46</v>
      </c>
      <c r="F114" s="8" t="s">
        <v>71</v>
      </c>
    </row>
    <row r="115" spans="1:6" x14ac:dyDescent="0.3">
      <c r="A115" s="16">
        <v>1</v>
      </c>
      <c r="B115" s="16">
        <v>1</v>
      </c>
      <c r="C115" s="16" t="s">
        <v>85</v>
      </c>
      <c r="D115" s="19" t="s">
        <v>4</v>
      </c>
      <c r="E115" s="19" t="s">
        <v>45</v>
      </c>
      <c r="F115" s="19" t="s">
        <v>48</v>
      </c>
    </row>
    <row r="116" spans="1:6" x14ac:dyDescent="0.3">
      <c r="A116" s="11">
        <v>1</v>
      </c>
      <c r="B116" s="11">
        <v>1</v>
      </c>
      <c r="C116" s="16" t="s">
        <v>85</v>
      </c>
      <c r="D116" s="8" t="s">
        <v>44</v>
      </c>
      <c r="E116" s="8" t="s">
        <v>13</v>
      </c>
      <c r="F116" s="8" t="s">
        <v>48</v>
      </c>
    </row>
    <row r="117" spans="1:6" x14ac:dyDescent="0.3">
      <c r="A117" s="16">
        <v>1</v>
      </c>
      <c r="B117" s="18">
        <v>1</v>
      </c>
      <c r="C117" s="17" t="s">
        <v>85</v>
      </c>
      <c r="D117" s="12" t="s">
        <v>33</v>
      </c>
      <c r="E117" s="19" t="s">
        <v>46</v>
      </c>
      <c r="F117" s="19" t="s">
        <v>76</v>
      </c>
    </row>
    <row r="118" spans="1:6" x14ac:dyDescent="0.3">
      <c r="A118" s="11">
        <v>1</v>
      </c>
      <c r="B118" s="18">
        <v>2</v>
      </c>
      <c r="C118" s="18" t="s">
        <v>84</v>
      </c>
      <c r="D118" s="12" t="s">
        <v>33</v>
      </c>
      <c r="E118" s="8" t="s">
        <v>46</v>
      </c>
      <c r="F118" s="8" t="s">
        <v>72</v>
      </c>
    </row>
    <row r="119" spans="1:6" x14ac:dyDescent="0.3">
      <c r="A119" s="16">
        <v>1</v>
      </c>
      <c r="B119" s="16">
        <v>1</v>
      </c>
      <c r="C119" s="16" t="s">
        <v>85</v>
      </c>
      <c r="D119" s="19" t="s">
        <v>4</v>
      </c>
      <c r="E119" s="19" t="s">
        <v>45</v>
      </c>
      <c r="F119" s="19" t="s">
        <v>49</v>
      </c>
    </row>
    <row r="120" spans="1:6" x14ac:dyDescent="0.3">
      <c r="A120" s="11">
        <v>1</v>
      </c>
      <c r="B120" s="11">
        <v>1</v>
      </c>
      <c r="C120" s="16" t="s">
        <v>85</v>
      </c>
      <c r="D120" s="8" t="s">
        <v>44</v>
      </c>
      <c r="E120" s="8" t="s">
        <v>13</v>
      </c>
      <c r="F120" s="8" t="s">
        <v>49</v>
      </c>
    </row>
    <row r="121" spans="1:6" x14ac:dyDescent="0.3">
      <c r="A121" s="16">
        <v>1</v>
      </c>
      <c r="B121" s="16">
        <v>1</v>
      </c>
      <c r="C121" s="16" t="s">
        <v>85</v>
      </c>
      <c r="D121" s="19" t="s">
        <v>4</v>
      </c>
      <c r="E121" s="19" t="s">
        <v>45</v>
      </c>
      <c r="F121" s="19" t="s">
        <v>51</v>
      </c>
    </row>
    <row r="122" spans="1:6" x14ac:dyDescent="0.3">
      <c r="A122" s="11">
        <v>1</v>
      </c>
      <c r="B122" s="11">
        <v>2</v>
      </c>
      <c r="C122" s="11" t="s">
        <v>84</v>
      </c>
      <c r="D122" s="8" t="s">
        <v>44</v>
      </c>
      <c r="E122" s="8" t="s">
        <v>14</v>
      </c>
      <c r="F122" s="8" t="s">
        <v>51</v>
      </c>
    </row>
    <row r="123" spans="1:6" x14ac:dyDescent="0.3">
      <c r="A123" s="31">
        <v>2</v>
      </c>
      <c r="B123" s="32">
        <v>1</v>
      </c>
      <c r="C123" s="31" t="s">
        <v>85</v>
      </c>
      <c r="D123" s="31" t="s">
        <v>4</v>
      </c>
      <c r="E123" s="31" t="s">
        <v>45</v>
      </c>
      <c r="F123" s="31" t="s">
        <v>56</v>
      </c>
    </row>
    <row r="124" spans="1:6" x14ac:dyDescent="0.3">
      <c r="A124" s="19">
        <v>2</v>
      </c>
      <c r="B124" s="16">
        <v>1</v>
      </c>
      <c r="C124" s="19" t="s">
        <v>85</v>
      </c>
      <c r="D124" s="19" t="s">
        <v>44</v>
      </c>
      <c r="E124" s="19" t="s">
        <v>13</v>
      </c>
      <c r="F124" s="19" t="s">
        <v>56</v>
      </c>
    </row>
    <row r="125" spans="1:6" x14ac:dyDescent="0.3">
      <c r="A125" s="31">
        <v>2</v>
      </c>
      <c r="B125" s="13">
        <v>2</v>
      </c>
      <c r="C125" s="13" t="s">
        <v>84</v>
      </c>
      <c r="D125" s="13" t="s">
        <v>33</v>
      </c>
      <c r="E125" s="31" t="s">
        <v>46</v>
      </c>
      <c r="F125" s="31" t="s">
        <v>53</v>
      </c>
    </row>
    <row r="126" spans="1:6" x14ac:dyDescent="0.3">
      <c r="A126" s="19">
        <v>2</v>
      </c>
      <c r="B126" s="13">
        <v>2</v>
      </c>
      <c r="C126" s="13" t="s">
        <v>84</v>
      </c>
      <c r="D126" s="13" t="s">
        <v>33</v>
      </c>
      <c r="E126" s="19" t="s">
        <v>46</v>
      </c>
      <c r="F126" s="19" t="s">
        <v>52</v>
      </c>
    </row>
    <row r="127" spans="1:6" x14ac:dyDescent="0.3">
      <c r="A127" s="31">
        <v>2</v>
      </c>
      <c r="B127" s="32">
        <v>1</v>
      </c>
      <c r="C127" s="32" t="s">
        <v>85</v>
      </c>
      <c r="D127" s="31" t="s">
        <v>4</v>
      </c>
      <c r="E127" s="31" t="s">
        <v>45</v>
      </c>
      <c r="F127" s="31" t="s">
        <v>57</v>
      </c>
    </row>
    <row r="128" spans="1:6" x14ac:dyDescent="0.3">
      <c r="A128" s="19">
        <v>2</v>
      </c>
      <c r="B128" s="16">
        <v>1</v>
      </c>
      <c r="C128" s="16" t="s">
        <v>85</v>
      </c>
      <c r="D128" s="19" t="s">
        <v>44</v>
      </c>
      <c r="E128" s="19" t="s">
        <v>13</v>
      </c>
      <c r="F128" s="19" t="s">
        <v>57</v>
      </c>
    </row>
    <row r="129" spans="1:6" x14ac:dyDescent="0.3">
      <c r="A129" s="31">
        <v>2</v>
      </c>
      <c r="B129" s="32">
        <v>1</v>
      </c>
      <c r="C129" s="32" t="s">
        <v>85</v>
      </c>
      <c r="D129" s="31" t="s">
        <v>4</v>
      </c>
      <c r="E129" s="31" t="s">
        <v>45</v>
      </c>
      <c r="F129" s="31" t="s">
        <v>59</v>
      </c>
    </row>
    <row r="130" spans="1:6" x14ac:dyDescent="0.3">
      <c r="A130" s="19">
        <v>2</v>
      </c>
      <c r="B130" s="16">
        <v>2</v>
      </c>
      <c r="C130" s="16" t="s">
        <v>84</v>
      </c>
      <c r="D130" s="19" t="s">
        <v>44</v>
      </c>
      <c r="E130" s="19" t="s">
        <v>14</v>
      </c>
      <c r="F130" s="19" t="s">
        <v>59</v>
      </c>
    </row>
    <row r="131" spans="1:6" x14ac:dyDescent="0.3">
      <c r="A131" s="31">
        <v>2</v>
      </c>
      <c r="B131" s="13">
        <v>1</v>
      </c>
      <c r="C131" s="13" t="s">
        <v>85</v>
      </c>
      <c r="D131" s="13" t="s">
        <v>33</v>
      </c>
      <c r="E131" s="31" t="s">
        <v>46</v>
      </c>
      <c r="F131" s="31" t="s">
        <v>54</v>
      </c>
    </row>
    <row r="132" spans="1:6" x14ac:dyDescent="0.3">
      <c r="A132" s="19">
        <v>2</v>
      </c>
      <c r="B132" s="16">
        <v>2</v>
      </c>
      <c r="C132" s="16" t="s">
        <v>84</v>
      </c>
      <c r="D132" s="19" t="s">
        <v>4</v>
      </c>
      <c r="E132" s="19" t="s">
        <v>45</v>
      </c>
      <c r="F132" s="19" t="s">
        <v>58</v>
      </c>
    </row>
    <row r="133" spans="1:6" x14ac:dyDescent="0.3">
      <c r="A133" s="31">
        <v>2</v>
      </c>
      <c r="B133" s="32">
        <v>1</v>
      </c>
      <c r="C133" s="32" t="s">
        <v>85</v>
      </c>
      <c r="D133" s="31" t="s">
        <v>44</v>
      </c>
      <c r="E133" s="31" t="s">
        <v>14</v>
      </c>
      <c r="F133" s="31" t="s">
        <v>58</v>
      </c>
    </row>
    <row r="134" spans="1:6" x14ac:dyDescent="0.3">
      <c r="A134" s="19">
        <v>2</v>
      </c>
      <c r="B134" s="16">
        <v>1</v>
      </c>
      <c r="C134" s="16" t="s">
        <v>85</v>
      </c>
      <c r="D134" s="19" t="s">
        <v>4</v>
      </c>
      <c r="E134" s="19" t="s">
        <v>45</v>
      </c>
      <c r="F134" s="19" t="s">
        <v>55</v>
      </c>
    </row>
    <row r="135" spans="1:6" x14ac:dyDescent="0.3">
      <c r="A135" s="31">
        <v>2</v>
      </c>
      <c r="B135" s="32">
        <v>2</v>
      </c>
      <c r="C135" s="32" t="s">
        <v>84</v>
      </c>
      <c r="D135" s="31" t="s">
        <v>44</v>
      </c>
      <c r="E135" s="31" t="s">
        <v>14</v>
      </c>
      <c r="F135" s="31" t="s">
        <v>55</v>
      </c>
    </row>
    <row r="136" spans="1:6" x14ac:dyDescent="0.3">
      <c r="A136" s="19">
        <v>2</v>
      </c>
      <c r="B136" s="13">
        <v>2</v>
      </c>
      <c r="C136" s="13" t="s">
        <v>84</v>
      </c>
      <c r="D136" s="13" t="s">
        <v>33</v>
      </c>
      <c r="E136" s="19" t="s">
        <v>46</v>
      </c>
      <c r="F136" s="19" t="s">
        <v>47</v>
      </c>
    </row>
    <row r="137" spans="1:6" x14ac:dyDescent="0.3">
      <c r="A137" s="31">
        <v>2</v>
      </c>
      <c r="B137" s="13">
        <v>1</v>
      </c>
      <c r="C137" s="13" t="s">
        <v>85</v>
      </c>
      <c r="D137" s="13" t="s">
        <v>33</v>
      </c>
      <c r="E137" s="31" t="s">
        <v>46</v>
      </c>
      <c r="F137" s="31" t="s">
        <v>50</v>
      </c>
    </row>
    <row r="138" spans="1:6" x14ac:dyDescent="0.3">
      <c r="A138" s="19">
        <v>2</v>
      </c>
      <c r="B138" s="16">
        <v>2</v>
      </c>
      <c r="C138" s="16" t="s">
        <v>84</v>
      </c>
      <c r="D138" s="19" t="s">
        <v>4</v>
      </c>
      <c r="E138" s="19" t="s">
        <v>45</v>
      </c>
      <c r="F138" s="19" t="s">
        <v>61</v>
      </c>
    </row>
    <row r="139" spans="1:6" x14ac:dyDescent="0.3">
      <c r="A139" s="31">
        <v>2</v>
      </c>
      <c r="B139" s="32">
        <v>2</v>
      </c>
      <c r="C139" s="32" t="s">
        <v>84</v>
      </c>
      <c r="D139" s="31" t="s">
        <v>44</v>
      </c>
      <c r="E139" s="31" t="s">
        <v>13</v>
      </c>
      <c r="F139" s="31" t="s">
        <v>61</v>
      </c>
    </row>
    <row r="140" spans="1:6" x14ac:dyDescent="0.3">
      <c r="A140" s="19">
        <v>2</v>
      </c>
      <c r="B140" s="13">
        <v>1</v>
      </c>
      <c r="C140" s="13" t="s">
        <v>85</v>
      </c>
      <c r="D140" s="13" t="s">
        <v>33</v>
      </c>
      <c r="E140" s="19" t="s">
        <v>46</v>
      </c>
      <c r="F140" s="19" t="s">
        <v>48</v>
      </c>
    </row>
    <row r="141" spans="1:6" x14ac:dyDescent="0.3">
      <c r="A141" s="31">
        <v>2</v>
      </c>
      <c r="B141" s="32">
        <v>2</v>
      </c>
      <c r="C141" s="32" t="s">
        <v>84</v>
      </c>
      <c r="D141" s="31" t="s">
        <v>4</v>
      </c>
      <c r="E141" s="31" t="s">
        <v>45</v>
      </c>
      <c r="F141" s="31" t="s">
        <v>62</v>
      </c>
    </row>
    <row r="142" spans="1:6" x14ac:dyDescent="0.3">
      <c r="A142" s="19">
        <v>2</v>
      </c>
      <c r="B142" s="16">
        <v>2</v>
      </c>
      <c r="C142" s="16" t="s">
        <v>84</v>
      </c>
      <c r="D142" s="19" t="s">
        <v>44</v>
      </c>
      <c r="E142" s="19" t="s">
        <v>13</v>
      </c>
      <c r="F142" s="19" t="s">
        <v>62</v>
      </c>
    </row>
    <row r="143" spans="1:6" x14ac:dyDescent="0.3">
      <c r="A143" s="31">
        <v>2</v>
      </c>
      <c r="B143" s="32">
        <v>2</v>
      </c>
      <c r="C143" s="32" t="s">
        <v>84</v>
      </c>
      <c r="D143" s="31" t="s">
        <v>4</v>
      </c>
      <c r="E143" s="31" t="s">
        <v>45</v>
      </c>
      <c r="F143" s="31" t="s">
        <v>60</v>
      </c>
    </row>
    <row r="144" spans="1:6" x14ac:dyDescent="0.3">
      <c r="A144" s="19">
        <v>2</v>
      </c>
      <c r="B144" s="16">
        <v>1</v>
      </c>
      <c r="C144" s="16" t="s">
        <v>85</v>
      </c>
      <c r="D144" s="19" t="s">
        <v>44</v>
      </c>
      <c r="E144" s="19" t="s">
        <v>14</v>
      </c>
      <c r="F144" s="19" t="s">
        <v>60</v>
      </c>
    </row>
    <row r="145" spans="1:6" x14ac:dyDescent="0.3">
      <c r="A145" s="31">
        <v>2</v>
      </c>
      <c r="B145" s="13">
        <v>1</v>
      </c>
      <c r="C145" s="13" t="s">
        <v>85</v>
      </c>
      <c r="D145" s="13" t="s">
        <v>33</v>
      </c>
      <c r="E145" s="31" t="s">
        <v>46</v>
      </c>
      <c r="F145" s="31" t="s">
        <v>49</v>
      </c>
    </row>
    <row r="146" spans="1:6" x14ac:dyDescent="0.3">
      <c r="A146" s="19">
        <v>2</v>
      </c>
      <c r="B146" s="13">
        <v>2</v>
      </c>
      <c r="C146" s="13" t="s">
        <v>84</v>
      </c>
      <c r="D146" s="13" t="s">
        <v>33</v>
      </c>
      <c r="E146" s="19" t="s">
        <v>46</v>
      </c>
      <c r="F146" s="19" t="s">
        <v>51</v>
      </c>
    </row>
    <row r="147" spans="1:6" x14ac:dyDescent="0.3">
      <c r="A147" s="16">
        <v>3</v>
      </c>
      <c r="B147" s="16">
        <v>1</v>
      </c>
      <c r="C147" s="16" t="s">
        <v>85</v>
      </c>
      <c r="D147" s="19" t="s">
        <v>4</v>
      </c>
      <c r="E147" s="19" t="s">
        <v>45</v>
      </c>
      <c r="F147" s="19" t="s">
        <v>66</v>
      </c>
    </row>
    <row r="148" spans="1:6" x14ac:dyDescent="0.3">
      <c r="A148" s="11">
        <v>3</v>
      </c>
      <c r="B148" s="11">
        <v>2</v>
      </c>
      <c r="C148" s="11" t="s">
        <v>84</v>
      </c>
      <c r="D148" s="8" t="s">
        <v>44</v>
      </c>
      <c r="E148" s="8" t="s">
        <v>14</v>
      </c>
      <c r="F148" s="8" t="s">
        <v>66</v>
      </c>
    </row>
    <row r="149" spans="1:6" x14ac:dyDescent="0.3">
      <c r="A149" s="16">
        <v>3</v>
      </c>
      <c r="B149" s="14">
        <v>2</v>
      </c>
      <c r="C149" s="14" t="s">
        <v>84</v>
      </c>
      <c r="D149" s="14" t="s">
        <v>33</v>
      </c>
      <c r="E149" s="19" t="s">
        <v>46</v>
      </c>
      <c r="F149" s="19" t="s">
        <v>56</v>
      </c>
    </row>
    <row r="150" spans="1:6" x14ac:dyDescent="0.3">
      <c r="A150" s="11">
        <v>3</v>
      </c>
      <c r="B150" s="14">
        <v>1</v>
      </c>
      <c r="C150" s="14" t="s">
        <v>85</v>
      </c>
      <c r="D150" s="14" t="s">
        <v>33</v>
      </c>
      <c r="E150" s="8" t="s">
        <v>46</v>
      </c>
      <c r="F150" s="8" t="s">
        <v>57</v>
      </c>
    </row>
    <row r="151" spans="1:6" x14ac:dyDescent="0.3">
      <c r="A151" s="16">
        <v>3</v>
      </c>
      <c r="B151" s="16">
        <v>2</v>
      </c>
      <c r="C151" s="16" t="s">
        <v>84</v>
      </c>
      <c r="D151" s="19" t="s">
        <v>4</v>
      </c>
      <c r="E151" s="19" t="s">
        <v>45</v>
      </c>
      <c r="F151" s="19" t="s">
        <v>69</v>
      </c>
    </row>
    <row r="152" spans="1:6" x14ac:dyDescent="0.3">
      <c r="A152" s="11">
        <v>3</v>
      </c>
      <c r="B152" s="11">
        <v>1</v>
      </c>
      <c r="C152" s="11" t="s">
        <v>85</v>
      </c>
      <c r="D152" s="8" t="s">
        <v>44</v>
      </c>
      <c r="E152" s="8" t="s">
        <v>14</v>
      </c>
      <c r="F152" s="8" t="s">
        <v>69</v>
      </c>
    </row>
    <row r="153" spans="1:6" x14ac:dyDescent="0.3">
      <c r="A153" s="16">
        <v>3</v>
      </c>
      <c r="B153" s="16">
        <v>1</v>
      </c>
      <c r="C153" s="16" t="s">
        <v>85</v>
      </c>
      <c r="D153" s="19" t="s">
        <v>4</v>
      </c>
      <c r="E153" s="19" t="s">
        <v>45</v>
      </c>
      <c r="F153" s="19" t="s">
        <v>64</v>
      </c>
    </row>
    <row r="154" spans="1:6" x14ac:dyDescent="0.3">
      <c r="A154" s="11">
        <v>3</v>
      </c>
      <c r="B154" s="11">
        <v>2</v>
      </c>
      <c r="C154" s="11" t="s">
        <v>84</v>
      </c>
      <c r="D154" s="8" t="s">
        <v>44</v>
      </c>
      <c r="E154" s="8" t="s">
        <v>14</v>
      </c>
      <c r="F154" s="8" t="s">
        <v>64</v>
      </c>
    </row>
    <row r="155" spans="1:6" x14ac:dyDescent="0.3">
      <c r="A155" s="16">
        <v>3</v>
      </c>
      <c r="B155" s="14">
        <v>1</v>
      </c>
      <c r="C155" s="14" t="s">
        <v>85</v>
      </c>
      <c r="D155" s="14" t="s">
        <v>33</v>
      </c>
      <c r="E155" s="19" t="s">
        <v>46</v>
      </c>
      <c r="F155" s="19" t="s">
        <v>59</v>
      </c>
    </row>
    <row r="156" spans="1:6" x14ac:dyDescent="0.3">
      <c r="A156" s="11">
        <v>3</v>
      </c>
      <c r="B156" s="11">
        <v>2</v>
      </c>
      <c r="C156" s="11" t="s">
        <v>84</v>
      </c>
      <c r="D156" s="8" t="s">
        <v>4</v>
      </c>
      <c r="E156" s="8" t="s">
        <v>45</v>
      </c>
      <c r="F156" s="8" t="s">
        <v>68</v>
      </c>
    </row>
    <row r="157" spans="1:6" x14ac:dyDescent="0.3">
      <c r="A157" s="16">
        <v>3</v>
      </c>
      <c r="B157" s="16">
        <v>2</v>
      </c>
      <c r="C157" s="16" t="s">
        <v>84</v>
      </c>
      <c r="D157" s="19" t="s">
        <v>44</v>
      </c>
      <c r="E157" s="19" t="s">
        <v>13</v>
      </c>
      <c r="F157" s="19" t="s">
        <v>68</v>
      </c>
    </row>
    <row r="158" spans="1:6" x14ac:dyDescent="0.3">
      <c r="A158" s="11">
        <v>3</v>
      </c>
      <c r="B158" s="14">
        <v>1</v>
      </c>
      <c r="C158" s="14" t="s">
        <v>85</v>
      </c>
      <c r="D158" s="14" t="s">
        <v>33</v>
      </c>
      <c r="E158" s="8" t="s">
        <v>46</v>
      </c>
      <c r="F158" s="8" t="s">
        <v>58</v>
      </c>
    </row>
    <row r="159" spans="1:6" x14ac:dyDescent="0.3">
      <c r="A159" s="16">
        <v>3</v>
      </c>
      <c r="B159" s="14">
        <v>2</v>
      </c>
      <c r="C159" s="14" t="s">
        <v>84</v>
      </c>
      <c r="D159" s="14" t="s">
        <v>33</v>
      </c>
      <c r="E159" s="19" t="s">
        <v>46</v>
      </c>
      <c r="F159" s="19" t="s">
        <v>55</v>
      </c>
    </row>
    <row r="160" spans="1:6" x14ac:dyDescent="0.3">
      <c r="A160" s="11">
        <v>3</v>
      </c>
      <c r="B160" s="14">
        <v>1</v>
      </c>
      <c r="C160" s="14" t="s">
        <v>85</v>
      </c>
      <c r="D160" s="14" t="s">
        <v>33</v>
      </c>
      <c r="E160" s="8" t="s">
        <v>46</v>
      </c>
      <c r="F160" s="8" t="s">
        <v>61</v>
      </c>
    </row>
    <row r="161" spans="1:6" x14ac:dyDescent="0.3">
      <c r="A161" s="16">
        <v>3</v>
      </c>
      <c r="B161" s="16">
        <v>2</v>
      </c>
      <c r="C161" s="16" t="s">
        <v>84</v>
      </c>
      <c r="D161" s="19" t="s">
        <v>4</v>
      </c>
      <c r="E161" s="19" t="s">
        <v>45</v>
      </c>
      <c r="F161" s="19" t="s">
        <v>70</v>
      </c>
    </row>
    <row r="162" spans="1:6" x14ac:dyDescent="0.3">
      <c r="A162" s="11">
        <v>3</v>
      </c>
      <c r="B162" s="11">
        <v>2</v>
      </c>
      <c r="C162" s="11" t="s">
        <v>84</v>
      </c>
      <c r="D162" s="8" t="s">
        <v>44</v>
      </c>
      <c r="E162" s="8" t="s">
        <v>13</v>
      </c>
      <c r="F162" s="8" t="s">
        <v>70</v>
      </c>
    </row>
    <row r="163" spans="1:6" x14ac:dyDescent="0.3">
      <c r="A163" s="16">
        <v>3</v>
      </c>
      <c r="B163" s="16">
        <v>2</v>
      </c>
      <c r="C163" s="16" t="s">
        <v>84</v>
      </c>
      <c r="D163" s="19" t="s">
        <v>4</v>
      </c>
      <c r="E163" s="19" t="s">
        <v>45</v>
      </c>
      <c r="F163" s="19" t="s">
        <v>67</v>
      </c>
    </row>
    <row r="164" spans="1:6" x14ac:dyDescent="0.3">
      <c r="A164" s="11">
        <v>3</v>
      </c>
      <c r="B164" s="11">
        <v>1</v>
      </c>
      <c r="C164" s="11" t="s">
        <v>85</v>
      </c>
      <c r="D164" s="8" t="s">
        <v>44</v>
      </c>
      <c r="E164" s="8" t="s">
        <v>14</v>
      </c>
      <c r="F164" s="8" t="s">
        <v>67</v>
      </c>
    </row>
    <row r="165" spans="1:6" x14ac:dyDescent="0.3">
      <c r="A165" s="32">
        <v>3</v>
      </c>
      <c r="B165" s="32">
        <v>1</v>
      </c>
      <c r="C165" s="32" t="s">
        <v>85</v>
      </c>
      <c r="D165" s="31" t="s">
        <v>4</v>
      </c>
      <c r="E165" s="31" t="s">
        <v>45</v>
      </c>
      <c r="F165" s="31" t="s">
        <v>65</v>
      </c>
    </row>
    <row r="166" spans="1:6" x14ac:dyDescent="0.3">
      <c r="A166" s="16">
        <v>3</v>
      </c>
      <c r="B166" s="16">
        <v>1</v>
      </c>
      <c r="C166" s="16" t="s">
        <v>85</v>
      </c>
      <c r="D166" s="19" t="s">
        <v>44</v>
      </c>
      <c r="E166" s="19" t="s">
        <v>13</v>
      </c>
      <c r="F166" s="19" t="s">
        <v>65</v>
      </c>
    </row>
    <row r="167" spans="1:6" x14ac:dyDescent="0.3">
      <c r="A167" s="32">
        <v>3</v>
      </c>
      <c r="B167" s="14">
        <v>2</v>
      </c>
      <c r="C167" s="14" t="s">
        <v>84</v>
      </c>
      <c r="D167" s="14" t="s">
        <v>33</v>
      </c>
      <c r="E167" s="31" t="s">
        <v>46</v>
      </c>
      <c r="F167" s="31" t="s">
        <v>60</v>
      </c>
    </row>
    <row r="168" spans="1:6" x14ac:dyDescent="0.3">
      <c r="A168" s="16">
        <v>3</v>
      </c>
      <c r="B168" s="16">
        <v>1</v>
      </c>
      <c r="C168" s="16" t="s">
        <v>85</v>
      </c>
      <c r="D168" s="19" t="s">
        <v>4</v>
      </c>
      <c r="E168" s="19" t="s">
        <v>45</v>
      </c>
      <c r="F168" s="19" t="s">
        <v>63</v>
      </c>
    </row>
    <row r="169" spans="1:6" x14ac:dyDescent="0.3">
      <c r="A169" s="32">
        <v>3</v>
      </c>
      <c r="B169" s="32">
        <v>1</v>
      </c>
      <c r="C169" s="32" t="s">
        <v>85</v>
      </c>
      <c r="D169" s="31" t="s">
        <v>44</v>
      </c>
      <c r="E169" s="31" t="s">
        <v>13</v>
      </c>
      <c r="F169" s="31" t="s">
        <v>63</v>
      </c>
    </row>
    <row r="170" spans="1:6" x14ac:dyDescent="0.3">
      <c r="A170" s="16">
        <v>3</v>
      </c>
      <c r="B170" s="14">
        <v>2</v>
      </c>
      <c r="C170" s="14" t="s">
        <v>84</v>
      </c>
      <c r="D170" s="14" t="s">
        <v>33</v>
      </c>
      <c r="E170" s="19" t="s">
        <v>46</v>
      </c>
      <c r="F170" s="19" t="s">
        <v>62</v>
      </c>
    </row>
    <row r="171" spans="1:6" x14ac:dyDescent="0.3">
      <c r="A171" s="31">
        <v>4</v>
      </c>
      <c r="B171" s="32">
        <v>1</v>
      </c>
      <c r="C171" s="32" t="s">
        <v>85</v>
      </c>
      <c r="D171" s="31" t="s">
        <v>4</v>
      </c>
      <c r="E171" s="31" t="s">
        <v>45</v>
      </c>
      <c r="F171" s="31" t="s">
        <v>75</v>
      </c>
    </row>
    <row r="172" spans="1:6" x14ac:dyDescent="0.3">
      <c r="A172" s="19">
        <v>4</v>
      </c>
      <c r="B172" s="16">
        <v>1</v>
      </c>
      <c r="C172" s="16" t="s">
        <v>85</v>
      </c>
      <c r="D172" s="19" t="s">
        <v>44</v>
      </c>
      <c r="E172" s="19" t="s">
        <v>13</v>
      </c>
      <c r="F172" s="19" t="s">
        <v>75</v>
      </c>
    </row>
    <row r="173" spans="1:6" x14ac:dyDescent="0.3">
      <c r="A173" s="31">
        <v>4</v>
      </c>
      <c r="B173" s="15">
        <v>2</v>
      </c>
      <c r="C173" s="15" t="s">
        <v>84</v>
      </c>
      <c r="D173" s="15" t="s">
        <v>33</v>
      </c>
      <c r="E173" s="31" t="s">
        <v>46</v>
      </c>
      <c r="F173" s="31" t="s">
        <v>66</v>
      </c>
    </row>
    <row r="174" spans="1:6" x14ac:dyDescent="0.3">
      <c r="A174" s="19">
        <v>4</v>
      </c>
      <c r="B174" s="16">
        <v>1</v>
      </c>
      <c r="C174" s="16" t="s">
        <v>85</v>
      </c>
      <c r="D174" s="19" t="s">
        <v>4</v>
      </c>
      <c r="E174" s="19" t="s">
        <v>45</v>
      </c>
      <c r="F174" s="19" t="s">
        <v>73</v>
      </c>
    </row>
    <row r="175" spans="1:6" x14ac:dyDescent="0.3">
      <c r="A175" s="31">
        <v>4</v>
      </c>
      <c r="B175" s="32">
        <v>2</v>
      </c>
      <c r="C175" s="32" t="s">
        <v>84</v>
      </c>
      <c r="D175" s="31" t="s">
        <v>44</v>
      </c>
      <c r="E175" s="31" t="s">
        <v>14</v>
      </c>
      <c r="F175" s="31" t="s">
        <v>73</v>
      </c>
    </row>
    <row r="176" spans="1:6" x14ac:dyDescent="0.3">
      <c r="A176" s="19">
        <v>4</v>
      </c>
      <c r="B176" s="16">
        <v>2</v>
      </c>
      <c r="C176" s="16" t="s">
        <v>84</v>
      </c>
      <c r="D176" s="19" t="s">
        <v>4</v>
      </c>
      <c r="E176" s="19" t="s">
        <v>45</v>
      </c>
      <c r="F176" s="19" t="s">
        <v>77</v>
      </c>
    </row>
    <row r="177" spans="1:6" x14ac:dyDescent="0.3">
      <c r="A177" s="31">
        <v>4</v>
      </c>
      <c r="B177" s="32">
        <v>2</v>
      </c>
      <c r="C177" s="32" t="s">
        <v>84</v>
      </c>
      <c r="D177" s="31" t="s">
        <v>44</v>
      </c>
      <c r="E177" s="31" t="s">
        <v>13</v>
      </c>
      <c r="F177" s="31" t="s">
        <v>77</v>
      </c>
    </row>
    <row r="178" spans="1:6" x14ac:dyDescent="0.3">
      <c r="A178" s="19">
        <v>4</v>
      </c>
      <c r="B178" s="15">
        <v>1</v>
      </c>
      <c r="C178" s="15" t="s">
        <v>85</v>
      </c>
      <c r="D178" s="15" t="s">
        <v>33</v>
      </c>
      <c r="E178" s="19" t="s">
        <v>46</v>
      </c>
      <c r="F178" s="19" t="s">
        <v>69</v>
      </c>
    </row>
    <row r="179" spans="1:6" x14ac:dyDescent="0.3">
      <c r="A179" s="31">
        <v>4</v>
      </c>
      <c r="B179" s="15">
        <v>2</v>
      </c>
      <c r="C179" s="15" t="s">
        <v>84</v>
      </c>
      <c r="D179" s="15" t="s">
        <v>33</v>
      </c>
      <c r="E179" s="31" t="s">
        <v>46</v>
      </c>
      <c r="F179" s="31" t="s">
        <v>64</v>
      </c>
    </row>
    <row r="180" spans="1:6" x14ac:dyDescent="0.3">
      <c r="A180" s="19">
        <v>4</v>
      </c>
      <c r="B180" s="16">
        <v>2</v>
      </c>
      <c r="C180" s="16" t="s">
        <v>84</v>
      </c>
      <c r="D180" s="19" t="s">
        <v>4</v>
      </c>
      <c r="E180" s="19" t="s">
        <v>45</v>
      </c>
      <c r="F180" s="19" t="s">
        <v>74</v>
      </c>
    </row>
    <row r="181" spans="1:6" x14ac:dyDescent="0.3">
      <c r="A181" s="31">
        <v>4</v>
      </c>
      <c r="B181" s="32">
        <v>1</v>
      </c>
      <c r="C181" s="32" t="s">
        <v>85</v>
      </c>
      <c r="D181" s="31" t="s">
        <v>44</v>
      </c>
      <c r="E181" s="31" t="s">
        <v>14</v>
      </c>
      <c r="F181" s="31" t="s">
        <v>74</v>
      </c>
    </row>
    <row r="182" spans="1:6" x14ac:dyDescent="0.3">
      <c r="A182" s="19">
        <v>4</v>
      </c>
      <c r="B182" s="16">
        <v>1</v>
      </c>
      <c r="C182" s="16" t="s">
        <v>85</v>
      </c>
      <c r="D182" s="19" t="s">
        <v>4</v>
      </c>
      <c r="E182" s="19" t="s">
        <v>45</v>
      </c>
      <c r="F182" s="19" t="s">
        <v>78</v>
      </c>
    </row>
    <row r="183" spans="1:6" x14ac:dyDescent="0.3">
      <c r="A183" s="31">
        <v>4</v>
      </c>
      <c r="B183" s="32">
        <v>2</v>
      </c>
      <c r="C183" s="32" t="s">
        <v>84</v>
      </c>
      <c r="D183" s="31" t="s">
        <v>44</v>
      </c>
      <c r="E183" s="31" t="s">
        <v>14</v>
      </c>
      <c r="F183" s="31" t="s">
        <v>78</v>
      </c>
    </row>
    <row r="184" spans="1:6" x14ac:dyDescent="0.3">
      <c r="A184" s="19">
        <v>4</v>
      </c>
      <c r="B184" s="15">
        <v>1</v>
      </c>
      <c r="C184" s="15" t="s">
        <v>85</v>
      </c>
      <c r="D184" s="15" t="s">
        <v>33</v>
      </c>
      <c r="E184" s="19" t="s">
        <v>46</v>
      </c>
      <c r="F184" s="19" t="s">
        <v>68</v>
      </c>
    </row>
    <row r="185" spans="1:6" x14ac:dyDescent="0.3">
      <c r="A185" s="31">
        <v>4</v>
      </c>
      <c r="B185" s="32">
        <v>2</v>
      </c>
      <c r="C185" s="32" t="s">
        <v>84</v>
      </c>
      <c r="D185" s="31" t="s">
        <v>4</v>
      </c>
      <c r="E185" s="31" t="s">
        <v>45</v>
      </c>
      <c r="F185" s="31" t="s">
        <v>71</v>
      </c>
    </row>
    <row r="186" spans="1:6" x14ac:dyDescent="0.3">
      <c r="A186" s="19">
        <v>4</v>
      </c>
      <c r="B186" s="16">
        <v>2</v>
      </c>
      <c r="C186" s="16" t="s">
        <v>84</v>
      </c>
      <c r="D186" s="19" t="s">
        <v>44</v>
      </c>
      <c r="E186" s="19" t="s">
        <v>13</v>
      </c>
      <c r="F186" s="19" t="s">
        <v>71</v>
      </c>
    </row>
    <row r="187" spans="1:6" x14ac:dyDescent="0.3">
      <c r="A187" s="31">
        <v>4</v>
      </c>
      <c r="B187" s="15">
        <v>1</v>
      </c>
      <c r="C187" s="15" t="s">
        <v>85</v>
      </c>
      <c r="D187" s="15" t="s">
        <v>33</v>
      </c>
      <c r="E187" s="31" t="s">
        <v>46</v>
      </c>
      <c r="F187" s="31" t="s">
        <v>70</v>
      </c>
    </row>
    <row r="188" spans="1:6" x14ac:dyDescent="0.3">
      <c r="A188" s="19">
        <v>4</v>
      </c>
      <c r="B188" s="16">
        <v>2</v>
      </c>
      <c r="C188" s="16" t="s">
        <v>84</v>
      </c>
      <c r="D188" s="19" t="s">
        <v>4</v>
      </c>
      <c r="E188" s="19" t="s">
        <v>45</v>
      </c>
      <c r="F188" s="19" t="s">
        <v>76</v>
      </c>
    </row>
    <row r="189" spans="1:6" x14ac:dyDescent="0.3">
      <c r="A189" s="31">
        <v>4</v>
      </c>
      <c r="B189" s="32">
        <v>1</v>
      </c>
      <c r="C189" s="32" t="s">
        <v>85</v>
      </c>
      <c r="D189" s="31" t="s">
        <v>44</v>
      </c>
      <c r="E189" s="31" t="s">
        <v>14</v>
      </c>
      <c r="F189" s="31" t="s">
        <v>76</v>
      </c>
    </row>
    <row r="190" spans="1:6" x14ac:dyDescent="0.3">
      <c r="A190" s="19">
        <v>4</v>
      </c>
      <c r="B190" s="16">
        <v>1</v>
      </c>
      <c r="C190" s="16" t="s">
        <v>85</v>
      </c>
      <c r="D190" s="19" t="s">
        <v>4</v>
      </c>
      <c r="E190" s="19" t="s">
        <v>45</v>
      </c>
      <c r="F190" s="19" t="s">
        <v>72</v>
      </c>
    </row>
    <row r="191" spans="1:6" x14ac:dyDescent="0.3">
      <c r="A191" s="31">
        <v>4</v>
      </c>
      <c r="B191" s="32">
        <v>1</v>
      </c>
      <c r="C191" s="32" t="s">
        <v>85</v>
      </c>
      <c r="D191" s="31" t="s">
        <v>44</v>
      </c>
      <c r="E191" s="31" t="s">
        <v>13</v>
      </c>
      <c r="F191" s="31" t="s">
        <v>72</v>
      </c>
    </row>
    <row r="192" spans="1:6" x14ac:dyDescent="0.3">
      <c r="A192" s="19">
        <v>4</v>
      </c>
      <c r="B192" s="15">
        <v>2</v>
      </c>
      <c r="C192" s="15" t="s">
        <v>84</v>
      </c>
      <c r="D192" s="15" t="s">
        <v>33</v>
      </c>
      <c r="E192" s="19" t="s">
        <v>46</v>
      </c>
      <c r="F192" s="19" t="s">
        <v>67</v>
      </c>
    </row>
    <row r="193" spans="1:6" x14ac:dyDescent="0.3">
      <c r="A193" s="31">
        <v>4</v>
      </c>
      <c r="B193" s="15">
        <v>1</v>
      </c>
      <c r="C193" s="15" t="s">
        <v>85</v>
      </c>
      <c r="D193" s="15" t="s">
        <v>33</v>
      </c>
      <c r="E193" s="31" t="s">
        <v>46</v>
      </c>
      <c r="F193" s="31" t="s">
        <v>65</v>
      </c>
    </row>
    <row r="194" spans="1:6" x14ac:dyDescent="0.3">
      <c r="A194" s="19">
        <v>4</v>
      </c>
      <c r="B194" s="15">
        <v>2</v>
      </c>
      <c r="C194" s="15" t="s">
        <v>84</v>
      </c>
      <c r="D194" s="15" t="s">
        <v>33</v>
      </c>
      <c r="E194" s="19" t="s">
        <v>46</v>
      </c>
      <c r="F194" s="19" t="s">
        <v>63</v>
      </c>
    </row>
    <row r="195" spans="1:6" x14ac:dyDescent="0.3">
      <c r="A195" s="33" t="s">
        <v>29</v>
      </c>
      <c r="B195" s="33"/>
      <c r="C195" s="33"/>
      <c r="D195" s="33"/>
      <c r="E195" s="33"/>
      <c r="F195" s="33"/>
    </row>
    <row r="196" spans="1:6" x14ac:dyDescent="0.3">
      <c r="A196" s="16">
        <v>1</v>
      </c>
      <c r="B196" s="19">
        <v>2</v>
      </c>
      <c r="C196" s="19" t="s">
        <v>84</v>
      </c>
      <c r="D196" s="19" t="s">
        <v>4</v>
      </c>
      <c r="E196" s="19" t="s">
        <v>45</v>
      </c>
      <c r="F196" s="19" t="s">
        <v>50</v>
      </c>
    </row>
    <row r="197" spans="1:6" x14ac:dyDescent="0.3">
      <c r="A197" s="32">
        <v>1</v>
      </c>
      <c r="B197" s="31">
        <v>2</v>
      </c>
      <c r="C197" s="19" t="s">
        <v>84</v>
      </c>
      <c r="D197" s="31" t="s">
        <v>44</v>
      </c>
      <c r="E197" s="31" t="s">
        <v>13</v>
      </c>
      <c r="F197" s="31" t="s">
        <v>50</v>
      </c>
    </row>
    <row r="198" spans="1:6" x14ac:dyDescent="0.3">
      <c r="A198" s="16">
        <v>1</v>
      </c>
      <c r="B198" s="18">
        <v>1</v>
      </c>
      <c r="C198" s="17" t="s">
        <v>85</v>
      </c>
      <c r="D198" s="12" t="s">
        <v>33</v>
      </c>
      <c r="E198" s="19" t="s">
        <v>46</v>
      </c>
      <c r="F198" s="19" t="s">
        <v>76</v>
      </c>
    </row>
    <row r="199" spans="1:6" x14ac:dyDescent="0.3">
      <c r="A199" s="32">
        <v>1</v>
      </c>
      <c r="B199" s="18">
        <v>1</v>
      </c>
      <c r="C199" s="18" t="s">
        <v>85</v>
      </c>
      <c r="D199" s="12" t="s">
        <v>33</v>
      </c>
      <c r="E199" s="31" t="s">
        <v>46</v>
      </c>
      <c r="F199" s="31" t="s">
        <v>71</v>
      </c>
    </row>
    <row r="200" spans="1:6" x14ac:dyDescent="0.3">
      <c r="A200" s="16">
        <v>1</v>
      </c>
      <c r="B200" s="19">
        <v>2</v>
      </c>
      <c r="C200" s="19" t="s">
        <v>84</v>
      </c>
      <c r="D200" s="19" t="s">
        <v>4</v>
      </c>
      <c r="E200" s="19" t="s">
        <v>45</v>
      </c>
      <c r="F200" s="19" t="s">
        <v>49</v>
      </c>
    </row>
    <row r="201" spans="1:6" x14ac:dyDescent="0.3">
      <c r="A201" s="32">
        <v>1</v>
      </c>
      <c r="B201" s="31">
        <v>2</v>
      </c>
      <c r="C201" s="19" t="s">
        <v>84</v>
      </c>
      <c r="D201" s="31" t="s">
        <v>44</v>
      </c>
      <c r="E201" s="31" t="s">
        <v>13</v>
      </c>
      <c r="F201" s="31" t="s">
        <v>49</v>
      </c>
    </row>
    <row r="202" spans="1:6" x14ac:dyDescent="0.3">
      <c r="A202" s="16">
        <v>1</v>
      </c>
      <c r="B202" s="19">
        <v>2</v>
      </c>
      <c r="C202" s="19" t="s">
        <v>84</v>
      </c>
      <c r="D202" s="19" t="s">
        <v>4</v>
      </c>
      <c r="E202" s="19" t="s">
        <v>45</v>
      </c>
      <c r="F202" s="19" t="s">
        <v>52</v>
      </c>
    </row>
    <row r="203" spans="1:6" x14ac:dyDescent="0.3">
      <c r="A203" s="32">
        <v>1</v>
      </c>
      <c r="B203" s="31">
        <v>1</v>
      </c>
      <c r="C203" s="31" t="s">
        <v>85</v>
      </c>
      <c r="D203" s="31" t="s">
        <v>44</v>
      </c>
      <c r="E203" s="31" t="s">
        <v>14</v>
      </c>
      <c r="F203" s="31" t="s">
        <v>52</v>
      </c>
    </row>
    <row r="204" spans="1:6" x14ac:dyDescent="0.3">
      <c r="A204" s="16">
        <v>1</v>
      </c>
      <c r="B204" s="18">
        <v>2</v>
      </c>
      <c r="C204" s="17" t="s">
        <v>84</v>
      </c>
      <c r="D204" s="12" t="s">
        <v>33</v>
      </c>
      <c r="E204" s="19" t="s">
        <v>46</v>
      </c>
      <c r="F204" s="19" t="s">
        <v>75</v>
      </c>
    </row>
    <row r="205" spans="1:6" x14ac:dyDescent="0.3">
      <c r="A205" s="32">
        <v>1</v>
      </c>
      <c r="B205" s="31">
        <v>1</v>
      </c>
      <c r="C205" s="31" t="s">
        <v>85</v>
      </c>
      <c r="D205" s="31" t="s">
        <v>4</v>
      </c>
      <c r="E205" s="31" t="s">
        <v>45</v>
      </c>
      <c r="F205" s="31" t="s">
        <v>48</v>
      </c>
    </row>
    <row r="206" spans="1:6" x14ac:dyDescent="0.3">
      <c r="A206" s="16">
        <v>1</v>
      </c>
      <c r="B206" s="19">
        <v>2</v>
      </c>
      <c r="C206" s="19" t="s">
        <v>84</v>
      </c>
      <c r="D206" s="19" t="s">
        <v>44</v>
      </c>
      <c r="E206" s="19" t="s">
        <v>14</v>
      </c>
      <c r="F206" s="19" t="s">
        <v>48</v>
      </c>
    </row>
    <row r="207" spans="1:6" x14ac:dyDescent="0.3">
      <c r="A207" s="32">
        <v>1</v>
      </c>
      <c r="B207" s="31">
        <v>2</v>
      </c>
      <c r="C207" s="31" t="s">
        <v>84</v>
      </c>
      <c r="D207" s="31" t="s">
        <v>4</v>
      </c>
      <c r="E207" s="31" t="s">
        <v>45</v>
      </c>
      <c r="F207" s="31" t="s">
        <v>47</v>
      </c>
    </row>
    <row r="208" spans="1:6" x14ac:dyDescent="0.3">
      <c r="A208" s="16">
        <v>1</v>
      </c>
      <c r="B208" s="19">
        <v>1</v>
      </c>
      <c r="C208" s="19" t="s">
        <v>85</v>
      </c>
      <c r="D208" s="19" t="s">
        <v>44</v>
      </c>
      <c r="E208" s="19" t="s">
        <v>14</v>
      </c>
      <c r="F208" s="19" t="s">
        <v>47</v>
      </c>
    </row>
    <row r="209" spans="1:6" x14ac:dyDescent="0.3">
      <c r="A209" s="32">
        <v>1</v>
      </c>
      <c r="B209" s="18">
        <v>2</v>
      </c>
      <c r="C209" s="18" t="s">
        <v>84</v>
      </c>
      <c r="D209" s="12" t="s">
        <v>33</v>
      </c>
      <c r="E209" s="31" t="s">
        <v>46</v>
      </c>
      <c r="F209" s="31" t="s">
        <v>77</v>
      </c>
    </row>
    <row r="210" spans="1:6" x14ac:dyDescent="0.3">
      <c r="A210" s="16">
        <v>1</v>
      </c>
      <c r="B210" s="19">
        <v>1</v>
      </c>
      <c r="C210" s="19" t="s">
        <v>85</v>
      </c>
      <c r="D210" s="19" t="s">
        <v>4</v>
      </c>
      <c r="E210" s="19" t="s">
        <v>45</v>
      </c>
      <c r="F210" s="19" t="s">
        <v>54</v>
      </c>
    </row>
    <row r="211" spans="1:6" x14ac:dyDescent="0.3">
      <c r="A211" s="32">
        <v>1</v>
      </c>
      <c r="B211" s="31">
        <v>1</v>
      </c>
      <c r="C211" s="19" t="s">
        <v>85</v>
      </c>
      <c r="D211" s="31" t="s">
        <v>44</v>
      </c>
      <c r="E211" s="31" t="s">
        <v>13</v>
      </c>
      <c r="F211" s="31" t="s">
        <v>54</v>
      </c>
    </row>
    <row r="212" spans="1:6" x14ac:dyDescent="0.3">
      <c r="A212" s="16">
        <v>1</v>
      </c>
      <c r="B212" s="18">
        <v>2</v>
      </c>
      <c r="C212" s="17" t="s">
        <v>84</v>
      </c>
      <c r="D212" s="12" t="s">
        <v>33</v>
      </c>
      <c r="E212" s="19" t="s">
        <v>46</v>
      </c>
      <c r="F212" s="19" t="s">
        <v>72</v>
      </c>
    </row>
    <row r="213" spans="1:6" x14ac:dyDescent="0.3">
      <c r="A213" s="32">
        <v>1</v>
      </c>
      <c r="B213" s="31">
        <v>1</v>
      </c>
      <c r="C213" s="31" t="s">
        <v>85</v>
      </c>
      <c r="D213" s="31" t="s">
        <v>4</v>
      </c>
      <c r="E213" s="31" t="s">
        <v>45</v>
      </c>
      <c r="F213" s="31" t="s">
        <v>51</v>
      </c>
    </row>
    <row r="214" spans="1:6" x14ac:dyDescent="0.3">
      <c r="A214" s="16">
        <v>1</v>
      </c>
      <c r="B214" s="19">
        <v>1</v>
      </c>
      <c r="C214" s="19" t="s">
        <v>85</v>
      </c>
      <c r="D214" s="19" t="s">
        <v>44</v>
      </c>
      <c r="E214" s="19" t="s">
        <v>13</v>
      </c>
      <c r="F214" s="19" t="s">
        <v>51</v>
      </c>
    </row>
    <row r="215" spans="1:6" x14ac:dyDescent="0.3">
      <c r="A215" s="32">
        <v>1</v>
      </c>
      <c r="B215" s="18">
        <v>1</v>
      </c>
      <c r="C215" s="18" t="s">
        <v>85</v>
      </c>
      <c r="D215" s="12" t="s">
        <v>33</v>
      </c>
      <c r="E215" s="31" t="s">
        <v>46</v>
      </c>
      <c r="F215" s="31" t="s">
        <v>78</v>
      </c>
    </row>
    <row r="216" spans="1:6" x14ac:dyDescent="0.3">
      <c r="A216" s="16">
        <v>1</v>
      </c>
      <c r="B216" s="18">
        <v>2</v>
      </c>
      <c r="C216" s="17" t="s">
        <v>84</v>
      </c>
      <c r="D216" s="12" t="s">
        <v>33</v>
      </c>
      <c r="E216" s="19" t="s">
        <v>46</v>
      </c>
      <c r="F216" s="19" t="s">
        <v>73</v>
      </c>
    </row>
    <row r="217" spans="1:6" x14ac:dyDescent="0.3">
      <c r="A217" s="32">
        <v>1</v>
      </c>
      <c r="B217" s="31">
        <v>1</v>
      </c>
      <c r="C217" s="31" t="s">
        <v>85</v>
      </c>
      <c r="D217" s="31" t="s">
        <v>4</v>
      </c>
      <c r="E217" s="31" t="s">
        <v>45</v>
      </c>
      <c r="F217" s="31" t="s">
        <v>53</v>
      </c>
    </row>
    <row r="218" spans="1:6" x14ac:dyDescent="0.3">
      <c r="A218" s="16">
        <v>1</v>
      </c>
      <c r="B218" s="19">
        <v>2</v>
      </c>
      <c r="C218" s="19" t="s">
        <v>84</v>
      </c>
      <c r="D218" s="19" t="s">
        <v>44</v>
      </c>
      <c r="E218" s="19" t="s">
        <v>14</v>
      </c>
      <c r="F218" s="19" t="s">
        <v>53</v>
      </c>
    </row>
    <row r="219" spans="1:6" x14ac:dyDescent="0.3">
      <c r="A219" s="32">
        <v>1</v>
      </c>
      <c r="B219" s="18">
        <v>1</v>
      </c>
      <c r="C219" s="18" t="s">
        <v>85</v>
      </c>
      <c r="D219" s="12" t="s">
        <v>33</v>
      </c>
      <c r="E219" s="31" t="s">
        <v>46</v>
      </c>
      <c r="F219" s="31" t="s">
        <v>74</v>
      </c>
    </row>
    <row r="220" spans="1:6" x14ac:dyDescent="0.3">
      <c r="A220" s="8">
        <v>2</v>
      </c>
      <c r="B220" s="8">
        <v>1</v>
      </c>
      <c r="C220" s="11" t="s">
        <v>85</v>
      </c>
      <c r="D220" s="8" t="s">
        <v>4</v>
      </c>
      <c r="E220" s="8" t="s">
        <v>45</v>
      </c>
      <c r="F220" s="8" t="s">
        <v>58</v>
      </c>
    </row>
    <row r="221" spans="1:6" x14ac:dyDescent="0.3">
      <c r="A221" s="19">
        <v>2</v>
      </c>
      <c r="B221" s="19">
        <v>1</v>
      </c>
      <c r="C221" s="16" t="s">
        <v>85</v>
      </c>
      <c r="D221" s="19" t="s">
        <v>44</v>
      </c>
      <c r="E221" s="19" t="s">
        <v>13</v>
      </c>
      <c r="F221" s="19" t="s">
        <v>58</v>
      </c>
    </row>
    <row r="222" spans="1:6" x14ac:dyDescent="0.3">
      <c r="A222" s="8">
        <v>2</v>
      </c>
      <c r="B222" s="13">
        <v>2</v>
      </c>
      <c r="C222" s="13" t="s">
        <v>84</v>
      </c>
      <c r="D222" s="13" t="s">
        <v>33</v>
      </c>
      <c r="E222" s="8" t="s">
        <v>46</v>
      </c>
      <c r="F222" s="8" t="s">
        <v>50</v>
      </c>
    </row>
    <row r="223" spans="1:6" x14ac:dyDescent="0.3">
      <c r="A223" s="19">
        <v>2</v>
      </c>
      <c r="B223" s="19">
        <v>1</v>
      </c>
      <c r="C223" s="19" t="s">
        <v>85</v>
      </c>
      <c r="D223" s="19" t="s">
        <v>4</v>
      </c>
      <c r="E223" s="19" t="s">
        <v>45</v>
      </c>
      <c r="F223" s="19" t="s">
        <v>60</v>
      </c>
    </row>
    <row r="224" spans="1:6" x14ac:dyDescent="0.3">
      <c r="A224" s="8">
        <v>2</v>
      </c>
      <c r="B224" s="8">
        <v>1</v>
      </c>
      <c r="C224" s="8" t="s">
        <v>85</v>
      </c>
      <c r="D224" s="8" t="s">
        <v>44</v>
      </c>
      <c r="E224" s="8" t="s">
        <v>13</v>
      </c>
      <c r="F224" s="8" t="s">
        <v>60</v>
      </c>
    </row>
    <row r="225" spans="1:6" x14ac:dyDescent="0.3">
      <c r="A225" s="19">
        <v>2</v>
      </c>
      <c r="B225" s="19">
        <v>1</v>
      </c>
      <c r="C225" s="19" t="s">
        <v>85</v>
      </c>
      <c r="D225" s="19" t="s">
        <v>4</v>
      </c>
      <c r="E225" s="19" t="s">
        <v>45</v>
      </c>
      <c r="F225" s="19" t="s">
        <v>62</v>
      </c>
    </row>
    <row r="226" spans="1:6" x14ac:dyDescent="0.3">
      <c r="A226" s="8">
        <v>2</v>
      </c>
      <c r="B226" s="8">
        <v>2</v>
      </c>
      <c r="C226" s="8" t="s">
        <v>84</v>
      </c>
      <c r="D226" s="8" t="s">
        <v>44</v>
      </c>
      <c r="E226" s="8" t="s">
        <v>14</v>
      </c>
      <c r="F226" s="8" t="s">
        <v>62</v>
      </c>
    </row>
    <row r="227" spans="1:6" x14ac:dyDescent="0.3">
      <c r="A227" s="19">
        <v>2</v>
      </c>
      <c r="B227" s="13">
        <v>2</v>
      </c>
      <c r="C227" s="13" t="s">
        <v>84</v>
      </c>
      <c r="D227" s="13" t="s">
        <v>33</v>
      </c>
      <c r="E227" s="19" t="s">
        <v>46</v>
      </c>
      <c r="F227" s="19" t="s">
        <v>49</v>
      </c>
    </row>
    <row r="228" spans="1:6" x14ac:dyDescent="0.3">
      <c r="A228" s="8">
        <v>2</v>
      </c>
      <c r="B228" s="8">
        <v>2</v>
      </c>
      <c r="C228" s="8" t="s">
        <v>84</v>
      </c>
      <c r="D228" s="8" t="s">
        <v>4</v>
      </c>
      <c r="E228" s="8" t="s">
        <v>45</v>
      </c>
      <c r="F228" s="8" t="s">
        <v>56</v>
      </c>
    </row>
    <row r="229" spans="1:6" x14ac:dyDescent="0.3">
      <c r="A229" s="19">
        <v>2</v>
      </c>
      <c r="B229" s="19">
        <v>1</v>
      </c>
      <c r="C229" s="19" t="s">
        <v>85</v>
      </c>
      <c r="D229" s="19" t="s">
        <v>44</v>
      </c>
      <c r="E229" s="19" t="s">
        <v>14</v>
      </c>
      <c r="F229" s="19" t="s">
        <v>56</v>
      </c>
    </row>
    <row r="230" spans="1:6" x14ac:dyDescent="0.3">
      <c r="A230" s="8">
        <v>2</v>
      </c>
      <c r="B230" s="8">
        <v>1</v>
      </c>
      <c r="C230" s="8" t="s">
        <v>85</v>
      </c>
      <c r="D230" s="8" t="s">
        <v>4</v>
      </c>
      <c r="E230" s="8" t="s">
        <v>45</v>
      </c>
      <c r="F230" s="8" t="s">
        <v>61</v>
      </c>
    </row>
    <row r="231" spans="1:6" x14ac:dyDescent="0.3">
      <c r="A231" s="19">
        <v>2</v>
      </c>
      <c r="B231" s="19">
        <v>2</v>
      </c>
      <c r="C231" s="19" t="s">
        <v>84</v>
      </c>
      <c r="D231" s="19" t="s">
        <v>44</v>
      </c>
      <c r="E231" s="19" t="s">
        <v>14</v>
      </c>
      <c r="F231" s="19" t="s">
        <v>61</v>
      </c>
    </row>
    <row r="232" spans="1:6" x14ac:dyDescent="0.3">
      <c r="A232" s="8">
        <v>2</v>
      </c>
      <c r="B232" s="13">
        <v>1</v>
      </c>
      <c r="C232" s="13" t="s">
        <v>85</v>
      </c>
      <c r="D232" s="13" t="s">
        <v>33</v>
      </c>
      <c r="E232" s="8" t="s">
        <v>46</v>
      </c>
      <c r="F232" s="8" t="s">
        <v>52</v>
      </c>
    </row>
    <row r="233" spans="1:6" x14ac:dyDescent="0.3">
      <c r="A233" s="19">
        <v>2</v>
      </c>
      <c r="B233" s="13">
        <v>1</v>
      </c>
      <c r="C233" s="13" t="s">
        <v>85</v>
      </c>
      <c r="D233" s="13" t="s">
        <v>33</v>
      </c>
      <c r="E233" s="19" t="s">
        <v>46</v>
      </c>
      <c r="F233" s="19" t="s">
        <v>48</v>
      </c>
    </row>
    <row r="234" spans="1:6" x14ac:dyDescent="0.3">
      <c r="A234" s="8">
        <v>2</v>
      </c>
      <c r="B234" s="8">
        <v>2</v>
      </c>
      <c r="C234" s="8" t="s">
        <v>84</v>
      </c>
      <c r="D234" s="8" t="s">
        <v>4</v>
      </c>
      <c r="E234" s="8" t="s">
        <v>45</v>
      </c>
      <c r="F234" s="8" t="s">
        <v>59</v>
      </c>
    </row>
    <row r="235" spans="1:6" x14ac:dyDescent="0.3">
      <c r="A235" s="19">
        <v>2</v>
      </c>
      <c r="B235" s="19">
        <v>2</v>
      </c>
      <c r="C235" s="19" t="s">
        <v>84</v>
      </c>
      <c r="D235" s="19" t="s">
        <v>44</v>
      </c>
      <c r="E235" s="19" t="s">
        <v>13</v>
      </c>
      <c r="F235" s="19" t="s">
        <v>59</v>
      </c>
    </row>
    <row r="236" spans="1:6" x14ac:dyDescent="0.3">
      <c r="A236" s="8">
        <v>2</v>
      </c>
      <c r="B236" s="13">
        <v>1</v>
      </c>
      <c r="C236" s="13" t="s">
        <v>85</v>
      </c>
      <c r="D236" s="13" t="s">
        <v>33</v>
      </c>
      <c r="E236" s="8" t="s">
        <v>46</v>
      </c>
      <c r="F236" s="8" t="s">
        <v>47</v>
      </c>
    </row>
    <row r="237" spans="1:6" x14ac:dyDescent="0.3">
      <c r="A237" s="19">
        <v>2</v>
      </c>
      <c r="B237" s="19">
        <v>2</v>
      </c>
      <c r="C237" s="19" t="s">
        <v>84</v>
      </c>
      <c r="D237" s="19" t="s">
        <v>4</v>
      </c>
      <c r="E237" s="19" t="s">
        <v>45</v>
      </c>
      <c r="F237" s="19" t="s">
        <v>55</v>
      </c>
    </row>
    <row r="238" spans="1:6" x14ac:dyDescent="0.3">
      <c r="A238" s="8">
        <v>2</v>
      </c>
      <c r="B238" s="8">
        <v>2</v>
      </c>
      <c r="C238" s="8" t="s">
        <v>84</v>
      </c>
      <c r="D238" s="8" t="s">
        <v>44</v>
      </c>
      <c r="E238" s="8" t="s">
        <v>13</v>
      </c>
      <c r="F238" s="8" t="s">
        <v>55</v>
      </c>
    </row>
    <row r="239" spans="1:6" x14ac:dyDescent="0.3">
      <c r="A239" s="19">
        <v>2</v>
      </c>
      <c r="B239" s="13">
        <v>2</v>
      </c>
      <c r="C239" s="13" t="s">
        <v>84</v>
      </c>
      <c r="D239" s="13" t="s">
        <v>33</v>
      </c>
      <c r="E239" s="19" t="s">
        <v>46</v>
      </c>
      <c r="F239" s="19" t="s">
        <v>54</v>
      </c>
    </row>
    <row r="240" spans="1:6" x14ac:dyDescent="0.3">
      <c r="A240" s="8">
        <v>2</v>
      </c>
      <c r="B240" s="13">
        <v>1</v>
      </c>
      <c r="C240" s="13" t="s">
        <v>85</v>
      </c>
      <c r="D240" s="13" t="s">
        <v>33</v>
      </c>
      <c r="E240" s="8" t="s">
        <v>46</v>
      </c>
      <c r="F240" s="8" t="s">
        <v>51</v>
      </c>
    </row>
    <row r="241" spans="1:6" x14ac:dyDescent="0.3">
      <c r="A241" s="19">
        <v>2</v>
      </c>
      <c r="B241" s="13">
        <v>2</v>
      </c>
      <c r="C241" s="13" t="s">
        <v>84</v>
      </c>
      <c r="D241" s="13" t="s">
        <v>33</v>
      </c>
      <c r="E241" s="19" t="s">
        <v>46</v>
      </c>
      <c r="F241" s="19" t="s">
        <v>53</v>
      </c>
    </row>
    <row r="242" spans="1:6" x14ac:dyDescent="0.3">
      <c r="A242" s="8">
        <v>2</v>
      </c>
      <c r="B242" s="8">
        <v>2</v>
      </c>
      <c r="C242" s="8" t="s">
        <v>84</v>
      </c>
      <c r="D242" s="8" t="s">
        <v>4</v>
      </c>
      <c r="E242" s="8" t="s">
        <v>45</v>
      </c>
      <c r="F242" s="8" t="s">
        <v>57</v>
      </c>
    </row>
    <row r="243" spans="1:6" x14ac:dyDescent="0.3">
      <c r="A243" s="19">
        <v>2</v>
      </c>
      <c r="B243" s="19">
        <v>1</v>
      </c>
      <c r="C243" s="19" t="s">
        <v>85</v>
      </c>
      <c r="D243" s="19" t="s">
        <v>44</v>
      </c>
      <c r="E243" s="19" t="s">
        <v>14</v>
      </c>
      <c r="F243" s="19" t="s">
        <v>57</v>
      </c>
    </row>
    <row r="244" spans="1:6" x14ac:dyDescent="0.3">
      <c r="A244" s="16">
        <v>3</v>
      </c>
      <c r="B244" s="14">
        <v>2</v>
      </c>
      <c r="C244" s="14" t="s">
        <v>84</v>
      </c>
      <c r="D244" s="14" t="s">
        <v>33</v>
      </c>
      <c r="E244" s="19" t="s">
        <v>46</v>
      </c>
      <c r="F244" s="19" t="s">
        <v>58</v>
      </c>
    </row>
    <row r="245" spans="1:6" x14ac:dyDescent="0.3">
      <c r="A245" s="32">
        <v>3</v>
      </c>
      <c r="B245" s="31">
        <v>1</v>
      </c>
      <c r="C245" s="31" t="s">
        <v>85</v>
      </c>
      <c r="D245" s="31" t="s">
        <v>4</v>
      </c>
      <c r="E245" s="31" t="s">
        <v>45</v>
      </c>
      <c r="F245" s="31" t="s">
        <v>68</v>
      </c>
    </row>
    <row r="246" spans="1:6" x14ac:dyDescent="0.3">
      <c r="A246" s="16">
        <v>3</v>
      </c>
      <c r="B246" s="19">
        <v>2</v>
      </c>
      <c r="C246" s="19" t="s">
        <v>84</v>
      </c>
      <c r="D246" s="19" t="s">
        <v>44</v>
      </c>
      <c r="E246" s="19" t="s">
        <v>14</v>
      </c>
      <c r="F246" s="19" t="s">
        <v>68</v>
      </c>
    </row>
    <row r="247" spans="1:6" x14ac:dyDescent="0.3">
      <c r="A247" s="32">
        <v>3</v>
      </c>
      <c r="B247" s="14">
        <v>2</v>
      </c>
      <c r="C247" s="14" t="s">
        <v>84</v>
      </c>
      <c r="D247" s="14" t="s">
        <v>33</v>
      </c>
      <c r="E247" s="31" t="s">
        <v>46</v>
      </c>
      <c r="F247" s="31" t="s">
        <v>60</v>
      </c>
    </row>
    <row r="248" spans="1:6" x14ac:dyDescent="0.3">
      <c r="A248" s="16">
        <v>3</v>
      </c>
      <c r="B248" s="19">
        <v>2</v>
      </c>
      <c r="C248" s="19" t="s">
        <v>84</v>
      </c>
      <c r="D248" s="19" t="s">
        <v>4</v>
      </c>
      <c r="E248" s="19" t="s">
        <v>45</v>
      </c>
      <c r="F248" s="19" t="s">
        <v>66</v>
      </c>
    </row>
    <row r="249" spans="1:6" x14ac:dyDescent="0.3">
      <c r="A249" s="32">
        <v>3</v>
      </c>
      <c r="B249" s="31">
        <v>1</v>
      </c>
      <c r="C249" s="31" t="s">
        <v>85</v>
      </c>
      <c r="D249" s="31" t="s">
        <v>44</v>
      </c>
      <c r="E249" s="31" t="s">
        <v>14</v>
      </c>
      <c r="F249" s="31" t="s">
        <v>66</v>
      </c>
    </row>
    <row r="250" spans="1:6" x14ac:dyDescent="0.3">
      <c r="A250" s="16">
        <v>3</v>
      </c>
      <c r="B250" s="19">
        <v>1</v>
      </c>
      <c r="C250" s="19" t="s">
        <v>85</v>
      </c>
      <c r="D250" s="19" t="s">
        <v>4</v>
      </c>
      <c r="E250" s="19" t="s">
        <v>45</v>
      </c>
      <c r="F250" s="19" t="s">
        <v>70</v>
      </c>
    </row>
    <row r="251" spans="1:6" x14ac:dyDescent="0.3">
      <c r="A251" s="32">
        <v>3</v>
      </c>
      <c r="B251" s="31">
        <v>2</v>
      </c>
      <c r="C251" s="31" t="s">
        <v>84</v>
      </c>
      <c r="D251" s="31" t="s">
        <v>44</v>
      </c>
      <c r="E251" s="31" t="s">
        <v>14</v>
      </c>
      <c r="F251" s="31" t="s">
        <v>70</v>
      </c>
    </row>
    <row r="252" spans="1:6" x14ac:dyDescent="0.3">
      <c r="A252" s="16">
        <v>3</v>
      </c>
      <c r="B252" s="14">
        <v>1</v>
      </c>
      <c r="C252" s="14" t="s">
        <v>85</v>
      </c>
      <c r="D252" s="14" t="s">
        <v>33</v>
      </c>
      <c r="E252" s="19" t="s">
        <v>46</v>
      </c>
      <c r="F252" s="19" t="s">
        <v>62</v>
      </c>
    </row>
    <row r="253" spans="1:6" x14ac:dyDescent="0.3">
      <c r="A253" s="32">
        <v>3</v>
      </c>
      <c r="B253" s="31">
        <v>2</v>
      </c>
      <c r="C253" s="31" t="s">
        <v>84</v>
      </c>
      <c r="D253" s="31" t="s">
        <v>4</v>
      </c>
      <c r="E253" s="31" t="s">
        <v>45</v>
      </c>
      <c r="F253" s="31" t="s">
        <v>69</v>
      </c>
    </row>
    <row r="254" spans="1:6" x14ac:dyDescent="0.3">
      <c r="A254" s="16">
        <v>3</v>
      </c>
      <c r="B254" s="19">
        <v>2</v>
      </c>
      <c r="C254" s="19" t="s">
        <v>84</v>
      </c>
      <c r="D254" s="19" t="s">
        <v>44</v>
      </c>
      <c r="E254" s="19" t="s">
        <v>13</v>
      </c>
      <c r="F254" s="19" t="s">
        <v>69</v>
      </c>
    </row>
    <row r="255" spans="1:6" x14ac:dyDescent="0.3">
      <c r="A255" s="32">
        <v>3</v>
      </c>
      <c r="B255" s="14">
        <v>1</v>
      </c>
      <c r="C255" s="14" t="s">
        <v>85</v>
      </c>
      <c r="D255" s="14" t="s">
        <v>33</v>
      </c>
      <c r="E255" s="31" t="s">
        <v>46</v>
      </c>
      <c r="F255" s="31" t="s">
        <v>56</v>
      </c>
    </row>
    <row r="256" spans="1:6" x14ac:dyDescent="0.3">
      <c r="A256" s="16">
        <v>3</v>
      </c>
      <c r="B256" s="14">
        <v>1</v>
      </c>
      <c r="C256" s="14" t="s">
        <v>85</v>
      </c>
      <c r="D256" s="14" t="s">
        <v>33</v>
      </c>
      <c r="E256" s="19" t="s">
        <v>46</v>
      </c>
      <c r="F256" s="19" t="s">
        <v>61</v>
      </c>
    </row>
    <row r="257" spans="1:6" x14ac:dyDescent="0.3">
      <c r="A257" s="32">
        <v>3</v>
      </c>
      <c r="B257" s="31">
        <v>2</v>
      </c>
      <c r="C257" s="31" t="s">
        <v>84</v>
      </c>
      <c r="D257" s="31" t="s">
        <v>4</v>
      </c>
      <c r="E257" s="31" t="s">
        <v>45</v>
      </c>
      <c r="F257" s="31" t="s">
        <v>63</v>
      </c>
    </row>
    <row r="258" spans="1:6" x14ac:dyDescent="0.3">
      <c r="A258" s="16">
        <v>3</v>
      </c>
      <c r="B258" s="19">
        <v>2</v>
      </c>
      <c r="C258" s="19" t="s">
        <v>84</v>
      </c>
      <c r="D258" s="19" t="s">
        <v>44</v>
      </c>
      <c r="E258" s="19" t="s">
        <v>13</v>
      </c>
      <c r="F258" s="19" t="s">
        <v>63</v>
      </c>
    </row>
    <row r="259" spans="1:6" x14ac:dyDescent="0.3">
      <c r="A259" s="32">
        <v>3</v>
      </c>
      <c r="B259" s="31">
        <v>2</v>
      </c>
      <c r="C259" s="31" t="s">
        <v>84</v>
      </c>
      <c r="D259" s="31" t="s">
        <v>4</v>
      </c>
      <c r="E259" s="31" t="s">
        <v>45</v>
      </c>
      <c r="F259" s="31" t="s">
        <v>65</v>
      </c>
    </row>
    <row r="260" spans="1:6" x14ac:dyDescent="0.3">
      <c r="A260" s="16">
        <v>3</v>
      </c>
      <c r="B260" s="19">
        <v>1</v>
      </c>
      <c r="C260" s="19" t="s">
        <v>85</v>
      </c>
      <c r="D260" s="19" t="s">
        <v>44</v>
      </c>
      <c r="E260" s="19" t="s">
        <v>14</v>
      </c>
      <c r="F260" s="19" t="s">
        <v>65</v>
      </c>
    </row>
    <row r="261" spans="1:6" x14ac:dyDescent="0.3">
      <c r="A261" s="32">
        <v>3</v>
      </c>
      <c r="B261" s="14">
        <v>2</v>
      </c>
      <c r="C261" s="14" t="s">
        <v>84</v>
      </c>
      <c r="D261" s="14" t="s">
        <v>33</v>
      </c>
      <c r="E261" s="31" t="s">
        <v>46</v>
      </c>
      <c r="F261" s="31" t="s">
        <v>59</v>
      </c>
    </row>
    <row r="262" spans="1:6" x14ac:dyDescent="0.3">
      <c r="A262" s="16">
        <v>3</v>
      </c>
      <c r="B262" s="19">
        <v>1</v>
      </c>
      <c r="C262" s="19" t="s">
        <v>85</v>
      </c>
      <c r="D262" s="19" t="s">
        <v>4</v>
      </c>
      <c r="E262" s="19" t="s">
        <v>45</v>
      </c>
      <c r="F262" s="19" t="s">
        <v>67</v>
      </c>
    </row>
    <row r="263" spans="1:6" x14ac:dyDescent="0.3">
      <c r="A263" s="32">
        <v>3</v>
      </c>
      <c r="B263" s="31">
        <v>1</v>
      </c>
      <c r="C263" s="31" t="s">
        <v>85</v>
      </c>
      <c r="D263" s="31" t="s">
        <v>44</v>
      </c>
      <c r="E263" s="31" t="s">
        <v>13</v>
      </c>
      <c r="F263" s="31" t="s">
        <v>67</v>
      </c>
    </row>
    <row r="264" spans="1:6" x14ac:dyDescent="0.3">
      <c r="A264" s="16">
        <v>3</v>
      </c>
      <c r="B264" s="14">
        <v>2</v>
      </c>
      <c r="C264" s="14" t="s">
        <v>84</v>
      </c>
      <c r="D264" s="14" t="s">
        <v>33</v>
      </c>
      <c r="E264" s="19" t="s">
        <v>46</v>
      </c>
      <c r="F264" s="19" t="s">
        <v>55</v>
      </c>
    </row>
    <row r="265" spans="1:6" x14ac:dyDescent="0.3">
      <c r="A265" s="32">
        <v>3</v>
      </c>
      <c r="B265" s="31">
        <v>1</v>
      </c>
      <c r="C265" s="31" t="s">
        <v>85</v>
      </c>
      <c r="D265" s="31" t="s">
        <v>4</v>
      </c>
      <c r="E265" s="31" t="s">
        <v>45</v>
      </c>
      <c r="F265" s="31" t="s">
        <v>64</v>
      </c>
    </row>
    <row r="266" spans="1:6" x14ac:dyDescent="0.3">
      <c r="A266" s="16">
        <v>3</v>
      </c>
      <c r="B266" s="19">
        <v>1</v>
      </c>
      <c r="C266" s="19" t="s">
        <v>85</v>
      </c>
      <c r="D266" s="19" t="s">
        <v>44</v>
      </c>
      <c r="E266" s="19" t="s">
        <v>13</v>
      </c>
      <c r="F266" s="19" t="s">
        <v>64</v>
      </c>
    </row>
    <row r="267" spans="1:6" x14ac:dyDescent="0.3">
      <c r="A267" s="32">
        <v>3</v>
      </c>
      <c r="B267" s="14">
        <v>1</v>
      </c>
      <c r="C267" s="14" t="s">
        <v>85</v>
      </c>
      <c r="D267" s="14" t="s">
        <v>33</v>
      </c>
      <c r="E267" s="31" t="s">
        <v>46</v>
      </c>
      <c r="F267" s="31" t="s">
        <v>57</v>
      </c>
    </row>
    <row r="268" spans="1:6" x14ac:dyDescent="0.3">
      <c r="A268" s="8">
        <v>4</v>
      </c>
      <c r="B268" s="15">
        <v>2</v>
      </c>
      <c r="C268" s="15" t="s">
        <v>84</v>
      </c>
      <c r="D268" s="15" t="s">
        <v>33</v>
      </c>
      <c r="E268" s="8" t="s">
        <v>46</v>
      </c>
      <c r="F268" s="8" t="s">
        <v>68</v>
      </c>
    </row>
    <row r="269" spans="1:6" x14ac:dyDescent="0.3">
      <c r="A269" s="19">
        <v>4</v>
      </c>
      <c r="B269" s="19">
        <v>1</v>
      </c>
      <c r="C269" s="19" t="s">
        <v>85</v>
      </c>
      <c r="D269" s="19" t="s">
        <v>4</v>
      </c>
      <c r="E269" s="19" t="s">
        <v>45</v>
      </c>
      <c r="F269" s="19" t="s">
        <v>76</v>
      </c>
    </row>
    <row r="270" spans="1:6" x14ac:dyDescent="0.3">
      <c r="A270" s="8">
        <v>4</v>
      </c>
      <c r="B270" s="8">
        <v>1</v>
      </c>
      <c r="C270" s="8" t="s">
        <v>85</v>
      </c>
      <c r="D270" s="8" t="s">
        <v>44</v>
      </c>
      <c r="E270" s="8" t="s">
        <v>13</v>
      </c>
      <c r="F270" s="8" t="s">
        <v>76</v>
      </c>
    </row>
    <row r="271" spans="1:6" x14ac:dyDescent="0.3">
      <c r="A271" s="19">
        <v>4</v>
      </c>
      <c r="B271" s="19">
        <v>1</v>
      </c>
      <c r="C271" s="19" t="s">
        <v>85</v>
      </c>
      <c r="D271" s="19" t="s">
        <v>4</v>
      </c>
      <c r="E271" s="19" t="s">
        <v>45</v>
      </c>
      <c r="F271" s="19" t="s">
        <v>71</v>
      </c>
    </row>
    <row r="272" spans="1:6" x14ac:dyDescent="0.3">
      <c r="A272" s="8">
        <v>4</v>
      </c>
      <c r="B272" s="8">
        <v>2</v>
      </c>
      <c r="C272" s="8" t="s">
        <v>84</v>
      </c>
      <c r="D272" s="8" t="s">
        <v>44</v>
      </c>
      <c r="E272" s="8" t="s">
        <v>14</v>
      </c>
      <c r="F272" s="8" t="s">
        <v>71</v>
      </c>
    </row>
    <row r="273" spans="1:6" x14ac:dyDescent="0.3">
      <c r="A273" s="19">
        <v>4</v>
      </c>
      <c r="B273" s="15">
        <v>1</v>
      </c>
      <c r="C273" s="15" t="s">
        <v>85</v>
      </c>
      <c r="D273" s="15" t="s">
        <v>33</v>
      </c>
      <c r="E273" s="19" t="s">
        <v>46</v>
      </c>
      <c r="F273" s="19" t="s">
        <v>66</v>
      </c>
    </row>
    <row r="274" spans="1:6" x14ac:dyDescent="0.3">
      <c r="A274" s="8">
        <v>4</v>
      </c>
      <c r="B274" s="8">
        <v>2</v>
      </c>
      <c r="C274" s="8" t="s">
        <v>84</v>
      </c>
      <c r="D274" s="8" t="s">
        <v>4</v>
      </c>
      <c r="E274" s="8" t="s">
        <v>45</v>
      </c>
      <c r="F274" s="8" t="s">
        <v>75</v>
      </c>
    </row>
    <row r="275" spans="1:6" x14ac:dyDescent="0.3">
      <c r="A275" s="19">
        <v>4</v>
      </c>
      <c r="B275" s="19">
        <v>2</v>
      </c>
      <c r="C275" s="19" t="s">
        <v>84</v>
      </c>
      <c r="D275" s="19" t="s">
        <v>44</v>
      </c>
      <c r="E275" s="19" t="s">
        <v>13</v>
      </c>
      <c r="F275" s="19" t="s">
        <v>75</v>
      </c>
    </row>
    <row r="276" spans="1:6" x14ac:dyDescent="0.3">
      <c r="A276" s="8">
        <v>4</v>
      </c>
      <c r="B276" s="8">
        <v>2</v>
      </c>
      <c r="C276" s="8" t="s">
        <v>84</v>
      </c>
      <c r="D276" s="8" t="s">
        <v>4</v>
      </c>
      <c r="E276" s="8" t="s">
        <v>45</v>
      </c>
      <c r="F276" s="8" t="s">
        <v>77</v>
      </c>
    </row>
    <row r="277" spans="1:6" x14ac:dyDescent="0.3">
      <c r="A277" s="19">
        <v>4</v>
      </c>
      <c r="B277" s="19">
        <v>1</v>
      </c>
      <c r="C277" s="19" t="s">
        <v>85</v>
      </c>
      <c r="D277" s="19" t="s">
        <v>44</v>
      </c>
      <c r="E277" s="19" t="s">
        <v>14</v>
      </c>
      <c r="F277" s="19" t="s">
        <v>77</v>
      </c>
    </row>
    <row r="278" spans="1:6" x14ac:dyDescent="0.3">
      <c r="A278" s="8">
        <v>4</v>
      </c>
      <c r="B278" s="15">
        <v>2</v>
      </c>
      <c r="C278" s="15" t="s">
        <v>84</v>
      </c>
      <c r="D278" s="15" t="s">
        <v>33</v>
      </c>
      <c r="E278" s="8" t="s">
        <v>46</v>
      </c>
      <c r="F278" s="8" t="s">
        <v>70</v>
      </c>
    </row>
    <row r="279" spans="1:6" x14ac:dyDescent="0.3">
      <c r="A279" s="19">
        <v>4</v>
      </c>
      <c r="B279" s="15">
        <v>1</v>
      </c>
      <c r="C279" s="15" t="s">
        <v>85</v>
      </c>
      <c r="D279" s="15" t="s">
        <v>33</v>
      </c>
      <c r="E279" s="19" t="s">
        <v>46</v>
      </c>
      <c r="F279" s="19" t="s">
        <v>69</v>
      </c>
    </row>
    <row r="280" spans="1:6" x14ac:dyDescent="0.3">
      <c r="A280" s="8">
        <v>4</v>
      </c>
      <c r="B280" s="15">
        <v>2</v>
      </c>
      <c r="C280" s="15" t="s">
        <v>84</v>
      </c>
      <c r="D280" s="15" t="s">
        <v>33</v>
      </c>
      <c r="E280" s="8" t="s">
        <v>46</v>
      </c>
      <c r="F280" s="8" t="s">
        <v>63</v>
      </c>
    </row>
    <row r="281" spans="1:6" x14ac:dyDescent="0.3">
      <c r="A281" s="19">
        <v>4</v>
      </c>
      <c r="B281" s="19">
        <v>1</v>
      </c>
      <c r="C281" s="19" t="s">
        <v>85</v>
      </c>
      <c r="D281" s="19" t="s">
        <v>4</v>
      </c>
      <c r="E281" s="19" t="s">
        <v>45</v>
      </c>
      <c r="F281" s="19" t="s">
        <v>72</v>
      </c>
    </row>
    <row r="282" spans="1:6" x14ac:dyDescent="0.3">
      <c r="A282" s="8">
        <v>4</v>
      </c>
      <c r="B282" s="8">
        <v>2</v>
      </c>
      <c r="C282" s="8" t="s">
        <v>84</v>
      </c>
      <c r="D282" s="8" t="s">
        <v>44</v>
      </c>
      <c r="E282" s="8" t="s">
        <v>14</v>
      </c>
      <c r="F282" s="8" t="s">
        <v>72</v>
      </c>
    </row>
    <row r="283" spans="1:6" x14ac:dyDescent="0.3">
      <c r="A283" s="19">
        <v>4</v>
      </c>
      <c r="B283" s="19">
        <v>2</v>
      </c>
      <c r="C283" s="19" t="s">
        <v>84</v>
      </c>
      <c r="D283" s="19" t="s">
        <v>4</v>
      </c>
      <c r="E283" s="19" t="s">
        <v>45</v>
      </c>
      <c r="F283" s="19" t="s">
        <v>78</v>
      </c>
    </row>
    <row r="284" spans="1:6" x14ac:dyDescent="0.3">
      <c r="A284" s="8">
        <v>4</v>
      </c>
      <c r="B284" s="8">
        <v>2</v>
      </c>
      <c r="C284" s="8" t="s">
        <v>84</v>
      </c>
      <c r="D284" s="8" t="s">
        <v>44</v>
      </c>
      <c r="E284" s="8" t="s">
        <v>13</v>
      </c>
      <c r="F284" s="8" t="s">
        <v>78</v>
      </c>
    </row>
    <row r="285" spans="1:6" x14ac:dyDescent="0.3">
      <c r="A285" s="19">
        <v>4</v>
      </c>
      <c r="B285" s="15">
        <v>1</v>
      </c>
      <c r="C285" s="15" t="s">
        <v>85</v>
      </c>
      <c r="D285" s="15" t="s">
        <v>33</v>
      </c>
      <c r="E285" s="19" t="s">
        <v>46</v>
      </c>
      <c r="F285" s="19" t="s">
        <v>65</v>
      </c>
    </row>
    <row r="286" spans="1:6" x14ac:dyDescent="0.3">
      <c r="A286" s="8">
        <v>4</v>
      </c>
      <c r="B286" s="8">
        <v>2</v>
      </c>
      <c r="C286" s="8" t="s">
        <v>84</v>
      </c>
      <c r="D286" s="8" t="s">
        <v>4</v>
      </c>
      <c r="E286" s="8" t="s">
        <v>45</v>
      </c>
      <c r="F286" s="8" t="s">
        <v>73</v>
      </c>
    </row>
    <row r="287" spans="1:6" x14ac:dyDescent="0.3">
      <c r="A287" s="19">
        <v>4</v>
      </c>
      <c r="B287" s="19">
        <v>1</v>
      </c>
      <c r="C287" s="19" t="s">
        <v>85</v>
      </c>
      <c r="D287" s="19" t="s">
        <v>44</v>
      </c>
      <c r="E287" s="19" t="s">
        <v>14</v>
      </c>
      <c r="F287" s="19" t="s">
        <v>73</v>
      </c>
    </row>
    <row r="288" spans="1:6" x14ac:dyDescent="0.3">
      <c r="A288" s="8">
        <v>4</v>
      </c>
      <c r="B288" s="8">
        <v>1</v>
      </c>
      <c r="C288" s="8" t="s">
        <v>85</v>
      </c>
      <c r="D288" s="8" t="s">
        <v>4</v>
      </c>
      <c r="E288" s="8" t="s">
        <v>45</v>
      </c>
      <c r="F288" s="8" t="s">
        <v>74</v>
      </c>
    </row>
    <row r="289" spans="1:6" x14ac:dyDescent="0.3">
      <c r="A289" s="19">
        <v>4</v>
      </c>
      <c r="B289" s="19">
        <v>1</v>
      </c>
      <c r="C289" s="19" t="s">
        <v>85</v>
      </c>
      <c r="D289" s="19" t="s">
        <v>44</v>
      </c>
      <c r="E289" s="19" t="s">
        <v>13</v>
      </c>
      <c r="F289" s="19" t="s">
        <v>74</v>
      </c>
    </row>
    <row r="290" spans="1:6" x14ac:dyDescent="0.3">
      <c r="A290" s="8">
        <v>4</v>
      </c>
      <c r="B290" s="15">
        <v>2</v>
      </c>
      <c r="C290" s="15" t="s">
        <v>84</v>
      </c>
      <c r="D290" s="15" t="s">
        <v>33</v>
      </c>
      <c r="E290" s="8" t="s">
        <v>46</v>
      </c>
      <c r="F290" s="8" t="s">
        <v>67</v>
      </c>
    </row>
    <row r="291" spans="1:6" x14ac:dyDescent="0.3">
      <c r="A291" s="19">
        <v>4</v>
      </c>
      <c r="B291" s="15">
        <v>1</v>
      </c>
      <c r="C291" s="15" t="s">
        <v>85</v>
      </c>
      <c r="D291" s="15" t="s">
        <v>33</v>
      </c>
      <c r="E291" s="19" t="s">
        <v>46</v>
      </c>
      <c r="F291" s="19" t="s">
        <v>64</v>
      </c>
    </row>
    <row r="292" spans="1:6" x14ac:dyDescent="0.3">
      <c r="A292" s="6" t="s">
        <v>29</v>
      </c>
      <c r="B292" s="6"/>
      <c r="C292" s="6"/>
      <c r="D292" s="6"/>
      <c r="E292" s="6"/>
      <c r="F292" s="6"/>
    </row>
    <row r="293" spans="1:6" x14ac:dyDescent="0.3">
      <c r="A293" s="16">
        <v>1</v>
      </c>
      <c r="B293" s="16">
        <v>2</v>
      </c>
      <c r="C293" s="16" t="s">
        <v>84</v>
      </c>
      <c r="D293" s="19" t="s">
        <v>4</v>
      </c>
      <c r="E293" s="19" t="s">
        <v>45</v>
      </c>
      <c r="F293" s="19" t="s">
        <v>47</v>
      </c>
    </row>
    <row r="294" spans="1:6" x14ac:dyDescent="0.3">
      <c r="A294" s="11">
        <v>1</v>
      </c>
      <c r="B294" s="11">
        <v>2</v>
      </c>
      <c r="C294" s="11" t="s">
        <v>84</v>
      </c>
      <c r="D294" s="8" t="s">
        <v>44</v>
      </c>
      <c r="E294" s="8" t="s">
        <v>13</v>
      </c>
      <c r="F294" s="8" t="s">
        <v>47</v>
      </c>
    </row>
    <row r="295" spans="1:6" x14ac:dyDescent="0.3">
      <c r="A295" s="16">
        <v>1</v>
      </c>
      <c r="B295" s="18">
        <v>1</v>
      </c>
      <c r="C295" s="17" t="s">
        <v>85</v>
      </c>
      <c r="D295" s="12" t="s">
        <v>33</v>
      </c>
      <c r="E295" s="19" t="s">
        <v>46</v>
      </c>
      <c r="F295" s="19" t="s">
        <v>78</v>
      </c>
    </row>
    <row r="296" spans="1:6" x14ac:dyDescent="0.3">
      <c r="A296" s="11">
        <v>1</v>
      </c>
      <c r="B296" s="11">
        <v>2</v>
      </c>
      <c r="C296" s="11" t="s">
        <v>84</v>
      </c>
      <c r="D296" s="8" t="s">
        <v>4</v>
      </c>
      <c r="E296" s="8" t="s">
        <v>45</v>
      </c>
      <c r="F296" s="8" t="s">
        <v>48</v>
      </c>
    </row>
    <row r="297" spans="1:6" x14ac:dyDescent="0.3">
      <c r="A297" s="16">
        <v>1</v>
      </c>
      <c r="B297" s="16">
        <v>2</v>
      </c>
      <c r="C297" s="16" t="s">
        <v>84</v>
      </c>
      <c r="D297" s="19" t="s">
        <v>44</v>
      </c>
      <c r="E297" s="19" t="s">
        <v>13</v>
      </c>
      <c r="F297" s="19" t="s">
        <v>48</v>
      </c>
    </row>
    <row r="298" spans="1:6" x14ac:dyDescent="0.3">
      <c r="A298" s="11">
        <v>1</v>
      </c>
      <c r="B298" s="18">
        <v>1</v>
      </c>
      <c r="C298" s="18" t="s">
        <v>85</v>
      </c>
      <c r="D298" s="12" t="s">
        <v>33</v>
      </c>
      <c r="E298" s="8" t="s">
        <v>46</v>
      </c>
      <c r="F298" s="8" t="s">
        <v>77</v>
      </c>
    </row>
    <row r="299" spans="1:6" x14ac:dyDescent="0.3">
      <c r="A299" s="16">
        <v>1</v>
      </c>
      <c r="B299" s="16">
        <v>2</v>
      </c>
      <c r="C299" s="16" t="s">
        <v>84</v>
      </c>
      <c r="D299" s="19" t="s">
        <v>4</v>
      </c>
      <c r="E299" s="19" t="s">
        <v>45</v>
      </c>
      <c r="F299" s="19" t="s">
        <v>49</v>
      </c>
    </row>
    <row r="300" spans="1:6" x14ac:dyDescent="0.3">
      <c r="A300" s="11">
        <v>1</v>
      </c>
      <c r="B300" s="11">
        <v>1</v>
      </c>
      <c r="C300" s="11" t="s">
        <v>85</v>
      </c>
      <c r="D300" s="8" t="s">
        <v>44</v>
      </c>
      <c r="E300" s="8" t="s">
        <v>14</v>
      </c>
      <c r="F300" s="8" t="s">
        <v>49</v>
      </c>
    </row>
    <row r="301" spans="1:6" x14ac:dyDescent="0.3">
      <c r="A301" s="16">
        <v>1</v>
      </c>
      <c r="B301" s="16">
        <v>1</v>
      </c>
      <c r="C301" s="16" t="s">
        <v>85</v>
      </c>
      <c r="D301" s="19" t="s">
        <v>4</v>
      </c>
      <c r="E301" s="19" t="s">
        <v>45</v>
      </c>
      <c r="F301" s="19" t="s">
        <v>50</v>
      </c>
    </row>
    <row r="302" spans="1:6" x14ac:dyDescent="0.3">
      <c r="A302" s="11">
        <v>1</v>
      </c>
      <c r="B302" s="11">
        <v>2</v>
      </c>
      <c r="C302" s="11" t="s">
        <v>84</v>
      </c>
      <c r="D302" s="8" t="s">
        <v>44</v>
      </c>
      <c r="E302" s="8" t="s">
        <v>14</v>
      </c>
      <c r="F302" s="8" t="s">
        <v>50</v>
      </c>
    </row>
    <row r="303" spans="1:6" x14ac:dyDescent="0.3">
      <c r="A303" s="16">
        <v>1</v>
      </c>
      <c r="B303" s="18">
        <v>2</v>
      </c>
      <c r="C303" s="17" t="s">
        <v>84</v>
      </c>
      <c r="D303" s="12" t="s">
        <v>33</v>
      </c>
      <c r="E303" s="19" t="s">
        <v>46</v>
      </c>
      <c r="F303" s="19" t="s">
        <v>76</v>
      </c>
    </row>
    <row r="304" spans="1:6" x14ac:dyDescent="0.3">
      <c r="A304" s="11">
        <v>1</v>
      </c>
      <c r="B304" s="11">
        <v>2</v>
      </c>
      <c r="C304" s="11" t="s">
        <v>84</v>
      </c>
      <c r="D304" s="8" t="s">
        <v>4</v>
      </c>
      <c r="E304" s="8" t="s">
        <v>45</v>
      </c>
      <c r="F304" s="8" t="s">
        <v>51</v>
      </c>
    </row>
    <row r="305" spans="1:6" x14ac:dyDescent="0.3">
      <c r="A305" s="16">
        <v>1</v>
      </c>
      <c r="B305" s="16">
        <v>1</v>
      </c>
      <c r="C305" s="16" t="s">
        <v>85</v>
      </c>
      <c r="D305" s="19" t="s">
        <v>44</v>
      </c>
      <c r="E305" s="19" t="s">
        <v>14</v>
      </c>
      <c r="F305" s="19" t="s">
        <v>51</v>
      </c>
    </row>
    <row r="306" spans="1:6" x14ac:dyDescent="0.3">
      <c r="A306" s="11">
        <v>1</v>
      </c>
      <c r="B306" s="18">
        <v>2</v>
      </c>
      <c r="C306" s="18" t="s">
        <v>84</v>
      </c>
      <c r="D306" s="12" t="s">
        <v>33</v>
      </c>
      <c r="E306" s="8" t="s">
        <v>46</v>
      </c>
      <c r="F306" s="8" t="s">
        <v>75</v>
      </c>
    </row>
    <row r="307" spans="1:6" x14ac:dyDescent="0.3">
      <c r="A307" s="16">
        <v>1</v>
      </c>
      <c r="B307" s="16">
        <v>1</v>
      </c>
      <c r="C307" s="16" t="s">
        <v>85</v>
      </c>
      <c r="D307" s="19" t="s">
        <v>4</v>
      </c>
      <c r="E307" s="19" t="s">
        <v>45</v>
      </c>
      <c r="F307" s="19" t="s">
        <v>52</v>
      </c>
    </row>
    <row r="308" spans="1:6" x14ac:dyDescent="0.3">
      <c r="A308" s="11">
        <v>1</v>
      </c>
      <c r="B308" s="11">
        <v>1</v>
      </c>
      <c r="C308" s="11" t="s">
        <v>85</v>
      </c>
      <c r="D308" s="8" t="s">
        <v>44</v>
      </c>
      <c r="E308" s="8" t="s">
        <v>13</v>
      </c>
      <c r="F308" s="8" t="s">
        <v>52</v>
      </c>
    </row>
    <row r="309" spans="1:6" x14ac:dyDescent="0.3">
      <c r="A309" s="16">
        <v>1</v>
      </c>
      <c r="B309" s="18">
        <v>2</v>
      </c>
      <c r="C309" s="17" t="s">
        <v>84</v>
      </c>
      <c r="D309" s="12" t="s">
        <v>33</v>
      </c>
      <c r="E309" s="19" t="s">
        <v>46</v>
      </c>
      <c r="F309" s="19" t="s">
        <v>74</v>
      </c>
    </row>
    <row r="310" spans="1:6" x14ac:dyDescent="0.3">
      <c r="A310" s="11">
        <v>1</v>
      </c>
      <c r="B310" s="11">
        <v>1</v>
      </c>
      <c r="C310" s="11" t="s">
        <v>85</v>
      </c>
      <c r="D310" s="8" t="s">
        <v>4</v>
      </c>
      <c r="E310" s="8" t="s">
        <v>45</v>
      </c>
      <c r="F310" s="8" t="s">
        <v>53</v>
      </c>
    </row>
    <row r="311" spans="1:6" x14ac:dyDescent="0.3">
      <c r="A311" s="16">
        <v>1</v>
      </c>
      <c r="B311" s="16">
        <v>1</v>
      </c>
      <c r="C311" s="16" t="s">
        <v>85</v>
      </c>
      <c r="D311" s="19" t="s">
        <v>44</v>
      </c>
      <c r="E311" s="19" t="s">
        <v>13</v>
      </c>
      <c r="F311" s="19" t="s">
        <v>53</v>
      </c>
    </row>
    <row r="312" spans="1:6" x14ac:dyDescent="0.3">
      <c r="A312" s="11">
        <v>1</v>
      </c>
      <c r="B312" s="18">
        <v>2</v>
      </c>
      <c r="C312" s="18" t="s">
        <v>84</v>
      </c>
      <c r="D312" s="12" t="s">
        <v>33</v>
      </c>
      <c r="E312" s="8" t="s">
        <v>46</v>
      </c>
      <c r="F312" s="8" t="s">
        <v>73</v>
      </c>
    </row>
    <row r="313" spans="1:6" x14ac:dyDescent="0.3">
      <c r="A313" s="16">
        <v>1</v>
      </c>
      <c r="B313" s="16">
        <v>1</v>
      </c>
      <c r="C313" s="16" t="s">
        <v>85</v>
      </c>
      <c r="D313" s="19" t="s">
        <v>4</v>
      </c>
      <c r="E313" s="19" t="s">
        <v>45</v>
      </c>
      <c r="F313" s="19" t="s">
        <v>54</v>
      </c>
    </row>
    <row r="314" spans="1:6" x14ac:dyDescent="0.3">
      <c r="A314" s="11">
        <v>1</v>
      </c>
      <c r="B314" s="11">
        <v>2</v>
      </c>
      <c r="C314" s="11" t="s">
        <v>84</v>
      </c>
      <c r="D314" s="8" t="s">
        <v>44</v>
      </c>
      <c r="E314" s="8" t="s">
        <v>14</v>
      </c>
      <c r="F314" s="8" t="s">
        <v>54</v>
      </c>
    </row>
    <row r="315" spans="1:6" x14ac:dyDescent="0.3">
      <c r="A315" s="16">
        <v>1</v>
      </c>
      <c r="B315" s="18">
        <v>1</v>
      </c>
      <c r="C315" s="17" t="s">
        <v>85</v>
      </c>
      <c r="D315" s="12" t="s">
        <v>33</v>
      </c>
      <c r="E315" s="19" t="s">
        <v>46</v>
      </c>
      <c r="F315" s="19" t="s">
        <v>72</v>
      </c>
    </row>
    <row r="316" spans="1:6" x14ac:dyDescent="0.3">
      <c r="A316" s="11">
        <v>1</v>
      </c>
      <c r="B316" s="18">
        <v>1</v>
      </c>
      <c r="C316" s="18" t="s">
        <v>85</v>
      </c>
      <c r="D316" s="12" t="s">
        <v>33</v>
      </c>
      <c r="E316" s="8" t="s">
        <v>46</v>
      </c>
      <c r="F316" s="8" t="s">
        <v>71</v>
      </c>
    </row>
    <row r="317" spans="1:6" x14ac:dyDescent="0.3">
      <c r="A317" s="31">
        <v>2</v>
      </c>
      <c r="B317" s="13">
        <v>2</v>
      </c>
      <c r="C317" s="13" t="s">
        <v>84</v>
      </c>
      <c r="D317" s="13" t="s">
        <v>33</v>
      </c>
      <c r="E317" s="31" t="s">
        <v>46</v>
      </c>
      <c r="F317" s="31" t="s">
        <v>47</v>
      </c>
    </row>
    <row r="318" spans="1:6" x14ac:dyDescent="0.3">
      <c r="A318" s="19">
        <v>2</v>
      </c>
      <c r="B318" s="16">
        <v>1</v>
      </c>
      <c r="C318" s="16" t="s">
        <v>85</v>
      </c>
      <c r="D318" s="19" t="s">
        <v>4</v>
      </c>
      <c r="E318" s="19" t="s">
        <v>45</v>
      </c>
      <c r="F318" s="19" t="s">
        <v>62</v>
      </c>
    </row>
    <row r="319" spans="1:6" x14ac:dyDescent="0.3">
      <c r="A319" s="31">
        <v>2</v>
      </c>
      <c r="B319" s="32">
        <v>1</v>
      </c>
      <c r="C319" s="32" t="s">
        <v>85</v>
      </c>
      <c r="D319" s="31" t="s">
        <v>44</v>
      </c>
      <c r="E319" s="31" t="s">
        <v>13</v>
      </c>
      <c r="F319" s="31" t="s">
        <v>62</v>
      </c>
    </row>
    <row r="320" spans="1:6" x14ac:dyDescent="0.3">
      <c r="A320" s="19">
        <v>2</v>
      </c>
      <c r="B320" s="13">
        <v>2</v>
      </c>
      <c r="C320" s="13" t="s">
        <v>84</v>
      </c>
      <c r="D320" s="13" t="s">
        <v>33</v>
      </c>
      <c r="E320" s="19" t="s">
        <v>46</v>
      </c>
      <c r="F320" s="19" t="s">
        <v>48</v>
      </c>
    </row>
    <row r="321" spans="1:6" x14ac:dyDescent="0.3">
      <c r="A321" s="19">
        <v>2</v>
      </c>
      <c r="B321" s="16">
        <v>1</v>
      </c>
      <c r="C321" s="32" t="s">
        <v>85</v>
      </c>
      <c r="D321" s="19" t="s">
        <v>4</v>
      </c>
      <c r="E321" s="19" t="s">
        <v>45</v>
      </c>
      <c r="F321" s="19" t="s">
        <v>61</v>
      </c>
    </row>
    <row r="322" spans="1:6" x14ac:dyDescent="0.3">
      <c r="A322" s="8">
        <v>2</v>
      </c>
      <c r="B322" s="11">
        <v>1</v>
      </c>
      <c r="C322" s="11" t="s">
        <v>85</v>
      </c>
      <c r="D322" s="8" t="s">
        <v>44</v>
      </c>
      <c r="E322" s="8" t="s">
        <v>13</v>
      </c>
      <c r="F322" s="8" t="s">
        <v>61</v>
      </c>
    </row>
    <row r="323" spans="1:6" x14ac:dyDescent="0.3">
      <c r="A323" s="19">
        <v>2</v>
      </c>
      <c r="B323" s="16">
        <v>1</v>
      </c>
      <c r="C323" s="32" t="s">
        <v>85</v>
      </c>
      <c r="D323" s="19" t="s">
        <v>4</v>
      </c>
      <c r="E323" s="19" t="s">
        <v>45</v>
      </c>
      <c r="F323" s="19" t="s">
        <v>60</v>
      </c>
    </row>
    <row r="324" spans="1:6" x14ac:dyDescent="0.3">
      <c r="A324" s="8">
        <v>2</v>
      </c>
      <c r="B324" s="11">
        <v>2</v>
      </c>
      <c r="C324" s="11" t="s">
        <v>84</v>
      </c>
      <c r="D324" s="8" t="s">
        <v>44</v>
      </c>
      <c r="E324" s="8" t="s">
        <v>14</v>
      </c>
      <c r="F324" s="8" t="s">
        <v>60</v>
      </c>
    </row>
    <row r="325" spans="1:6" x14ac:dyDescent="0.3">
      <c r="A325" s="19">
        <v>2</v>
      </c>
      <c r="B325" s="16">
        <v>2</v>
      </c>
      <c r="C325" s="32" t="s">
        <v>84</v>
      </c>
      <c r="D325" s="19" t="s">
        <v>4</v>
      </c>
      <c r="E325" s="19" t="s">
        <v>45</v>
      </c>
      <c r="F325" s="19" t="s">
        <v>59</v>
      </c>
    </row>
    <row r="326" spans="1:6" x14ac:dyDescent="0.3">
      <c r="A326" s="8">
        <v>2</v>
      </c>
      <c r="B326" s="11">
        <v>1</v>
      </c>
      <c r="C326" s="11" t="s">
        <v>85</v>
      </c>
      <c r="D326" s="8" t="s">
        <v>44</v>
      </c>
      <c r="E326" s="8" t="s">
        <v>14</v>
      </c>
      <c r="F326" s="8" t="s">
        <v>59</v>
      </c>
    </row>
    <row r="327" spans="1:6" x14ac:dyDescent="0.3">
      <c r="A327" s="31">
        <v>2</v>
      </c>
      <c r="B327" s="13">
        <v>2</v>
      </c>
      <c r="C327" s="13" t="s">
        <v>84</v>
      </c>
      <c r="D327" s="13" t="s">
        <v>33</v>
      </c>
      <c r="E327" s="31" t="s">
        <v>46</v>
      </c>
      <c r="F327" s="31" t="s">
        <v>49</v>
      </c>
    </row>
    <row r="328" spans="1:6" x14ac:dyDescent="0.3">
      <c r="A328" s="19">
        <v>2</v>
      </c>
      <c r="B328" s="16">
        <v>1</v>
      </c>
      <c r="C328" s="11" t="s">
        <v>85</v>
      </c>
      <c r="D328" s="19" t="s">
        <v>4</v>
      </c>
      <c r="E328" s="19" t="s">
        <v>45</v>
      </c>
      <c r="F328" s="19" t="s">
        <v>58</v>
      </c>
    </row>
    <row r="329" spans="1:6" x14ac:dyDescent="0.3">
      <c r="A329" s="31">
        <v>2</v>
      </c>
      <c r="B329" s="32">
        <v>2</v>
      </c>
      <c r="C329" s="32" t="s">
        <v>84</v>
      </c>
      <c r="D329" s="31" t="s">
        <v>44</v>
      </c>
      <c r="E329" s="31" t="s">
        <v>14</v>
      </c>
      <c r="F329" s="31" t="s">
        <v>58</v>
      </c>
    </row>
    <row r="330" spans="1:6" x14ac:dyDescent="0.3">
      <c r="A330" s="19">
        <v>2</v>
      </c>
      <c r="B330" s="13">
        <v>1</v>
      </c>
      <c r="C330" s="13" t="s">
        <v>85</v>
      </c>
      <c r="D330" s="13" t="s">
        <v>33</v>
      </c>
      <c r="E330" s="19" t="s">
        <v>46</v>
      </c>
      <c r="F330" s="19" t="s">
        <v>50</v>
      </c>
    </row>
    <row r="331" spans="1:6" x14ac:dyDescent="0.3">
      <c r="A331" s="31">
        <v>2</v>
      </c>
      <c r="B331" s="13">
        <v>1</v>
      </c>
      <c r="C331" s="13" t="s">
        <v>85</v>
      </c>
      <c r="D331" s="13" t="s">
        <v>33</v>
      </c>
      <c r="E331" s="31" t="s">
        <v>46</v>
      </c>
      <c r="F331" s="31" t="s">
        <v>51</v>
      </c>
    </row>
    <row r="332" spans="1:6" x14ac:dyDescent="0.3">
      <c r="A332" s="19">
        <v>2</v>
      </c>
      <c r="B332" s="16">
        <v>2</v>
      </c>
      <c r="C332" s="16" t="s">
        <v>84</v>
      </c>
      <c r="D332" s="19" t="s">
        <v>4</v>
      </c>
      <c r="E332" s="19" t="s">
        <v>45</v>
      </c>
      <c r="F332" s="19" t="s">
        <v>57</v>
      </c>
    </row>
    <row r="333" spans="1:6" x14ac:dyDescent="0.3">
      <c r="A333" s="31">
        <v>2</v>
      </c>
      <c r="B333" s="32">
        <v>2</v>
      </c>
      <c r="C333" s="32" t="s">
        <v>84</v>
      </c>
      <c r="D333" s="31" t="s">
        <v>44</v>
      </c>
      <c r="E333" s="31" t="s">
        <v>13</v>
      </c>
      <c r="F333" s="31" t="s">
        <v>57</v>
      </c>
    </row>
    <row r="334" spans="1:6" x14ac:dyDescent="0.3">
      <c r="A334" s="19">
        <v>2</v>
      </c>
      <c r="B334" s="13">
        <v>1</v>
      </c>
      <c r="C334" s="13" t="s">
        <v>85</v>
      </c>
      <c r="D334" s="13" t="s">
        <v>33</v>
      </c>
      <c r="E334" s="19" t="s">
        <v>46</v>
      </c>
      <c r="F334" s="19" t="s">
        <v>52</v>
      </c>
    </row>
    <row r="335" spans="1:6" x14ac:dyDescent="0.3">
      <c r="A335" s="31">
        <v>2</v>
      </c>
      <c r="B335" s="32">
        <v>2</v>
      </c>
      <c r="C335" s="32" t="s">
        <v>84</v>
      </c>
      <c r="D335" s="31" t="s">
        <v>4</v>
      </c>
      <c r="E335" s="31" t="s">
        <v>45</v>
      </c>
      <c r="F335" s="31" t="s">
        <v>56</v>
      </c>
    </row>
    <row r="336" spans="1:6" x14ac:dyDescent="0.3">
      <c r="A336" s="19">
        <v>2</v>
      </c>
      <c r="B336" s="16">
        <v>2</v>
      </c>
      <c r="C336" s="16" t="s">
        <v>84</v>
      </c>
      <c r="D336" s="19" t="s">
        <v>44</v>
      </c>
      <c r="E336" s="19" t="s">
        <v>13</v>
      </c>
      <c r="F336" s="19" t="s">
        <v>56</v>
      </c>
    </row>
    <row r="337" spans="1:6" x14ac:dyDescent="0.3">
      <c r="A337" s="31">
        <v>2</v>
      </c>
      <c r="B337" s="13">
        <v>2</v>
      </c>
      <c r="C337" s="13" t="s">
        <v>84</v>
      </c>
      <c r="D337" s="13" t="s">
        <v>33</v>
      </c>
      <c r="E337" s="31" t="s">
        <v>46</v>
      </c>
      <c r="F337" s="31" t="s">
        <v>53</v>
      </c>
    </row>
    <row r="338" spans="1:6" x14ac:dyDescent="0.3">
      <c r="A338" s="19">
        <v>2</v>
      </c>
      <c r="B338" s="13">
        <v>1</v>
      </c>
      <c r="C338" s="13" t="s">
        <v>85</v>
      </c>
      <c r="D338" s="13" t="s">
        <v>33</v>
      </c>
      <c r="E338" s="19" t="s">
        <v>46</v>
      </c>
      <c r="F338" s="19" t="s">
        <v>54</v>
      </c>
    </row>
    <row r="339" spans="1:6" x14ac:dyDescent="0.3">
      <c r="A339" s="31">
        <v>2</v>
      </c>
      <c r="B339" s="32">
        <v>2</v>
      </c>
      <c r="C339" s="32" t="s">
        <v>84</v>
      </c>
      <c r="D339" s="31" t="s">
        <v>4</v>
      </c>
      <c r="E339" s="31" t="s">
        <v>45</v>
      </c>
      <c r="F339" s="31" t="s">
        <v>55</v>
      </c>
    </row>
    <row r="340" spans="1:6" x14ac:dyDescent="0.3">
      <c r="A340" s="19">
        <v>2</v>
      </c>
      <c r="B340" s="16">
        <v>1</v>
      </c>
      <c r="C340" s="16" t="s">
        <v>85</v>
      </c>
      <c r="D340" s="19" t="s">
        <v>44</v>
      </c>
      <c r="E340" s="19" t="s">
        <v>14</v>
      </c>
      <c r="F340" s="19" t="s">
        <v>55</v>
      </c>
    </row>
    <row r="341" spans="1:6" x14ac:dyDescent="0.3">
      <c r="A341" s="16">
        <v>3</v>
      </c>
      <c r="B341" s="16">
        <v>1</v>
      </c>
      <c r="C341" s="16" t="s">
        <v>85</v>
      </c>
      <c r="D341" s="19" t="s">
        <v>4</v>
      </c>
      <c r="E341" s="19" t="s">
        <v>45</v>
      </c>
      <c r="F341" s="19" t="s">
        <v>63</v>
      </c>
    </row>
    <row r="342" spans="1:6" x14ac:dyDescent="0.3">
      <c r="A342" s="11">
        <v>3</v>
      </c>
      <c r="B342" s="11">
        <v>2</v>
      </c>
      <c r="C342" s="11" t="s">
        <v>84</v>
      </c>
      <c r="D342" s="8" t="s">
        <v>44</v>
      </c>
      <c r="E342" s="8" t="s">
        <v>14</v>
      </c>
      <c r="F342" s="8" t="s">
        <v>63</v>
      </c>
    </row>
    <row r="343" spans="1:6" x14ac:dyDescent="0.3">
      <c r="A343" s="16">
        <v>3</v>
      </c>
      <c r="B343" s="16">
        <v>2</v>
      </c>
      <c r="C343" s="16" t="s">
        <v>84</v>
      </c>
      <c r="D343" s="19" t="s">
        <v>4</v>
      </c>
      <c r="E343" s="19" t="s">
        <v>45</v>
      </c>
      <c r="F343" s="19" t="s">
        <v>64</v>
      </c>
    </row>
    <row r="344" spans="1:6" x14ac:dyDescent="0.3">
      <c r="A344" s="11">
        <v>3</v>
      </c>
      <c r="B344" s="11">
        <v>1</v>
      </c>
      <c r="C344" s="11" t="s">
        <v>85</v>
      </c>
      <c r="D344" s="8" t="s">
        <v>44</v>
      </c>
      <c r="E344" s="8" t="s">
        <v>14</v>
      </c>
      <c r="F344" s="8" t="s">
        <v>64</v>
      </c>
    </row>
    <row r="345" spans="1:6" x14ac:dyDescent="0.3">
      <c r="A345" s="16">
        <v>3</v>
      </c>
      <c r="B345" s="14">
        <v>1</v>
      </c>
      <c r="C345" s="14" t="s">
        <v>85</v>
      </c>
      <c r="D345" s="14" t="s">
        <v>33</v>
      </c>
      <c r="E345" s="19" t="s">
        <v>46</v>
      </c>
      <c r="F345" s="19" t="s">
        <v>62</v>
      </c>
    </row>
    <row r="346" spans="1:6" x14ac:dyDescent="0.3">
      <c r="A346" s="11">
        <v>3</v>
      </c>
      <c r="B346" s="11">
        <v>1</v>
      </c>
      <c r="C346" s="11" t="s">
        <v>85</v>
      </c>
      <c r="D346" s="8" t="s">
        <v>4</v>
      </c>
      <c r="E346" s="8" t="s">
        <v>45</v>
      </c>
      <c r="F346" s="8" t="s">
        <v>65</v>
      </c>
    </row>
    <row r="347" spans="1:6" x14ac:dyDescent="0.3">
      <c r="A347" s="16">
        <v>3</v>
      </c>
      <c r="B347" s="16">
        <v>2</v>
      </c>
      <c r="C347" s="16" t="s">
        <v>84</v>
      </c>
      <c r="D347" s="19" t="s">
        <v>44</v>
      </c>
      <c r="E347" s="19" t="s">
        <v>14</v>
      </c>
      <c r="F347" s="19" t="s">
        <v>65</v>
      </c>
    </row>
    <row r="348" spans="1:6" x14ac:dyDescent="0.3">
      <c r="A348" s="11">
        <v>3</v>
      </c>
      <c r="B348" s="14">
        <v>1</v>
      </c>
      <c r="C348" s="14" t="s">
        <v>85</v>
      </c>
      <c r="D348" s="14" t="s">
        <v>33</v>
      </c>
      <c r="E348" s="8" t="s">
        <v>46</v>
      </c>
      <c r="F348" s="8" t="s">
        <v>61</v>
      </c>
    </row>
    <row r="349" spans="1:6" x14ac:dyDescent="0.3">
      <c r="A349" s="16">
        <v>3</v>
      </c>
      <c r="B349" s="16">
        <v>2</v>
      </c>
      <c r="C349" s="16" t="s">
        <v>84</v>
      </c>
      <c r="D349" s="19" t="s">
        <v>4</v>
      </c>
      <c r="E349" s="19" t="s">
        <v>45</v>
      </c>
      <c r="F349" s="19" t="s">
        <v>66</v>
      </c>
    </row>
    <row r="350" spans="1:6" x14ac:dyDescent="0.3">
      <c r="A350" s="11">
        <v>3</v>
      </c>
      <c r="B350" s="11">
        <v>2</v>
      </c>
      <c r="C350" s="11" t="s">
        <v>84</v>
      </c>
      <c r="D350" s="8" t="s">
        <v>44</v>
      </c>
      <c r="E350" s="8" t="s">
        <v>13</v>
      </c>
      <c r="F350" s="8" t="s">
        <v>66</v>
      </c>
    </row>
    <row r="351" spans="1:6" x14ac:dyDescent="0.3">
      <c r="A351" s="16">
        <v>3</v>
      </c>
      <c r="B351" s="14">
        <v>2</v>
      </c>
      <c r="C351" s="14" t="s">
        <v>84</v>
      </c>
      <c r="D351" s="14" t="s">
        <v>33</v>
      </c>
      <c r="E351" s="19" t="s">
        <v>46</v>
      </c>
      <c r="F351" s="19" t="s">
        <v>60</v>
      </c>
    </row>
    <row r="352" spans="1:6" x14ac:dyDescent="0.3">
      <c r="A352" s="11">
        <v>3</v>
      </c>
      <c r="B352" s="14">
        <v>1</v>
      </c>
      <c r="C352" s="14" t="s">
        <v>85</v>
      </c>
      <c r="D352" s="14" t="s">
        <v>33</v>
      </c>
      <c r="E352" s="8" t="s">
        <v>46</v>
      </c>
      <c r="F352" s="8" t="s">
        <v>59</v>
      </c>
    </row>
    <row r="353" spans="1:6" x14ac:dyDescent="0.3">
      <c r="A353" s="16">
        <v>3</v>
      </c>
      <c r="B353" s="14">
        <v>1</v>
      </c>
      <c r="C353" s="14" t="s">
        <v>85</v>
      </c>
      <c r="D353" s="14" t="s">
        <v>33</v>
      </c>
      <c r="E353" s="19" t="s">
        <v>46</v>
      </c>
      <c r="F353" s="19" t="s">
        <v>58</v>
      </c>
    </row>
    <row r="354" spans="1:6" x14ac:dyDescent="0.3">
      <c r="A354" s="11">
        <v>3</v>
      </c>
      <c r="B354" s="11">
        <v>2</v>
      </c>
      <c r="C354" s="11" t="s">
        <v>84</v>
      </c>
      <c r="D354" s="8" t="s">
        <v>4</v>
      </c>
      <c r="E354" s="8" t="s">
        <v>45</v>
      </c>
      <c r="F354" s="8" t="s">
        <v>67</v>
      </c>
    </row>
    <row r="355" spans="1:6" x14ac:dyDescent="0.3">
      <c r="A355" s="16">
        <v>3</v>
      </c>
      <c r="B355" s="16">
        <v>2</v>
      </c>
      <c r="C355" s="16" t="s">
        <v>84</v>
      </c>
      <c r="D355" s="19" t="s">
        <v>44</v>
      </c>
      <c r="E355" s="19" t="s">
        <v>13</v>
      </c>
      <c r="F355" s="19" t="s">
        <v>67</v>
      </c>
    </row>
    <row r="356" spans="1:6" x14ac:dyDescent="0.3">
      <c r="A356" s="11">
        <v>3</v>
      </c>
      <c r="B356" s="11">
        <v>2</v>
      </c>
      <c r="C356" s="11" t="s">
        <v>84</v>
      </c>
      <c r="D356" s="8" t="s">
        <v>4</v>
      </c>
      <c r="E356" s="8" t="s">
        <v>45</v>
      </c>
      <c r="F356" s="8" t="s">
        <v>68</v>
      </c>
    </row>
    <row r="357" spans="1:6" x14ac:dyDescent="0.3">
      <c r="A357" s="16">
        <v>3</v>
      </c>
      <c r="B357" s="16">
        <v>1</v>
      </c>
      <c r="C357" s="16" t="s">
        <v>85</v>
      </c>
      <c r="D357" s="19" t="s">
        <v>44</v>
      </c>
      <c r="E357" s="19" t="s">
        <v>14</v>
      </c>
      <c r="F357" s="19" t="s">
        <v>68</v>
      </c>
    </row>
    <row r="358" spans="1:6" x14ac:dyDescent="0.3">
      <c r="A358" s="11">
        <v>3</v>
      </c>
      <c r="B358" s="14">
        <v>2</v>
      </c>
      <c r="C358" s="14" t="s">
        <v>84</v>
      </c>
      <c r="D358" s="14" t="s">
        <v>33</v>
      </c>
      <c r="E358" s="8" t="s">
        <v>46</v>
      </c>
      <c r="F358" s="8" t="s">
        <v>57</v>
      </c>
    </row>
    <row r="359" spans="1:6" x14ac:dyDescent="0.3">
      <c r="A359" s="16">
        <v>3</v>
      </c>
      <c r="B359" s="16">
        <v>1</v>
      </c>
      <c r="C359" s="16" t="s">
        <v>85</v>
      </c>
      <c r="D359" s="19" t="s">
        <v>4</v>
      </c>
      <c r="E359" s="19" t="s">
        <v>45</v>
      </c>
      <c r="F359" s="19" t="s">
        <v>69</v>
      </c>
    </row>
    <row r="360" spans="1:6" x14ac:dyDescent="0.3">
      <c r="A360" s="11">
        <v>3</v>
      </c>
      <c r="B360" s="11">
        <v>1</v>
      </c>
      <c r="C360" s="11" t="s">
        <v>85</v>
      </c>
      <c r="D360" s="8" t="s">
        <v>44</v>
      </c>
      <c r="E360" s="8" t="s">
        <v>13</v>
      </c>
      <c r="F360" s="8" t="s">
        <v>69</v>
      </c>
    </row>
    <row r="361" spans="1:6" x14ac:dyDescent="0.3">
      <c r="A361" s="16">
        <v>3</v>
      </c>
      <c r="B361" s="14">
        <v>2</v>
      </c>
      <c r="C361" s="14" t="s">
        <v>84</v>
      </c>
      <c r="D361" s="14" t="s">
        <v>33</v>
      </c>
      <c r="E361" s="19" t="s">
        <v>46</v>
      </c>
      <c r="F361" s="19" t="s">
        <v>56</v>
      </c>
    </row>
    <row r="362" spans="1:6" x14ac:dyDescent="0.3">
      <c r="A362" s="11">
        <v>3</v>
      </c>
      <c r="B362" s="14">
        <v>2</v>
      </c>
      <c r="C362" s="14" t="s">
        <v>84</v>
      </c>
      <c r="D362" s="14" t="s">
        <v>33</v>
      </c>
      <c r="E362" s="8" t="s">
        <v>46</v>
      </c>
      <c r="F362" s="8" t="s">
        <v>55</v>
      </c>
    </row>
    <row r="363" spans="1:6" x14ac:dyDescent="0.3">
      <c r="A363" s="16">
        <v>3</v>
      </c>
      <c r="B363" s="16">
        <v>1</v>
      </c>
      <c r="C363" s="16" t="s">
        <v>85</v>
      </c>
      <c r="D363" s="19" t="s">
        <v>4</v>
      </c>
      <c r="E363" s="19" t="s">
        <v>45</v>
      </c>
      <c r="F363" s="19" t="s">
        <v>70</v>
      </c>
    </row>
    <row r="364" spans="1:6" x14ac:dyDescent="0.3">
      <c r="A364" s="11">
        <v>3</v>
      </c>
      <c r="B364" s="11">
        <v>1</v>
      </c>
      <c r="C364" s="11" t="s">
        <v>85</v>
      </c>
      <c r="D364" s="8" t="s">
        <v>44</v>
      </c>
      <c r="E364" s="8" t="s">
        <v>13</v>
      </c>
      <c r="F364" s="8" t="s">
        <v>70</v>
      </c>
    </row>
    <row r="365" spans="1:6" x14ac:dyDescent="0.3">
      <c r="A365" s="31">
        <v>4</v>
      </c>
      <c r="B365" s="15">
        <v>2</v>
      </c>
      <c r="C365" s="15" t="s">
        <v>84</v>
      </c>
      <c r="D365" s="15" t="s">
        <v>33</v>
      </c>
      <c r="E365" s="31" t="s">
        <v>46</v>
      </c>
      <c r="F365" s="31" t="s">
        <v>63</v>
      </c>
    </row>
    <row r="366" spans="1:6" x14ac:dyDescent="0.3">
      <c r="A366" s="19">
        <v>4</v>
      </c>
      <c r="B366" s="16">
        <v>1</v>
      </c>
      <c r="C366" s="16" t="s">
        <v>85</v>
      </c>
      <c r="D366" s="19" t="s">
        <v>4</v>
      </c>
      <c r="E366" s="19" t="s">
        <v>45</v>
      </c>
      <c r="F366" s="19" t="s">
        <v>78</v>
      </c>
    </row>
    <row r="367" spans="1:6" x14ac:dyDescent="0.3">
      <c r="A367" s="31">
        <v>4</v>
      </c>
      <c r="B367" s="32">
        <v>1</v>
      </c>
      <c r="C367" s="32" t="s">
        <v>85</v>
      </c>
      <c r="D367" s="31" t="s">
        <v>44</v>
      </c>
      <c r="E367" s="31" t="s">
        <v>13</v>
      </c>
      <c r="F367" s="31" t="s">
        <v>78</v>
      </c>
    </row>
    <row r="368" spans="1:6" x14ac:dyDescent="0.3">
      <c r="A368" s="19">
        <v>4</v>
      </c>
      <c r="B368" s="16">
        <v>1</v>
      </c>
      <c r="C368" s="16" t="s">
        <v>85</v>
      </c>
      <c r="D368" s="19" t="s">
        <v>4</v>
      </c>
      <c r="E368" s="19" t="s">
        <v>45</v>
      </c>
      <c r="F368" s="19" t="s">
        <v>77</v>
      </c>
    </row>
    <row r="369" spans="1:6" x14ac:dyDescent="0.3">
      <c r="A369" s="31">
        <v>4</v>
      </c>
      <c r="B369" s="32">
        <v>2</v>
      </c>
      <c r="C369" s="32" t="s">
        <v>84</v>
      </c>
      <c r="D369" s="31" t="s">
        <v>44</v>
      </c>
      <c r="E369" s="31" t="s">
        <v>14</v>
      </c>
      <c r="F369" s="31" t="s">
        <v>77</v>
      </c>
    </row>
    <row r="370" spans="1:6" x14ac:dyDescent="0.3">
      <c r="A370" s="19">
        <v>4</v>
      </c>
      <c r="B370" s="15">
        <v>1</v>
      </c>
      <c r="C370" s="15" t="s">
        <v>85</v>
      </c>
      <c r="D370" s="15" t="s">
        <v>33</v>
      </c>
      <c r="E370" s="19" t="s">
        <v>46</v>
      </c>
      <c r="F370" s="19" t="s">
        <v>64</v>
      </c>
    </row>
    <row r="371" spans="1:6" x14ac:dyDescent="0.3">
      <c r="A371" s="31">
        <v>4</v>
      </c>
      <c r="B371" s="15">
        <v>1</v>
      </c>
      <c r="C371" s="15" t="s">
        <v>85</v>
      </c>
      <c r="D371" s="15" t="s">
        <v>33</v>
      </c>
      <c r="E371" s="31" t="s">
        <v>46</v>
      </c>
      <c r="F371" s="31" t="s">
        <v>65</v>
      </c>
    </row>
    <row r="372" spans="1:6" x14ac:dyDescent="0.3">
      <c r="A372" s="19">
        <v>4</v>
      </c>
      <c r="B372" s="16">
        <v>2</v>
      </c>
      <c r="C372" s="16" t="s">
        <v>84</v>
      </c>
      <c r="D372" s="19" t="s">
        <v>4</v>
      </c>
      <c r="E372" s="19" t="s">
        <v>45</v>
      </c>
      <c r="F372" s="19" t="s">
        <v>76</v>
      </c>
    </row>
    <row r="373" spans="1:6" x14ac:dyDescent="0.3">
      <c r="A373" s="31">
        <v>4</v>
      </c>
      <c r="B373" s="32">
        <v>2</v>
      </c>
      <c r="C373" s="32" t="s">
        <v>84</v>
      </c>
      <c r="D373" s="31" t="s">
        <v>44</v>
      </c>
      <c r="E373" s="31" t="s">
        <v>13</v>
      </c>
      <c r="F373" s="31" t="s">
        <v>76</v>
      </c>
    </row>
    <row r="374" spans="1:6" x14ac:dyDescent="0.3">
      <c r="A374" s="19">
        <v>4</v>
      </c>
      <c r="B374" s="16">
        <v>2</v>
      </c>
      <c r="C374" s="16" t="s">
        <v>84</v>
      </c>
      <c r="D374" s="19" t="s">
        <v>4</v>
      </c>
      <c r="E374" s="19" t="s">
        <v>45</v>
      </c>
      <c r="F374" s="19" t="s">
        <v>75</v>
      </c>
    </row>
    <row r="375" spans="1:6" x14ac:dyDescent="0.3">
      <c r="A375" s="31">
        <v>4</v>
      </c>
      <c r="B375" s="32">
        <v>1</v>
      </c>
      <c r="C375" s="32" t="s">
        <v>85</v>
      </c>
      <c r="D375" s="31" t="s">
        <v>44</v>
      </c>
      <c r="E375" s="31" t="s">
        <v>14</v>
      </c>
      <c r="F375" s="31" t="s">
        <v>75</v>
      </c>
    </row>
    <row r="376" spans="1:6" x14ac:dyDescent="0.3">
      <c r="A376" s="19">
        <v>4</v>
      </c>
      <c r="B376" s="15">
        <v>2</v>
      </c>
      <c r="C376" s="15" t="s">
        <v>84</v>
      </c>
      <c r="D376" s="15" t="s">
        <v>33</v>
      </c>
      <c r="E376" s="19" t="s">
        <v>46</v>
      </c>
      <c r="F376" s="19" t="s">
        <v>66</v>
      </c>
    </row>
    <row r="377" spans="1:6" x14ac:dyDescent="0.3">
      <c r="A377" s="31">
        <v>4</v>
      </c>
      <c r="B377" s="32">
        <v>1</v>
      </c>
      <c r="C377" s="32" t="s">
        <v>85</v>
      </c>
      <c r="D377" s="31" t="s">
        <v>4</v>
      </c>
      <c r="E377" s="31" t="s">
        <v>45</v>
      </c>
      <c r="F377" s="31" t="s">
        <v>74</v>
      </c>
    </row>
    <row r="378" spans="1:6" x14ac:dyDescent="0.3">
      <c r="A378" s="19">
        <v>4</v>
      </c>
      <c r="B378" s="16">
        <v>2</v>
      </c>
      <c r="C378" s="16" t="s">
        <v>84</v>
      </c>
      <c r="D378" s="19" t="s">
        <v>44</v>
      </c>
      <c r="E378" s="19" t="s">
        <v>14</v>
      </c>
      <c r="F378" s="19" t="s">
        <v>74</v>
      </c>
    </row>
    <row r="379" spans="1:6" x14ac:dyDescent="0.3">
      <c r="A379" s="31">
        <v>4</v>
      </c>
      <c r="B379" s="32">
        <v>2</v>
      </c>
      <c r="C379" s="32" t="s">
        <v>84</v>
      </c>
      <c r="D379" s="31" t="s">
        <v>4</v>
      </c>
      <c r="E379" s="31" t="s">
        <v>45</v>
      </c>
      <c r="F379" s="31" t="s">
        <v>73</v>
      </c>
    </row>
    <row r="380" spans="1:6" x14ac:dyDescent="0.3">
      <c r="A380" s="19">
        <v>4</v>
      </c>
      <c r="B380" s="16">
        <v>2</v>
      </c>
      <c r="C380" s="16" t="s">
        <v>84</v>
      </c>
      <c r="D380" s="19" t="s">
        <v>44</v>
      </c>
      <c r="E380" s="19" t="s">
        <v>13</v>
      </c>
      <c r="F380" s="19" t="s">
        <v>73</v>
      </c>
    </row>
    <row r="381" spans="1:6" x14ac:dyDescent="0.3">
      <c r="A381" s="31">
        <v>4</v>
      </c>
      <c r="B381" s="15">
        <v>1</v>
      </c>
      <c r="C381" s="15" t="s">
        <v>85</v>
      </c>
      <c r="D381" s="15" t="s">
        <v>33</v>
      </c>
      <c r="E381" s="31" t="s">
        <v>46</v>
      </c>
      <c r="F381" s="31" t="s">
        <v>67</v>
      </c>
    </row>
    <row r="382" spans="1:6" x14ac:dyDescent="0.3">
      <c r="A382" s="19">
        <v>4</v>
      </c>
      <c r="B382" s="15">
        <v>2</v>
      </c>
      <c r="C382" s="15" t="s">
        <v>84</v>
      </c>
      <c r="D382" s="15" t="s">
        <v>33</v>
      </c>
      <c r="E382" s="19" t="s">
        <v>46</v>
      </c>
      <c r="F382" s="19" t="s">
        <v>68</v>
      </c>
    </row>
    <row r="383" spans="1:6" x14ac:dyDescent="0.3">
      <c r="A383" s="31">
        <v>4</v>
      </c>
      <c r="B383" s="15">
        <v>1</v>
      </c>
      <c r="C383" s="15" t="s">
        <v>85</v>
      </c>
      <c r="D383" s="15" t="s">
        <v>33</v>
      </c>
      <c r="E383" s="31" t="s">
        <v>46</v>
      </c>
      <c r="F383" s="31" t="s">
        <v>69</v>
      </c>
    </row>
    <row r="384" spans="1:6" x14ac:dyDescent="0.3">
      <c r="A384" s="19">
        <v>4</v>
      </c>
      <c r="B384" s="16">
        <v>2</v>
      </c>
      <c r="C384" s="16" t="s">
        <v>84</v>
      </c>
      <c r="D384" s="19" t="s">
        <v>4</v>
      </c>
      <c r="E384" s="19" t="s">
        <v>45</v>
      </c>
      <c r="F384" s="19" t="s">
        <v>72</v>
      </c>
    </row>
    <row r="385" spans="1:6" x14ac:dyDescent="0.3">
      <c r="A385" s="31">
        <v>4</v>
      </c>
      <c r="B385" s="32">
        <v>1</v>
      </c>
      <c r="C385" s="32" t="s">
        <v>85</v>
      </c>
      <c r="D385" s="31" t="s">
        <v>44</v>
      </c>
      <c r="E385" s="31" t="s">
        <v>14</v>
      </c>
      <c r="F385" s="31" t="s">
        <v>72</v>
      </c>
    </row>
    <row r="386" spans="1:6" x14ac:dyDescent="0.3">
      <c r="A386" s="19">
        <v>4</v>
      </c>
      <c r="B386" s="15">
        <v>1</v>
      </c>
      <c r="C386" s="15" t="s">
        <v>84</v>
      </c>
      <c r="D386" s="15" t="s">
        <v>33</v>
      </c>
      <c r="E386" s="19" t="s">
        <v>46</v>
      </c>
      <c r="F386" s="19" t="s">
        <v>70</v>
      </c>
    </row>
    <row r="387" spans="1:6" x14ac:dyDescent="0.3">
      <c r="A387" s="31">
        <v>4</v>
      </c>
      <c r="B387" s="32">
        <v>1</v>
      </c>
      <c r="C387" s="32" t="s">
        <v>85</v>
      </c>
      <c r="D387" s="31" t="s">
        <v>4</v>
      </c>
      <c r="E387" s="31" t="s">
        <v>45</v>
      </c>
      <c r="F387" s="31" t="s">
        <v>71</v>
      </c>
    </row>
    <row r="388" spans="1:6" x14ac:dyDescent="0.3">
      <c r="A388" s="19">
        <v>4</v>
      </c>
      <c r="B388" s="16">
        <v>1</v>
      </c>
      <c r="C388" s="16" t="s">
        <v>85</v>
      </c>
      <c r="D388" s="19" t="s">
        <v>44</v>
      </c>
      <c r="E388" s="19" t="s">
        <v>13</v>
      </c>
      <c r="F388" s="19" t="s">
        <v>71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>
      <selection sqref="A1:J2"/>
    </sheetView>
  </sheetViews>
  <sheetFormatPr defaultRowHeight="14.4" x14ac:dyDescent="0.3"/>
  <cols>
    <col min="2" max="2" width="10.88671875" customWidth="1"/>
    <col min="3" max="3" width="10.33203125" customWidth="1"/>
    <col min="5" max="5" width="11.33203125" customWidth="1"/>
    <col min="6" max="6" width="9.88671875" customWidth="1"/>
    <col min="7" max="7" width="10.88671875" customWidth="1"/>
    <col min="8" max="8" width="24" customWidth="1"/>
    <col min="9" max="9" width="21.6640625" customWidth="1"/>
    <col min="10" max="10" width="18.33203125" customWidth="1"/>
  </cols>
  <sheetData>
    <row r="1" spans="1:10" x14ac:dyDescent="0.3">
      <c r="A1" t="s">
        <v>87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132</v>
      </c>
      <c r="H1" t="s">
        <v>133</v>
      </c>
      <c r="I1" t="s">
        <v>134</v>
      </c>
      <c r="J1" t="s">
        <v>152</v>
      </c>
    </row>
    <row r="2" spans="1:10" x14ac:dyDescent="0.3">
      <c r="A2">
        <v>3</v>
      </c>
      <c r="B2">
        <v>1</v>
      </c>
      <c r="C2" t="s">
        <v>85</v>
      </c>
      <c r="D2" t="s">
        <v>44</v>
      </c>
      <c r="E2" t="s">
        <v>13</v>
      </c>
      <c r="F2" t="s">
        <v>70</v>
      </c>
      <c r="H2">
        <v>1</v>
      </c>
      <c r="I2">
        <v>0</v>
      </c>
      <c r="J2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95"/>
  <sheetViews>
    <sheetView topLeftCell="H1" workbookViewId="0">
      <selection activeCell="G16" sqref="G16"/>
    </sheetView>
  </sheetViews>
  <sheetFormatPr defaultColWidth="8.6640625" defaultRowHeight="14.4" x14ac:dyDescent="0.3"/>
  <cols>
    <col min="1" max="1" width="12.33203125" customWidth="1"/>
    <col min="2" max="2" width="11.109375" style="9" bestFit="1" customWidth="1"/>
    <col min="3" max="3" width="10.6640625" style="9" bestFit="1" customWidth="1"/>
    <col min="4" max="4" width="12" style="9" customWidth="1"/>
    <col min="5" max="5" width="11.44140625" bestFit="1" customWidth="1"/>
    <col min="6" max="6" width="10.109375" bestFit="1" customWidth="1"/>
    <col min="8" max="8" width="24.6640625" bestFit="1" customWidth="1"/>
    <col min="9" max="9" width="22.33203125" bestFit="1" customWidth="1"/>
    <col min="10" max="10" width="18.6640625" bestFit="1" customWidth="1"/>
    <col min="13" max="13" width="30.44140625" bestFit="1" customWidth="1"/>
    <col min="14" max="14" width="15.5546875" bestFit="1" customWidth="1"/>
    <col min="15" max="15" width="4" bestFit="1" customWidth="1"/>
    <col min="16" max="16" width="10.6640625" bestFit="1" customWidth="1"/>
    <col min="17" max="45" width="10.44140625" bestFit="1" customWidth="1"/>
    <col min="46" max="46" width="7" bestFit="1" customWidth="1"/>
    <col min="47" max="47" width="6.6640625" bestFit="1" customWidth="1"/>
    <col min="48" max="79" width="10.44140625" bestFit="1" customWidth="1"/>
    <col min="80" max="80" width="7" bestFit="1" customWidth="1"/>
    <col min="81" max="81" width="6.6640625" bestFit="1" customWidth="1"/>
    <col min="82" max="82" width="10.6640625" bestFit="1" customWidth="1"/>
  </cols>
  <sheetData>
    <row r="1" spans="1:16" x14ac:dyDescent="0.3">
      <c r="A1" s="25" t="s">
        <v>87</v>
      </c>
      <c r="B1" s="40" t="s">
        <v>79</v>
      </c>
      <c r="C1" s="40" t="s">
        <v>80</v>
      </c>
      <c r="D1" s="40" t="s">
        <v>81</v>
      </c>
      <c r="E1" s="25" t="s">
        <v>82</v>
      </c>
      <c r="F1" s="25" t="s">
        <v>83</v>
      </c>
      <c r="G1" s="54" t="s">
        <v>132</v>
      </c>
      <c r="H1" s="76" t="s">
        <v>133</v>
      </c>
      <c r="I1" t="s">
        <v>134</v>
      </c>
      <c r="J1" t="s">
        <v>152</v>
      </c>
      <c r="K1" s="54"/>
      <c r="L1" s="54"/>
    </row>
    <row r="2" spans="1:16" x14ac:dyDescent="0.3">
      <c r="A2" s="16">
        <v>1</v>
      </c>
      <c r="B2" s="41">
        <v>2</v>
      </c>
      <c r="C2" s="41" t="s">
        <v>84</v>
      </c>
      <c r="D2" s="47" t="s">
        <v>4</v>
      </c>
      <c r="E2" s="19" t="s">
        <v>45</v>
      </c>
      <c r="F2" s="19" t="s">
        <v>47</v>
      </c>
      <c r="G2" s="9"/>
      <c r="H2" s="9">
        <v>1</v>
      </c>
      <c r="I2">
        <f>IF(Table38[[#This Row],[stimulus]]=F3,1,0)</f>
        <v>1</v>
      </c>
      <c r="J2">
        <f t="shared" ref="J2:J65" si="0">IF(D1="T",1,0)</f>
        <v>0</v>
      </c>
      <c r="K2" s="9"/>
      <c r="L2" s="9"/>
    </row>
    <row r="3" spans="1:16" x14ac:dyDescent="0.3">
      <c r="A3" s="11">
        <v>1</v>
      </c>
      <c r="B3" s="42">
        <v>2</v>
      </c>
      <c r="C3" s="42" t="s">
        <v>84</v>
      </c>
      <c r="D3" s="48" t="s">
        <v>44</v>
      </c>
      <c r="E3" s="8" t="s">
        <v>13</v>
      </c>
      <c r="F3" s="8" t="s">
        <v>47</v>
      </c>
      <c r="G3" s="9"/>
      <c r="H3" s="9">
        <f>IF(Table38[[#This Row],[modality]]=C2,1,0)</f>
        <v>1</v>
      </c>
      <c r="I3">
        <f>IF(Table38[[#This Row],[stimulus]]=F4,1,0)</f>
        <v>0</v>
      </c>
      <c r="J3">
        <f t="shared" si="0"/>
        <v>0</v>
      </c>
      <c r="K3" s="9"/>
      <c r="L3" s="9"/>
      <c r="M3" s="58" t="s">
        <v>139</v>
      </c>
      <c r="N3" s="58" t="s">
        <v>138</v>
      </c>
    </row>
    <row r="4" spans="1:16" x14ac:dyDescent="0.3">
      <c r="A4" s="16">
        <v>1</v>
      </c>
      <c r="B4" s="43">
        <v>1</v>
      </c>
      <c r="C4" s="49" t="s">
        <v>85</v>
      </c>
      <c r="D4" s="51" t="s">
        <v>33</v>
      </c>
      <c r="E4" s="19" t="s">
        <v>46</v>
      </c>
      <c r="F4" s="19" t="s">
        <v>78</v>
      </c>
      <c r="G4" s="9"/>
      <c r="H4" s="9">
        <f>IF(Table38[[#This Row],[modality]]=C3,1,0)</f>
        <v>0</v>
      </c>
      <c r="I4">
        <f>IF(Table38[[#This Row],[stimulus]]=F5,1,0)</f>
        <v>0</v>
      </c>
      <c r="J4">
        <f t="shared" si="0"/>
        <v>1</v>
      </c>
      <c r="K4" s="9"/>
      <c r="L4" s="9"/>
      <c r="M4" s="58" t="s">
        <v>135</v>
      </c>
      <c r="N4">
        <v>0</v>
      </c>
      <c r="O4">
        <v>1</v>
      </c>
      <c r="P4" t="s">
        <v>137</v>
      </c>
    </row>
    <row r="5" spans="1:16" x14ac:dyDescent="0.3">
      <c r="A5" s="11">
        <v>1</v>
      </c>
      <c r="B5" s="42">
        <v>2</v>
      </c>
      <c r="C5" s="42" t="s">
        <v>84</v>
      </c>
      <c r="D5" s="48" t="s">
        <v>4</v>
      </c>
      <c r="E5" s="8" t="s">
        <v>45</v>
      </c>
      <c r="F5" s="8" t="s">
        <v>48</v>
      </c>
      <c r="G5" s="9"/>
      <c r="H5" s="9">
        <f>IF(Table38[[#This Row],[modality]]=C4,1,0)</f>
        <v>0</v>
      </c>
      <c r="I5">
        <f>IF(Table38[[#This Row],[stimulus]]=F6,1,0)</f>
        <v>1</v>
      </c>
      <c r="J5">
        <f t="shared" si="0"/>
        <v>0</v>
      </c>
      <c r="K5" s="9"/>
      <c r="L5" s="9"/>
      <c r="M5" s="59" t="s">
        <v>33</v>
      </c>
      <c r="N5">
        <v>92</v>
      </c>
      <c r="O5">
        <v>43</v>
      </c>
      <c r="P5">
        <v>135</v>
      </c>
    </row>
    <row r="6" spans="1:16" x14ac:dyDescent="0.3">
      <c r="A6" s="16">
        <v>1</v>
      </c>
      <c r="B6" s="41">
        <v>2</v>
      </c>
      <c r="C6" s="41" t="s">
        <v>84</v>
      </c>
      <c r="D6" s="47" t="s">
        <v>44</v>
      </c>
      <c r="E6" s="19" t="s">
        <v>13</v>
      </c>
      <c r="F6" s="19" t="s">
        <v>48</v>
      </c>
      <c r="G6" s="9"/>
      <c r="H6" s="9">
        <f>IF(Table38[[#This Row],[modality]]=C5,1,0)</f>
        <v>1</v>
      </c>
      <c r="I6">
        <f>IF(Table38[[#This Row],[stimulus]]=F7,1,0)</f>
        <v>0</v>
      </c>
      <c r="J6">
        <f t="shared" si="0"/>
        <v>0</v>
      </c>
      <c r="K6" s="9"/>
      <c r="L6" s="9"/>
      <c r="M6" s="61" t="s">
        <v>84</v>
      </c>
      <c r="N6">
        <v>45</v>
      </c>
      <c r="O6">
        <v>22</v>
      </c>
      <c r="P6">
        <v>67</v>
      </c>
    </row>
    <row r="7" spans="1:16" x14ac:dyDescent="0.3">
      <c r="A7" s="11">
        <v>1</v>
      </c>
      <c r="B7" s="43">
        <v>1</v>
      </c>
      <c r="C7" s="43" t="s">
        <v>85</v>
      </c>
      <c r="D7" s="51" t="s">
        <v>33</v>
      </c>
      <c r="E7" s="8" t="s">
        <v>46</v>
      </c>
      <c r="F7" s="8" t="s">
        <v>77</v>
      </c>
      <c r="G7" s="9"/>
      <c r="H7" s="9">
        <f>IF(Table38[[#This Row],[modality]]=C6,1,0)</f>
        <v>0</v>
      </c>
      <c r="I7">
        <f>IF(Table38[[#This Row],[stimulus]]=F8,1,0)</f>
        <v>0</v>
      </c>
      <c r="J7">
        <f t="shared" si="0"/>
        <v>1</v>
      </c>
      <c r="K7" s="9"/>
      <c r="L7" s="9"/>
      <c r="M7" s="61" t="s">
        <v>85</v>
      </c>
      <c r="N7">
        <v>47</v>
      </c>
      <c r="O7">
        <v>21</v>
      </c>
      <c r="P7">
        <v>68</v>
      </c>
    </row>
    <row r="8" spans="1:16" x14ac:dyDescent="0.3">
      <c r="A8" s="16">
        <v>1</v>
      </c>
      <c r="B8" s="41">
        <v>2</v>
      </c>
      <c r="C8" s="41" t="s">
        <v>84</v>
      </c>
      <c r="D8" s="47" t="s">
        <v>4</v>
      </c>
      <c r="E8" s="19" t="s">
        <v>45</v>
      </c>
      <c r="F8" s="19" t="s">
        <v>49</v>
      </c>
      <c r="G8" s="9"/>
      <c r="H8" s="9">
        <f>IF(Table38[[#This Row],[modality]]=C7,1,0)</f>
        <v>0</v>
      </c>
      <c r="I8">
        <f>IF(Table38[[#This Row],[stimulus]]=F9,1,0)</f>
        <v>1</v>
      </c>
      <c r="J8">
        <f t="shared" si="0"/>
        <v>0</v>
      </c>
      <c r="K8" s="9"/>
      <c r="L8" s="9"/>
      <c r="M8" s="59" t="s">
        <v>4</v>
      </c>
      <c r="N8">
        <v>49</v>
      </c>
      <c r="O8">
        <v>79</v>
      </c>
      <c r="P8">
        <v>128</v>
      </c>
    </row>
    <row r="9" spans="1:16" x14ac:dyDescent="0.3">
      <c r="A9" s="11">
        <v>1</v>
      </c>
      <c r="B9" s="42">
        <v>1</v>
      </c>
      <c r="C9" s="42" t="s">
        <v>85</v>
      </c>
      <c r="D9" s="48" t="s">
        <v>44</v>
      </c>
      <c r="E9" s="8" t="s">
        <v>14</v>
      </c>
      <c r="F9" s="8" t="s">
        <v>49</v>
      </c>
      <c r="G9" s="9"/>
      <c r="H9" s="9">
        <f>IF(Table38[[#This Row],[modality]]=C8,1,0)</f>
        <v>0</v>
      </c>
      <c r="I9">
        <f>IF(Table38[[#This Row],[stimulus]]=F10,1,0)</f>
        <v>0</v>
      </c>
      <c r="J9">
        <f t="shared" si="0"/>
        <v>0</v>
      </c>
      <c r="K9" s="9"/>
      <c r="L9" s="9"/>
      <c r="M9" s="61" t="s">
        <v>84</v>
      </c>
      <c r="N9">
        <v>25</v>
      </c>
      <c r="O9">
        <v>39</v>
      </c>
      <c r="P9">
        <v>64</v>
      </c>
    </row>
    <row r="10" spans="1:16" x14ac:dyDescent="0.3">
      <c r="A10" s="16">
        <v>1</v>
      </c>
      <c r="B10" s="41">
        <v>1</v>
      </c>
      <c r="C10" s="41" t="s">
        <v>85</v>
      </c>
      <c r="D10" s="47" t="s">
        <v>4</v>
      </c>
      <c r="E10" s="19" t="s">
        <v>45</v>
      </c>
      <c r="F10" s="19" t="s">
        <v>50</v>
      </c>
      <c r="G10" s="9"/>
      <c r="H10" s="9">
        <f>IF(Table38[[#This Row],[modality]]=C9,1,0)</f>
        <v>1</v>
      </c>
      <c r="I10">
        <f>IF(Table38[[#This Row],[stimulus]]=F11,1,0)</f>
        <v>1</v>
      </c>
      <c r="J10">
        <f t="shared" si="0"/>
        <v>1</v>
      </c>
      <c r="K10" s="9"/>
      <c r="L10" s="9"/>
      <c r="M10" s="61" t="s">
        <v>85</v>
      </c>
      <c r="N10">
        <v>24</v>
      </c>
      <c r="O10">
        <v>40</v>
      </c>
      <c r="P10">
        <v>64</v>
      </c>
    </row>
    <row r="11" spans="1:16" x14ac:dyDescent="0.3">
      <c r="A11" s="11">
        <v>1</v>
      </c>
      <c r="B11" s="42">
        <v>2</v>
      </c>
      <c r="C11" s="42" t="s">
        <v>84</v>
      </c>
      <c r="D11" s="48" t="s">
        <v>44</v>
      </c>
      <c r="E11" s="8" t="s">
        <v>14</v>
      </c>
      <c r="F11" s="8" t="s">
        <v>50</v>
      </c>
      <c r="G11" s="9"/>
      <c r="H11" s="9">
        <f>IF(Table38[[#This Row],[modality]]=C10,1,0)</f>
        <v>0</v>
      </c>
      <c r="I11">
        <f>IF(Table38[[#This Row],[stimulus]]=F12,1,0)</f>
        <v>0</v>
      </c>
      <c r="J11">
        <f t="shared" si="0"/>
        <v>0</v>
      </c>
      <c r="K11" s="9"/>
      <c r="L11" s="9"/>
      <c r="M11" s="59" t="s">
        <v>44</v>
      </c>
      <c r="N11">
        <v>64</v>
      </c>
      <c r="O11">
        <v>64</v>
      </c>
      <c r="P11">
        <v>128</v>
      </c>
    </row>
    <row r="12" spans="1:16" x14ac:dyDescent="0.3">
      <c r="A12" s="16">
        <v>1</v>
      </c>
      <c r="B12" s="43">
        <v>2</v>
      </c>
      <c r="C12" s="49" t="s">
        <v>84</v>
      </c>
      <c r="D12" s="51" t="s">
        <v>33</v>
      </c>
      <c r="E12" s="19" t="s">
        <v>46</v>
      </c>
      <c r="F12" s="19" t="s">
        <v>76</v>
      </c>
      <c r="G12" s="9"/>
      <c r="H12" s="9">
        <f>IF(Table38[[#This Row],[modality]]=C11,1,0)</f>
        <v>1</v>
      </c>
      <c r="I12">
        <f>IF(Table38[[#This Row],[stimulus]]=F13,1,0)</f>
        <v>0</v>
      </c>
      <c r="J12">
        <f t="shared" si="0"/>
        <v>1</v>
      </c>
      <c r="K12" s="9"/>
      <c r="L12" s="9"/>
      <c r="M12" s="61" t="s">
        <v>84</v>
      </c>
      <c r="N12">
        <v>32</v>
      </c>
      <c r="O12">
        <v>32</v>
      </c>
      <c r="P12">
        <v>64</v>
      </c>
    </row>
    <row r="13" spans="1:16" x14ac:dyDescent="0.3">
      <c r="A13" s="11">
        <v>1</v>
      </c>
      <c r="B13" s="42">
        <v>2</v>
      </c>
      <c r="C13" s="42" t="s">
        <v>84</v>
      </c>
      <c r="D13" s="48" t="s">
        <v>4</v>
      </c>
      <c r="E13" s="8" t="s">
        <v>45</v>
      </c>
      <c r="F13" s="8" t="s">
        <v>51</v>
      </c>
      <c r="G13" s="9"/>
      <c r="H13" s="9">
        <f>IF(Table38[[#This Row],[modality]]=C12,1,0)</f>
        <v>1</v>
      </c>
      <c r="I13">
        <f>IF(Table38[[#This Row],[stimulus]]=F14,1,0)</f>
        <v>1</v>
      </c>
      <c r="J13">
        <f t="shared" si="0"/>
        <v>0</v>
      </c>
      <c r="K13" s="9"/>
      <c r="L13" s="9"/>
      <c r="M13" s="61" t="s">
        <v>85</v>
      </c>
      <c r="N13">
        <v>32</v>
      </c>
      <c r="O13">
        <v>32</v>
      </c>
      <c r="P13">
        <v>64</v>
      </c>
    </row>
    <row r="14" spans="1:16" x14ac:dyDescent="0.3">
      <c r="A14" s="16">
        <v>1</v>
      </c>
      <c r="B14" s="41">
        <v>1</v>
      </c>
      <c r="C14" s="41" t="s">
        <v>85</v>
      </c>
      <c r="D14" s="47" t="s">
        <v>44</v>
      </c>
      <c r="E14" s="19" t="s">
        <v>14</v>
      </c>
      <c r="F14" s="19" t="s">
        <v>51</v>
      </c>
      <c r="G14" s="9"/>
      <c r="H14" s="9">
        <f>IF(Table38[[#This Row],[modality]]=C13,1,0)</f>
        <v>0</v>
      </c>
      <c r="I14">
        <f>IF(Table38[[#This Row],[stimulus]]=F15,1,0)</f>
        <v>0</v>
      </c>
      <c r="J14">
        <f t="shared" si="0"/>
        <v>0</v>
      </c>
      <c r="K14" s="9"/>
      <c r="L14" s="9"/>
      <c r="M14" s="59" t="s">
        <v>137</v>
      </c>
      <c r="N14">
        <v>205</v>
      </c>
      <c r="O14">
        <v>186</v>
      </c>
      <c r="P14">
        <v>391</v>
      </c>
    </row>
    <row r="15" spans="1:16" x14ac:dyDescent="0.3">
      <c r="A15" s="11">
        <v>1</v>
      </c>
      <c r="B15" s="43">
        <v>2</v>
      </c>
      <c r="C15" s="43" t="s">
        <v>84</v>
      </c>
      <c r="D15" s="51" t="s">
        <v>33</v>
      </c>
      <c r="E15" s="8" t="s">
        <v>46</v>
      </c>
      <c r="F15" s="8" t="s">
        <v>75</v>
      </c>
      <c r="G15" s="9"/>
      <c r="H15" s="9">
        <f>IF(Table38[[#This Row],[modality]]=C14,1,0)</f>
        <v>0</v>
      </c>
      <c r="I15">
        <f>IF(Table38[[#This Row],[stimulus]]=F16,1,0)</f>
        <v>0</v>
      </c>
      <c r="J15">
        <f t="shared" si="0"/>
        <v>1</v>
      </c>
      <c r="K15" s="9"/>
      <c r="L15" s="9"/>
    </row>
    <row r="16" spans="1:16" x14ac:dyDescent="0.3">
      <c r="A16" s="16">
        <v>1</v>
      </c>
      <c r="B16" s="41">
        <v>1</v>
      </c>
      <c r="C16" s="41" t="s">
        <v>85</v>
      </c>
      <c r="D16" s="47" t="s">
        <v>4</v>
      </c>
      <c r="E16" s="19" t="s">
        <v>45</v>
      </c>
      <c r="F16" s="19" t="s">
        <v>52</v>
      </c>
      <c r="G16" s="9"/>
      <c r="H16" s="9">
        <f>IF(Table38[[#This Row],[modality]]=C15,1,0)</f>
        <v>0</v>
      </c>
      <c r="I16">
        <f>IF(Table38[[#This Row],[stimulus]]=F17,1,0)</f>
        <v>1</v>
      </c>
      <c r="J16">
        <f t="shared" si="0"/>
        <v>0</v>
      </c>
      <c r="K16" s="9"/>
      <c r="L16" s="9"/>
    </row>
    <row r="17" spans="1:12" x14ac:dyDescent="0.3">
      <c r="A17" s="11">
        <v>1</v>
      </c>
      <c r="B17" s="42">
        <v>1</v>
      </c>
      <c r="C17" s="42" t="s">
        <v>85</v>
      </c>
      <c r="D17" s="48" t="s">
        <v>44</v>
      </c>
      <c r="E17" s="8" t="s">
        <v>13</v>
      </c>
      <c r="F17" s="8" t="s">
        <v>52</v>
      </c>
      <c r="G17" s="9"/>
      <c r="H17" s="9">
        <f>IF(Table38[[#This Row],[modality]]=C16,1,0)</f>
        <v>1</v>
      </c>
      <c r="I17">
        <f>IF(Table38[[#This Row],[stimulus]]=F18,1,0)</f>
        <v>0</v>
      </c>
      <c r="J17">
        <f t="shared" si="0"/>
        <v>0</v>
      </c>
      <c r="K17" s="9"/>
      <c r="L17" s="9"/>
    </row>
    <row r="18" spans="1:12" x14ac:dyDescent="0.3">
      <c r="A18" s="16">
        <v>1</v>
      </c>
      <c r="B18" s="43">
        <v>2</v>
      </c>
      <c r="C18" s="49" t="s">
        <v>84</v>
      </c>
      <c r="D18" s="51" t="s">
        <v>33</v>
      </c>
      <c r="E18" s="19" t="s">
        <v>46</v>
      </c>
      <c r="F18" s="19" t="s">
        <v>74</v>
      </c>
      <c r="G18" s="9"/>
      <c r="H18" s="9">
        <f>IF(Table38[[#This Row],[modality]]=C17,1,0)</f>
        <v>0</v>
      </c>
      <c r="I18">
        <f>IF(Table38[[#This Row],[stimulus]]=F19,1,0)</f>
        <v>0</v>
      </c>
      <c r="J18">
        <f t="shared" si="0"/>
        <v>1</v>
      </c>
      <c r="K18" s="9"/>
      <c r="L18" s="9"/>
    </row>
    <row r="19" spans="1:12" x14ac:dyDescent="0.3">
      <c r="A19" s="52">
        <v>1</v>
      </c>
      <c r="B19" s="43">
        <v>1</v>
      </c>
      <c r="C19" s="49" t="s">
        <v>85</v>
      </c>
      <c r="D19" s="51" t="s">
        <v>33</v>
      </c>
      <c r="E19" s="53" t="s">
        <v>46</v>
      </c>
      <c r="F19" s="19" t="s">
        <v>72</v>
      </c>
      <c r="G19" s="10"/>
      <c r="H19" s="9">
        <f>IF(Table38[[#This Row],[modality]]=C18,1,0)</f>
        <v>0</v>
      </c>
      <c r="I19">
        <f>IF(Table38[[#This Row],[stimulus]]=F20,1,0)</f>
        <v>0</v>
      </c>
      <c r="J19">
        <f t="shared" si="0"/>
        <v>0</v>
      </c>
      <c r="K19" s="10"/>
      <c r="L19" s="10"/>
    </row>
    <row r="20" spans="1:12" x14ac:dyDescent="0.3">
      <c r="A20" s="11">
        <v>1</v>
      </c>
      <c r="B20" s="42">
        <v>1</v>
      </c>
      <c r="C20" s="42" t="s">
        <v>85</v>
      </c>
      <c r="D20" s="48" t="s">
        <v>4</v>
      </c>
      <c r="E20" s="8" t="s">
        <v>45</v>
      </c>
      <c r="F20" s="8" t="s">
        <v>53</v>
      </c>
      <c r="G20" s="9"/>
      <c r="H20" s="9">
        <f>IF(Table38[[#This Row],[modality]]=C19,1,0)</f>
        <v>1</v>
      </c>
      <c r="I20">
        <f>IF(Table38[[#This Row],[stimulus]]=F21,1,0)</f>
        <v>1</v>
      </c>
      <c r="J20">
        <f t="shared" si="0"/>
        <v>0</v>
      </c>
      <c r="K20" s="9"/>
      <c r="L20" s="9"/>
    </row>
    <row r="21" spans="1:12" x14ac:dyDescent="0.3">
      <c r="A21" s="16">
        <v>1</v>
      </c>
      <c r="B21" s="41">
        <v>1</v>
      </c>
      <c r="C21" s="41" t="s">
        <v>85</v>
      </c>
      <c r="D21" s="47" t="s">
        <v>44</v>
      </c>
      <c r="E21" s="19" t="s">
        <v>13</v>
      </c>
      <c r="F21" s="19" t="s">
        <v>53</v>
      </c>
      <c r="G21" s="9"/>
      <c r="H21" s="9">
        <f>IF(Table38[[#This Row],[modality]]=C20,1,0)</f>
        <v>1</v>
      </c>
      <c r="I21">
        <f>IF(Table38[[#This Row],[stimulus]]=F22,1,0)</f>
        <v>0</v>
      </c>
      <c r="J21">
        <f t="shared" si="0"/>
        <v>0</v>
      </c>
      <c r="K21" s="9"/>
      <c r="L21" s="9"/>
    </row>
    <row r="22" spans="1:12" x14ac:dyDescent="0.3">
      <c r="A22" s="11">
        <v>1</v>
      </c>
      <c r="B22" s="43">
        <v>2</v>
      </c>
      <c r="C22" s="43" t="s">
        <v>84</v>
      </c>
      <c r="D22" s="51" t="s">
        <v>33</v>
      </c>
      <c r="E22" s="8" t="s">
        <v>46</v>
      </c>
      <c r="F22" s="8" t="s">
        <v>73</v>
      </c>
      <c r="G22" s="9"/>
      <c r="H22" s="9">
        <f>IF(Table38[[#This Row],[modality]]=C21,1,0)</f>
        <v>0</v>
      </c>
      <c r="I22">
        <f>IF(Table38[[#This Row],[stimulus]]=F23,1,0)</f>
        <v>0</v>
      </c>
      <c r="J22">
        <f t="shared" si="0"/>
        <v>1</v>
      </c>
      <c r="K22" s="9"/>
      <c r="L22" s="9"/>
    </row>
    <row r="23" spans="1:12" x14ac:dyDescent="0.3">
      <c r="A23" s="19">
        <v>1</v>
      </c>
      <c r="B23" s="43">
        <v>1</v>
      </c>
      <c r="C23" s="43" t="s">
        <v>85</v>
      </c>
      <c r="D23" s="51" t="s">
        <v>33</v>
      </c>
      <c r="E23" s="19" t="s">
        <v>46</v>
      </c>
      <c r="F23" s="8" t="s">
        <v>71</v>
      </c>
      <c r="G23" s="10"/>
      <c r="H23" s="9">
        <f>IF(Table38[[#This Row],[modality]]=C22,1,0)</f>
        <v>0</v>
      </c>
      <c r="I23">
        <f>IF(Table38[[#This Row],[stimulus]]=F24,1,0)</f>
        <v>0</v>
      </c>
      <c r="J23">
        <f t="shared" si="0"/>
        <v>0</v>
      </c>
      <c r="K23" s="10"/>
      <c r="L23" s="10"/>
    </row>
    <row r="24" spans="1:12" x14ac:dyDescent="0.3">
      <c r="A24" s="16">
        <v>1</v>
      </c>
      <c r="B24" s="41">
        <v>1</v>
      </c>
      <c r="C24" s="41" t="s">
        <v>85</v>
      </c>
      <c r="D24" s="47" t="s">
        <v>4</v>
      </c>
      <c r="E24" s="19" t="s">
        <v>45</v>
      </c>
      <c r="F24" s="19" t="s">
        <v>54</v>
      </c>
      <c r="G24" s="9"/>
      <c r="H24" s="9">
        <f>IF(Table38[[#This Row],[modality]]=C23,1,0)</f>
        <v>1</v>
      </c>
      <c r="I24">
        <f>IF(Table38[[#This Row],[stimulus]]=F25,1,0)</f>
        <v>1</v>
      </c>
      <c r="J24">
        <f t="shared" si="0"/>
        <v>0</v>
      </c>
      <c r="K24" s="9"/>
      <c r="L24" s="9"/>
    </row>
    <row r="25" spans="1:12" x14ac:dyDescent="0.3">
      <c r="A25" s="11">
        <v>1</v>
      </c>
      <c r="B25" s="42">
        <v>2</v>
      </c>
      <c r="C25" s="42" t="s">
        <v>84</v>
      </c>
      <c r="D25" s="48" t="s">
        <v>44</v>
      </c>
      <c r="E25" s="8" t="s">
        <v>14</v>
      </c>
      <c r="F25" s="8" t="s">
        <v>54</v>
      </c>
      <c r="G25" s="9"/>
      <c r="H25" s="9">
        <f>IF(Table38[[#This Row],[modality]]=C24,1,0)</f>
        <v>0</v>
      </c>
      <c r="I25">
        <f>IF(Table38[[#This Row],[stimulus]]=F26,1,0)</f>
        <v>0</v>
      </c>
      <c r="J25">
        <f t="shared" si="0"/>
        <v>0</v>
      </c>
      <c r="K25" s="9"/>
      <c r="L25" s="9"/>
    </row>
    <row r="26" spans="1:12" x14ac:dyDescent="0.3">
      <c r="A26" s="8">
        <v>2</v>
      </c>
      <c r="B26" s="44">
        <v>2</v>
      </c>
      <c r="C26" s="44" t="s">
        <v>84</v>
      </c>
      <c r="D26" s="44" t="s">
        <v>33</v>
      </c>
      <c r="E26" s="8" t="s">
        <v>46</v>
      </c>
      <c r="F26" s="8" t="s">
        <v>47</v>
      </c>
      <c r="G26" s="9"/>
      <c r="H26" s="9">
        <f>IF(Table38[[#This Row],[modality]]=C25,1,0)</f>
        <v>1</v>
      </c>
      <c r="I26">
        <f>IF(Table38[[#This Row],[stimulus]]=F27,1,0)</f>
        <v>0</v>
      </c>
      <c r="J26">
        <f t="shared" si="0"/>
        <v>1</v>
      </c>
      <c r="K26" s="9"/>
      <c r="L26" s="9"/>
    </row>
    <row r="27" spans="1:12" x14ac:dyDescent="0.3">
      <c r="A27" s="19">
        <v>2</v>
      </c>
      <c r="B27" s="41">
        <v>1</v>
      </c>
      <c r="C27" s="41" t="s">
        <v>85</v>
      </c>
      <c r="D27" s="47" t="s">
        <v>4</v>
      </c>
      <c r="E27" s="19" t="s">
        <v>45</v>
      </c>
      <c r="F27" s="19" t="s">
        <v>62</v>
      </c>
      <c r="G27" s="9"/>
      <c r="H27" s="9">
        <f>IF(Table38[[#This Row],[modality]]=C26,1,0)</f>
        <v>0</v>
      </c>
      <c r="I27">
        <f>IF(Table38[[#This Row],[stimulus]]=F28,1,0)</f>
        <v>1</v>
      </c>
      <c r="J27">
        <f t="shared" si="0"/>
        <v>0</v>
      </c>
      <c r="K27" s="9"/>
      <c r="L27" s="9"/>
    </row>
    <row r="28" spans="1:12" x14ac:dyDescent="0.3">
      <c r="A28" s="8">
        <v>2</v>
      </c>
      <c r="B28" s="42">
        <v>1</v>
      </c>
      <c r="C28" s="42" t="s">
        <v>85</v>
      </c>
      <c r="D28" s="48" t="s">
        <v>44</v>
      </c>
      <c r="E28" s="8" t="s">
        <v>13</v>
      </c>
      <c r="F28" s="8" t="s">
        <v>62</v>
      </c>
      <c r="G28" s="9"/>
      <c r="H28" s="9">
        <f>IF(Table38[[#This Row],[modality]]=C27,1,0)</f>
        <v>1</v>
      </c>
      <c r="I28">
        <f>IF(Table38[[#This Row],[stimulus]]=F29,1,0)</f>
        <v>0</v>
      </c>
      <c r="J28">
        <f t="shared" si="0"/>
        <v>0</v>
      </c>
      <c r="K28" s="9"/>
      <c r="L28" s="9"/>
    </row>
    <row r="29" spans="1:12" x14ac:dyDescent="0.3">
      <c r="A29" s="19">
        <v>2</v>
      </c>
      <c r="B29" s="44">
        <v>2</v>
      </c>
      <c r="C29" s="44" t="s">
        <v>84</v>
      </c>
      <c r="D29" s="44" t="s">
        <v>33</v>
      </c>
      <c r="E29" s="19" t="s">
        <v>46</v>
      </c>
      <c r="F29" s="19" t="s">
        <v>48</v>
      </c>
      <c r="G29" s="9"/>
      <c r="H29" s="9">
        <f>IF(Table38[[#This Row],[modality]]=C28,1,0)</f>
        <v>0</v>
      </c>
      <c r="I29">
        <f>IF(Table38[[#This Row],[stimulus]]=F30,1,0)</f>
        <v>0</v>
      </c>
      <c r="J29">
        <f t="shared" si="0"/>
        <v>1</v>
      </c>
      <c r="K29" s="9"/>
      <c r="L29" s="9"/>
    </row>
    <row r="30" spans="1:12" x14ac:dyDescent="0.3">
      <c r="A30" s="19">
        <v>2</v>
      </c>
      <c r="B30" s="41">
        <v>1</v>
      </c>
      <c r="C30" s="42" t="s">
        <v>85</v>
      </c>
      <c r="D30" s="47" t="s">
        <v>4</v>
      </c>
      <c r="E30" s="19" t="s">
        <v>45</v>
      </c>
      <c r="F30" s="19" t="s">
        <v>61</v>
      </c>
      <c r="G30" s="9"/>
      <c r="H30" s="9">
        <f>IF(Table38[[#This Row],[modality]]=C29,1,0)</f>
        <v>0</v>
      </c>
      <c r="I30">
        <f>IF(Table38[[#This Row],[stimulus]]=F31,1,0)</f>
        <v>1</v>
      </c>
      <c r="J30">
        <f t="shared" si="0"/>
        <v>0</v>
      </c>
      <c r="K30" s="9"/>
      <c r="L30" s="9"/>
    </row>
    <row r="31" spans="1:12" x14ac:dyDescent="0.3">
      <c r="A31" s="8">
        <v>2</v>
      </c>
      <c r="B31" s="42">
        <v>1</v>
      </c>
      <c r="C31" s="42" t="s">
        <v>85</v>
      </c>
      <c r="D31" s="48" t="s">
        <v>44</v>
      </c>
      <c r="E31" s="8" t="s">
        <v>13</v>
      </c>
      <c r="F31" s="8" t="s">
        <v>61</v>
      </c>
      <c r="G31" s="9"/>
      <c r="H31" s="9">
        <f>IF(Table38[[#This Row],[modality]]=C30,1,0)</f>
        <v>1</v>
      </c>
      <c r="I31">
        <f>IF(Table38[[#This Row],[stimulus]]=F32,1,0)</f>
        <v>0</v>
      </c>
      <c r="J31">
        <f t="shared" si="0"/>
        <v>0</v>
      </c>
      <c r="K31" s="9"/>
      <c r="L31" s="9"/>
    </row>
    <row r="32" spans="1:12" x14ac:dyDescent="0.3">
      <c r="A32" s="19">
        <v>2</v>
      </c>
      <c r="B32" s="41">
        <v>1</v>
      </c>
      <c r="C32" s="42" t="s">
        <v>85</v>
      </c>
      <c r="D32" s="47" t="s">
        <v>4</v>
      </c>
      <c r="E32" s="19" t="s">
        <v>45</v>
      </c>
      <c r="F32" s="19" t="s">
        <v>60</v>
      </c>
      <c r="G32" s="9"/>
      <c r="H32" s="9">
        <f>IF(Table38[[#This Row],[modality]]=C31,1,0)</f>
        <v>1</v>
      </c>
      <c r="I32">
        <f>IF(Table38[[#This Row],[stimulus]]=F33,1,0)</f>
        <v>1</v>
      </c>
      <c r="J32">
        <f t="shared" si="0"/>
        <v>1</v>
      </c>
      <c r="K32" s="9"/>
      <c r="L32" s="9"/>
    </row>
    <row r="33" spans="1:12" x14ac:dyDescent="0.3">
      <c r="A33" s="8">
        <v>2</v>
      </c>
      <c r="B33" s="42">
        <v>2</v>
      </c>
      <c r="C33" s="42" t="s">
        <v>84</v>
      </c>
      <c r="D33" s="48" t="s">
        <v>44</v>
      </c>
      <c r="E33" s="8" t="s">
        <v>14</v>
      </c>
      <c r="F33" s="8" t="s">
        <v>60</v>
      </c>
      <c r="G33" s="9"/>
      <c r="H33" s="9">
        <f>IF(Table38[[#This Row],[modality]]=C32,1,0)</f>
        <v>0</v>
      </c>
      <c r="I33">
        <f>IF(Table38[[#This Row],[stimulus]]=F34,1,0)</f>
        <v>0</v>
      </c>
      <c r="J33">
        <f t="shared" si="0"/>
        <v>0</v>
      </c>
      <c r="K33" s="9"/>
      <c r="L33" s="9"/>
    </row>
    <row r="34" spans="1:12" x14ac:dyDescent="0.3">
      <c r="A34" s="19">
        <v>2</v>
      </c>
      <c r="B34" s="41">
        <v>2</v>
      </c>
      <c r="C34" s="42" t="s">
        <v>84</v>
      </c>
      <c r="D34" s="47" t="s">
        <v>4</v>
      </c>
      <c r="E34" s="19" t="s">
        <v>45</v>
      </c>
      <c r="F34" s="19" t="s">
        <v>59</v>
      </c>
      <c r="G34" s="9"/>
      <c r="H34" s="9">
        <f>IF(Table38[[#This Row],[modality]]=C33,1,0)</f>
        <v>1</v>
      </c>
      <c r="I34">
        <f>IF(Table38[[#This Row],[stimulus]]=F35,1,0)</f>
        <v>1</v>
      </c>
      <c r="J34">
        <f t="shared" si="0"/>
        <v>1</v>
      </c>
      <c r="K34" s="9"/>
      <c r="L34" s="9"/>
    </row>
    <row r="35" spans="1:12" x14ac:dyDescent="0.3">
      <c r="A35" s="8">
        <v>2</v>
      </c>
      <c r="B35" s="42">
        <v>1</v>
      </c>
      <c r="C35" s="42" t="s">
        <v>85</v>
      </c>
      <c r="D35" s="48" t="s">
        <v>44</v>
      </c>
      <c r="E35" s="8" t="s">
        <v>14</v>
      </c>
      <c r="F35" s="8" t="s">
        <v>59</v>
      </c>
      <c r="G35" s="9"/>
      <c r="H35" s="9">
        <f>IF(Table38[[#This Row],[modality]]=C34,1,0)</f>
        <v>0</v>
      </c>
      <c r="I35">
        <f>IF(Table38[[#This Row],[stimulus]]=F36,1,0)</f>
        <v>0</v>
      </c>
      <c r="J35">
        <f t="shared" si="0"/>
        <v>0</v>
      </c>
      <c r="K35" s="9"/>
      <c r="L35" s="9"/>
    </row>
    <row r="36" spans="1:12" x14ac:dyDescent="0.3">
      <c r="A36" s="8">
        <v>2</v>
      </c>
      <c r="B36" s="44">
        <v>1</v>
      </c>
      <c r="C36" s="44" t="s">
        <v>85</v>
      </c>
      <c r="D36" s="44" t="s">
        <v>33</v>
      </c>
      <c r="E36" s="8" t="s">
        <v>46</v>
      </c>
      <c r="F36" s="8" t="s">
        <v>49</v>
      </c>
      <c r="G36" s="9"/>
      <c r="H36" s="9">
        <f>IF(Table38[[#This Row],[modality]]=C35,1,0)</f>
        <v>1</v>
      </c>
      <c r="I36">
        <f>IF(Table38[[#This Row],[stimulus]]=F37,1,0)</f>
        <v>0</v>
      </c>
      <c r="J36">
        <f t="shared" si="0"/>
        <v>1</v>
      </c>
      <c r="K36" s="9"/>
      <c r="L36" s="9"/>
    </row>
    <row r="37" spans="1:12" x14ac:dyDescent="0.3">
      <c r="A37" s="19">
        <v>2</v>
      </c>
      <c r="B37" s="41">
        <v>1</v>
      </c>
      <c r="C37" s="42" t="s">
        <v>85</v>
      </c>
      <c r="D37" s="47" t="s">
        <v>4</v>
      </c>
      <c r="E37" s="19" t="s">
        <v>45</v>
      </c>
      <c r="F37" s="19" t="s">
        <v>58</v>
      </c>
      <c r="G37" s="9"/>
      <c r="H37" s="9">
        <f>IF(Table38[[#This Row],[modality]]=C36,1,0)</f>
        <v>1</v>
      </c>
      <c r="I37">
        <f>IF(Table38[[#This Row],[stimulus]]=F38,1,0)</f>
        <v>1</v>
      </c>
      <c r="J37">
        <f t="shared" si="0"/>
        <v>0</v>
      </c>
      <c r="K37" s="9"/>
      <c r="L37" s="9"/>
    </row>
    <row r="38" spans="1:12" x14ac:dyDescent="0.3">
      <c r="A38" s="8">
        <v>2</v>
      </c>
      <c r="B38" s="42">
        <v>2</v>
      </c>
      <c r="C38" s="42" t="s">
        <v>84</v>
      </c>
      <c r="D38" s="48" t="s">
        <v>44</v>
      </c>
      <c r="E38" s="8" t="s">
        <v>14</v>
      </c>
      <c r="F38" s="8" t="s">
        <v>58</v>
      </c>
      <c r="G38" s="9"/>
      <c r="H38" s="9">
        <f>IF(Table38[[#This Row],[modality]]=C37,1,0)</f>
        <v>0</v>
      </c>
      <c r="I38">
        <f>IF(Table38[[#This Row],[stimulus]]=F39,1,0)</f>
        <v>0</v>
      </c>
      <c r="J38">
        <f t="shared" si="0"/>
        <v>0</v>
      </c>
      <c r="K38" s="9"/>
      <c r="L38" s="9"/>
    </row>
    <row r="39" spans="1:12" x14ac:dyDescent="0.3">
      <c r="A39" s="19">
        <v>2</v>
      </c>
      <c r="B39" s="44">
        <v>2</v>
      </c>
      <c r="C39" s="44" t="s">
        <v>84</v>
      </c>
      <c r="D39" s="44" t="s">
        <v>33</v>
      </c>
      <c r="E39" s="19" t="s">
        <v>46</v>
      </c>
      <c r="F39" s="19" t="s">
        <v>50</v>
      </c>
      <c r="G39" s="9"/>
      <c r="H39" s="9">
        <f>IF(Table38[[#This Row],[modality]]=C38,1,0)</f>
        <v>1</v>
      </c>
      <c r="I39">
        <f>IF(Table38[[#This Row],[stimulus]]=F40,1,0)</f>
        <v>0</v>
      </c>
      <c r="J39">
        <f t="shared" si="0"/>
        <v>1</v>
      </c>
      <c r="K39" s="9"/>
      <c r="L39" s="9"/>
    </row>
    <row r="40" spans="1:12" x14ac:dyDescent="0.3">
      <c r="A40" s="8">
        <v>2</v>
      </c>
      <c r="B40" s="44">
        <v>1</v>
      </c>
      <c r="C40" s="44" t="s">
        <v>85</v>
      </c>
      <c r="D40" s="44" t="s">
        <v>33</v>
      </c>
      <c r="E40" s="8" t="s">
        <v>46</v>
      </c>
      <c r="F40" s="8" t="s">
        <v>53</v>
      </c>
      <c r="G40" s="9"/>
      <c r="H40" s="9">
        <f>IF(Table38[[#This Row],[modality]]=C39,1,0)</f>
        <v>0</v>
      </c>
      <c r="I40">
        <f>IF(Table38[[#This Row],[stimulus]]=F41,1,0)</f>
        <v>0</v>
      </c>
      <c r="J40">
        <f t="shared" si="0"/>
        <v>0</v>
      </c>
      <c r="K40" s="9"/>
      <c r="L40" s="9"/>
    </row>
    <row r="41" spans="1:12" x14ac:dyDescent="0.3">
      <c r="A41" s="8">
        <v>2</v>
      </c>
      <c r="B41" s="44">
        <v>2</v>
      </c>
      <c r="C41" s="44" t="s">
        <v>84</v>
      </c>
      <c r="D41" s="44" t="s">
        <v>33</v>
      </c>
      <c r="E41" s="8" t="s">
        <v>46</v>
      </c>
      <c r="F41" s="8" t="s">
        <v>51</v>
      </c>
      <c r="G41" s="9"/>
      <c r="H41" s="9">
        <f>IF(Table38[[#This Row],[modality]]=C40,1,0)</f>
        <v>0</v>
      </c>
      <c r="I41">
        <f>IF(Table38[[#This Row],[stimulus]]=F42,1,0)</f>
        <v>0</v>
      </c>
      <c r="J41">
        <f t="shared" si="0"/>
        <v>0</v>
      </c>
      <c r="K41" s="9"/>
      <c r="L41" s="9"/>
    </row>
    <row r="42" spans="1:12" x14ac:dyDescent="0.3">
      <c r="A42" s="19">
        <v>2</v>
      </c>
      <c r="B42" s="41">
        <v>2</v>
      </c>
      <c r="C42" s="41" t="s">
        <v>84</v>
      </c>
      <c r="D42" s="47" t="s">
        <v>4</v>
      </c>
      <c r="E42" s="19" t="s">
        <v>45</v>
      </c>
      <c r="F42" s="19" t="s">
        <v>57</v>
      </c>
      <c r="G42" s="9"/>
      <c r="H42" s="9">
        <f>IF(Table38[[#This Row],[modality]]=C41,1,0)</f>
        <v>1</v>
      </c>
      <c r="I42">
        <f>IF(Table38[[#This Row],[stimulus]]=F43,1,0)</f>
        <v>1</v>
      </c>
      <c r="J42">
        <f t="shared" si="0"/>
        <v>0</v>
      </c>
      <c r="K42" s="9"/>
      <c r="L42" s="9"/>
    </row>
    <row r="43" spans="1:12" x14ac:dyDescent="0.3">
      <c r="A43" s="8">
        <v>2</v>
      </c>
      <c r="B43" s="42">
        <v>2</v>
      </c>
      <c r="C43" s="42" t="s">
        <v>84</v>
      </c>
      <c r="D43" s="48" t="s">
        <v>44</v>
      </c>
      <c r="E43" s="8" t="s">
        <v>13</v>
      </c>
      <c r="F43" s="8" t="s">
        <v>57</v>
      </c>
      <c r="G43" s="9"/>
      <c r="H43" s="9">
        <f>IF(Table38[[#This Row],[modality]]=C42,1,0)</f>
        <v>1</v>
      </c>
      <c r="I43">
        <f>IF(Table38[[#This Row],[stimulus]]=F44,1,0)</f>
        <v>0</v>
      </c>
      <c r="J43">
        <f t="shared" si="0"/>
        <v>0</v>
      </c>
      <c r="K43" s="9"/>
      <c r="L43" s="9"/>
    </row>
    <row r="44" spans="1:12" x14ac:dyDescent="0.3">
      <c r="A44" s="19">
        <v>2</v>
      </c>
      <c r="B44" s="44">
        <v>1</v>
      </c>
      <c r="C44" s="44" t="s">
        <v>85</v>
      </c>
      <c r="D44" s="44" t="s">
        <v>33</v>
      </c>
      <c r="E44" s="19" t="s">
        <v>46</v>
      </c>
      <c r="F44" s="19" t="s">
        <v>52</v>
      </c>
      <c r="G44" s="9"/>
      <c r="H44" s="9">
        <f>IF(Table38[[#This Row],[modality]]=C43,1,0)</f>
        <v>0</v>
      </c>
      <c r="I44">
        <f>IF(Table38[[#This Row],[stimulus]]=F45,1,0)</f>
        <v>0</v>
      </c>
      <c r="J44">
        <f t="shared" si="0"/>
        <v>1</v>
      </c>
      <c r="K44" s="9"/>
      <c r="L44" s="9"/>
    </row>
    <row r="45" spans="1:12" x14ac:dyDescent="0.3">
      <c r="A45" s="8">
        <v>2</v>
      </c>
      <c r="B45" s="42">
        <v>2</v>
      </c>
      <c r="C45" s="42" t="s">
        <v>84</v>
      </c>
      <c r="D45" s="48" t="s">
        <v>4</v>
      </c>
      <c r="E45" s="8" t="s">
        <v>45</v>
      </c>
      <c r="F45" s="8" t="s">
        <v>56</v>
      </c>
      <c r="G45" s="9"/>
      <c r="H45" s="9">
        <f>IF(Table38[[#This Row],[modality]]=C44,1,0)</f>
        <v>0</v>
      </c>
      <c r="I45">
        <f>IF(Table38[[#This Row],[stimulus]]=F46,1,0)</f>
        <v>1</v>
      </c>
      <c r="J45">
        <f t="shared" si="0"/>
        <v>0</v>
      </c>
      <c r="K45" s="9"/>
      <c r="L45" s="9"/>
    </row>
    <row r="46" spans="1:12" x14ac:dyDescent="0.3">
      <c r="A46" s="19">
        <v>2</v>
      </c>
      <c r="B46" s="41">
        <v>2</v>
      </c>
      <c r="C46" s="41" t="s">
        <v>84</v>
      </c>
      <c r="D46" s="47" t="s">
        <v>44</v>
      </c>
      <c r="E46" s="19" t="s">
        <v>13</v>
      </c>
      <c r="F46" s="19" t="s">
        <v>56</v>
      </c>
      <c r="G46" s="9"/>
      <c r="H46" s="9">
        <f>IF(Table38[[#This Row],[modality]]=C45,1,0)</f>
        <v>1</v>
      </c>
      <c r="I46">
        <f>IF(Table38[[#This Row],[stimulus]]=F47,1,0)</f>
        <v>0</v>
      </c>
      <c r="J46">
        <f t="shared" si="0"/>
        <v>0</v>
      </c>
      <c r="K46" s="9"/>
      <c r="L46" s="9"/>
    </row>
    <row r="47" spans="1:12" x14ac:dyDescent="0.3">
      <c r="A47" s="19">
        <v>2</v>
      </c>
      <c r="B47" s="44">
        <v>2</v>
      </c>
      <c r="C47" s="44" t="s">
        <v>84</v>
      </c>
      <c r="D47" s="44" t="s">
        <v>33</v>
      </c>
      <c r="E47" s="19" t="s">
        <v>46</v>
      </c>
      <c r="F47" s="19" t="s">
        <v>54</v>
      </c>
      <c r="G47" s="9"/>
      <c r="H47" s="9">
        <f>IF(Table38[[#This Row],[modality]]=C46,1,0)</f>
        <v>1</v>
      </c>
      <c r="I47">
        <f>IF(Table38[[#This Row],[stimulus]]=F48,1,0)</f>
        <v>0</v>
      </c>
      <c r="J47">
        <f t="shared" si="0"/>
        <v>1</v>
      </c>
      <c r="K47" s="9"/>
      <c r="L47" s="9"/>
    </row>
    <row r="48" spans="1:12" x14ac:dyDescent="0.3">
      <c r="A48" s="8">
        <v>2</v>
      </c>
      <c r="B48" s="42">
        <v>2</v>
      </c>
      <c r="C48" s="42" t="s">
        <v>84</v>
      </c>
      <c r="D48" s="48" t="s">
        <v>4</v>
      </c>
      <c r="E48" s="8" t="s">
        <v>45</v>
      </c>
      <c r="F48" s="8" t="s">
        <v>55</v>
      </c>
      <c r="G48" s="9"/>
      <c r="H48" s="9">
        <f>IF(Table38[[#This Row],[modality]]=C47,1,0)</f>
        <v>1</v>
      </c>
      <c r="I48">
        <f>IF(Table38[[#This Row],[stimulus]]=F49,1,0)</f>
        <v>1</v>
      </c>
      <c r="J48">
        <f t="shared" si="0"/>
        <v>0</v>
      </c>
      <c r="K48" s="9"/>
      <c r="L48" s="9"/>
    </row>
    <row r="49" spans="1:12" x14ac:dyDescent="0.3">
      <c r="A49" s="19">
        <v>2</v>
      </c>
      <c r="B49" s="41">
        <v>1</v>
      </c>
      <c r="C49" s="41" t="s">
        <v>85</v>
      </c>
      <c r="D49" s="47" t="s">
        <v>44</v>
      </c>
      <c r="E49" s="19" t="s">
        <v>14</v>
      </c>
      <c r="F49" s="19" t="s">
        <v>55</v>
      </c>
      <c r="G49" s="9"/>
      <c r="H49" s="9">
        <f>IF(Table38[[#This Row],[modality]]=C48,1,0)</f>
        <v>0</v>
      </c>
      <c r="I49">
        <f>IF(Table38[[#This Row],[stimulus]]=F50,1,0)</f>
        <v>0</v>
      </c>
      <c r="J49">
        <f t="shared" si="0"/>
        <v>0</v>
      </c>
      <c r="K49" s="9"/>
      <c r="L49" s="9"/>
    </row>
    <row r="50" spans="1:12" x14ac:dyDescent="0.3">
      <c r="A50" s="16">
        <v>3</v>
      </c>
      <c r="B50" s="41">
        <v>1</v>
      </c>
      <c r="C50" s="41" t="s">
        <v>85</v>
      </c>
      <c r="D50" s="47" t="s">
        <v>4</v>
      </c>
      <c r="E50" s="19" t="s">
        <v>45</v>
      </c>
      <c r="F50" s="19" t="s">
        <v>63</v>
      </c>
      <c r="G50" s="9"/>
      <c r="H50" s="9">
        <f>IF(Table38[[#This Row],[modality]]=C49,1,0)</f>
        <v>1</v>
      </c>
      <c r="I50">
        <f>IF(Table38[[#This Row],[stimulus]]=F51,1,0)</f>
        <v>1</v>
      </c>
      <c r="J50">
        <f t="shared" si="0"/>
        <v>1</v>
      </c>
      <c r="K50" s="9"/>
      <c r="L50" s="9"/>
    </row>
    <row r="51" spans="1:12" x14ac:dyDescent="0.3">
      <c r="A51" s="11">
        <v>3</v>
      </c>
      <c r="B51" s="42">
        <v>2</v>
      </c>
      <c r="C51" s="42" t="s">
        <v>84</v>
      </c>
      <c r="D51" s="48" t="s">
        <v>44</v>
      </c>
      <c r="E51" s="8" t="s">
        <v>14</v>
      </c>
      <c r="F51" s="8" t="s">
        <v>63</v>
      </c>
      <c r="G51" s="9"/>
      <c r="H51" s="9">
        <f>IF(Table38[[#This Row],[modality]]=C50,1,0)</f>
        <v>0</v>
      </c>
      <c r="I51" t="e">
        <f>IF(Table38[[#This Row],[stimulus]]=#REF!,1,0)</f>
        <v>#REF!</v>
      </c>
      <c r="J51">
        <f t="shared" si="0"/>
        <v>0</v>
      </c>
      <c r="K51" s="9"/>
      <c r="L51" s="9"/>
    </row>
    <row r="52" spans="1:12" x14ac:dyDescent="0.3">
      <c r="A52" s="65">
        <v>3</v>
      </c>
      <c r="B52" s="66">
        <v>2</v>
      </c>
      <c r="C52" s="66" t="s">
        <v>84</v>
      </c>
      <c r="D52" s="67" t="s">
        <v>33</v>
      </c>
      <c r="E52" s="65" t="s">
        <v>46</v>
      </c>
      <c r="F52" s="65"/>
      <c r="G52" s="55" t="s">
        <v>131</v>
      </c>
      <c r="H52" s="9">
        <f>IF(Table38[[#This Row],[modality]]=C51,1,0)</f>
        <v>1</v>
      </c>
      <c r="I52">
        <f>IF(Table38[[#This Row],[stimulus]]=F53,1,0)</f>
        <v>0</v>
      </c>
      <c r="J52">
        <f t="shared" si="0"/>
        <v>1</v>
      </c>
      <c r="K52" s="10"/>
      <c r="L52" s="10"/>
    </row>
    <row r="53" spans="1:12" x14ac:dyDescent="0.3">
      <c r="A53" s="16">
        <v>3</v>
      </c>
      <c r="B53" s="41">
        <v>2</v>
      </c>
      <c r="C53" s="41" t="s">
        <v>84</v>
      </c>
      <c r="D53" s="47" t="s">
        <v>4</v>
      </c>
      <c r="E53" s="19" t="s">
        <v>45</v>
      </c>
      <c r="F53" s="19" t="s">
        <v>64</v>
      </c>
      <c r="G53" s="9"/>
      <c r="H53" s="9">
        <f>IF(Table38[[#This Row],[modality]]=C52,1,0)</f>
        <v>1</v>
      </c>
      <c r="I53">
        <f>IF(Table38[[#This Row],[stimulus]]=F54,1,0)</f>
        <v>1</v>
      </c>
      <c r="J53">
        <f t="shared" si="0"/>
        <v>0</v>
      </c>
      <c r="K53" s="9"/>
      <c r="L53" s="9"/>
    </row>
    <row r="54" spans="1:12" x14ac:dyDescent="0.3">
      <c r="A54" s="11">
        <v>3</v>
      </c>
      <c r="B54" s="42">
        <v>1</v>
      </c>
      <c r="C54" s="42" t="s">
        <v>85</v>
      </c>
      <c r="D54" s="48" t="s">
        <v>44</v>
      </c>
      <c r="E54" s="8" t="s">
        <v>14</v>
      </c>
      <c r="F54" s="8" t="s">
        <v>64</v>
      </c>
      <c r="G54" s="9"/>
      <c r="H54" s="9">
        <f>IF(Table38[[#This Row],[modality]]=C53,1,0)</f>
        <v>0</v>
      </c>
      <c r="I54">
        <f>IF(Table38[[#This Row],[stimulus]]=F55,1,0)</f>
        <v>0</v>
      </c>
      <c r="J54">
        <f t="shared" si="0"/>
        <v>0</v>
      </c>
      <c r="K54" s="9"/>
      <c r="L54" s="9"/>
    </row>
    <row r="55" spans="1:12" x14ac:dyDescent="0.3">
      <c r="A55" s="16">
        <v>3</v>
      </c>
      <c r="B55" s="45">
        <v>1</v>
      </c>
      <c r="C55" s="45" t="s">
        <v>85</v>
      </c>
      <c r="D55" s="45" t="s">
        <v>33</v>
      </c>
      <c r="E55" s="19" t="s">
        <v>46</v>
      </c>
      <c r="F55" s="19" t="s">
        <v>62</v>
      </c>
      <c r="G55" s="9"/>
      <c r="H55" s="9">
        <f>IF(Table38[[#This Row],[modality]]=C54,1,0)</f>
        <v>1</v>
      </c>
      <c r="I55">
        <f>IF(Table38[[#This Row],[stimulus]]=F56,1,0)</f>
        <v>0</v>
      </c>
      <c r="J55">
        <f t="shared" si="0"/>
        <v>1</v>
      </c>
      <c r="K55" s="9"/>
      <c r="L55" s="9"/>
    </row>
    <row r="56" spans="1:12" x14ac:dyDescent="0.3">
      <c r="A56" s="11">
        <v>3</v>
      </c>
      <c r="B56" s="42">
        <v>1</v>
      </c>
      <c r="C56" s="42" t="s">
        <v>85</v>
      </c>
      <c r="D56" s="48" t="s">
        <v>4</v>
      </c>
      <c r="E56" s="8" t="s">
        <v>45</v>
      </c>
      <c r="F56" s="8" t="s">
        <v>65</v>
      </c>
      <c r="G56" s="9"/>
      <c r="H56" s="9">
        <f>IF(Table38[[#This Row],[modality]]=C55,1,0)</f>
        <v>1</v>
      </c>
      <c r="I56">
        <f>IF(Table38[[#This Row],[stimulus]]=F57,1,0)</f>
        <v>1</v>
      </c>
      <c r="J56">
        <f t="shared" si="0"/>
        <v>0</v>
      </c>
      <c r="K56" s="9"/>
      <c r="L56" s="9"/>
    </row>
    <row r="57" spans="1:12" x14ac:dyDescent="0.3">
      <c r="A57" s="16">
        <v>3</v>
      </c>
      <c r="B57" s="41">
        <v>2</v>
      </c>
      <c r="C57" s="41" t="s">
        <v>84</v>
      </c>
      <c r="D57" s="47" t="s">
        <v>44</v>
      </c>
      <c r="E57" s="19" t="s">
        <v>14</v>
      </c>
      <c r="F57" s="19" t="s">
        <v>65</v>
      </c>
      <c r="G57" s="9"/>
      <c r="H57" s="9">
        <f>IF(Table38[[#This Row],[modality]]=C56,1,0)</f>
        <v>0</v>
      </c>
      <c r="I57">
        <f>IF(Table38[[#This Row],[stimulus]]=F58,1,0)</f>
        <v>0</v>
      </c>
      <c r="J57">
        <f t="shared" si="0"/>
        <v>0</v>
      </c>
      <c r="K57" s="9"/>
      <c r="L57" s="9"/>
    </row>
    <row r="58" spans="1:12" x14ac:dyDescent="0.3">
      <c r="A58" s="11">
        <v>3</v>
      </c>
      <c r="B58" s="45">
        <v>2</v>
      </c>
      <c r="C58" s="45" t="s">
        <v>84</v>
      </c>
      <c r="D58" s="45" t="s">
        <v>33</v>
      </c>
      <c r="E58" s="8" t="s">
        <v>46</v>
      </c>
      <c r="F58" s="8" t="s">
        <v>61</v>
      </c>
      <c r="G58" s="9"/>
      <c r="H58" s="9">
        <f>IF(Table38[[#This Row],[modality]]=C57,1,0)</f>
        <v>1</v>
      </c>
      <c r="I58">
        <f>IF(Table38[[#This Row],[stimulus]]=F59,1,0)</f>
        <v>0</v>
      </c>
      <c r="J58">
        <f t="shared" si="0"/>
        <v>1</v>
      </c>
      <c r="K58" s="9"/>
      <c r="L58" s="9"/>
    </row>
    <row r="59" spans="1:12" x14ac:dyDescent="0.3">
      <c r="A59" s="11">
        <v>3</v>
      </c>
      <c r="B59" s="45">
        <v>1</v>
      </c>
      <c r="C59" s="45" t="s">
        <v>85</v>
      </c>
      <c r="D59" s="45" t="s">
        <v>33</v>
      </c>
      <c r="E59" s="8" t="s">
        <v>46</v>
      </c>
      <c r="F59" s="8" t="s">
        <v>59</v>
      </c>
      <c r="G59" s="9"/>
      <c r="H59" s="9">
        <f>IF(Table38[[#This Row],[modality]]=C58,1,0)</f>
        <v>0</v>
      </c>
      <c r="I59">
        <f>IF(Table38[[#This Row],[stimulus]]=F60,1,0)</f>
        <v>0</v>
      </c>
      <c r="J59">
        <f t="shared" si="0"/>
        <v>0</v>
      </c>
      <c r="K59" s="9"/>
      <c r="L59" s="9"/>
    </row>
    <row r="60" spans="1:12" x14ac:dyDescent="0.3">
      <c r="A60" s="16">
        <v>3</v>
      </c>
      <c r="B60" s="41">
        <v>2</v>
      </c>
      <c r="C60" s="41" t="s">
        <v>84</v>
      </c>
      <c r="D60" s="47" t="s">
        <v>4</v>
      </c>
      <c r="E60" s="19" t="s">
        <v>45</v>
      </c>
      <c r="F60" s="19" t="s">
        <v>66</v>
      </c>
      <c r="G60" s="9"/>
      <c r="H60" s="9">
        <f>IF(Table38[[#This Row],[modality]]=C59,1,0)</f>
        <v>0</v>
      </c>
      <c r="I60">
        <f>IF(Table38[[#This Row],[stimulus]]=F61,1,0)</f>
        <v>1</v>
      </c>
      <c r="J60">
        <f t="shared" si="0"/>
        <v>0</v>
      </c>
      <c r="K60" s="9"/>
      <c r="L60" s="9"/>
    </row>
    <row r="61" spans="1:12" x14ac:dyDescent="0.3">
      <c r="A61" s="11">
        <v>3</v>
      </c>
      <c r="B61" s="42">
        <v>2</v>
      </c>
      <c r="C61" s="42" t="s">
        <v>84</v>
      </c>
      <c r="D61" s="48" t="s">
        <v>44</v>
      </c>
      <c r="E61" s="8" t="s">
        <v>13</v>
      </c>
      <c r="F61" s="8" t="s">
        <v>66</v>
      </c>
      <c r="G61" s="9"/>
      <c r="H61" s="9">
        <f>IF(Table38[[#This Row],[modality]]=C60,1,0)</f>
        <v>1</v>
      </c>
      <c r="I61">
        <f>IF(Table38[[#This Row],[stimulus]]=F62,1,0)</f>
        <v>0</v>
      </c>
      <c r="J61">
        <f t="shared" si="0"/>
        <v>0</v>
      </c>
      <c r="K61" s="9"/>
      <c r="L61" s="9"/>
    </row>
    <row r="62" spans="1:12" x14ac:dyDescent="0.3">
      <c r="A62" s="16">
        <v>3</v>
      </c>
      <c r="B62" s="45">
        <v>1</v>
      </c>
      <c r="C62" s="45" t="s">
        <v>85</v>
      </c>
      <c r="D62" s="45" t="s">
        <v>33</v>
      </c>
      <c r="E62" s="19" t="s">
        <v>46</v>
      </c>
      <c r="F62" s="19" t="s">
        <v>60</v>
      </c>
      <c r="G62" s="9"/>
      <c r="H62" s="9">
        <f>IF(Table38[[#This Row],[modality]]=C61,1,0)</f>
        <v>0</v>
      </c>
      <c r="I62">
        <f>IF(Table38[[#This Row],[stimulus]]=F63,1,0)</f>
        <v>0</v>
      </c>
      <c r="J62">
        <f t="shared" si="0"/>
        <v>1</v>
      </c>
      <c r="K62" s="9"/>
      <c r="L62" s="9"/>
    </row>
    <row r="63" spans="1:12" x14ac:dyDescent="0.3">
      <c r="A63" s="16">
        <v>3</v>
      </c>
      <c r="B63" s="45">
        <v>2</v>
      </c>
      <c r="C63" s="45" t="s">
        <v>84</v>
      </c>
      <c r="D63" s="45" t="s">
        <v>33</v>
      </c>
      <c r="E63" s="19" t="s">
        <v>46</v>
      </c>
      <c r="F63" s="19" t="s">
        <v>58</v>
      </c>
      <c r="G63" s="9"/>
      <c r="H63" s="9">
        <f>IF(Table38[[#This Row],[modality]]=C62,1,0)</f>
        <v>0</v>
      </c>
      <c r="I63">
        <f>IF(Table38[[#This Row],[stimulus]]=F64,1,0)</f>
        <v>0</v>
      </c>
      <c r="J63">
        <f t="shared" si="0"/>
        <v>0</v>
      </c>
      <c r="K63" s="9"/>
      <c r="L63" s="9"/>
    </row>
    <row r="64" spans="1:12" x14ac:dyDescent="0.3">
      <c r="A64" s="11">
        <v>3</v>
      </c>
      <c r="B64" s="42">
        <v>2</v>
      </c>
      <c r="C64" s="42" t="s">
        <v>84</v>
      </c>
      <c r="D64" s="48" t="s">
        <v>4</v>
      </c>
      <c r="E64" s="8" t="s">
        <v>45</v>
      </c>
      <c r="F64" s="8" t="s">
        <v>67</v>
      </c>
      <c r="G64" s="9"/>
      <c r="H64" s="9">
        <f>IF(Table38[[#This Row],[modality]]=C63,1,0)</f>
        <v>1</v>
      </c>
      <c r="I64">
        <f>IF(Table38[[#This Row],[stimulus]]=F65,1,0)</f>
        <v>1</v>
      </c>
      <c r="J64">
        <f t="shared" si="0"/>
        <v>0</v>
      </c>
      <c r="K64" s="9"/>
      <c r="L64" s="9"/>
    </row>
    <row r="65" spans="1:13" x14ac:dyDescent="0.3">
      <c r="A65" s="16">
        <v>3</v>
      </c>
      <c r="B65" s="41">
        <v>2</v>
      </c>
      <c r="C65" s="41" t="s">
        <v>84</v>
      </c>
      <c r="D65" s="47" t="s">
        <v>44</v>
      </c>
      <c r="E65" s="19" t="s">
        <v>13</v>
      </c>
      <c r="F65" s="19" t="s">
        <v>67</v>
      </c>
      <c r="G65" s="9"/>
      <c r="H65" s="9">
        <f>IF(Table38[[#This Row],[modality]]=C64,1,0)</f>
        <v>1</v>
      </c>
      <c r="I65">
        <f>IF(Table38[[#This Row],[stimulus]]=F66,1,0)</f>
        <v>0</v>
      </c>
      <c r="J65">
        <f t="shared" si="0"/>
        <v>0</v>
      </c>
      <c r="K65" s="9"/>
      <c r="L65" s="9"/>
    </row>
    <row r="66" spans="1:13" x14ac:dyDescent="0.3">
      <c r="A66" s="69">
        <v>3</v>
      </c>
      <c r="B66" s="70">
        <v>1</v>
      </c>
      <c r="C66" s="70" t="s">
        <v>85</v>
      </c>
      <c r="D66" s="71" t="s">
        <v>33</v>
      </c>
      <c r="E66" s="69" t="s">
        <v>46</v>
      </c>
      <c r="F66" s="69"/>
      <c r="G66" s="72" t="s">
        <v>131</v>
      </c>
      <c r="H66" s="9">
        <f>IF(Table38[[#This Row],[modality]]=C65,1,0)</f>
        <v>0</v>
      </c>
      <c r="I66">
        <f>IF(Table38[[#This Row],[stimulus]]=F67,1,0)</f>
        <v>0</v>
      </c>
      <c r="J66">
        <f t="shared" ref="J66:J128" si="1">IF(D65="T",1,0)</f>
        <v>1</v>
      </c>
      <c r="K66" s="10"/>
      <c r="L66" s="10"/>
    </row>
    <row r="67" spans="1:13" x14ac:dyDescent="0.3">
      <c r="A67" s="11">
        <v>3</v>
      </c>
      <c r="B67" s="42">
        <v>2</v>
      </c>
      <c r="C67" s="42" t="s">
        <v>84</v>
      </c>
      <c r="D67" s="48" t="s">
        <v>4</v>
      </c>
      <c r="E67" s="8" t="s">
        <v>45</v>
      </c>
      <c r="F67" s="8" t="s">
        <v>68</v>
      </c>
      <c r="G67" s="9"/>
      <c r="H67" s="9">
        <f>IF(Table38[[#This Row],[modality]]=C66,1,0)</f>
        <v>0</v>
      </c>
      <c r="I67">
        <f>IF(Table38[[#This Row],[stimulus]]=F68,1,0)</f>
        <v>1</v>
      </c>
      <c r="J67">
        <f t="shared" si="1"/>
        <v>0</v>
      </c>
      <c r="K67" s="9"/>
      <c r="L67" s="9"/>
    </row>
    <row r="68" spans="1:13" x14ac:dyDescent="0.3">
      <c r="A68" s="16">
        <v>3</v>
      </c>
      <c r="B68" s="41">
        <v>1</v>
      </c>
      <c r="C68" s="41" t="s">
        <v>85</v>
      </c>
      <c r="D68" s="47" t="s">
        <v>44</v>
      </c>
      <c r="E68" s="19" t="s">
        <v>14</v>
      </c>
      <c r="F68" s="19" t="s">
        <v>68</v>
      </c>
      <c r="G68" s="9"/>
      <c r="H68" s="9">
        <f>IF(Table38[[#This Row],[modality]]=C67,1,0)</f>
        <v>0</v>
      </c>
      <c r="I68">
        <f>IF(Table38[[#This Row],[stimulus]]=F69,1,0)</f>
        <v>0</v>
      </c>
      <c r="J68">
        <f t="shared" si="1"/>
        <v>0</v>
      </c>
      <c r="K68" s="9"/>
      <c r="L68" s="9"/>
    </row>
    <row r="69" spans="1:13" x14ac:dyDescent="0.3">
      <c r="A69" s="11">
        <v>3</v>
      </c>
      <c r="B69" s="45">
        <v>2</v>
      </c>
      <c r="C69" s="45" t="s">
        <v>84</v>
      </c>
      <c r="D69" s="45" t="s">
        <v>33</v>
      </c>
      <c r="E69" s="8" t="s">
        <v>46</v>
      </c>
      <c r="F69" s="8" t="s">
        <v>57</v>
      </c>
      <c r="G69" s="9"/>
      <c r="H69" s="9">
        <f>IF(Table38[[#This Row],[modality]]=C68,1,0)</f>
        <v>0</v>
      </c>
      <c r="I69">
        <f>IF(Table38[[#This Row],[stimulus]]=F70,1,0)</f>
        <v>0</v>
      </c>
      <c r="J69">
        <f t="shared" si="1"/>
        <v>1</v>
      </c>
      <c r="K69" s="9"/>
      <c r="L69" s="9"/>
    </row>
    <row r="70" spans="1:13" x14ac:dyDescent="0.3">
      <c r="A70" s="16">
        <v>3</v>
      </c>
      <c r="B70" s="41">
        <v>1</v>
      </c>
      <c r="C70" s="41" t="s">
        <v>85</v>
      </c>
      <c r="D70" s="47" t="s">
        <v>4</v>
      </c>
      <c r="E70" s="19" t="s">
        <v>45</v>
      </c>
      <c r="F70" s="19" t="s">
        <v>69</v>
      </c>
      <c r="G70" s="9"/>
      <c r="H70" s="9">
        <f>IF(Table38[[#This Row],[modality]]=C69,1,0)</f>
        <v>0</v>
      </c>
      <c r="I70">
        <f>IF(Table38[[#This Row],[stimulus]]=F71,1,0)</f>
        <v>1</v>
      </c>
      <c r="J70">
        <f t="shared" si="1"/>
        <v>0</v>
      </c>
      <c r="K70" s="9"/>
      <c r="L70" s="9"/>
    </row>
    <row r="71" spans="1:13" x14ac:dyDescent="0.3">
      <c r="A71" s="11">
        <v>3</v>
      </c>
      <c r="B71" s="42">
        <v>1</v>
      </c>
      <c r="C71" s="42" t="s">
        <v>85</v>
      </c>
      <c r="D71" s="48" t="s">
        <v>44</v>
      </c>
      <c r="E71" s="8" t="s">
        <v>13</v>
      </c>
      <c r="F71" s="8" t="s">
        <v>69</v>
      </c>
      <c r="G71" s="9"/>
      <c r="H71" s="9">
        <f>IF(Table38[[#This Row],[modality]]=C70,1,0)</f>
        <v>1</v>
      </c>
      <c r="I71">
        <f>IF(Table38[[#This Row],[stimulus]]=F72,1,0)</f>
        <v>0</v>
      </c>
      <c r="J71">
        <f t="shared" si="1"/>
        <v>0</v>
      </c>
      <c r="K71" s="9"/>
      <c r="L71" s="9"/>
    </row>
    <row r="72" spans="1:13" x14ac:dyDescent="0.3">
      <c r="A72" s="16">
        <v>3</v>
      </c>
      <c r="B72" s="45">
        <v>2</v>
      </c>
      <c r="C72" s="45" t="s">
        <v>84</v>
      </c>
      <c r="D72" s="45" t="s">
        <v>33</v>
      </c>
      <c r="E72" s="19" t="s">
        <v>46</v>
      </c>
      <c r="F72" s="19" t="s">
        <v>56</v>
      </c>
      <c r="G72" s="9"/>
      <c r="H72" s="9">
        <f>IF(Table38[[#This Row],[modality]]=C71,1,0)</f>
        <v>0</v>
      </c>
      <c r="I72">
        <f>IF(Table38[[#This Row],[stimulus]]=F73,1,0)</f>
        <v>0</v>
      </c>
      <c r="J72">
        <f t="shared" si="1"/>
        <v>1</v>
      </c>
      <c r="K72" s="9"/>
      <c r="L72" s="9"/>
    </row>
    <row r="73" spans="1:13" x14ac:dyDescent="0.3">
      <c r="A73" s="11">
        <v>3</v>
      </c>
      <c r="B73" s="45">
        <v>1</v>
      </c>
      <c r="C73" s="45" t="s">
        <v>85</v>
      </c>
      <c r="D73" s="45" t="s">
        <v>33</v>
      </c>
      <c r="E73" s="8" t="s">
        <v>46</v>
      </c>
      <c r="F73" s="8" t="s">
        <v>55</v>
      </c>
      <c r="G73" s="9"/>
      <c r="H73" s="9">
        <f>IF(Table38[[#This Row],[modality]]=C72,1,0)</f>
        <v>0</v>
      </c>
      <c r="I73">
        <f>IF(Table38[[#This Row],[stimulus]]=F74,1,0)</f>
        <v>0</v>
      </c>
      <c r="J73">
        <f t="shared" si="1"/>
        <v>0</v>
      </c>
      <c r="K73" s="9"/>
      <c r="L73" s="9"/>
    </row>
    <row r="74" spans="1:13" x14ac:dyDescent="0.3">
      <c r="A74" s="11">
        <v>3</v>
      </c>
      <c r="B74" s="42">
        <v>1</v>
      </c>
      <c r="C74" s="42" t="s">
        <v>85</v>
      </c>
      <c r="D74" s="48" t="s">
        <v>4</v>
      </c>
      <c r="E74" s="8" t="s">
        <v>45</v>
      </c>
      <c r="F74" s="8" t="s">
        <v>70</v>
      </c>
      <c r="G74" s="9"/>
      <c r="H74" s="9">
        <f>IF(Table38[[#This Row],[modality]]=C73,1,0)</f>
        <v>1</v>
      </c>
      <c r="I74">
        <f>IF(Table38[[#This Row],[stimulus]]=F75,1,0)</f>
        <v>1</v>
      </c>
      <c r="J74">
        <f t="shared" si="1"/>
        <v>0</v>
      </c>
      <c r="K74" s="9"/>
      <c r="L74" s="9"/>
    </row>
    <row r="75" spans="1:13" x14ac:dyDescent="0.3">
      <c r="A75" s="11">
        <v>3</v>
      </c>
      <c r="B75" s="42">
        <v>1</v>
      </c>
      <c r="C75" s="42" t="s">
        <v>85</v>
      </c>
      <c r="D75" s="48" t="s">
        <v>44</v>
      </c>
      <c r="E75" s="8" t="s">
        <v>13</v>
      </c>
      <c r="F75" s="8" t="s">
        <v>70</v>
      </c>
      <c r="G75" s="9"/>
      <c r="H75" s="9">
        <f>IF(Table38[[#This Row],[modality]]=C74,1,0)</f>
        <v>1</v>
      </c>
      <c r="I75">
        <f>IF(Table38[[#This Row],[stimulus]]=F76,1,0)</f>
        <v>0</v>
      </c>
      <c r="J75">
        <f t="shared" si="1"/>
        <v>0</v>
      </c>
      <c r="K75" s="9"/>
      <c r="L75" s="9"/>
    </row>
    <row r="76" spans="1:13" x14ac:dyDescent="0.3">
      <c r="A76" s="8">
        <v>4</v>
      </c>
      <c r="B76" s="46">
        <v>2</v>
      </c>
      <c r="C76" s="46" t="s">
        <v>84</v>
      </c>
      <c r="D76" s="46" t="s">
        <v>33</v>
      </c>
      <c r="E76" s="8" t="s">
        <v>46</v>
      </c>
      <c r="F76" s="8" t="s">
        <v>63</v>
      </c>
      <c r="G76" s="9"/>
      <c r="H76" s="9">
        <f>IF(Table38[[#This Row],[modality]]=C75,1,0)</f>
        <v>0</v>
      </c>
      <c r="I76">
        <f>IF(Table38[[#This Row],[stimulus]]=F77,1,0)</f>
        <v>0</v>
      </c>
      <c r="J76">
        <f t="shared" si="1"/>
        <v>1</v>
      </c>
      <c r="K76" s="9"/>
      <c r="L76" s="9"/>
    </row>
    <row r="77" spans="1:13" x14ac:dyDescent="0.3">
      <c r="A77" s="19">
        <v>4</v>
      </c>
      <c r="B77" s="41">
        <v>1</v>
      </c>
      <c r="C77" s="41" t="s">
        <v>85</v>
      </c>
      <c r="D77" s="47" t="s">
        <v>4</v>
      </c>
      <c r="E77" s="19" t="s">
        <v>45</v>
      </c>
      <c r="F77" s="19" t="s">
        <v>78</v>
      </c>
      <c r="G77" s="9"/>
      <c r="H77" s="9">
        <f>IF(Table38[[#This Row],[modality]]=C76,1,0)</f>
        <v>0</v>
      </c>
      <c r="I77">
        <f>IF(Table38[[#This Row],[stimulus]]=F78,1,0)</f>
        <v>1</v>
      </c>
      <c r="J77">
        <f t="shared" si="1"/>
        <v>0</v>
      </c>
      <c r="K77" s="9"/>
      <c r="L77" s="9"/>
    </row>
    <row r="78" spans="1:13" x14ac:dyDescent="0.3">
      <c r="A78" s="8">
        <v>4</v>
      </c>
      <c r="B78" s="42">
        <v>1</v>
      </c>
      <c r="C78" s="42" t="s">
        <v>85</v>
      </c>
      <c r="D78" s="48" t="s">
        <v>44</v>
      </c>
      <c r="E78" s="8" t="s">
        <v>13</v>
      </c>
      <c r="F78" s="8" t="s">
        <v>78</v>
      </c>
      <c r="G78" s="9"/>
      <c r="H78" s="9">
        <f>IF(Table38[[#This Row],[modality]]=C77,1,0)</f>
        <v>1</v>
      </c>
      <c r="I78">
        <f>IF(Table38[[#This Row],[stimulus]]=F79,1,0)</f>
        <v>0</v>
      </c>
      <c r="J78">
        <f t="shared" si="1"/>
        <v>0</v>
      </c>
      <c r="K78" s="9"/>
      <c r="L78" s="9"/>
      <c r="M78" t="s">
        <v>23</v>
      </c>
    </row>
    <row r="79" spans="1:13" x14ac:dyDescent="0.3">
      <c r="A79" s="19">
        <v>4</v>
      </c>
      <c r="B79" s="41">
        <v>1</v>
      </c>
      <c r="C79" s="41" t="s">
        <v>85</v>
      </c>
      <c r="D79" s="47" t="s">
        <v>4</v>
      </c>
      <c r="E79" s="19" t="s">
        <v>45</v>
      </c>
      <c r="F79" s="19" t="s">
        <v>77</v>
      </c>
      <c r="G79" s="9"/>
      <c r="H79" s="9">
        <f>IF(Table38[[#This Row],[modality]]=C78,1,0)</f>
        <v>1</v>
      </c>
      <c r="I79">
        <f>IF(Table38[[#This Row],[stimulus]]=F80,1,0)</f>
        <v>1</v>
      </c>
      <c r="J79">
        <f t="shared" si="1"/>
        <v>1</v>
      </c>
      <c r="K79" s="9"/>
      <c r="L79" s="9"/>
    </row>
    <row r="80" spans="1:13" x14ac:dyDescent="0.3">
      <c r="A80" s="8">
        <v>4</v>
      </c>
      <c r="B80" s="42">
        <v>2</v>
      </c>
      <c r="C80" s="42" t="s">
        <v>84</v>
      </c>
      <c r="D80" s="48" t="s">
        <v>44</v>
      </c>
      <c r="E80" s="8" t="s">
        <v>14</v>
      </c>
      <c r="F80" s="8" t="s">
        <v>77</v>
      </c>
      <c r="G80" s="9"/>
      <c r="H80" s="9">
        <f>IF(Table38[[#This Row],[modality]]=C79,1,0)</f>
        <v>0</v>
      </c>
      <c r="I80">
        <f>IF(Table38[[#This Row],[stimulus]]=F81,1,0)</f>
        <v>0</v>
      </c>
      <c r="J80">
        <f t="shared" si="1"/>
        <v>0</v>
      </c>
      <c r="K80" s="9"/>
      <c r="L80" s="9"/>
    </row>
    <row r="81" spans="1:12" x14ac:dyDescent="0.3">
      <c r="A81" s="8">
        <v>4</v>
      </c>
      <c r="B81" s="46">
        <v>2</v>
      </c>
      <c r="C81" s="46" t="s">
        <v>84</v>
      </c>
      <c r="D81" s="46" t="s">
        <v>33</v>
      </c>
      <c r="E81" s="8" t="s">
        <v>46</v>
      </c>
      <c r="F81" s="8" t="s">
        <v>65</v>
      </c>
      <c r="G81" s="9"/>
      <c r="H81" s="9">
        <f>IF(Table38[[#This Row],[modality]]=C80,1,0)</f>
        <v>1</v>
      </c>
      <c r="I81">
        <f>IF(Table38[[#This Row],[stimulus]]=F82,1,0)</f>
        <v>0</v>
      </c>
      <c r="J81">
        <f t="shared" si="1"/>
        <v>1</v>
      </c>
      <c r="K81" s="9"/>
      <c r="L81" s="9"/>
    </row>
    <row r="82" spans="1:12" x14ac:dyDescent="0.3">
      <c r="A82" s="19">
        <v>4</v>
      </c>
      <c r="B82" s="46">
        <v>1</v>
      </c>
      <c r="C82" s="46" t="s">
        <v>85</v>
      </c>
      <c r="D82" s="46" t="s">
        <v>33</v>
      </c>
      <c r="E82" s="19" t="s">
        <v>46</v>
      </c>
      <c r="F82" s="19" t="s">
        <v>64</v>
      </c>
      <c r="G82" s="9"/>
      <c r="H82" s="9">
        <f>IF(Table38[[#This Row],[modality]]=C81,1,0)</f>
        <v>0</v>
      </c>
      <c r="I82">
        <f>IF(Table38[[#This Row],[stimulus]]=F83,1,0)</f>
        <v>0</v>
      </c>
      <c r="J82">
        <f t="shared" si="1"/>
        <v>0</v>
      </c>
      <c r="K82" s="9"/>
      <c r="L82" s="9"/>
    </row>
    <row r="83" spans="1:12" x14ac:dyDescent="0.3">
      <c r="A83" s="19">
        <v>4</v>
      </c>
      <c r="B83" s="41">
        <v>2</v>
      </c>
      <c r="C83" s="41" t="s">
        <v>84</v>
      </c>
      <c r="D83" s="47" t="s">
        <v>4</v>
      </c>
      <c r="E83" s="19" t="s">
        <v>45</v>
      </c>
      <c r="F83" s="19" t="s">
        <v>76</v>
      </c>
      <c r="G83" s="9"/>
      <c r="H83" s="9">
        <f>IF(Table38[[#This Row],[modality]]=C82,1,0)</f>
        <v>0</v>
      </c>
      <c r="I83">
        <f>IF(Table38[[#This Row],[stimulus]]=F84,1,0)</f>
        <v>1</v>
      </c>
      <c r="J83">
        <f t="shared" si="1"/>
        <v>0</v>
      </c>
      <c r="K83" s="9"/>
      <c r="L83" s="9"/>
    </row>
    <row r="84" spans="1:12" x14ac:dyDescent="0.3">
      <c r="A84" s="8">
        <v>4</v>
      </c>
      <c r="B84" s="42">
        <v>2</v>
      </c>
      <c r="C84" s="42" t="s">
        <v>84</v>
      </c>
      <c r="D84" s="48" t="s">
        <v>44</v>
      </c>
      <c r="E84" s="8" t="s">
        <v>13</v>
      </c>
      <c r="F84" s="8" t="s">
        <v>76</v>
      </c>
      <c r="G84" s="9"/>
      <c r="H84" s="9">
        <f>IF(Table38[[#This Row],[modality]]=C83,1,0)</f>
        <v>1</v>
      </c>
      <c r="I84">
        <f>IF(Table38[[#This Row],[stimulus]]=F85,1,0)</f>
        <v>0</v>
      </c>
      <c r="J84">
        <f t="shared" si="1"/>
        <v>0</v>
      </c>
      <c r="K84" s="9"/>
      <c r="L84" s="9"/>
    </row>
    <row r="85" spans="1:12" x14ac:dyDescent="0.3">
      <c r="A85" s="19">
        <v>4</v>
      </c>
      <c r="B85" s="41">
        <v>2</v>
      </c>
      <c r="C85" s="41" t="s">
        <v>84</v>
      </c>
      <c r="D85" s="47" t="s">
        <v>4</v>
      </c>
      <c r="E85" s="19" t="s">
        <v>45</v>
      </c>
      <c r="F85" s="19" t="s">
        <v>75</v>
      </c>
      <c r="G85" s="9"/>
      <c r="H85" s="9">
        <f>IF(Table38[[#This Row],[modality]]=C84,1,0)</f>
        <v>1</v>
      </c>
      <c r="I85">
        <f>IF(Table38[[#This Row],[stimulus]]=F86,1,0)</f>
        <v>1</v>
      </c>
      <c r="J85">
        <f t="shared" si="1"/>
        <v>1</v>
      </c>
      <c r="K85" s="9"/>
      <c r="L85" s="9"/>
    </row>
    <row r="86" spans="1:12" x14ac:dyDescent="0.3">
      <c r="A86" s="8">
        <v>4</v>
      </c>
      <c r="B86" s="42">
        <v>1</v>
      </c>
      <c r="C86" s="42" t="s">
        <v>85</v>
      </c>
      <c r="D86" s="48" t="s">
        <v>44</v>
      </c>
      <c r="E86" s="8" t="s">
        <v>14</v>
      </c>
      <c r="F86" s="8" t="s">
        <v>75</v>
      </c>
      <c r="G86" s="9"/>
      <c r="H86" s="9">
        <f>IF(Table38[[#This Row],[modality]]=C85,1,0)</f>
        <v>0</v>
      </c>
      <c r="I86">
        <f>IF(Table38[[#This Row],[stimulus]]=F87,1,0)</f>
        <v>0</v>
      </c>
      <c r="J86">
        <f t="shared" si="1"/>
        <v>0</v>
      </c>
      <c r="K86" s="9"/>
      <c r="L86" s="9"/>
    </row>
    <row r="87" spans="1:12" x14ac:dyDescent="0.3">
      <c r="A87" s="19">
        <v>4</v>
      </c>
      <c r="B87" s="46">
        <v>2</v>
      </c>
      <c r="C87" s="46" t="s">
        <v>84</v>
      </c>
      <c r="D87" s="46" t="s">
        <v>33</v>
      </c>
      <c r="E87" s="19" t="s">
        <v>46</v>
      </c>
      <c r="F87" s="19" t="s">
        <v>66</v>
      </c>
      <c r="G87" s="9"/>
      <c r="H87" s="9">
        <f>IF(Table38[[#This Row],[modality]]=C86,1,0)</f>
        <v>0</v>
      </c>
      <c r="I87">
        <f>IF(Table38[[#This Row],[stimulus]]=F88,1,0)</f>
        <v>0</v>
      </c>
      <c r="J87">
        <f t="shared" si="1"/>
        <v>1</v>
      </c>
      <c r="K87" s="9"/>
      <c r="L87" s="9"/>
    </row>
    <row r="88" spans="1:12" x14ac:dyDescent="0.3">
      <c r="A88" s="8">
        <v>4</v>
      </c>
      <c r="B88" s="46">
        <v>1</v>
      </c>
      <c r="C88" s="46" t="s">
        <v>85</v>
      </c>
      <c r="D88" s="46" t="s">
        <v>33</v>
      </c>
      <c r="E88" s="8" t="s">
        <v>46</v>
      </c>
      <c r="F88" s="8" t="s">
        <v>67</v>
      </c>
      <c r="G88" s="9"/>
      <c r="H88" s="9">
        <f>IF(Table38[[#This Row],[modality]]=C87,1,0)</f>
        <v>0</v>
      </c>
      <c r="I88">
        <f>IF(Table38[[#This Row],[stimulus]]=F89,1,0)</f>
        <v>0</v>
      </c>
      <c r="J88">
        <f t="shared" si="1"/>
        <v>0</v>
      </c>
      <c r="K88" s="9"/>
      <c r="L88" s="9"/>
    </row>
    <row r="89" spans="1:12" x14ac:dyDescent="0.3">
      <c r="A89" s="8">
        <v>4</v>
      </c>
      <c r="B89" s="42">
        <v>1</v>
      </c>
      <c r="C89" s="42" t="s">
        <v>85</v>
      </c>
      <c r="D89" s="48" t="s">
        <v>4</v>
      </c>
      <c r="E89" s="8" t="s">
        <v>45</v>
      </c>
      <c r="F89" s="8" t="s">
        <v>74</v>
      </c>
      <c r="G89" s="9"/>
      <c r="H89" s="9">
        <f>IF(Table38[[#This Row],[modality]]=C88,1,0)</f>
        <v>1</v>
      </c>
      <c r="I89">
        <f>IF(Table38[[#This Row],[stimulus]]=F90,1,0)</f>
        <v>1</v>
      </c>
      <c r="J89">
        <f t="shared" si="1"/>
        <v>0</v>
      </c>
      <c r="K89" s="9"/>
      <c r="L89" s="9"/>
    </row>
    <row r="90" spans="1:12" x14ac:dyDescent="0.3">
      <c r="A90" s="19">
        <v>4</v>
      </c>
      <c r="B90" s="41">
        <v>2</v>
      </c>
      <c r="C90" s="41" t="s">
        <v>84</v>
      </c>
      <c r="D90" s="47" t="s">
        <v>44</v>
      </c>
      <c r="E90" s="19" t="s">
        <v>14</v>
      </c>
      <c r="F90" s="19" t="s">
        <v>74</v>
      </c>
      <c r="G90" s="9"/>
      <c r="H90" s="9">
        <f>IF(Table38[[#This Row],[modality]]=C89,1,0)</f>
        <v>0</v>
      </c>
      <c r="I90">
        <f>IF(Table38[[#This Row],[stimulus]]=F91,1,0)</f>
        <v>0</v>
      </c>
      <c r="J90">
        <f t="shared" si="1"/>
        <v>0</v>
      </c>
      <c r="K90" s="9"/>
      <c r="L90" s="9"/>
    </row>
    <row r="91" spans="1:12" x14ac:dyDescent="0.3">
      <c r="A91" s="8">
        <v>4</v>
      </c>
      <c r="B91" s="42">
        <v>2</v>
      </c>
      <c r="C91" s="42" t="s">
        <v>84</v>
      </c>
      <c r="D91" s="48" t="s">
        <v>4</v>
      </c>
      <c r="E91" s="8" t="s">
        <v>45</v>
      </c>
      <c r="F91" s="8" t="s">
        <v>73</v>
      </c>
      <c r="G91" s="9"/>
      <c r="H91" s="9">
        <f>IF(Table38[[#This Row],[modality]]=C90,1,0)</f>
        <v>1</v>
      </c>
      <c r="I91">
        <f>IF(Table38[[#This Row],[stimulus]]=F92,1,0)</f>
        <v>1</v>
      </c>
      <c r="J91">
        <f t="shared" si="1"/>
        <v>1</v>
      </c>
      <c r="K91" s="9"/>
      <c r="L91" s="9"/>
    </row>
    <row r="92" spans="1:12" x14ac:dyDescent="0.3">
      <c r="A92" s="19">
        <v>4</v>
      </c>
      <c r="B92" s="41">
        <v>2</v>
      </c>
      <c r="C92" s="41" t="s">
        <v>84</v>
      </c>
      <c r="D92" s="47" t="s">
        <v>44</v>
      </c>
      <c r="E92" s="19" t="s">
        <v>13</v>
      </c>
      <c r="F92" s="19" t="s">
        <v>73</v>
      </c>
      <c r="G92" s="9"/>
      <c r="H92" s="9">
        <f>IF(Table38[[#This Row],[modality]]=C91,1,0)</f>
        <v>1</v>
      </c>
      <c r="I92">
        <f>IF(Table38[[#This Row],[stimulus]]=F93,1,0)</f>
        <v>0</v>
      </c>
      <c r="J92">
        <f t="shared" si="1"/>
        <v>0</v>
      </c>
      <c r="K92" s="9"/>
      <c r="L92" s="9"/>
    </row>
    <row r="93" spans="1:12" x14ac:dyDescent="0.3">
      <c r="A93" s="8">
        <v>4</v>
      </c>
      <c r="B93" s="46">
        <v>2</v>
      </c>
      <c r="C93" s="46" t="s">
        <v>84</v>
      </c>
      <c r="D93" s="46" t="s">
        <v>33</v>
      </c>
      <c r="E93" s="8" t="s">
        <v>46</v>
      </c>
      <c r="F93" s="8" t="s">
        <v>69</v>
      </c>
      <c r="G93" s="9"/>
      <c r="H93" s="9">
        <f>IF(Table38[[#This Row],[modality]]=C92,1,0)</f>
        <v>1</v>
      </c>
      <c r="I93">
        <f>IF(Table38[[#This Row],[stimulus]]=F94,1,0)</f>
        <v>0</v>
      </c>
      <c r="J93">
        <f t="shared" si="1"/>
        <v>1</v>
      </c>
      <c r="K93" s="9"/>
      <c r="L93" s="9"/>
    </row>
    <row r="94" spans="1:12" x14ac:dyDescent="0.3">
      <c r="A94" s="19">
        <v>4</v>
      </c>
      <c r="B94" s="41">
        <v>2</v>
      </c>
      <c r="C94" s="41" t="s">
        <v>84</v>
      </c>
      <c r="D94" s="47" t="s">
        <v>4</v>
      </c>
      <c r="E94" s="19" t="s">
        <v>45</v>
      </c>
      <c r="F94" s="19" t="s">
        <v>72</v>
      </c>
      <c r="G94" s="9"/>
      <c r="H94" s="9">
        <f>IF(Table38[[#This Row],[modality]]=C93,1,0)</f>
        <v>1</v>
      </c>
      <c r="I94">
        <f>IF(Table38[[#This Row],[stimulus]]=F95,1,0)</f>
        <v>1</v>
      </c>
      <c r="J94">
        <f t="shared" si="1"/>
        <v>0</v>
      </c>
      <c r="K94" s="9"/>
      <c r="L94" s="9"/>
    </row>
    <row r="95" spans="1:12" x14ac:dyDescent="0.3">
      <c r="A95" s="8">
        <v>4</v>
      </c>
      <c r="B95" s="42">
        <v>1</v>
      </c>
      <c r="C95" s="42" t="s">
        <v>85</v>
      </c>
      <c r="D95" s="48" t="s">
        <v>44</v>
      </c>
      <c r="E95" s="8" t="s">
        <v>14</v>
      </c>
      <c r="F95" s="8" t="s">
        <v>72</v>
      </c>
      <c r="G95" s="9"/>
      <c r="H95" s="9">
        <f>IF(Table38[[#This Row],[modality]]=C94,1,0)</f>
        <v>0</v>
      </c>
      <c r="I95">
        <f>IF(Table38[[#This Row],[stimulus]]=F96,1,0)</f>
        <v>0</v>
      </c>
      <c r="J95">
        <f t="shared" si="1"/>
        <v>0</v>
      </c>
      <c r="K95" s="9"/>
      <c r="L95" s="9"/>
    </row>
    <row r="96" spans="1:12" x14ac:dyDescent="0.3">
      <c r="A96" s="8">
        <v>4</v>
      </c>
      <c r="B96" s="42">
        <v>1</v>
      </c>
      <c r="C96" s="42" t="s">
        <v>85</v>
      </c>
      <c r="D96" s="48" t="s">
        <v>4</v>
      </c>
      <c r="E96" s="8" t="s">
        <v>45</v>
      </c>
      <c r="F96" s="8" t="s">
        <v>71</v>
      </c>
      <c r="G96" s="9"/>
      <c r="H96" s="9">
        <f>IF(Table38[[#This Row],[modality]]=C95,1,0)</f>
        <v>1</v>
      </c>
      <c r="I96">
        <f>IF(Table38[[#This Row],[stimulus]]=F97,1,0)</f>
        <v>1</v>
      </c>
      <c r="J96">
        <f t="shared" si="1"/>
        <v>1</v>
      </c>
      <c r="K96" s="9"/>
      <c r="L96" s="9"/>
    </row>
    <row r="97" spans="1:12" x14ac:dyDescent="0.3">
      <c r="A97" s="19">
        <v>4</v>
      </c>
      <c r="B97" s="41">
        <v>1</v>
      </c>
      <c r="C97" s="41" t="s">
        <v>85</v>
      </c>
      <c r="D97" s="47" t="s">
        <v>44</v>
      </c>
      <c r="E97" s="19" t="s">
        <v>13</v>
      </c>
      <c r="F97" s="19" t="s">
        <v>71</v>
      </c>
      <c r="G97" s="9"/>
      <c r="H97" s="9">
        <f>IF(Table38[[#This Row],[modality]]=C96,1,0)</f>
        <v>1</v>
      </c>
      <c r="I97">
        <f>IF(Table38[[#This Row],[stimulus]]=F98,1,0)</f>
        <v>0</v>
      </c>
      <c r="J97">
        <f t="shared" si="1"/>
        <v>0</v>
      </c>
      <c r="K97" s="9"/>
      <c r="L97" s="9"/>
    </row>
    <row r="98" spans="1:12" x14ac:dyDescent="0.3">
      <c r="A98" s="19">
        <v>4</v>
      </c>
      <c r="B98" s="46">
        <v>1</v>
      </c>
      <c r="C98" s="46" t="s">
        <v>84</v>
      </c>
      <c r="D98" s="46" t="s">
        <v>33</v>
      </c>
      <c r="E98" s="19" t="s">
        <v>46</v>
      </c>
      <c r="F98" s="19" t="s">
        <v>70</v>
      </c>
      <c r="G98" s="9"/>
      <c r="H98" s="9">
        <f>IF(Table38[[#This Row],[modality]]=C97,1,0)</f>
        <v>0</v>
      </c>
      <c r="I98">
        <f>IF(Table38[[#This Row],[stimulus]]=F99,1,0)</f>
        <v>0</v>
      </c>
      <c r="J98">
        <f t="shared" si="1"/>
        <v>1</v>
      </c>
      <c r="K98" s="9"/>
      <c r="L98" s="9"/>
    </row>
    <row r="99" spans="1:12" x14ac:dyDescent="0.3">
      <c r="A99" s="19">
        <v>4</v>
      </c>
      <c r="B99" s="46">
        <v>1</v>
      </c>
      <c r="C99" s="46" t="s">
        <v>85</v>
      </c>
      <c r="D99" s="46" t="s">
        <v>33</v>
      </c>
      <c r="E99" s="19" t="s">
        <v>46</v>
      </c>
      <c r="F99" s="19" t="s">
        <v>68</v>
      </c>
      <c r="G99" s="9"/>
      <c r="H99" s="9">
        <f>IF(Table38[[#This Row],[modality]]=C98,1,0)</f>
        <v>0</v>
      </c>
      <c r="I99">
        <f>IF(Table38[[#This Row],[stimulus]]=F100,1,0)</f>
        <v>0</v>
      </c>
      <c r="J99">
        <f t="shared" si="1"/>
        <v>0</v>
      </c>
      <c r="K99" s="9"/>
      <c r="L99" s="9"/>
    </row>
    <row r="100" spans="1:12" x14ac:dyDescent="0.3">
      <c r="A100" t="s">
        <v>29</v>
      </c>
      <c r="G100" s="9"/>
      <c r="H100" s="9">
        <f>IF(Table38[[#This Row],[modality]]=C99,1,0)</f>
        <v>0</v>
      </c>
      <c r="I100">
        <f>IF(Table38[[#This Row],[stimulus]]=F101,1,0)</f>
        <v>0</v>
      </c>
      <c r="J100">
        <f t="shared" si="1"/>
        <v>0</v>
      </c>
      <c r="K100" s="9"/>
      <c r="L100" s="9"/>
    </row>
    <row r="101" spans="1:12" x14ac:dyDescent="0.3">
      <c r="A101" s="16">
        <v>1</v>
      </c>
      <c r="B101" s="47">
        <v>2</v>
      </c>
      <c r="C101" s="47" t="s">
        <v>84</v>
      </c>
      <c r="D101" s="47" t="s">
        <v>4</v>
      </c>
      <c r="E101" s="19" t="s">
        <v>45</v>
      </c>
      <c r="F101" s="19" t="s">
        <v>50</v>
      </c>
      <c r="G101" s="9"/>
      <c r="H101" s="9">
        <f>IF(Table38[[#This Row],[modality]]=C100,1,0)</f>
        <v>0</v>
      </c>
      <c r="I101">
        <f>IF(Table38[[#This Row],[stimulus]]=F102,1,0)</f>
        <v>1</v>
      </c>
      <c r="J101">
        <f t="shared" si="1"/>
        <v>0</v>
      </c>
      <c r="K101" s="9"/>
      <c r="L101" s="9"/>
    </row>
    <row r="102" spans="1:12" x14ac:dyDescent="0.3">
      <c r="A102" s="11">
        <v>1</v>
      </c>
      <c r="B102" s="48">
        <v>2</v>
      </c>
      <c r="C102" s="47" t="s">
        <v>84</v>
      </c>
      <c r="D102" s="48" t="s">
        <v>44</v>
      </c>
      <c r="E102" s="8" t="s">
        <v>13</v>
      </c>
      <c r="F102" s="8" t="s">
        <v>50</v>
      </c>
      <c r="G102" s="9"/>
      <c r="H102" s="9">
        <f>IF(Table38[[#This Row],[modality]]=C101,1,0)</f>
        <v>1</v>
      </c>
      <c r="I102">
        <f>IF(Table38[[#This Row],[stimulus]]=F103,1,0)</f>
        <v>0</v>
      </c>
      <c r="J102">
        <f t="shared" si="1"/>
        <v>0</v>
      </c>
      <c r="K102" s="9"/>
      <c r="L102" s="9"/>
    </row>
    <row r="103" spans="1:12" x14ac:dyDescent="0.3">
      <c r="A103" s="16">
        <v>1</v>
      </c>
      <c r="B103" s="43">
        <v>1</v>
      </c>
      <c r="C103" s="49" t="s">
        <v>85</v>
      </c>
      <c r="D103" s="51" t="s">
        <v>33</v>
      </c>
      <c r="E103" s="19" t="s">
        <v>46</v>
      </c>
      <c r="F103" s="19" t="s">
        <v>76</v>
      </c>
      <c r="G103" s="9"/>
      <c r="H103" s="9">
        <f>IF(Table38[[#This Row],[modality]]=C102,1,0)</f>
        <v>0</v>
      </c>
      <c r="I103">
        <f>IF(Table38[[#This Row],[stimulus]]=F104,1,0)</f>
        <v>0</v>
      </c>
      <c r="J103">
        <f t="shared" si="1"/>
        <v>1</v>
      </c>
      <c r="K103" s="9"/>
      <c r="L103" s="9"/>
    </row>
    <row r="104" spans="1:12" x14ac:dyDescent="0.3">
      <c r="A104" s="16">
        <v>1</v>
      </c>
      <c r="B104" s="47">
        <v>2</v>
      </c>
      <c r="C104" s="47" t="s">
        <v>84</v>
      </c>
      <c r="D104" s="47" t="s">
        <v>4</v>
      </c>
      <c r="E104" s="19" t="s">
        <v>45</v>
      </c>
      <c r="F104" s="19" t="s">
        <v>49</v>
      </c>
      <c r="G104" s="9"/>
      <c r="H104" s="9">
        <f>IF(Table38[[#This Row],[modality]]=C103,1,0)</f>
        <v>0</v>
      </c>
      <c r="I104">
        <f>IF(Table38[[#This Row],[stimulus]]=F105,1,0)</f>
        <v>1</v>
      </c>
      <c r="J104">
        <f t="shared" si="1"/>
        <v>0</v>
      </c>
      <c r="K104" s="9"/>
      <c r="L104" s="9"/>
    </row>
    <row r="105" spans="1:12" x14ac:dyDescent="0.3">
      <c r="A105" s="11">
        <v>1</v>
      </c>
      <c r="B105" s="48">
        <v>2</v>
      </c>
      <c r="C105" s="47" t="s">
        <v>84</v>
      </c>
      <c r="D105" s="48" t="s">
        <v>44</v>
      </c>
      <c r="E105" s="8" t="s">
        <v>13</v>
      </c>
      <c r="F105" s="8" t="s">
        <v>49</v>
      </c>
      <c r="G105" s="9"/>
      <c r="H105" s="9">
        <f>IF(Table38[[#This Row],[modality]]=C104,1,0)</f>
        <v>1</v>
      </c>
      <c r="I105">
        <f>IF(Table38[[#This Row],[stimulus]]=F106,1,0)</f>
        <v>0</v>
      </c>
      <c r="J105">
        <f t="shared" si="1"/>
        <v>0</v>
      </c>
      <c r="K105" s="9"/>
      <c r="L105" s="9"/>
    </row>
    <row r="106" spans="1:12" x14ac:dyDescent="0.3">
      <c r="A106" s="74">
        <v>1</v>
      </c>
      <c r="B106" s="73">
        <v>1</v>
      </c>
      <c r="C106" s="73" t="s">
        <v>85</v>
      </c>
      <c r="D106" s="73" t="s">
        <v>33</v>
      </c>
      <c r="E106" s="74" t="s">
        <v>46</v>
      </c>
      <c r="F106" s="74"/>
      <c r="G106" s="72" t="s">
        <v>131</v>
      </c>
      <c r="H106" s="9">
        <f>IF(Table38[[#This Row],[modality]]=C105,1,0)</f>
        <v>0</v>
      </c>
      <c r="I106">
        <f>IF(Table38[[#This Row],[stimulus]]=F107,1,0)</f>
        <v>0</v>
      </c>
      <c r="J106">
        <f t="shared" si="1"/>
        <v>1</v>
      </c>
      <c r="K106" s="72"/>
      <c r="L106" s="72"/>
    </row>
    <row r="107" spans="1:12" x14ac:dyDescent="0.3">
      <c r="A107" s="11">
        <v>1</v>
      </c>
      <c r="B107" s="43">
        <v>2</v>
      </c>
      <c r="C107" s="43" t="s">
        <v>84</v>
      </c>
      <c r="D107" s="51" t="s">
        <v>33</v>
      </c>
      <c r="E107" s="8" t="s">
        <v>46</v>
      </c>
      <c r="F107" s="8" t="s">
        <v>71</v>
      </c>
      <c r="G107" s="9"/>
      <c r="H107" s="9">
        <f>IF(Table38[[#This Row],[modality]]=C106,1,0)</f>
        <v>0</v>
      </c>
      <c r="I107">
        <f>IF(Table38[[#This Row],[stimulus]]=F108,1,0)</f>
        <v>0</v>
      </c>
      <c r="J107">
        <f t="shared" si="1"/>
        <v>0</v>
      </c>
      <c r="K107" s="9"/>
      <c r="L107" s="9"/>
    </row>
    <row r="108" spans="1:12" x14ac:dyDescent="0.3">
      <c r="A108" s="16">
        <v>1</v>
      </c>
      <c r="B108" s="47">
        <v>2</v>
      </c>
      <c r="C108" s="47" t="s">
        <v>84</v>
      </c>
      <c r="D108" s="47" t="s">
        <v>4</v>
      </c>
      <c r="E108" s="19" t="s">
        <v>45</v>
      </c>
      <c r="F108" s="19" t="s">
        <v>52</v>
      </c>
      <c r="G108" s="9"/>
      <c r="H108" s="9">
        <f>IF(Table38[[#This Row],[modality]]=C107,1,0)</f>
        <v>1</v>
      </c>
      <c r="I108">
        <f>IF(Table38[[#This Row],[stimulus]]=F109,1,0)</f>
        <v>1</v>
      </c>
      <c r="J108">
        <f t="shared" si="1"/>
        <v>0</v>
      </c>
      <c r="K108" s="9"/>
      <c r="L108" s="9"/>
    </row>
    <row r="109" spans="1:12" x14ac:dyDescent="0.3">
      <c r="A109" s="11">
        <v>1</v>
      </c>
      <c r="B109" s="48">
        <v>1</v>
      </c>
      <c r="C109" s="48" t="s">
        <v>85</v>
      </c>
      <c r="D109" s="48" t="s">
        <v>44</v>
      </c>
      <c r="E109" s="8" t="s">
        <v>14</v>
      </c>
      <c r="F109" s="8" t="s">
        <v>52</v>
      </c>
      <c r="G109" s="9"/>
      <c r="H109" s="9">
        <f>IF(Table38[[#This Row],[modality]]=C108,1,0)</f>
        <v>0</v>
      </c>
      <c r="I109">
        <f>IF(Table38[[#This Row],[stimulus]]=F110,1,0)</f>
        <v>0</v>
      </c>
      <c r="J109">
        <f t="shared" si="1"/>
        <v>0</v>
      </c>
      <c r="K109" s="9"/>
      <c r="L109" s="9"/>
    </row>
    <row r="110" spans="1:12" x14ac:dyDescent="0.3">
      <c r="A110" s="16">
        <v>1</v>
      </c>
      <c r="B110" s="43">
        <v>1</v>
      </c>
      <c r="C110" s="49" t="s">
        <v>85</v>
      </c>
      <c r="D110" s="51" t="s">
        <v>33</v>
      </c>
      <c r="E110" s="19" t="s">
        <v>46</v>
      </c>
      <c r="F110" s="19" t="s">
        <v>75</v>
      </c>
      <c r="G110" s="9"/>
      <c r="H110" s="9">
        <f>IF(Table38[[#This Row],[modality]]=C109,1,0)</f>
        <v>1</v>
      </c>
      <c r="I110">
        <f>IF(Table38[[#This Row],[stimulus]]=F111,1,0)</f>
        <v>0</v>
      </c>
      <c r="J110">
        <f t="shared" si="1"/>
        <v>1</v>
      </c>
      <c r="K110" s="9"/>
      <c r="L110" s="9"/>
    </row>
    <row r="111" spans="1:12" x14ac:dyDescent="0.3">
      <c r="A111" s="11">
        <v>1</v>
      </c>
      <c r="B111" s="48">
        <v>1</v>
      </c>
      <c r="C111" s="48" t="s">
        <v>85</v>
      </c>
      <c r="D111" s="48" t="s">
        <v>4</v>
      </c>
      <c r="E111" s="8" t="s">
        <v>45</v>
      </c>
      <c r="F111" s="8" t="s">
        <v>48</v>
      </c>
      <c r="G111" s="9"/>
      <c r="H111" s="9">
        <f>IF(Table38[[#This Row],[modality]]=C110,1,0)</f>
        <v>1</v>
      </c>
      <c r="I111">
        <f>IF(Table38[[#This Row],[stimulus]]=F112,1,0)</f>
        <v>1</v>
      </c>
      <c r="J111">
        <f t="shared" si="1"/>
        <v>0</v>
      </c>
      <c r="K111" s="9"/>
      <c r="L111" s="9"/>
    </row>
    <row r="112" spans="1:12" x14ac:dyDescent="0.3">
      <c r="A112" s="16">
        <v>1</v>
      </c>
      <c r="B112" s="47">
        <v>2</v>
      </c>
      <c r="C112" s="47" t="s">
        <v>84</v>
      </c>
      <c r="D112" s="47" t="s">
        <v>44</v>
      </c>
      <c r="E112" s="19" t="s">
        <v>14</v>
      </c>
      <c r="F112" s="19" t="s">
        <v>48</v>
      </c>
      <c r="G112" s="9"/>
      <c r="H112" s="9">
        <f>IF(Table38[[#This Row],[modality]]=C111,1,0)</f>
        <v>0</v>
      </c>
      <c r="I112">
        <f>IF(Table38[[#This Row],[stimulus]]=F113,1,0)</f>
        <v>0</v>
      </c>
      <c r="J112">
        <f t="shared" si="1"/>
        <v>0</v>
      </c>
      <c r="K112" s="9"/>
      <c r="L112" s="9"/>
    </row>
    <row r="113" spans="1:12" x14ac:dyDescent="0.3">
      <c r="A113" s="11">
        <v>1</v>
      </c>
      <c r="B113" s="48">
        <v>2</v>
      </c>
      <c r="C113" s="48" t="s">
        <v>84</v>
      </c>
      <c r="D113" s="48" t="s">
        <v>4</v>
      </c>
      <c r="E113" s="8" t="s">
        <v>45</v>
      </c>
      <c r="F113" s="8" t="s">
        <v>47</v>
      </c>
      <c r="G113" s="9"/>
      <c r="H113" s="9">
        <f>IF(Table38[[#This Row],[modality]]=C112,1,0)</f>
        <v>1</v>
      </c>
      <c r="I113">
        <f>IF(Table38[[#This Row],[stimulus]]=F114,1,0)</f>
        <v>1</v>
      </c>
      <c r="J113">
        <f t="shared" si="1"/>
        <v>1</v>
      </c>
      <c r="K113" s="9"/>
      <c r="L113" s="9"/>
    </row>
    <row r="114" spans="1:12" x14ac:dyDescent="0.3">
      <c r="A114" s="16">
        <v>1</v>
      </c>
      <c r="B114" s="47">
        <v>1</v>
      </c>
      <c r="C114" s="47" t="s">
        <v>85</v>
      </c>
      <c r="D114" s="47" t="s">
        <v>44</v>
      </c>
      <c r="E114" s="19" t="s">
        <v>14</v>
      </c>
      <c r="F114" s="19" t="s">
        <v>47</v>
      </c>
      <c r="G114" s="9"/>
      <c r="H114" s="9">
        <f>IF(Table38[[#This Row],[modality]]=C113,1,0)</f>
        <v>0</v>
      </c>
      <c r="I114">
        <f>IF(Table38[[#This Row],[stimulus]]=F115,1,0)</f>
        <v>0</v>
      </c>
      <c r="J114">
        <f t="shared" si="1"/>
        <v>0</v>
      </c>
      <c r="K114" s="9"/>
      <c r="L114" s="9"/>
    </row>
    <row r="115" spans="1:12" x14ac:dyDescent="0.3">
      <c r="A115" s="11">
        <v>1</v>
      </c>
      <c r="B115" s="43">
        <v>2</v>
      </c>
      <c r="C115" s="43" t="s">
        <v>84</v>
      </c>
      <c r="D115" s="51" t="s">
        <v>33</v>
      </c>
      <c r="E115" s="8" t="s">
        <v>46</v>
      </c>
      <c r="F115" s="8" t="s">
        <v>77</v>
      </c>
      <c r="G115" s="9"/>
      <c r="H115" s="9">
        <f>IF(Table38[[#This Row],[modality]]=C114,1,0)</f>
        <v>0</v>
      </c>
      <c r="I115">
        <f>IF(Table38[[#This Row],[stimulus]]=F116,1,0)</f>
        <v>0</v>
      </c>
      <c r="J115">
        <f t="shared" si="1"/>
        <v>1</v>
      </c>
      <c r="K115" s="9"/>
      <c r="L115" s="9"/>
    </row>
    <row r="116" spans="1:12" x14ac:dyDescent="0.3">
      <c r="A116" s="16">
        <v>1</v>
      </c>
      <c r="B116" s="47">
        <v>1</v>
      </c>
      <c r="C116" s="47" t="s">
        <v>85</v>
      </c>
      <c r="D116" s="47" t="s">
        <v>4</v>
      </c>
      <c r="E116" s="19" t="s">
        <v>45</v>
      </c>
      <c r="F116" s="19" t="s">
        <v>54</v>
      </c>
      <c r="G116" s="9"/>
      <c r="H116" s="9">
        <f>IF(Table38[[#This Row],[modality]]=C115,1,0)</f>
        <v>0</v>
      </c>
      <c r="I116">
        <f>IF(Table38[[#This Row],[stimulus]]=F117,1,0)</f>
        <v>1</v>
      </c>
      <c r="J116">
        <f t="shared" si="1"/>
        <v>0</v>
      </c>
      <c r="K116" s="9"/>
      <c r="L116" s="9"/>
    </row>
    <row r="117" spans="1:12" x14ac:dyDescent="0.3">
      <c r="A117" s="11">
        <v>1</v>
      </c>
      <c r="B117" s="48">
        <v>1</v>
      </c>
      <c r="C117" s="47" t="s">
        <v>85</v>
      </c>
      <c r="D117" s="48" t="s">
        <v>44</v>
      </c>
      <c r="E117" s="8" t="s">
        <v>13</v>
      </c>
      <c r="F117" s="8" t="s">
        <v>54</v>
      </c>
      <c r="G117" s="9"/>
      <c r="H117" s="9">
        <f>IF(Table38[[#This Row],[modality]]=C116,1,0)</f>
        <v>1</v>
      </c>
      <c r="I117">
        <f>IF(Table38[[#This Row],[stimulus]]=F118,1,0)</f>
        <v>0</v>
      </c>
      <c r="J117">
        <f t="shared" si="1"/>
        <v>0</v>
      </c>
      <c r="K117" s="9"/>
      <c r="L117" s="9"/>
    </row>
    <row r="118" spans="1:12" x14ac:dyDescent="0.3">
      <c r="A118" s="16">
        <v>1</v>
      </c>
      <c r="B118" s="43">
        <v>2</v>
      </c>
      <c r="C118" s="49" t="s">
        <v>84</v>
      </c>
      <c r="D118" s="51" t="s">
        <v>33</v>
      </c>
      <c r="E118" s="19" t="s">
        <v>46</v>
      </c>
      <c r="F118" s="19" t="s">
        <v>72</v>
      </c>
      <c r="G118" s="9"/>
      <c r="H118" s="9">
        <f>IF(Table38[[#This Row],[modality]]=C117,1,0)</f>
        <v>0</v>
      </c>
      <c r="I118">
        <f>IF(Table38[[#This Row],[stimulus]]=F119,1,0)</f>
        <v>0</v>
      </c>
      <c r="J118">
        <f t="shared" si="1"/>
        <v>1</v>
      </c>
      <c r="K118" s="9"/>
      <c r="L118" s="9"/>
    </row>
    <row r="119" spans="1:12" x14ac:dyDescent="0.3">
      <c r="A119" s="11">
        <v>1</v>
      </c>
      <c r="B119" s="48">
        <v>1</v>
      </c>
      <c r="C119" s="48" t="s">
        <v>85</v>
      </c>
      <c r="D119" s="48" t="s">
        <v>4</v>
      </c>
      <c r="E119" s="8" t="s">
        <v>45</v>
      </c>
      <c r="F119" s="8" t="s">
        <v>51</v>
      </c>
      <c r="G119" s="9"/>
      <c r="H119" s="9">
        <f>IF(Table38[[#This Row],[modality]]=C118,1,0)</f>
        <v>0</v>
      </c>
      <c r="I119">
        <f>IF(Table38[[#This Row],[stimulus]]=F120,1,0)</f>
        <v>1</v>
      </c>
      <c r="J119">
        <f t="shared" si="1"/>
        <v>0</v>
      </c>
      <c r="K119" s="9"/>
      <c r="L119" s="9"/>
    </row>
    <row r="120" spans="1:12" x14ac:dyDescent="0.3">
      <c r="A120" s="16">
        <v>1</v>
      </c>
      <c r="B120" s="47">
        <v>1</v>
      </c>
      <c r="C120" s="47" t="s">
        <v>85</v>
      </c>
      <c r="D120" s="47" t="s">
        <v>44</v>
      </c>
      <c r="E120" s="19" t="s">
        <v>13</v>
      </c>
      <c r="F120" s="19" t="s">
        <v>51</v>
      </c>
      <c r="G120" s="9"/>
      <c r="H120" s="9">
        <f>IF(Table38[[#This Row],[modality]]=C119,1,0)</f>
        <v>1</v>
      </c>
      <c r="I120">
        <f>IF(Table38[[#This Row],[stimulus]]=F121,1,0)</f>
        <v>0</v>
      </c>
      <c r="J120">
        <f t="shared" si="1"/>
        <v>0</v>
      </c>
      <c r="K120" s="9"/>
      <c r="L120" s="9"/>
    </row>
    <row r="121" spans="1:12" x14ac:dyDescent="0.3">
      <c r="A121" s="11">
        <v>1</v>
      </c>
      <c r="B121" s="43">
        <v>2</v>
      </c>
      <c r="C121" s="43" t="s">
        <v>84</v>
      </c>
      <c r="D121" s="51" t="s">
        <v>33</v>
      </c>
      <c r="E121" s="8" t="s">
        <v>46</v>
      </c>
      <c r="F121" s="8" t="s">
        <v>78</v>
      </c>
      <c r="G121" s="9"/>
      <c r="H121" s="9">
        <f>IF(Table38[[#This Row],[modality]]=C120,1,0)</f>
        <v>0</v>
      </c>
      <c r="I121">
        <f>IF(Table38[[#This Row],[stimulus]]=F122,1,0)</f>
        <v>0</v>
      </c>
      <c r="J121">
        <f t="shared" si="1"/>
        <v>1</v>
      </c>
      <c r="K121" s="9"/>
      <c r="L121" s="9"/>
    </row>
    <row r="122" spans="1:12" x14ac:dyDescent="0.3">
      <c r="A122" s="16">
        <v>1</v>
      </c>
      <c r="B122" s="43">
        <v>1</v>
      </c>
      <c r="C122" s="49" t="s">
        <v>85</v>
      </c>
      <c r="D122" s="51" t="s">
        <v>33</v>
      </c>
      <c r="E122" s="19" t="s">
        <v>46</v>
      </c>
      <c r="F122" s="19" t="s">
        <v>73</v>
      </c>
      <c r="G122" s="9"/>
      <c r="H122" s="9">
        <f>IF(Table38[[#This Row],[modality]]=C121,1,0)</f>
        <v>0</v>
      </c>
      <c r="I122">
        <f>IF(Table38[[#This Row],[stimulus]]=F123,1,0)</f>
        <v>0</v>
      </c>
      <c r="J122">
        <f t="shared" si="1"/>
        <v>0</v>
      </c>
      <c r="K122" s="9"/>
      <c r="L122" s="9"/>
    </row>
    <row r="123" spans="1:12" x14ac:dyDescent="0.3">
      <c r="A123" s="11">
        <v>1</v>
      </c>
      <c r="B123" s="48">
        <v>1</v>
      </c>
      <c r="C123" s="48" t="s">
        <v>85</v>
      </c>
      <c r="D123" s="48" t="s">
        <v>4</v>
      </c>
      <c r="E123" s="8" t="s">
        <v>45</v>
      </c>
      <c r="F123" s="8" t="s">
        <v>53</v>
      </c>
      <c r="G123" s="9"/>
      <c r="H123" s="9">
        <f>IF(Table38[[#This Row],[modality]]=C122,1,0)</f>
        <v>1</v>
      </c>
      <c r="I123">
        <f>IF(Table38[[#This Row],[stimulus]]=F124,1,0)</f>
        <v>1</v>
      </c>
      <c r="J123">
        <f t="shared" si="1"/>
        <v>0</v>
      </c>
      <c r="K123" s="9"/>
      <c r="L123" s="9"/>
    </row>
    <row r="124" spans="1:12" x14ac:dyDescent="0.3">
      <c r="A124" s="16">
        <v>1</v>
      </c>
      <c r="B124" s="47">
        <v>2</v>
      </c>
      <c r="C124" s="47" t="s">
        <v>84</v>
      </c>
      <c r="D124" s="47" t="s">
        <v>44</v>
      </c>
      <c r="E124" s="19" t="s">
        <v>14</v>
      </c>
      <c r="F124" s="19" t="s">
        <v>53</v>
      </c>
      <c r="G124" s="9"/>
      <c r="H124" s="9">
        <f>IF(Table38[[#This Row],[modality]]=C123,1,0)</f>
        <v>0</v>
      </c>
      <c r="I124">
        <f>IF(Table38[[#This Row],[stimulus]]=F125,1,0)</f>
        <v>0</v>
      </c>
      <c r="J124">
        <f t="shared" si="1"/>
        <v>0</v>
      </c>
      <c r="K124" s="9"/>
      <c r="L124" s="9"/>
    </row>
    <row r="125" spans="1:12" x14ac:dyDescent="0.3">
      <c r="A125" s="11">
        <v>1</v>
      </c>
      <c r="B125" s="43">
        <v>1</v>
      </c>
      <c r="C125" s="43" t="s">
        <v>85</v>
      </c>
      <c r="D125" s="51" t="s">
        <v>33</v>
      </c>
      <c r="E125" s="8" t="s">
        <v>46</v>
      </c>
      <c r="F125" s="8" t="s">
        <v>74</v>
      </c>
      <c r="G125" s="9"/>
      <c r="H125" s="9">
        <f>IF(Table38[[#This Row],[modality]]=C124,1,0)</f>
        <v>0</v>
      </c>
      <c r="I125">
        <f>IF(Table38[[#This Row],[stimulus]]=F126,1,0)</f>
        <v>0</v>
      </c>
      <c r="J125">
        <f t="shared" si="1"/>
        <v>1</v>
      </c>
      <c r="K125" s="9"/>
      <c r="L125" s="9"/>
    </row>
    <row r="126" spans="1:12" x14ac:dyDescent="0.3">
      <c r="A126" s="8">
        <v>2</v>
      </c>
      <c r="B126" s="48">
        <v>1</v>
      </c>
      <c r="C126" s="42" t="s">
        <v>85</v>
      </c>
      <c r="D126" s="48" t="s">
        <v>4</v>
      </c>
      <c r="E126" s="8" t="s">
        <v>45</v>
      </c>
      <c r="F126" s="8" t="s">
        <v>58</v>
      </c>
      <c r="G126" s="9"/>
      <c r="H126" s="9">
        <f>IF(Table38[[#This Row],[modality]]=C125,1,0)</f>
        <v>1</v>
      </c>
      <c r="I126">
        <f>IF(Table38[[#This Row],[stimulus]]=F127,1,0)</f>
        <v>1</v>
      </c>
      <c r="J126">
        <f t="shared" si="1"/>
        <v>0</v>
      </c>
      <c r="K126" s="9"/>
      <c r="L126" s="9"/>
    </row>
    <row r="127" spans="1:12" x14ac:dyDescent="0.3">
      <c r="A127" s="19">
        <v>2</v>
      </c>
      <c r="B127" s="47">
        <v>1</v>
      </c>
      <c r="C127" s="41" t="s">
        <v>85</v>
      </c>
      <c r="D127" s="47" t="s">
        <v>44</v>
      </c>
      <c r="E127" s="19" t="s">
        <v>13</v>
      </c>
      <c r="F127" s="19" t="s">
        <v>58</v>
      </c>
      <c r="G127" s="9"/>
      <c r="H127" s="9">
        <f>IF(Table38[[#This Row],[modality]]=C126,1,0)</f>
        <v>1</v>
      </c>
      <c r="I127">
        <f>IF(Table38[[#This Row],[stimulus]]=F128,1,0)</f>
        <v>0</v>
      </c>
      <c r="J127">
        <f t="shared" si="1"/>
        <v>0</v>
      </c>
      <c r="K127" s="9"/>
      <c r="L127" s="9"/>
    </row>
    <row r="128" spans="1:12" x14ac:dyDescent="0.3">
      <c r="A128" s="8">
        <v>2</v>
      </c>
      <c r="B128" s="44">
        <v>2</v>
      </c>
      <c r="C128" s="44" t="s">
        <v>84</v>
      </c>
      <c r="D128" s="44" t="s">
        <v>33</v>
      </c>
      <c r="E128" s="8" t="s">
        <v>46</v>
      </c>
      <c r="F128" s="8" t="s">
        <v>50</v>
      </c>
      <c r="G128" s="9"/>
      <c r="H128" s="9">
        <f>IF(Table38[[#This Row],[modality]]=C127,1,0)</f>
        <v>0</v>
      </c>
      <c r="I128">
        <f>IF(Table38[[#This Row],[stimulus]]=F129,1,0)</f>
        <v>0</v>
      </c>
      <c r="J128">
        <f t="shared" si="1"/>
        <v>1</v>
      </c>
      <c r="K128" s="9"/>
      <c r="L128" s="9"/>
    </row>
    <row r="129" spans="1:12" x14ac:dyDescent="0.3">
      <c r="A129" s="19">
        <v>2</v>
      </c>
      <c r="B129" s="47">
        <v>1</v>
      </c>
      <c r="C129" s="47" t="s">
        <v>85</v>
      </c>
      <c r="D129" s="47" t="s">
        <v>4</v>
      </c>
      <c r="E129" s="19" t="s">
        <v>45</v>
      </c>
      <c r="F129" s="19" t="s">
        <v>60</v>
      </c>
      <c r="G129" s="9"/>
      <c r="H129" s="9">
        <f>IF(Table38[[#This Row],[modality]]=C128,1,0)</f>
        <v>0</v>
      </c>
      <c r="I129">
        <f>IF(Table38[[#This Row],[stimulus]]=F130,1,0)</f>
        <v>1</v>
      </c>
      <c r="J129">
        <f t="shared" ref="J129:J192" si="2">IF(D128="T",1,0)</f>
        <v>0</v>
      </c>
      <c r="K129" s="9"/>
      <c r="L129" s="9"/>
    </row>
    <row r="130" spans="1:12" x14ac:dyDescent="0.3">
      <c r="A130" s="8">
        <v>2</v>
      </c>
      <c r="B130" s="48">
        <v>1</v>
      </c>
      <c r="C130" s="48" t="s">
        <v>85</v>
      </c>
      <c r="D130" s="48" t="s">
        <v>44</v>
      </c>
      <c r="E130" s="8" t="s">
        <v>13</v>
      </c>
      <c r="F130" s="8" t="s">
        <v>60</v>
      </c>
      <c r="G130" s="9"/>
      <c r="H130" s="9">
        <f>IF(Table38[[#This Row],[modality]]=C129,1,0)</f>
        <v>1</v>
      </c>
      <c r="I130">
        <f>IF(Table38[[#This Row],[stimulus]]=F131,1,0)</f>
        <v>0</v>
      </c>
      <c r="J130">
        <f t="shared" si="2"/>
        <v>0</v>
      </c>
      <c r="K130" s="9"/>
      <c r="L130" s="9"/>
    </row>
    <row r="131" spans="1:12" x14ac:dyDescent="0.3">
      <c r="A131" s="19">
        <v>2</v>
      </c>
      <c r="B131" s="47">
        <v>1</v>
      </c>
      <c r="C131" s="47" t="s">
        <v>85</v>
      </c>
      <c r="D131" s="47" t="s">
        <v>4</v>
      </c>
      <c r="E131" s="19" t="s">
        <v>45</v>
      </c>
      <c r="F131" s="19" t="s">
        <v>62</v>
      </c>
      <c r="G131" s="9"/>
      <c r="H131" s="9">
        <f>IF(Table38[[#This Row],[modality]]=C130,1,0)</f>
        <v>1</v>
      </c>
      <c r="I131">
        <f>IF(Table38[[#This Row],[stimulus]]=F132,1,0)</f>
        <v>1</v>
      </c>
      <c r="J131">
        <f t="shared" si="2"/>
        <v>1</v>
      </c>
      <c r="K131" s="9"/>
      <c r="L131" s="9"/>
    </row>
    <row r="132" spans="1:12" x14ac:dyDescent="0.3">
      <c r="A132" s="8">
        <v>2</v>
      </c>
      <c r="B132" s="48">
        <v>2</v>
      </c>
      <c r="C132" s="48" t="s">
        <v>84</v>
      </c>
      <c r="D132" s="48" t="s">
        <v>44</v>
      </c>
      <c r="E132" s="8" t="s">
        <v>14</v>
      </c>
      <c r="F132" s="8" t="s">
        <v>62</v>
      </c>
      <c r="G132" s="9"/>
      <c r="H132" s="9">
        <f>IF(Table38[[#This Row],[modality]]=C131,1,0)</f>
        <v>0</v>
      </c>
      <c r="I132">
        <f>IF(Table38[[#This Row],[stimulus]]=F133,1,0)</f>
        <v>0</v>
      </c>
      <c r="J132">
        <f t="shared" si="2"/>
        <v>0</v>
      </c>
      <c r="K132" s="9"/>
      <c r="L132" s="9"/>
    </row>
    <row r="133" spans="1:12" x14ac:dyDescent="0.3">
      <c r="A133" s="19">
        <v>2</v>
      </c>
      <c r="B133" s="44">
        <v>2</v>
      </c>
      <c r="C133" s="44" t="s">
        <v>84</v>
      </c>
      <c r="D133" s="44" t="s">
        <v>33</v>
      </c>
      <c r="E133" s="19" t="s">
        <v>46</v>
      </c>
      <c r="F133" s="19" t="s">
        <v>49</v>
      </c>
      <c r="G133" s="9"/>
      <c r="H133" s="9">
        <f>IF(Table38[[#This Row],[modality]]=C132,1,0)</f>
        <v>1</v>
      </c>
      <c r="I133">
        <f>IF(Table38[[#This Row],[stimulus]]=F134,1,0)</f>
        <v>0</v>
      </c>
      <c r="J133">
        <f t="shared" si="2"/>
        <v>1</v>
      </c>
      <c r="K133" s="9"/>
      <c r="L133" s="9"/>
    </row>
    <row r="134" spans="1:12" x14ac:dyDescent="0.3">
      <c r="A134" s="8">
        <v>2</v>
      </c>
      <c r="B134" s="48">
        <v>2</v>
      </c>
      <c r="C134" s="48" t="s">
        <v>84</v>
      </c>
      <c r="D134" s="48" t="s">
        <v>4</v>
      </c>
      <c r="E134" s="8" t="s">
        <v>45</v>
      </c>
      <c r="F134" s="8" t="s">
        <v>56</v>
      </c>
      <c r="G134" s="9"/>
      <c r="H134" s="9">
        <f>IF(Table38[[#This Row],[modality]]=C133,1,0)</f>
        <v>1</v>
      </c>
      <c r="I134">
        <f>IF(Table38[[#This Row],[stimulus]]=F135,1,0)</f>
        <v>1</v>
      </c>
      <c r="J134">
        <f t="shared" si="2"/>
        <v>0</v>
      </c>
      <c r="K134" s="9"/>
      <c r="L134" s="9"/>
    </row>
    <row r="135" spans="1:12" x14ac:dyDescent="0.3">
      <c r="A135" s="19">
        <v>2</v>
      </c>
      <c r="B135" s="47">
        <v>1</v>
      </c>
      <c r="C135" s="47" t="s">
        <v>85</v>
      </c>
      <c r="D135" s="47" t="s">
        <v>44</v>
      </c>
      <c r="E135" s="19" t="s">
        <v>14</v>
      </c>
      <c r="F135" s="19" t="s">
        <v>56</v>
      </c>
      <c r="G135" s="9"/>
      <c r="H135" s="9">
        <f>IF(Table38[[#This Row],[modality]]=C134,1,0)</f>
        <v>0</v>
      </c>
      <c r="I135">
        <f>IF(Table38[[#This Row],[stimulus]]=F136,1,0)</f>
        <v>0</v>
      </c>
      <c r="J135">
        <f t="shared" si="2"/>
        <v>0</v>
      </c>
      <c r="K135" s="9"/>
      <c r="L135" s="9"/>
    </row>
    <row r="136" spans="1:12" x14ac:dyDescent="0.3">
      <c r="A136" s="8">
        <v>2</v>
      </c>
      <c r="B136" s="48">
        <v>1</v>
      </c>
      <c r="C136" s="48" t="s">
        <v>85</v>
      </c>
      <c r="D136" s="48" t="s">
        <v>4</v>
      </c>
      <c r="E136" s="8" t="s">
        <v>45</v>
      </c>
      <c r="F136" s="8" t="s">
        <v>61</v>
      </c>
      <c r="G136" s="9"/>
      <c r="H136" s="9">
        <f>IF(Table38[[#This Row],[modality]]=C135,1,0)</f>
        <v>1</v>
      </c>
      <c r="I136">
        <f>IF(Table38[[#This Row],[stimulus]]=F137,1,0)</f>
        <v>1</v>
      </c>
      <c r="J136">
        <f t="shared" si="2"/>
        <v>1</v>
      </c>
      <c r="K136" s="9"/>
      <c r="L136" s="9"/>
    </row>
    <row r="137" spans="1:12" x14ac:dyDescent="0.3">
      <c r="A137" s="19">
        <v>2</v>
      </c>
      <c r="B137" s="47">
        <v>2</v>
      </c>
      <c r="C137" s="47" t="s">
        <v>84</v>
      </c>
      <c r="D137" s="47" t="s">
        <v>44</v>
      </c>
      <c r="E137" s="19" t="s">
        <v>14</v>
      </c>
      <c r="F137" s="19" t="s">
        <v>61</v>
      </c>
      <c r="G137" s="9"/>
      <c r="H137" s="9">
        <f>IF(Table38[[#This Row],[modality]]=C136,1,0)</f>
        <v>0</v>
      </c>
      <c r="I137">
        <f>IF(Table38[[#This Row],[stimulus]]=F138,1,0)</f>
        <v>0</v>
      </c>
      <c r="J137">
        <f t="shared" si="2"/>
        <v>0</v>
      </c>
      <c r="K137" s="9"/>
      <c r="L137" s="9"/>
    </row>
    <row r="138" spans="1:12" x14ac:dyDescent="0.3">
      <c r="A138" s="8">
        <v>2</v>
      </c>
      <c r="B138" s="44">
        <v>1</v>
      </c>
      <c r="C138" s="44" t="s">
        <v>85</v>
      </c>
      <c r="D138" s="44" t="s">
        <v>33</v>
      </c>
      <c r="E138" s="8" t="s">
        <v>46</v>
      </c>
      <c r="F138" s="8" t="s">
        <v>52</v>
      </c>
      <c r="G138" s="9"/>
      <c r="H138" s="9">
        <f>IF(Table38[[#This Row],[modality]]=C137,1,0)</f>
        <v>0</v>
      </c>
      <c r="I138">
        <f>IF(Table38[[#This Row],[stimulus]]=F139,1,0)</f>
        <v>0</v>
      </c>
      <c r="J138">
        <f t="shared" si="2"/>
        <v>1</v>
      </c>
      <c r="K138" s="9"/>
      <c r="L138" s="9"/>
    </row>
    <row r="139" spans="1:12" x14ac:dyDescent="0.3">
      <c r="A139" s="19">
        <v>2</v>
      </c>
      <c r="B139" s="44">
        <v>2</v>
      </c>
      <c r="C139" s="44" t="s">
        <v>84</v>
      </c>
      <c r="D139" s="44" t="s">
        <v>33</v>
      </c>
      <c r="E139" s="19" t="s">
        <v>46</v>
      </c>
      <c r="F139" s="19" t="s">
        <v>48</v>
      </c>
      <c r="G139" s="9"/>
      <c r="H139" s="9">
        <f>IF(Table38[[#This Row],[modality]]=C138,1,0)</f>
        <v>0</v>
      </c>
      <c r="I139">
        <f>IF(Table38[[#This Row],[stimulus]]=F140,1,0)</f>
        <v>0</v>
      </c>
      <c r="J139">
        <f t="shared" si="2"/>
        <v>0</v>
      </c>
      <c r="K139" s="9"/>
      <c r="L139" s="9"/>
    </row>
    <row r="140" spans="1:12" x14ac:dyDescent="0.3">
      <c r="A140" s="8">
        <v>2</v>
      </c>
      <c r="B140" s="44">
        <v>1</v>
      </c>
      <c r="C140" s="44" t="s">
        <v>85</v>
      </c>
      <c r="D140" s="44" t="s">
        <v>33</v>
      </c>
      <c r="E140" s="8" t="s">
        <v>46</v>
      </c>
      <c r="F140" s="8" t="s">
        <v>51</v>
      </c>
      <c r="G140" s="9"/>
      <c r="H140" s="9">
        <f>IF(Table38[[#This Row],[modality]]=C139,1,0)</f>
        <v>0</v>
      </c>
      <c r="I140">
        <f>IF(Table38[[#This Row],[stimulus]]=F141,1,0)</f>
        <v>0</v>
      </c>
      <c r="J140">
        <f t="shared" si="2"/>
        <v>0</v>
      </c>
      <c r="K140" s="9"/>
      <c r="L140" s="9"/>
    </row>
    <row r="141" spans="1:12" x14ac:dyDescent="0.3">
      <c r="A141" s="8">
        <v>2</v>
      </c>
      <c r="B141" s="48">
        <v>2</v>
      </c>
      <c r="C141" s="48" t="s">
        <v>84</v>
      </c>
      <c r="D141" s="48" t="s">
        <v>4</v>
      </c>
      <c r="E141" s="8" t="s">
        <v>45</v>
      </c>
      <c r="F141" s="8" t="s">
        <v>59</v>
      </c>
      <c r="G141" s="9"/>
      <c r="H141" s="9">
        <f>IF(Table38[[#This Row],[modality]]=C140,1,0)</f>
        <v>0</v>
      </c>
      <c r="I141">
        <f>IF(Table38[[#This Row],[stimulus]]=F142,1,0)</f>
        <v>1</v>
      </c>
      <c r="J141">
        <f t="shared" si="2"/>
        <v>0</v>
      </c>
      <c r="K141" s="9"/>
      <c r="L141" s="9"/>
    </row>
    <row r="142" spans="1:12" x14ac:dyDescent="0.3">
      <c r="A142" s="19">
        <v>2</v>
      </c>
      <c r="B142" s="47">
        <v>2</v>
      </c>
      <c r="C142" s="47" t="s">
        <v>84</v>
      </c>
      <c r="D142" s="47" t="s">
        <v>44</v>
      </c>
      <c r="E142" s="19" t="s">
        <v>13</v>
      </c>
      <c r="F142" s="19" t="s">
        <v>59</v>
      </c>
      <c r="G142" s="9"/>
      <c r="H142" s="9">
        <f>IF(Table38[[#This Row],[modality]]=C141,1,0)</f>
        <v>1</v>
      </c>
      <c r="I142">
        <f>IF(Table38[[#This Row],[stimulus]]=F143,1,0)</f>
        <v>0</v>
      </c>
      <c r="J142">
        <f t="shared" si="2"/>
        <v>0</v>
      </c>
      <c r="K142" s="9"/>
      <c r="L142" s="9"/>
    </row>
    <row r="143" spans="1:12" x14ac:dyDescent="0.3">
      <c r="A143" s="8">
        <v>2</v>
      </c>
      <c r="B143" s="44">
        <v>1</v>
      </c>
      <c r="C143" s="44" t="s">
        <v>85</v>
      </c>
      <c r="D143" s="44" t="s">
        <v>33</v>
      </c>
      <c r="E143" s="8" t="s">
        <v>46</v>
      </c>
      <c r="F143" s="8" t="s">
        <v>47</v>
      </c>
      <c r="G143" s="9"/>
      <c r="H143" s="9">
        <f>IF(Table38[[#This Row],[modality]]=C142,1,0)</f>
        <v>0</v>
      </c>
      <c r="I143">
        <f>IF(Table38[[#This Row],[stimulus]]=F144,1,0)</f>
        <v>0</v>
      </c>
      <c r="J143">
        <f t="shared" si="2"/>
        <v>1</v>
      </c>
      <c r="K143" s="9"/>
      <c r="L143" s="9"/>
    </row>
    <row r="144" spans="1:12" x14ac:dyDescent="0.3">
      <c r="A144" s="19">
        <v>2</v>
      </c>
      <c r="B144" s="47">
        <v>2</v>
      </c>
      <c r="C144" s="47" t="s">
        <v>84</v>
      </c>
      <c r="D144" s="47" t="s">
        <v>4</v>
      </c>
      <c r="E144" s="19" t="s">
        <v>45</v>
      </c>
      <c r="F144" s="19" t="s">
        <v>55</v>
      </c>
      <c r="G144" s="9"/>
      <c r="H144" s="9">
        <f>IF(Table38[[#This Row],[modality]]=C143,1,0)</f>
        <v>0</v>
      </c>
      <c r="I144">
        <f>IF(Table38[[#This Row],[stimulus]]=F145,1,0)</f>
        <v>1</v>
      </c>
      <c r="J144">
        <f t="shared" si="2"/>
        <v>0</v>
      </c>
      <c r="K144" s="9"/>
      <c r="L144" s="9"/>
    </row>
    <row r="145" spans="1:12" x14ac:dyDescent="0.3">
      <c r="A145" s="8">
        <v>2</v>
      </c>
      <c r="B145" s="48">
        <v>2</v>
      </c>
      <c r="C145" s="48" t="s">
        <v>84</v>
      </c>
      <c r="D145" s="48" t="s">
        <v>44</v>
      </c>
      <c r="E145" s="8" t="s">
        <v>13</v>
      </c>
      <c r="F145" s="8" t="s">
        <v>55</v>
      </c>
      <c r="G145" s="9"/>
      <c r="H145" s="9">
        <f>IF(Table38[[#This Row],[modality]]=C144,1,0)</f>
        <v>1</v>
      </c>
      <c r="I145">
        <f>IF(Table38[[#This Row],[stimulus]]=F146,1,0)</f>
        <v>0</v>
      </c>
      <c r="J145">
        <f t="shared" si="2"/>
        <v>0</v>
      </c>
      <c r="K145" s="9"/>
      <c r="L145" s="9"/>
    </row>
    <row r="146" spans="1:12" x14ac:dyDescent="0.3">
      <c r="A146" s="19">
        <v>2</v>
      </c>
      <c r="B146" s="44">
        <v>1</v>
      </c>
      <c r="C146" s="44" t="s">
        <v>85</v>
      </c>
      <c r="D146" s="44" t="s">
        <v>33</v>
      </c>
      <c r="E146" s="19" t="s">
        <v>46</v>
      </c>
      <c r="F146" s="19" t="s">
        <v>54</v>
      </c>
      <c r="G146" s="9"/>
      <c r="H146" s="9">
        <f>IF(Table38[[#This Row],[modality]]=C145,1,0)</f>
        <v>0</v>
      </c>
      <c r="I146">
        <f>IF(Table38[[#This Row],[stimulus]]=F147,1,0)</f>
        <v>0</v>
      </c>
      <c r="J146">
        <f t="shared" si="2"/>
        <v>1</v>
      </c>
      <c r="K146" s="9"/>
      <c r="L146" s="9"/>
    </row>
    <row r="147" spans="1:12" x14ac:dyDescent="0.3">
      <c r="A147" s="19">
        <v>2</v>
      </c>
      <c r="B147" s="44">
        <v>2</v>
      </c>
      <c r="C147" s="44" t="s">
        <v>84</v>
      </c>
      <c r="D147" s="44" t="s">
        <v>33</v>
      </c>
      <c r="E147" s="19" t="s">
        <v>46</v>
      </c>
      <c r="F147" s="19" t="s">
        <v>53</v>
      </c>
      <c r="G147" s="9"/>
      <c r="H147" s="9">
        <f>IF(Table38[[#This Row],[modality]]=C146,1,0)</f>
        <v>0</v>
      </c>
      <c r="I147">
        <f>IF(Table38[[#This Row],[stimulus]]=F148,1,0)</f>
        <v>0</v>
      </c>
      <c r="J147">
        <f t="shared" si="2"/>
        <v>0</v>
      </c>
      <c r="K147" s="9"/>
      <c r="L147" s="9"/>
    </row>
    <row r="148" spans="1:12" x14ac:dyDescent="0.3">
      <c r="A148" s="8">
        <v>2</v>
      </c>
      <c r="B148" s="48">
        <v>2</v>
      </c>
      <c r="C148" s="48" t="s">
        <v>84</v>
      </c>
      <c r="D148" s="48" t="s">
        <v>4</v>
      </c>
      <c r="E148" s="8" t="s">
        <v>45</v>
      </c>
      <c r="F148" s="8" t="s">
        <v>57</v>
      </c>
      <c r="G148" s="9"/>
      <c r="H148" s="9">
        <f>IF(Table38[[#This Row],[modality]]=C147,1,0)</f>
        <v>1</v>
      </c>
      <c r="I148">
        <f>IF(Table38[[#This Row],[stimulus]]=F149,1,0)</f>
        <v>1</v>
      </c>
      <c r="J148">
        <f t="shared" si="2"/>
        <v>0</v>
      </c>
      <c r="K148" s="9"/>
      <c r="L148" s="9"/>
    </row>
    <row r="149" spans="1:12" x14ac:dyDescent="0.3">
      <c r="A149" s="19">
        <v>2</v>
      </c>
      <c r="B149" s="47">
        <v>1</v>
      </c>
      <c r="C149" s="47" t="s">
        <v>85</v>
      </c>
      <c r="D149" s="47" t="s">
        <v>44</v>
      </c>
      <c r="E149" s="19" t="s">
        <v>14</v>
      </c>
      <c r="F149" s="19" t="s">
        <v>57</v>
      </c>
      <c r="G149" s="9"/>
      <c r="H149" s="9">
        <f>IF(Table38[[#This Row],[modality]]=C148,1,0)</f>
        <v>0</v>
      </c>
      <c r="I149">
        <f>IF(Table38[[#This Row],[stimulus]]=F150,1,0)</f>
        <v>0</v>
      </c>
      <c r="J149">
        <f t="shared" si="2"/>
        <v>0</v>
      </c>
      <c r="K149" s="9"/>
      <c r="L149" s="9"/>
    </row>
    <row r="150" spans="1:12" x14ac:dyDescent="0.3">
      <c r="A150" s="16">
        <v>3</v>
      </c>
      <c r="B150" s="45">
        <v>1</v>
      </c>
      <c r="C150" s="45" t="s">
        <v>85</v>
      </c>
      <c r="D150" s="45" t="s">
        <v>33</v>
      </c>
      <c r="E150" s="19" t="s">
        <v>46</v>
      </c>
      <c r="F150" s="19" t="s">
        <v>58</v>
      </c>
      <c r="G150" s="9"/>
      <c r="H150" s="9">
        <f>IF(Table38[[#This Row],[modality]]=C149,1,0)</f>
        <v>1</v>
      </c>
      <c r="I150">
        <f>IF(Table38[[#This Row],[stimulus]]=F151,1,0)</f>
        <v>0</v>
      </c>
      <c r="J150">
        <f t="shared" si="2"/>
        <v>1</v>
      </c>
      <c r="K150" s="9"/>
      <c r="L150" s="9"/>
    </row>
    <row r="151" spans="1:12" x14ac:dyDescent="0.3">
      <c r="A151" s="11">
        <v>3</v>
      </c>
      <c r="B151" s="48">
        <v>1</v>
      </c>
      <c r="C151" s="48" t="s">
        <v>85</v>
      </c>
      <c r="D151" s="48" t="s">
        <v>4</v>
      </c>
      <c r="E151" s="8" t="s">
        <v>45</v>
      </c>
      <c r="F151" s="8" t="s">
        <v>68</v>
      </c>
      <c r="G151" s="9"/>
      <c r="H151" s="9">
        <f>IF(Table38[[#This Row],[modality]]=C150,1,0)</f>
        <v>1</v>
      </c>
      <c r="I151">
        <f>IF(Table38[[#This Row],[stimulus]]=F152,1,0)</f>
        <v>1</v>
      </c>
      <c r="J151">
        <f t="shared" si="2"/>
        <v>0</v>
      </c>
      <c r="K151" s="9"/>
      <c r="L151" s="9"/>
    </row>
    <row r="152" spans="1:12" x14ac:dyDescent="0.3">
      <c r="A152" s="16">
        <v>3</v>
      </c>
      <c r="B152" s="47">
        <v>2</v>
      </c>
      <c r="C152" s="47" t="s">
        <v>84</v>
      </c>
      <c r="D152" s="47" t="s">
        <v>44</v>
      </c>
      <c r="E152" s="19" t="s">
        <v>14</v>
      </c>
      <c r="F152" s="19" t="s">
        <v>68</v>
      </c>
      <c r="G152" s="9"/>
      <c r="H152" s="9">
        <f>IF(Table38[[#This Row],[modality]]=C151,1,0)</f>
        <v>0</v>
      </c>
      <c r="I152">
        <f>IF(Table38[[#This Row],[stimulus]]=F153,1,0)</f>
        <v>0</v>
      </c>
      <c r="J152">
        <f t="shared" si="2"/>
        <v>0</v>
      </c>
      <c r="K152" s="9"/>
      <c r="L152" s="9"/>
    </row>
    <row r="153" spans="1:12" x14ac:dyDescent="0.3">
      <c r="A153" s="11">
        <v>3</v>
      </c>
      <c r="B153" s="45">
        <v>2</v>
      </c>
      <c r="C153" s="45" t="s">
        <v>84</v>
      </c>
      <c r="D153" s="45" t="s">
        <v>33</v>
      </c>
      <c r="E153" s="8" t="s">
        <v>46</v>
      </c>
      <c r="F153" s="8" t="s">
        <v>60</v>
      </c>
      <c r="G153" s="9"/>
      <c r="H153" s="9">
        <f>IF(Table38[[#This Row],[modality]]=C152,1,0)</f>
        <v>1</v>
      </c>
      <c r="I153">
        <f>IF(Table38[[#This Row],[stimulus]]=F154,1,0)</f>
        <v>0</v>
      </c>
      <c r="J153">
        <f t="shared" si="2"/>
        <v>1</v>
      </c>
      <c r="K153" s="9"/>
      <c r="L153" s="9"/>
    </row>
    <row r="154" spans="1:12" x14ac:dyDescent="0.3">
      <c r="A154" s="16">
        <v>3</v>
      </c>
      <c r="B154" s="47">
        <v>2</v>
      </c>
      <c r="C154" s="47" t="s">
        <v>84</v>
      </c>
      <c r="D154" s="47" t="s">
        <v>4</v>
      </c>
      <c r="E154" s="19" t="s">
        <v>45</v>
      </c>
      <c r="F154" s="19" t="s">
        <v>66</v>
      </c>
      <c r="G154" s="9"/>
      <c r="H154" s="9">
        <f>IF(Table38[[#This Row],[modality]]=C153,1,0)</f>
        <v>1</v>
      </c>
      <c r="I154">
        <f>IF(Table38[[#This Row],[stimulus]]=F155,1,0)</f>
        <v>1</v>
      </c>
      <c r="J154">
        <f t="shared" si="2"/>
        <v>0</v>
      </c>
      <c r="K154" s="9"/>
      <c r="L154" s="9"/>
    </row>
    <row r="155" spans="1:12" x14ac:dyDescent="0.3">
      <c r="A155" s="11">
        <v>3</v>
      </c>
      <c r="B155" s="48">
        <v>1</v>
      </c>
      <c r="C155" s="48" t="s">
        <v>85</v>
      </c>
      <c r="D155" s="48" t="s">
        <v>44</v>
      </c>
      <c r="E155" s="8" t="s">
        <v>14</v>
      </c>
      <c r="F155" s="8" t="s">
        <v>66</v>
      </c>
      <c r="G155" s="9"/>
      <c r="H155" s="9">
        <f>IF(Table38[[#This Row],[modality]]=C154,1,0)</f>
        <v>0</v>
      </c>
      <c r="I155">
        <f>IF(Table38[[#This Row],[stimulus]]=F156,1,0)</f>
        <v>0</v>
      </c>
      <c r="J155">
        <f t="shared" si="2"/>
        <v>0</v>
      </c>
      <c r="K155" s="9"/>
      <c r="L155" s="9"/>
    </row>
    <row r="156" spans="1:12" x14ac:dyDescent="0.3">
      <c r="A156" s="75">
        <v>3</v>
      </c>
      <c r="B156" s="68">
        <v>1</v>
      </c>
      <c r="C156" s="68" t="s">
        <v>85</v>
      </c>
      <c r="D156" s="68" t="s">
        <v>33</v>
      </c>
      <c r="E156" s="75" t="s">
        <v>46</v>
      </c>
      <c r="F156" s="75"/>
      <c r="G156" s="55" t="s">
        <v>131</v>
      </c>
      <c r="H156" s="9">
        <f>IF(Table38[[#This Row],[modality]]=C155,1,0)</f>
        <v>1</v>
      </c>
      <c r="I156">
        <f>IF(Table38[[#This Row],[stimulus]]=F157,1,0)</f>
        <v>0</v>
      </c>
      <c r="J156">
        <f t="shared" si="2"/>
        <v>1</v>
      </c>
      <c r="K156" s="10"/>
      <c r="L156" s="10"/>
    </row>
    <row r="157" spans="1:12" x14ac:dyDescent="0.3">
      <c r="A157" s="16">
        <v>3</v>
      </c>
      <c r="B157" s="47">
        <v>1</v>
      </c>
      <c r="C157" s="47" t="s">
        <v>85</v>
      </c>
      <c r="D157" s="47" t="s">
        <v>4</v>
      </c>
      <c r="E157" s="19" t="s">
        <v>45</v>
      </c>
      <c r="F157" s="19" t="s">
        <v>70</v>
      </c>
      <c r="G157" s="9"/>
      <c r="H157" s="9">
        <f>IF(Table38[[#This Row],[modality]]=C156,1,0)</f>
        <v>1</v>
      </c>
      <c r="I157">
        <f>IF(Table38[[#This Row],[stimulus]]=F158,1,0)</f>
        <v>1</v>
      </c>
      <c r="J157">
        <f t="shared" si="2"/>
        <v>0</v>
      </c>
      <c r="K157" s="9"/>
      <c r="L157" s="9"/>
    </row>
    <row r="158" spans="1:12" x14ac:dyDescent="0.3">
      <c r="A158" s="11">
        <v>3</v>
      </c>
      <c r="B158" s="48">
        <v>2</v>
      </c>
      <c r="C158" s="48" t="s">
        <v>84</v>
      </c>
      <c r="D158" s="48" t="s">
        <v>44</v>
      </c>
      <c r="E158" s="8" t="s">
        <v>14</v>
      </c>
      <c r="F158" s="8" t="s">
        <v>70</v>
      </c>
      <c r="G158" s="9"/>
      <c r="H158" s="9">
        <f>IF(Table38[[#This Row],[modality]]=C157,1,0)</f>
        <v>0</v>
      </c>
      <c r="I158">
        <f>IF(Table38[[#This Row],[stimulus]]=F159,1,0)</f>
        <v>0</v>
      </c>
      <c r="J158">
        <f t="shared" si="2"/>
        <v>0</v>
      </c>
      <c r="K158" s="9"/>
      <c r="L158" s="9"/>
    </row>
    <row r="159" spans="1:12" x14ac:dyDescent="0.3">
      <c r="A159" s="16">
        <v>3</v>
      </c>
      <c r="B159" s="45">
        <v>1</v>
      </c>
      <c r="C159" s="45" t="s">
        <v>85</v>
      </c>
      <c r="D159" s="45" t="s">
        <v>33</v>
      </c>
      <c r="E159" s="19" t="s">
        <v>46</v>
      </c>
      <c r="F159" s="19" t="s">
        <v>62</v>
      </c>
      <c r="G159" s="9"/>
      <c r="H159" s="9">
        <f>IF(Table38[[#This Row],[modality]]=C158,1,0)</f>
        <v>0</v>
      </c>
      <c r="I159">
        <f>IF(Table38[[#This Row],[stimulus]]=F160,1,0)</f>
        <v>0</v>
      </c>
      <c r="J159">
        <f t="shared" si="2"/>
        <v>1</v>
      </c>
      <c r="K159" s="9"/>
      <c r="L159" s="9"/>
    </row>
    <row r="160" spans="1:12" x14ac:dyDescent="0.3">
      <c r="A160" s="11">
        <v>3</v>
      </c>
      <c r="B160" s="48">
        <v>2</v>
      </c>
      <c r="C160" s="48" t="s">
        <v>84</v>
      </c>
      <c r="D160" s="48" t="s">
        <v>4</v>
      </c>
      <c r="E160" s="8" t="s">
        <v>45</v>
      </c>
      <c r="F160" s="8" t="s">
        <v>69</v>
      </c>
      <c r="G160" s="9"/>
      <c r="H160" s="9">
        <f>IF(Table38[[#This Row],[modality]]=C159,1,0)</f>
        <v>0</v>
      </c>
      <c r="I160">
        <f>IF(Table38[[#This Row],[stimulus]]=F161,1,0)</f>
        <v>1</v>
      </c>
      <c r="J160">
        <f t="shared" si="2"/>
        <v>0</v>
      </c>
      <c r="K160" s="9"/>
      <c r="L160" s="9"/>
    </row>
    <row r="161" spans="1:16" x14ac:dyDescent="0.3">
      <c r="A161" s="16">
        <v>3</v>
      </c>
      <c r="B161" s="47">
        <v>2</v>
      </c>
      <c r="C161" s="47" t="s">
        <v>84</v>
      </c>
      <c r="D161" s="47" t="s">
        <v>44</v>
      </c>
      <c r="E161" s="19" t="s">
        <v>13</v>
      </c>
      <c r="F161" s="19" t="s">
        <v>69</v>
      </c>
      <c r="G161" s="9"/>
      <c r="H161" s="9">
        <f>IF(Table38[[#This Row],[modality]]=C160,1,0)</f>
        <v>1</v>
      </c>
      <c r="I161">
        <f>IF(Table38[[#This Row],[stimulus]]=F162,1,0)</f>
        <v>0</v>
      </c>
      <c r="J161">
        <f t="shared" si="2"/>
        <v>0</v>
      </c>
      <c r="K161" s="9"/>
      <c r="L161" s="9"/>
    </row>
    <row r="162" spans="1:16" x14ac:dyDescent="0.3">
      <c r="A162" s="11">
        <v>3</v>
      </c>
      <c r="B162" s="45">
        <v>2</v>
      </c>
      <c r="C162" s="45" t="s">
        <v>84</v>
      </c>
      <c r="D162" s="45" t="s">
        <v>33</v>
      </c>
      <c r="E162" s="8" t="s">
        <v>46</v>
      </c>
      <c r="F162" s="8" t="s">
        <v>56</v>
      </c>
      <c r="G162" s="9"/>
      <c r="H162" s="9">
        <f>IF(Table38[[#This Row],[modality]]=C161,1,0)</f>
        <v>1</v>
      </c>
      <c r="I162">
        <f>IF(Table38[[#This Row],[stimulus]]=F163,1,0)</f>
        <v>0</v>
      </c>
      <c r="J162">
        <f t="shared" si="2"/>
        <v>1</v>
      </c>
      <c r="K162" s="9"/>
      <c r="L162" s="9"/>
    </row>
    <row r="163" spans="1:16" x14ac:dyDescent="0.3">
      <c r="A163" s="16">
        <v>3</v>
      </c>
      <c r="B163" s="45">
        <v>1</v>
      </c>
      <c r="C163" s="45" t="s">
        <v>85</v>
      </c>
      <c r="D163" s="45" t="s">
        <v>33</v>
      </c>
      <c r="E163" s="19" t="s">
        <v>46</v>
      </c>
      <c r="F163" s="19" t="s">
        <v>61</v>
      </c>
      <c r="G163" s="9"/>
      <c r="H163" s="9">
        <f>IF(Table38[[#This Row],[modality]]=C162,1,0)</f>
        <v>0</v>
      </c>
      <c r="I163">
        <f>IF(Table38[[#This Row],[stimulus]]=F164,1,0)</f>
        <v>0</v>
      </c>
      <c r="J163">
        <f t="shared" si="2"/>
        <v>0</v>
      </c>
      <c r="K163" s="9"/>
      <c r="L163" s="9"/>
    </row>
    <row r="164" spans="1:16" x14ac:dyDescent="0.3">
      <c r="A164" s="11">
        <v>3</v>
      </c>
      <c r="B164" s="48">
        <v>2</v>
      </c>
      <c r="C164" s="48" t="s">
        <v>84</v>
      </c>
      <c r="D164" s="48" t="s">
        <v>4</v>
      </c>
      <c r="E164" s="8" t="s">
        <v>45</v>
      </c>
      <c r="F164" s="8" t="s">
        <v>63</v>
      </c>
      <c r="G164" s="9"/>
      <c r="H164" s="9">
        <f>IF(Table38[[#This Row],[modality]]=C163,1,0)</f>
        <v>0</v>
      </c>
      <c r="I164">
        <f>IF(Table38[[#This Row],[stimulus]]=F165,1,0)</f>
        <v>1</v>
      </c>
      <c r="J164">
        <f t="shared" si="2"/>
        <v>0</v>
      </c>
      <c r="K164" s="9"/>
      <c r="L164" s="9"/>
    </row>
    <row r="165" spans="1:16" x14ac:dyDescent="0.3">
      <c r="A165" s="16">
        <v>3</v>
      </c>
      <c r="B165" s="47">
        <v>2</v>
      </c>
      <c r="C165" s="47" t="s">
        <v>84</v>
      </c>
      <c r="D165" s="47" t="s">
        <v>44</v>
      </c>
      <c r="E165" s="19" t="s">
        <v>13</v>
      </c>
      <c r="F165" s="19" t="s">
        <v>63</v>
      </c>
      <c r="G165" s="9"/>
      <c r="H165" s="9">
        <f>IF(Table38[[#This Row],[modality]]=C164,1,0)</f>
        <v>1</v>
      </c>
      <c r="I165">
        <f>IF(Table38[[#This Row],[stimulus]]=F166,1,0)</f>
        <v>0</v>
      </c>
      <c r="J165">
        <f t="shared" si="2"/>
        <v>0</v>
      </c>
      <c r="K165" s="9"/>
      <c r="L165" s="9"/>
    </row>
    <row r="166" spans="1:16" x14ac:dyDescent="0.3">
      <c r="A166" s="11">
        <v>3</v>
      </c>
      <c r="B166" s="48">
        <v>2</v>
      </c>
      <c r="C166" s="48" t="s">
        <v>84</v>
      </c>
      <c r="D166" s="48" t="s">
        <v>4</v>
      </c>
      <c r="E166" s="8" t="s">
        <v>45</v>
      </c>
      <c r="F166" s="8" t="s">
        <v>65</v>
      </c>
      <c r="G166" s="9"/>
      <c r="H166" s="9">
        <f>IF(Table38[[#This Row],[modality]]=C165,1,0)</f>
        <v>1</v>
      </c>
      <c r="I166">
        <f>IF(Table38[[#This Row],[stimulus]]=F167,1,0)</f>
        <v>1</v>
      </c>
      <c r="J166">
        <f t="shared" si="2"/>
        <v>1</v>
      </c>
      <c r="K166" s="9"/>
      <c r="L166" s="9"/>
      <c r="P166" t="s">
        <v>23</v>
      </c>
    </row>
    <row r="167" spans="1:16" x14ac:dyDescent="0.3">
      <c r="A167" s="16">
        <v>3</v>
      </c>
      <c r="B167" s="47">
        <v>1</v>
      </c>
      <c r="C167" s="47" t="s">
        <v>85</v>
      </c>
      <c r="D167" s="47" t="s">
        <v>44</v>
      </c>
      <c r="E167" s="19" t="s">
        <v>14</v>
      </c>
      <c r="F167" s="19" t="s">
        <v>65</v>
      </c>
      <c r="G167" s="9"/>
      <c r="H167" s="9">
        <f>IF(Table38[[#This Row],[modality]]=C166,1,0)</f>
        <v>0</v>
      </c>
      <c r="I167">
        <f>IF(Table38[[#This Row],[stimulus]]=F168,1,0)</f>
        <v>0</v>
      </c>
      <c r="J167">
        <f t="shared" si="2"/>
        <v>0</v>
      </c>
      <c r="K167" s="9"/>
      <c r="L167" s="9"/>
    </row>
    <row r="168" spans="1:16" x14ac:dyDescent="0.3">
      <c r="A168" s="11">
        <v>3</v>
      </c>
      <c r="B168" s="45">
        <v>2</v>
      </c>
      <c r="C168" s="45" t="s">
        <v>84</v>
      </c>
      <c r="D168" s="45" t="s">
        <v>33</v>
      </c>
      <c r="E168" s="8" t="s">
        <v>46</v>
      </c>
      <c r="F168" s="8" t="s">
        <v>59</v>
      </c>
      <c r="G168" s="9"/>
      <c r="H168" s="9">
        <f>IF(Table38[[#This Row],[modality]]=C167,1,0)</f>
        <v>0</v>
      </c>
      <c r="I168">
        <f>IF(Table38[[#This Row],[stimulus]]=F169,1,0)</f>
        <v>0</v>
      </c>
      <c r="J168">
        <f t="shared" si="2"/>
        <v>1</v>
      </c>
      <c r="K168" s="9"/>
      <c r="L168" s="9"/>
    </row>
    <row r="169" spans="1:16" x14ac:dyDescent="0.3">
      <c r="A169" s="75">
        <v>3</v>
      </c>
      <c r="B169" s="68">
        <v>1</v>
      </c>
      <c r="C169" s="68" t="s">
        <v>85</v>
      </c>
      <c r="D169" s="68" t="s">
        <v>33</v>
      </c>
      <c r="E169" s="75" t="s">
        <v>46</v>
      </c>
      <c r="F169" s="75"/>
      <c r="G169" s="55" t="s">
        <v>131</v>
      </c>
      <c r="H169" s="9">
        <f>IF(Table38[[#This Row],[modality]]=C168,1,0)</f>
        <v>0</v>
      </c>
      <c r="I169">
        <f>IF(Table38[[#This Row],[stimulus]]=F170,1,0)</f>
        <v>0</v>
      </c>
      <c r="J169">
        <f t="shared" si="2"/>
        <v>0</v>
      </c>
      <c r="K169" s="10"/>
      <c r="L169" s="10"/>
    </row>
    <row r="170" spans="1:16" x14ac:dyDescent="0.3">
      <c r="A170" s="16">
        <v>3</v>
      </c>
      <c r="B170" s="47">
        <v>1</v>
      </c>
      <c r="C170" s="47" t="s">
        <v>85</v>
      </c>
      <c r="D170" s="47" t="s">
        <v>4</v>
      </c>
      <c r="E170" s="19" t="s">
        <v>45</v>
      </c>
      <c r="F170" s="19" t="s">
        <v>67</v>
      </c>
      <c r="G170" s="9"/>
      <c r="H170" s="9">
        <f>IF(Table38[[#This Row],[modality]]=C169,1,0)</f>
        <v>1</v>
      </c>
      <c r="I170">
        <f>IF(Table38[[#This Row],[stimulus]]=F171,1,0)</f>
        <v>1</v>
      </c>
      <c r="J170">
        <f t="shared" si="2"/>
        <v>0</v>
      </c>
      <c r="K170" s="9"/>
      <c r="L170" s="9"/>
    </row>
    <row r="171" spans="1:16" x14ac:dyDescent="0.3">
      <c r="A171" s="11">
        <v>3</v>
      </c>
      <c r="B171" s="48">
        <v>1</v>
      </c>
      <c r="C171" s="48" t="s">
        <v>85</v>
      </c>
      <c r="D171" s="48" t="s">
        <v>44</v>
      </c>
      <c r="E171" s="8" t="s">
        <v>13</v>
      </c>
      <c r="F171" s="8" t="s">
        <v>67</v>
      </c>
      <c r="G171" s="9"/>
      <c r="H171" s="9">
        <f>IF(Table38[[#This Row],[modality]]=C170,1,0)</f>
        <v>1</v>
      </c>
      <c r="I171">
        <f>IF(Table38[[#This Row],[stimulus]]=F172,1,0)</f>
        <v>0</v>
      </c>
      <c r="J171">
        <f t="shared" si="2"/>
        <v>0</v>
      </c>
      <c r="K171" s="9"/>
      <c r="L171" s="9"/>
    </row>
    <row r="172" spans="1:16" x14ac:dyDescent="0.3">
      <c r="A172" s="16">
        <v>3</v>
      </c>
      <c r="B172" s="45">
        <v>2</v>
      </c>
      <c r="C172" s="45" t="s">
        <v>84</v>
      </c>
      <c r="D172" s="45" t="s">
        <v>33</v>
      </c>
      <c r="E172" s="19" t="s">
        <v>46</v>
      </c>
      <c r="F172" s="19" t="s">
        <v>55</v>
      </c>
      <c r="G172" s="9"/>
      <c r="H172" s="9">
        <f>IF(Table38[[#This Row],[modality]]=C171,1,0)</f>
        <v>0</v>
      </c>
      <c r="I172">
        <f>IF(Table38[[#This Row],[stimulus]]=F173,1,0)</f>
        <v>0</v>
      </c>
      <c r="J172">
        <f t="shared" si="2"/>
        <v>1</v>
      </c>
      <c r="K172" s="9"/>
      <c r="L172" s="9"/>
    </row>
    <row r="173" spans="1:16" x14ac:dyDescent="0.3">
      <c r="A173" s="11">
        <v>3</v>
      </c>
      <c r="B173" s="48">
        <v>1</v>
      </c>
      <c r="C173" s="48" t="s">
        <v>85</v>
      </c>
      <c r="D173" s="48" t="s">
        <v>4</v>
      </c>
      <c r="E173" s="8" t="s">
        <v>45</v>
      </c>
      <c r="F173" s="8" t="s">
        <v>64</v>
      </c>
      <c r="G173" s="9"/>
      <c r="H173" s="9">
        <f>IF(Table38[[#This Row],[modality]]=C172,1,0)</f>
        <v>0</v>
      </c>
      <c r="I173">
        <f>IF(Table38[[#This Row],[stimulus]]=F174,1,0)</f>
        <v>1</v>
      </c>
      <c r="J173">
        <f t="shared" si="2"/>
        <v>0</v>
      </c>
      <c r="K173" s="9"/>
      <c r="L173" s="9"/>
    </row>
    <row r="174" spans="1:16" x14ac:dyDescent="0.3">
      <c r="A174" s="16">
        <v>3</v>
      </c>
      <c r="B174" s="47">
        <v>1</v>
      </c>
      <c r="C174" s="47" t="s">
        <v>85</v>
      </c>
      <c r="D174" s="47" t="s">
        <v>44</v>
      </c>
      <c r="E174" s="19" t="s">
        <v>13</v>
      </c>
      <c r="F174" s="19" t="s">
        <v>64</v>
      </c>
      <c r="G174" s="9"/>
      <c r="H174" s="9">
        <f>IF(Table38[[#This Row],[modality]]=C173,1,0)</f>
        <v>1</v>
      </c>
      <c r="I174">
        <f>IF(Table38[[#This Row],[stimulus]]=F175,1,0)</f>
        <v>0</v>
      </c>
      <c r="J174">
        <f t="shared" si="2"/>
        <v>0</v>
      </c>
      <c r="K174" s="9"/>
      <c r="L174" s="9"/>
    </row>
    <row r="175" spans="1:16" x14ac:dyDescent="0.3">
      <c r="A175" s="11">
        <v>3</v>
      </c>
      <c r="B175" s="45">
        <v>1</v>
      </c>
      <c r="C175" s="45" t="s">
        <v>85</v>
      </c>
      <c r="D175" s="45" t="s">
        <v>33</v>
      </c>
      <c r="E175" s="8" t="s">
        <v>46</v>
      </c>
      <c r="F175" s="8" t="s">
        <v>57</v>
      </c>
      <c r="G175" s="9"/>
      <c r="H175" s="9">
        <f>IF(Table38[[#This Row],[modality]]=C174,1,0)</f>
        <v>1</v>
      </c>
      <c r="I175">
        <f>IF(Table38[[#This Row],[stimulus]]=F176,1,0)</f>
        <v>0</v>
      </c>
      <c r="J175">
        <f t="shared" si="2"/>
        <v>1</v>
      </c>
      <c r="K175" s="9"/>
      <c r="L175" s="9"/>
    </row>
    <row r="176" spans="1:16" x14ac:dyDescent="0.3">
      <c r="A176" s="8">
        <v>4</v>
      </c>
      <c r="B176" s="46">
        <v>2</v>
      </c>
      <c r="C176" s="46" t="s">
        <v>84</v>
      </c>
      <c r="D176" s="46" t="s">
        <v>33</v>
      </c>
      <c r="E176" s="8" t="s">
        <v>46</v>
      </c>
      <c r="F176" s="8" t="s">
        <v>68</v>
      </c>
      <c r="G176" s="9"/>
      <c r="H176" s="9">
        <f>IF(Table38[[#This Row],[modality]]=C175,1,0)</f>
        <v>0</v>
      </c>
      <c r="I176">
        <f>IF(Table38[[#This Row],[stimulus]]=F177,1,0)</f>
        <v>0</v>
      </c>
      <c r="J176">
        <f t="shared" si="2"/>
        <v>0</v>
      </c>
      <c r="K176" s="9"/>
      <c r="L176" s="9"/>
    </row>
    <row r="177" spans="1:12" x14ac:dyDescent="0.3">
      <c r="A177" s="19">
        <v>4</v>
      </c>
      <c r="B177" s="47">
        <v>1</v>
      </c>
      <c r="C177" s="47" t="s">
        <v>85</v>
      </c>
      <c r="D177" s="47" t="s">
        <v>4</v>
      </c>
      <c r="E177" s="19" t="s">
        <v>45</v>
      </c>
      <c r="F177" s="19" t="s">
        <v>76</v>
      </c>
      <c r="G177" s="9"/>
      <c r="H177" s="9">
        <f>IF(Table38[[#This Row],[modality]]=C176,1,0)</f>
        <v>0</v>
      </c>
      <c r="I177">
        <f>IF(Table38[[#This Row],[stimulus]]=F178,1,0)</f>
        <v>1</v>
      </c>
      <c r="J177">
        <f t="shared" si="2"/>
        <v>0</v>
      </c>
      <c r="K177" s="9"/>
      <c r="L177" s="9"/>
    </row>
    <row r="178" spans="1:12" x14ac:dyDescent="0.3">
      <c r="A178" s="8">
        <v>4</v>
      </c>
      <c r="B178" s="48">
        <v>1</v>
      </c>
      <c r="C178" s="48" t="s">
        <v>85</v>
      </c>
      <c r="D178" s="48" t="s">
        <v>44</v>
      </c>
      <c r="E178" s="8" t="s">
        <v>13</v>
      </c>
      <c r="F178" s="8" t="s">
        <v>76</v>
      </c>
      <c r="G178" s="9"/>
      <c r="H178" s="9">
        <f>IF(Table38[[#This Row],[modality]]=C177,1,0)</f>
        <v>1</v>
      </c>
      <c r="I178">
        <f>IF(Table38[[#This Row],[stimulus]]=F179,1,0)</f>
        <v>0</v>
      </c>
      <c r="J178">
        <f t="shared" si="2"/>
        <v>0</v>
      </c>
      <c r="K178" s="9"/>
      <c r="L178" s="9"/>
    </row>
    <row r="179" spans="1:12" x14ac:dyDescent="0.3">
      <c r="A179" s="19">
        <v>4</v>
      </c>
      <c r="B179" s="47">
        <v>1</v>
      </c>
      <c r="C179" s="47" t="s">
        <v>85</v>
      </c>
      <c r="D179" s="47" t="s">
        <v>4</v>
      </c>
      <c r="E179" s="19" t="s">
        <v>45</v>
      </c>
      <c r="F179" s="19" t="s">
        <v>71</v>
      </c>
      <c r="G179" s="9"/>
      <c r="H179" s="9">
        <f>IF(Table38[[#This Row],[modality]]=C178,1,0)</f>
        <v>1</v>
      </c>
      <c r="I179">
        <f>IF(Table38[[#This Row],[stimulus]]=F180,1,0)</f>
        <v>1</v>
      </c>
      <c r="J179">
        <f t="shared" si="2"/>
        <v>1</v>
      </c>
      <c r="K179" s="9"/>
      <c r="L179" s="9"/>
    </row>
    <row r="180" spans="1:12" x14ac:dyDescent="0.3">
      <c r="A180" s="8">
        <v>4</v>
      </c>
      <c r="B180" s="48">
        <v>2</v>
      </c>
      <c r="C180" s="48" t="s">
        <v>84</v>
      </c>
      <c r="D180" s="48" t="s">
        <v>44</v>
      </c>
      <c r="E180" s="8" t="s">
        <v>14</v>
      </c>
      <c r="F180" s="8" t="s">
        <v>71</v>
      </c>
      <c r="G180" s="9"/>
      <c r="H180" s="9">
        <f>IF(Table38[[#This Row],[modality]]=C179,1,0)</f>
        <v>0</v>
      </c>
      <c r="I180">
        <f>IF(Table38[[#This Row],[stimulus]]=F181,1,0)</f>
        <v>0</v>
      </c>
      <c r="J180">
        <f t="shared" si="2"/>
        <v>0</v>
      </c>
      <c r="K180" s="9"/>
      <c r="L180" s="9"/>
    </row>
    <row r="181" spans="1:12" x14ac:dyDescent="0.3">
      <c r="A181" s="19">
        <v>4</v>
      </c>
      <c r="B181" s="46">
        <v>1</v>
      </c>
      <c r="C181" s="46" t="s">
        <v>85</v>
      </c>
      <c r="D181" s="46" t="s">
        <v>33</v>
      </c>
      <c r="E181" s="19" t="s">
        <v>46</v>
      </c>
      <c r="F181" s="19" t="s">
        <v>66</v>
      </c>
      <c r="G181" s="9"/>
      <c r="H181" s="9">
        <f>IF(Table38[[#This Row],[modality]]=C180,1,0)</f>
        <v>0</v>
      </c>
      <c r="I181">
        <f>IF(Table38[[#This Row],[stimulus]]=F182,1,0)</f>
        <v>0</v>
      </c>
      <c r="J181">
        <f t="shared" si="2"/>
        <v>1</v>
      </c>
      <c r="K181" s="9"/>
      <c r="L181" s="9"/>
    </row>
    <row r="182" spans="1:12" x14ac:dyDescent="0.3">
      <c r="A182" s="8">
        <v>4</v>
      </c>
      <c r="B182" s="48">
        <v>2</v>
      </c>
      <c r="C182" s="48" t="s">
        <v>84</v>
      </c>
      <c r="D182" s="48" t="s">
        <v>4</v>
      </c>
      <c r="E182" s="8" t="s">
        <v>45</v>
      </c>
      <c r="F182" s="8" t="s">
        <v>75</v>
      </c>
      <c r="G182" s="9"/>
      <c r="H182" s="9">
        <f>IF(Table38[[#This Row],[modality]]=C181,1,0)</f>
        <v>0</v>
      </c>
      <c r="I182">
        <f>IF(Table38[[#This Row],[stimulus]]=F183,1,0)</f>
        <v>1</v>
      </c>
      <c r="J182">
        <f t="shared" si="2"/>
        <v>0</v>
      </c>
      <c r="K182" s="9"/>
      <c r="L182" s="9"/>
    </row>
    <row r="183" spans="1:12" x14ac:dyDescent="0.3">
      <c r="A183" s="19">
        <v>4</v>
      </c>
      <c r="B183" s="47">
        <v>2</v>
      </c>
      <c r="C183" s="47" t="s">
        <v>84</v>
      </c>
      <c r="D183" s="47" t="s">
        <v>44</v>
      </c>
      <c r="E183" s="19" t="s">
        <v>13</v>
      </c>
      <c r="F183" s="19" t="s">
        <v>75</v>
      </c>
      <c r="G183" s="9"/>
      <c r="H183" s="9">
        <f>IF(Table38[[#This Row],[modality]]=C182,1,0)</f>
        <v>1</v>
      </c>
      <c r="I183">
        <f>IF(Table38[[#This Row],[stimulus]]=F184,1,0)</f>
        <v>0</v>
      </c>
      <c r="J183">
        <f t="shared" si="2"/>
        <v>0</v>
      </c>
      <c r="K183" s="9"/>
      <c r="L183" s="9"/>
    </row>
    <row r="184" spans="1:12" x14ac:dyDescent="0.3">
      <c r="A184" s="8">
        <v>4</v>
      </c>
      <c r="B184" s="48">
        <v>2</v>
      </c>
      <c r="C184" s="48" t="s">
        <v>84</v>
      </c>
      <c r="D184" s="48" t="s">
        <v>4</v>
      </c>
      <c r="E184" s="8" t="s">
        <v>45</v>
      </c>
      <c r="F184" s="8" t="s">
        <v>77</v>
      </c>
      <c r="G184" s="9"/>
      <c r="H184" s="9">
        <f>IF(Table38[[#This Row],[modality]]=C183,1,0)</f>
        <v>1</v>
      </c>
      <c r="I184">
        <f>IF(Table38[[#This Row],[stimulus]]=F185,1,0)</f>
        <v>1</v>
      </c>
      <c r="J184">
        <f t="shared" si="2"/>
        <v>1</v>
      </c>
      <c r="K184" s="9"/>
      <c r="L184" s="9"/>
    </row>
    <row r="185" spans="1:12" x14ac:dyDescent="0.3">
      <c r="A185" s="19">
        <v>4</v>
      </c>
      <c r="B185" s="47">
        <v>1</v>
      </c>
      <c r="C185" s="47" t="s">
        <v>85</v>
      </c>
      <c r="D185" s="47" t="s">
        <v>44</v>
      </c>
      <c r="E185" s="19" t="s">
        <v>14</v>
      </c>
      <c r="F185" s="19" t="s">
        <v>77</v>
      </c>
      <c r="G185" s="9"/>
      <c r="H185" s="9">
        <f>IF(Table38[[#This Row],[modality]]=C184,1,0)</f>
        <v>0</v>
      </c>
      <c r="I185">
        <f>IF(Table38[[#This Row],[stimulus]]=F186,1,0)</f>
        <v>0</v>
      </c>
      <c r="J185">
        <f t="shared" si="2"/>
        <v>0</v>
      </c>
      <c r="K185" s="9"/>
      <c r="L185" s="9"/>
    </row>
    <row r="186" spans="1:12" x14ac:dyDescent="0.3">
      <c r="A186" s="8">
        <v>4</v>
      </c>
      <c r="B186" s="46">
        <v>2</v>
      </c>
      <c r="C186" s="46" t="s">
        <v>84</v>
      </c>
      <c r="D186" s="46" t="s">
        <v>33</v>
      </c>
      <c r="E186" s="8" t="s">
        <v>46</v>
      </c>
      <c r="F186" s="8" t="s">
        <v>70</v>
      </c>
      <c r="G186" s="9"/>
      <c r="H186" s="9">
        <f>IF(Table38[[#This Row],[modality]]=C185,1,0)</f>
        <v>0</v>
      </c>
      <c r="I186">
        <f>IF(Table38[[#This Row],[stimulus]]=F187,1,0)</f>
        <v>0</v>
      </c>
      <c r="J186">
        <f t="shared" si="2"/>
        <v>1</v>
      </c>
      <c r="K186" s="9"/>
      <c r="L186" s="9"/>
    </row>
    <row r="187" spans="1:12" x14ac:dyDescent="0.3">
      <c r="A187" s="19">
        <v>4</v>
      </c>
      <c r="B187" s="47">
        <v>1</v>
      </c>
      <c r="C187" s="47" t="s">
        <v>85</v>
      </c>
      <c r="D187" s="47" t="s">
        <v>4</v>
      </c>
      <c r="E187" s="19" t="s">
        <v>45</v>
      </c>
      <c r="F187" s="19" t="s">
        <v>72</v>
      </c>
      <c r="G187" s="9"/>
      <c r="H187" s="9">
        <f>IF(Table38[[#This Row],[modality]]=C186,1,0)</f>
        <v>0</v>
      </c>
      <c r="I187">
        <f>IF(Table38[[#This Row],[stimulus]]=F188,1,0)</f>
        <v>1</v>
      </c>
      <c r="J187">
        <f t="shared" si="2"/>
        <v>0</v>
      </c>
      <c r="K187" s="9"/>
      <c r="L187" s="9"/>
    </row>
    <row r="188" spans="1:12" x14ac:dyDescent="0.3">
      <c r="A188" s="8">
        <v>4</v>
      </c>
      <c r="B188" s="48">
        <v>2</v>
      </c>
      <c r="C188" s="48" t="s">
        <v>84</v>
      </c>
      <c r="D188" s="48" t="s">
        <v>44</v>
      </c>
      <c r="E188" s="8" t="s">
        <v>14</v>
      </c>
      <c r="F188" s="8" t="s">
        <v>72</v>
      </c>
      <c r="G188" s="9"/>
      <c r="H188" s="9">
        <f>IF(Table38[[#This Row],[modality]]=C187,1,0)</f>
        <v>0</v>
      </c>
      <c r="I188">
        <f>IF(Table38[[#This Row],[stimulus]]=F189,1,0)</f>
        <v>0</v>
      </c>
      <c r="J188">
        <f t="shared" si="2"/>
        <v>0</v>
      </c>
      <c r="K188" s="9"/>
      <c r="L188" s="9"/>
    </row>
    <row r="189" spans="1:12" x14ac:dyDescent="0.3">
      <c r="A189" s="8">
        <v>4</v>
      </c>
      <c r="B189" s="46">
        <v>1</v>
      </c>
      <c r="C189" s="46" t="s">
        <v>85</v>
      </c>
      <c r="D189" s="46" t="s">
        <v>33</v>
      </c>
      <c r="E189" s="8" t="s">
        <v>46</v>
      </c>
      <c r="F189" s="8" t="s">
        <v>63</v>
      </c>
      <c r="G189" s="9"/>
      <c r="H189" s="9">
        <f>IF(Table38[[#This Row],[modality]]=C188,1,0)</f>
        <v>0</v>
      </c>
      <c r="I189">
        <f>IF(Table38[[#This Row],[stimulus]]=F190,1,0)</f>
        <v>0</v>
      </c>
      <c r="J189">
        <f t="shared" si="2"/>
        <v>1</v>
      </c>
      <c r="K189" s="9"/>
      <c r="L189" s="9"/>
    </row>
    <row r="190" spans="1:12" x14ac:dyDescent="0.3">
      <c r="A190" s="19">
        <v>4</v>
      </c>
      <c r="B190" s="46">
        <v>2</v>
      </c>
      <c r="C190" s="46" t="s">
        <v>84</v>
      </c>
      <c r="D190" s="46" t="s">
        <v>33</v>
      </c>
      <c r="E190" s="19" t="s">
        <v>46</v>
      </c>
      <c r="F190" s="19" t="s">
        <v>69</v>
      </c>
      <c r="G190" s="9"/>
      <c r="H190" s="9">
        <f>IF(Table38[[#This Row],[modality]]=C189,1,0)</f>
        <v>0</v>
      </c>
      <c r="I190">
        <f>IF(Table38[[#This Row],[stimulus]]=F191,1,0)</f>
        <v>0</v>
      </c>
      <c r="J190">
        <f t="shared" si="2"/>
        <v>0</v>
      </c>
      <c r="K190" s="9"/>
      <c r="L190" s="9"/>
    </row>
    <row r="191" spans="1:12" x14ac:dyDescent="0.3">
      <c r="A191" s="19">
        <v>4</v>
      </c>
      <c r="B191" s="47">
        <v>2</v>
      </c>
      <c r="C191" s="47" t="s">
        <v>84</v>
      </c>
      <c r="D191" s="47" t="s">
        <v>4</v>
      </c>
      <c r="E191" s="19" t="s">
        <v>45</v>
      </c>
      <c r="F191" s="19" t="s">
        <v>78</v>
      </c>
      <c r="G191" s="9"/>
      <c r="H191" s="9">
        <f>IF(Table38[[#This Row],[modality]]=C190,1,0)</f>
        <v>1</v>
      </c>
      <c r="I191">
        <f>IF(Table38[[#This Row],[stimulus]]=F192,1,0)</f>
        <v>1</v>
      </c>
      <c r="J191">
        <f t="shared" si="2"/>
        <v>0</v>
      </c>
      <c r="K191" s="9"/>
      <c r="L191" s="9"/>
    </row>
    <row r="192" spans="1:12" x14ac:dyDescent="0.3">
      <c r="A192" s="8">
        <v>4</v>
      </c>
      <c r="B192" s="48">
        <v>2</v>
      </c>
      <c r="C192" s="48" t="s">
        <v>84</v>
      </c>
      <c r="D192" s="48" t="s">
        <v>44</v>
      </c>
      <c r="E192" s="8" t="s">
        <v>13</v>
      </c>
      <c r="F192" s="8" t="s">
        <v>78</v>
      </c>
      <c r="G192" s="9"/>
      <c r="H192" s="9">
        <f>IF(Table38[[#This Row],[modality]]=C191,1,0)</f>
        <v>1</v>
      </c>
      <c r="I192">
        <f>IF(Table38[[#This Row],[stimulus]]=F193,1,0)</f>
        <v>0</v>
      </c>
      <c r="J192">
        <f t="shared" si="2"/>
        <v>0</v>
      </c>
      <c r="K192" s="9"/>
      <c r="L192" s="9"/>
    </row>
    <row r="193" spans="1:12" x14ac:dyDescent="0.3">
      <c r="A193" s="19">
        <v>4</v>
      </c>
      <c r="B193" s="46">
        <v>1</v>
      </c>
      <c r="C193" s="46" t="s">
        <v>85</v>
      </c>
      <c r="D193" s="46" t="s">
        <v>33</v>
      </c>
      <c r="E193" s="19" t="s">
        <v>46</v>
      </c>
      <c r="F193" s="19" t="s">
        <v>65</v>
      </c>
      <c r="G193" s="9"/>
      <c r="H193" s="9">
        <f>IF(Table38[[#This Row],[modality]]=C192,1,0)</f>
        <v>0</v>
      </c>
      <c r="I193">
        <f>IF(Table38[[#This Row],[stimulus]]=F194,1,0)</f>
        <v>0</v>
      </c>
      <c r="J193">
        <f t="shared" ref="J193:J256" si="3">IF(D192="T",1,0)</f>
        <v>1</v>
      </c>
      <c r="K193" s="9"/>
      <c r="L193" s="9"/>
    </row>
    <row r="194" spans="1:12" x14ac:dyDescent="0.3">
      <c r="A194" s="8">
        <v>4</v>
      </c>
      <c r="B194" s="46">
        <v>2</v>
      </c>
      <c r="C194" s="46" t="s">
        <v>84</v>
      </c>
      <c r="D194" s="46" t="s">
        <v>33</v>
      </c>
      <c r="E194" s="8" t="s">
        <v>46</v>
      </c>
      <c r="F194" s="8" t="s">
        <v>67</v>
      </c>
      <c r="G194" s="9"/>
      <c r="H194" s="9">
        <f>IF(Table38[[#This Row],[modality]]=C193,1,0)</f>
        <v>0</v>
      </c>
      <c r="I194">
        <f>IF(Table38[[#This Row],[stimulus]]=F195,1,0)</f>
        <v>0</v>
      </c>
      <c r="J194">
        <f t="shared" si="3"/>
        <v>0</v>
      </c>
      <c r="K194" s="9"/>
      <c r="L194" s="9"/>
    </row>
    <row r="195" spans="1:12" x14ac:dyDescent="0.3">
      <c r="A195" s="8">
        <v>4</v>
      </c>
      <c r="B195" s="48">
        <v>2</v>
      </c>
      <c r="C195" s="48" t="s">
        <v>84</v>
      </c>
      <c r="D195" s="48" t="s">
        <v>4</v>
      </c>
      <c r="E195" s="8" t="s">
        <v>45</v>
      </c>
      <c r="F195" s="8" t="s">
        <v>73</v>
      </c>
      <c r="G195" s="9"/>
      <c r="H195" s="9">
        <f>IF(Table38[[#This Row],[modality]]=C194,1,0)</f>
        <v>1</v>
      </c>
      <c r="I195">
        <f>IF(Table38[[#This Row],[stimulus]]=F196,1,0)</f>
        <v>1</v>
      </c>
      <c r="J195">
        <f t="shared" si="3"/>
        <v>0</v>
      </c>
      <c r="K195" s="9"/>
      <c r="L195" s="9"/>
    </row>
    <row r="196" spans="1:12" x14ac:dyDescent="0.3">
      <c r="A196" s="19">
        <v>4</v>
      </c>
      <c r="B196" s="47">
        <v>1</v>
      </c>
      <c r="C196" s="47" t="s">
        <v>85</v>
      </c>
      <c r="D196" s="47" t="s">
        <v>44</v>
      </c>
      <c r="E196" s="19" t="s">
        <v>14</v>
      </c>
      <c r="F196" s="19" t="s">
        <v>73</v>
      </c>
      <c r="G196" s="9"/>
      <c r="H196" s="9">
        <f>IF(Table38[[#This Row],[modality]]=C195,1,0)</f>
        <v>0</v>
      </c>
      <c r="I196">
        <f>IF(Table38[[#This Row],[stimulus]]=F197,1,0)</f>
        <v>0</v>
      </c>
      <c r="J196">
        <f t="shared" si="3"/>
        <v>0</v>
      </c>
      <c r="K196" s="9"/>
      <c r="L196" s="9"/>
    </row>
    <row r="197" spans="1:12" x14ac:dyDescent="0.3">
      <c r="A197" s="8">
        <v>4</v>
      </c>
      <c r="B197" s="48">
        <v>1</v>
      </c>
      <c r="C197" s="48" t="s">
        <v>85</v>
      </c>
      <c r="D197" s="48" t="s">
        <v>4</v>
      </c>
      <c r="E197" s="8" t="s">
        <v>45</v>
      </c>
      <c r="F197" s="8" t="s">
        <v>74</v>
      </c>
      <c r="G197" s="9"/>
      <c r="H197" s="9">
        <f>IF(Table38[[#This Row],[modality]]=C196,1,0)</f>
        <v>1</v>
      </c>
      <c r="I197">
        <f>IF(Table38[[#This Row],[stimulus]]=F198,1,0)</f>
        <v>1</v>
      </c>
      <c r="J197">
        <f t="shared" si="3"/>
        <v>1</v>
      </c>
      <c r="K197" s="9"/>
      <c r="L197" s="9"/>
    </row>
    <row r="198" spans="1:12" x14ac:dyDescent="0.3">
      <c r="A198" s="19">
        <v>4</v>
      </c>
      <c r="B198" s="47">
        <v>1</v>
      </c>
      <c r="C198" s="47" t="s">
        <v>85</v>
      </c>
      <c r="D198" s="47" t="s">
        <v>44</v>
      </c>
      <c r="E198" s="19" t="s">
        <v>13</v>
      </c>
      <c r="F198" s="19" t="s">
        <v>74</v>
      </c>
      <c r="G198" s="9"/>
      <c r="H198" s="9">
        <f>IF(Table38[[#This Row],[modality]]=C197,1,0)</f>
        <v>1</v>
      </c>
      <c r="I198">
        <f>IF(Table38[[#This Row],[stimulus]]=F199,1,0)</f>
        <v>0</v>
      </c>
      <c r="J198">
        <f t="shared" si="3"/>
        <v>0</v>
      </c>
      <c r="K198" s="9"/>
      <c r="L198" s="9"/>
    </row>
    <row r="199" spans="1:12" x14ac:dyDescent="0.3">
      <c r="A199" s="19">
        <v>4</v>
      </c>
      <c r="B199" s="46">
        <v>1</v>
      </c>
      <c r="C199" s="46" t="s">
        <v>85</v>
      </c>
      <c r="D199" s="46" t="s">
        <v>33</v>
      </c>
      <c r="E199" s="19" t="s">
        <v>46</v>
      </c>
      <c r="F199" s="19" t="s">
        <v>64</v>
      </c>
      <c r="G199" s="9"/>
      <c r="H199" s="9">
        <f>IF(Table38[[#This Row],[modality]]=C198,1,0)</f>
        <v>1</v>
      </c>
      <c r="I199">
        <f>IF(Table38[[#This Row],[stimulus]]=F200,1,0)</f>
        <v>0</v>
      </c>
      <c r="J199">
        <f t="shared" si="3"/>
        <v>1</v>
      </c>
      <c r="K199" s="9"/>
      <c r="L199" s="9"/>
    </row>
    <row r="200" spans="1:12" x14ac:dyDescent="0.3">
      <c r="A200" t="s">
        <v>29</v>
      </c>
      <c r="G200" s="9"/>
      <c r="H200" s="9">
        <f>IF(Table38[[#This Row],[modality]]=C199,1,0)</f>
        <v>0</v>
      </c>
      <c r="I200">
        <f>IF(Table38[[#This Row],[stimulus]]=F201,1,0)</f>
        <v>0</v>
      </c>
      <c r="J200">
        <f t="shared" si="3"/>
        <v>0</v>
      </c>
      <c r="K200" s="9"/>
      <c r="L200" s="9"/>
    </row>
    <row r="201" spans="1:12" x14ac:dyDescent="0.3">
      <c r="A201" s="16">
        <v>1</v>
      </c>
      <c r="B201" s="43">
        <v>2</v>
      </c>
      <c r="C201" s="49" t="s">
        <v>84</v>
      </c>
      <c r="D201" s="51" t="s">
        <v>33</v>
      </c>
      <c r="E201" s="19" t="s">
        <v>46</v>
      </c>
      <c r="F201" s="19" t="s">
        <v>75</v>
      </c>
      <c r="G201" s="9"/>
      <c r="H201" s="9">
        <f>IF(Table38[[#This Row],[modality]]=C200,1,0)</f>
        <v>0</v>
      </c>
      <c r="I201">
        <f>IF(Table38[[#This Row],[stimulus]]=F202,1,0)</f>
        <v>0</v>
      </c>
      <c r="J201">
        <f t="shared" si="3"/>
        <v>0</v>
      </c>
      <c r="K201" s="9"/>
      <c r="L201" s="9"/>
    </row>
    <row r="202" spans="1:12" x14ac:dyDescent="0.3">
      <c r="A202" s="11">
        <v>1</v>
      </c>
      <c r="B202" s="42">
        <v>2</v>
      </c>
      <c r="C202" s="42" t="s">
        <v>84</v>
      </c>
      <c r="D202" s="48" t="s">
        <v>4</v>
      </c>
      <c r="E202" s="8" t="s">
        <v>45</v>
      </c>
      <c r="F202" s="8" t="s">
        <v>53</v>
      </c>
      <c r="G202" s="9"/>
      <c r="H202" s="9">
        <f>IF(Table38[[#This Row],[modality]]=C201,1,0)</f>
        <v>1</v>
      </c>
      <c r="I202">
        <f>IF(Table38[[#This Row],[stimulus]]=F203,1,0)</f>
        <v>1</v>
      </c>
      <c r="J202">
        <f t="shared" si="3"/>
        <v>0</v>
      </c>
      <c r="K202" s="9"/>
      <c r="L202" s="9"/>
    </row>
    <row r="203" spans="1:12" x14ac:dyDescent="0.3">
      <c r="A203" s="16">
        <v>1</v>
      </c>
      <c r="B203" s="41">
        <v>2</v>
      </c>
      <c r="C203" s="41" t="s">
        <v>84</v>
      </c>
      <c r="D203" s="47" t="s">
        <v>44</v>
      </c>
      <c r="E203" s="19" t="s">
        <v>13</v>
      </c>
      <c r="F203" s="19" t="s">
        <v>53</v>
      </c>
      <c r="G203" s="9"/>
      <c r="H203" s="9">
        <f>IF(Table38[[#This Row],[modality]]=C202,1,0)</f>
        <v>1</v>
      </c>
      <c r="I203">
        <f>IF(Table38[[#This Row],[stimulus]]=F204,1,0)</f>
        <v>0</v>
      </c>
      <c r="J203">
        <f t="shared" si="3"/>
        <v>0</v>
      </c>
      <c r="K203" s="9"/>
      <c r="L203" s="9"/>
    </row>
    <row r="204" spans="1:12" x14ac:dyDescent="0.3">
      <c r="A204" s="11">
        <v>1</v>
      </c>
      <c r="B204" s="43">
        <v>1</v>
      </c>
      <c r="C204" s="43" t="s">
        <v>85</v>
      </c>
      <c r="D204" s="51" t="s">
        <v>33</v>
      </c>
      <c r="E204" s="8" t="s">
        <v>46</v>
      </c>
      <c r="F204" s="8" t="s">
        <v>73</v>
      </c>
      <c r="G204" s="9"/>
      <c r="H204" s="9">
        <f>IF(Table38[[#This Row],[modality]]=C203,1,0)</f>
        <v>0</v>
      </c>
      <c r="I204">
        <f>IF(Table38[[#This Row],[stimulus]]=F205,1,0)</f>
        <v>0</v>
      </c>
      <c r="J204">
        <f t="shared" si="3"/>
        <v>1</v>
      </c>
      <c r="K204" s="9"/>
      <c r="L204" s="9"/>
    </row>
    <row r="205" spans="1:12" x14ac:dyDescent="0.3">
      <c r="A205" s="16">
        <v>1</v>
      </c>
      <c r="B205" s="43">
        <v>1</v>
      </c>
      <c r="C205" s="43" t="s">
        <v>85</v>
      </c>
      <c r="D205" s="51" t="s">
        <v>33</v>
      </c>
      <c r="E205" s="19" t="s">
        <v>46</v>
      </c>
      <c r="F205" s="19" t="s">
        <v>77</v>
      </c>
      <c r="G205" s="9"/>
      <c r="H205" s="9">
        <f>IF(Table38[[#This Row],[modality]]=C204,1,0)</f>
        <v>1</v>
      </c>
      <c r="I205">
        <f>IF(Table38[[#This Row],[stimulus]]=F206,1,0)</f>
        <v>0</v>
      </c>
      <c r="J205">
        <f t="shared" si="3"/>
        <v>0</v>
      </c>
      <c r="K205" s="9"/>
      <c r="L205" s="9"/>
    </row>
    <row r="206" spans="1:12" x14ac:dyDescent="0.3">
      <c r="A206" s="11">
        <v>1</v>
      </c>
      <c r="B206" s="42">
        <v>2</v>
      </c>
      <c r="C206" s="42" t="s">
        <v>84</v>
      </c>
      <c r="D206" s="48" t="s">
        <v>4</v>
      </c>
      <c r="E206" s="8" t="s">
        <v>45</v>
      </c>
      <c r="F206" s="8" t="s">
        <v>52</v>
      </c>
      <c r="G206" s="9"/>
      <c r="H206" s="9">
        <f>IF(Table38[[#This Row],[modality]]=C205,1,0)</f>
        <v>0</v>
      </c>
      <c r="I206">
        <f>IF(Table38[[#This Row],[stimulus]]=F207,1,0)</f>
        <v>1</v>
      </c>
      <c r="J206">
        <f t="shared" si="3"/>
        <v>0</v>
      </c>
      <c r="K206" s="9"/>
      <c r="L206" s="9"/>
    </row>
    <row r="207" spans="1:12" x14ac:dyDescent="0.3">
      <c r="A207" s="16">
        <v>1</v>
      </c>
      <c r="B207" s="41">
        <v>2</v>
      </c>
      <c r="C207" s="41" t="s">
        <v>84</v>
      </c>
      <c r="D207" s="47" t="s">
        <v>44</v>
      </c>
      <c r="E207" s="19" t="s">
        <v>13</v>
      </c>
      <c r="F207" s="19" t="s">
        <v>52</v>
      </c>
      <c r="G207" s="9"/>
      <c r="H207" s="9">
        <f>IF(Table38[[#This Row],[modality]]=C206,1,0)</f>
        <v>1</v>
      </c>
      <c r="I207">
        <f>IF(Table38[[#This Row],[stimulus]]=F208,1,0)</f>
        <v>0</v>
      </c>
      <c r="J207">
        <f t="shared" si="3"/>
        <v>0</v>
      </c>
      <c r="K207" s="9"/>
      <c r="L207" s="9"/>
    </row>
    <row r="208" spans="1:12" x14ac:dyDescent="0.3">
      <c r="A208" s="11">
        <v>1</v>
      </c>
      <c r="B208" s="42">
        <v>2</v>
      </c>
      <c r="C208" s="42" t="s">
        <v>84</v>
      </c>
      <c r="D208" s="48" t="s">
        <v>4</v>
      </c>
      <c r="E208" s="8" t="s">
        <v>45</v>
      </c>
      <c r="F208" s="8" t="s">
        <v>54</v>
      </c>
      <c r="G208" s="9"/>
      <c r="H208" s="9">
        <f>IF(Table38[[#This Row],[modality]]=C207,1,0)</f>
        <v>1</v>
      </c>
      <c r="I208">
        <f>IF(Table38[[#This Row],[stimulus]]=F209,1,0)</f>
        <v>1</v>
      </c>
      <c r="J208">
        <f t="shared" si="3"/>
        <v>1</v>
      </c>
      <c r="K208" s="9"/>
      <c r="L208" s="9"/>
    </row>
    <row r="209" spans="1:12" x14ac:dyDescent="0.3">
      <c r="A209" s="16">
        <v>1</v>
      </c>
      <c r="B209" s="41">
        <v>1</v>
      </c>
      <c r="C209" s="41" t="s">
        <v>85</v>
      </c>
      <c r="D209" s="47" t="s">
        <v>44</v>
      </c>
      <c r="E209" s="19" t="s">
        <v>14</v>
      </c>
      <c r="F209" s="19" t="s">
        <v>54</v>
      </c>
      <c r="G209" s="9"/>
      <c r="H209" s="9">
        <f>IF(Table38[[#This Row],[modality]]=C208,1,0)</f>
        <v>0</v>
      </c>
      <c r="I209">
        <f>IF(Table38[[#This Row],[stimulus]]=F210,1,0)</f>
        <v>0</v>
      </c>
      <c r="J209">
        <f t="shared" si="3"/>
        <v>0</v>
      </c>
      <c r="K209" s="9"/>
      <c r="L209" s="9"/>
    </row>
    <row r="210" spans="1:12" x14ac:dyDescent="0.3">
      <c r="A210" s="11">
        <v>1</v>
      </c>
      <c r="B210" s="43">
        <v>1</v>
      </c>
      <c r="C210" s="43" t="s">
        <v>85</v>
      </c>
      <c r="D210" s="51" t="s">
        <v>33</v>
      </c>
      <c r="E210" s="8" t="s">
        <v>46</v>
      </c>
      <c r="F210" s="8" t="s">
        <v>74</v>
      </c>
      <c r="G210" s="9"/>
      <c r="H210" s="9">
        <f>IF(Table38[[#This Row],[modality]]=C209,1,0)</f>
        <v>1</v>
      </c>
      <c r="I210">
        <f>IF(Table38[[#This Row],[stimulus]]=F211,1,0)</f>
        <v>0</v>
      </c>
      <c r="J210">
        <f t="shared" si="3"/>
        <v>1</v>
      </c>
      <c r="K210" s="9"/>
      <c r="L210" s="9"/>
    </row>
    <row r="211" spans="1:12" x14ac:dyDescent="0.3">
      <c r="A211" s="16">
        <v>1</v>
      </c>
      <c r="B211" s="41">
        <v>1</v>
      </c>
      <c r="C211" s="41" t="s">
        <v>85</v>
      </c>
      <c r="D211" s="47" t="s">
        <v>4</v>
      </c>
      <c r="E211" s="19" t="s">
        <v>45</v>
      </c>
      <c r="F211" s="19" t="s">
        <v>47</v>
      </c>
      <c r="G211" s="9"/>
      <c r="H211" s="9">
        <f>IF(Table38[[#This Row],[modality]]=C210,1,0)</f>
        <v>1</v>
      </c>
      <c r="I211">
        <f>IF(Table38[[#This Row],[stimulus]]=F212,1,0)</f>
        <v>1</v>
      </c>
      <c r="J211">
        <f t="shared" si="3"/>
        <v>0</v>
      </c>
      <c r="K211" s="9"/>
      <c r="L211" s="9"/>
    </row>
    <row r="212" spans="1:12" x14ac:dyDescent="0.3">
      <c r="A212" s="11">
        <v>1</v>
      </c>
      <c r="B212" s="42">
        <v>2</v>
      </c>
      <c r="C212" s="42" t="s">
        <v>84</v>
      </c>
      <c r="D212" s="48" t="s">
        <v>44</v>
      </c>
      <c r="E212" s="8" t="s">
        <v>14</v>
      </c>
      <c r="F212" s="8" t="s">
        <v>47</v>
      </c>
      <c r="G212" s="9"/>
      <c r="H212" s="9">
        <f>IF(Table38[[#This Row],[modality]]=C211,1,0)</f>
        <v>0</v>
      </c>
      <c r="I212">
        <f>IF(Table38[[#This Row],[stimulus]]=F213,1,0)</f>
        <v>0</v>
      </c>
      <c r="J212">
        <f t="shared" si="3"/>
        <v>0</v>
      </c>
      <c r="K212" s="9"/>
      <c r="L212" s="9"/>
    </row>
    <row r="213" spans="1:12" x14ac:dyDescent="0.3">
      <c r="A213" s="16">
        <v>1</v>
      </c>
      <c r="B213" s="41">
        <v>2</v>
      </c>
      <c r="C213" s="41" t="s">
        <v>84</v>
      </c>
      <c r="D213" s="47" t="s">
        <v>4</v>
      </c>
      <c r="E213" s="19" t="s">
        <v>45</v>
      </c>
      <c r="F213" s="19" t="s">
        <v>50</v>
      </c>
      <c r="G213" s="9"/>
      <c r="H213" s="9">
        <f>IF(Table38[[#This Row],[modality]]=C212,1,0)</f>
        <v>1</v>
      </c>
      <c r="I213">
        <f>IF(Table38[[#This Row],[stimulus]]=F214,1,0)</f>
        <v>1</v>
      </c>
      <c r="J213">
        <f t="shared" si="3"/>
        <v>1</v>
      </c>
      <c r="K213" s="9"/>
      <c r="L213" s="9"/>
    </row>
    <row r="214" spans="1:12" x14ac:dyDescent="0.3">
      <c r="A214" s="11">
        <v>1</v>
      </c>
      <c r="B214" s="42">
        <v>1</v>
      </c>
      <c r="C214" s="42" t="s">
        <v>85</v>
      </c>
      <c r="D214" s="48" t="s">
        <v>44</v>
      </c>
      <c r="E214" s="8" t="s">
        <v>14</v>
      </c>
      <c r="F214" s="8" t="s">
        <v>50</v>
      </c>
      <c r="G214" s="9"/>
      <c r="H214" s="9">
        <f>IF(Table38[[#This Row],[modality]]=C213,1,0)</f>
        <v>0</v>
      </c>
      <c r="I214">
        <f>IF(Table38[[#This Row],[stimulus]]=F215,1,0)</f>
        <v>0</v>
      </c>
      <c r="J214">
        <f t="shared" si="3"/>
        <v>0</v>
      </c>
      <c r="K214" s="9"/>
      <c r="L214" s="9"/>
    </row>
    <row r="215" spans="1:12" x14ac:dyDescent="0.3">
      <c r="A215" s="16">
        <v>1</v>
      </c>
      <c r="B215" s="43">
        <v>2</v>
      </c>
      <c r="C215" s="49" t="s">
        <v>84</v>
      </c>
      <c r="D215" s="51" t="s">
        <v>33</v>
      </c>
      <c r="E215" s="19" t="s">
        <v>46</v>
      </c>
      <c r="F215" s="19" t="s">
        <v>78</v>
      </c>
      <c r="G215" s="9"/>
      <c r="H215" s="9">
        <f>IF(Table38[[#This Row],[modality]]=C214,1,0)</f>
        <v>0</v>
      </c>
      <c r="I215">
        <f>IF(Table38[[#This Row],[stimulus]]=F216,1,0)</f>
        <v>0</v>
      </c>
      <c r="J215">
        <f t="shared" si="3"/>
        <v>1</v>
      </c>
      <c r="K215" s="9"/>
      <c r="L215" s="9"/>
    </row>
    <row r="216" spans="1:12" x14ac:dyDescent="0.3">
      <c r="A216" s="11">
        <v>1</v>
      </c>
      <c r="B216" s="43">
        <v>2</v>
      </c>
      <c r="C216" s="43" t="s">
        <v>84</v>
      </c>
      <c r="D216" s="51" t="s">
        <v>33</v>
      </c>
      <c r="E216" s="8" t="s">
        <v>46</v>
      </c>
      <c r="F216" s="8" t="s">
        <v>71</v>
      </c>
      <c r="G216" s="9"/>
      <c r="H216" s="9">
        <f>IF(Table38[[#This Row],[modality]]=C215,1,0)</f>
        <v>1</v>
      </c>
      <c r="I216">
        <f>IF(Table38[[#This Row],[stimulus]]=F217,1,0)</f>
        <v>0</v>
      </c>
      <c r="J216">
        <f t="shared" si="3"/>
        <v>0</v>
      </c>
      <c r="K216" s="9"/>
      <c r="L216" s="9"/>
    </row>
    <row r="217" spans="1:12" x14ac:dyDescent="0.3">
      <c r="A217" s="16">
        <v>1</v>
      </c>
      <c r="B217" s="41">
        <v>1</v>
      </c>
      <c r="C217" s="41" t="s">
        <v>85</v>
      </c>
      <c r="D217" s="47" t="s">
        <v>4</v>
      </c>
      <c r="E217" s="19" t="s">
        <v>45</v>
      </c>
      <c r="F217" s="19" t="s">
        <v>48</v>
      </c>
      <c r="G217" s="9"/>
      <c r="H217" s="9">
        <f>IF(Table38[[#This Row],[modality]]=C216,1,0)</f>
        <v>0</v>
      </c>
      <c r="I217">
        <f>IF(Table38[[#This Row],[stimulus]]=F218,1,0)</f>
        <v>1</v>
      </c>
      <c r="J217">
        <f t="shared" si="3"/>
        <v>0</v>
      </c>
      <c r="K217" s="9"/>
      <c r="L217" s="9"/>
    </row>
    <row r="218" spans="1:12" x14ac:dyDescent="0.3">
      <c r="A218" s="11">
        <v>1</v>
      </c>
      <c r="B218" s="42">
        <v>1</v>
      </c>
      <c r="C218" s="41" t="s">
        <v>85</v>
      </c>
      <c r="D218" s="48" t="s">
        <v>44</v>
      </c>
      <c r="E218" s="8" t="s">
        <v>13</v>
      </c>
      <c r="F218" s="8" t="s">
        <v>48</v>
      </c>
      <c r="G218" s="9"/>
      <c r="H218" s="9">
        <f>IF(Table38[[#This Row],[modality]]=C217,1,0)</f>
        <v>1</v>
      </c>
      <c r="I218">
        <f>IF(Table38[[#This Row],[stimulus]]=F219,1,0)</f>
        <v>0</v>
      </c>
      <c r="J218">
        <f t="shared" si="3"/>
        <v>0</v>
      </c>
      <c r="K218" s="9"/>
      <c r="L218" s="9"/>
    </row>
    <row r="219" spans="1:12" x14ac:dyDescent="0.3">
      <c r="A219" s="16">
        <v>1</v>
      </c>
      <c r="B219" s="43">
        <v>2</v>
      </c>
      <c r="C219" s="49" t="s">
        <v>84</v>
      </c>
      <c r="D219" s="51" t="s">
        <v>33</v>
      </c>
      <c r="E219" s="19" t="s">
        <v>46</v>
      </c>
      <c r="F219" s="19" t="s">
        <v>76</v>
      </c>
      <c r="G219" s="9"/>
      <c r="H219" s="9">
        <f>IF(Table38[[#This Row],[modality]]=C218,1,0)</f>
        <v>0</v>
      </c>
      <c r="I219">
        <f>IF(Table38[[#This Row],[stimulus]]=F220,1,0)</f>
        <v>0</v>
      </c>
      <c r="J219">
        <f t="shared" si="3"/>
        <v>1</v>
      </c>
      <c r="K219" s="9"/>
      <c r="L219" s="9"/>
    </row>
    <row r="220" spans="1:12" x14ac:dyDescent="0.3">
      <c r="A220" s="11">
        <v>1</v>
      </c>
      <c r="B220" s="43">
        <v>2</v>
      </c>
      <c r="C220" s="43" t="s">
        <v>84</v>
      </c>
      <c r="D220" s="51" t="s">
        <v>33</v>
      </c>
      <c r="E220" s="8" t="s">
        <v>46</v>
      </c>
      <c r="F220" s="8" t="s">
        <v>72</v>
      </c>
      <c r="G220" s="9"/>
      <c r="H220" s="9">
        <f>IF(Table38[[#This Row],[modality]]=C219,1,0)</f>
        <v>1</v>
      </c>
      <c r="I220">
        <f>IF(Table38[[#This Row],[stimulus]]=F221,1,0)</f>
        <v>0</v>
      </c>
      <c r="J220">
        <f t="shared" si="3"/>
        <v>0</v>
      </c>
      <c r="K220" s="9"/>
      <c r="L220" s="9"/>
    </row>
    <row r="221" spans="1:12" x14ac:dyDescent="0.3">
      <c r="A221" s="16">
        <v>1</v>
      </c>
      <c r="B221" s="41">
        <v>1</v>
      </c>
      <c r="C221" s="41" t="s">
        <v>85</v>
      </c>
      <c r="D221" s="47" t="s">
        <v>4</v>
      </c>
      <c r="E221" s="19" t="s">
        <v>45</v>
      </c>
      <c r="F221" s="19" t="s">
        <v>49</v>
      </c>
      <c r="G221" s="9"/>
      <c r="H221" s="9">
        <f>IF(Table38[[#This Row],[modality]]=C220,1,0)</f>
        <v>0</v>
      </c>
      <c r="I221">
        <f>IF(Table38[[#This Row],[stimulus]]=F222,1,0)</f>
        <v>1</v>
      </c>
      <c r="J221">
        <f t="shared" si="3"/>
        <v>0</v>
      </c>
      <c r="K221" s="9"/>
      <c r="L221" s="9"/>
    </row>
    <row r="222" spans="1:12" x14ac:dyDescent="0.3">
      <c r="A222" s="11">
        <v>1</v>
      </c>
      <c r="B222" s="42">
        <v>1</v>
      </c>
      <c r="C222" s="41" t="s">
        <v>85</v>
      </c>
      <c r="D222" s="48" t="s">
        <v>44</v>
      </c>
      <c r="E222" s="8" t="s">
        <v>13</v>
      </c>
      <c r="F222" s="8" t="s">
        <v>49</v>
      </c>
      <c r="G222" s="9"/>
      <c r="H222" s="9">
        <f>IF(Table38[[#This Row],[modality]]=C221,1,0)</f>
        <v>1</v>
      </c>
      <c r="I222">
        <f>IF(Table38[[#This Row],[stimulus]]=F223,1,0)</f>
        <v>0</v>
      </c>
      <c r="J222">
        <f t="shared" si="3"/>
        <v>0</v>
      </c>
      <c r="K222" s="9"/>
      <c r="L222" s="9"/>
    </row>
    <row r="223" spans="1:12" x14ac:dyDescent="0.3">
      <c r="A223" s="16">
        <v>1</v>
      </c>
      <c r="B223" s="41">
        <v>1</v>
      </c>
      <c r="C223" s="41" t="s">
        <v>85</v>
      </c>
      <c r="D223" s="47" t="s">
        <v>4</v>
      </c>
      <c r="E223" s="19" t="s">
        <v>45</v>
      </c>
      <c r="F223" s="19" t="s">
        <v>51</v>
      </c>
      <c r="G223" s="9"/>
      <c r="H223" s="9">
        <f>IF(Table38[[#This Row],[modality]]=C222,1,0)</f>
        <v>1</v>
      </c>
      <c r="I223">
        <f>IF(Table38[[#This Row],[stimulus]]=F224,1,0)</f>
        <v>1</v>
      </c>
      <c r="J223">
        <f t="shared" si="3"/>
        <v>1</v>
      </c>
      <c r="K223" s="9"/>
      <c r="L223" s="9"/>
    </row>
    <row r="224" spans="1:12" x14ac:dyDescent="0.3">
      <c r="A224" s="11">
        <v>1</v>
      </c>
      <c r="B224" s="42">
        <v>2</v>
      </c>
      <c r="C224" s="42" t="s">
        <v>84</v>
      </c>
      <c r="D224" s="48" t="s">
        <v>44</v>
      </c>
      <c r="E224" s="8" t="s">
        <v>14</v>
      </c>
      <c r="F224" s="8" t="s">
        <v>51</v>
      </c>
      <c r="G224" s="9"/>
      <c r="H224" s="9">
        <f>IF(Table38[[#This Row],[modality]]=C223,1,0)</f>
        <v>0</v>
      </c>
      <c r="I224">
        <f>IF(Table38[[#This Row],[stimulus]]=F225,1,0)</f>
        <v>0</v>
      </c>
      <c r="J224">
        <f t="shared" si="3"/>
        <v>0</v>
      </c>
      <c r="K224" s="9"/>
      <c r="L224" s="9"/>
    </row>
    <row r="225" spans="1:12" x14ac:dyDescent="0.3">
      <c r="A225" s="8">
        <v>2</v>
      </c>
      <c r="B225" s="44">
        <v>2</v>
      </c>
      <c r="C225" s="44" t="s">
        <v>84</v>
      </c>
      <c r="D225" s="44" t="s">
        <v>33</v>
      </c>
      <c r="E225" s="8" t="s">
        <v>46</v>
      </c>
      <c r="F225" s="8" t="s">
        <v>53</v>
      </c>
      <c r="G225" s="9"/>
      <c r="H225" s="9">
        <f>IF(Table38[[#This Row],[modality]]=C224,1,0)</f>
        <v>1</v>
      </c>
      <c r="I225">
        <f>IF(Table38[[#This Row],[stimulus]]=F226,1,0)</f>
        <v>0</v>
      </c>
      <c r="J225">
        <f t="shared" si="3"/>
        <v>1</v>
      </c>
      <c r="K225" s="9"/>
      <c r="L225" s="9"/>
    </row>
    <row r="226" spans="1:12" x14ac:dyDescent="0.3">
      <c r="A226" s="8">
        <v>2</v>
      </c>
      <c r="B226" s="44">
        <v>1</v>
      </c>
      <c r="C226" s="44" t="s">
        <v>85</v>
      </c>
      <c r="D226" s="44" t="s">
        <v>33</v>
      </c>
      <c r="E226" s="8" t="s">
        <v>46</v>
      </c>
      <c r="F226" s="8" t="s">
        <v>49</v>
      </c>
      <c r="G226" s="9"/>
      <c r="H226" s="9">
        <f>IF(Table38[[#This Row],[modality]]=C225,1,0)</f>
        <v>0</v>
      </c>
      <c r="I226">
        <f>IF(Table38[[#This Row],[stimulus]]=F227,1,0)</f>
        <v>0</v>
      </c>
      <c r="J226">
        <f t="shared" si="3"/>
        <v>0</v>
      </c>
      <c r="K226" s="9"/>
      <c r="L226" s="9"/>
    </row>
    <row r="227" spans="1:12" x14ac:dyDescent="0.3">
      <c r="A227" s="8">
        <v>2</v>
      </c>
      <c r="B227" s="42">
        <v>1</v>
      </c>
      <c r="C227" s="48" t="s">
        <v>85</v>
      </c>
      <c r="D227" s="48" t="s">
        <v>4</v>
      </c>
      <c r="E227" s="8" t="s">
        <v>45</v>
      </c>
      <c r="F227" s="8" t="s">
        <v>56</v>
      </c>
      <c r="G227" s="9"/>
      <c r="H227" s="9">
        <f>IF(Table38[[#This Row],[modality]]=C226,1,0)</f>
        <v>1</v>
      </c>
      <c r="I227">
        <f>IF(Table38[[#This Row],[stimulus]]=F228,1,0)</f>
        <v>1</v>
      </c>
      <c r="J227">
        <f t="shared" si="3"/>
        <v>0</v>
      </c>
      <c r="K227" s="9"/>
      <c r="L227" s="9"/>
    </row>
    <row r="228" spans="1:12" x14ac:dyDescent="0.3">
      <c r="A228" s="19">
        <v>2</v>
      </c>
      <c r="B228" s="41">
        <v>1</v>
      </c>
      <c r="C228" s="47" t="s">
        <v>85</v>
      </c>
      <c r="D228" s="47" t="s">
        <v>44</v>
      </c>
      <c r="E228" s="19" t="s">
        <v>13</v>
      </c>
      <c r="F228" s="19" t="s">
        <v>56</v>
      </c>
      <c r="G228" s="9"/>
      <c r="H228" s="9">
        <f>IF(Table38[[#This Row],[modality]]=C227,1,0)</f>
        <v>1</v>
      </c>
      <c r="I228">
        <f>IF(Table38[[#This Row],[stimulus]]=F229,1,0)</f>
        <v>0</v>
      </c>
      <c r="J228">
        <f t="shared" si="3"/>
        <v>0</v>
      </c>
      <c r="K228" s="9"/>
      <c r="L228" s="9"/>
    </row>
    <row r="229" spans="1:12" x14ac:dyDescent="0.3">
      <c r="A229" s="19">
        <v>2</v>
      </c>
      <c r="B229" s="44">
        <v>2</v>
      </c>
      <c r="C229" s="44" t="s">
        <v>84</v>
      </c>
      <c r="D229" s="44" t="s">
        <v>33</v>
      </c>
      <c r="E229" s="19" t="s">
        <v>46</v>
      </c>
      <c r="F229" s="19" t="s">
        <v>52</v>
      </c>
      <c r="G229" s="9"/>
      <c r="H229" s="9">
        <f>IF(Table38[[#This Row],[modality]]=C228,1,0)</f>
        <v>0</v>
      </c>
      <c r="I229">
        <f>IF(Table38[[#This Row],[stimulus]]=F230,1,0)</f>
        <v>0</v>
      </c>
      <c r="J229">
        <f t="shared" si="3"/>
        <v>1</v>
      </c>
      <c r="K229" s="9"/>
      <c r="L229" s="9"/>
    </row>
    <row r="230" spans="1:12" x14ac:dyDescent="0.3">
      <c r="A230" s="8">
        <v>2</v>
      </c>
      <c r="B230" s="42">
        <v>1</v>
      </c>
      <c r="C230" s="42" t="s">
        <v>85</v>
      </c>
      <c r="D230" s="48" t="s">
        <v>4</v>
      </c>
      <c r="E230" s="8" t="s">
        <v>45</v>
      </c>
      <c r="F230" s="8" t="s">
        <v>57</v>
      </c>
      <c r="G230" s="9"/>
      <c r="H230" s="9">
        <f>IF(Table38[[#This Row],[modality]]=C229,1,0)</f>
        <v>0</v>
      </c>
      <c r="I230">
        <f>IF(Table38[[#This Row],[stimulus]]=F231,1,0)</f>
        <v>1</v>
      </c>
      <c r="J230">
        <f t="shared" si="3"/>
        <v>0</v>
      </c>
      <c r="K230" s="9"/>
      <c r="L230" s="9"/>
    </row>
    <row r="231" spans="1:12" x14ac:dyDescent="0.3">
      <c r="A231" s="19">
        <v>2</v>
      </c>
      <c r="B231" s="41">
        <v>1</v>
      </c>
      <c r="C231" s="41" t="s">
        <v>85</v>
      </c>
      <c r="D231" s="47" t="s">
        <v>44</v>
      </c>
      <c r="E231" s="19" t="s">
        <v>13</v>
      </c>
      <c r="F231" s="19" t="s">
        <v>57</v>
      </c>
      <c r="G231" s="9"/>
      <c r="H231" s="9">
        <f>IF(Table38[[#This Row],[modality]]=C230,1,0)</f>
        <v>1</v>
      </c>
      <c r="I231">
        <f>IF(Table38[[#This Row],[stimulus]]=F232,1,0)</f>
        <v>0</v>
      </c>
      <c r="J231">
        <f t="shared" si="3"/>
        <v>0</v>
      </c>
      <c r="K231" s="9"/>
      <c r="L231" s="9"/>
    </row>
    <row r="232" spans="1:12" x14ac:dyDescent="0.3">
      <c r="A232" s="8">
        <v>2</v>
      </c>
      <c r="B232" s="42">
        <v>1</v>
      </c>
      <c r="C232" s="42" t="s">
        <v>85</v>
      </c>
      <c r="D232" s="48" t="s">
        <v>4</v>
      </c>
      <c r="E232" s="8" t="s">
        <v>45</v>
      </c>
      <c r="F232" s="8" t="s">
        <v>59</v>
      </c>
      <c r="G232" s="9"/>
      <c r="H232" s="9">
        <f>IF(Table38[[#This Row],[modality]]=C231,1,0)</f>
        <v>1</v>
      </c>
      <c r="I232">
        <f>IF(Table38[[#This Row],[stimulus]]=F233,1,0)</f>
        <v>1</v>
      </c>
      <c r="J232">
        <f t="shared" si="3"/>
        <v>1</v>
      </c>
      <c r="K232" s="9"/>
      <c r="L232" s="9"/>
    </row>
    <row r="233" spans="1:12" x14ac:dyDescent="0.3">
      <c r="A233" s="19">
        <v>2</v>
      </c>
      <c r="B233" s="41">
        <v>2</v>
      </c>
      <c r="C233" s="41" t="s">
        <v>84</v>
      </c>
      <c r="D233" s="47" t="s">
        <v>44</v>
      </c>
      <c r="E233" s="19" t="s">
        <v>14</v>
      </c>
      <c r="F233" s="19" t="s">
        <v>59</v>
      </c>
      <c r="G233" s="9"/>
      <c r="H233" s="9">
        <f>IF(Table38[[#This Row],[modality]]=C232,1,0)</f>
        <v>0</v>
      </c>
      <c r="I233">
        <f>IF(Table38[[#This Row],[stimulus]]=F234,1,0)</f>
        <v>0</v>
      </c>
      <c r="J233">
        <f t="shared" si="3"/>
        <v>0</v>
      </c>
      <c r="K233" s="9"/>
      <c r="L233" s="9"/>
    </row>
    <row r="234" spans="1:12" x14ac:dyDescent="0.3">
      <c r="A234" s="8">
        <v>2</v>
      </c>
      <c r="B234" s="44">
        <v>2</v>
      </c>
      <c r="C234" s="44" t="s">
        <v>84</v>
      </c>
      <c r="D234" s="44" t="s">
        <v>33</v>
      </c>
      <c r="E234" s="8" t="s">
        <v>46</v>
      </c>
      <c r="F234" s="8" t="s">
        <v>54</v>
      </c>
      <c r="G234" s="9"/>
      <c r="H234" s="9">
        <f>IF(Table38[[#This Row],[modality]]=C233,1,0)</f>
        <v>1</v>
      </c>
      <c r="I234">
        <f>IF(Table38[[#This Row],[stimulus]]=F235,1,0)</f>
        <v>0</v>
      </c>
      <c r="J234">
        <f t="shared" si="3"/>
        <v>1</v>
      </c>
      <c r="K234" s="9"/>
      <c r="L234" s="9"/>
    </row>
    <row r="235" spans="1:12" x14ac:dyDescent="0.3">
      <c r="A235" s="19">
        <v>2</v>
      </c>
      <c r="B235" s="41">
        <v>2</v>
      </c>
      <c r="C235" s="41" t="s">
        <v>84</v>
      </c>
      <c r="D235" s="47" t="s">
        <v>4</v>
      </c>
      <c r="E235" s="19" t="s">
        <v>45</v>
      </c>
      <c r="F235" s="19" t="s">
        <v>58</v>
      </c>
      <c r="G235" s="9"/>
      <c r="H235" s="9">
        <f>IF(Table38[[#This Row],[modality]]=C234,1,0)</f>
        <v>1</v>
      </c>
      <c r="I235">
        <f>IF(Table38[[#This Row],[stimulus]]=F236,1,0)</f>
        <v>1</v>
      </c>
      <c r="J235">
        <f t="shared" si="3"/>
        <v>0</v>
      </c>
      <c r="K235" s="9"/>
      <c r="L235" s="9"/>
    </row>
    <row r="236" spans="1:12" x14ac:dyDescent="0.3">
      <c r="A236" s="8">
        <v>2</v>
      </c>
      <c r="B236" s="42">
        <v>1</v>
      </c>
      <c r="C236" s="42" t="s">
        <v>85</v>
      </c>
      <c r="D236" s="48" t="s">
        <v>44</v>
      </c>
      <c r="E236" s="8" t="s">
        <v>14</v>
      </c>
      <c r="F236" s="8" t="s">
        <v>58</v>
      </c>
      <c r="G236" s="9"/>
      <c r="H236" s="9">
        <f>IF(Table38[[#This Row],[modality]]=C235,1,0)</f>
        <v>0</v>
      </c>
      <c r="I236">
        <f>IF(Table38[[#This Row],[stimulus]]=F237,1,0)</f>
        <v>0</v>
      </c>
      <c r="J236">
        <f t="shared" si="3"/>
        <v>0</v>
      </c>
      <c r="K236" s="9"/>
      <c r="L236" s="9"/>
    </row>
    <row r="237" spans="1:12" x14ac:dyDescent="0.3">
      <c r="A237" s="19">
        <v>2</v>
      </c>
      <c r="B237" s="44">
        <v>1</v>
      </c>
      <c r="C237" s="44" t="s">
        <v>85</v>
      </c>
      <c r="D237" s="44" t="s">
        <v>33</v>
      </c>
      <c r="E237" s="19" t="s">
        <v>46</v>
      </c>
      <c r="F237" s="19" t="s">
        <v>47</v>
      </c>
      <c r="G237" s="9"/>
      <c r="H237" s="9">
        <f>IF(Table38[[#This Row],[modality]]=C236,1,0)</f>
        <v>1</v>
      </c>
      <c r="I237">
        <f>IF(Table38[[#This Row],[stimulus]]=F238,1,0)</f>
        <v>0</v>
      </c>
      <c r="J237">
        <f t="shared" si="3"/>
        <v>1</v>
      </c>
      <c r="K237" s="9"/>
      <c r="L237" s="9"/>
    </row>
    <row r="238" spans="1:12" x14ac:dyDescent="0.3">
      <c r="A238" s="19">
        <v>2</v>
      </c>
      <c r="B238" s="41">
        <v>1</v>
      </c>
      <c r="C238" s="41" t="s">
        <v>85</v>
      </c>
      <c r="D238" s="47" t="s">
        <v>4</v>
      </c>
      <c r="E238" s="19" t="s">
        <v>45</v>
      </c>
      <c r="F238" s="19" t="s">
        <v>55</v>
      </c>
      <c r="G238" s="9"/>
      <c r="H238" s="9">
        <f>IF(Table38[[#This Row],[modality]]=C237,1,0)</f>
        <v>1</v>
      </c>
      <c r="I238">
        <f>IF(Table38[[#This Row],[stimulus]]=F239,1,0)</f>
        <v>1</v>
      </c>
      <c r="J238">
        <f t="shared" si="3"/>
        <v>0</v>
      </c>
      <c r="K238" s="9"/>
      <c r="L238" s="9"/>
    </row>
    <row r="239" spans="1:12" x14ac:dyDescent="0.3">
      <c r="A239" s="8">
        <v>2</v>
      </c>
      <c r="B239" s="42">
        <v>2</v>
      </c>
      <c r="C239" s="42" t="s">
        <v>84</v>
      </c>
      <c r="D239" s="48" t="s">
        <v>44</v>
      </c>
      <c r="E239" s="8" t="s">
        <v>14</v>
      </c>
      <c r="F239" s="8" t="s">
        <v>55</v>
      </c>
      <c r="G239" s="9"/>
      <c r="H239" s="9">
        <f>IF(Table38[[#This Row],[modality]]=C238,1,0)</f>
        <v>0</v>
      </c>
      <c r="I239">
        <f>IF(Table38[[#This Row],[stimulus]]=F240,1,0)</f>
        <v>0</v>
      </c>
      <c r="J239">
        <f t="shared" si="3"/>
        <v>0</v>
      </c>
      <c r="K239" s="9"/>
      <c r="L239" s="9"/>
    </row>
    <row r="240" spans="1:12" x14ac:dyDescent="0.3">
      <c r="A240" s="8">
        <v>2</v>
      </c>
      <c r="B240" s="44">
        <v>1</v>
      </c>
      <c r="C240" s="44" t="s">
        <v>85</v>
      </c>
      <c r="D240" s="44" t="s">
        <v>33</v>
      </c>
      <c r="E240" s="8" t="s">
        <v>46</v>
      </c>
      <c r="F240" s="8" t="s">
        <v>50</v>
      </c>
      <c r="G240" s="9"/>
      <c r="H240" s="9">
        <f>IF(Table38[[#This Row],[modality]]=C239,1,0)</f>
        <v>0</v>
      </c>
      <c r="I240">
        <f>IF(Table38[[#This Row],[stimulus]]=F241,1,0)</f>
        <v>0</v>
      </c>
      <c r="J240">
        <f t="shared" si="3"/>
        <v>1</v>
      </c>
      <c r="K240" s="9"/>
      <c r="L240" s="9"/>
    </row>
    <row r="241" spans="1:12" x14ac:dyDescent="0.3">
      <c r="A241" s="19">
        <v>2</v>
      </c>
      <c r="B241" s="41">
        <v>2</v>
      </c>
      <c r="C241" s="41" t="s">
        <v>84</v>
      </c>
      <c r="D241" s="47" t="s">
        <v>4</v>
      </c>
      <c r="E241" s="19" t="s">
        <v>45</v>
      </c>
      <c r="F241" s="19" t="s">
        <v>61</v>
      </c>
      <c r="G241" s="9"/>
      <c r="H241" s="9">
        <f>IF(Table38[[#This Row],[modality]]=C240,1,0)</f>
        <v>0</v>
      </c>
      <c r="I241">
        <f>IF(Table38[[#This Row],[stimulus]]=F242,1,0)</f>
        <v>1</v>
      </c>
      <c r="J241">
        <f t="shared" si="3"/>
        <v>0</v>
      </c>
      <c r="K241" s="9"/>
      <c r="L241" s="9"/>
    </row>
    <row r="242" spans="1:12" x14ac:dyDescent="0.3">
      <c r="A242" s="8">
        <v>2</v>
      </c>
      <c r="B242" s="42">
        <v>2</v>
      </c>
      <c r="C242" s="42" t="s">
        <v>84</v>
      </c>
      <c r="D242" s="48" t="s">
        <v>44</v>
      </c>
      <c r="E242" s="8" t="s">
        <v>13</v>
      </c>
      <c r="F242" s="8" t="s">
        <v>61</v>
      </c>
      <c r="G242" s="9"/>
      <c r="H242" s="9">
        <f>IF(Table38[[#This Row],[modality]]=C241,1,0)</f>
        <v>1</v>
      </c>
      <c r="I242">
        <f>IF(Table38[[#This Row],[stimulus]]=F243,1,0)</f>
        <v>0</v>
      </c>
      <c r="J242">
        <f t="shared" si="3"/>
        <v>0</v>
      </c>
      <c r="K242" s="9"/>
      <c r="L242" s="9"/>
    </row>
    <row r="243" spans="1:12" x14ac:dyDescent="0.3">
      <c r="A243" s="19">
        <v>2</v>
      </c>
      <c r="B243" s="44">
        <v>1</v>
      </c>
      <c r="C243" s="44" t="s">
        <v>85</v>
      </c>
      <c r="D243" s="44" t="s">
        <v>33</v>
      </c>
      <c r="E243" s="19" t="s">
        <v>46</v>
      </c>
      <c r="F243" s="19" t="s">
        <v>48</v>
      </c>
      <c r="G243" s="9"/>
      <c r="H243" s="9">
        <f>IF(Table38[[#This Row],[modality]]=C242,1,0)</f>
        <v>0</v>
      </c>
      <c r="I243">
        <f>IF(Table38[[#This Row],[stimulus]]=F244,1,0)</f>
        <v>0</v>
      </c>
      <c r="J243">
        <f t="shared" si="3"/>
        <v>1</v>
      </c>
      <c r="K243" s="9"/>
      <c r="L243" s="9"/>
    </row>
    <row r="244" spans="1:12" x14ac:dyDescent="0.3">
      <c r="A244" s="8">
        <v>2</v>
      </c>
      <c r="B244" s="42">
        <v>2</v>
      </c>
      <c r="C244" s="42" t="s">
        <v>84</v>
      </c>
      <c r="D244" s="48" t="s">
        <v>4</v>
      </c>
      <c r="E244" s="8" t="s">
        <v>45</v>
      </c>
      <c r="F244" s="8" t="s">
        <v>62</v>
      </c>
      <c r="G244" s="9"/>
      <c r="H244" s="9">
        <f>IF(Table38[[#This Row],[modality]]=C243,1,0)</f>
        <v>0</v>
      </c>
      <c r="I244">
        <f>IF(Table38[[#This Row],[stimulus]]=F245,1,0)</f>
        <v>1</v>
      </c>
      <c r="J244">
        <f t="shared" si="3"/>
        <v>0</v>
      </c>
      <c r="K244" s="9"/>
      <c r="L244" s="9"/>
    </row>
    <row r="245" spans="1:12" x14ac:dyDescent="0.3">
      <c r="A245" s="19">
        <v>2</v>
      </c>
      <c r="B245" s="41">
        <v>2</v>
      </c>
      <c r="C245" s="41" t="s">
        <v>84</v>
      </c>
      <c r="D245" s="47" t="s">
        <v>44</v>
      </c>
      <c r="E245" s="19" t="s">
        <v>13</v>
      </c>
      <c r="F245" s="19" t="s">
        <v>62</v>
      </c>
      <c r="G245" s="9"/>
      <c r="H245" s="9">
        <f>IF(Table38[[#This Row],[modality]]=C244,1,0)</f>
        <v>1</v>
      </c>
      <c r="I245">
        <f>IF(Table38[[#This Row],[stimulus]]=F246,1,0)</f>
        <v>0</v>
      </c>
      <c r="J245">
        <f t="shared" si="3"/>
        <v>0</v>
      </c>
      <c r="K245" s="9"/>
      <c r="L245" s="9"/>
    </row>
    <row r="246" spans="1:12" x14ac:dyDescent="0.3">
      <c r="A246" s="19">
        <v>2</v>
      </c>
      <c r="B246" s="44">
        <v>2</v>
      </c>
      <c r="C246" s="44" t="s">
        <v>84</v>
      </c>
      <c r="D246" s="44" t="s">
        <v>33</v>
      </c>
      <c r="E246" s="19" t="s">
        <v>46</v>
      </c>
      <c r="F246" s="19" t="s">
        <v>51</v>
      </c>
      <c r="G246" s="9"/>
      <c r="H246" s="9">
        <f>IF(Table38[[#This Row],[modality]]=C245,1,0)</f>
        <v>1</v>
      </c>
      <c r="I246">
        <f>IF(Table38[[#This Row],[stimulus]]=F247,1,0)</f>
        <v>0</v>
      </c>
      <c r="J246">
        <f t="shared" si="3"/>
        <v>1</v>
      </c>
      <c r="K246" s="9"/>
      <c r="L246" s="9"/>
    </row>
    <row r="247" spans="1:12" x14ac:dyDescent="0.3">
      <c r="A247" s="8">
        <v>2</v>
      </c>
      <c r="B247" s="42">
        <v>2</v>
      </c>
      <c r="C247" s="42" t="s">
        <v>84</v>
      </c>
      <c r="D247" s="48" t="s">
        <v>4</v>
      </c>
      <c r="E247" s="8" t="s">
        <v>45</v>
      </c>
      <c r="F247" s="8" t="s">
        <v>60</v>
      </c>
      <c r="G247" s="9"/>
      <c r="H247" s="9">
        <f>IF(Table38[[#This Row],[modality]]=C246,1,0)</f>
        <v>1</v>
      </c>
      <c r="I247">
        <f>IF(Table38[[#This Row],[stimulus]]=F248,1,0)</f>
        <v>1</v>
      </c>
      <c r="J247">
        <f t="shared" si="3"/>
        <v>0</v>
      </c>
      <c r="K247" s="9"/>
      <c r="L247" s="9"/>
    </row>
    <row r="248" spans="1:12" x14ac:dyDescent="0.3">
      <c r="A248" s="19">
        <v>2</v>
      </c>
      <c r="B248" s="41">
        <v>1</v>
      </c>
      <c r="C248" s="41" t="s">
        <v>85</v>
      </c>
      <c r="D248" s="47" t="s">
        <v>44</v>
      </c>
      <c r="E248" s="19" t="s">
        <v>14</v>
      </c>
      <c r="F248" s="19" t="s">
        <v>60</v>
      </c>
      <c r="G248" s="9"/>
      <c r="H248" s="9">
        <f>IF(Table38[[#This Row],[modality]]=C247,1,0)</f>
        <v>0</v>
      </c>
      <c r="I248">
        <f>IF(Table38[[#This Row],[stimulus]]=F249,1,0)</f>
        <v>0</v>
      </c>
      <c r="J248">
        <f t="shared" si="3"/>
        <v>0</v>
      </c>
      <c r="K248" s="9"/>
      <c r="L248" s="9"/>
    </row>
    <row r="249" spans="1:12" x14ac:dyDescent="0.3">
      <c r="A249" s="16">
        <v>3</v>
      </c>
      <c r="B249" s="45">
        <v>1</v>
      </c>
      <c r="C249" s="45" t="s">
        <v>85</v>
      </c>
      <c r="D249" s="45" t="s">
        <v>33</v>
      </c>
      <c r="E249" s="19" t="s">
        <v>46</v>
      </c>
      <c r="F249" s="19" t="s">
        <v>56</v>
      </c>
      <c r="G249" s="9"/>
      <c r="H249" s="9">
        <f>IF(Table38[[#This Row],[modality]]=C248,1,0)</f>
        <v>1</v>
      </c>
      <c r="I249">
        <f>IF(Table38[[#This Row],[stimulus]]=F250,1,0)</f>
        <v>0</v>
      </c>
      <c r="J249">
        <f t="shared" si="3"/>
        <v>1</v>
      </c>
      <c r="K249" s="9"/>
      <c r="L249" s="9"/>
    </row>
    <row r="250" spans="1:12" x14ac:dyDescent="0.3">
      <c r="A250" s="16">
        <v>3</v>
      </c>
      <c r="B250" s="41">
        <v>1</v>
      </c>
      <c r="C250" s="41" t="s">
        <v>85</v>
      </c>
      <c r="D250" s="47" t="s">
        <v>4</v>
      </c>
      <c r="E250" s="19" t="s">
        <v>45</v>
      </c>
      <c r="F250" s="19" t="s">
        <v>66</v>
      </c>
      <c r="G250" s="9"/>
      <c r="H250" s="9">
        <f>IF(Table38[[#This Row],[modality]]=C249,1,0)</f>
        <v>1</v>
      </c>
      <c r="I250">
        <f>IF(Table38[[#This Row],[stimulus]]=F251,1,0)</f>
        <v>1</v>
      </c>
      <c r="J250">
        <f t="shared" si="3"/>
        <v>0</v>
      </c>
      <c r="K250" s="9"/>
      <c r="L250" s="9"/>
    </row>
    <row r="251" spans="1:12" x14ac:dyDescent="0.3">
      <c r="A251" s="11">
        <v>3</v>
      </c>
      <c r="B251" s="42">
        <v>2</v>
      </c>
      <c r="C251" s="42" t="s">
        <v>84</v>
      </c>
      <c r="D251" s="48" t="s">
        <v>44</v>
      </c>
      <c r="E251" s="8" t="s">
        <v>14</v>
      </c>
      <c r="F251" s="8" t="s">
        <v>66</v>
      </c>
      <c r="G251" s="9"/>
      <c r="H251" s="9">
        <f>IF(Table38[[#This Row],[modality]]=C250,1,0)</f>
        <v>0</v>
      </c>
      <c r="I251">
        <f>IF(Table38[[#This Row],[stimulus]]=F252,1,0)</f>
        <v>0</v>
      </c>
      <c r="J251">
        <f t="shared" si="3"/>
        <v>0</v>
      </c>
      <c r="K251" s="9"/>
      <c r="L251" s="9"/>
    </row>
    <row r="252" spans="1:12" x14ac:dyDescent="0.3">
      <c r="A252" s="11">
        <v>3</v>
      </c>
      <c r="B252" s="45">
        <v>2</v>
      </c>
      <c r="C252" s="45" t="s">
        <v>84</v>
      </c>
      <c r="D252" s="45" t="s">
        <v>33</v>
      </c>
      <c r="E252" s="8" t="s">
        <v>46</v>
      </c>
      <c r="F252" s="8" t="s">
        <v>57</v>
      </c>
      <c r="G252" s="9"/>
      <c r="H252" s="9">
        <f>IF(Table38[[#This Row],[modality]]=C251,1,0)</f>
        <v>1</v>
      </c>
      <c r="I252">
        <f>IF(Table38[[#This Row],[stimulus]]=F253,1,0)</f>
        <v>0</v>
      </c>
      <c r="J252">
        <f t="shared" si="3"/>
        <v>1</v>
      </c>
      <c r="K252" s="9"/>
      <c r="L252" s="9"/>
    </row>
    <row r="253" spans="1:12" x14ac:dyDescent="0.3">
      <c r="A253" s="16">
        <v>3</v>
      </c>
      <c r="B253" s="41">
        <v>2</v>
      </c>
      <c r="C253" s="41" t="s">
        <v>84</v>
      </c>
      <c r="D253" s="47" t="s">
        <v>4</v>
      </c>
      <c r="E253" s="19" t="s">
        <v>45</v>
      </c>
      <c r="F253" s="19" t="s">
        <v>69</v>
      </c>
      <c r="G253" s="9"/>
      <c r="H253" s="9">
        <f>IF(Table38[[#This Row],[modality]]=C252,1,0)</f>
        <v>1</v>
      </c>
      <c r="I253">
        <f>IF(Table38[[#This Row],[stimulus]]=F254,1,0)</f>
        <v>1</v>
      </c>
      <c r="J253">
        <f t="shared" si="3"/>
        <v>0</v>
      </c>
      <c r="K253" s="9"/>
      <c r="L253" s="9"/>
    </row>
    <row r="254" spans="1:12" x14ac:dyDescent="0.3">
      <c r="A254" s="11">
        <v>3</v>
      </c>
      <c r="B254" s="42">
        <v>1</v>
      </c>
      <c r="C254" s="42" t="s">
        <v>85</v>
      </c>
      <c r="D254" s="48" t="s">
        <v>44</v>
      </c>
      <c r="E254" s="8" t="s">
        <v>14</v>
      </c>
      <c r="F254" s="8" t="s">
        <v>69</v>
      </c>
      <c r="G254" s="9"/>
      <c r="H254" s="9">
        <f>IF(Table38[[#This Row],[modality]]=C253,1,0)</f>
        <v>0</v>
      </c>
      <c r="I254">
        <f>IF(Table38[[#This Row],[stimulus]]=F255,1,0)</f>
        <v>0</v>
      </c>
      <c r="J254">
        <f t="shared" si="3"/>
        <v>0</v>
      </c>
      <c r="K254" s="9"/>
      <c r="L254" s="9"/>
    </row>
    <row r="255" spans="1:12" x14ac:dyDescent="0.3">
      <c r="A255" s="16">
        <v>3</v>
      </c>
      <c r="B255" s="41">
        <v>1</v>
      </c>
      <c r="C255" s="41" t="s">
        <v>85</v>
      </c>
      <c r="D255" s="47" t="s">
        <v>4</v>
      </c>
      <c r="E255" s="19" t="s">
        <v>45</v>
      </c>
      <c r="F255" s="19" t="s">
        <v>64</v>
      </c>
      <c r="G255" s="9"/>
      <c r="H255" s="9">
        <f>IF(Table38[[#This Row],[modality]]=C254,1,0)</f>
        <v>1</v>
      </c>
      <c r="I255">
        <f>IF(Table38[[#This Row],[stimulus]]=F256,1,0)</f>
        <v>1</v>
      </c>
      <c r="J255">
        <f t="shared" si="3"/>
        <v>1</v>
      </c>
      <c r="K255" s="9"/>
      <c r="L255" s="9"/>
    </row>
    <row r="256" spans="1:12" x14ac:dyDescent="0.3">
      <c r="A256" s="11">
        <v>3</v>
      </c>
      <c r="B256" s="42">
        <v>2</v>
      </c>
      <c r="C256" s="42" t="s">
        <v>84</v>
      </c>
      <c r="D256" s="48" t="s">
        <v>44</v>
      </c>
      <c r="E256" s="8" t="s">
        <v>14</v>
      </c>
      <c r="F256" s="8" t="s">
        <v>64</v>
      </c>
      <c r="G256" s="9"/>
      <c r="H256" s="9">
        <f>IF(Table38[[#This Row],[modality]]=C255,1,0)</f>
        <v>0</v>
      </c>
      <c r="I256">
        <f>IF(Table38[[#This Row],[stimulus]]=F257,1,0)</f>
        <v>0</v>
      </c>
      <c r="J256">
        <f t="shared" si="3"/>
        <v>0</v>
      </c>
      <c r="K256" s="9"/>
      <c r="L256" s="9"/>
    </row>
    <row r="257" spans="1:12" x14ac:dyDescent="0.3">
      <c r="A257" s="16">
        <v>3</v>
      </c>
      <c r="B257" s="45">
        <v>1</v>
      </c>
      <c r="C257" s="45" t="s">
        <v>85</v>
      </c>
      <c r="D257" s="45" t="s">
        <v>33</v>
      </c>
      <c r="E257" s="19" t="s">
        <v>46</v>
      </c>
      <c r="F257" s="19" t="s">
        <v>55</v>
      </c>
      <c r="G257" s="9"/>
      <c r="H257" s="9">
        <f>IF(Table38[[#This Row],[modality]]=C256,1,0)</f>
        <v>0</v>
      </c>
      <c r="I257">
        <f>IF(Table38[[#This Row],[stimulus]]=F258,1,0)</f>
        <v>0</v>
      </c>
      <c r="J257">
        <f t="shared" ref="J257:J320" si="4">IF(D256="T",1,0)</f>
        <v>1</v>
      </c>
      <c r="K257" s="9"/>
      <c r="L257" s="9"/>
    </row>
    <row r="258" spans="1:12" x14ac:dyDescent="0.3">
      <c r="A258" s="11">
        <v>3</v>
      </c>
      <c r="B258" s="42">
        <v>2</v>
      </c>
      <c r="C258" s="42" t="s">
        <v>84</v>
      </c>
      <c r="D258" s="48" t="s">
        <v>4</v>
      </c>
      <c r="E258" s="8" t="s">
        <v>45</v>
      </c>
      <c r="F258" s="8" t="s">
        <v>68</v>
      </c>
      <c r="G258" s="9"/>
      <c r="H258" s="9">
        <f>IF(Table38[[#This Row],[modality]]=C257,1,0)</f>
        <v>0</v>
      </c>
      <c r="I258">
        <f>IF(Table38[[#This Row],[stimulus]]=F259,1,0)</f>
        <v>1</v>
      </c>
      <c r="J258">
        <f t="shared" si="4"/>
        <v>0</v>
      </c>
      <c r="K258" s="9"/>
      <c r="L258" s="9"/>
    </row>
    <row r="259" spans="1:12" x14ac:dyDescent="0.3">
      <c r="A259" s="16">
        <v>3</v>
      </c>
      <c r="B259" s="41">
        <v>2</v>
      </c>
      <c r="C259" s="41" t="s">
        <v>84</v>
      </c>
      <c r="D259" s="47" t="s">
        <v>44</v>
      </c>
      <c r="E259" s="19" t="s">
        <v>13</v>
      </c>
      <c r="F259" s="19" t="s">
        <v>68</v>
      </c>
      <c r="G259" s="9"/>
      <c r="H259" s="9">
        <f>IF(Table38[[#This Row],[modality]]=C258,1,0)</f>
        <v>1</v>
      </c>
      <c r="I259">
        <f>IF(Table38[[#This Row],[stimulus]]=F260,1,0)</f>
        <v>0</v>
      </c>
      <c r="J259">
        <f t="shared" si="4"/>
        <v>0</v>
      </c>
      <c r="K259" s="9"/>
      <c r="L259" s="9"/>
    </row>
    <row r="260" spans="1:12" x14ac:dyDescent="0.3">
      <c r="A260" s="11">
        <v>3</v>
      </c>
      <c r="B260" s="45">
        <v>1</v>
      </c>
      <c r="C260" s="45" t="s">
        <v>85</v>
      </c>
      <c r="D260" s="45" t="s">
        <v>33</v>
      </c>
      <c r="E260" s="8" t="s">
        <v>46</v>
      </c>
      <c r="F260" s="8" t="s">
        <v>61</v>
      </c>
      <c r="G260" s="9"/>
      <c r="H260" s="9">
        <f>IF(Table38[[#This Row],[modality]]=C259,1,0)</f>
        <v>0</v>
      </c>
      <c r="I260">
        <f>IF(Table38[[#This Row],[stimulus]]=F261,1,0)</f>
        <v>0</v>
      </c>
      <c r="J260">
        <f t="shared" si="4"/>
        <v>1</v>
      </c>
      <c r="K260" s="9"/>
      <c r="L260" s="9"/>
    </row>
    <row r="261" spans="1:12" x14ac:dyDescent="0.3">
      <c r="A261" s="16">
        <v>3</v>
      </c>
      <c r="B261" s="41">
        <v>2</v>
      </c>
      <c r="C261" s="41" t="s">
        <v>84</v>
      </c>
      <c r="D261" s="47" t="s">
        <v>4</v>
      </c>
      <c r="E261" s="19" t="s">
        <v>45</v>
      </c>
      <c r="F261" s="19" t="s">
        <v>70</v>
      </c>
      <c r="G261" s="9"/>
      <c r="H261" s="9">
        <f>IF(Table38[[#This Row],[modality]]=C260,1,0)</f>
        <v>0</v>
      </c>
      <c r="I261">
        <f>IF(Table38[[#This Row],[stimulus]]=F262,1,0)</f>
        <v>1</v>
      </c>
      <c r="J261">
        <f t="shared" si="4"/>
        <v>0</v>
      </c>
      <c r="K261" s="9"/>
      <c r="L261" s="9"/>
    </row>
    <row r="262" spans="1:12" x14ac:dyDescent="0.3">
      <c r="A262" s="11">
        <v>3</v>
      </c>
      <c r="B262" s="42">
        <v>2</v>
      </c>
      <c r="C262" s="42" t="s">
        <v>84</v>
      </c>
      <c r="D262" s="48" t="s">
        <v>44</v>
      </c>
      <c r="E262" s="8" t="s">
        <v>13</v>
      </c>
      <c r="F262" s="8" t="s">
        <v>70</v>
      </c>
      <c r="G262" s="9"/>
      <c r="H262" s="9">
        <f>IF(Table38[[#This Row],[modality]]=C261,1,0)</f>
        <v>1</v>
      </c>
      <c r="I262">
        <f>IF(Table38[[#This Row],[stimulus]]=F263,1,0)</f>
        <v>0</v>
      </c>
      <c r="J262">
        <f t="shared" si="4"/>
        <v>0</v>
      </c>
      <c r="K262" s="9"/>
      <c r="L262" s="9"/>
    </row>
    <row r="263" spans="1:12" x14ac:dyDescent="0.3">
      <c r="A263" s="16">
        <v>3</v>
      </c>
      <c r="B263" s="41">
        <v>2</v>
      </c>
      <c r="C263" s="41" t="s">
        <v>84</v>
      </c>
      <c r="D263" s="47" t="s">
        <v>4</v>
      </c>
      <c r="E263" s="19" t="s">
        <v>45</v>
      </c>
      <c r="F263" s="19" t="s">
        <v>67</v>
      </c>
      <c r="G263" s="9"/>
      <c r="H263" s="9">
        <f>IF(Table38[[#This Row],[modality]]=C262,1,0)</f>
        <v>1</v>
      </c>
      <c r="I263">
        <f>IF(Table38[[#This Row],[stimulus]]=F264,1,0)</f>
        <v>1</v>
      </c>
      <c r="J263">
        <f t="shared" si="4"/>
        <v>1</v>
      </c>
      <c r="K263" s="9"/>
      <c r="L263" s="9"/>
    </row>
    <row r="264" spans="1:12" x14ac:dyDescent="0.3">
      <c r="A264" s="11">
        <v>3</v>
      </c>
      <c r="B264" s="42">
        <v>1</v>
      </c>
      <c r="C264" s="42" t="s">
        <v>85</v>
      </c>
      <c r="D264" s="48" t="s">
        <v>44</v>
      </c>
      <c r="E264" s="8" t="s">
        <v>14</v>
      </c>
      <c r="F264" s="8" t="s">
        <v>67</v>
      </c>
      <c r="G264" s="9"/>
      <c r="H264" s="9">
        <f>IF(Table38[[#This Row],[modality]]=C263,1,0)</f>
        <v>0</v>
      </c>
      <c r="I264">
        <f>IF(Table38[[#This Row],[stimulus]]=F265,1,0)</f>
        <v>0</v>
      </c>
      <c r="J264">
        <f t="shared" si="4"/>
        <v>0</v>
      </c>
      <c r="K264" s="9"/>
      <c r="L264" s="9"/>
    </row>
    <row r="265" spans="1:12" x14ac:dyDescent="0.3">
      <c r="A265" s="16">
        <v>3</v>
      </c>
      <c r="B265" s="45">
        <v>2</v>
      </c>
      <c r="C265" s="45" t="s">
        <v>84</v>
      </c>
      <c r="D265" s="45" t="s">
        <v>33</v>
      </c>
      <c r="E265" s="19" t="s">
        <v>46</v>
      </c>
      <c r="F265" s="19" t="s">
        <v>59</v>
      </c>
      <c r="G265" s="9"/>
      <c r="H265" s="9">
        <f>IF(Table38[[#This Row],[modality]]=C264,1,0)</f>
        <v>0</v>
      </c>
      <c r="I265">
        <f>IF(Table38[[#This Row],[stimulus]]=F266,1,0)</f>
        <v>0</v>
      </c>
      <c r="J265">
        <f t="shared" si="4"/>
        <v>1</v>
      </c>
      <c r="K265" s="9"/>
      <c r="L265" s="9"/>
    </row>
    <row r="266" spans="1:12" x14ac:dyDescent="0.3">
      <c r="A266" s="11">
        <v>3</v>
      </c>
      <c r="B266" s="45">
        <v>1</v>
      </c>
      <c r="C266" s="45" t="s">
        <v>85</v>
      </c>
      <c r="D266" s="45" t="s">
        <v>33</v>
      </c>
      <c r="E266" s="8" t="s">
        <v>46</v>
      </c>
      <c r="F266" s="8" t="s">
        <v>58</v>
      </c>
      <c r="G266" s="9"/>
      <c r="H266" s="9">
        <f>IF(Table38[[#This Row],[modality]]=C265,1,0)</f>
        <v>0</v>
      </c>
      <c r="I266">
        <f>IF(Table38[[#This Row],[stimulus]]=F267,1,0)</f>
        <v>0</v>
      </c>
      <c r="J266">
        <f t="shared" si="4"/>
        <v>0</v>
      </c>
      <c r="K266" s="9"/>
      <c r="L266" s="9"/>
    </row>
    <row r="267" spans="1:12" x14ac:dyDescent="0.3">
      <c r="A267" s="11">
        <v>3</v>
      </c>
      <c r="B267" s="42">
        <v>1</v>
      </c>
      <c r="C267" s="42" t="s">
        <v>85</v>
      </c>
      <c r="D267" s="48" t="s">
        <v>4</v>
      </c>
      <c r="E267" s="8" t="s">
        <v>45</v>
      </c>
      <c r="F267" s="8" t="s">
        <v>65</v>
      </c>
      <c r="G267" s="9"/>
      <c r="H267" s="9">
        <f>IF(Table38[[#This Row],[modality]]=C266,1,0)</f>
        <v>1</v>
      </c>
      <c r="I267">
        <f>IF(Table38[[#This Row],[stimulus]]=F268,1,0)</f>
        <v>1</v>
      </c>
      <c r="J267">
        <f t="shared" si="4"/>
        <v>0</v>
      </c>
      <c r="K267" s="9"/>
      <c r="L267" s="9"/>
    </row>
    <row r="268" spans="1:12" x14ac:dyDescent="0.3">
      <c r="A268" s="16">
        <v>3</v>
      </c>
      <c r="B268" s="41">
        <v>1</v>
      </c>
      <c r="C268" s="41" t="s">
        <v>85</v>
      </c>
      <c r="D268" s="47" t="s">
        <v>44</v>
      </c>
      <c r="E268" s="19" t="s">
        <v>13</v>
      </c>
      <c r="F268" s="19" t="s">
        <v>65</v>
      </c>
      <c r="G268" s="9"/>
      <c r="H268" s="9">
        <f>IF(Table38[[#This Row],[modality]]=C267,1,0)</f>
        <v>1</v>
      </c>
      <c r="I268">
        <f>IF(Table38[[#This Row],[stimulus]]=F269,1,0)</f>
        <v>0</v>
      </c>
      <c r="J268">
        <f t="shared" si="4"/>
        <v>0</v>
      </c>
      <c r="K268" s="9"/>
      <c r="L268" s="9"/>
    </row>
    <row r="269" spans="1:12" x14ac:dyDescent="0.3">
      <c r="A269" s="11">
        <v>3</v>
      </c>
      <c r="B269" s="45">
        <v>2</v>
      </c>
      <c r="C269" s="45" t="s">
        <v>84</v>
      </c>
      <c r="D269" s="45" t="s">
        <v>33</v>
      </c>
      <c r="E269" s="8" t="s">
        <v>46</v>
      </c>
      <c r="F269" s="8" t="s">
        <v>60</v>
      </c>
      <c r="G269" s="9"/>
      <c r="H269" s="9">
        <f>IF(Table38[[#This Row],[modality]]=C268,1,0)</f>
        <v>0</v>
      </c>
      <c r="I269">
        <f>IF(Table38[[#This Row],[stimulus]]=F270,1,0)</f>
        <v>0</v>
      </c>
      <c r="J269">
        <f t="shared" si="4"/>
        <v>1</v>
      </c>
      <c r="K269" s="9"/>
      <c r="L269" s="9"/>
    </row>
    <row r="270" spans="1:12" x14ac:dyDescent="0.3">
      <c r="A270" s="16">
        <v>3</v>
      </c>
      <c r="B270" s="41">
        <v>1</v>
      </c>
      <c r="C270" s="41" t="s">
        <v>85</v>
      </c>
      <c r="D270" s="47" t="s">
        <v>4</v>
      </c>
      <c r="E270" s="19" t="s">
        <v>45</v>
      </c>
      <c r="F270" s="19" t="s">
        <v>63</v>
      </c>
      <c r="G270" s="9"/>
      <c r="H270" s="9">
        <f>IF(Table38[[#This Row],[modality]]=C269,1,0)</f>
        <v>0</v>
      </c>
      <c r="I270">
        <f>IF(Table38[[#This Row],[stimulus]]=F271,1,0)</f>
        <v>1</v>
      </c>
      <c r="J270">
        <f t="shared" si="4"/>
        <v>0</v>
      </c>
      <c r="K270" s="9"/>
      <c r="L270" s="9"/>
    </row>
    <row r="271" spans="1:12" x14ac:dyDescent="0.3">
      <c r="A271" s="11">
        <v>3</v>
      </c>
      <c r="B271" s="42">
        <v>1</v>
      </c>
      <c r="C271" s="42" t="s">
        <v>85</v>
      </c>
      <c r="D271" s="48" t="s">
        <v>44</v>
      </c>
      <c r="E271" s="8" t="s">
        <v>13</v>
      </c>
      <c r="F271" s="8" t="s">
        <v>63</v>
      </c>
      <c r="G271" s="9"/>
      <c r="H271" s="9">
        <f>IF(Table38[[#This Row],[modality]]=C270,1,0)</f>
        <v>1</v>
      </c>
      <c r="I271">
        <f>IF(Table38[[#This Row],[stimulus]]=F272,1,0)</f>
        <v>0</v>
      </c>
      <c r="J271">
        <f t="shared" si="4"/>
        <v>0</v>
      </c>
      <c r="K271" s="9"/>
      <c r="L271" s="9"/>
    </row>
    <row r="272" spans="1:12" x14ac:dyDescent="0.3">
      <c r="A272" s="16">
        <v>3</v>
      </c>
      <c r="B272" s="45">
        <v>2</v>
      </c>
      <c r="C272" s="45" t="s">
        <v>84</v>
      </c>
      <c r="D272" s="45" t="s">
        <v>33</v>
      </c>
      <c r="E272" s="19" t="s">
        <v>46</v>
      </c>
      <c r="F272" s="19" t="s">
        <v>62</v>
      </c>
      <c r="G272" s="9"/>
      <c r="H272" s="9">
        <f>IF(Table38[[#This Row],[modality]]=C271,1,0)</f>
        <v>0</v>
      </c>
      <c r="I272">
        <f>IF(Table38[[#This Row],[stimulus]]=F273,1,0)</f>
        <v>0</v>
      </c>
      <c r="J272">
        <f t="shared" si="4"/>
        <v>1</v>
      </c>
      <c r="K272" s="9"/>
      <c r="L272" s="9"/>
    </row>
    <row r="273" spans="1:12" ht="13.95" customHeight="1" x14ac:dyDescent="0.3">
      <c r="A273" s="8">
        <v>4</v>
      </c>
      <c r="B273" s="42">
        <v>1</v>
      </c>
      <c r="C273" s="42" t="s">
        <v>85</v>
      </c>
      <c r="D273" s="48" t="s">
        <v>4</v>
      </c>
      <c r="E273" s="8" t="s">
        <v>45</v>
      </c>
      <c r="F273" s="8" t="s">
        <v>75</v>
      </c>
      <c r="G273" s="9"/>
      <c r="H273" s="9">
        <f>IF(Table38[[#This Row],[modality]]=C272,1,0)</f>
        <v>0</v>
      </c>
      <c r="I273">
        <f>IF(Table38[[#This Row],[stimulus]]=F274,1,0)</f>
        <v>1</v>
      </c>
      <c r="J273">
        <f t="shared" si="4"/>
        <v>0</v>
      </c>
      <c r="K273" s="9"/>
      <c r="L273" s="9"/>
    </row>
    <row r="274" spans="1:12" x14ac:dyDescent="0.3">
      <c r="A274" s="19">
        <v>4</v>
      </c>
      <c r="B274" s="41">
        <v>1</v>
      </c>
      <c r="C274" s="41" t="s">
        <v>85</v>
      </c>
      <c r="D274" s="47" t="s">
        <v>44</v>
      </c>
      <c r="E274" s="19" t="s">
        <v>13</v>
      </c>
      <c r="F274" s="19" t="s">
        <v>75</v>
      </c>
      <c r="G274" s="9"/>
      <c r="H274" s="9">
        <f>IF(Table38[[#This Row],[modality]]=C273,1,0)</f>
        <v>1</v>
      </c>
      <c r="I274">
        <f>IF(Table38[[#This Row],[stimulus]]=F275,1,0)</f>
        <v>0</v>
      </c>
      <c r="J274">
        <f t="shared" si="4"/>
        <v>0</v>
      </c>
      <c r="K274" s="9"/>
      <c r="L274" s="9"/>
    </row>
    <row r="275" spans="1:12" x14ac:dyDescent="0.3">
      <c r="A275" s="8">
        <v>4</v>
      </c>
      <c r="B275" s="46">
        <v>2</v>
      </c>
      <c r="C275" s="46" t="s">
        <v>84</v>
      </c>
      <c r="D275" s="46" t="s">
        <v>33</v>
      </c>
      <c r="E275" s="8" t="s">
        <v>46</v>
      </c>
      <c r="F275" s="8" t="s">
        <v>66</v>
      </c>
      <c r="G275" s="9"/>
      <c r="H275" s="9">
        <f>IF(Table38[[#This Row],[modality]]=C274,1,0)</f>
        <v>0</v>
      </c>
      <c r="I275">
        <f>IF(Table38[[#This Row],[stimulus]]=F276,1,0)</f>
        <v>0</v>
      </c>
      <c r="J275">
        <f t="shared" si="4"/>
        <v>1</v>
      </c>
      <c r="K275" s="9"/>
      <c r="L275" s="9"/>
    </row>
    <row r="276" spans="1:12" x14ac:dyDescent="0.3">
      <c r="A276" s="19">
        <v>4</v>
      </c>
      <c r="B276" s="41">
        <v>1</v>
      </c>
      <c r="C276" s="41" t="s">
        <v>85</v>
      </c>
      <c r="D276" s="47" t="s">
        <v>4</v>
      </c>
      <c r="E276" s="19" t="s">
        <v>45</v>
      </c>
      <c r="F276" s="19" t="s">
        <v>73</v>
      </c>
      <c r="G276" s="9"/>
      <c r="H276" s="9">
        <f>IF(Table38[[#This Row],[modality]]=C275,1,0)</f>
        <v>0</v>
      </c>
      <c r="I276">
        <f>IF(Table38[[#This Row],[stimulus]]=F277,1,0)</f>
        <v>1</v>
      </c>
      <c r="J276">
        <f t="shared" si="4"/>
        <v>0</v>
      </c>
      <c r="K276" s="9"/>
      <c r="L276" s="9"/>
    </row>
    <row r="277" spans="1:12" x14ac:dyDescent="0.3">
      <c r="A277" s="8">
        <v>4</v>
      </c>
      <c r="B277" s="42">
        <v>2</v>
      </c>
      <c r="C277" s="42" t="s">
        <v>84</v>
      </c>
      <c r="D277" s="48" t="s">
        <v>44</v>
      </c>
      <c r="E277" s="8" t="s">
        <v>14</v>
      </c>
      <c r="F277" s="8" t="s">
        <v>73</v>
      </c>
      <c r="G277" s="9"/>
      <c r="H277" s="9">
        <f>IF(Table38[[#This Row],[modality]]=C276,1,0)</f>
        <v>0</v>
      </c>
      <c r="I277">
        <f>IF(Table38[[#This Row],[stimulus]]=F278,1,0)</f>
        <v>0</v>
      </c>
      <c r="J277">
        <f t="shared" si="4"/>
        <v>0</v>
      </c>
      <c r="K277" s="9"/>
      <c r="L277" s="9"/>
    </row>
    <row r="278" spans="1:12" x14ac:dyDescent="0.3">
      <c r="A278" s="19">
        <v>4</v>
      </c>
      <c r="B278" s="41">
        <v>2</v>
      </c>
      <c r="C278" s="41" t="s">
        <v>84</v>
      </c>
      <c r="D278" s="47" t="s">
        <v>4</v>
      </c>
      <c r="E278" s="19" t="s">
        <v>45</v>
      </c>
      <c r="F278" s="19" t="s">
        <v>77</v>
      </c>
      <c r="G278" s="9"/>
      <c r="H278" s="9">
        <f>IF(Table38[[#This Row],[modality]]=C277,1,0)</f>
        <v>1</v>
      </c>
      <c r="I278">
        <f>IF(Table38[[#This Row],[stimulus]]=F279,1,0)</f>
        <v>1</v>
      </c>
      <c r="J278">
        <f t="shared" si="4"/>
        <v>1</v>
      </c>
      <c r="K278" s="9"/>
      <c r="L278" s="9"/>
    </row>
    <row r="279" spans="1:12" x14ac:dyDescent="0.3">
      <c r="A279" s="8">
        <v>4</v>
      </c>
      <c r="B279" s="42">
        <v>2</v>
      </c>
      <c r="C279" s="42" t="s">
        <v>84</v>
      </c>
      <c r="D279" s="48" t="s">
        <v>44</v>
      </c>
      <c r="E279" s="8" t="s">
        <v>13</v>
      </c>
      <c r="F279" s="8" t="s">
        <v>77</v>
      </c>
      <c r="G279" s="9"/>
      <c r="H279" s="9">
        <f>IF(Table38[[#This Row],[modality]]=C278,1,0)</f>
        <v>1</v>
      </c>
      <c r="I279">
        <f>IF(Table38[[#This Row],[stimulus]]=F280,1,0)</f>
        <v>0</v>
      </c>
      <c r="J279">
        <f t="shared" si="4"/>
        <v>0</v>
      </c>
      <c r="K279" s="9"/>
      <c r="L279" s="9"/>
    </row>
    <row r="280" spans="1:12" x14ac:dyDescent="0.3">
      <c r="A280" s="19">
        <v>4</v>
      </c>
      <c r="B280" s="46">
        <v>1</v>
      </c>
      <c r="C280" s="46" t="s">
        <v>85</v>
      </c>
      <c r="D280" s="46" t="s">
        <v>33</v>
      </c>
      <c r="E280" s="19" t="s">
        <v>46</v>
      </c>
      <c r="F280" s="19" t="s">
        <v>69</v>
      </c>
      <c r="G280" s="9"/>
      <c r="H280" s="9">
        <f>IF(Table38[[#This Row],[modality]]=C279,1,0)</f>
        <v>0</v>
      </c>
      <c r="I280">
        <f>IF(Table38[[#This Row],[stimulus]]=F281,1,0)</f>
        <v>0</v>
      </c>
      <c r="J280">
        <f t="shared" si="4"/>
        <v>1</v>
      </c>
      <c r="K280" s="9"/>
      <c r="L280" s="9"/>
    </row>
    <row r="281" spans="1:12" x14ac:dyDescent="0.3">
      <c r="A281" s="8">
        <v>4</v>
      </c>
      <c r="B281" s="46">
        <v>2</v>
      </c>
      <c r="C281" s="46" t="s">
        <v>84</v>
      </c>
      <c r="D281" s="46" t="s">
        <v>33</v>
      </c>
      <c r="E281" s="8" t="s">
        <v>46</v>
      </c>
      <c r="F281" s="8" t="s">
        <v>64</v>
      </c>
      <c r="G281" s="9"/>
      <c r="H281" s="9">
        <f>IF(Table38[[#This Row],[modality]]=C280,1,0)</f>
        <v>0</v>
      </c>
      <c r="I281">
        <f>IF(Table38[[#This Row],[stimulus]]=F282,1,0)</f>
        <v>0</v>
      </c>
      <c r="J281">
        <f t="shared" si="4"/>
        <v>0</v>
      </c>
      <c r="K281" s="9"/>
      <c r="L281" s="9"/>
    </row>
    <row r="282" spans="1:12" x14ac:dyDescent="0.3">
      <c r="A282" s="19">
        <v>4</v>
      </c>
      <c r="B282" s="41">
        <v>2</v>
      </c>
      <c r="C282" s="41" t="s">
        <v>84</v>
      </c>
      <c r="D282" s="47" t="s">
        <v>4</v>
      </c>
      <c r="E282" s="19" t="s">
        <v>45</v>
      </c>
      <c r="F282" s="19" t="s">
        <v>74</v>
      </c>
      <c r="G282" s="9"/>
      <c r="H282" s="9">
        <f>IF(Table38[[#This Row],[modality]]=C281,1,0)</f>
        <v>1</v>
      </c>
      <c r="I282">
        <f>IF(Table38[[#This Row],[stimulus]]=F283,1,0)</f>
        <v>1</v>
      </c>
      <c r="J282">
        <f t="shared" si="4"/>
        <v>0</v>
      </c>
      <c r="K282" s="9"/>
      <c r="L282" s="9"/>
    </row>
    <row r="283" spans="1:12" x14ac:dyDescent="0.3">
      <c r="A283" s="8">
        <v>4</v>
      </c>
      <c r="B283" s="42">
        <v>1</v>
      </c>
      <c r="C283" s="42" t="s">
        <v>85</v>
      </c>
      <c r="D283" s="48" t="s">
        <v>44</v>
      </c>
      <c r="E283" s="8" t="s">
        <v>14</v>
      </c>
      <c r="F283" s="8" t="s">
        <v>74</v>
      </c>
      <c r="G283" s="9"/>
      <c r="H283" s="9">
        <f>IF(Table38[[#This Row],[modality]]=C282,1,0)</f>
        <v>0</v>
      </c>
      <c r="I283">
        <f>IF(Table38[[#This Row],[stimulus]]=F284,1,0)</f>
        <v>0</v>
      </c>
      <c r="J283">
        <f t="shared" si="4"/>
        <v>0</v>
      </c>
      <c r="K283" s="9"/>
      <c r="L283" s="9"/>
    </row>
    <row r="284" spans="1:12" x14ac:dyDescent="0.3">
      <c r="A284" s="19">
        <v>4</v>
      </c>
      <c r="B284" s="41">
        <v>1</v>
      </c>
      <c r="C284" s="41" t="s">
        <v>85</v>
      </c>
      <c r="D284" s="47" t="s">
        <v>4</v>
      </c>
      <c r="E284" s="19" t="s">
        <v>45</v>
      </c>
      <c r="F284" s="19" t="s">
        <v>78</v>
      </c>
      <c r="G284" s="9"/>
      <c r="H284" s="9">
        <f>IF(Table38[[#This Row],[modality]]=C283,1,0)</f>
        <v>1</v>
      </c>
      <c r="I284">
        <f>IF(Table38[[#This Row],[stimulus]]=F285,1,0)</f>
        <v>1</v>
      </c>
      <c r="J284">
        <f t="shared" si="4"/>
        <v>1</v>
      </c>
      <c r="K284" s="9"/>
      <c r="L284" s="9"/>
    </row>
    <row r="285" spans="1:12" x14ac:dyDescent="0.3">
      <c r="A285" s="8">
        <v>4</v>
      </c>
      <c r="B285" s="42">
        <v>2</v>
      </c>
      <c r="C285" s="42" t="s">
        <v>84</v>
      </c>
      <c r="D285" s="48" t="s">
        <v>44</v>
      </c>
      <c r="E285" s="8" t="s">
        <v>14</v>
      </c>
      <c r="F285" s="8" t="s">
        <v>78</v>
      </c>
      <c r="G285" s="9"/>
      <c r="H285" s="9">
        <f>IF(Table38[[#This Row],[modality]]=C284,1,0)</f>
        <v>0</v>
      </c>
      <c r="I285">
        <f>IF(Table38[[#This Row],[stimulus]]=F286,1,0)</f>
        <v>0</v>
      </c>
      <c r="J285">
        <f t="shared" si="4"/>
        <v>0</v>
      </c>
      <c r="K285" s="9"/>
      <c r="L285" s="9"/>
    </row>
    <row r="286" spans="1:12" x14ac:dyDescent="0.3">
      <c r="A286" s="19">
        <v>4</v>
      </c>
      <c r="B286" s="46">
        <v>1</v>
      </c>
      <c r="C286" s="46" t="s">
        <v>85</v>
      </c>
      <c r="D286" s="46" t="s">
        <v>33</v>
      </c>
      <c r="E286" s="19" t="s">
        <v>46</v>
      </c>
      <c r="F286" s="19" t="s">
        <v>68</v>
      </c>
      <c r="G286" s="9"/>
      <c r="H286" s="9">
        <f>IF(Table38[[#This Row],[modality]]=C285,1,0)</f>
        <v>0</v>
      </c>
      <c r="I286">
        <f>IF(Table38[[#This Row],[stimulus]]=F287,1,0)</f>
        <v>0</v>
      </c>
      <c r="J286">
        <f t="shared" si="4"/>
        <v>1</v>
      </c>
      <c r="K286" s="9"/>
      <c r="L286" s="9"/>
    </row>
    <row r="287" spans="1:12" x14ac:dyDescent="0.3">
      <c r="A287" s="8">
        <v>4</v>
      </c>
      <c r="B287" s="42">
        <v>2</v>
      </c>
      <c r="C287" s="42" t="s">
        <v>84</v>
      </c>
      <c r="D287" s="48" t="s">
        <v>4</v>
      </c>
      <c r="E287" s="8" t="s">
        <v>45</v>
      </c>
      <c r="F287" s="8" t="s">
        <v>71</v>
      </c>
      <c r="G287" s="9"/>
      <c r="H287" s="9">
        <f>IF(Table38[[#This Row],[modality]]=C286,1,0)</f>
        <v>0</v>
      </c>
      <c r="I287">
        <f>IF(Table38[[#This Row],[stimulus]]=F288,1,0)</f>
        <v>1</v>
      </c>
      <c r="J287">
        <f t="shared" si="4"/>
        <v>0</v>
      </c>
      <c r="K287" s="9"/>
      <c r="L287" s="9"/>
    </row>
    <row r="288" spans="1:12" x14ac:dyDescent="0.3">
      <c r="A288" s="19">
        <v>4</v>
      </c>
      <c r="B288" s="41">
        <v>2</v>
      </c>
      <c r="C288" s="41" t="s">
        <v>84</v>
      </c>
      <c r="D288" s="47" t="s">
        <v>44</v>
      </c>
      <c r="E288" s="19" t="s">
        <v>13</v>
      </c>
      <c r="F288" s="19" t="s">
        <v>71</v>
      </c>
      <c r="G288" s="9"/>
      <c r="H288" s="9">
        <f>IF(Table38[[#This Row],[modality]]=C287,1,0)</f>
        <v>1</v>
      </c>
      <c r="I288">
        <f>IF(Table38[[#This Row],[stimulus]]=F289,1,0)</f>
        <v>0</v>
      </c>
      <c r="J288">
        <f t="shared" si="4"/>
        <v>0</v>
      </c>
      <c r="K288" s="9"/>
      <c r="L288" s="9"/>
    </row>
    <row r="289" spans="1:12" x14ac:dyDescent="0.3">
      <c r="A289" s="8">
        <v>4</v>
      </c>
      <c r="B289" s="46">
        <v>1</v>
      </c>
      <c r="C289" s="46" t="s">
        <v>85</v>
      </c>
      <c r="D289" s="46" t="s">
        <v>33</v>
      </c>
      <c r="E289" s="8" t="s">
        <v>46</v>
      </c>
      <c r="F289" s="8" t="s">
        <v>70</v>
      </c>
      <c r="G289" s="9"/>
      <c r="H289" s="9">
        <f>IF(Table38[[#This Row],[modality]]=C288,1,0)</f>
        <v>0</v>
      </c>
      <c r="I289">
        <f>IF(Table38[[#This Row],[stimulus]]=F290,1,0)</f>
        <v>0</v>
      </c>
      <c r="J289">
        <f t="shared" si="4"/>
        <v>1</v>
      </c>
      <c r="K289" s="9"/>
      <c r="L289" s="9"/>
    </row>
    <row r="290" spans="1:12" x14ac:dyDescent="0.3">
      <c r="A290" s="19">
        <v>4</v>
      </c>
      <c r="B290" s="46">
        <v>2</v>
      </c>
      <c r="C290" s="46" t="s">
        <v>84</v>
      </c>
      <c r="D290" s="46" t="s">
        <v>33</v>
      </c>
      <c r="E290" s="19" t="s">
        <v>46</v>
      </c>
      <c r="F290" s="19" t="s">
        <v>63</v>
      </c>
      <c r="G290" s="9"/>
      <c r="H290" s="9">
        <f>IF(Table38[[#This Row],[modality]]=C289,1,0)</f>
        <v>0</v>
      </c>
      <c r="I290">
        <f>IF(Table38[[#This Row],[stimulus]]=F291,1,0)</f>
        <v>0</v>
      </c>
      <c r="J290">
        <f t="shared" si="4"/>
        <v>0</v>
      </c>
      <c r="K290" s="9"/>
      <c r="L290" s="9"/>
    </row>
    <row r="291" spans="1:12" x14ac:dyDescent="0.3">
      <c r="A291" s="19">
        <v>4</v>
      </c>
      <c r="B291" s="41">
        <v>2</v>
      </c>
      <c r="C291" s="41" t="s">
        <v>84</v>
      </c>
      <c r="D291" s="47" t="s">
        <v>4</v>
      </c>
      <c r="E291" s="19" t="s">
        <v>45</v>
      </c>
      <c r="F291" s="19" t="s">
        <v>76</v>
      </c>
      <c r="G291" s="9"/>
      <c r="H291" s="9">
        <f>IF(Table38[[#This Row],[modality]]=C290,1,0)</f>
        <v>1</v>
      </c>
      <c r="I291">
        <f>IF(Table38[[#This Row],[stimulus]]=F292,1,0)</f>
        <v>1</v>
      </c>
      <c r="J291">
        <f t="shared" si="4"/>
        <v>0</v>
      </c>
      <c r="K291" s="9"/>
      <c r="L291" s="9"/>
    </row>
    <row r="292" spans="1:12" x14ac:dyDescent="0.3">
      <c r="A292" s="8">
        <v>4</v>
      </c>
      <c r="B292" s="42">
        <v>1</v>
      </c>
      <c r="C292" s="42" t="s">
        <v>85</v>
      </c>
      <c r="D292" s="48" t="s">
        <v>44</v>
      </c>
      <c r="E292" s="8" t="s">
        <v>14</v>
      </c>
      <c r="F292" s="8" t="s">
        <v>76</v>
      </c>
      <c r="G292" s="9"/>
      <c r="H292" s="9">
        <f>IF(Table38[[#This Row],[modality]]=C291,1,0)</f>
        <v>0</v>
      </c>
      <c r="I292">
        <f>IF(Table38[[#This Row],[stimulus]]=F293,1,0)</f>
        <v>0</v>
      </c>
      <c r="J292">
        <f t="shared" si="4"/>
        <v>0</v>
      </c>
      <c r="K292" s="9"/>
      <c r="L292" s="9"/>
    </row>
    <row r="293" spans="1:12" x14ac:dyDescent="0.3">
      <c r="A293" s="19">
        <v>4</v>
      </c>
      <c r="B293" s="46">
        <v>1</v>
      </c>
      <c r="C293" s="46" t="s">
        <v>85</v>
      </c>
      <c r="D293" s="46" t="s">
        <v>33</v>
      </c>
      <c r="E293" s="19" t="s">
        <v>46</v>
      </c>
      <c r="F293" s="19" t="s">
        <v>67</v>
      </c>
      <c r="G293" s="9"/>
      <c r="H293" s="9">
        <f>IF(Table38[[#This Row],[modality]]=C292,1,0)</f>
        <v>1</v>
      </c>
      <c r="I293">
        <f>IF(Table38[[#This Row],[stimulus]]=F294,1,0)</f>
        <v>0</v>
      </c>
      <c r="J293">
        <f t="shared" si="4"/>
        <v>1</v>
      </c>
      <c r="K293" s="9"/>
      <c r="L293" s="9"/>
    </row>
    <row r="294" spans="1:12" x14ac:dyDescent="0.3">
      <c r="A294" s="74">
        <v>4</v>
      </c>
      <c r="B294" s="73">
        <v>2</v>
      </c>
      <c r="C294" s="73" t="s">
        <v>84</v>
      </c>
      <c r="D294" s="73" t="s">
        <v>33</v>
      </c>
      <c r="E294" s="74" t="s">
        <v>46</v>
      </c>
      <c r="F294" s="74"/>
      <c r="G294" s="72" t="s">
        <v>131</v>
      </c>
      <c r="H294" s="9">
        <f>IF(Table38[[#This Row],[modality]]=C293,1,0)</f>
        <v>0</v>
      </c>
      <c r="I294">
        <f>IF(Table38[[#This Row],[stimulus]]=F295,1,0)</f>
        <v>0</v>
      </c>
      <c r="J294">
        <f t="shared" si="4"/>
        <v>0</v>
      </c>
      <c r="K294" s="10"/>
      <c r="L294" s="10"/>
    </row>
    <row r="295" spans="1:12" x14ac:dyDescent="0.3">
      <c r="A295" s="8">
        <v>4</v>
      </c>
      <c r="B295" s="46">
        <v>1</v>
      </c>
      <c r="C295" s="46" t="s">
        <v>85</v>
      </c>
      <c r="D295" s="46" t="s">
        <v>33</v>
      </c>
      <c r="E295" s="8" t="s">
        <v>46</v>
      </c>
      <c r="F295" s="8" t="s">
        <v>65</v>
      </c>
      <c r="G295" s="9"/>
      <c r="H295" s="9">
        <f>IF(Table38[[#This Row],[modality]]=C294,1,0)</f>
        <v>0</v>
      </c>
      <c r="I295">
        <f>IF(Table38[[#This Row],[stimulus]]=F296,1,0)</f>
        <v>0</v>
      </c>
      <c r="J295">
        <f t="shared" si="4"/>
        <v>0</v>
      </c>
      <c r="K295" s="9"/>
      <c r="L295" s="9"/>
    </row>
    <row r="296" spans="1:12" x14ac:dyDescent="0.3">
      <c r="A296" s="19">
        <v>4</v>
      </c>
      <c r="B296" s="41">
        <v>1</v>
      </c>
      <c r="C296" s="41" t="s">
        <v>85</v>
      </c>
      <c r="D296" s="47" t="s">
        <v>4</v>
      </c>
      <c r="E296" s="19" t="s">
        <v>45</v>
      </c>
      <c r="F296" s="19" t="s">
        <v>72</v>
      </c>
      <c r="G296" s="9"/>
      <c r="H296" s="9">
        <f>IF(Table38[[#This Row],[modality]]=C295,1,0)</f>
        <v>1</v>
      </c>
      <c r="I296">
        <f>IF(Table38[[#This Row],[stimulus]]=F297,1,0)</f>
        <v>1</v>
      </c>
      <c r="J296">
        <f t="shared" si="4"/>
        <v>0</v>
      </c>
      <c r="K296" s="9"/>
      <c r="L296" s="9"/>
    </row>
    <row r="297" spans="1:12" x14ac:dyDescent="0.3">
      <c r="A297" s="8">
        <v>4</v>
      </c>
      <c r="B297" s="42">
        <v>1</v>
      </c>
      <c r="C297" s="42" t="s">
        <v>85</v>
      </c>
      <c r="D297" s="48" t="s">
        <v>44</v>
      </c>
      <c r="E297" s="8" t="s">
        <v>13</v>
      </c>
      <c r="F297" s="8" t="s">
        <v>72</v>
      </c>
      <c r="G297" s="9"/>
      <c r="H297" s="9">
        <f>IF(Table38[[#This Row],[modality]]=C296,1,0)</f>
        <v>1</v>
      </c>
      <c r="I297">
        <f>IF(Table38[[#This Row],[stimulus]]=F298,1,0)</f>
        <v>0</v>
      </c>
      <c r="J297">
        <f t="shared" si="4"/>
        <v>0</v>
      </c>
      <c r="K297" s="9"/>
      <c r="L297" s="9"/>
    </row>
    <row r="298" spans="1:12" x14ac:dyDescent="0.3">
      <c r="A298" t="s">
        <v>29</v>
      </c>
      <c r="G298" s="9"/>
      <c r="H298" s="9">
        <f>IF(Table38[[#This Row],[modality]]=C297,1,0)</f>
        <v>0</v>
      </c>
      <c r="I298">
        <f>IF(Table38[[#This Row],[stimulus]]=F299,1,0)</f>
        <v>0</v>
      </c>
      <c r="J298">
        <f t="shared" si="4"/>
        <v>1</v>
      </c>
      <c r="K298" s="9"/>
      <c r="L298" s="9"/>
    </row>
    <row r="299" spans="1:12" x14ac:dyDescent="0.3">
      <c r="A299" s="16">
        <v>1</v>
      </c>
      <c r="B299" s="43">
        <v>2</v>
      </c>
      <c r="C299" s="49" t="s">
        <v>84</v>
      </c>
      <c r="D299" s="51" t="s">
        <v>33</v>
      </c>
      <c r="E299" s="19" t="s">
        <v>46</v>
      </c>
      <c r="F299" s="19" t="s">
        <v>73</v>
      </c>
      <c r="G299" s="9"/>
      <c r="H299" s="9">
        <f>IF(Table38[[#This Row],[modality]]=C298,1,0)</f>
        <v>0</v>
      </c>
      <c r="I299">
        <f>IF(Table38[[#This Row],[stimulus]]=F300,1,0)</f>
        <v>0</v>
      </c>
      <c r="J299">
        <f t="shared" si="4"/>
        <v>0</v>
      </c>
      <c r="K299" s="9"/>
      <c r="L299" s="9"/>
    </row>
    <row r="300" spans="1:12" x14ac:dyDescent="0.3">
      <c r="A300" s="11">
        <v>1</v>
      </c>
      <c r="B300" s="48">
        <v>2</v>
      </c>
      <c r="C300" s="48" t="s">
        <v>84</v>
      </c>
      <c r="D300" s="48" t="s">
        <v>4</v>
      </c>
      <c r="E300" s="8" t="s">
        <v>45</v>
      </c>
      <c r="F300" s="8" t="s">
        <v>51</v>
      </c>
      <c r="G300" s="9"/>
      <c r="H300" s="9">
        <f>IF(Table38[[#This Row],[modality]]=C299,1,0)</f>
        <v>1</v>
      </c>
      <c r="I300">
        <f>IF(Table38[[#This Row],[stimulus]]=F301,1,0)</f>
        <v>1</v>
      </c>
      <c r="J300">
        <f t="shared" si="4"/>
        <v>0</v>
      </c>
      <c r="K300" s="9"/>
      <c r="L300" s="9"/>
    </row>
    <row r="301" spans="1:12" x14ac:dyDescent="0.3">
      <c r="A301" s="16">
        <v>1</v>
      </c>
      <c r="B301" s="47">
        <v>2</v>
      </c>
      <c r="C301" s="47" t="s">
        <v>84</v>
      </c>
      <c r="D301" s="47" t="s">
        <v>44</v>
      </c>
      <c r="E301" s="19" t="s">
        <v>13</v>
      </c>
      <c r="F301" s="19" t="s">
        <v>51</v>
      </c>
      <c r="G301" s="9"/>
      <c r="H301" s="9">
        <f>IF(Table38[[#This Row],[modality]]=C300,1,0)</f>
        <v>1</v>
      </c>
      <c r="I301">
        <f>IF(Table38[[#This Row],[stimulus]]=F302,1,0)</f>
        <v>0</v>
      </c>
      <c r="J301">
        <f t="shared" si="4"/>
        <v>0</v>
      </c>
      <c r="K301" s="9"/>
      <c r="L301" s="9"/>
    </row>
    <row r="302" spans="1:12" x14ac:dyDescent="0.3">
      <c r="A302" s="11">
        <v>1</v>
      </c>
      <c r="B302" s="43">
        <v>1</v>
      </c>
      <c r="C302" s="43" t="s">
        <v>85</v>
      </c>
      <c r="D302" s="51" t="s">
        <v>33</v>
      </c>
      <c r="E302" s="8" t="s">
        <v>46</v>
      </c>
      <c r="F302" s="8" t="s">
        <v>76</v>
      </c>
      <c r="G302" s="9"/>
      <c r="H302" s="9">
        <f>IF(Table38[[#This Row],[modality]]=C301,1,0)</f>
        <v>0</v>
      </c>
      <c r="I302">
        <f>IF(Table38[[#This Row],[stimulus]]=F303,1,0)</f>
        <v>0</v>
      </c>
      <c r="J302">
        <f t="shared" si="4"/>
        <v>1</v>
      </c>
      <c r="K302" s="9"/>
      <c r="L302" s="9"/>
    </row>
    <row r="303" spans="1:12" x14ac:dyDescent="0.3">
      <c r="A303" s="11">
        <v>1</v>
      </c>
      <c r="B303" s="43">
        <v>1</v>
      </c>
      <c r="C303" s="43" t="s">
        <v>85</v>
      </c>
      <c r="D303" s="51" t="s">
        <v>33</v>
      </c>
      <c r="E303" s="8" t="s">
        <v>46</v>
      </c>
      <c r="F303" s="8" t="s">
        <v>78</v>
      </c>
      <c r="G303" s="9"/>
      <c r="H303" s="9">
        <f>IF(Table38[[#This Row],[modality]]=C302,1,0)</f>
        <v>1</v>
      </c>
      <c r="I303">
        <f>IF(Table38[[#This Row],[stimulus]]=F304,1,0)</f>
        <v>0</v>
      </c>
      <c r="J303">
        <f t="shared" si="4"/>
        <v>0</v>
      </c>
      <c r="K303" s="9"/>
      <c r="L303" s="9"/>
    </row>
    <row r="304" spans="1:12" x14ac:dyDescent="0.3">
      <c r="A304" s="16">
        <v>1</v>
      </c>
      <c r="B304" s="47">
        <v>2</v>
      </c>
      <c r="C304" s="47" t="s">
        <v>84</v>
      </c>
      <c r="D304" s="47" t="s">
        <v>4</v>
      </c>
      <c r="E304" s="19" t="s">
        <v>45</v>
      </c>
      <c r="F304" s="19" t="s">
        <v>54</v>
      </c>
      <c r="G304" s="9"/>
      <c r="H304" s="9">
        <f>IF(Table38[[#This Row],[modality]]=C303,1,0)</f>
        <v>0</v>
      </c>
      <c r="I304">
        <f>IF(Table38[[#This Row],[stimulus]]=F305,1,0)</f>
        <v>1</v>
      </c>
      <c r="J304">
        <f t="shared" si="4"/>
        <v>0</v>
      </c>
      <c r="K304" s="9"/>
      <c r="L304" s="9"/>
    </row>
    <row r="305" spans="1:12" x14ac:dyDescent="0.3">
      <c r="A305" s="11">
        <v>1</v>
      </c>
      <c r="B305" s="48">
        <v>2</v>
      </c>
      <c r="C305" s="47" t="s">
        <v>84</v>
      </c>
      <c r="D305" s="48" t="s">
        <v>44</v>
      </c>
      <c r="E305" s="8" t="s">
        <v>13</v>
      </c>
      <c r="F305" s="8" t="s">
        <v>54</v>
      </c>
      <c r="G305" s="9"/>
      <c r="H305" s="9">
        <f>IF(Table38[[#This Row],[modality]]=C304,1,0)</f>
        <v>1</v>
      </c>
      <c r="I305">
        <f>IF(Table38[[#This Row],[stimulus]]=F306,1,0)</f>
        <v>0</v>
      </c>
      <c r="J305">
        <f t="shared" si="4"/>
        <v>0</v>
      </c>
      <c r="K305" s="9"/>
      <c r="L305" s="9"/>
    </row>
    <row r="306" spans="1:12" x14ac:dyDescent="0.3">
      <c r="A306" s="16">
        <v>1</v>
      </c>
      <c r="B306" s="43">
        <v>1</v>
      </c>
      <c r="C306" s="49" t="s">
        <v>85</v>
      </c>
      <c r="D306" s="51" t="s">
        <v>33</v>
      </c>
      <c r="E306" s="19" t="s">
        <v>46</v>
      </c>
      <c r="F306" s="19" t="s">
        <v>71</v>
      </c>
      <c r="G306" s="9"/>
      <c r="H306" s="9">
        <f>IF(Table38[[#This Row],[modality]]=C305,1,0)</f>
        <v>0</v>
      </c>
      <c r="I306">
        <f>IF(Table38[[#This Row],[stimulus]]=F307,1,0)</f>
        <v>0</v>
      </c>
      <c r="J306">
        <f t="shared" si="4"/>
        <v>1</v>
      </c>
      <c r="K306" s="9"/>
      <c r="L306" s="9"/>
    </row>
    <row r="307" spans="1:12" x14ac:dyDescent="0.3">
      <c r="A307" s="16">
        <v>1</v>
      </c>
      <c r="B307" s="47">
        <v>2</v>
      </c>
      <c r="C307" s="47" t="s">
        <v>84</v>
      </c>
      <c r="D307" s="47" t="s">
        <v>4</v>
      </c>
      <c r="E307" s="19" t="s">
        <v>45</v>
      </c>
      <c r="F307" s="19" t="s">
        <v>53</v>
      </c>
      <c r="G307" s="9"/>
      <c r="H307" s="9">
        <f>IF(Table38[[#This Row],[modality]]=C306,1,0)</f>
        <v>0</v>
      </c>
      <c r="I307">
        <f>IF(Table38[[#This Row],[stimulus]]=F308,1,0)</f>
        <v>1</v>
      </c>
      <c r="J307">
        <f t="shared" si="4"/>
        <v>0</v>
      </c>
      <c r="K307" s="9"/>
      <c r="L307" s="9"/>
    </row>
    <row r="308" spans="1:12" x14ac:dyDescent="0.3">
      <c r="A308" s="11">
        <v>1</v>
      </c>
      <c r="B308" s="48">
        <v>1</v>
      </c>
      <c r="C308" s="48" t="s">
        <v>85</v>
      </c>
      <c r="D308" s="48" t="s">
        <v>44</v>
      </c>
      <c r="E308" s="8" t="s">
        <v>14</v>
      </c>
      <c r="F308" s="8" t="s">
        <v>53</v>
      </c>
      <c r="G308" s="9"/>
      <c r="H308" s="9">
        <f>IF(Table38[[#This Row],[modality]]=C307,1,0)</f>
        <v>0</v>
      </c>
      <c r="I308">
        <f>IF(Table38[[#This Row],[stimulus]]=F309,1,0)</f>
        <v>0</v>
      </c>
      <c r="J308">
        <f t="shared" si="4"/>
        <v>0</v>
      </c>
      <c r="K308" s="9"/>
      <c r="L308" s="9"/>
    </row>
    <row r="309" spans="1:12" x14ac:dyDescent="0.3">
      <c r="A309" s="16">
        <v>1</v>
      </c>
      <c r="B309" s="43">
        <v>1</v>
      </c>
      <c r="C309" s="49" t="s">
        <v>85</v>
      </c>
      <c r="D309" s="51" t="s">
        <v>33</v>
      </c>
      <c r="E309" s="19" t="s">
        <v>46</v>
      </c>
      <c r="F309" s="19" t="s">
        <v>75</v>
      </c>
      <c r="G309" s="9"/>
      <c r="H309" s="9">
        <f>IF(Table38[[#This Row],[modality]]=C308,1,0)</f>
        <v>1</v>
      </c>
      <c r="I309">
        <f>IF(Table38[[#This Row],[stimulus]]=F310,1,0)</f>
        <v>0</v>
      </c>
      <c r="J309">
        <f t="shared" si="4"/>
        <v>1</v>
      </c>
      <c r="K309" s="9"/>
      <c r="L309" s="9"/>
    </row>
    <row r="310" spans="1:12" x14ac:dyDescent="0.3">
      <c r="A310" s="11">
        <v>1</v>
      </c>
      <c r="B310" s="48">
        <v>1</v>
      </c>
      <c r="C310" s="48" t="s">
        <v>85</v>
      </c>
      <c r="D310" s="48" t="s">
        <v>4</v>
      </c>
      <c r="E310" s="8" t="s">
        <v>45</v>
      </c>
      <c r="F310" s="8" t="s">
        <v>49</v>
      </c>
      <c r="G310" s="9"/>
      <c r="H310" s="9">
        <f>IF(Table38[[#This Row],[modality]]=C309,1,0)</f>
        <v>1</v>
      </c>
      <c r="I310">
        <f>IF(Table38[[#This Row],[stimulus]]=F311,1,0)</f>
        <v>1</v>
      </c>
      <c r="J310">
        <f t="shared" si="4"/>
        <v>0</v>
      </c>
      <c r="K310" s="9"/>
      <c r="L310" s="9"/>
    </row>
    <row r="311" spans="1:12" x14ac:dyDescent="0.3">
      <c r="A311" s="16">
        <v>1</v>
      </c>
      <c r="B311" s="47">
        <v>2</v>
      </c>
      <c r="C311" s="47" t="s">
        <v>84</v>
      </c>
      <c r="D311" s="47" t="s">
        <v>44</v>
      </c>
      <c r="E311" s="19" t="s">
        <v>14</v>
      </c>
      <c r="F311" s="19" t="s">
        <v>49</v>
      </c>
      <c r="G311" s="9"/>
      <c r="H311" s="9">
        <f>IF(Table38[[#This Row],[modality]]=C310,1,0)</f>
        <v>0</v>
      </c>
      <c r="I311">
        <f>IF(Table38[[#This Row],[stimulus]]=F312,1,0)</f>
        <v>0</v>
      </c>
      <c r="J311">
        <f t="shared" si="4"/>
        <v>0</v>
      </c>
      <c r="K311" s="9"/>
      <c r="L311" s="9"/>
    </row>
    <row r="312" spans="1:12" x14ac:dyDescent="0.3">
      <c r="A312" s="11">
        <v>1</v>
      </c>
      <c r="B312" s="48">
        <v>2</v>
      </c>
      <c r="C312" s="48" t="s">
        <v>84</v>
      </c>
      <c r="D312" s="48" t="s">
        <v>4</v>
      </c>
      <c r="E312" s="8" t="s">
        <v>45</v>
      </c>
      <c r="F312" s="8" t="s">
        <v>48</v>
      </c>
      <c r="G312" s="9"/>
      <c r="H312" s="9">
        <f>IF(Table38[[#This Row],[modality]]=C311,1,0)</f>
        <v>1</v>
      </c>
      <c r="I312">
        <f>IF(Table38[[#This Row],[stimulus]]=F313,1,0)</f>
        <v>1</v>
      </c>
      <c r="J312">
        <f t="shared" si="4"/>
        <v>1</v>
      </c>
      <c r="K312" s="9"/>
      <c r="L312" s="9"/>
    </row>
    <row r="313" spans="1:12" x14ac:dyDescent="0.3">
      <c r="A313" s="16">
        <v>1</v>
      </c>
      <c r="B313" s="47">
        <v>1</v>
      </c>
      <c r="C313" s="47" t="s">
        <v>85</v>
      </c>
      <c r="D313" s="47" t="s">
        <v>44</v>
      </c>
      <c r="E313" s="19" t="s">
        <v>14</v>
      </c>
      <c r="F313" s="19" t="s">
        <v>48</v>
      </c>
      <c r="G313" s="9"/>
      <c r="H313" s="9">
        <f>IF(Table38[[#This Row],[modality]]=C312,1,0)</f>
        <v>0</v>
      </c>
      <c r="I313">
        <f>IF(Table38[[#This Row],[stimulus]]=F314,1,0)</f>
        <v>0</v>
      </c>
      <c r="J313">
        <f t="shared" si="4"/>
        <v>0</v>
      </c>
      <c r="K313" s="9"/>
      <c r="L313" s="9"/>
    </row>
    <row r="314" spans="1:12" x14ac:dyDescent="0.3">
      <c r="A314" s="11">
        <v>1</v>
      </c>
      <c r="B314" s="43">
        <v>1</v>
      </c>
      <c r="C314" s="43" t="s">
        <v>85</v>
      </c>
      <c r="D314" s="51" t="s">
        <v>33</v>
      </c>
      <c r="E314" s="8" t="s">
        <v>46</v>
      </c>
      <c r="F314" s="8" t="s">
        <v>72</v>
      </c>
      <c r="G314" s="9"/>
      <c r="H314" s="9">
        <f>IF(Table38[[#This Row],[modality]]=C313,1,0)</f>
        <v>1</v>
      </c>
      <c r="I314">
        <f>IF(Table38[[#This Row],[stimulus]]=F315,1,0)</f>
        <v>0</v>
      </c>
      <c r="J314">
        <f t="shared" si="4"/>
        <v>1</v>
      </c>
      <c r="K314" s="9"/>
      <c r="L314" s="9"/>
    </row>
    <row r="315" spans="1:12" x14ac:dyDescent="0.3">
      <c r="A315" s="16">
        <v>1</v>
      </c>
      <c r="B315" s="43">
        <v>2</v>
      </c>
      <c r="C315" s="49" t="s">
        <v>84</v>
      </c>
      <c r="D315" s="51" t="s">
        <v>33</v>
      </c>
      <c r="E315" s="19" t="s">
        <v>46</v>
      </c>
      <c r="F315" s="19" t="s">
        <v>74</v>
      </c>
      <c r="G315" s="9"/>
      <c r="H315" s="9">
        <f>IF(Table38[[#This Row],[modality]]=C314,1,0)</f>
        <v>0</v>
      </c>
      <c r="I315">
        <f>IF(Table38[[#This Row],[stimulus]]=F316,1,0)</f>
        <v>0</v>
      </c>
      <c r="J315">
        <f t="shared" si="4"/>
        <v>0</v>
      </c>
      <c r="K315" s="9"/>
      <c r="L315" s="9"/>
    </row>
    <row r="316" spans="1:12" x14ac:dyDescent="0.3">
      <c r="A316" s="16">
        <v>1</v>
      </c>
      <c r="B316" s="47">
        <v>1</v>
      </c>
      <c r="C316" s="47" t="s">
        <v>85</v>
      </c>
      <c r="D316" s="47" t="s">
        <v>4</v>
      </c>
      <c r="E316" s="19" t="s">
        <v>45</v>
      </c>
      <c r="F316" s="19" t="s">
        <v>50</v>
      </c>
      <c r="G316" s="9"/>
      <c r="H316" s="9">
        <f>IF(Table38[[#This Row],[modality]]=C315,1,0)</f>
        <v>0</v>
      </c>
      <c r="I316">
        <f>IF(Table38[[#This Row],[stimulus]]=F317,1,0)</f>
        <v>1</v>
      </c>
      <c r="J316">
        <f t="shared" si="4"/>
        <v>0</v>
      </c>
      <c r="K316" s="9"/>
      <c r="L316" s="9"/>
    </row>
    <row r="317" spans="1:12" x14ac:dyDescent="0.3">
      <c r="A317" s="11">
        <v>1</v>
      </c>
      <c r="B317" s="48">
        <v>1</v>
      </c>
      <c r="C317" s="47" t="s">
        <v>85</v>
      </c>
      <c r="D317" s="48" t="s">
        <v>44</v>
      </c>
      <c r="E317" s="8" t="s">
        <v>13</v>
      </c>
      <c r="F317" s="8" t="s">
        <v>50</v>
      </c>
      <c r="G317" s="9"/>
      <c r="H317" s="9">
        <f>IF(Table38[[#This Row],[modality]]=C316,1,0)</f>
        <v>1</v>
      </c>
      <c r="I317">
        <f>IF(Table38[[#This Row],[stimulus]]=F318,1,0)</f>
        <v>0</v>
      </c>
      <c r="J317">
        <f t="shared" si="4"/>
        <v>0</v>
      </c>
      <c r="K317" s="9"/>
      <c r="L317" s="9"/>
    </row>
    <row r="318" spans="1:12" x14ac:dyDescent="0.3">
      <c r="A318" s="11">
        <v>1</v>
      </c>
      <c r="B318" s="43">
        <v>2</v>
      </c>
      <c r="C318" s="43" t="s">
        <v>84</v>
      </c>
      <c r="D318" s="51" t="s">
        <v>33</v>
      </c>
      <c r="E318" s="8" t="s">
        <v>46</v>
      </c>
      <c r="F318" s="8" t="s">
        <v>77</v>
      </c>
      <c r="G318" s="9"/>
      <c r="H318" s="9">
        <f>IF(Table38[[#This Row],[modality]]=C317,1,0)</f>
        <v>0</v>
      </c>
      <c r="I318">
        <f>IF(Table38[[#This Row],[stimulus]]=F319,1,0)</f>
        <v>0</v>
      </c>
      <c r="J318">
        <f t="shared" si="4"/>
        <v>1</v>
      </c>
      <c r="K318" s="9"/>
      <c r="L318" s="9"/>
    </row>
    <row r="319" spans="1:12" x14ac:dyDescent="0.3">
      <c r="A319" s="16">
        <v>1</v>
      </c>
      <c r="B319" s="47">
        <v>1</v>
      </c>
      <c r="C319" s="47" t="s">
        <v>85</v>
      </c>
      <c r="D319" s="47" t="s">
        <v>4</v>
      </c>
      <c r="E319" s="19" t="s">
        <v>45</v>
      </c>
      <c r="F319" s="19" t="s">
        <v>47</v>
      </c>
      <c r="G319" s="9"/>
      <c r="H319" s="9">
        <f>IF(Table38[[#This Row],[modality]]=C318,1,0)</f>
        <v>0</v>
      </c>
      <c r="I319">
        <f>IF(Table38[[#This Row],[stimulus]]=F320,1,0)</f>
        <v>1</v>
      </c>
      <c r="J319">
        <f t="shared" si="4"/>
        <v>0</v>
      </c>
      <c r="K319" s="9"/>
      <c r="L319" s="9"/>
    </row>
    <row r="320" spans="1:12" x14ac:dyDescent="0.3">
      <c r="A320" s="11">
        <v>1</v>
      </c>
      <c r="B320" s="48">
        <v>1</v>
      </c>
      <c r="C320" s="47" t="s">
        <v>85</v>
      </c>
      <c r="D320" s="48" t="s">
        <v>44</v>
      </c>
      <c r="E320" s="8" t="s">
        <v>13</v>
      </c>
      <c r="F320" s="8" t="s">
        <v>47</v>
      </c>
      <c r="G320" s="9"/>
      <c r="H320" s="9">
        <f>IF(Table38[[#This Row],[modality]]=C319,1,0)</f>
        <v>1</v>
      </c>
      <c r="I320">
        <f>IF(Table38[[#This Row],[stimulus]]=F321,1,0)</f>
        <v>0</v>
      </c>
      <c r="J320">
        <f t="shared" si="4"/>
        <v>0</v>
      </c>
      <c r="K320" s="9"/>
      <c r="L320" s="9"/>
    </row>
    <row r="321" spans="1:14" x14ac:dyDescent="0.3">
      <c r="A321" s="16">
        <v>1</v>
      </c>
      <c r="B321" s="47">
        <v>1</v>
      </c>
      <c r="C321" s="47" t="s">
        <v>85</v>
      </c>
      <c r="D321" s="47" t="s">
        <v>4</v>
      </c>
      <c r="E321" s="19" t="s">
        <v>45</v>
      </c>
      <c r="F321" s="19" t="s">
        <v>52</v>
      </c>
      <c r="G321" s="9"/>
      <c r="H321" s="9">
        <f>IF(Table38[[#This Row],[modality]]=C320,1,0)</f>
        <v>1</v>
      </c>
      <c r="I321">
        <f>IF(Table38[[#This Row],[stimulus]]=F322,1,0)</f>
        <v>1</v>
      </c>
      <c r="J321">
        <f t="shared" ref="J321:J384" si="5">IF(D320="T",1,0)</f>
        <v>1</v>
      </c>
      <c r="K321" s="9"/>
      <c r="L321" s="9"/>
    </row>
    <row r="322" spans="1:14" x14ac:dyDescent="0.3">
      <c r="A322" s="11">
        <v>1</v>
      </c>
      <c r="B322" s="48">
        <v>2</v>
      </c>
      <c r="C322" s="48" t="s">
        <v>84</v>
      </c>
      <c r="D322" s="48" t="s">
        <v>44</v>
      </c>
      <c r="E322" s="8" t="s">
        <v>14</v>
      </c>
      <c r="F322" s="8" t="s">
        <v>52</v>
      </c>
      <c r="G322" s="9"/>
      <c r="H322" s="9">
        <f>IF(Table38[[#This Row],[modality]]=C321,1,0)</f>
        <v>0</v>
      </c>
      <c r="I322">
        <f>IF(Table38[[#This Row],[stimulus]]=F323,1,0)</f>
        <v>0</v>
      </c>
      <c r="J322">
        <f t="shared" si="5"/>
        <v>0</v>
      </c>
      <c r="K322" s="9"/>
      <c r="L322" s="9"/>
    </row>
    <row r="323" spans="1:14" x14ac:dyDescent="0.3">
      <c r="A323" s="8">
        <v>2</v>
      </c>
      <c r="B323" s="48">
        <v>1</v>
      </c>
      <c r="C323" s="48" t="s">
        <v>85</v>
      </c>
      <c r="D323" s="48" t="s">
        <v>4</v>
      </c>
      <c r="E323" s="8" t="s">
        <v>45</v>
      </c>
      <c r="F323" s="8" t="s">
        <v>55</v>
      </c>
      <c r="G323" s="9"/>
      <c r="H323" s="9">
        <f>IF(Table38[[#This Row],[modality]]=C322,1,0)</f>
        <v>0</v>
      </c>
      <c r="I323">
        <f>IF(Table38[[#This Row],[stimulus]]=F324,1,0)</f>
        <v>1</v>
      </c>
      <c r="J323">
        <f t="shared" si="5"/>
        <v>1</v>
      </c>
      <c r="K323" s="9"/>
      <c r="L323" s="9"/>
    </row>
    <row r="324" spans="1:14" x14ac:dyDescent="0.3">
      <c r="A324" s="8">
        <v>2</v>
      </c>
      <c r="B324" s="48">
        <v>1</v>
      </c>
      <c r="C324" s="48" t="s">
        <v>85</v>
      </c>
      <c r="D324" s="48" t="s">
        <v>44</v>
      </c>
      <c r="E324" s="8" t="s">
        <v>13</v>
      </c>
      <c r="F324" s="8" t="s">
        <v>55</v>
      </c>
      <c r="G324" s="9"/>
      <c r="H324" s="9">
        <f>IF(Table38[[#This Row],[modality]]=C323,1,0)</f>
        <v>1</v>
      </c>
      <c r="I324">
        <f>IF(Table38[[#This Row],[stimulus]]=F325,1,0)</f>
        <v>0</v>
      </c>
      <c r="J324">
        <f t="shared" si="5"/>
        <v>0</v>
      </c>
      <c r="K324" s="9"/>
      <c r="L324" s="9"/>
    </row>
    <row r="325" spans="1:14" x14ac:dyDescent="0.3">
      <c r="A325" s="8">
        <v>2</v>
      </c>
      <c r="B325" s="44">
        <v>1</v>
      </c>
      <c r="C325" s="44" t="s">
        <v>85</v>
      </c>
      <c r="D325" s="44" t="s">
        <v>33</v>
      </c>
      <c r="E325" s="8" t="s">
        <v>46</v>
      </c>
      <c r="F325" s="8" t="s">
        <v>51</v>
      </c>
      <c r="G325" s="9"/>
      <c r="H325" s="9">
        <f>IF(Table38[[#This Row],[modality]]=C324,1,0)</f>
        <v>1</v>
      </c>
      <c r="I325">
        <f>IF(Table38[[#This Row],[stimulus]]=F326,1,0)</f>
        <v>0</v>
      </c>
      <c r="J325">
        <f t="shared" si="5"/>
        <v>1</v>
      </c>
      <c r="K325" s="9"/>
      <c r="L325" s="9"/>
    </row>
    <row r="326" spans="1:14" x14ac:dyDescent="0.3">
      <c r="A326" s="8">
        <v>2</v>
      </c>
      <c r="B326" s="44">
        <v>2</v>
      </c>
      <c r="C326" s="44" t="s">
        <v>84</v>
      </c>
      <c r="D326" s="44" t="s">
        <v>33</v>
      </c>
      <c r="E326" s="8" t="s">
        <v>46</v>
      </c>
      <c r="F326" s="8" t="s">
        <v>47</v>
      </c>
      <c r="G326" s="9"/>
      <c r="H326" s="9">
        <f>IF(Table38[[#This Row],[modality]]=C325,1,0)</f>
        <v>0</v>
      </c>
      <c r="I326">
        <f>IF(Table38[[#This Row],[stimulus]]=F327,1,0)</f>
        <v>0</v>
      </c>
      <c r="J326">
        <f t="shared" si="5"/>
        <v>0</v>
      </c>
      <c r="K326" s="9"/>
      <c r="L326" s="9"/>
    </row>
    <row r="327" spans="1:14" x14ac:dyDescent="0.3">
      <c r="A327" s="19">
        <v>2</v>
      </c>
      <c r="B327" s="47">
        <v>1</v>
      </c>
      <c r="C327" s="47" t="s">
        <v>85</v>
      </c>
      <c r="D327" s="47" t="s">
        <v>4</v>
      </c>
      <c r="E327" s="19" t="s">
        <v>45</v>
      </c>
      <c r="F327" s="19" t="s">
        <v>59</v>
      </c>
      <c r="G327" s="9"/>
      <c r="H327" s="9">
        <f>IF(Table38[[#This Row],[modality]]=C326,1,0)</f>
        <v>0</v>
      </c>
      <c r="I327">
        <f>IF(Table38[[#This Row],[stimulus]]=F328,1,0)</f>
        <v>1</v>
      </c>
      <c r="J327">
        <f t="shared" si="5"/>
        <v>0</v>
      </c>
      <c r="K327" s="9"/>
      <c r="L327" s="9"/>
    </row>
    <row r="328" spans="1:14" x14ac:dyDescent="0.3">
      <c r="A328" s="8">
        <v>2</v>
      </c>
      <c r="B328" s="48">
        <v>1</v>
      </c>
      <c r="C328" s="48" t="s">
        <v>85</v>
      </c>
      <c r="D328" s="48" t="s">
        <v>44</v>
      </c>
      <c r="E328" s="8" t="s">
        <v>13</v>
      </c>
      <c r="F328" s="8" t="s">
        <v>59</v>
      </c>
      <c r="G328" s="9"/>
      <c r="H328" s="9">
        <f>IF(Table38[[#This Row],[modality]]=C327,1,0)</f>
        <v>1</v>
      </c>
      <c r="I328">
        <f>IF(Table38[[#This Row],[stimulus]]=F329,1,0)</f>
        <v>0</v>
      </c>
      <c r="J328">
        <f t="shared" si="5"/>
        <v>0</v>
      </c>
      <c r="K328" s="9"/>
      <c r="L328" s="9"/>
    </row>
    <row r="329" spans="1:14" x14ac:dyDescent="0.3">
      <c r="A329" s="19">
        <v>2</v>
      </c>
      <c r="B329" s="44">
        <v>1</v>
      </c>
      <c r="C329" s="44" t="s">
        <v>85</v>
      </c>
      <c r="D329" s="44" t="s">
        <v>33</v>
      </c>
      <c r="E329" s="19" t="s">
        <v>46</v>
      </c>
      <c r="F329" s="19" t="s">
        <v>54</v>
      </c>
      <c r="G329" s="9"/>
      <c r="H329" s="9">
        <f>IF(Table38[[#This Row],[modality]]=C328,1,0)</f>
        <v>1</v>
      </c>
      <c r="I329">
        <f>IF(Table38[[#This Row],[stimulus]]=F330,1,0)</f>
        <v>0</v>
      </c>
      <c r="J329">
        <f t="shared" si="5"/>
        <v>1</v>
      </c>
      <c r="K329" s="9"/>
      <c r="L329" s="9"/>
      <c r="N329" t="s">
        <v>23</v>
      </c>
    </row>
    <row r="330" spans="1:14" x14ac:dyDescent="0.3">
      <c r="A330" s="77">
        <v>2</v>
      </c>
      <c r="B330" s="73">
        <v>2</v>
      </c>
      <c r="C330" s="73" t="s">
        <v>84</v>
      </c>
      <c r="D330" s="73" t="s">
        <v>33</v>
      </c>
      <c r="E330" s="78" t="s">
        <v>46</v>
      </c>
      <c r="F330" s="77"/>
      <c r="G330" s="72" t="s">
        <v>131</v>
      </c>
      <c r="H330" s="9">
        <f>IF(Table38[[#This Row],[modality]]=C329,1,0)</f>
        <v>0</v>
      </c>
      <c r="I330">
        <f>IF(Table38[[#This Row],[stimulus]]=F331,1,0)</f>
        <v>0</v>
      </c>
      <c r="J330">
        <f t="shared" si="5"/>
        <v>0</v>
      </c>
      <c r="K330" s="10"/>
      <c r="L330" s="10"/>
    </row>
    <row r="331" spans="1:14" x14ac:dyDescent="0.3">
      <c r="A331" s="8">
        <v>2</v>
      </c>
      <c r="B331" s="44">
        <v>1</v>
      </c>
      <c r="C331" s="44" t="s">
        <v>85</v>
      </c>
      <c r="D331" s="44" t="s">
        <v>33</v>
      </c>
      <c r="E331" s="8" t="s">
        <v>46</v>
      </c>
      <c r="F331" s="8" t="s">
        <v>53</v>
      </c>
      <c r="G331" s="9"/>
      <c r="H331" s="9">
        <f>IF(Table38[[#This Row],[modality]]=C330,1,0)</f>
        <v>0</v>
      </c>
      <c r="I331">
        <f>IF(Table38[[#This Row],[stimulus]]=F332,1,0)</f>
        <v>0</v>
      </c>
      <c r="J331">
        <f t="shared" si="5"/>
        <v>0</v>
      </c>
      <c r="K331" s="9"/>
      <c r="L331" s="9"/>
    </row>
    <row r="332" spans="1:14" x14ac:dyDescent="0.3">
      <c r="A332" s="19">
        <v>2</v>
      </c>
      <c r="B332" s="47">
        <v>1</v>
      </c>
      <c r="C332" s="47" t="s">
        <v>85</v>
      </c>
      <c r="D332" s="47" t="s">
        <v>4</v>
      </c>
      <c r="E332" s="19" t="s">
        <v>45</v>
      </c>
      <c r="F332" s="19" t="s">
        <v>57</v>
      </c>
      <c r="G332" s="9"/>
      <c r="H332" s="9">
        <f>IF(Table38[[#This Row],[modality]]=C331,1,0)</f>
        <v>1</v>
      </c>
      <c r="I332">
        <f>IF(Table38[[#This Row],[stimulus]]=F333,1,0)</f>
        <v>1</v>
      </c>
      <c r="J332">
        <f t="shared" si="5"/>
        <v>0</v>
      </c>
      <c r="K332" s="9"/>
      <c r="L332" s="9"/>
    </row>
    <row r="333" spans="1:14" x14ac:dyDescent="0.3">
      <c r="A333" s="8">
        <v>2</v>
      </c>
      <c r="B333" s="48">
        <v>1</v>
      </c>
      <c r="C333" s="50" t="s">
        <v>84</v>
      </c>
      <c r="D333" s="48" t="s">
        <v>44</v>
      </c>
      <c r="E333" s="8" t="s">
        <v>14</v>
      </c>
      <c r="F333" s="8" t="s">
        <v>57</v>
      </c>
      <c r="G333" s="9"/>
      <c r="H333" s="9">
        <f>IF(Table38[[#This Row],[modality]]=C332,1,0)</f>
        <v>0</v>
      </c>
      <c r="I333">
        <f>IF(Table38[[#This Row],[stimulus]]=F334,1,0)</f>
        <v>0</v>
      </c>
      <c r="J333">
        <f t="shared" si="5"/>
        <v>0</v>
      </c>
      <c r="K333" s="9"/>
      <c r="L333" s="9"/>
    </row>
    <row r="334" spans="1:14" x14ac:dyDescent="0.3">
      <c r="A334" s="19">
        <v>2</v>
      </c>
      <c r="B334" s="44">
        <v>2</v>
      </c>
      <c r="C334" s="44" t="s">
        <v>84</v>
      </c>
      <c r="D334" s="44" t="s">
        <v>33</v>
      </c>
      <c r="E334" s="19" t="s">
        <v>46</v>
      </c>
      <c r="F334" s="19" t="s">
        <v>49</v>
      </c>
      <c r="G334" s="9"/>
      <c r="H334" s="9">
        <f>IF(Table38[[#This Row],[modality]]=C333,1,0)</f>
        <v>1</v>
      </c>
      <c r="I334">
        <f>IF(Table38[[#This Row],[stimulus]]=F335,1,0)</f>
        <v>0</v>
      </c>
      <c r="J334">
        <f t="shared" si="5"/>
        <v>1</v>
      </c>
      <c r="K334" s="9"/>
      <c r="L334" s="9"/>
    </row>
    <row r="335" spans="1:14" x14ac:dyDescent="0.3">
      <c r="A335" s="8">
        <v>2</v>
      </c>
      <c r="B335" s="48">
        <v>2</v>
      </c>
      <c r="C335" s="48" t="s">
        <v>84</v>
      </c>
      <c r="D335" s="48" t="s">
        <v>4</v>
      </c>
      <c r="E335" s="8" t="s">
        <v>45</v>
      </c>
      <c r="F335" s="8" t="s">
        <v>61</v>
      </c>
      <c r="G335" s="9"/>
      <c r="H335" s="9">
        <f>IF(Table38[[#This Row],[modality]]=C334,1,0)</f>
        <v>1</v>
      </c>
      <c r="I335">
        <f>IF(Table38[[#This Row],[stimulus]]=F336,1,0)</f>
        <v>1</v>
      </c>
      <c r="J335">
        <f t="shared" si="5"/>
        <v>0</v>
      </c>
      <c r="K335" s="9"/>
      <c r="L335" s="9"/>
    </row>
    <row r="336" spans="1:14" x14ac:dyDescent="0.3">
      <c r="A336" s="8">
        <v>2</v>
      </c>
      <c r="B336" s="48">
        <v>1</v>
      </c>
      <c r="C336" s="48" t="s">
        <v>85</v>
      </c>
      <c r="D336" s="48" t="s">
        <v>44</v>
      </c>
      <c r="E336" s="8" t="s">
        <v>14</v>
      </c>
      <c r="F336" s="8" t="s">
        <v>61</v>
      </c>
      <c r="G336" s="9"/>
      <c r="H336" s="9">
        <f>IF(Table38[[#This Row],[modality]]=C335,1,0)</f>
        <v>0</v>
      </c>
      <c r="I336">
        <f>IF(Table38[[#This Row],[stimulus]]=F337,1,0)</f>
        <v>0</v>
      </c>
      <c r="J336">
        <f t="shared" si="5"/>
        <v>0</v>
      </c>
      <c r="K336" s="9"/>
      <c r="L336" s="9"/>
    </row>
    <row r="337" spans="1:12" x14ac:dyDescent="0.3">
      <c r="A337" s="8">
        <v>2</v>
      </c>
      <c r="B337" s="44">
        <v>1</v>
      </c>
      <c r="C337" s="44" t="s">
        <v>85</v>
      </c>
      <c r="D337" s="44" t="s">
        <v>33</v>
      </c>
      <c r="E337" s="8" t="s">
        <v>46</v>
      </c>
      <c r="F337" s="8" t="s">
        <v>48</v>
      </c>
      <c r="G337" s="9"/>
      <c r="H337" s="9">
        <f>IF(Table38[[#This Row],[modality]]=C336,1,0)</f>
        <v>1</v>
      </c>
      <c r="I337">
        <f>IF(Table38[[#This Row],[stimulus]]=F338,1,0)</f>
        <v>0</v>
      </c>
      <c r="J337">
        <f t="shared" si="5"/>
        <v>1</v>
      </c>
      <c r="K337" s="9"/>
      <c r="L337" s="9"/>
    </row>
    <row r="338" spans="1:12" x14ac:dyDescent="0.3">
      <c r="A338" s="19">
        <v>2</v>
      </c>
      <c r="B338" s="47">
        <v>1</v>
      </c>
      <c r="C338" s="47" t="s">
        <v>85</v>
      </c>
      <c r="D338" s="47" t="s">
        <v>4</v>
      </c>
      <c r="E338" s="19" t="s">
        <v>45</v>
      </c>
      <c r="F338" s="19" t="s">
        <v>56</v>
      </c>
      <c r="G338" s="9"/>
      <c r="H338" s="9">
        <f>IF(Table38[[#This Row],[modality]]=C337,1,0)</f>
        <v>1</v>
      </c>
      <c r="I338">
        <f>IF(Table38[[#This Row],[stimulus]]=F339,1,0)</f>
        <v>1</v>
      </c>
      <c r="J338">
        <f t="shared" si="5"/>
        <v>0</v>
      </c>
      <c r="K338" s="9"/>
      <c r="L338" s="9"/>
    </row>
    <row r="339" spans="1:12" x14ac:dyDescent="0.3">
      <c r="A339" s="8">
        <v>2</v>
      </c>
      <c r="B339" s="48">
        <v>2</v>
      </c>
      <c r="C339" s="48" t="s">
        <v>84</v>
      </c>
      <c r="D339" s="48" t="s">
        <v>44</v>
      </c>
      <c r="E339" s="8" t="s">
        <v>14</v>
      </c>
      <c r="F339" s="8" t="s">
        <v>56</v>
      </c>
      <c r="G339" s="9"/>
      <c r="H339" s="9">
        <f>IF(Table38[[#This Row],[modality]]=C338,1,0)</f>
        <v>0</v>
      </c>
      <c r="I339">
        <f>IF(Table38[[#This Row],[stimulus]]=F340,1,0)</f>
        <v>0</v>
      </c>
      <c r="J339">
        <f t="shared" si="5"/>
        <v>0</v>
      </c>
      <c r="K339" s="9"/>
      <c r="L339" s="9"/>
    </row>
    <row r="340" spans="1:12" x14ac:dyDescent="0.3">
      <c r="A340" s="19">
        <v>2</v>
      </c>
      <c r="B340" s="47">
        <v>2</v>
      </c>
      <c r="C340" s="47" t="s">
        <v>84</v>
      </c>
      <c r="D340" s="47" t="s">
        <v>4</v>
      </c>
      <c r="E340" s="19" t="s">
        <v>45</v>
      </c>
      <c r="F340" s="19" t="s">
        <v>60</v>
      </c>
      <c r="G340" s="9"/>
      <c r="H340" s="9">
        <f>IF(Table38[[#This Row],[modality]]=C339,1,0)</f>
        <v>1</v>
      </c>
      <c r="I340">
        <f>IF(Table38[[#This Row],[stimulus]]=F341,1,0)</f>
        <v>1</v>
      </c>
      <c r="J340">
        <f t="shared" si="5"/>
        <v>1</v>
      </c>
      <c r="K340" s="9"/>
      <c r="L340" s="9"/>
    </row>
    <row r="341" spans="1:12" x14ac:dyDescent="0.3">
      <c r="A341" s="8">
        <v>2</v>
      </c>
      <c r="B341" s="48">
        <v>2</v>
      </c>
      <c r="C341" s="48" t="s">
        <v>84</v>
      </c>
      <c r="D341" s="48" t="s">
        <v>44</v>
      </c>
      <c r="E341" s="8" t="s">
        <v>13</v>
      </c>
      <c r="F341" s="8" t="s">
        <v>60</v>
      </c>
      <c r="G341" s="9"/>
      <c r="H341" s="9">
        <f>IF(Table38[[#This Row],[modality]]=C340,1,0)</f>
        <v>1</v>
      </c>
      <c r="I341">
        <f>IF(Table38[[#This Row],[stimulus]]=F342,1,0)</f>
        <v>0</v>
      </c>
      <c r="J341">
        <f t="shared" si="5"/>
        <v>0</v>
      </c>
      <c r="K341" s="9"/>
      <c r="L341" s="9"/>
    </row>
    <row r="342" spans="1:12" x14ac:dyDescent="0.3">
      <c r="A342" s="19">
        <v>2</v>
      </c>
      <c r="B342" s="44">
        <v>1</v>
      </c>
      <c r="C342" s="44" t="s">
        <v>85</v>
      </c>
      <c r="D342" s="44" t="s">
        <v>33</v>
      </c>
      <c r="E342" s="19" t="s">
        <v>46</v>
      </c>
      <c r="F342" s="19" t="s">
        <v>50</v>
      </c>
      <c r="G342" s="9"/>
      <c r="H342" s="9">
        <f>IF(Table38[[#This Row],[modality]]=C341,1,0)</f>
        <v>0</v>
      </c>
      <c r="I342">
        <f>IF(Table38[[#This Row],[stimulus]]=F343,1,0)</f>
        <v>0</v>
      </c>
      <c r="J342">
        <f t="shared" si="5"/>
        <v>1</v>
      </c>
      <c r="K342" s="9"/>
      <c r="L342" s="9"/>
    </row>
    <row r="343" spans="1:12" x14ac:dyDescent="0.3">
      <c r="A343" s="8">
        <v>2</v>
      </c>
      <c r="B343" s="48">
        <v>2</v>
      </c>
      <c r="C343" s="48" t="s">
        <v>84</v>
      </c>
      <c r="D343" s="48" t="s">
        <v>4</v>
      </c>
      <c r="E343" s="8" t="s">
        <v>45</v>
      </c>
      <c r="F343" s="8" t="s">
        <v>58</v>
      </c>
      <c r="G343" s="9"/>
      <c r="H343" s="9">
        <f>IF(Table38[[#This Row],[modality]]=C342,1,0)</f>
        <v>0</v>
      </c>
      <c r="I343">
        <f>IF(Table38[[#This Row],[stimulus]]=F344,1,0)</f>
        <v>1</v>
      </c>
      <c r="J343">
        <f t="shared" si="5"/>
        <v>0</v>
      </c>
      <c r="K343" s="9"/>
      <c r="L343" s="9"/>
    </row>
    <row r="344" spans="1:12" x14ac:dyDescent="0.3">
      <c r="A344" s="8">
        <v>2</v>
      </c>
      <c r="B344" s="48">
        <v>2</v>
      </c>
      <c r="C344" s="48" t="s">
        <v>84</v>
      </c>
      <c r="D344" s="48" t="s">
        <v>44</v>
      </c>
      <c r="E344" s="8" t="s">
        <v>13</v>
      </c>
      <c r="F344" s="8" t="s">
        <v>58</v>
      </c>
      <c r="G344" s="9"/>
      <c r="H344" s="9">
        <f>IF(Table38[[#This Row],[modality]]=C343,1,0)</f>
        <v>1</v>
      </c>
      <c r="I344">
        <f>IF(Table38[[#This Row],[stimulus]]=F345,1,0)</f>
        <v>0</v>
      </c>
      <c r="J344">
        <f t="shared" si="5"/>
        <v>0</v>
      </c>
      <c r="K344" s="9"/>
      <c r="L344" s="9"/>
    </row>
    <row r="345" spans="1:12" x14ac:dyDescent="0.3">
      <c r="A345" s="19">
        <v>2</v>
      </c>
      <c r="B345" s="44">
        <v>2</v>
      </c>
      <c r="C345" s="44" t="s">
        <v>84</v>
      </c>
      <c r="D345" s="44" t="s">
        <v>33</v>
      </c>
      <c r="E345" s="19" t="s">
        <v>46</v>
      </c>
      <c r="F345" s="19" t="s">
        <v>52</v>
      </c>
      <c r="G345" s="9"/>
      <c r="H345" s="9">
        <f>IF(Table38[[#This Row],[modality]]=C344,1,0)</f>
        <v>1</v>
      </c>
      <c r="I345">
        <f>IF(Table38[[#This Row],[stimulus]]=F346,1,0)</f>
        <v>0</v>
      </c>
      <c r="J345">
        <f t="shared" si="5"/>
        <v>1</v>
      </c>
      <c r="K345" s="9"/>
      <c r="L345" s="9"/>
    </row>
    <row r="346" spans="1:12" x14ac:dyDescent="0.3">
      <c r="A346" s="8">
        <v>2</v>
      </c>
      <c r="B346" s="48">
        <v>2</v>
      </c>
      <c r="C346" s="48" t="s">
        <v>84</v>
      </c>
      <c r="D346" s="48" t="s">
        <v>4</v>
      </c>
      <c r="E346" s="8" t="s">
        <v>45</v>
      </c>
      <c r="F346" s="8" t="s">
        <v>62</v>
      </c>
      <c r="G346" s="9"/>
      <c r="H346" s="9">
        <f>IF(Table38[[#This Row],[modality]]=C345,1,0)</f>
        <v>1</v>
      </c>
      <c r="I346">
        <f>IF(Table38[[#This Row],[stimulus]]=F347,1,0)</f>
        <v>1</v>
      </c>
      <c r="J346">
        <f t="shared" si="5"/>
        <v>0</v>
      </c>
      <c r="K346" s="9"/>
      <c r="L346" s="9"/>
    </row>
    <row r="347" spans="1:12" x14ac:dyDescent="0.3">
      <c r="A347" s="8">
        <v>2</v>
      </c>
      <c r="B347" s="48">
        <v>1</v>
      </c>
      <c r="C347" s="48" t="s">
        <v>85</v>
      </c>
      <c r="D347" s="48" t="s">
        <v>44</v>
      </c>
      <c r="E347" s="8" t="s">
        <v>14</v>
      </c>
      <c r="F347" s="8" t="s">
        <v>62</v>
      </c>
      <c r="G347" s="9"/>
      <c r="H347" s="9">
        <f>IF(Table38[[#This Row],[modality]]=C346,1,0)</f>
        <v>0</v>
      </c>
      <c r="I347">
        <f>IF(Table38[[#This Row],[stimulus]]=F348,1,0)</f>
        <v>0</v>
      </c>
      <c r="J347">
        <f t="shared" si="5"/>
        <v>0</v>
      </c>
      <c r="K347" s="9"/>
      <c r="L347" s="9"/>
    </row>
    <row r="348" spans="1:12" x14ac:dyDescent="0.3">
      <c r="A348" s="16">
        <v>3</v>
      </c>
      <c r="B348" s="47">
        <v>1</v>
      </c>
      <c r="C348" s="47" t="s">
        <v>85</v>
      </c>
      <c r="D348" s="47" t="s">
        <v>4</v>
      </c>
      <c r="E348" s="19" t="s">
        <v>45</v>
      </c>
      <c r="F348" s="19" t="s">
        <v>67</v>
      </c>
      <c r="G348" s="9"/>
      <c r="H348" s="9">
        <f>IF(Table38[[#This Row],[modality]]=C347,1,0)</f>
        <v>1</v>
      </c>
      <c r="I348">
        <f>IF(Table38[[#This Row],[stimulus]]=F349,1,0)</f>
        <v>1</v>
      </c>
      <c r="J348">
        <f t="shared" si="5"/>
        <v>1</v>
      </c>
      <c r="K348" s="9"/>
      <c r="L348" s="9"/>
    </row>
    <row r="349" spans="1:12" x14ac:dyDescent="0.3">
      <c r="A349" s="11">
        <v>3</v>
      </c>
      <c r="B349" s="48">
        <v>2</v>
      </c>
      <c r="C349" s="48" t="s">
        <v>84</v>
      </c>
      <c r="D349" s="48" t="s">
        <v>44</v>
      </c>
      <c r="E349" s="8" t="s">
        <v>14</v>
      </c>
      <c r="F349" s="8" t="s">
        <v>67</v>
      </c>
      <c r="G349" s="9"/>
      <c r="H349" s="9">
        <f>IF(Table38[[#This Row],[modality]]=C348,1,0)</f>
        <v>0</v>
      </c>
      <c r="I349">
        <f>IF(Table38[[#This Row],[stimulus]]=F350,1,0)</f>
        <v>0</v>
      </c>
      <c r="J349">
        <f t="shared" si="5"/>
        <v>0</v>
      </c>
      <c r="K349" s="9"/>
      <c r="L349" s="9"/>
    </row>
    <row r="350" spans="1:12" x14ac:dyDescent="0.3">
      <c r="A350" s="16">
        <v>3</v>
      </c>
      <c r="B350" s="45">
        <v>2</v>
      </c>
      <c r="C350" s="45" t="s">
        <v>84</v>
      </c>
      <c r="D350" s="45" t="s">
        <v>33</v>
      </c>
      <c r="E350" s="19" t="s">
        <v>46</v>
      </c>
      <c r="F350" s="19" t="s">
        <v>55</v>
      </c>
      <c r="G350" s="9"/>
      <c r="H350" s="9">
        <f>IF(Table38[[#This Row],[modality]]=C349,1,0)</f>
        <v>1</v>
      </c>
      <c r="I350">
        <f>IF(Table38[[#This Row],[stimulus]]=F351,1,0)</f>
        <v>0</v>
      </c>
      <c r="J350">
        <f t="shared" si="5"/>
        <v>1</v>
      </c>
      <c r="K350" s="9"/>
      <c r="L350" s="9"/>
    </row>
    <row r="351" spans="1:12" x14ac:dyDescent="0.3">
      <c r="A351" s="16">
        <v>3</v>
      </c>
      <c r="B351" s="47">
        <v>2</v>
      </c>
      <c r="C351" s="47" t="s">
        <v>84</v>
      </c>
      <c r="D351" s="47" t="s">
        <v>4</v>
      </c>
      <c r="E351" s="19" t="s">
        <v>45</v>
      </c>
      <c r="F351" s="19" t="s">
        <v>63</v>
      </c>
      <c r="G351" s="9"/>
      <c r="H351" s="9">
        <f>IF(Table38[[#This Row],[modality]]=C350,1,0)</f>
        <v>1</v>
      </c>
      <c r="I351">
        <f>IF(Table38[[#This Row],[stimulus]]=F352,1,0)</f>
        <v>1</v>
      </c>
      <c r="J351">
        <f t="shared" si="5"/>
        <v>0</v>
      </c>
      <c r="K351" s="9"/>
      <c r="L351" s="9"/>
    </row>
    <row r="352" spans="1:12" x14ac:dyDescent="0.3">
      <c r="A352" s="11">
        <v>3</v>
      </c>
      <c r="B352" s="48">
        <v>1</v>
      </c>
      <c r="C352" s="48" t="s">
        <v>85</v>
      </c>
      <c r="D352" s="48" t="s">
        <v>44</v>
      </c>
      <c r="E352" s="8" t="s">
        <v>14</v>
      </c>
      <c r="F352" s="8" t="s">
        <v>63</v>
      </c>
      <c r="G352" s="9"/>
      <c r="H352" s="9">
        <f>IF(Table38[[#This Row],[modality]]=C351,1,0)</f>
        <v>0</v>
      </c>
      <c r="I352">
        <f>IF(Table38[[#This Row],[stimulus]]=F353,1,0)</f>
        <v>0</v>
      </c>
      <c r="J352">
        <f t="shared" si="5"/>
        <v>0</v>
      </c>
      <c r="K352" s="9"/>
      <c r="L352" s="9"/>
    </row>
    <row r="353" spans="1:12" x14ac:dyDescent="0.3">
      <c r="A353" s="11">
        <v>3</v>
      </c>
      <c r="B353" s="45">
        <v>1</v>
      </c>
      <c r="C353" s="45" t="s">
        <v>85</v>
      </c>
      <c r="D353" s="45" t="s">
        <v>33</v>
      </c>
      <c r="E353" s="8" t="s">
        <v>46</v>
      </c>
      <c r="F353" s="8" t="s">
        <v>59</v>
      </c>
      <c r="G353" s="9"/>
      <c r="H353" s="9">
        <f>IF(Table38[[#This Row],[modality]]=C352,1,0)</f>
        <v>1</v>
      </c>
      <c r="I353">
        <f>IF(Table38[[#This Row],[stimulus]]=F354,1,0)</f>
        <v>0</v>
      </c>
      <c r="J353">
        <f t="shared" si="5"/>
        <v>1</v>
      </c>
      <c r="K353" s="9"/>
      <c r="L353" s="9"/>
    </row>
    <row r="354" spans="1:12" x14ac:dyDescent="0.3">
      <c r="A354" s="16">
        <v>3</v>
      </c>
      <c r="B354" s="47">
        <v>1</v>
      </c>
      <c r="C354" s="47" t="s">
        <v>85</v>
      </c>
      <c r="D354" s="47" t="s">
        <v>4</v>
      </c>
      <c r="E354" s="19" t="s">
        <v>45</v>
      </c>
      <c r="F354" s="19" t="s">
        <v>69</v>
      </c>
      <c r="G354" s="9"/>
      <c r="H354" s="9">
        <f>IF(Table38[[#This Row],[modality]]=C353,1,0)</f>
        <v>1</v>
      </c>
      <c r="I354">
        <f>IF(Table38[[#This Row],[stimulus]]=F355,1,0)</f>
        <v>1</v>
      </c>
      <c r="J354">
        <f t="shared" si="5"/>
        <v>0</v>
      </c>
      <c r="K354" s="9"/>
      <c r="L354" s="9"/>
    </row>
    <row r="355" spans="1:12" x14ac:dyDescent="0.3">
      <c r="A355" s="11">
        <v>3</v>
      </c>
      <c r="B355" s="48">
        <v>2</v>
      </c>
      <c r="C355" s="48" t="s">
        <v>84</v>
      </c>
      <c r="D355" s="48" t="s">
        <v>44</v>
      </c>
      <c r="E355" s="8" t="s">
        <v>14</v>
      </c>
      <c r="F355" s="8" t="s">
        <v>69</v>
      </c>
      <c r="G355" s="9"/>
      <c r="H355" s="9">
        <f>IF(Table38[[#This Row],[modality]]=C354,1,0)</f>
        <v>0</v>
      </c>
      <c r="I355">
        <f>IF(Table38[[#This Row],[stimulus]]=F356,1,0)</f>
        <v>0</v>
      </c>
      <c r="J355">
        <f t="shared" si="5"/>
        <v>0</v>
      </c>
      <c r="K355" s="9"/>
      <c r="L355" s="9"/>
    </row>
    <row r="356" spans="1:12" x14ac:dyDescent="0.3">
      <c r="A356" s="16">
        <v>3</v>
      </c>
      <c r="B356" s="45">
        <v>1</v>
      </c>
      <c r="C356" s="45" t="s">
        <v>85</v>
      </c>
      <c r="D356" s="45" t="s">
        <v>33</v>
      </c>
      <c r="E356" s="19" t="s">
        <v>46</v>
      </c>
      <c r="F356" s="19" t="s">
        <v>57</v>
      </c>
      <c r="G356" s="9"/>
      <c r="H356" s="9">
        <f>IF(Table38[[#This Row],[modality]]=C355,1,0)</f>
        <v>0</v>
      </c>
      <c r="I356">
        <f>IF(Table38[[#This Row],[stimulus]]=F357,1,0)</f>
        <v>0</v>
      </c>
      <c r="J356">
        <f t="shared" si="5"/>
        <v>1</v>
      </c>
      <c r="K356" s="9"/>
      <c r="L356" s="9"/>
    </row>
    <row r="357" spans="1:12" x14ac:dyDescent="0.3">
      <c r="A357" s="11">
        <v>3</v>
      </c>
      <c r="B357" s="48">
        <v>2</v>
      </c>
      <c r="C357" s="48" t="s">
        <v>84</v>
      </c>
      <c r="D357" s="48" t="s">
        <v>4</v>
      </c>
      <c r="E357" s="8" t="s">
        <v>45</v>
      </c>
      <c r="F357" s="8" t="s">
        <v>65</v>
      </c>
      <c r="G357" s="9"/>
      <c r="H357" s="9">
        <f>IF(Table38[[#This Row],[modality]]=C356,1,0)</f>
        <v>0</v>
      </c>
      <c r="I357">
        <f>IF(Table38[[#This Row],[stimulus]]=F358,1,0)</f>
        <v>1</v>
      </c>
      <c r="J357">
        <f t="shared" si="5"/>
        <v>0</v>
      </c>
      <c r="K357" s="9"/>
      <c r="L357" s="9"/>
    </row>
    <row r="358" spans="1:12" x14ac:dyDescent="0.3">
      <c r="A358" s="16">
        <v>3</v>
      </c>
      <c r="B358" s="47">
        <v>2</v>
      </c>
      <c r="C358" s="47" t="s">
        <v>84</v>
      </c>
      <c r="D358" s="47" t="s">
        <v>44</v>
      </c>
      <c r="E358" s="19" t="s">
        <v>13</v>
      </c>
      <c r="F358" s="19" t="s">
        <v>65</v>
      </c>
      <c r="G358" s="9"/>
      <c r="H358" s="9">
        <f>IF(Table38[[#This Row],[modality]]=C357,1,0)</f>
        <v>1</v>
      </c>
      <c r="I358">
        <f>IF(Table38[[#This Row],[stimulus]]=F359,1,0)</f>
        <v>0</v>
      </c>
      <c r="J358">
        <f t="shared" si="5"/>
        <v>0</v>
      </c>
      <c r="K358" s="9"/>
      <c r="L358" s="9"/>
    </row>
    <row r="359" spans="1:12" x14ac:dyDescent="0.3">
      <c r="A359" s="11">
        <v>3</v>
      </c>
      <c r="B359" s="45">
        <v>2</v>
      </c>
      <c r="C359" s="45" t="s">
        <v>84</v>
      </c>
      <c r="D359" s="45" t="s">
        <v>33</v>
      </c>
      <c r="E359" s="8" t="s">
        <v>46</v>
      </c>
      <c r="F359" s="8" t="s">
        <v>61</v>
      </c>
      <c r="G359" s="9"/>
      <c r="H359" s="9">
        <f>IF(Table38[[#This Row],[modality]]=C358,1,0)</f>
        <v>1</v>
      </c>
      <c r="I359">
        <f>IF(Table38[[#This Row],[stimulus]]=F360,1,0)</f>
        <v>0</v>
      </c>
      <c r="J359">
        <f t="shared" si="5"/>
        <v>1</v>
      </c>
      <c r="K359" s="9"/>
      <c r="L359" s="9"/>
    </row>
    <row r="360" spans="1:12" x14ac:dyDescent="0.3">
      <c r="A360" s="16">
        <v>3</v>
      </c>
      <c r="B360" s="45">
        <v>1</v>
      </c>
      <c r="C360" s="45" t="s">
        <v>85</v>
      </c>
      <c r="D360" s="45" t="s">
        <v>33</v>
      </c>
      <c r="E360" s="19" t="s">
        <v>46</v>
      </c>
      <c r="F360" s="19" t="s">
        <v>56</v>
      </c>
      <c r="G360" s="9"/>
      <c r="H360" s="9">
        <f>IF(Table38[[#This Row],[modality]]=C359,1,0)</f>
        <v>0</v>
      </c>
      <c r="I360">
        <f>IF(Table38[[#This Row],[stimulus]]=F361,1,0)</f>
        <v>0</v>
      </c>
      <c r="J360">
        <f t="shared" si="5"/>
        <v>0</v>
      </c>
      <c r="K360" s="9"/>
      <c r="L360" s="9"/>
    </row>
    <row r="361" spans="1:12" x14ac:dyDescent="0.3">
      <c r="A361" s="11">
        <v>3</v>
      </c>
      <c r="B361" s="48">
        <v>2</v>
      </c>
      <c r="C361" s="48" t="s">
        <v>84</v>
      </c>
      <c r="D361" s="48" t="s">
        <v>4</v>
      </c>
      <c r="E361" s="8" t="s">
        <v>45</v>
      </c>
      <c r="F361" s="8" t="s">
        <v>64</v>
      </c>
      <c r="G361" s="9"/>
      <c r="H361" s="9">
        <f>IF(Table38[[#This Row],[modality]]=C360,1,0)</f>
        <v>0</v>
      </c>
      <c r="I361">
        <f>IF(Table38[[#This Row],[stimulus]]=F362,1,0)</f>
        <v>1</v>
      </c>
      <c r="J361">
        <f t="shared" si="5"/>
        <v>0</v>
      </c>
      <c r="K361" s="9"/>
      <c r="L361" s="9"/>
    </row>
    <row r="362" spans="1:12" x14ac:dyDescent="0.3">
      <c r="A362" s="16">
        <v>3</v>
      </c>
      <c r="B362" s="47">
        <v>2</v>
      </c>
      <c r="C362" s="47" t="s">
        <v>84</v>
      </c>
      <c r="D362" s="47" t="s">
        <v>44</v>
      </c>
      <c r="E362" s="19" t="s">
        <v>13</v>
      </c>
      <c r="F362" s="19" t="s">
        <v>64</v>
      </c>
      <c r="G362" s="9"/>
      <c r="H362" s="9">
        <f>IF(Table38[[#This Row],[modality]]=C361,1,0)</f>
        <v>1</v>
      </c>
      <c r="I362">
        <f>IF(Table38[[#This Row],[stimulus]]=F363,1,0)</f>
        <v>0</v>
      </c>
      <c r="J362">
        <f t="shared" si="5"/>
        <v>0</v>
      </c>
      <c r="K362" s="9"/>
      <c r="L362" s="9"/>
    </row>
    <row r="363" spans="1:12" x14ac:dyDescent="0.3">
      <c r="A363" s="11">
        <v>3</v>
      </c>
      <c r="B363" s="48">
        <v>2</v>
      </c>
      <c r="C363" s="48" t="s">
        <v>84</v>
      </c>
      <c r="D363" s="48" t="s">
        <v>4</v>
      </c>
      <c r="E363" s="8" t="s">
        <v>45</v>
      </c>
      <c r="F363" s="8" t="s">
        <v>70</v>
      </c>
      <c r="G363" s="9"/>
      <c r="H363" s="9">
        <f>IF(Table38[[#This Row],[modality]]=C362,1,0)</f>
        <v>1</v>
      </c>
      <c r="I363">
        <f>IF(Table38[[#This Row],[stimulus]]=F364,1,0)</f>
        <v>1</v>
      </c>
      <c r="J363">
        <f t="shared" si="5"/>
        <v>1</v>
      </c>
      <c r="K363" s="9"/>
      <c r="L363" s="9"/>
    </row>
    <row r="364" spans="1:12" x14ac:dyDescent="0.3">
      <c r="A364" s="16">
        <v>3</v>
      </c>
      <c r="B364" s="47">
        <v>1</v>
      </c>
      <c r="C364" s="47" t="s">
        <v>85</v>
      </c>
      <c r="D364" s="47" t="s">
        <v>44</v>
      </c>
      <c r="E364" s="19" t="s">
        <v>14</v>
      </c>
      <c r="F364" s="19" t="s">
        <v>70</v>
      </c>
      <c r="G364" s="9"/>
      <c r="H364" s="9">
        <f>IF(Table38[[#This Row],[modality]]=C363,1,0)</f>
        <v>0</v>
      </c>
      <c r="I364">
        <f>IF(Table38[[#This Row],[stimulus]]=F365,1,0)</f>
        <v>0</v>
      </c>
      <c r="J364">
        <f t="shared" si="5"/>
        <v>0</v>
      </c>
      <c r="K364" s="9"/>
      <c r="L364" s="9"/>
    </row>
    <row r="365" spans="1:12" x14ac:dyDescent="0.3">
      <c r="A365" s="16">
        <v>3</v>
      </c>
      <c r="B365" s="45">
        <v>2</v>
      </c>
      <c r="C365" s="45" t="s">
        <v>84</v>
      </c>
      <c r="D365" s="45" t="s">
        <v>33</v>
      </c>
      <c r="E365" s="19" t="s">
        <v>46</v>
      </c>
      <c r="F365" s="19" t="s">
        <v>58</v>
      </c>
      <c r="G365" s="9"/>
      <c r="H365" s="9">
        <f>IF(Table38[[#This Row],[modality]]=C364,1,0)</f>
        <v>0</v>
      </c>
      <c r="I365">
        <f>IF(Table38[[#This Row],[stimulus]]=F366,1,0)</f>
        <v>0</v>
      </c>
      <c r="J365">
        <f t="shared" si="5"/>
        <v>1</v>
      </c>
      <c r="K365" s="9"/>
      <c r="L365" s="9"/>
    </row>
    <row r="366" spans="1:12" x14ac:dyDescent="0.3">
      <c r="A366" s="11">
        <v>3</v>
      </c>
      <c r="B366" s="45">
        <v>1</v>
      </c>
      <c r="C366" s="45" t="s">
        <v>85</v>
      </c>
      <c r="D366" s="45" t="s">
        <v>33</v>
      </c>
      <c r="E366" s="8" t="s">
        <v>46</v>
      </c>
      <c r="F366" s="8" t="s">
        <v>60</v>
      </c>
      <c r="G366" s="9"/>
      <c r="H366" s="9">
        <f>IF(Table38[[#This Row],[modality]]=C365,1,0)</f>
        <v>0</v>
      </c>
      <c r="I366">
        <f>IF(Table38[[#This Row],[stimulus]]=F367,1,0)</f>
        <v>0</v>
      </c>
      <c r="J366">
        <f t="shared" si="5"/>
        <v>0</v>
      </c>
      <c r="K366" s="9"/>
      <c r="L366" s="9"/>
    </row>
    <row r="367" spans="1:12" x14ac:dyDescent="0.3">
      <c r="A367" s="11">
        <v>3</v>
      </c>
      <c r="B367" s="48">
        <v>1</v>
      </c>
      <c r="C367" s="48" t="s">
        <v>85</v>
      </c>
      <c r="D367" s="48" t="s">
        <v>4</v>
      </c>
      <c r="E367" s="8" t="s">
        <v>45</v>
      </c>
      <c r="F367" s="8" t="s">
        <v>68</v>
      </c>
      <c r="G367" s="9"/>
      <c r="H367" s="9">
        <f>IF(Table38[[#This Row],[modality]]=C366,1,0)</f>
        <v>1</v>
      </c>
      <c r="I367">
        <f>IF(Table38[[#This Row],[stimulus]]=F368,1,0)</f>
        <v>1</v>
      </c>
      <c r="J367">
        <f t="shared" si="5"/>
        <v>0</v>
      </c>
      <c r="K367" s="9"/>
      <c r="L367" s="9"/>
    </row>
    <row r="368" spans="1:12" x14ac:dyDescent="0.3">
      <c r="A368" s="16">
        <v>3</v>
      </c>
      <c r="B368" s="47">
        <v>1</v>
      </c>
      <c r="C368" s="47" t="s">
        <v>85</v>
      </c>
      <c r="D368" s="47" t="s">
        <v>44</v>
      </c>
      <c r="E368" s="19" t="s">
        <v>13</v>
      </c>
      <c r="F368" s="19" t="s">
        <v>68</v>
      </c>
      <c r="G368" s="9"/>
      <c r="H368" s="9">
        <f>IF(Table38[[#This Row],[modality]]=C367,1,0)</f>
        <v>1</v>
      </c>
      <c r="I368">
        <f>IF(Table38[[#This Row],[stimulus]]=F369,1,0)</f>
        <v>0</v>
      </c>
      <c r="J368">
        <f t="shared" si="5"/>
        <v>0</v>
      </c>
      <c r="K368" s="9"/>
      <c r="L368" s="9"/>
    </row>
    <row r="369" spans="1:12" x14ac:dyDescent="0.3">
      <c r="A369" s="11">
        <v>3</v>
      </c>
      <c r="B369" s="45">
        <v>2</v>
      </c>
      <c r="C369" s="45" t="s">
        <v>84</v>
      </c>
      <c r="D369" s="45" t="s">
        <v>33</v>
      </c>
      <c r="E369" s="8" t="s">
        <v>46</v>
      </c>
      <c r="F369" s="8" t="s">
        <v>62</v>
      </c>
      <c r="G369" s="9"/>
      <c r="H369" s="9">
        <f>IF(Table38[[#This Row],[modality]]=C368,1,0)</f>
        <v>0</v>
      </c>
      <c r="I369">
        <f>IF(Table38[[#This Row],[stimulus]]=F370,1,0)</f>
        <v>0</v>
      </c>
      <c r="J369">
        <f t="shared" si="5"/>
        <v>1</v>
      </c>
      <c r="K369" s="9"/>
      <c r="L369" s="9"/>
    </row>
    <row r="370" spans="1:12" x14ac:dyDescent="0.3">
      <c r="A370" s="16">
        <v>3</v>
      </c>
      <c r="B370" s="47">
        <v>1</v>
      </c>
      <c r="C370" s="47" t="s">
        <v>85</v>
      </c>
      <c r="D370" s="47" t="s">
        <v>4</v>
      </c>
      <c r="E370" s="19" t="s">
        <v>45</v>
      </c>
      <c r="F370" s="19" t="s">
        <v>66</v>
      </c>
      <c r="G370" s="9"/>
      <c r="H370" s="9">
        <f>IF(Table38[[#This Row],[modality]]=C369,1,0)</f>
        <v>0</v>
      </c>
      <c r="I370">
        <f>IF(Table38[[#This Row],[stimulus]]=F371,1,0)</f>
        <v>1</v>
      </c>
      <c r="J370">
        <f t="shared" si="5"/>
        <v>0</v>
      </c>
      <c r="K370" s="9"/>
      <c r="L370" s="9"/>
    </row>
    <row r="371" spans="1:12" x14ac:dyDescent="0.3">
      <c r="A371" s="11">
        <v>3</v>
      </c>
      <c r="B371" s="48">
        <v>1</v>
      </c>
      <c r="C371" s="48" t="s">
        <v>85</v>
      </c>
      <c r="D371" s="48" t="s">
        <v>44</v>
      </c>
      <c r="E371" s="8" t="s">
        <v>13</v>
      </c>
      <c r="F371" s="8" t="s">
        <v>66</v>
      </c>
      <c r="G371" s="9"/>
      <c r="H371" s="9">
        <f>IF(Table38[[#This Row],[modality]]=C370,1,0)</f>
        <v>1</v>
      </c>
      <c r="I371">
        <f>IF(Table38[[#This Row],[stimulus]]=F372,1,0)</f>
        <v>0</v>
      </c>
      <c r="J371">
        <f t="shared" si="5"/>
        <v>0</v>
      </c>
      <c r="K371" s="9"/>
      <c r="L371" s="9"/>
    </row>
    <row r="372" spans="1:12" x14ac:dyDescent="0.3">
      <c r="A372" s="19">
        <v>4</v>
      </c>
      <c r="B372" s="46">
        <v>1</v>
      </c>
      <c r="C372" s="46" t="s">
        <v>85</v>
      </c>
      <c r="D372" s="46" t="s">
        <v>33</v>
      </c>
      <c r="E372" s="19" t="s">
        <v>46</v>
      </c>
      <c r="F372" s="19" t="s">
        <v>63</v>
      </c>
      <c r="G372" s="9"/>
      <c r="H372" s="9">
        <f>IF(Table38[[#This Row],[modality]]=C371,1,0)</f>
        <v>1</v>
      </c>
      <c r="I372">
        <f>IF(Table38[[#This Row],[stimulus]]=F373,1,0)</f>
        <v>0</v>
      </c>
      <c r="J372">
        <f t="shared" si="5"/>
        <v>1</v>
      </c>
      <c r="K372" s="9"/>
      <c r="L372" s="9"/>
    </row>
    <row r="373" spans="1:12" x14ac:dyDescent="0.3">
      <c r="A373" s="8">
        <v>4</v>
      </c>
      <c r="B373" s="46">
        <v>2</v>
      </c>
      <c r="C373" s="46" t="s">
        <v>84</v>
      </c>
      <c r="D373" s="46" t="s">
        <v>33</v>
      </c>
      <c r="E373" s="8" t="s">
        <v>46</v>
      </c>
      <c r="F373" s="8" t="s">
        <v>67</v>
      </c>
      <c r="G373" s="9"/>
      <c r="H373" s="9">
        <f>IF(Table38[[#This Row],[modality]]=C372,1,0)</f>
        <v>0</v>
      </c>
      <c r="I373">
        <f>IF(Table38[[#This Row],[stimulus]]=F374,1,0)</f>
        <v>0</v>
      </c>
      <c r="J373">
        <f t="shared" si="5"/>
        <v>0</v>
      </c>
      <c r="K373" s="9"/>
      <c r="L373" s="9"/>
    </row>
    <row r="374" spans="1:12" x14ac:dyDescent="0.3">
      <c r="A374" s="8">
        <v>4</v>
      </c>
      <c r="B374" s="48">
        <v>1</v>
      </c>
      <c r="C374" s="48" t="s">
        <v>85</v>
      </c>
      <c r="D374" s="48" t="s">
        <v>4</v>
      </c>
      <c r="E374" s="8" t="s">
        <v>45</v>
      </c>
      <c r="F374" s="8" t="s">
        <v>73</v>
      </c>
      <c r="G374" s="9"/>
      <c r="H374" s="9">
        <f>IF(Table38[[#This Row],[modality]]=C373,1,0)</f>
        <v>0</v>
      </c>
      <c r="I374">
        <f>IF(Table38[[#This Row],[stimulus]]=F375,1,0)</f>
        <v>1</v>
      </c>
      <c r="J374">
        <f t="shared" si="5"/>
        <v>0</v>
      </c>
      <c r="K374" s="9"/>
      <c r="L374" s="9"/>
    </row>
    <row r="375" spans="1:12" x14ac:dyDescent="0.3">
      <c r="A375" s="19">
        <v>4</v>
      </c>
      <c r="B375" s="47">
        <v>1</v>
      </c>
      <c r="C375" s="47" t="s">
        <v>85</v>
      </c>
      <c r="D375" s="47" t="s">
        <v>44</v>
      </c>
      <c r="E375" s="19" t="s">
        <v>13</v>
      </c>
      <c r="F375" s="19" t="s">
        <v>73</v>
      </c>
      <c r="G375" s="9"/>
      <c r="H375" s="9">
        <f>IF(Table38[[#This Row],[modality]]=C374,1,0)</f>
        <v>1</v>
      </c>
      <c r="I375">
        <f>IF(Table38[[#This Row],[stimulus]]=F376,1,0)</f>
        <v>0</v>
      </c>
      <c r="J375">
        <f t="shared" si="5"/>
        <v>0</v>
      </c>
      <c r="K375" s="9"/>
      <c r="L375" s="9"/>
    </row>
    <row r="376" spans="1:12" x14ac:dyDescent="0.3">
      <c r="A376" s="8">
        <v>4</v>
      </c>
      <c r="B376" s="48">
        <v>1</v>
      </c>
      <c r="C376" s="48" t="s">
        <v>85</v>
      </c>
      <c r="D376" s="48" t="s">
        <v>4</v>
      </c>
      <c r="E376" s="8" t="s">
        <v>45</v>
      </c>
      <c r="F376" s="8" t="s">
        <v>76</v>
      </c>
      <c r="G376" s="9"/>
      <c r="H376" s="9">
        <f>IF(Table38[[#This Row],[modality]]=C375,1,0)</f>
        <v>1</v>
      </c>
      <c r="I376">
        <f>IF(Table38[[#This Row],[stimulus]]=F377,1,0)</f>
        <v>1</v>
      </c>
      <c r="J376">
        <f t="shared" si="5"/>
        <v>1</v>
      </c>
      <c r="K376" s="9"/>
      <c r="L376" s="9"/>
    </row>
    <row r="377" spans="1:12" x14ac:dyDescent="0.3">
      <c r="A377" s="19">
        <v>4</v>
      </c>
      <c r="B377" s="47">
        <v>2</v>
      </c>
      <c r="C377" s="47" t="s">
        <v>84</v>
      </c>
      <c r="D377" s="47" t="s">
        <v>44</v>
      </c>
      <c r="E377" s="19" t="s">
        <v>14</v>
      </c>
      <c r="F377" s="19" t="s">
        <v>76</v>
      </c>
      <c r="G377" s="9"/>
      <c r="H377" s="9">
        <f>IF(Table38[[#This Row],[modality]]=C376,1,0)</f>
        <v>0</v>
      </c>
      <c r="I377">
        <f>IF(Table38[[#This Row],[stimulus]]=F378,1,0)</f>
        <v>0</v>
      </c>
      <c r="J377">
        <f t="shared" si="5"/>
        <v>0</v>
      </c>
      <c r="K377" s="9"/>
      <c r="L377" s="9"/>
    </row>
    <row r="378" spans="1:12" x14ac:dyDescent="0.3">
      <c r="A378" s="8">
        <v>4</v>
      </c>
      <c r="B378" s="46">
        <v>1</v>
      </c>
      <c r="C378" s="46" t="s">
        <v>85</v>
      </c>
      <c r="D378" s="46" t="s">
        <v>33</v>
      </c>
      <c r="E378" s="8" t="s">
        <v>46</v>
      </c>
      <c r="F378" s="8" t="s">
        <v>69</v>
      </c>
      <c r="G378" s="9"/>
      <c r="H378" s="9">
        <f>IF(Table38[[#This Row],[modality]]=C377,1,0)</f>
        <v>0</v>
      </c>
      <c r="I378">
        <f>IF(Table38[[#This Row],[stimulus]]=F379,1,0)</f>
        <v>0</v>
      </c>
      <c r="J378">
        <f t="shared" si="5"/>
        <v>1</v>
      </c>
      <c r="K378" s="9"/>
      <c r="L378" s="9"/>
    </row>
    <row r="379" spans="1:12" x14ac:dyDescent="0.3">
      <c r="A379" s="19">
        <v>4</v>
      </c>
      <c r="B379" s="47">
        <v>2</v>
      </c>
      <c r="C379" s="47" t="s">
        <v>84</v>
      </c>
      <c r="D379" s="47" t="s">
        <v>4</v>
      </c>
      <c r="E379" s="19" t="s">
        <v>45</v>
      </c>
      <c r="F379" s="19" t="s">
        <v>74</v>
      </c>
      <c r="G379" s="9"/>
      <c r="H379" s="9">
        <f>IF(Table38[[#This Row],[modality]]=C378,1,0)</f>
        <v>0</v>
      </c>
      <c r="I379">
        <f>IF(Table38[[#This Row],[stimulus]]=F380,1,0)</f>
        <v>1</v>
      </c>
      <c r="J379">
        <f t="shared" si="5"/>
        <v>0</v>
      </c>
      <c r="K379" s="9"/>
      <c r="L379" s="9"/>
    </row>
    <row r="380" spans="1:12" x14ac:dyDescent="0.3">
      <c r="A380" s="8">
        <v>4</v>
      </c>
      <c r="B380" s="48">
        <v>2</v>
      </c>
      <c r="C380" s="48" t="s">
        <v>84</v>
      </c>
      <c r="D380" s="48" t="s">
        <v>44</v>
      </c>
      <c r="E380" s="8" t="s">
        <v>13</v>
      </c>
      <c r="F380" s="8" t="s">
        <v>74</v>
      </c>
      <c r="G380" s="9"/>
      <c r="H380" s="9">
        <f>IF(Table38[[#This Row],[modality]]=C379,1,0)</f>
        <v>1</v>
      </c>
      <c r="I380">
        <f>IF(Table38[[#This Row],[stimulus]]=F381,1,0)</f>
        <v>0</v>
      </c>
      <c r="J380">
        <f t="shared" si="5"/>
        <v>0</v>
      </c>
      <c r="K380" s="9"/>
      <c r="L380" s="9"/>
    </row>
    <row r="381" spans="1:12" x14ac:dyDescent="0.3">
      <c r="A381" s="19">
        <v>4</v>
      </c>
      <c r="B381" s="47">
        <v>2</v>
      </c>
      <c r="C381" s="47" t="s">
        <v>84</v>
      </c>
      <c r="D381" s="47" t="s">
        <v>4</v>
      </c>
      <c r="E381" s="19" t="s">
        <v>45</v>
      </c>
      <c r="F381" s="19" t="s">
        <v>78</v>
      </c>
      <c r="G381" s="9"/>
      <c r="H381" s="9">
        <f>IF(Table38[[#This Row],[modality]]=C380,1,0)</f>
        <v>1</v>
      </c>
      <c r="I381">
        <f>IF(Table38[[#This Row],[stimulus]]=F382,1,0)</f>
        <v>1</v>
      </c>
      <c r="J381">
        <f t="shared" si="5"/>
        <v>1</v>
      </c>
      <c r="K381" s="9"/>
      <c r="L381" s="9"/>
    </row>
    <row r="382" spans="1:12" x14ac:dyDescent="0.3">
      <c r="A382" s="8">
        <v>4</v>
      </c>
      <c r="B382" s="48">
        <v>1</v>
      </c>
      <c r="C382" s="48" t="s">
        <v>85</v>
      </c>
      <c r="D382" s="48" t="s">
        <v>44</v>
      </c>
      <c r="E382" s="8" t="s">
        <v>14</v>
      </c>
      <c r="F382" s="8" t="s">
        <v>78</v>
      </c>
      <c r="G382" s="9"/>
      <c r="H382" s="9">
        <f>IF(Table38[[#This Row],[modality]]=C381,1,0)</f>
        <v>0</v>
      </c>
      <c r="I382">
        <f>IF(Table38[[#This Row],[stimulus]]=F383,1,0)</f>
        <v>0</v>
      </c>
      <c r="J382">
        <f t="shared" si="5"/>
        <v>0</v>
      </c>
      <c r="K382" s="9"/>
      <c r="L382" s="9"/>
    </row>
    <row r="383" spans="1:12" x14ac:dyDescent="0.3">
      <c r="A383" s="19">
        <v>4</v>
      </c>
      <c r="B383" s="46">
        <v>2</v>
      </c>
      <c r="C383" s="46" t="s">
        <v>84</v>
      </c>
      <c r="D383" s="46" t="s">
        <v>33</v>
      </c>
      <c r="E383" s="19" t="s">
        <v>46</v>
      </c>
      <c r="F383" s="19" t="s">
        <v>65</v>
      </c>
      <c r="G383" s="9"/>
      <c r="H383" s="9">
        <f>IF(Table38[[#This Row],[modality]]=C382,1,0)</f>
        <v>0</v>
      </c>
      <c r="I383">
        <f>IF(Table38[[#This Row],[stimulus]]=F384,1,0)</f>
        <v>0</v>
      </c>
      <c r="J383">
        <f t="shared" si="5"/>
        <v>1</v>
      </c>
      <c r="K383" s="9"/>
      <c r="L383" s="9"/>
    </row>
    <row r="384" spans="1:12" x14ac:dyDescent="0.3">
      <c r="A384" s="8">
        <v>4</v>
      </c>
      <c r="B384" s="48">
        <v>1</v>
      </c>
      <c r="C384" s="48" t="s">
        <v>85</v>
      </c>
      <c r="D384" s="48" t="s">
        <v>4</v>
      </c>
      <c r="E384" s="8" t="s">
        <v>45</v>
      </c>
      <c r="F384" s="8" t="s">
        <v>75</v>
      </c>
      <c r="G384" s="9"/>
      <c r="H384" s="9">
        <f>IF(Table38[[#This Row],[modality]]=C383,1,0)</f>
        <v>0</v>
      </c>
      <c r="I384">
        <f>IF(Table38[[#This Row],[stimulus]]=F385,1,0)</f>
        <v>1</v>
      </c>
      <c r="J384">
        <f t="shared" si="5"/>
        <v>0</v>
      </c>
      <c r="K384" s="9"/>
      <c r="L384" s="9"/>
    </row>
    <row r="385" spans="1:12" x14ac:dyDescent="0.3">
      <c r="A385" s="19">
        <v>4</v>
      </c>
      <c r="B385" s="47">
        <v>2</v>
      </c>
      <c r="C385" s="47" t="s">
        <v>84</v>
      </c>
      <c r="D385" s="47" t="s">
        <v>44</v>
      </c>
      <c r="E385" s="19" t="s">
        <v>14</v>
      </c>
      <c r="F385" s="19" t="s">
        <v>75</v>
      </c>
      <c r="G385" s="9"/>
      <c r="H385" s="9">
        <f>IF(Table38[[#This Row],[modality]]=C384,1,0)</f>
        <v>0</v>
      </c>
      <c r="I385">
        <f>IF(Table38[[#This Row],[stimulus]]=F386,1,0)</f>
        <v>0</v>
      </c>
      <c r="J385">
        <f t="shared" ref="J385:J395" si="6">IF(D384="T",1,0)</f>
        <v>0</v>
      </c>
      <c r="K385" s="9"/>
      <c r="L385" s="9"/>
    </row>
    <row r="386" spans="1:12" x14ac:dyDescent="0.3">
      <c r="A386" s="19">
        <v>4</v>
      </c>
      <c r="B386" s="46">
        <v>2</v>
      </c>
      <c r="C386" s="46" t="s">
        <v>84</v>
      </c>
      <c r="D386" s="46" t="s">
        <v>33</v>
      </c>
      <c r="E386" s="19" t="s">
        <v>46</v>
      </c>
      <c r="F386" s="19" t="s">
        <v>64</v>
      </c>
      <c r="G386" s="9"/>
      <c r="H386" s="9">
        <f>IF(Table38[[#This Row],[modality]]=C385,1,0)</f>
        <v>1</v>
      </c>
      <c r="I386">
        <f>IF(Table38[[#This Row],[stimulus]]=F387,1,0)</f>
        <v>0</v>
      </c>
      <c r="J386">
        <f t="shared" si="6"/>
        <v>1</v>
      </c>
      <c r="K386" s="9"/>
      <c r="L386" s="9"/>
    </row>
    <row r="387" spans="1:12" x14ac:dyDescent="0.3">
      <c r="A387" s="8">
        <v>4</v>
      </c>
      <c r="B387" s="48">
        <v>2</v>
      </c>
      <c r="C387" s="48" t="s">
        <v>84</v>
      </c>
      <c r="D387" s="48" t="s">
        <v>4</v>
      </c>
      <c r="E387" s="8" t="s">
        <v>45</v>
      </c>
      <c r="F387" s="8" t="s">
        <v>72</v>
      </c>
      <c r="G387" s="9"/>
      <c r="H387" s="9">
        <f>IF(Table38[[#This Row],[modality]]=C386,1,0)</f>
        <v>1</v>
      </c>
      <c r="I387">
        <f>IF(Table38[[#This Row],[stimulus]]=F388,1,0)</f>
        <v>1</v>
      </c>
      <c r="J387">
        <f t="shared" si="6"/>
        <v>0</v>
      </c>
      <c r="K387" s="9"/>
      <c r="L387" s="9"/>
    </row>
    <row r="388" spans="1:12" x14ac:dyDescent="0.3">
      <c r="A388" s="19">
        <v>4</v>
      </c>
      <c r="B388" s="47">
        <v>2</v>
      </c>
      <c r="C388" s="47" t="s">
        <v>84</v>
      </c>
      <c r="D388" s="47" t="s">
        <v>44</v>
      </c>
      <c r="E388" s="19" t="s">
        <v>13</v>
      </c>
      <c r="F388" s="19" t="s">
        <v>72</v>
      </c>
      <c r="G388" s="9"/>
      <c r="H388" s="9">
        <f>IF(Table38[[#This Row],[modality]]=C387,1,0)</f>
        <v>1</v>
      </c>
      <c r="I388">
        <f>IF(Table38[[#This Row],[stimulus]]=F389,1,0)</f>
        <v>0</v>
      </c>
      <c r="J388">
        <f t="shared" si="6"/>
        <v>0</v>
      </c>
      <c r="K388" s="9"/>
      <c r="L388" s="9"/>
    </row>
    <row r="389" spans="1:12" x14ac:dyDescent="0.3">
      <c r="A389" s="8">
        <v>4</v>
      </c>
      <c r="B389" s="46">
        <v>1</v>
      </c>
      <c r="C389" s="46" t="s">
        <v>85</v>
      </c>
      <c r="D389" s="46" t="s">
        <v>33</v>
      </c>
      <c r="E389" s="8" t="s">
        <v>46</v>
      </c>
      <c r="F389" s="8" t="s">
        <v>70</v>
      </c>
      <c r="G389" s="9"/>
      <c r="H389" s="9">
        <f>IF(Table38[[#This Row],[modality]]=C388,1,0)</f>
        <v>0</v>
      </c>
      <c r="I389">
        <f>IF(Table38[[#This Row],[stimulus]]=F390,1,0)</f>
        <v>0</v>
      </c>
      <c r="J389">
        <f t="shared" si="6"/>
        <v>1</v>
      </c>
      <c r="K389" s="9"/>
      <c r="L389" s="9"/>
    </row>
    <row r="390" spans="1:12" x14ac:dyDescent="0.3">
      <c r="A390" s="8">
        <v>4</v>
      </c>
      <c r="B390" s="46">
        <v>2</v>
      </c>
      <c r="C390" s="46" t="s">
        <v>84</v>
      </c>
      <c r="D390" s="46" t="s">
        <v>33</v>
      </c>
      <c r="E390" s="8" t="s">
        <v>46</v>
      </c>
      <c r="F390" s="8" t="s">
        <v>68</v>
      </c>
      <c r="G390" s="9"/>
      <c r="H390" s="9">
        <f>IF(Table38[[#This Row],[modality]]=C389,1,0)</f>
        <v>0</v>
      </c>
      <c r="I390">
        <f>IF(Table38[[#This Row],[stimulus]]=F391,1,0)</f>
        <v>0</v>
      </c>
      <c r="J390">
        <f t="shared" si="6"/>
        <v>0</v>
      </c>
      <c r="K390" s="9"/>
      <c r="L390" s="9"/>
    </row>
    <row r="391" spans="1:12" x14ac:dyDescent="0.3">
      <c r="A391" s="8">
        <v>4</v>
      </c>
      <c r="B391" s="48">
        <v>2</v>
      </c>
      <c r="C391" s="48" t="s">
        <v>84</v>
      </c>
      <c r="D391" s="48" t="s">
        <v>4</v>
      </c>
      <c r="E391" s="8" t="s">
        <v>45</v>
      </c>
      <c r="F391" s="8" t="s">
        <v>71</v>
      </c>
      <c r="G391" s="9"/>
      <c r="H391" s="9">
        <f>IF(Table38[[#This Row],[modality]]=C390,1,0)</f>
        <v>1</v>
      </c>
      <c r="I391">
        <f>IF(Table38[[#This Row],[stimulus]]=F392,1,0)</f>
        <v>1</v>
      </c>
      <c r="J391">
        <f t="shared" si="6"/>
        <v>0</v>
      </c>
      <c r="K391" s="9"/>
      <c r="L391" s="9"/>
    </row>
    <row r="392" spans="1:12" x14ac:dyDescent="0.3">
      <c r="A392" s="19">
        <v>4</v>
      </c>
      <c r="B392" s="47">
        <v>1</v>
      </c>
      <c r="C392" s="47" t="s">
        <v>85</v>
      </c>
      <c r="D392" s="47" t="s">
        <v>44</v>
      </c>
      <c r="E392" s="19" t="s">
        <v>14</v>
      </c>
      <c r="F392" s="19" t="s">
        <v>71</v>
      </c>
      <c r="G392" s="9"/>
      <c r="H392" s="9">
        <f>IF(Table38[[#This Row],[modality]]=C391,1,0)</f>
        <v>0</v>
      </c>
      <c r="I392">
        <f>IF(Table38[[#This Row],[stimulus]]=F393,1,0)</f>
        <v>0</v>
      </c>
      <c r="J392">
        <f t="shared" si="6"/>
        <v>0</v>
      </c>
      <c r="K392" s="9"/>
      <c r="L392" s="9"/>
    </row>
    <row r="393" spans="1:12" x14ac:dyDescent="0.3">
      <c r="A393" s="19">
        <v>4</v>
      </c>
      <c r="B393" s="46">
        <v>1</v>
      </c>
      <c r="C393" s="46" t="s">
        <v>85</v>
      </c>
      <c r="D393" s="46" t="s">
        <v>33</v>
      </c>
      <c r="E393" s="19" t="s">
        <v>46</v>
      </c>
      <c r="F393" s="19" t="s">
        <v>66</v>
      </c>
      <c r="G393" s="9"/>
      <c r="H393" s="9">
        <f>IF(Table38[[#This Row],[modality]]=C392,1,0)</f>
        <v>1</v>
      </c>
      <c r="I393">
        <f>IF(Table38[[#This Row],[stimulus]]=F394,1,0)</f>
        <v>0</v>
      </c>
      <c r="J393">
        <f t="shared" si="6"/>
        <v>1</v>
      </c>
      <c r="K393" s="9"/>
      <c r="L393" s="9"/>
    </row>
    <row r="394" spans="1:12" x14ac:dyDescent="0.3">
      <c r="A394" s="8">
        <v>4</v>
      </c>
      <c r="B394" s="48">
        <v>1</v>
      </c>
      <c r="C394" s="48" t="s">
        <v>85</v>
      </c>
      <c r="D394" s="48" t="s">
        <v>4</v>
      </c>
      <c r="E394" s="8" t="s">
        <v>45</v>
      </c>
      <c r="F394" s="8" t="s">
        <v>77</v>
      </c>
      <c r="G394" s="9"/>
      <c r="H394" s="9">
        <f>IF(Table38[[#This Row],[modality]]=C393,1,0)</f>
        <v>1</v>
      </c>
      <c r="I394">
        <f>IF(Table38[[#This Row],[stimulus]]=F395,1,0)</f>
        <v>1</v>
      </c>
      <c r="J394">
        <f t="shared" si="6"/>
        <v>0</v>
      </c>
      <c r="K394" s="9"/>
      <c r="L394" s="9"/>
    </row>
    <row r="395" spans="1:12" x14ac:dyDescent="0.3">
      <c r="A395" s="19">
        <v>4</v>
      </c>
      <c r="B395" s="47">
        <v>1</v>
      </c>
      <c r="C395" s="47" t="s">
        <v>85</v>
      </c>
      <c r="D395" s="47" t="s">
        <v>44</v>
      </c>
      <c r="E395" s="19" t="s">
        <v>13</v>
      </c>
      <c r="F395" s="19" t="s">
        <v>77</v>
      </c>
      <c r="G395" s="9"/>
      <c r="H395" s="9">
        <f>IF(Table38[[#This Row],[modality]]=C394,1,0)</f>
        <v>1</v>
      </c>
      <c r="I395">
        <f>IF(Table38[[#This Row],[stimulus]]=F396,1,0)</f>
        <v>0</v>
      </c>
      <c r="J395">
        <f t="shared" si="6"/>
        <v>0</v>
      </c>
      <c r="K395" s="9"/>
      <c r="L395" s="9"/>
    </row>
  </sheetData>
  <pageMargins left="0.25" right="0.25" top="0.75" bottom="0.75" header="0.3" footer="0.3"/>
  <pageSetup paperSize="9" orientation="landscape" horizontalDpi="360" verticalDpi="360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"/>
  <sheetViews>
    <sheetView workbookViewId="0">
      <selection sqref="A1:J2"/>
    </sheetView>
  </sheetViews>
  <sheetFormatPr defaultRowHeight="14.4" x14ac:dyDescent="0.3"/>
  <cols>
    <col min="2" max="2" width="10.88671875" customWidth="1"/>
    <col min="3" max="3" width="10.33203125" customWidth="1"/>
    <col min="5" max="5" width="11.33203125" customWidth="1"/>
    <col min="6" max="6" width="9.88671875" customWidth="1"/>
    <col min="7" max="7" width="10.88671875" customWidth="1"/>
    <col min="8" max="8" width="24" customWidth="1"/>
    <col min="9" max="9" width="21.6640625" customWidth="1"/>
    <col min="10" max="10" width="18.33203125" customWidth="1"/>
  </cols>
  <sheetData>
    <row r="1" spans="1:10" x14ac:dyDescent="0.3">
      <c r="A1" t="s">
        <v>87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132</v>
      </c>
      <c r="H1" t="s">
        <v>133</v>
      </c>
      <c r="I1" t="s">
        <v>134</v>
      </c>
      <c r="J1" t="s">
        <v>152</v>
      </c>
    </row>
    <row r="2" spans="1:10" x14ac:dyDescent="0.3">
      <c r="A2">
        <v>2</v>
      </c>
      <c r="B2">
        <v>1</v>
      </c>
      <c r="C2" t="s">
        <v>85</v>
      </c>
      <c r="D2" t="s">
        <v>4</v>
      </c>
      <c r="E2" t="s">
        <v>45</v>
      </c>
      <c r="F2" t="s">
        <v>55</v>
      </c>
      <c r="H2">
        <v>0</v>
      </c>
      <c r="I2">
        <v>1</v>
      </c>
      <c r="J2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AK22"/>
  <sheetViews>
    <sheetView topLeftCell="W1" workbookViewId="0">
      <selection activeCell="AD13" sqref="AD13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3" width="10.44140625" bestFit="1" customWidth="1"/>
    <col min="34" max="34" width="7" bestFit="1" customWidth="1"/>
    <col min="35" max="35" width="10.6640625" bestFit="1" customWidth="1"/>
    <col min="36" max="36" width="15.33203125" bestFit="1" customWidth="1"/>
    <col min="37" max="37" width="12.44140625" bestFit="1" customWidth="1"/>
    <col min="38" max="38" width="9.33203125" bestFit="1" customWidth="1"/>
    <col min="39" max="39" width="6.44140625" bestFit="1" customWidth="1"/>
    <col min="40" max="40" width="6.33203125" bestFit="1" customWidth="1"/>
    <col min="41" max="41" width="15.33203125" bestFit="1" customWidth="1"/>
    <col min="42" max="42" width="12.44140625" bestFit="1" customWidth="1"/>
    <col min="43" max="43" width="9.33203125" bestFit="1" customWidth="1"/>
    <col min="44" max="44" width="6.44140625" bestFit="1" customWidth="1"/>
    <col min="45" max="45" width="6.33203125" bestFit="1" customWidth="1"/>
    <col min="46" max="46" width="15.33203125" bestFit="1" customWidth="1"/>
    <col min="47" max="47" width="12.44140625" bestFit="1" customWidth="1"/>
    <col min="48" max="48" width="9.33203125" bestFit="1" customWidth="1"/>
    <col min="49" max="49" width="6.44140625" bestFit="1" customWidth="1"/>
    <col min="50" max="50" width="6.33203125" bestFit="1" customWidth="1"/>
    <col min="51" max="51" width="15.33203125" bestFit="1" customWidth="1"/>
    <col min="52" max="52" width="12.44140625" bestFit="1" customWidth="1"/>
    <col min="53" max="53" width="9.33203125" bestFit="1" customWidth="1"/>
    <col min="54" max="54" width="6.44140625" bestFit="1" customWidth="1"/>
    <col min="55" max="55" width="6.33203125" bestFit="1" customWidth="1"/>
    <col min="56" max="56" width="15.33203125" bestFit="1" customWidth="1"/>
    <col min="57" max="57" width="12.44140625" bestFit="1" customWidth="1"/>
    <col min="58" max="58" width="9.33203125" bestFit="1" customWidth="1"/>
    <col min="59" max="59" width="6.44140625" bestFit="1" customWidth="1"/>
    <col min="60" max="60" width="6.33203125" bestFit="1" customWidth="1"/>
    <col min="61" max="61" width="15.33203125" bestFit="1" customWidth="1"/>
    <col min="62" max="62" width="12.44140625" bestFit="1" customWidth="1"/>
    <col min="63" max="63" width="9.33203125" bestFit="1" customWidth="1"/>
    <col min="64" max="64" width="6.44140625" bestFit="1" customWidth="1"/>
    <col min="65" max="65" width="6.33203125" bestFit="1" customWidth="1"/>
    <col min="66" max="66" width="15.33203125" bestFit="1" customWidth="1"/>
    <col min="67" max="67" width="12.44140625" bestFit="1" customWidth="1"/>
    <col min="68" max="68" width="9.33203125" bestFit="1" customWidth="1"/>
    <col min="69" max="69" width="6.44140625" bestFit="1" customWidth="1"/>
    <col min="70" max="70" width="6.33203125" bestFit="1" customWidth="1"/>
    <col min="71" max="71" width="15.33203125" bestFit="1" customWidth="1"/>
    <col min="72" max="72" width="12.44140625" bestFit="1" customWidth="1"/>
    <col min="73" max="73" width="9.33203125" bestFit="1" customWidth="1"/>
    <col min="74" max="74" width="6.44140625" bestFit="1" customWidth="1"/>
    <col min="75" max="75" width="6.33203125" bestFit="1" customWidth="1"/>
    <col min="76" max="76" width="15.33203125" bestFit="1" customWidth="1"/>
    <col min="77" max="77" width="12.44140625" bestFit="1" customWidth="1"/>
    <col min="78" max="78" width="9.33203125" bestFit="1" customWidth="1"/>
    <col min="79" max="79" width="6.44140625" bestFit="1" customWidth="1"/>
    <col min="80" max="80" width="6.33203125" bestFit="1" customWidth="1"/>
    <col min="81" max="81" width="15.33203125" bestFit="1" customWidth="1"/>
    <col min="82" max="82" width="12.44140625" bestFit="1" customWidth="1"/>
    <col min="83" max="83" width="9.33203125" bestFit="1" customWidth="1"/>
    <col min="84" max="84" width="6.44140625" bestFit="1" customWidth="1"/>
    <col min="85" max="85" width="6.33203125" bestFit="1" customWidth="1"/>
    <col min="86" max="86" width="15.33203125" bestFit="1" customWidth="1"/>
    <col min="87" max="87" width="12.44140625" bestFit="1" customWidth="1"/>
    <col min="88" max="88" width="9.33203125" bestFit="1" customWidth="1"/>
    <col min="89" max="89" width="6.44140625" bestFit="1" customWidth="1"/>
    <col min="90" max="90" width="6.33203125" bestFit="1" customWidth="1"/>
    <col min="91" max="91" width="15.33203125" bestFit="1" customWidth="1"/>
    <col min="92" max="92" width="12.44140625" bestFit="1" customWidth="1"/>
    <col min="93" max="93" width="9.33203125" bestFit="1" customWidth="1"/>
    <col min="94" max="94" width="6.44140625" bestFit="1" customWidth="1"/>
    <col min="95" max="95" width="6.33203125" bestFit="1" customWidth="1"/>
    <col min="96" max="96" width="15.33203125" bestFit="1" customWidth="1"/>
    <col min="97" max="97" width="12.44140625" bestFit="1" customWidth="1"/>
    <col min="98" max="98" width="9.33203125" bestFit="1" customWidth="1"/>
    <col min="99" max="99" width="6.44140625" bestFit="1" customWidth="1"/>
    <col min="100" max="100" width="6.33203125" bestFit="1" customWidth="1"/>
    <col min="101" max="101" width="15.33203125" bestFit="1" customWidth="1"/>
    <col min="102" max="102" width="12.44140625" bestFit="1" customWidth="1"/>
    <col min="103" max="103" width="9.33203125" bestFit="1" customWidth="1"/>
    <col min="104" max="104" width="6.44140625" bestFit="1" customWidth="1"/>
    <col min="105" max="105" width="6.33203125" bestFit="1" customWidth="1"/>
    <col min="106" max="106" width="15.33203125" bestFit="1" customWidth="1"/>
    <col min="107" max="107" width="12.44140625" bestFit="1" customWidth="1"/>
    <col min="108" max="108" width="9.33203125" bestFit="1" customWidth="1"/>
    <col min="109" max="109" width="6.44140625" bestFit="1" customWidth="1"/>
    <col min="110" max="110" width="6.33203125" bestFit="1" customWidth="1"/>
    <col min="111" max="111" width="15.33203125" bestFit="1" customWidth="1"/>
    <col min="112" max="112" width="12.44140625" bestFit="1" customWidth="1"/>
    <col min="113" max="113" width="9.33203125" bestFit="1" customWidth="1"/>
    <col min="114" max="114" width="6.44140625" bestFit="1" customWidth="1"/>
    <col min="115" max="115" width="6.33203125" bestFit="1" customWidth="1"/>
    <col min="116" max="116" width="15.33203125" bestFit="1" customWidth="1"/>
    <col min="117" max="117" width="12.44140625" bestFit="1" customWidth="1"/>
    <col min="118" max="118" width="9.33203125" bestFit="1" customWidth="1"/>
    <col min="119" max="119" width="6.44140625" bestFit="1" customWidth="1"/>
    <col min="120" max="120" width="6.33203125" bestFit="1" customWidth="1"/>
    <col min="121" max="121" width="15.33203125" bestFit="1" customWidth="1"/>
    <col min="122" max="122" width="12.44140625" bestFit="1" customWidth="1"/>
    <col min="123" max="123" width="9.33203125" bestFit="1" customWidth="1"/>
    <col min="124" max="124" width="6.44140625" bestFit="1" customWidth="1"/>
    <col min="125" max="125" width="6.33203125" bestFit="1" customWidth="1"/>
    <col min="126" max="126" width="15.33203125" bestFit="1" customWidth="1"/>
    <col min="127" max="127" width="12.44140625" bestFit="1" customWidth="1"/>
    <col min="128" max="128" width="9.33203125" bestFit="1" customWidth="1"/>
    <col min="129" max="129" width="6.44140625" bestFit="1" customWidth="1"/>
    <col min="130" max="130" width="6.33203125" bestFit="1" customWidth="1"/>
    <col min="131" max="131" width="15.33203125" bestFit="1" customWidth="1"/>
    <col min="132" max="132" width="12.44140625" bestFit="1" customWidth="1"/>
    <col min="133" max="133" width="9.33203125" bestFit="1" customWidth="1"/>
    <col min="134" max="134" width="6.44140625" bestFit="1" customWidth="1"/>
    <col min="135" max="135" width="6.33203125" bestFit="1" customWidth="1"/>
    <col min="136" max="136" width="15.33203125" bestFit="1" customWidth="1"/>
    <col min="137" max="137" width="12.44140625" bestFit="1" customWidth="1"/>
    <col min="138" max="138" width="9.33203125" bestFit="1" customWidth="1"/>
    <col min="139" max="139" width="6.44140625" bestFit="1" customWidth="1"/>
    <col min="140" max="140" width="6.33203125" bestFit="1" customWidth="1"/>
    <col min="141" max="141" width="15.33203125" bestFit="1" customWidth="1"/>
    <col min="142" max="142" width="12.44140625" bestFit="1" customWidth="1"/>
    <col min="143" max="143" width="9.33203125" bestFit="1" customWidth="1"/>
    <col min="144" max="144" width="6.44140625" bestFit="1" customWidth="1"/>
    <col min="145" max="145" width="6.33203125" bestFit="1" customWidth="1"/>
    <col min="146" max="146" width="15.33203125" bestFit="1" customWidth="1"/>
    <col min="147" max="147" width="12.44140625" bestFit="1" customWidth="1"/>
    <col min="148" max="148" width="9.33203125" bestFit="1" customWidth="1"/>
    <col min="149" max="149" width="6.44140625" bestFit="1" customWidth="1"/>
    <col min="150" max="150" width="6.33203125" bestFit="1" customWidth="1"/>
    <col min="151" max="151" width="15.33203125" bestFit="1" customWidth="1"/>
    <col min="152" max="152" width="12.44140625" bestFit="1" customWidth="1"/>
    <col min="153" max="153" width="9.33203125" bestFit="1" customWidth="1"/>
    <col min="154" max="154" width="6.44140625" bestFit="1" customWidth="1"/>
    <col min="155" max="155" width="6.33203125" bestFit="1" customWidth="1"/>
    <col min="156" max="156" width="15.33203125" bestFit="1" customWidth="1"/>
    <col min="157" max="157" width="12.44140625" bestFit="1" customWidth="1"/>
    <col min="158" max="158" width="9.33203125" bestFit="1" customWidth="1"/>
    <col min="159" max="159" width="6.44140625" bestFit="1" customWidth="1"/>
    <col min="160" max="160" width="6.33203125" bestFit="1" customWidth="1"/>
    <col min="161" max="161" width="15.33203125" bestFit="1" customWidth="1"/>
    <col min="162" max="162" width="9" bestFit="1" customWidth="1"/>
    <col min="163" max="163" width="7" bestFit="1" customWidth="1"/>
    <col min="164" max="164" width="11.6640625" bestFit="1" customWidth="1"/>
    <col min="165" max="165" width="10.6640625" bestFit="1" customWidth="1"/>
    <col min="166" max="166" width="6.44140625" bestFit="1" customWidth="1"/>
    <col min="167" max="167" width="6.33203125" bestFit="1" customWidth="1"/>
    <col min="168" max="168" width="10.5546875" bestFit="1" customWidth="1"/>
    <col min="169" max="169" width="6.6640625" bestFit="1" customWidth="1"/>
    <col min="170" max="170" width="9.33203125" bestFit="1" customWidth="1"/>
    <col min="171" max="171" width="6.44140625" bestFit="1" customWidth="1"/>
    <col min="172" max="172" width="6.33203125" bestFit="1" customWidth="1"/>
    <col min="173" max="173" width="9.44140625" bestFit="1" customWidth="1"/>
    <col min="174" max="174" width="15.33203125" bestFit="1" customWidth="1"/>
    <col min="175" max="175" width="12.44140625" bestFit="1" customWidth="1"/>
    <col min="176" max="176" width="9.33203125" bestFit="1" customWidth="1"/>
    <col min="177" max="177" width="6.44140625" bestFit="1" customWidth="1"/>
    <col min="178" max="178" width="6.33203125" bestFit="1" customWidth="1"/>
    <col min="179" max="179" width="10.5546875" bestFit="1" customWidth="1"/>
    <col min="180" max="180" width="6.6640625" bestFit="1" customWidth="1"/>
    <col min="181" max="181" width="9.33203125" bestFit="1" customWidth="1"/>
    <col min="182" max="182" width="6.44140625" bestFit="1" customWidth="1"/>
    <col min="183" max="183" width="6.33203125" bestFit="1" customWidth="1"/>
    <col min="184" max="184" width="9.44140625" bestFit="1" customWidth="1"/>
    <col min="185" max="185" width="15.33203125" bestFit="1" customWidth="1"/>
    <col min="186" max="186" width="12.44140625" bestFit="1" customWidth="1"/>
    <col min="187" max="187" width="9.33203125" bestFit="1" customWidth="1"/>
    <col min="188" max="188" width="6.44140625" bestFit="1" customWidth="1"/>
    <col min="189" max="189" width="6.33203125" bestFit="1" customWidth="1"/>
    <col min="190" max="190" width="10.5546875" bestFit="1" customWidth="1"/>
    <col min="191" max="191" width="6.6640625" bestFit="1" customWidth="1"/>
    <col min="192" max="192" width="9.33203125" bestFit="1" customWidth="1"/>
    <col min="193" max="193" width="6.44140625" bestFit="1" customWidth="1"/>
    <col min="194" max="194" width="6.33203125" bestFit="1" customWidth="1"/>
    <col min="195" max="195" width="9.44140625" bestFit="1" customWidth="1"/>
    <col min="196" max="196" width="15.33203125" bestFit="1" customWidth="1"/>
    <col min="197" max="197" width="12.44140625" bestFit="1" customWidth="1"/>
    <col min="198" max="198" width="9.33203125" bestFit="1" customWidth="1"/>
    <col min="199" max="199" width="6.44140625" bestFit="1" customWidth="1"/>
    <col min="200" max="200" width="6.33203125" bestFit="1" customWidth="1"/>
    <col min="201" max="201" width="10.5546875" bestFit="1" customWidth="1"/>
    <col min="202" max="202" width="6.6640625" bestFit="1" customWidth="1"/>
    <col min="203" max="203" width="9.33203125" bestFit="1" customWidth="1"/>
    <col min="204" max="204" width="6.44140625" bestFit="1" customWidth="1"/>
    <col min="205" max="205" width="6.33203125" bestFit="1" customWidth="1"/>
    <col min="206" max="206" width="9.44140625" bestFit="1" customWidth="1"/>
    <col min="207" max="207" width="15.33203125" bestFit="1" customWidth="1"/>
    <col min="208" max="208" width="12.44140625" bestFit="1" customWidth="1"/>
    <col min="209" max="209" width="9.33203125" bestFit="1" customWidth="1"/>
    <col min="210" max="210" width="6.44140625" bestFit="1" customWidth="1"/>
    <col min="211" max="211" width="6.33203125" bestFit="1" customWidth="1"/>
    <col min="212" max="212" width="10.5546875" bestFit="1" customWidth="1"/>
    <col min="213" max="213" width="6.6640625" bestFit="1" customWidth="1"/>
    <col min="214" max="214" width="9.33203125" bestFit="1" customWidth="1"/>
    <col min="215" max="215" width="6.44140625" bestFit="1" customWidth="1"/>
    <col min="216" max="216" width="6.33203125" bestFit="1" customWidth="1"/>
    <col min="217" max="217" width="9.44140625" bestFit="1" customWidth="1"/>
    <col min="218" max="218" width="15.33203125" bestFit="1" customWidth="1"/>
    <col min="219" max="219" width="12.44140625" bestFit="1" customWidth="1"/>
    <col min="220" max="220" width="9.33203125" bestFit="1" customWidth="1"/>
    <col min="221" max="221" width="6.44140625" bestFit="1" customWidth="1"/>
    <col min="222" max="222" width="6.33203125" bestFit="1" customWidth="1"/>
    <col min="223" max="223" width="10.5546875" bestFit="1" customWidth="1"/>
    <col min="224" max="224" width="6.6640625" bestFit="1" customWidth="1"/>
    <col min="225" max="225" width="9.33203125" bestFit="1" customWidth="1"/>
    <col min="226" max="226" width="6.44140625" bestFit="1" customWidth="1"/>
    <col min="227" max="227" width="6.33203125" bestFit="1" customWidth="1"/>
    <col min="228" max="228" width="9.44140625" bestFit="1" customWidth="1"/>
    <col min="229" max="229" width="15.33203125" bestFit="1" customWidth="1"/>
    <col min="230" max="230" width="12.44140625" bestFit="1" customWidth="1"/>
    <col min="231" max="231" width="9.33203125" bestFit="1" customWidth="1"/>
    <col min="232" max="232" width="6.44140625" bestFit="1" customWidth="1"/>
    <col min="233" max="233" width="6.33203125" bestFit="1" customWidth="1"/>
    <col min="234" max="234" width="10.5546875" bestFit="1" customWidth="1"/>
    <col min="235" max="235" width="6.6640625" bestFit="1" customWidth="1"/>
    <col min="236" max="236" width="9.33203125" bestFit="1" customWidth="1"/>
    <col min="237" max="237" width="6.44140625" bestFit="1" customWidth="1"/>
    <col min="238" max="238" width="6.33203125" bestFit="1" customWidth="1"/>
    <col min="239" max="239" width="9.44140625" bestFit="1" customWidth="1"/>
    <col min="240" max="240" width="15.33203125" bestFit="1" customWidth="1"/>
    <col min="241" max="241" width="12.44140625" bestFit="1" customWidth="1"/>
    <col min="242" max="242" width="9.33203125" bestFit="1" customWidth="1"/>
    <col min="243" max="243" width="6.44140625" bestFit="1" customWidth="1"/>
    <col min="244" max="244" width="6.33203125" bestFit="1" customWidth="1"/>
    <col min="245" max="245" width="10.5546875" bestFit="1" customWidth="1"/>
    <col min="246" max="246" width="6.6640625" bestFit="1" customWidth="1"/>
    <col min="247" max="247" width="9.33203125" bestFit="1" customWidth="1"/>
    <col min="248" max="248" width="6.44140625" bestFit="1" customWidth="1"/>
    <col min="249" max="249" width="6.33203125" bestFit="1" customWidth="1"/>
    <col min="250" max="250" width="9.44140625" bestFit="1" customWidth="1"/>
    <col min="251" max="251" width="15.33203125" bestFit="1" customWidth="1"/>
    <col min="252" max="252" width="12.44140625" bestFit="1" customWidth="1"/>
    <col min="253" max="253" width="9.33203125" bestFit="1" customWidth="1"/>
    <col min="254" max="254" width="6.44140625" bestFit="1" customWidth="1"/>
    <col min="255" max="255" width="6.33203125" bestFit="1" customWidth="1"/>
    <col min="256" max="256" width="10.5546875" bestFit="1" customWidth="1"/>
    <col min="257" max="257" width="6.6640625" bestFit="1" customWidth="1"/>
    <col min="258" max="258" width="9.33203125" bestFit="1" customWidth="1"/>
    <col min="259" max="259" width="6.44140625" bestFit="1" customWidth="1"/>
    <col min="260" max="260" width="6.33203125" bestFit="1" customWidth="1"/>
    <col min="261" max="261" width="9.44140625" bestFit="1" customWidth="1"/>
    <col min="262" max="262" width="15.33203125" bestFit="1" customWidth="1"/>
    <col min="263" max="263" width="12.44140625" bestFit="1" customWidth="1"/>
    <col min="264" max="264" width="9.33203125" bestFit="1" customWidth="1"/>
    <col min="265" max="265" width="6.44140625" bestFit="1" customWidth="1"/>
    <col min="266" max="266" width="6.33203125" bestFit="1" customWidth="1"/>
    <col min="267" max="267" width="10.5546875" bestFit="1" customWidth="1"/>
    <col min="268" max="268" width="6.6640625" bestFit="1" customWidth="1"/>
    <col min="269" max="269" width="9.33203125" bestFit="1" customWidth="1"/>
    <col min="270" max="270" width="6.44140625" bestFit="1" customWidth="1"/>
    <col min="271" max="271" width="6.33203125" bestFit="1" customWidth="1"/>
    <col min="272" max="272" width="9.44140625" bestFit="1" customWidth="1"/>
    <col min="273" max="273" width="15.33203125" bestFit="1" customWidth="1"/>
    <col min="274" max="274" width="12.44140625" bestFit="1" customWidth="1"/>
    <col min="275" max="275" width="9.33203125" bestFit="1" customWidth="1"/>
    <col min="276" max="276" width="6.44140625" bestFit="1" customWidth="1"/>
    <col min="277" max="277" width="6.33203125" bestFit="1" customWidth="1"/>
    <col min="278" max="278" width="10.5546875" bestFit="1" customWidth="1"/>
    <col min="279" max="279" width="6.6640625" bestFit="1" customWidth="1"/>
    <col min="280" max="280" width="9.33203125" bestFit="1" customWidth="1"/>
    <col min="281" max="281" width="6.44140625" bestFit="1" customWidth="1"/>
    <col min="282" max="282" width="6.33203125" bestFit="1" customWidth="1"/>
    <col min="283" max="283" width="9.44140625" bestFit="1" customWidth="1"/>
    <col min="284" max="284" width="15.33203125" bestFit="1" customWidth="1"/>
    <col min="285" max="285" width="12.44140625" bestFit="1" customWidth="1"/>
    <col min="286" max="286" width="9.33203125" bestFit="1" customWidth="1"/>
    <col min="287" max="287" width="6.44140625" bestFit="1" customWidth="1"/>
    <col min="288" max="288" width="6.33203125" bestFit="1" customWidth="1"/>
    <col min="289" max="289" width="10.5546875" bestFit="1" customWidth="1"/>
    <col min="290" max="290" width="6.6640625" bestFit="1" customWidth="1"/>
    <col min="291" max="291" width="9.33203125" bestFit="1" customWidth="1"/>
    <col min="292" max="292" width="6.44140625" bestFit="1" customWidth="1"/>
    <col min="293" max="293" width="6.33203125" bestFit="1" customWidth="1"/>
    <col min="294" max="294" width="9.44140625" bestFit="1" customWidth="1"/>
    <col min="295" max="295" width="15.33203125" bestFit="1" customWidth="1"/>
    <col min="296" max="296" width="12.44140625" bestFit="1" customWidth="1"/>
    <col min="297" max="297" width="9.33203125" bestFit="1" customWidth="1"/>
    <col min="298" max="298" width="6.44140625" bestFit="1" customWidth="1"/>
    <col min="299" max="299" width="6.33203125" bestFit="1" customWidth="1"/>
    <col min="300" max="300" width="10.5546875" bestFit="1" customWidth="1"/>
    <col min="301" max="301" width="6.6640625" bestFit="1" customWidth="1"/>
    <col min="302" max="302" width="9.33203125" bestFit="1" customWidth="1"/>
    <col min="303" max="303" width="6.44140625" bestFit="1" customWidth="1"/>
    <col min="304" max="304" width="6.33203125" bestFit="1" customWidth="1"/>
    <col min="305" max="305" width="9.44140625" bestFit="1" customWidth="1"/>
    <col min="306" max="306" width="15.33203125" bestFit="1" customWidth="1"/>
    <col min="307" max="307" width="12.44140625" bestFit="1" customWidth="1"/>
    <col min="308" max="308" width="9.33203125" bestFit="1" customWidth="1"/>
    <col min="309" max="309" width="6.44140625" bestFit="1" customWidth="1"/>
    <col min="310" max="310" width="6.33203125" bestFit="1" customWidth="1"/>
    <col min="311" max="311" width="10.5546875" bestFit="1" customWidth="1"/>
    <col min="312" max="312" width="9.33203125" bestFit="1" customWidth="1"/>
    <col min="313" max="313" width="6.44140625" bestFit="1" customWidth="1"/>
    <col min="314" max="314" width="6.33203125" bestFit="1" customWidth="1"/>
    <col min="315" max="315" width="9.44140625" bestFit="1" customWidth="1"/>
    <col min="316" max="316" width="15.33203125" bestFit="1" customWidth="1"/>
    <col min="317" max="317" width="12.44140625" bestFit="1" customWidth="1"/>
    <col min="318" max="318" width="9.33203125" bestFit="1" customWidth="1"/>
    <col min="319" max="319" width="6.44140625" bestFit="1" customWidth="1"/>
    <col min="320" max="320" width="6.33203125" bestFit="1" customWidth="1"/>
    <col min="321" max="321" width="10.5546875" bestFit="1" customWidth="1"/>
    <col min="322" max="322" width="6.6640625" bestFit="1" customWidth="1"/>
    <col min="323" max="323" width="9.33203125" bestFit="1" customWidth="1"/>
    <col min="324" max="324" width="6.44140625" bestFit="1" customWidth="1"/>
    <col min="325" max="325" width="6.33203125" bestFit="1" customWidth="1"/>
    <col min="326" max="326" width="9.44140625" bestFit="1" customWidth="1"/>
    <col min="327" max="327" width="15.33203125" bestFit="1" customWidth="1"/>
    <col min="328" max="328" width="12.44140625" bestFit="1" customWidth="1"/>
    <col min="329" max="329" width="9.33203125" bestFit="1" customWidth="1"/>
    <col min="330" max="330" width="6.44140625" bestFit="1" customWidth="1"/>
    <col min="331" max="331" width="6.33203125" bestFit="1" customWidth="1"/>
    <col min="332" max="332" width="10.5546875" bestFit="1" customWidth="1"/>
    <col min="333" max="333" width="6.6640625" bestFit="1" customWidth="1"/>
    <col min="334" max="334" width="9.33203125" bestFit="1" customWidth="1"/>
    <col min="335" max="335" width="6.44140625" bestFit="1" customWidth="1"/>
    <col min="336" max="336" width="6.33203125" bestFit="1" customWidth="1"/>
    <col min="337" max="337" width="9.44140625" bestFit="1" customWidth="1"/>
    <col min="338" max="338" width="15.33203125" bestFit="1" customWidth="1"/>
    <col min="339" max="339" width="12.44140625" bestFit="1" customWidth="1"/>
    <col min="340" max="340" width="9.33203125" bestFit="1" customWidth="1"/>
    <col min="341" max="341" width="6.44140625" bestFit="1" customWidth="1"/>
    <col min="342" max="342" width="6.33203125" bestFit="1" customWidth="1"/>
    <col min="343" max="343" width="10.5546875" bestFit="1" customWidth="1"/>
    <col min="344" max="344" width="6.6640625" bestFit="1" customWidth="1"/>
    <col min="345" max="345" width="9.33203125" bestFit="1" customWidth="1"/>
    <col min="346" max="346" width="6.44140625" bestFit="1" customWidth="1"/>
    <col min="347" max="347" width="6.33203125" bestFit="1" customWidth="1"/>
    <col min="348" max="348" width="9.44140625" bestFit="1" customWidth="1"/>
    <col min="349" max="349" width="15.33203125" bestFit="1" customWidth="1"/>
    <col min="350" max="350" width="9" bestFit="1" customWidth="1"/>
    <col min="351" max="351" width="10.5546875" bestFit="1" customWidth="1"/>
    <col min="352" max="352" width="6.6640625" bestFit="1" customWidth="1"/>
    <col min="353" max="353" width="9.44140625" bestFit="1" customWidth="1"/>
    <col min="354" max="354" width="9" bestFit="1" customWidth="1"/>
    <col min="355" max="356" width="11.6640625" bestFit="1" customWidth="1"/>
    <col min="357" max="357" width="10.6640625" bestFit="1" customWidth="1"/>
    <col min="358" max="358" width="6.6640625" bestFit="1" customWidth="1"/>
    <col min="359" max="359" width="9.44140625" bestFit="1" customWidth="1"/>
    <col min="360" max="360" width="6.5546875" bestFit="1" customWidth="1"/>
    <col min="361" max="361" width="9.33203125" bestFit="1" customWidth="1"/>
    <col min="362" max="362" width="10.5546875" bestFit="1" customWidth="1"/>
    <col min="363" max="363" width="9.33203125" bestFit="1" customWidth="1"/>
    <col min="364" max="364" width="9.44140625" bestFit="1" customWidth="1"/>
    <col min="365" max="365" width="8" bestFit="1" customWidth="1"/>
    <col min="366" max="366" width="7.88671875" bestFit="1" customWidth="1"/>
    <col min="367" max="367" width="6.33203125" bestFit="1" customWidth="1"/>
    <col min="368" max="368" width="10.5546875" bestFit="1" customWidth="1"/>
    <col min="369" max="369" width="6.6640625" bestFit="1" customWidth="1"/>
    <col min="370" max="370" width="6.33203125" bestFit="1" customWidth="1"/>
    <col min="371" max="371" width="9.44140625" bestFit="1" customWidth="1"/>
    <col min="372" max="372" width="6.6640625" bestFit="1" customWidth="1"/>
    <col min="373" max="373" width="15.33203125" bestFit="1" customWidth="1"/>
    <col min="374" max="374" width="12.44140625" bestFit="1" customWidth="1"/>
    <col min="375" max="375" width="10.5546875" bestFit="1" customWidth="1"/>
    <col min="376" max="376" width="6.6640625" bestFit="1" customWidth="1"/>
    <col min="377" max="377" width="9.44140625" bestFit="1" customWidth="1"/>
    <col min="378" max="378" width="6.5546875" bestFit="1" customWidth="1"/>
    <col min="379" max="379" width="9.33203125" bestFit="1" customWidth="1"/>
    <col min="380" max="380" width="10.5546875" bestFit="1" customWidth="1"/>
    <col min="381" max="381" width="9.33203125" bestFit="1" customWidth="1"/>
    <col min="382" max="382" width="9.44140625" bestFit="1" customWidth="1"/>
    <col min="383" max="383" width="8" bestFit="1" customWidth="1"/>
    <col min="384" max="384" width="7.88671875" bestFit="1" customWidth="1"/>
    <col min="385" max="385" width="6.33203125" bestFit="1" customWidth="1"/>
    <col min="386" max="386" width="10.5546875" bestFit="1" customWidth="1"/>
    <col min="387" max="387" width="6.6640625" bestFit="1" customWidth="1"/>
    <col min="388" max="388" width="6.33203125" bestFit="1" customWidth="1"/>
    <col min="389" max="389" width="9.44140625" bestFit="1" customWidth="1"/>
    <col min="390" max="390" width="6.6640625" bestFit="1" customWidth="1"/>
    <col min="391" max="391" width="15.33203125" bestFit="1" customWidth="1"/>
    <col min="392" max="392" width="12.44140625" bestFit="1" customWidth="1"/>
    <col min="393" max="393" width="10.5546875" bestFit="1" customWidth="1"/>
    <col min="394" max="394" width="6.6640625" bestFit="1" customWidth="1"/>
    <col min="395" max="395" width="9.44140625" bestFit="1" customWidth="1"/>
    <col min="396" max="396" width="6.5546875" bestFit="1" customWidth="1"/>
    <col min="397" max="397" width="9.33203125" bestFit="1" customWidth="1"/>
    <col min="398" max="398" width="10.5546875" bestFit="1" customWidth="1"/>
    <col min="399" max="399" width="9.33203125" bestFit="1" customWidth="1"/>
    <col min="400" max="400" width="9.44140625" bestFit="1" customWidth="1"/>
    <col min="401" max="401" width="8" bestFit="1" customWidth="1"/>
    <col min="402" max="402" width="7.88671875" bestFit="1" customWidth="1"/>
    <col min="403" max="403" width="6.33203125" bestFit="1" customWidth="1"/>
    <col min="404" max="404" width="10.5546875" bestFit="1" customWidth="1"/>
    <col min="405" max="405" width="6.6640625" bestFit="1" customWidth="1"/>
    <col min="406" max="406" width="6.33203125" bestFit="1" customWidth="1"/>
    <col min="407" max="407" width="9.44140625" bestFit="1" customWidth="1"/>
    <col min="408" max="408" width="6.6640625" bestFit="1" customWidth="1"/>
    <col min="409" max="409" width="15.33203125" bestFit="1" customWidth="1"/>
    <col min="410" max="410" width="12.44140625" bestFit="1" customWidth="1"/>
    <col min="411" max="411" width="10.5546875" bestFit="1" customWidth="1"/>
    <col min="412" max="412" width="6.6640625" bestFit="1" customWidth="1"/>
    <col min="413" max="413" width="9.44140625" bestFit="1" customWidth="1"/>
    <col min="414" max="414" width="6.5546875" bestFit="1" customWidth="1"/>
    <col min="415" max="415" width="9.33203125" bestFit="1" customWidth="1"/>
    <col min="416" max="416" width="10.5546875" bestFit="1" customWidth="1"/>
    <col min="417" max="417" width="9.33203125" bestFit="1" customWidth="1"/>
    <col min="418" max="418" width="9.44140625" bestFit="1" customWidth="1"/>
    <col min="419" max="419" width="8" bestFit="1" customWidth="1"/>
    <col min="420" max="420" width="7.88671875" bestFit="1" customWidth="1"/>
    <col min="421" max="421" width="6.33203125" bestFit="1" customWidth="1"/>
    <col min="422" max="422" width="10.5546875" bestFit="1" customWidth="1"/>
    <col min="423" max="423" width="6.6640625" bestFit="1" customWidth="1"/>
    <col min="424" max="424" width="6.33203125" bestFit="1" customWidth="1"/>
    <col min="425" max="425" width="9.44140625" bestFit="1" customWidth="1"/>
    <col min="426" max="426" width="6.6640625" bestFit="1" customWidth="1"/>
    <col min="427" max="427" width="15.33203125" bestFit="1" customWidth="1"/>
    <col min="428" max="428" width="12.44140625" bestFit="1" customWidth="1"/>
    <col min="429" max="429" width="10.5546875" bestFit="1" customWidth="1"/>
    <col min="430" max="430" width="6.6640625" bestFit="1" customWidth="1"/>
    <col min="431" max="431" width="9.44140625" bestFit="1" customWidth="1"/>
    <col min="432" max="432" width="6.5546875" bestFit="1" customWidth="1"/>
    <col min="433" max="433" width="9.33203125" bestFit="1" customWidth="1"/>
    <col min="434" max="434" width="10.5546875" bestFit="1" customWidth="1"/>
    <col min="435" max="435" width="9.33203125" bestFit="1" customWidth="1"/>
    <col min="436" max="436" width="9.44140625" bestFit="1" customWidth="1"/>
    <col min="437" max="437" width="8" bestFit="1" customWidth="1"/>
    <col min="438" max="438" width="7.88671875" bestFit="1" customWidth="1"/>
    <col min="439" max="439" width="6.33203125" bestFit="1" customWidth="1"/>
    <col min="440" max="440" width="10.5546875" bestFit="1" customWidth="1"/>
    <col min="441" max="441" width="6.6640625" bestFit="1" customWidth="1"/>
    <col min="442" max="442" width="6.33203125" bestFit="1" customWidth="1"/>
    <col min="443" max="443" width="9.44140625" bestFit="1" customWidth="1"/>
    <col min="444" max="444" width="6.6640625" bestFit="1" customWidth="1"/>
    <col min="445" max="445" width="15.33203125" bestFit="1" customWidth="1"/>
    <col min="446" max="446" width="12.44140625" bestFit="1" customWidth="1"/>
    <col min="447" max="447" width="10.5546875" bestFit="1" customWidth="1"/>
    <col min="448" max="448" width="6.6640625" bestFit="1" customWidth="1"/>
    <col min="449" max="449" width="9.44140625" bestFit="1" customWidth="1"/>
    <col min="450" max="450" width="6.5546875" bestFit="1" customWidth="1"/>
    <col min="451" max="451" width="9.33203125" bestFit="1" customWidth="1"/>
    <col min="452" max="452" width="10.5546875" bestFit="1" customWidth="1"/>
    <col min="453" max="453" width="9.33203125" bestFit="1" customWidth="1"/>
    <col min="454" max="454" width="9.44140625" bestFit="1" customWidth="1"/>
    <col min="455" max="455" width="8" bestFit="1" customWidth="1"/>
    <col min="456" max="456" width="7.88671875" bestFit="1" customWidth="1"/>
    <col min="457" max="457" width="6.33203125" bestFit="1" customWidth="1"/>
    <col min="458" max="458" width="10.5546875" bestFit="1" customWidth="1"/>
    <col min="459" max="459" width="6.6640625" bestFit="1" customWidth="1"/>
    <col min="460" max="460" width="6.33203125" bestFit="1" customWidth="1"/>
    <col min="461" max="461" width="9.44140625" bestFit="1" customWidth="1"/>
    <col min="462" max="462" width="6.6640625" bestFit="1" customWidth="1"/>
    <col min="463" max="463" width="15.33203125" bestFit="1" customWidth="1"/>
    <col min="464" max="464" width="12.44140625" bestFit="1" customWidth="1"/>
    <col min="465" max="465" width="10.5546875" bestFit="1" customWidth="1"/>
    <col min="466" max="466" width="6.6640625" bestFit="1" customWidth="1"/>
    <col min="467" max="467" width="9.44140625" bestFit="1" customWidth="1"/>
    <col min="468" max="468" width="6.5546875" bestFit="1" customWidth="1"/>
    <col min="469" max="469" width="9.33203125" bestFit="1" customWidth="1"/>
    <col min="470" max="470" width="10.5546875" bestFit="1" customWidth="1"/>
    <col min="471" max="471" width="9.33203125" bestFit="1" customWidth="1"/>
    <col min="472" max="472" width="9.44140625" bestFit="1" customWidth="1"/>
    <col min="473" max="473" width="8" bestFit="1" customWidth="1"/>
    <col min="474" max="474" width="7.88671875" bestFit="1" customWidth="1"/>
    <col min="475" max="475" width="6.33203125" bestFit="1" customWidth="1"/>
    <col min="476" max="476" width="10.5546875" bestFit="1" customWidth="1"/>
    <col min="477" max="477" width="6.6640625" bestFit="1" customWidth="1"/>
    <col min="478" max="478" width="6.33203125" bestFit="1" customWidth="1"/>
    <col min="479" max="479" width="9.44140625" bestFit="1" customWidth="1"/>
    <col min="480" max="480" width="6.6640625" bestFit="1" customWidth="1"/>
    <col min="481" max="481" width="15.33203125" bestFit="1" customWidth="1"/>
    <col min="482" max="482" width="12.44140625" bestFit="1" customWidth="1"/>
    <col min="483" max="483" width="10.5546875" bestFit="1" customWidth="1"/>
    <col min="484" max="484" width="6.6640625" bestFit="1" customWidth="1"/>
    <col min="485" max="485" width="9.44140625" bestFit="1" customWidth="1"/>
    <col min="486" max="486" width="6.5546875" bestFit="1" customWidth="1"/>
    <col min="487" max="487" width="9.33203125" bestFit="1" customWidth="1"/>
    <col min="488" max="488" width="10.5546875" bestFit="1" customWidth="1"/>
    <col min="489" max="489" width="9.33203125" bestFit="1" customWidth="1"/>
    <col min="490" max="490" width="9.44140625" bestFit="1" customWidth="1"/>
    <col min="491" max="491" width="8" bestFit="1" customWidth="1"/>
    <col min="492" max="492" width="7.88671875" bestFit="1" customWidth="1"/>
    <col min="493" max="493" width="6.33203125" bestFit="1" customWidth="1"/>
    <col min="494" max="494" width="10.5546875" bestFit="1" customWidth="1"/>
    <col min="495" max="495" width="6.6640625" bestFit="1" customWidth="1"/>
    <col min="496" max="496" width="6.33203125" bestFit="1" customWidth="1"/>
    <col min="497" max="497" width="9.44140625" bestFit="1" customWidth="1"/>
    <col min="498" max="498" width="6.6640625" bestFit="1" customWidth="1"/>
    <col min="499" max="499" width="15.33203125" bestFit="1" customWidth="1"/>
    <col min="500" max="500" width="12.44140625" bestFit="1" customWidth="1"/>
    <col min="501" max="501" width="10.5546875" bestFit="1" customWidth="1"/>
    <col min="502" max="502" width="6.5546875" bestFit="1" customWidth="1"/>
    <col min="503" max="503" width="9.33203125" bestFit="1" customWidth="1"/>
    <col min="504" max="504" width="10.5546875" bestFit="1" customWidth="1"/>
    <col min="505" max="505" width="9.33203125" bestFit="1" customWidth="1"/>
    <col min="506" max="506" width="9.44140625" bestFit="1" customWidth="1"/>
    <col min="507" max="507" width="8" bestFit="1" customWidth="1"/>
    <col min="508" max="508" width="7.88671875" bestFit="1" customWidth="1"/>
    <col min="509" max="509" width="6.33203125" bestFit="1" customWidth="1"/>
    <col min="510" max="510" width="10.5546875" bestFit="1" customWidth="1"/>
    <col min="511" max="511" width="6.6640625" bestFit="1" customWidth="1"/>
    <col min="512" max="512" width="6.33203125" bestFit="1" customWidth="1"/>
    <col min="513" max="513" width="9.44140625" bestFit="1" customWidth="1"/>
    <col min="514" max="514" width="6.6640625" bestFit="1" customWidth="1"/>
    <col min="515" max="515" width="15.33203125" bestFit="1" customWidth="1"/>
    <col min="516" max="516" width="12.44140625" bestFit="1" customWidth="1"/>
    <col min="517" max="517" width="10.5546875" bestFit="1" customWidth="1"/>
    <col min="518" max="518" width="6.6640625" bestFit="1" customWidth="1"/>
    <col min="519" max="519" width="9.44140625" bestFit="1" customWidth="1"/>
    <col min="520" max="520" width="6.5546875" bestFit="1" customWidth="1"/>
    <col min="521" max="521" width="9.33203125" bestFit="1" customWidth="1"/>
    <col min="522" max="522" width="10.5546875" bestFit="1" customWidth="1"/>
    <col min="523" max="523" width="9.33203125" bestFit="1" customWidth="1"/>
    <col min="524" max="524" width="9.44140625" bestFit="1" customWidth="1"/>
    <col min="525" max="525" width="8" bestFit="1" customWidth="1"/>
    <col min="526" max="526" width="7.88671875" bestFit="1" customWidth="1"/>
    <col min="527" max="527" width="6.33203125" bestFit="1" customWidth="1"/>
    <col min="528" max="528" width="10.5546875" bestFit="1" customWidth="1"/>
    <col min="529" max="529" width="6.6640625" bestFit="1" customWidth="1"/>
    <col min="530" max="530" width="6.33203125" bestFit="1" customWidth="1"/>
    <col min="531" max="531" width="9.44140625" bestFit="1" customWidth="1"/>
    <col min="532" max="532" width="6.6640625" bestFit="1" customWidth="1"/>
    <col min="533" max="533" width="15.33203125" bestFit="1" customWidth="1"/>
    <col min="534" max="534" width="12.44140625" bestFit="1" customWidth="1"/>
    <col min="535" max="535" width="10.5546875" bestFit="1" customWidth="1"/>
    <col min="536" max="536" width="6.6640625" bestFit="1" customWidth="1"/>
    <col min="537" max="537" width="9.44140625" bestFit="1" customWidth="1"/>
    <col min="538" max="538" width="6.5546875" bestFit="1" customWidth="1"/>
    <col min="539" max="539" width="9.33203125" bestFit="1" customWidth="1"/>
    <col min="540" max="540" width="10.5546875" bestFit="1" customWidth="1"/>
    <col min="541" max="541" width="9.33203125" bestFit="1" customWidth="1"/>
    <col min="542" max="542" width="9.44140625" bestFit="1" customWidth="1"/>
    <col min="543" max="543" width="8" bestFit="1" customWidth="1"/>
    <col min="544" max="544" width="7.88671875" bestFit="1" customWidth="1"/>
    <col min="545" max="545" width="6.33203125" bestFit="1" customWidth="1"/>
    <col min="546" max="546" width="10.5546875" bestFit="1" customWidth="1"/>
    <col min="547" max="547" width="6.6640625" bestFit="1" customWidth="1"/>
    <col min="548" max="548" width="6.33203125" bestFit="1" customWidth="1"/>
    <col min="549" max="549" width="9.44140625" bestFit="1" customWidth="1"/>
    <col min="550" max="550" width="6.6640625" bestFit="1" customWidth="1"/>
    <col min="551" max="551" width="15.33203125" bestFit="1" customWidth="1"/>
    <col min="552" max="552" width="12.44140625" bestFit="1" customWidth="1"/>
    <col min="553" max="553" width="10.5546875" bestFit="1" customWidth="1"/>
    <col min="554" max="554" width="6.6640625" bestFit="1" customWidth="1"/>
    <col min="555" max="555" width="9.44140625" bestFit="1" customWidth="1"/>
    <col min="556" max="556" width="6.5546875" bestFit="1" customWidth="1"/>
    <col min="557" max="557" width="9.33203125" bestFit="1" customWidth="1"/>
    <col min="558" max="558" width="10.5546875" bestFit="1" customWidth="1"/>
    <col min="559" max="559" width="9.33203125" bestFit="1" customWidth="1"/>
    <col min="560" max="560" width="9.44140625" bestFit="1" customWidth="1"/>
    <col min="561" max="561" width="8" bestFit="1" customWidth="1"/>
    <col min="562" max="562" width="7.88671875" bestFit="1" customWidth="1"/>
    <col min="563" max="563" width="6.33203125" bestFit="1" customWidth="1"/>
    <col min="564" max="564" width="10.5546875" bestFit="1" customWidth="1"/>
    <col min="565" max="565" width="6.6640625" bestFit="1" customWidth="1"/>
    <col min="566" max="566" width="6.33203125" bestFit="1" customWidth="1"/>
    <col min="567" max="567" width="9.44140625" bestFit="1" customWidth="1"/>
    <col min="568" max="568" width="6.6640625" bestFit="1" customWidth="1"/>
    <col min="569" max="569" width="15.33203125" bestFit="1" customWidth="1"/>
    <col min="570" max="570" width="9" bestFit="1" customWidth="1"/>
    <col min="571" max="571" width="10.5546875" bestFit="1" customWidth="1"/>
    <col min="572" max="572" width="6.6640625" bestFit="1" customWidth="1"/>
    <col min="573" max="573" width="9.44140625" bestFit="1" customWidth="1"/>
    <col min="574" max="574" width="6.5546875" bestFit="1" customWidth="1"/>
    <col min="575" max="575" width="9" bestFit="1" customWidth="1"/>
    <col min="576" max="578" width="11.6640625" bestFit="1" customWidth="1"/>
    <col min="579" max="579" width="10.6640625" bestFit="1" customWidth="1"/>
  </cols>
  <sheetData>
    <row r="3" spans="1:37" x14ac:dyDescent="0.3">
      <c r="A3" s="58" t="s">
        <v>147</v>
      </c>
      <c r="B3" s="58" t="s">
        <v>138</v>
      </c>
    </row>
    <row r="4" spans="1:37" x14ac:dyDescent="0.3">
      <c r="A4" s="58" t="s">
        <v>135</v>
      </c>
      <c r="B4" t="s">
        <v>47</v>
      </c>
      <c r="C4" t="s">
        <v>62</v>
      </c>
      <c r="D4" t="s">
        <v>63</v>
      </c>
      <c r="E4" t="s">
        <v>78</v>
      </c>
      <c r="F4" t="s">
        <v>48</v>
      </c>
      <c r="G4" t="s">
        <v>61</v>
      </c>
      <c r="H4" t="s">
        <v>64</v>
      </c>
      <c r="I4" t="s">
        <v>77</v>
      </c>
      <c r="J4" t="s">
        <v>49</v>
      </c>
      <c r="K4" t="s">
        <v>60</v>
      </c>
      <c r="L4" t="s">
        <v>65</v>
      </c>
      <c r="M4" t="s">
        <v>76</v>
      </c>
      <c r="N4" t="s">
        <v>50</v>
      </c>
      <c r="O4" t="s">
        <v>59</v>
      </c>
      <c r="P4" t="s">
        <v>66</v>
      </c>
      <c r="Q4" t="s">
        <v>75</v>
      </c>
      <c r="R4" t="s">
        <v>51</v>
      </c>
      <c r="S4" t="s">
        <v>58</v>
      </c>
      <c r="T4" t="s">
        <v>67</v>
      </c>
      <c r="U4" t="s">
        <v>74</v>
      </c>
      <c r="V4" t="s">
        <v>52</v>
      </c>
      <c r="W4" t="s">
        <v>57</v>
      </c>
      <c r="X4" t="s">
        <v>68</v>
      </c>
      <c r="Y4" t="s">
        <v>73</v>
      </c>
      <c r="Z4" t="s">
        <v>53</v>
      </c>
      <c r="AA4" t="s">
        <v>56</v>
      </c>
      <c r="AB4" t="s">
        <v>69</v>
      </c>
      <c r="AC4" t="s">
        <v>72</v>
      </c>
      <c r="AD4" t="s">
        <v>54</v>
      </c>
      <c r="AE4" t="s">
        <v>55</v>
      </c>
      <c r="AF4" t="s">
        <v>70</v>
      </c>
      <c r="AG4" t="s">
        <v>71</v>
      </c>
      <c r="AH4" t="s">
        <v>136</v>
      </c>
      <c r="AI4" t="s">
        <v>137</v>
      </c>
    </row>
    <row r="5" spans="1:37" x14ac:dyDescent="0.3">
      <c r="A5" s="59" t="s">
        <v>33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7</v>
      </c>
      <c r="AI5">
        <v>135</v>
      </c>
    </row>
    <row r="6" spans="1:37" x14ac:dyDescent="0.3">
      <c r="A6" s="61" t="s">
        <v>84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3</v>
      </c>
      <c r="AI6">
        <v>67</v>
      </c>
    </row>
    <row r="7" spans="1:37" x14ac:dyDescent="0.3">
      <c r="A7" s="64" t="s">
        <v>46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3</v>
      </c>
      <c r="AI7">
        <v>67</v>
      </c>
    </row>
    <row r="8" spans="1:37" x14ac:dyDescent="0.3">
      <c r="A8" s="61" t="s">
        <v>85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4</v>
      </c>
      <c r="AI8">
        <v>68</v>
      </c>
      <c r="AK8" t="s">
        <v>153</v>
      </c>
    </row>
    <row r="9" spans="1:37" x14ac:dyDescent="0.3">
      <c r="A9" s="64" t="s">
        <v>46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4</v>
      </c>
      <c r="AI9">
        <v>68</v>
      </c>
      <c r="AK9" t="s">
        <v>154</v>
      </c>
    </row>
    <row r="10" spans="1:37" x14ac:dyDescent="0.3">
      <c r="A10" s="59" t="s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I10">
        <v>128</v>
      </c>
      <c r="AK10" t="s">
        <v>155</v>
      </c>
    </row>
    <row r="11" spans="1:37" x14ac:dyDescent="0.3">
      <c r="A11" s="61" t="s">
        <v>84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I11">
        <v>64</v>
      </c>
    </row>
    <row r="12" spans="1:37" x14ac:dyDescent="0.3">
      <c r="A12" s="64" t="s">
        <v>45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I12">
        <v>64</v>
      </c>
    </row>
    <row r="13" spans="1:37" x14ac:dyDescent="0.3">
      <c r="A13" s="61" t="s">
        <v>85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I13">
        <v>64</v>
      </c>
    </row>
    <row r="14" spans="1:37" x14ac:dyDescent="0.3">
      <c r="A14" s="64" t="s">
        <v>45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I14">
        <v>64</v>
      </c>
    </row>
    <row r="15" spans="1:37" x14ac:dyDescent="0.3">
      <c r="A15" s="59" t="s">
        <v>44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I15">
        <v>128</v>
      </c>
    </row>
    <row r="16" spans="1:37" x14ac:dyDescent="0.3">
      <c r="A16" s="61" t="s">
        <v>84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I16">
        <v>64</v>
      </c>
    </row>
    <row r="17" spans="1:35" x14ac:dyDescent="0.3">
      <c r="A17" s="64" t="s">
        <v>13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I17">
        <v>32</v>
      </c>
    </row>
    <row r="18" spans="1:35" x14ac:dyDescent="0.3">
      <c r="A18" s="64" t="s">
        <v>14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I18">
        <v>32</v>
      </c>
    </row>
    <row r="19" spans="1:35" x14ac:dyDescent="0.3">
      <c r="A19" s="61" t="s">
        <v>85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I19">
        <v>64</v>
      </c>
    </row>
    <row r="20" spans="1:35" x14ac:dyDescent="0.3">
      <c r="A20" s="64" t="s">
        <v>13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I20">
        <v>32</v>
      </c>
    </row>
    <row r="21" spans="1:35" x14ac:dyDescent="0.3">
      <c r="A21" s="64" t="s">
        <v>14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I21">
        <v>32</v>
      </c>
    </row>
    <row r="22" spans="1:35" x14ac:dyDescent="0.3">
      <c r="A22" s="59" t="s">
        <v>137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>
        <v>12</v>
      </c>
      <c r="Y22">
        <v>12</v>
      </c>
      <c r="Z22">
        <v>12</v>
      </c>
      <c r="AA22">
        <v>12</v>
      </c>
      <c r="AB22">
        <v>12</v>
      </c>
      <c r="AC22">
        <v>12</v>
      </c>
      <c r="AD22">
        <v>12</v>
      </c>
      <c r="AE22">
        <v>12</v>
      </c>
      <c r="AF22">
        <v>12</v>
      </c>
      <c r="AG22">
        <v>12</v>
      </c>
      <c r="AH22">
        <v>7</v>
      </c>
      <c r="AI22">
        <v>391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97"/>
  <sheetViews>
    <sheetView tabSelected="1" topLeftCell="I14" zoomScale="90" zoomScaleNormal="90" workbookViewId="0">
      <selection activeCell="P30" sqref="P30"/>
    </sheetView>
  </sheetViews>
  <sheetFormatPr defaultColWidth="8.6640625" defaultRowHeight="14.4" x14ac:dyDescent="0.3"/>
  <cols>
    <col min="1" max="1" width="12.33203125" customWidth="1"/>
    <col min="2" max="2" width="11.21875" style="9" bestFit="1" customWidth="1"/>
    <col min="3" max="3" width="10.6640625" style="9" bestFit="1" customWidth="1"/>
    <col min="4" max="4" width="12" style="9" customWidth="1"/>
    <col min="5" max="5" width="11.44140625" bestFit="1" customWidth="1"/>
    <col min="6" max="6" width="10.109375" bestFit="1" customWidth="1"/>
    <col min="8" max="8" width="23.109375" bestFit="1" customWidth="1"/>
    <col min="9" max="9" width="21.44140625" bestFit="1" customWidth="1"/>
    <col min="10" max="10" width="21.33203125" customWidth="1"/>
    <col min="12" max="12" width="30.44140625" bestFit="1" customWidth="1"/>
    <col min="13" max="13" width="15.6640625" bestFit="1" customWidth="1"/>
    <col min="14" max="14" width="4" bestFit="1" customWidth="1"/>
    <col min="15" max="15" width="6.77734375" bestFit="1" customWidth="1"/>
    <col min="16" max="16" width="13.33203125" bestFit="1" customWidth="1"/>
    <col min="17" max="17" width="3" bestFit="1" customWidth="1"/>
    <col min="18" max="18" width="6.6640625" bestFit="1" customWidth="1"/>
    <col min="19" max="19" width="10.6640625" bestFit="1" customWidth="1"/>
    <col min="20" max="20" width="10.44140625" bestFit="1" customWidth="1"/>
    <col min="21" max="21" width="10" bestFit="1" customWidth="1"/>
    <col min="22" max="22" width="3.109375" bestFit="1" customWidth="1"/>
    <col min="23" max="23" width="8.6640625" bestFit="1" customWidth="1"/>
    <col min="24" max="24" width="10" bestFit="1" customWidth="1"/>
    <col min="25" max="25" width="10.44140625" bestFit="1" customWidth="1"/>
    <col min="26" max="26" width="10" bestFit="1" customWidth="1"/>
  </cols>
  <sheetData>
    <row r="1" spans="1:19" x14ac:dyDescent="0.3">
      <c r="A1" s="25" t="s">
        <v>87</v>
      </c>
      <c r="B1" s="40" t="s">
        <v>79</v>
      </c>
      <c r="C1" s="40" t="s">
        <v>80</v>
      </c>
      <c r="D1" s="40" t="s">
        <v>81</v>
      </c>
      <c r="E1" s="25" t="s">
        <v>82</v>
      </c>
      <c r="F1" s="25" t="s">
        <v>83</v>
      </c>
      <c r="G1" s="54" t="s">
        <v>132</v>
      </c>
      <c r="H1" s="56" t="s">
        <v>133</v>
      </c>
      <c r="I1" s="57" t="s">
        <v>134</v>
      </c>
      <c r="J1" s="57" t="s">
        <v>151</v>
      </c>
      <c r="K1" s="57"/>
    </row>
    <row r="2" spans="1:19" x14ac:dyDescent="0.3">
      <c r="A2" s="16">
        <v>1</v>
      </c>
      <c r="B2" s="41">
        <v>2</v>
      </c>
      <c r="C2" s="41" t="s">
        <v>84</v>
      </c>
      <c r="D2" s="47" t="s">
        <v>4</v>
      </c>
      <c r="E2" s="19" t="s">
        <v>45</v>
      </c>
      <c r="F2" s="19" t="s">
        <v>47</v>
      </c>
      <c r="G2" s="9"/>
      <c r="H2" s="9">
        <v>1</v>
      </c>
      <c r="I2" s="9">
        <f>IF(Table3811[[#This Row],[stimulus]]=F3,1,0)</f>
        <v>1</v>
      </c>
      <c r="J2" s="9">
        <f t="shared" ref="J2:J65" si="0">IF(D1="T",1,0)</f>
        <v>0</v>
      </c>
      <c r="L2" t="s">
        <v>23</v>
      </c>
    </row>
    <row r="3" spans="1:19" x14ac:dyDescent="0.3">
      <c r="A3" s="11">
        <v>1</v>
      </c>
      <c r="B3" s="42">
        <v>2</v>
      </c>
      <c r="C3" s="42" t="s">
        <v>84</v>
      </c>
      <c r="D3" s="48" t="s">
        <v>44</v>
      </c>
      <c r="E3" s="8" t="s">
        <v>13</v>
      </c>
      <c r="F3" s="8" t="s">
        <v>47</v>
      </c>
      <c r="G3" s="9"/>
      <c r="H3" s="9">
        <f>IF(Table3811[[#This Row],[modality]]=C2,1,0)</f>
        <v>1</v>
      </c>
      <c r="I3" s="9">
        <f>IF(Table3811[[#This Row],[stimulus]]=F4,1,0)</f>
        <v>0</v>
      </c>
      <c r="J3" s="9">
        <f>IF(D2="T",1,0)</f>
        <v>0</v>
      </c>
    </row>
    <row r="4" spans="1:19" x14ac:dyDescent="0.3">
      <c r="A4" s="16">
        <v>1</v>
      </c>
      <c r="B4" s="43">
        <v>1</v>
      </c>
      <c r="C4" s="49" t="s">
        <v>85</v>
      </c>
      <c r="D4" s="51" t="s">
        <v>33</v>
      </c>
      <c r="E4" s="19" t="s">
        <v>46</v>
      </c>
      <c r="F4" s="19" t="s">
        <v>78</v>
      </c>
      <c r="G4" s="9"/>
      <c r="H4" s="9">
        <f>IF(Table3811[[#This Row],[modality]]=C3,1,0)</f>
        <v>0</v>
      </c>
      <c r="I4" s="9">
        <f>IF(Table3811[[#This Row],[stimulus]]=F5,1,0)</f>
        <v>0</v>
      </c>
      <c r="J4" s="9">
        <f t="shared" si="0"/>
        <v>1</v>
      </c>
      <c r="L4" s="60" t="s">
        <v>133</v>
      </c>
      <c r="M4" s="62" t="s">
        <v>141</v>
      </c>
      <c r="N4" s="60"/>
      <c r="O4" s="60"/>
    </row>
    <row r="5" spans="1:19" x14ac:dyDescent="0.3">
      <c r="A5" s="11">
        <v>1</v>
      </c>
      <c r="B5" s="42">
        <v>2</v>
      </c>
      <c r="C5" s="42" t="s">
        <v>84</v>
      </c>
      <c r="D5" s="48" t="s">
        <v>4</v>
      </c>
      <c r="E5" s="8" t="s">
        <v>45</v>
      </c>
      <c r="F5" s="8" t="s">
        <v>48</v>
      </c>
      <c r="G5" s="9"/>
      <c r="H5" s="9">
        <f>IF(Table3811[[#This Row],[modality]]=C4,1,0)</f>
        <v>0</v>
      </c>
      <c r="I5" s="9">
        <f>IF(Table3811[[#This Row],[stimulus]]=F6,1,0)</f>
        <v>1</v>
      </c>
      <c r="J5" s="9">
        <f t="shared" si="0"/>
        <v>0</v>
      </c>
      <c r="M5" t="s">
        <v>142</v>
      </c>
    </row>
    <row r="6" spans="1:19" x14ac:dyDescent="0.3">
      <c r="A6" s="16">
        <v>1</v>
      </c>
      <c r="B6" s="41">
        <v>2</v>
      </c>
      <c r="C6" s="41" t="s">
        <v>84</v>
      </c>
      <c r="D6" s="47" t="s">
        <v>44</v>
      </c>
      <c r="E6" s="19" t="s">
        <v>13</v>
      </c>
      <c r="F6" s="19" t="s">
        <v>48</v>
      </c>
      <c r="G6" s="9"/>
      <c r="H6" s="9">
        <f>IF(Table3811[[#This Row],[modality]]=C5,1,0)</f>
        <v>1</v>
      </c>
      <c r="I6" s="9">
        <f>IF(Table3811[[#This Row],[stimulus]]=F7,1,0)</f>
        <v>0</v>
      </c>
      <c r="J6" s="9">
        <f t="shared" si="0"/>
        <v>0</v>
      </c>
    </row>
    <row r="7" spans="1:19" x14ac:dyDescent="0.3">
      <c r="A7" s="11">
        <v>1</v>
      </c>
      <c r="B7" s="43">
        <v>1</v>
      </c>
      <c r="C7" s="43" t="s">
        <v>85</v>
      </c>
      <c r="D7" s="51" t="s">
        <v>33</v>
      </c>
      <c r="E7" s="8" t="s">
        <v>46</v>
      </c>
      <c r="F7" s="8" t="s">
        <v>77</v>
      </c>
      <c r="G7" s="9"/>
      <c r="H7" s="9">
        <f>IF(Table3811[[#This Row],[modality]]=C6,1,0)</f>
        <v>0</v>
      </c>
      <c r="I7" s="9">
        <f>IF(Table3811[[#This Row],[stimulus]]=F8,1,0)</f>
        <v>0</v>
      </c>
      <c r="J7" s="9">
        <f t="shared" si="0"/>
        <v>1</v>
      </c>
      <c r="L7" s="58" t="s">
        <v>139</v>
      </c>
      <c r="M7" s="58" t="s">
        <v>138</v>
      </c>
    </row>
    <row r="8" spans="1:19" x14ac:dyDescent="0.3">
      <c r="A8" s="16">
        <v>1</v>
      </c>
      <c r="B8" s="41">
        <v>2</v>
      </c>
      <c r="C8" s="41" t="s">
        <v>84</v>
      </c>
      <c r="D8" s="47" t="s">
        <v>4</v>
      </c>
      <c r="E8" s="19" t="s">
        <v>45</v>
      </c>
      <c r="F8" s="19" t="s">
        <v>49</v>
      </c>
      <c r="G8" s="9"/>
      <c r="H8" s="9">
        <f>IF(Table3811[[#This Row],[modality]]=C7,1,0)</f>
        <v>0</v>
      </c>
      <c r="I8" s="9">
        <f>IF(Table3811[[#This Row],[stimulus]]=F9,1,0)</f>
        <v>1</v>
      </c>
      <c r="J8" s="9">
        <f t="shared" si="0"/>
        <v>0</v>
      </c>
      <c r="M8">
        <v>0</v>
      </c>
      <c r="O8" t="s">
        <v>148</v>
      </c>
      <c r="P8">
        <v>1</v>
      </c>
      <c r="R8" t="s">
        <v>149</v>
      </c>
      <c r="S8" t="s">
        <v>137</v>
      </c>
    </row>
    <row r="9" spans="1:19" x14ac:dyDescent="0.3">
      <c r="A9" s="11">
        <v>1</v>
      </c>
      <c r="B9" s="42">
        <v>1</v>
      </c>
      <c r="C9" s="42" t="s">
        <v>85</v>
      </c>
      <c r="D9" s="48" t="s">
        <v>44</v>
      </c>
      <c r="E9" s="8" t="s">
        <v>14</v>
      </c>
      <c r="F9" s="8" t="s">
        <v>49</v>
      </c>
      <c r="G9" s="9"/>
      <c r="H9" s="9">
        <f>IF(Table3811[[#This Row],[modality]]=C8,1,0)</f>
        <v>0</v>
      </c>
      <c r="I9" s="9">
        <f>IF(Table3811[[#This Row],[stimulus]]=F10,1,0)</f>
        <v>0</v>
      </c>
      <c r="J9" s="9">
        <f t="shared" si="0"/>
        <v>0</v>
      </c>
      <c r="L9" s="58" t="s">
        <v>135</v>
      </c>
      <c r="M9">
        <v>0</v>
      </c>
      <c r="N9">
        <v>1</v>
      </c>
      <c r="P9">
        <v>0</v>
      </c>
      <c r="Q9">
        <v>1</v>
      </c>
    </row>
    <row r="10" spans="1:19" x14ac:dyDescent="0.3">
      <c r="A10" s="16">
        <v>1</v>
      </c>
      <c r="B10" s="41">
        <v>1</v>
      </c>
      <c r="C10" s="41" t="s">
        <v>85</v>
      </c>
      <c r="D10" s="47" t="s">
        <v>4</v>
      </c>
      <c r="E10" s="19" t="s">
        <v>45</v>
      </c>
      <c r="F10" s="19" t="s">
        <v>50</v>
      </c>
      <c r="G10" s="9"/>
      <c r="H10" s="9">
        <f>IF(Table3811[[#This Row],[modality]]=C9,1,0)</f>
        <v>1</v>
      </c>
      <c r="I10" s="9">
        <f>IF(Table3811[[#This Row],[stimulus]]=F11,1,0)</f>
        <v>1</v>
      </c>
      <c r="J10" s="9">
        <f t="shared" si="0"/>
        <v>1</v>
      </c>
      <c r="L10" s="59" t="s">
        <v>33</v>
      </c>
      <c r="M10">
        <v>32</v>
      </c>
      <c r="N10">
        <v>68</v>
      </c>
      <c r="O10">
        <v>100</v>
      </c>
      <c r="P10">
        <v>6</v>
      </c>
      <c r="Q10">
        <v>28</v>
      </c>
      <c r="R10">
        <v>34</v>
      </c>
      <c r="S10">
        <v>134</v>
      </c>
    </row>
    <row r="11" spans="1:19" x14ac:dyDescent="0.3">
      <c r="A11" s="11">
        <v>1</v>
      </c>
      <c r="B11" s="42">
        <v>2</v>
      </c>
      <c r="C11" s="42" t="s">
        <v>84</v>
      </c>
      <c r="D11" s="48" t="s">
        <v>44</v>
      </c>
      <c r="E11" s="8" t="s">
        <v>14</v>
      </c>
      <c r="F11" s="8" t="s">
        <v>50</v>
      </c>
      <c r="G11" s="9"/>
      <c r="H11" s="9">
        <f>IF(Table3811[[#This Row],[modality]]=C10,1,0)</f>
        <v>0</v>
      </c>
      <c r="I11" s="9">
        <f>IF(Table3811[[#This Row],[stimulus]]=F12,1,0)</f>
        <v>0</v>
      </c>
      <c r="J11" s="9">
        <f t="shared" si="0"/>
        <v>0</v>
      </c>
      <c r="L11" s="61" t="s">
        <v>84</v>
      </c>
      <c r="M11">
        <v>19</v>
      </c>
      <c r="N11">
        <v>31</v>
      </c>
      <c r="O11">
        <v>50</v>
      </c>
      <c r="P11">
        <v>1</v>
      </c>
      <c r="Q11">
        <v>12</v>
      </c>
      <c r="R11">
        <v>13</v>
      </c>
      <c r="S11">
        <v>63</v>
      </c>
    </row>
    <row r="12" spans="1:19" x14ac:dyDescent="0.3">
      <c r="A12" s="16">
        <v>1</v>
      </c>
      <c r="B12" s="43">
        <v>2</v>
      </c>
      <c r="C12" s="49" t="s">
        <v>84</v>
      </c>
      <c r="D12" s="51" t="s">
        <v>33</v>
      </c>
      <c r="E12" s="19" t="s">
        <v>46</v>
      </c>
      <c r="F12" s="19" t="s">
        <v>76</v>
      </c>
      <c r="G12" s="9"/>
      <c r="H12" s="9">
        <f>IF(Table3811[[#This Row],[modality]]=C11,1,0)</f>
        <v>1</v>
      </c>
      <c r="I12" s="9">
        <f>IF(Table3811[[#This Row],[stimulus]]=F13,1,0)</f>
        <v>0</v>
      </c>
      <c r="J12" s="9">
        <f t="shared" si="0"/>
        <v>1</v>
      </c>
      <c r="L12" s="61" t="s">
        <v>85</v>
      </c>
      <c r="M12">
        <v>13</v>
      </c>
      <c r="N12">
        <v>37</v>
      </c>
      <c r="O12">
        <v>50</v>
      </c>
      <c r="P12">
        <v>5</v>
      </c>
      <c r="Q12">
        <v>16</v>
      </c>
      <c r="R12">
        <v>21</v>
      </c>
      <c r="S12">
        <v>71</v>
      </c>
    </row>
    <row r="13" spans="1:19" x14ac:dyDescent="0.3">
      <c r="A13" s="11">
        <v>1</v>
      </c>
      <c r="B13" s="42">
        <v>2</v>
      </c>
      <c r="C13" s="42" t="s">
        <v>84</v>
      </c>
      <c r="D13" s="48" t="s">
        <v>4</v>
      </c>
      <c r="E13" s="8" t="s">
        <v>45</v>
      </c>
      <c r="F13" s="8" t="s">
        <v>51</v>
      </c>
      <c r="G13" s="9"/>
      <c r="H13" s="9">
        <f>IF(Table3811[[#This Row],[modality]]=C12,1,0)</f>
        <v>1</v>
      </c>
      <c r="I13" s="9">
        <f>IF(Table3811[[#This Row],[stimulus]]=F14,1,0)</f>
        <v>1</v>
      </c>
      <c r="J13" s="9">
        <f t="shared" si="0"/>
        <v>0</v>
      </c>
      <c r="L13" s="59" t="s">
        <v>4</v>
      </c>
      <c r="M13">
        <v>49</v>
      </c>
      <c r="N13">
        <v>1</v>
      </c>
      <c r="O13">
        <v>50</v>
      </c>
      <c r="P13">
        <v>49</v>
      </c>
      <c r="Q13">
        <v>29</v>
      </c>
      <c r="R13">
        <v>78</v>
      </c>
      <c r="S13">
        <v>128</v>
      </c>
    </row>
    <row r="14" spans="1:19" x14ac:dyDescent="0.3">
      <c r="A14" s="16">
        <v>1</v>
      </c>
      <c r="B14" s="41">
        <v>1</v>
      </c>
      <c r="C14" s="41" t="s">
        <v>85</v>
      </c>
      <c r="D14" s="47" t="s">
        <v>44</v>
      </c>
      <c r="E14" s="19" t="s">
        <v>14</v>
      </c>
      <c r="F14" s="19" t="s">
        <v>51</v>
      </c>
      <c r="G14" s="9"/>
      <c r="H14" s="9">
        <f>IF(Table3811[[#This Row],[modality]]=C13,1,0)</f>
        <v>0</v>
      </c>
      <c r="I14" s="9">
        <f>IF(Table3811[[#This Row],[stimulus]]=F15,1,0)</f>
        <v>0</v>
      </c>
      <c r="J14" s="9">
        <f t="shared" si="0"/>
        <v>0</v>
      </c>
      <c r="L14" s="61" t="s">
        <v>84</v>
      </c>
      <c r="M14">
        <v>25</v>
      </c>
      <c r="O14">
        <v>25</v>
      </c>
      <c r="P14">
        <v>25</v>
      </c>
      <c r="Q14">
        <v>14</v>
      </c>
      <c r="R14">
        <v>39</v>
      </c>
      <c r="S14">
        <v>64</v>
      </c>
    </row>
    <row r="15" spans="1:19" x14ac:dyDescent="0.3">
      <c r="A15" s="11">
        <v>1</v>
      </c>
      <c r="B15" s="43">
        <v>2</v>
      </c>
      <c r="C15" s="43" t="s">
        <v>84</v>
      </c>
      <c r="D15" s="51" t="s">
        <v>33</v>
      </c>
      <c r="E15" s="8" t="s">
        <v>46</v>
      </c>
      <c r="F15" s="8" t="s">
        <v>75</v>
      </c>
      <c r="G15" s="9"/>
      <c r="H15" s="9">
        <f>IF(Table3811[[#This Row],[modality]]=C14,1,0)</f>
        <v>0</v>
      </c>
      <c r="I15" s="9">
        <f>IF(Table3811[[#This Row],[stimulus]]=F16,1,0)</f>
        <v>0</v>
      </c>
      <c r="J15" s="9">
        <f t="shared" si="0"/>
        <v>1</v>
      </c>
      <c r="L15" s="61" t="s">
        <v>85</v>
      </c>
      <c r="M15">
        <v>24</v>
      </c>
      <c r="N15">
        <v>1</v>
      </c>
      <c r="O15">
        <v>25</v>
      </c>
      <c r="P15">
        <v>24</v>
      </c>
      <c r="Q15">
        <v>15</v>
      </c>
      <c r="R15">
        <v>39</v>
      </c>
      <c r="S15">
        <v>64</v>
      </c>
    </row>
    <row r="16" spans="1:19" x14ac:dyDescent="0.3">
      <c r="A16" s="16">
        <v>1</v>
      </c>
      <c r="B16" s="41">
        <v>1</v>
      </c>
      <c r="C16" s="41" t="s">
        <v>85</v>
      </c>
      <c r="D16" s="47" t="s">
        <v>4</v>
      </c>
      <c r="E16" s="19" t="s">
        <v>45</v>
      </c>
      <c r="F16" s="19" t="s">
        <v>52</v>
      </c>
      <c r="G16" s="9"/>
      <c r="H16" s="9">
        <f>IF(Table3811[[#This Row],[modality]]=C15,1,0)</f>
        <v>0</v>
      </c>
      <c r="I16" s="9">
        <f>IF(Table3811[[#This Row],[stimulus]]=F17,1,0)</f>
        <v>1</v>
      </c>
      <c r="J16" s="9">
        <f t="shared" si="0"/>
        <v>0</v>
      </c>
      <c r="L16" s="59" t="s">
        <v>44</v>
      </c>
      <c r="M16">
        <v>64</v>
      </c>
      <c r="O16">
        <v>64</v>
      </c>
      <c r="P16">
        <v>64</v>
      </c>
      <c r="R16">
        <v>64</v>
      </c>
      <c r="S16">
        <v>128</v>
      </c>
    </row>
    <row r="17" spans="1:19" x14ac:dyDescent="0.3">
      <c r="A17" s="11">
        <v>1</v>
      </c>
      <c r="B17" s="42">
        <v>1</v>
      </c>
      <c r="C17" s="42" t="s">
        <v>85</v>
      </c>
      <c r="D17" s="48" t="s">
        <v>44</v>
      </c>
      <c r="E17" s="8" t="s">
        <v>13</v>
      </c>
      <c r="F17" s="8" t="s">
        <v>52</v>
      </c>
      <c r="G17" s="9"/>
      <c r="H17" s="9">
        <f>IF(Table3811[[#This Row],[modality]]=C16,1,0)</f>
        <v>1</v>
      </c>
      <c r="I17" s="9">
        <f>IF(Table3811[[#This Row],[stimulus]]=F18,1,0)</f>
        <v>0</v>
      </c>
      <c r="J17" s="9">
        <f t="shared" si="0"/>
        <v>0</v>
      </c>
      <c r="L17" s="61" t="s">
        <v>84</v>
      </c>
      <c r="M17">
        <v>32</v>
      </c>
      <c r="O17">
        <v>32</v>
      </c>
      <c r="P17">
        <v>32</v>
      </c>
      <c r="R17">
        <v>32</v>
      </c>
      <c r="S17">
        <v>64</v>
      </c>
    </row>
    <row r="18" spans="1:19" x14ac:dyDescent="0.3">
      <c r="A18" s="16">
        <v>1</v>
      </c>
      <c r="B18" s="43">
        <v>2</v>
      </c>
      <c r="C18" s="49" t="s">
        <v>84</v>
      </c>
      <c r="D18" s="51" t="s">
        <v>33</v>
      </c>
      <c r="E18" s="19" t="s">
        <v>46</v>
      </c>
      <c r="F18" s="19" t="s">
        <v>74</v>
      </c>
      <c r="G18" s="9"/>
      <c r="H18" s="9">
        <f>IF(Table3811[[#This Row],[modality]]=C17,1,0)</f>
        <v>0</v>
      </c>
      <c r="I18" s="9">
        <f>IF(Table3811[[#This Row],[stimulus]]=F19,1,0)</f>
        <v>0</v>
      </c>
      <c r="J18" s="9">
        <f t="shared" si="0"/>
        <v>1</v>
      </c>
      <c r="L18" s="61" t="s">
        <v>85</v>
      </c>
      <c r="M18">
        <v>32</v>
      </c>
      <c r="O18">
        <v>32</v>
      </c>
      <c r="P18">
        <v>32</v>
      </c>
      <c r="R18">
        <v>32</v>
      </c>
      <c r="S18">
        <v>64</v>
      </c>
    </row>
    <row r="19" spans="1:19" x14ac:dyDescent="0.3">
      <c r="A19" s="52">
        <v>1</v>
      </c>
      <c r="B19" s="43">
        <v>1</v>
      </c>
      <c r="C19" s="49" t="s">
        <v>85</v>
      </c>
      <c r="D19" s="51" t="s">
        <v>33</v>
      </c>
      <c r="E19" s="53" t="s">
        <v>46</v>
      </c>
      <c r="F19" s="19" t="s">
        <v>72</v>
      </c>
      <c r="G19" s="10"/>
      <c r="H19" s="9">
        <f>IF(Table3811[[#This Row],[modality]]=C18,1,0)</f>
        <v>0</v>
      </c>
      <c r="I19" s="9">
        <f>IF(Table3811[[#This Row],[stimulus]]=F20,1,0)</f>
        <v>0</v>
      </c>
      <c r="J19" s="9">
        <f t="shared" si="0"/>
        <v>0</v>
      </c>
      <c r="L19" s="59" t="s">
        <v>137</v>
      </c>
      <c r="M19">
        <v>145</v>
      </c>
      <c r="N19">
        <v>69</v>
      </c>
      <c r="O19">
        <v>214</v>
      </c>
      <c r="P19">
        <v>119</v>
      </c>
      <c r="Q19">
        <v>57</v>
      </c>
      <c r="R19">
        <v>176</v>
      </c>
      <c r="S19">
        <v>390</v>
      </c>
    </row>
    <row r="20" spans="1:19" x14ac:dyDescent="0.3">
      <c r="A20" s="11">
        <v>1</v>
      </c>
      <c r="B20" s="42">
        <v>1</v>
      </c>
      <c r="C20" s="42" t="s">
        <v>85</v>
      </c>
      <c r="D20" s="48" t="s">
        <v>4</v>
      </c>
      <c r="E20" s="8" t="s">
        <v>45</v>
      </c>
      <c r="F20" s="8" t="s">
        <v>53</v>
      </c>
      <c r="G20" s="9"/>
      <c r="H20" s="9">
        <f>IF(Table3811[[#This Row],[modality]]=C19,1,0)</f>
        <v>1</v>
      </c>
      <c r="I20" s="9">
        <f>IF(Table3811[[#This Row],[stimulus]]=F21,1,0)</f>
        <v>1</v>
      </c>
      <c r="J20" s="9">
        <f t="shared" si="0"/>
        <v>0</v>
      </c>
      <c r="L20" s="59"/>
    </row>
    <row r="21" spans="1:19" x14ac:dyDescent="0.3">
      <c r="A21" s="16">
        <v>1</v>
      </c>
      <c r="B21" s="41">
        <v>1</v>
      </c>
      <c r="C21" s="41" t="s">
        <v>85</v>
      </c>
      <c r="D21" s="47" t="s">
        <v>44</v>
      </c>
      <c r="E21" s="19" t="s">
        <v>13</v>
      </c>
      <c r="F21" s="19" t="s">
        <v>53</v>
      </c>
      <c r="G21" s="9"/>
      <c r="H21" s="9">
        <f>IF(Table3811[[#This Row],[modality]]=C20,1,0)</f>
        <v>1</v>
      </c>
      <c r="I21" s="9">
        <f>IF(Table3811[[#This Row],[stimulus]]=F22,1,0)</f>
        <v>0</v>
      </c>
      <c r="J21" s="9">
        <f t="shared" si="0"/>
        <v>0</v>
      </c>
      <c r="L21" s="59"/>
      <c r="M21" s="63" t="s">
        <v>143</v>
      </c>
    </row>
    <row r="22" spans="1:19" x14ac:dyDescent="0.3">
      <c r="A22" s="11">
        <v>1</v>
      </c>
      <c r="B22" s="43">
        <v>2</v>
      </c>
      <c r="C22" s="43" t="s">
        <v>84</v>
      </c>
      <c r="D22" s="51" t="s">
        <v>33</v>
      </c>
      <c r="E22" s="8" t="s">
        <v>46</v>
      </c>
      <c r="F22" s="8" t="s">
        <v>73</v>
      </c>
      <c r="G22" s="9"/>
      <c r="H22" s="9">
        <f>IF(Table3811[[#This Row],[modality]]=C21,1,0)</f>
        <v>0</v>
      </c>
      <c r="I22" s="9">
        <f>IF(Table3811[[#This Row],[stimulus]]=F23,1,0)</f>
        <v>0</v>
      </c>
      <c r="J22" s="9">
        <f t="shared" si="0"/>
        <v>1</v>
      </c>
      <c r="L22" s="59"/>
      <c r="M22" s="63" t="s">
        <v>144</v>
      </c>
    </row>
    <row r="23" spans="1:19" x14ac:dyDescent="0.3">
      <c r="A23" s="19">
        <v>1</v>
      </c>
      <c r="B23" s="43">
        <v>1</v>
      </c>
      <c r="C23" s="43" t="s">
        <v>85</v>
      </c>
      <c r="D23" s="51" t="s">
        <v>33</v>
      </c>
      <c r="E23" s="19" t="s">
        <v>46</v>
      </c>
      <c r="F23" s="8" t="s">
        <v>71</v>
      </c>
      <c r="G23" s="10"/>
      <c r="H23" s="9">
        <f>IF(Table3811[[#This Row],[modality]]=C22,1,0)</f>
        <v>0</v>
      </c>
      <c r="I23" s="9">
        <f>IF(Table3811[[#This Row],[stimulus]]=F24,1,0)</f>
        <v>0</v>
      </c>
      <c r="J23" s="9">
        <f t="shared" si="0"/>
        <v>0</v>
      </c>
    </row>
    <row r="24" spans="1:19" x14ac:dyDescent="0.3">
      <c r="A24" s="16">
        <v>1</v>
      </c>
      <c r="B24" s="41">
        <v>1</v>
      </c>
      <c r="C24" s="41" t="s">
        <v>85</v>
      </c>
      <c r="D24" s="47" t="s">
        <v>4</v>
      </c>
      <c r="E24" s="19" t="s">
        <v>45</v>
      </c>
      <c r="F24" s="19" t="s">
        <v>54</v>
      </c>
      <c r="G24" s="9"/>
      <c r="H24" s="9">
        <f>IF(Table3811[[#This Row],[modality]]=C23,1,0)</f>
        <v>1</v>
      </c>
      <c r="I24" s="9">
        <f>IF(Table3811[[#This Row],[stimulus]]=F25,1,0)</f>
        <v>1</v>
      </c>
      <c r="J24" s="9">
        <f t="shared" si="0"/>
        <v>0</v>
      </c>
      <c r="L24" s="60" t="s">
        <v>134</v>
      </c>
    </row>
    <row r="25" spans="1:19" x14ac:dyDescent="0.3">
      <c r="A25" s="11">
        <v>1</v>
      </c>
      <c r="B25" s="42">
        <v>2</v>
      </c>
      <c r="C25" s="42" t="s">
        <v>84</v>
      </c>
      <c r="D25" s="48" t="s">
        <v>44</v>
      </c>
      <c r="E25" s="8" t="s">
        <v>14</v>
      </c>
      <c r="F25" s="8" t="s">
        <v>54</v>
      </c>
      <c r="G25" s="9"/>
      <c r="H25" s="9">
        <f>IF(Table3811[[#This Row],[modality]]=C24,1,0)</f>
        <v>0</v>
      </c>
      <c r="I25" s="9">
        <f>IF(Table3811[[#This Row],[stimulus]]=F26,1,0)</f>
        <v>0</v>
      </c>
      <c r="J25" s="9">
        <f t="shared" si="0"/>
        <v>0</v>
      </c>
    </row>
    <row r="26" spans="1:19" x14ac:dyDescent="0.3">
      <c r="A26" s="8">
        <v>2</v>
      </c>
      <c r="B26" s="44">
        <v>2</v>
      </c>
      <c r="C26" s="44" t="s">
        <v>84</v>
      </c>
      <c r="D26" s="44" t="s">
        <v>33</v>
      </c>
      <c r="E26" s="8" t="s">
        <v>46</v>
      </c>
      <c r="F26" s="8" t="s">
        <v>47</v>
      </c>
      <c r="G26" s="9"/>
      <c r="H26" s="9">
        <f>IF(Table3811[[#This Row],[modality]]=C25,1,0)</f>
        <v>1</v>
      </c>
      <c r="I26" s="9">
        <f>IF(Table3811[[#This Row],[stimulus]]=F27,1,0)</f>
        <v>0</v>
      </c>
      <c r="J26" s="9">
        <f t="shared" si="0"/>
        <v>1</v>
      </c>
    </row>
    <row r="27" spans="1:19" x14ac:dyDescent="0.3">
      <c r="A27" s="19">
        <v>2</v>
      </c>
      <c r="B27" s="41">
        <v>1</v>
      </c>
      <c r="C27" s="41" t="s">
        <v>85</v>
      </c>
      <c r="D27" s="47" t="s">
        <v>4</v>
      </c>
      <c r="E27" s="19" t="s">
        <v>45</v>
      </c>
      <c r="F27" s="19" t="s">
        <v>62</v>
      </c>
      <c r="G27" s="9"/>
      <c r="H27" s="9">
        <f>IF(Table3811[[#This Row],[modality]]=C26,1,0)</f>
        <v>0</v>
      </c>
      <c r="I27" s="9">
        <f>IF(Table3811[[#This Row],[stimulus]]=F28,1,0)</f>
        <v>1</v>
      </c>
      <c r="J27" s="9">
        <f t="shared" si="0"/>
        <v>0</v>
      </c>
      <c r="M27" s="58" t="s">
        <v>138</v>
      </c>
    </row>
    <row r="28" spans="1:19" x14ac:dyDescent="0.3">
      <c r="A28" s="8">
        <v>2</v>
      </c>
      <c r="B28" s="42">
        <v>1</v>
      </c>
      <c r="C28" s="42" t="s">
        <v>85</v>
      </c>
      <c r="D28" s="48" t="s">
        <v>44</v>
      </c>
      <c r="E28" s="8" t="s">
        <v>13</v>
      </c>
      <c r="F28" s="8" t="s">
        <v>62</v>
      </c>
      <c r="G28" s="9"/>
      <c r="H28" s="9">
        <f>IF(Table3811[[#This Row],[modality]]=C27,1,0)</f>
        <v>1</v>
      </c>
      <c r="I28" s="9">
        <f>IF(Table3811[[#This Row],[stimulus]]=F29,1,0)</f>
        <v>0</v>
      </c>
      <c r="J28" s="9">
        <f t="shared" si="0"/>
        <v>0</v>
      </c>
      <c r="M28">
        <v>0</v>
      </c>
      <c r="N28">
        <v>1</v>
      </c>
      <c r="O28" t="s">
        <v>136</v>
      </c>
      <c r="P28" t="s">
        <v>137</v>
      </c>
    </row>
    <row r="29" spans="1:19" x14ac:dyDescent="0.3">
      <c r="A29" s="19">
        <v>2</v>
      </c>
      <c r="B29" s="44">
        <v>2</v>
      </c>
      <c r="C29" s="44" t="s">
        <v>84</v>
      </c>
      <c r="D29" s="44" t="s">
        <v>33</v>
      </c>
      <c r="E29" s="19" t="s">
        <v>46</v>
      </c>
      <c r="F29" s="19" t="s">
        <v>48</v>
      </c>
      <c r="G29" s="9"/>
      <c r="H29" s="9">
        <f>IF(Table3811[[#This Row],[modality]]=C28,1,0)</f>
        <v>0</v>
      </c>
      <c r="I29" s="9">
        <f>IF(Table3811[[#This Row],[stimulus]]=F30,1,0)</f>
        <v>0</v>
      </c>
      <c r="J29" s="9">
        <f t="shared" si="0"/>
        <v>1</v>
      </c>
      <c r="L29" t="s">
        <v>140</v>
      </c>
      <c r="M29">
        <v>264</v>
      </c>
      <c r="N29">
        <v>128</v>
      </c>
      <c r="P29">
        <v>392</v>
      </c>
    </row>
    <row r="30" spans="1:19" x14ac:dyDescent="0.3">
      <c r="A30" s="19">
        <v>2</v>
      </c>
      <c r="B30" s="41">
        <v>1</v>
      </c>
      <c r="C30" s="42" t="s">
        <v>85</v>
      </c>
      <c r="D30" s="47" t="s">
        <v>4</v>
      </c>
      <c r="E30" s="19" t="s">
        <v>45</v>
      </c>
      <c r="F30" s="19" t="s">
        <v>61</v>
      </c>
      <c r="G30" s="9"/>
      <c r="H30" s="9">
        <f>IF(Table3811[[#This Row],[modality]]=C29,1,0)</f>
        <v>0</v>
      </c>
      <c r="I30" s="9">
        <f>IF(Table3811[[#This Row],[stimulus]]=F31,1,0)</f>
        <v>1</v>
      </c>
      <c r="J30" s="9">
        <f t="shared" si="0"/>
        <v>0</v>
      </c>
      <c r="K30" t="s">
        <v>23</v>
      </c>
      <c r="L30" t="s">
        <v>145</v>
      </c>
      <c r="M30">
        <f>GETPIVOTDATA("Next_item_same_item",L27,"Next_item_same_item",0)-GETPIVOTDATA("Next_item_same_item",$L$27,"Next_item_same_item",1)</f>
        <v>136</v>
      </c>
      <c r="P30">
        <f>GETPIVOTDATA("Next_item_same_item",$L$27,"Next_item_same_item",1)/(GETPIVOTDATA("Next_item_same_item",$L$27,"Next_item_same_item",1)+M30)</f>
        <v>0.48484848484848486</v>
      </c>
    </row>
    <row r="31" spans="1:19" x14ac:dyDescent="0.3">
      <c r="A31" s="8">
        <v>2</v>
      </c>
      <c r="B31" s="42">
        <v>1</v>
      </c>
      <c r="C31" s="42" t="s">
        <v>85</v>
      </c>
      <c r="D31" s="48" t="s">
        <v>44</v>
      </c>
      <c r="E31" s="8" t="s">
        <v>13</v>
      </c>
      <c r="F31" s="8" t="s">
        <v>61</v>
      </c>
      <c r="G31" s="9"/>
      <c r="H31" s="9">
        <f>IF(Table3811[[#This Row],[modality]]=C30,1,0)</f>
        <v>1</v>
      </c>
      <c r="I31" s="9">
        <f>IF(Table3811[[#This Row],[stimulus]]=F32,1,0)</f>
        <v>0</v>
      </c>
      <c r="J31" s="9">
        <f t="shared" si="0"/>
        <v>0</v>
      </c>
    </row>
    <row r="32" spans="1:19" x14ac:dyDescent="0.3">
      <c r="A32" s="19">
        <v>2</v>
      </c>
      <c r="B32" s="41">
        <v>1</v>
      </c>
      <c r="C32" s="42" t="s">
        <v>85</v>
      </c>
      <c r="D32" s="47" t="s">
        <v>4</v>
      </c>
      <c r="E32" s="19" t="s">
        <v>45</v>
      </c>
      <c r="F32" s="19" t="s">
        <v>60</v>
      </c>
      <c r="G32" s="9"/>
      <c r="H32" s="9">
        <f>IF(Table3811[[#This Row],[modality]]=C31,1,0)</f>
        <v>1</v>
      </c>
      <c r="I32" s="9">
        <f>IF(Table3811[[#This Row],[stimulus]]=F33,1,0)</f>
        <v>1</v>
      </c>
      <c r="J32" s="9">
        <f t="shared" si="0"/>
        <v>1</v>
      </c>
      <c r="M32" t="s">
        <v>23</v>
      </c>
    </row>
    <row r="33" spans="1:13" x14ac:dyDescent="0.3">
      <c r="A33" s="8">
        <v>2</v>
      </c>
      <c r="B33" s="42">
        <v>2</v>
      </c>
      <c r="C33" s="42" t="s">
        <v>84</v>
      </c>
      <c r="D33" s="48" t="s">
        <v>44</v>
      </c>
      <c r="E33" s="8" t="s">
        <v>14</v>
      </c>
      <c r="F33" s="8" t="s">
        <v>60</v>
      </c>
      <c r="G33" s="9"/>
      <c r="H33" s="9">
        <f>IF(Table3811[[#This Row],[modality]]=C32,1,0)</f>
        <v>0</v>
      </c>
      <c r="I33" s="9">
        <f>IF(Table3811[[#This Row],[stimulus]]=F34,1,0)</f>
        <v>0</v>
      </c>
      <c r="J33" s="9">
        <f t="shared" si="0"/>
        <v>0</v>
      </c>
      <c r="M33" s="63" t="s">
        <v>146</v>
      </c>
    </row>
    <row r="34" spans="1:13" x14ac:dyDescent="0.3">
      <c r="A34" s="19">
        <v>2</v>
      </c>
      <c r="B34" s="41">
        <v>2</v>
      </c>
      <c r="C34" s="42" t="s">
        <v>84</v>
      </c>
      <c r="D34" s="47" t="s">
        <v>4</v>
      </c>
      <c r="E34" s="19" t="s">
        <v>45</v>
      </c>
      <c r="F34" s="19" t="s">
        <v>59</v>
      </c>
      <c r="G34" s="9"/>
      <c r="H34" s="9">
        <f>IF(Table3811[[#This Row],[modality]]=C33,1,0)</f>
        <v>1</v>
      </c>
      <c r="I34" s="9">
        <f>IF(Table3811[[#This Row],[stimulus]]=F35,1,0)</f>
        <v>1</v>
      </c>
      <c r="J34" s="9">
        <f t="shared" si="0"/>
        <v>1</v>
      </c>
    </row>
    <row r="35" spans="1:13" x14ac:dyDescent="0.3">
      <c r="A35" s="8">
        <v>2</v>
      </c>
      <c r="B35" s="42">
        <v>1</v>
      </c>
      <c r="C35" s="42" t="s">
        <v>85</v>
      </c>
      <c r="D35" s="48" t="s">
        <v>44</v>
      </c>
      <c r="E35" s="8" t="s">
        <v>14</v>
      </c>
      <c r="F35" s="8" t="s">
        <v>59</v>
      </c>
      <c r="G35" s="9"/>
      <c r="H35" s="9">
        <f>IF(Table3811[[#This Row],[modality]]=C34,1,0)</f>
        <v>0</v>
      </c>
      <c r="I35" s="9">
        <f>IF(Table3811[[#This Row],[stimulus]]=F36,1,0)</f>
        <v>0</v>
      </c>
      <c r="J35" s="9">
        <f t="shared" si="0"/>
        <v>0</v>
      </c>
    </row>
    <row r="36" spans="1:13" x14ac:dyDescent="0.3">
      <c r="A36" s="8">
        <v>2</v>
      </c>
      <c r="B36" s="44">
        <v>1</v>
      </c>
      <c r="C36" s="44" t="s">
        <v>85</v>
      </c>
      <c r="D36" s="44" t="s">
        <v>33</v>
      </c>
      <c r="E36" s="8" t="s">
        <v>46</v>
      </c>
      <c r="F36" s="8" t="s">
        <v>49</v>
      </c>
      <c r="G36" s="9"/>
      <c r="H36" s="9">
        <f>IF(Table3811[[#This Row],[modality]]=C35,1,0)</f>
        <v>1</v>
      </c>
      <c r="I36" s="9">
        <f>IF(Table3811[[#This Row],[stimulus]]=F37,1,0)</f>
        <v>0</v>
      </c>
      <c r="J36" s="9">
        <f t="shared" si="0"/>
        <v>1</v>
      </c>
    </row>
    <row r="37" spans="1:13" x14ac:dyDescent="0.3">
      <c r="A37" s="19">
        <v>2</v>
      </c>
      <c r="B37" s="41">
        <v>1</v>
      </c>
      <c r="C37" s="42" t="s">
        <v>85</v>
      </c>
      <c r="D37" s="47" t="s">
        <v>4</v>
      </c>
      <c r="E37" s="19" t="s">
        <v>45</v>
      </c>
      <c r="F37" s="19" t="s">
        <v>58</v>
      </c>
      <c r="G37" s="9"/>
      <c r="H37" s="9">
        <f>IF(Table3811[[#This Row],[modality]]=C36,1,0)</f>
        <v>1</v>
      </c>
      <c r="I37" s="9">
        <f>IF(Table3811[[#This Row],[stimulus]]=F38,1,0)</f>
        <v>1</v>
      </c>
      <c r="J37" s="9">
        <f t="shared" si="0"/>
        <v>0</v>
      </c>
    </row>
    <row r="38" spans="1:13" x14ac:dyDescent="0.3">
      <c r="A38" s="8">
        <v>2</v>
      </c>
      <c r="B38" s="42">
        <v>2</v>
      </c>
      <c r="C38" s="42" t="s">
        <v>84</v>
      </c>
      <c r="D38" s="48" t="s">
        <v>44</v>
      </c>
      <c r="E38" s="8" t="s">
        <v>14</v>
      </c>
      <c r="F38" s="8" t="s">
        <v>58</v>
      </c>
      <c r="G38" s="9"/>
      <c r="H38" s="9">
        <f>IF(Table3811[[#This Row],[modality]]=C37,1,0)</f>
        <v>0</v>
      </c>
      <c r="I38" s="9">
        <f>IF(Table3811[[#This Row],[stimulus]]=F39,1,0)</f>
        <v>0</v>
      </c>
      <c r="J38" s="9">
        <f t="shared" si="0"/>
        <v>0</v>
      </c>
    </row>
    <row r="39" spans="1:13" x14ac:dyDescent="0.3">
      <c r="A39" s="19">
        <v>2</v>
      </c>
      <c r="B39" s="44">
        <v>2</v>
      </c>
      <c r="C39" s="44" t="s">
        <v>84</v>
      </c>
      <c r="D39" s="44" t="s">
        <v>33</v>
      </c>
      <c r="E39" s="19" t="s">
        <v>46</v>
      </c>
      <c r="F39" s="19" t="s">
        <v>50</v>
      </c>
      <c r="G39" s="9"/>
      <c r="H39" s="9">
        <f>IF(Table3811[[#This Row],[modality]]=C38,1,0)</f>
        <v>1</v>
      </c>
      <c r="I39" s="9">
        <f>IF(Table3811[[#This Row],[stimulus]]=F40,1,0)</f>
        <v>0</v>
      </c>
      <c r="J39" s="9">
        <f t="shared" si="0"/>
        <v>1</v>
      </c>
    </row>
    <row r="40" spans="1:13" x14ac:dyDescent="0.3">
      <c r="A40" s="8">
        <v>2</v>
      </c>
      <c r="B40" s="44">
        <v>1</v>
      </c>
      <c r="C40" s="44" t="s">
        <v>85</v>
      </c>
      <c r="D40" s="44" t="s">
        <v>33</v>
      </c>
      <c r="E40" s="8" t="s">
        <v>46</v>
      </c>
      <c r="F40" s="8" t="s">
        <v>53</v>
      </c>
      <c r="G40" s="9"/>
      <c r="H40" s="9">
        <f>IF(Table3811[[#This Row],[modality]]=C39,1,0)</f>
        <v>0</v>
      </c>
      <c r="I40" s="9">
        <f>IF(Table3811[[#This Row],[stimulus]]=F41,1,0)</f>
        <v>0</v>
      </c>
      <c r="J40" s="9">
        <f t="shared" si="0"/>
        <v>0</v>
      </c>
    </row>
    <row r="41" spans="1:13" x14ac:dyDescent="0.3">
      <c r="A41" s="8">
        <v>2</v>
      </c>
      <c r="B41" s="44">
        <v>2</v>
      </c>
      <c r="C41" s="44" t="s">
        <v>84</v>
      </c>
      <c r="D41" s="44" t="s">
        <v>33</v>
      </c>
      <c r="E41" s="8" t="s">
        <v>46</v>
      </c>
      <c r="F41" s="8" t="s">
        <v>51</v>
      </c>
      <c r="G41" s="9"/>
      <c r="H41" s="9">
        <f>IF(Table3811[[#This Row],[modality]]=C40,1,0)</f>
        <v>0</v>
      </c>
      <c r="I41" s="9">
        <f>IF(Table3811[[#This Row],[stimulus]]=F42,1,0)</f>
        <v>0</v>
      </c>
      <c r="J41" s="9">
        <f t="shared" si="0"/>
        <v>0</v>
      </c>
    </row>
    <row r="42" spans="1:13" x14ac:dyDescent="0.3">
      <c r="A42" s="19">
        <v>2</v>
      </c>
      <c r="B42" s="41">
        <v>2</v>
      </c>
      <c r="C42" s="41" t="s">
        <v>84</v>
      </c>
      <c r="D42" s="47" t="s">
        <v>4</v>
      </c>
      <c r="E42" s="19" t="s">
        <v>45</v>
      </c>
      <c r="F42" s="19" t="s">
        <v>57</v>
      </c>
      <c r="G42" s="9"/>
      <c r="H42" s="9">
        <f>IF(Table3811[[#This Row],[modality]]=C41,1,0)</f>
        <v>1</v>
      </c>
      <c r="I42" s="9">
        <f>IF(Table3811[[#This Row],[stimulus]]=F43,1,0)</f>
        <v>1</v>
      </c>
      <c r="J42" s="9">
        <f t="shared" si="0"/>
        <v>0</v>
      </c>
    </row>
    <row r="43" spans="1:13" x14ac:dyDescent="0.3">
      <c r="A43" s="8">
        <v>2</v>
      </c>
      <c r="B43" s="42">
        <v>2</v>
      </c>
      <c r="C43" s="42" t="s">
        <v>84</v>
      </c>
      <c r="D43" s="48" t="s">
        <v>44</v>
      </c>
      <c r="E43" s="8" t="s">
        <v>13</v>
      </c>
      <c r="F43" s="8" t="s">
        <v>57</v>
      </c>
      <c r="G43" s="9"/>
      <c r="H43" s="9">
        <f>IF(Table3811[[#This Row],[modality]]=C42,1,0)</f>
        <v>1</v>
      </c>
      <c r="I43" s="9">
        <f>IF(Table3811[[#This Row],[stimulus]]=F44,1,0)</f>
        <v>0</v>
      </c>
      <c r="J43" s="9">
        <f t="shared" si="0"/>
        <v>0</v>
      </c>
    </row>
    <row r="44" spans="1:13" x14ac:dyDescent="0.3">
      <c r="A44" s="19">
        <v>2</v>
      </c>
      <c r="B44" s="44">
        <v>1</v>
      </c>
      <c r="C44" s="44" t="s">
        <v>85</v>
      </c>
      <c r="D44" s="44" t="s">
        <v>33</v>
      </c>
      <c r="E44" s="19" t="s">
        <v>46</v>
      </c>
      <c r="F44" s="19" t="s">
        <v>52</v>
      </c>
      <c r="G44" s="9"/>
      <c r="H44" s="9">
        <f>IF(Table3811[[#This Row],[modality]]=C43,1,0)</f>
        <v>0</v>
      </c>
      <c r="I44" s="9">
        <f>IF(Table3811[[#This Row],[stimulus]]=F45,1,0)</f>
        <v>0</v>
      </c>
      <c r="J44" s="9">
        <f t="shared" si="0"/>
        <v>1</v>
      </c>
    </row>
    <row r="45" spans="1:13" x14ac:dyDescent="0.3">
      <c r="A45" s="8">
        <v>2</v>
      </c>
      <c r="B45" s="42">
        <v>2</v>
      </c>
      <c r="C45" s="42" t="s">
        <v>84</v>
      </c>
      <c r="D45" s="48" t="s">
        <v>4</v>
      </c>
      <c r="E45" s="8" t="s">
        <v>45</v>
      </c>
      <c r="F45" s="8" t="s">
        <v>56</v>
      </c>
      <c r="G45" s="9"/>
      <c r="H45" s="9">
        <f>IF(Table3811[[#This Row],[modality]]=C44,1,0)</f>
        <v>0</v>
      </c>
      <c r="I45" s="9">
        <f>IF(Table3811[[#This Row],[stimulus]]=F46,1,0)</f>
        <v>1</v>
      </c>
      <c r="J45" s="9">
        <f t="shared" si="0"/>
        <v>0</v>
      </c>
    </row>
    <row r="46" spans="1:13" x14ac:dyDescent="0.3">
      <c r="A46" s="19">
        <v>2</v>
      </c>
      <c r="B46" s="41">
        <v>2</v>
      </c>
      <c r="C46" s="41" t="s">
        <v>84</v>
      </c>
      <c r="D46" s="47" t="s">
        <v>44</v>
      </c>
      <c r="E46" s="19" t="s">
        <v>13</v>
      </c>
      <c r="F46" s="19" t="s">
        <v>56</v>
      </c>
      <c r="G46" s="9"/>
      <c r="H46" s="9">
        <f>IF(Table3811[[#This Row],[modality]]=C45,1,0)</f>
        <v>1</v>
      </c>
      <c r="I46" s="9">
        <f>IF(Table3811[[#This Row],[stimulus]]=F47,1,0)</f>
        <v>0</v>
      </c>
      <c r="J46" s="9">
        <f t="shared" si="0"/>
        <v>0</v>
      </c>
    </row>
    <row r="47" spans="1:13" x14ac:dyDescent="0.3">
      <c r="A47" s="19">
        <v>2</v>
      </c>
      <c r="B47" s="44">
        <v>2</v>
      </c>
      <c r="C47" s="44" t="s">
        <v>84</v>
      </c>
      <c r="D47" s="44" t="s">
        <v>33</v>
      </c>
      <c r="E47" s="19" t="s">
        <v>46</v>
      </c>
      <c r="F47" s="19" t="s">
        <v>54</v>
      </c>
      <c r="G47" s="9"/>
      <c r="H47" s="9">
        <f>IF(Table3811[[#This Row],[modality]]=C46,1,0)</f>
        <v>1</v>
      </c>
      <c r="I47" s="9">
        <f>IF(Table3811[[#This Row],[stimulus]]=F48,1,0)</f>
        <v>0</v>
      </c>
      <c r="J47" s="9">
        <f t="shared" si="0"/>
        <v>1</v>
      </c>
    </row>
    <row r="48" spans="1:13" x14ac:dyDescent="0.3">
      <c r="A48" s="8">
        <v>2</v>
      </c>
      <c r="B48" s="42">
        <v>2</v>
      </c>
      <c r="C48" s="42" t="s">
        <v>84</v>
      </c>
      <c r="D48" s="48" t="s">
        <v>4</v>
      </c>
      <c r="E48" s="8" t="s">
        <v>45</v>
      </c>
      <c r="F48" s="8" t="s">
        <v>55</v>
      </c>
      <c r="G48" s="9"/>
      <c r="H48" s="9">
        <f>IF(Table3811[[#This Row],[modality]]=C47,1,0)</f>
        <v>1</v>
      </c>
      <c r="I48" s="9">
        <f>IF(Table3811[[#This Row],[stimulus]]=F49,1,0)</f>
        <v>1</v>
      </c>
      <c r="J48" s="9">
        <f t="shared" si="0"/>
        <v>0</v>
      </c>
    </row>
    <row r="49" spans="1:11" x14ac:dyDescent="0.3">
      <c r="A49" s="19">
        <v>2</v>
      </c>
      <c r="B49" s="41">
        <v>1</v>
      </c>
      <c r="C49" s="41" t="s">
        <v>85</v>
      </c>
      <c r="D49" s="47" t="s">
        <v>44</v>
      </c>
      <c r="E49" s="19" t="s">
        <v>14</v>
      </c>
      <c r="F49" s="19" t="s">
        <v>55</v>
      </c>
      <c r="G49" s="9"/>
      <c r="H49" s="9">
        <f>IF(Table3811[[#This Row],[modality]]=C48,1,0)</f>
        <v>0</v>
      </c>
      <c r="I49" s="9">
        <f>IF(Table3811[[#This Row],[stimulus]]=F50,1,0)</f>
        <v>0</v>
      </c>
      <c r="J49" s="9">
        <f t="shared" si="0"/>
        <v>0</v>
      </c>
    </row>
    <row r="50" spans="1:11" x14ac:dyDescent="0.3">
      <c r="A50" s="19">
        <v>3</v>
      </c>
      <c r="B50" s="41">
        <v>2</v>
      </c>
      <c r="C50" s="41" t="s">
        <v>84</v>
      </c>
      <c r="D50" s="47" t="s">
        <v>33</v>
      </c>
      <c r="E50" s="19" t="s">
        <v>46</v>
      </c>
      <c r="F50" s="19"/>
      <c r="G50" s="55" t="s">
        <v>131</v>
      </c>
      <c r="H50" s="9">
        <f>IF(Table3811[[#This Row],[modality]]=C49,1,0)</f>
        <v>0</v>
      </c>
      <c r="I50" s="9">
        <f>IF(Table3811[[#This Row],[stimulus]]=F51,1,0)</f>
        <v>0</v>
      </c>
      <c r="J50" s="9">
        <f t="shared" si="0"/>
        <v>1</v>
      </c>
    </row>
    <row r="51" spans="1:11" x14ac:dyDescent="0.3">
      <c r="A51" s="16">
        <v>3</v>
      </c>
      <c r="B51" s="41">
        <v>1</v>
      </c>
      <c r="C51" s="41" t="s">
        <v>85</v>
      </c>
      <c r="D51" s="47" t="s">
        <v>4</v>
      </c>
      <c r="E51" s="19" t="s">
        <v>45</v>
      </c>
      <c r="F51" s="19" t="s">
        <v>63</v>
      </c>
      <c r="G51" s="9"/>
      <c r="H51" s="9">
        <f>IF(Table3811[[#This Row],[modality]]=C50,1,0)</f>
        <v>0</v>
      </c>
      <c r="I51" s="9">
        <f>IF(Table3811[[#This Row],[stimulus]]=F52,1,0)</f>
        <v>1</v>
      </c>
      <c r="J51" s="9">
        <f t="shared" si="0"/>
        <v>0</v>
      </c>
    </row>
    <row r="52" spans="1:11" x14ac:dyDescent="0.3">
      <c r="A52" s="11">
        <v>3</v>
      </c>
      <c r="B52" s="42">
        <v>2</v>
      </c>
      <c r="C52" s="42" t="s">
        <v>84</v>
      </c>
      <c r="D52" s="48" t="s">
        <v>44</v>
      </c>
      <c r="E52" s="8" t="s">
        <v>14</v>
      </c>
      <c r="F52" s="8" t="s">
        <v>63</v>
      </c>
      <c r="G52" s="9"/>
      <c r="H52" s="9">
        <f>IF(Table3811[[#This Row],[modality]]=C51,1,0)</f>
        <v>0</v>
      </c>
      <c r="I52" s="9">
        <f>IF(Table3811[[#This Row],[stimulus]]=F53,1,0)</f>
        <v>0</v>
      </c>
      <c r="J52" s="9">
        <f t="shared" si="0"/>
        <v>0</v>
      </c>
    </row>
    <row r="53" spans="1:11" x14ac:dyDescent="0.3">
      <c r="A53" s="19">
        <v>3</v>
      </c>
      <c r="B53" s="41">
        <v>2</v>
      </c>
      <c r="C53" s="41" t="s">
        <v>84</v>
      </c>
      <c r="D53" s="47" t="s">
        <v>33</v>
      </c>
      <c r="E53" s="19" t="s">
        <v>46</v>
      </c>
      <c r="F53" s="19"/>
      <c r="G53" s="55" t="s">
        <v>131</v>
      </c>
      <c r="H53" s="9">
        <f>IF(Table3811[[#This Row],[modality]]=C52,1,0)</f>
        <v>1</v>
      </c>
      <c r="I53" s="9">
        <f>IF(Table3811[[#This Row],[stimulus]]=F54,1,0)</f>
        <v>0</v>
      </c>
      <c r="J53" s="9">
        <f t="shared" si="0"/>
        <v>1</v>
      </c>
    </row>
    <row r="54" spans="1:11" x14ac:dyDescent="0.3">
      <c r="A54" s="16">
        <v>3</v>
      </c>
      <c r="B54" s="41">
        <v>2</v>
      </c>
      <c r="C54" s="41" t="s">
        <v>84</v>
      </c>
      <c r="D54" s="47" t="s">
        <v>4</v>
      </c>
      <c r="E54" s="19" t="s">
        <v>45</v>
      </c>
      <c r="F54" s="19" t="s">
        <v>64</v>
      </c>
      <c r="G54" s="9"/>
      <c r="H54" s="9">
        <f>IF(Table3811[[#This Row],[modality]]=C53,1,0)</f>
        <v>1</v>
      </c>
      <c r="I54" s="9">
        <f>IF(Table3811[[#This Row],[stimulus]]=F55,1,0)</f>
        <v>1</v>
      </c>
      <c r="J54" s="9">
        <f t="shared" si="0"/>
        <v>0</v>
      </c>
    </row>
    <row r="55" spans="1:11" x14ac:dyDescent="0.3">
      <c r="A55" s="11">
        <v>3</v>
      </c>
      <c r="B55" s="42">
        <v>1</v>
      </c>
      <c r="C55" s="42" t="s">
        <v>85</v>
      </c>
      <c r="D55" s="48" t="s">
        <v>44</v>
      </c>
      <c r="E55" s="8" t="s">
        <v>14</v>
      </c>
      <c r="F55" s="8" t="s">
        <v>64</v>
      </c>
      <c r="G55" s="9"/>
      <c r="H55" s="9">
        <f>IF(Table3811[[#This Row],[modality]]=C54,1,0)</f>
        <v>0</v>
      </c>
      <c r="I55" s="9">
        <f>IF(Table3811[[#This Row],[stimulus]]=F56,1,0)</f>
        <v>0</v>
      </c>
      <c r="J55" s="9">
        <f t="shared" si="0"/>
        <v>0</v>
      </c>
    </row>
    <row r="56" spans="1:11" x14ac:dyDescent="0.3">
      <c r="A56" s="16">
        <v>3</v>
      </c>
      <c r="B56" s="45">
        <v>1</v>
      </c>
      <c r="C56" s="45" t="s">
        <v>85</v>
      </c>
      <c r="D56" s="45" t="s">
        <v>33</v>
      </c>
      <c r="E56" s="19" t="s">
        <v>46</v>
      </c>
      <c r="F56" s="19" t="s">
        <v>62</v>
      </c>
      <c r="G56" s="9"/>
      <c r="H56" s="9">
        <f>IF(Table3811[[#This Row],[modality]]=C55,1,0)</f>
        <v>1</v>
      </c>
      <c r="I56" s="9">
        <f>IF(Table3811[[#This Row],[stimulus]]=F57,1,0)</f>
        <v>0</v>
      </c>
      <c r="J56" s="9">
        <f t="shared" si="0"/>
        <v>1</v>
      </c>
    </row>
    <row r="57" spans="1:11" x14ac:dyDescent="0.3">
      <c r="A57" s="11">
        <v>3</v>
      </c>
      <c r="B57" s="42">
        <v>1</v>
      </c>
      <c r="C57" s="42" t="s">
        <v>85</v>
      </c>
      <c r="D57" s="48" t="s">
        <v>4</v>
      </c>
      <c r="E57" s="8" t="s">
        <v>45</v>
      </c>
      <c r="F57" s="8" t="s">
        <v>65</v>
      </c>
      <c r="G57" s="9"/>
      <c r="H57" s="9">
        <f>IF(Table3811[[#This Row],[modality]]=C56,1,0)</f>
        <v>1</v>
      </c>
      <c r="I57" s="9">
        <f>IF(Table3811[[#This Row],[stimulus]]=F58,1,0)</f>
        <v>1</v>
      </c>
      <c r="J57" s="9">
        <f t="shared" si="0"/>
        <v>0</v>
      </c>
    </row>
    <row r="58" spans="1:11" x14ac:dyDescent="0.3">
      <c r="A58" s="16">
        <v>3</v>
      </c>
      <c r="B58" s="41">
        <v>2</v>
      </c>
      <c r="C58" s="41" t="s">
        <v>84</v>
      </c>
      <c r="D58" s="47" t="s">
        <v>44</v>
      </c>
      <c r="E58" s="19" t="s">
        <v>14</v>
      </c>
      <c r="F58" s="19" t="s">
        <v>65</v>
      </c>
      <c r="G58" s="9"/>
      <c r="H58" s="9">
        <f>IF(Table3811[[#This Row],[modality]]=C57,1,0)</f>
        <v>0</v>
      </c>
      <c r="I58" s="9">
        <f>IF(Table3811[[#This Row],[stimulus]]=F59,1,0)</f>
        <v>0</v>
      </c>
      <c r="J58" s="9">
        <f t="shared" si="0"/>
        <v>0</v>
      </c>
    </row>
    <row r="59" spans="1:11" x14ac:dyDescent="0.3">
      <c r="A59" s="11">
        <v>3</v>
      </c>
      <c r="B59" s="45">
        <v>1</v>
      </c>
      <c r="C59" s="45" t="s">
        <v>85</v>
      </c>
      <c r="D59" s="45" t="s">
        <v>33</v>
      </c>
      <c r="E59" s="8" t="s">
        <v>46</v>
      </c>
      <c r="F59" s="8" t="s">
        <v>61</v>
      </c>
      <c r="G59" s="9"/>
      <c r="H59" s="9">
        <f>IF(Table3811[[#This Row],[modality]]=C58,1,0)</f>
        <v>0</v>
      </c>
      <c r="I59" s="9">
        <f>IF(Table3811[[#This Row],[stimulus]]=F60,1,0)</f>
        <v>0</v>
      </c>
      <c r="J59" s="9">
        <f t="shared" si="0"/>
        <v>1</v>
      </c>
    </row>
    <row r="60" spans="1:11" x14ac:dyDescent="0.3">
      <c r="A60" s="16">
        <v>3</v>
      </c>
      <c r="B60" s="41">
        <v>2</v>
      </c>
      <c r="C60" s="41" t="s">
        <v>84</v>
      </c>
      <c r="D60" s="47" t="s">
        <v>4</v>
      </c>
      <c r="E60" s="19" t="s">
        <v>45</v>
      </c>
      <c r="F60" s="19" t="s">
        <v>66</v>
      </c>
      <c r="G60" s="9"/>
      <c r="H60" s="9">
        <f>IF(Table3811[[#This Row],[modality]]=C59,1,0)</f>
        <v>0</v>
      </c>
      <c r="I60" s="9">
        <f>IF(Table3811[[#This Row],[stimulus]]=F61,1,0)</f>
        <v>1</v>
      </c>
      <c r="J60" s="9">
        <f t="shared" si="0"/>
        <v>0</v>
      </c>
    </row>
    <row r="61" spans="1:11" x14ac:dyDescent="0.3">
      <c r="A61" s="11">
        <v>3</v>
      </c>
      <c r="B61" s="42">
        <v>2</v>
      </c>
      <c r="C61" s="42" t="s">
        <v>84</v>
      </c>
      <c r="D61" s="48" t="s">
        <v>44</v>
      </c>
      <c r="E61" s="8" t="s">
        <v>13</v>
      </c>
      <c r="F61" s="8" t="s">
        <v>66</v>
      </c>
      <c r="G61" s="9"/>
      <c r="H61" s="9">
        <f>IF(Table3811[[#This Row],[modality]]=C60,1,0)</f>
        <v>1</v>
      </c>
      <c r="I61" s="9">
        <f>IF(Table3811[[#This Row],[stimulus]]=F62,1,0)</f>
        <v>0</v>
      </c>
      <c r="J61" s="9">
        <f t="shared" si="0"/>
        <v>0</v>
      </c>
      <c r="K61" t="s">
        <v>23</v>
      </c>
    </row>
    <row r="62" spans="1:11" x14ac:dyDescent="0.3">
      <c r="A62" s="16">
        <v>3</v>
      </c>
      <c r="B62" s="45">
        <v>1</v>
      </c>
      <c r="C62" s="45" t="s">
        <v>85</v>
      </c>
      <c r="D62" s="45" t="s">
        <v>33</v>
      </c>
      <c r="E62" s="19" t="s">
        <v>46</v>
      </c>
      <c r="F62" s="19" t="s">
        <v>60</v>
      </c>
      <c r="G62" s="9"/>
      <c r="H62" s="9">
        <f>IF(Table3811[[#This Row],[modality]]=C61,1,0)</f>
        <v>0</v>
      </c>
      <c r="I62" s="9">
        <f>IF(Table3811[[#This Row],[stimulus]]=F63,1,0)</f>
        <v>0</v>
      </c>
      <c r="J62" s="9">
        <f t="shared" si="0"/>
        <v>1</v>
      </c>
    </row>
    <row r="63" spans="1:11" x14ac:dyDescent="0.3">
      <c r="A63" s="11">
        <v>3</v>
      </c>
      <c r="B63" s="45">
        <v>1</v>
      </c>
      <c r="C63" s="45" t="s">
        <v>85</v>
      </c>
      <c r="D63" s="45" t="s">
        <v>33</v>
      </c>
      <c r="E63" s="8" t="s">
        <v>46</v>
      </c>
      <c r="F63" s="8" t="s">
        <v>59</v>
      </c>
      <c r="G63" s="9"/>
      <c r="H63" s="9">
        <f>IF(Table3811[[#This Row],[modality]]=C62,1,0)</f>
        <v>1</v>
      </c>
      <c r="I63" s="9">
        <f>IF(Table3811[[#This Row],[stimulus]]=F64,1,0)</f>
        <v>0</v>
      </c>
      <c r="J63" s="9">
        <f t="shared" si="0"/>
        <v>0</v>
      </c>
    </row>
    <row r="64" spans="1:11" x14ac:dyDescent="0.3">
      <c r="A64" s="16">
        <v>3</v>
      </c>
      <c r="B64" s="45">
        <v>2</v>
      </c>
      <c r="C64" s="45" t="s">
        <v>84</v>
      </c>
      <c r="D64" s="45" t="s">
        <v>33</v>
      </c>
      <c r="E64" s="19" t="s">
        <v>46</v>
      </c>
      <c r="F64" s="19" t="s">
        <v>58</v>
      </c>
      <c r="G64" s="9"/>
      <c r="H64" s="9">
        <f>IF(Table3811[[#This Row],[modality]]=C63,1,0)</f>
        <v>0</v>
      </c>
      <c r="I64" s="9">
        <f>IF(Table3811[[#This Row],[stimulus]]=F65,1,0)</f>
        <v>0</v>
      </c>
      <c r="J64" s="9">
        <f t="shared" si="0"/>
        <v>0</v>
      </c>
    </row>
    <row r="65" spans="1:10" x14ac:dyDescent="0.3">
      <c r="A65" s="11">
        <v>3</v>
      </c>
      <c r="B65" s="42">
        <v>2</v>
      </c>
      <c r="C65" s="42" t="s">
        <v>84</v>
      </c>
      <c r="D65" s="48" t="s">
        <v>4</v>
      </c>
      <c r="E65" s="8" t="s">
        <v>45</v>
      </c>
      <c r="F65" s="8" t="s">
        <v>67</v>
      </c>
      <c r="G65" s="9"/>
      <c r="H65" s="9">
        <f>IF(Table3811[[#This Row],[modality]]=C64,1,0)</f>
        <v>1</v>
      </c>
      <c r="I65" s="9">
        <f>IF(Table3811[[#This Row],[stimulus]]=F66,1,0)</f>
        <v>1</v>
      </c>
      <c r="J65" s="9">
        <f t="shared" si="0"/>
        <v>0</v>
      </c>
    </row>
    <row r="66" spans="1:10" x14ac:dyDescent="0.3">
      <c r="A66" s="16">
        <v>3</v>
      </c>
      <c r="B66" s="41">
        <v>2</v>
      </c>
      <c r="C66" s="41" t="s">
        <v>84</v>
      </c>
      <c r="D66" s="47" t="s">
        <v>44</v>
      </c>
      <c r="E66" s="19" t="s">
        <v>13</v>
      </c>
      <c r="F66" s="19" t="s">
        <v>67</v>
      </c>
      <c r="G66" s="9"/>
      <c r="H66" s="9">
        <f>IF(Table3811[[#This Row],[modality]]=C65,1,0)</f>
        <v>1</v>
      </c>
      <c r="I66" s="9">
        <f>IF(Table3811[[#This Row],[stimulus]]=F67,1,0)</f>
        <v>0</v>
      </c>
      <c r="J66" s="9">
        <f t="shared" ref="J66:J129" si="1">IF(D65="T",1,0)</f>
        <v>0</v>
      </c>
    </row>
    <row r="67" spans="1:10" x14ac:dyDescent="0.3">
      <c r="A67" s="19">
        <v>3</v>
      </c>
      <c r="B67" s="41">
        <v>1</v>
      </c>
      <c r="C67" s="41" t="s">
        <v>85</v>
      </c>
      <c r="D67" s="47" t="s">
        <v>33</v>
      </c>
      <c r="E67" s="19" t="s">
        <v>46</v>
      </c>
      <c r="F67" s="19"/>
      <c r="G67" s="55" t="s">
        <v>131</v>
      </c>
      <c r="H67" s="9">
        <f>IF(Table3811[[#This Row],[modality]]=C66,1,0)</f>
        <v>0</v>
      </c>
      <c r="I67" s="9">
        <f>IF(Table3811[[#This Row],[stimulus]]=F68,1,0)</f>
        <v>0</v>
      </c>
      <c r="J67" s="9">
        <f t="shared" si="1"/>
        <v>1</v>
      </c>
    </row>
    <row r="68" spans="1:10" x14ac:dyDescent="0.3">
      <c r="A68" s="11">
        <v>3</v>
      </c>
      <c r="B68" s="42">
        <v>2</v>
      </c>
      <c r="C68" s="42" t="s">
        <v>84</v>
      </c>
      <c r="D68" s="48" t="s">
        <v>4</v>
      </c>
      <c r="E68" s="8" t="s">
        <v>45</v>
      </c>
      <c r="F68" s="8" t="s">
        <v>68</v>
      </c>
      <c r="G68" s="9"/>
      <c r="H68" s="9">
        <f>IF(Table3811[[#This Row],[modality]]=C67,1,0)</f>
        <v>0</v>
      </c>
      <c r="I68" s="9">
        <f>IF(Table3811[[#This Row],[stimulus]]=F69,1,0)</f>
        <v>1</v>
      </c>
      <c r="J68" s="9">
        <f t="shared" si="1"/>
        <v>0</v>
      </c>
    </row>
    <row r="69" spans="1:10" x14ac:dyDescent="0.3">
      <c r="A69" s="16">
        <v>3</v>
      </c>
      <c r="B69" s="41">
        <v>1</v>
      </c>
      <c r="C69" s="41" t="s">
        <v>85</v>
      </c>
      <c r="D69" s="47" t="s">
        <v>44</v>
      </c>
      <c r="E69" s="19" t="s">
        <v>14</v>
      </c>
      <c r="F69" s="19" t="s">
        <v>68</v>
      </c>
      <c r="G69" s="9"/>
      <c r="H69" s="9">
        <f>IF(Table3811[[#This Row],[modality]]=C68,1,0)</f>
        <v>0</v>
      </c>
      <c r="I69" s="9">
        <f>IF(Table3811[[#This Row],[stimulus]]=F70,1,0)</f>
        <v>0</v>
      </c>
      <c r="J69" s="9">
        <f t="shared" si="1"/>
        <v>0</v>
      </c>
    </row>
    <row r="70" spans="1:10" x14ac:dyDescent="0.3">
      <c r="A70" s="11">
        <v>3</v>
      </c>
      <c r="B70" s="45">
        <v>2</v>
      </c>
      <c r="C70" s="45" t="s">
        <v>84</v>
      </c>
      <c r="D70" s="45" t="s">
        <v>33</v>
      </c>
      <c r="E70" s="8" t="s">
        <v>46</v>
      </c>
      <c r="F70" s="8" t="s">
        <v>57</v>
      </c>
      <c r="G70" s="9"/>
      <c r="H70" s="9">
        <f>IF(Table3811[[#This Row],[modality]]=C69,1,0)</f>
        <v>0</v>
      </c>
      <c r="I70" s="9">
        <f>IF(Table3811[[#This Row],[stimulus]]=F71,1,0)</f>
        <v>0</v>
      </c>
      <c r="J70" s="9">
        <f t="shared" si="1"/>
        <v>1</v>
      </c>
    </row>
    <row r="71" spans="1:10" x14ac:dyDescent="0.3">
      <c r="A71" s="16">
        <v>3</v>
      </c>
      <c r="B71" s="41">
        <v>1</v>
      </c>
      <c r="C71" s="41" t="s">
        <v>85</v>
      </c>
      <c r="D71" s="47" t="s">
        <v>4</v>
      </c>
      <c r="E71" s="19" t="s">
        <v>45</v>
      </c>
      <c r="F71" s="19" t="s">
        <v>69</v>
      </c>
      <c r="G71" s="9"/>
      <c r="H71" s="9">
        <f>IF(Table3811[[#This Row],[modality]]=C70,1,0)</f>
        <v>0</v>
      </c>
      <c r="I71" s="9">
        <f>IF(Table3811[[#This Row],[stimulus]]=F72,1,0)</f>
        <v>1</v>
      </c>
      <c r="J71" s="9">
        <f t="shared" si="1"/>
        <v>0</v>
      </c>
    </row>
    <row r="72" spans="1:10" x14ac:dyDescent="0.3">
      <c r="A72" s="11">
        <v>3</v>
      </c>
      <c r="B72" s="42">
        <v>1</v>
      </c>
      <c r="C72" s="42" t="s">
        <v>85</v>
      </c>
      <c r="D72" s="48" t="s">
        <v>44</v>
      </c>
      <c r="E72" s="8" t="s">
        <v>13</v>
      </c>
      <c r="F72" s="8" t="s">
        <v>69</v>
      </c>
      <c r="G72" s="9"/>
      <c r="H72" s="9">
        <f>IF(Table3811[[#This Row],[modality]]=C71,1,0)</f>
        <v>1</v>
      </c>
      <c r="I72" s="9">
        <f>IF(Table3811[[#This Row],[stimulus]]=F73,1,0)</f>
        <v>0</v>
      </c>
      <c r="J72" s="9">
        <f t="shared" si="1"/>
        <v>0</v>
      </c>
    </row>
    <row r="73" spans="1:10" x14ac:dyDescent="0.3">
      <c r="A73" s="16">
        <v>3</v>
      </c>
      <c r="B73" s="45">
        <v>2</v>
      </c>
      <c r="C73" s="45" t="s">
        <v>84</v>
      </c>
      <c r="D73" s="45" t="s">
        <v>33</v>
      </c>
      <c r="E73" s="19" t="s">
        <v>46</v>
      </c>
      <c r="F73" s="19" t="s">
        <v>56</v>
      </c>
      <c r="G73" s="9"/>
      <c r="H73" s="9">
        <f>IF(Table3811[[#This Row],[modality]]=C72,1,0)</f>
        <v>0</v>
      </c>
      <c r="I73" s="9">
        <f>IF(Table3811[[#This Row],[stimulus]]=F74,1,0)</f>
        <v>0</v>
      </c>
      <c r="J73" s="9">
        <f t="shared" si="1"/>
        <v>1</v>
      </c>
    </row>
    <row r="74" spans="1:10" x14ac:dyDescent="0.3">
      <c r="A74" s="11">
        <v>3</v>
      </c>
      <c r="B74" s="45">
        <v>1</v>
      </c>
      <c r="C74" s="45" t="s">
        <v>85</v>
      </c>
      <c r="D74" s="45" t="s">
        <v>33</v>
      </c>
      <c r="E74" s="8" t="s">
        <v>46</v>
      </c>
      <c r="F74" s="8" t="s">
        <v>55</v>
      </c>
      <c r="G74" s="9"/>
      <c r="H74" s="9">
        <f>IF(Table3811[[#This Row],[modality]]=C73,1,0)</f>
        <v>0</v>
      </c>
      <c r="I74" s="9">
        <f>IF(Table3811[[#This Row],[stimulus]]=F75,1,0)</f>
        <v>0</v>
      </c>
      <c r="J74" s="9">
        <f t="shared" si="1"/>
        <v>0</v>
      </c>
    </row>
    <row r="75" spans="1:10" x14ac:dyDescent="0.3">
      <c r="A75" s="16">
        <v>3</v>
      </c>
      <c r="B75" s="41">
        <v>1</v>
      </c>
      <c r="C75" s="41" t="s">
        <v>85</v>
      </c>
      <c r="D75" s="47" t="s">
        <v>4</v>
      </c>
      <c r="E75" s="19" t="s">
        <v>45</v>
      </c>
      <c r="F75" s="19" t="s">
        <v>70</v>
      </c>
      <c r="G75" s="9"/>
      <c r="H75" s="9">
        <f>IF(Table3811[[#This Row],[modality]]=C74,1,0)</f>
        <v>1</v>
      </c>
      <c r="I75" s="9">
        <f>IF(Table3811[[#This Row],[stimulus]]=F76,1,0)</f>
        <v>1</v>
      </c>
      <c r="J75" s="9">
        <f t="shared" si="1"/>
        <v>0</v>
      </c>
    </row>
    <row r="76" spans="1:10" x14ac:dyDescent="0.3">
      <c r="A76" s="11">
        <v>3</v>
      </c>
      <c r="B76" s="42">
        <v>1</v>
      </c>
      <c r="C76" s="42" t="s">
        <v>85</v>
      </c>
      <c r="D76" s="48" t="s">
        <v>44</v>
      </c>
      <c r="E76" s="8" t="s">
        <v>13</v>
      </c>
      <c r="F76" s="8" t="s">
        <v>70</v>
      </c>
      <c r="G76" s="9"/>
      <c r="H76" s="9">
        <f>IF(Table3811[[#This Row],[modality]]=C75,1,0)</f>
        <v>1</v>
      </c>
      <c r="I76" s="9">
        <f>IF(Table3811[[#This Row],[stimulus]]=F77,1,0)</f>
        <v>0</v>
      </c>
      <c r="J76" s="9">
        <f t="shared" si="1"/>
        <v>0</v>
      </c>
    </row>
    <row r="77" spans="1:10" x14ac:dyDescent="0.3">
      <c r="A77" s="8">
        <v>4</v>
      </c>
      <c r="B77" s="46">
        <v>2</v>
      </c>
      <c r="C77" s="46" t="s">
        <v>84</v>
      </c>
      <c r="D77" s="46" t="s">
        <v>33</v>
      </c>
      <c r="E77" s="8" t="s">
        <v>46</v>
      </c>
      <c r="F77" s="8" t="s">
        <v>63</v>
      </c>
      <c r="G77" s="9"/>
      <c r="H77" s="9">
        <f>IF(Table3811[[#This Row],[modality]]=C76,1,0)</f>
        <v>0</v>
      </c>
      <c r="I77" s="9">
        <f>IF(Table3811[[#This Row],[stimulus]]=F78,1,0)</f>
        <v>0</v>
      </c>
      <c r="J77" s="9">
        <f t="shared" si="1"/>
        <v>1</v>
      </c>
    </row>
    <row r="78" spans="1:10" x14ac:dyDescent="0.3">
      <c r="A78" s="19">
        <v>4</v>
      </c>
      <c r="B78" s="41">
        <v>1</v>
      </c>
      <c r="C78" s="41" t="s">
        <v>85</v>
      </c>
      <c r="D78" s="47" t="s">
        <v>4</v>
      </c>
      <c r="E78" s="19" t="s">
        <v>45</v>
      </c>
      <c r="F78" s="19" t="s">
        <v>78</v>
      </c>
      <c r="G78" s="9"/>
      <c r="H78" s="9">
        <f>IF(Table3811[[#This Row],[modality]]=C77,1,0)</f>
        <v>0</v>
      </c>
      <c r="I78" s="9">
        <f>IF(Table3811[[#This Row],[stimulus]]=F79,1,0)</f>
        <v>1</v>
      </c>
      <c r="J78" s="9">
        <f t="shared" si="1"/>
        <v>0</v>
      </c>
    </row>
    <row r="79" spans="1:10" x14ac:dyDescent="0.3">
      <c r="A79" s="8">
        <v>4</v>
      </c>
      <c r="B79" s="42">
        <v>1</v>
      </c>
      <c r="C79" s="42" t="s">
        <v>85</v>
      </c>
      <c r="D79" s="48" t="s">
        <v>44</v>
      </c>
      <c r="E79" s="8" t="s">
        <v>13</v>
      </c>
      <c r="F79" s="8" t="s">
        <v>78</v>
      </c>
      <c r="G79" s="9"/>
      <c r="H79" s="9">
        <f>IF(Table3811[[#This Row],[modality]]=C78,1,0)</f>
        <v>1</v>
      </c>
      <c r="I79" s="9">
        <f>IF(Table3811[[#This Row],[stimulus]]=F80,1,0)</f>
        <v>0</v>
      </c>
      <c r="J79" s="9">
        <f t="shared" si="1"/>
        <v>0</v>
      </c>
    </row>
    <row r="80" spans="1:10" x14ac:dyDescent="0.3">
      <c r="A80" s="19">
        <v>4</v>
      </c>
      <c r="B80" s="41">
        <v>1</v>
      </c>
      <c r="C80" s="41" t="s">
        <v>85</v>
      </c>
      <c r="D80" s="47" t="s">
        <v>4</v>
      </c>
      <c r="E80" s="19" t="s">
        <v>45</v>
      </c>
      <c r="F80" s="19" t="s">
        <v>77</v>
      </c>
      <c r="G80" s="9"/>
      <c r="H80" s="9">
        <f>IF(Table3811[[#This Row],[modality]]=C79,1,0)</f>
        <v>1</v>
      </c>
      <c r="I80" s="9">
        <f>IF(Table3811[[#This Row],[stimulus]]=F81,1,0)</f>
        <v>1</v>
      </c>
      <c r="J80" s="9">
        <f t="shared" si="1"/>
        <v>1</v>
      </c>
    </row>
    <row r="81" spans="1:11" x14ac:dyDescent="0.3">
      <c r="A81" s="8">
        <v>4</v>
      </c>
      <c r="B81" s="42">
        <v>2</v>
      </c>
      <c r="C81" s="42" t="s">
        <v>84</v>
      </c>
      <c r="D81" s="48" t="s">
        <v>44</v>
      </c>
      <c r="E81" s="8" t="s">
        <v>14</v>
      </c>
      <c r="F81" s="8" t="s">
        <v>77</v>
      </c>
      <c r="G81" s="9"/>
      <c r="H81" s="9">
        <f>IF(Table3811[[#This Row],[modality]]=C80,1,0)</f>
        <v>0</v>
      </c>
      <c r="I81" s="9">
        <f>IF(Table3811[[#This Row],[stimulus]]=F82,1,0)</f>
        <v>0</v>
      </c>
      <c r="J81" s="9">
        <f t="shared" si="1"/>
        <v>0</v>
      </c>
    </row>
    <row r="82" spans="1:11" x14ac:dyDescent="0.3">
      <c r="A82" s="19">
        <v>4</v>
      </c>
      <c r="B82" s="46">
        <v>1</v>
      </c>
      <c r="C82" s="46" t="s">
        <v>85</v>
      </c>
      <c r="D82" s="46" t="s">
        <v>33</v>
      </c>
      <c r="E82" s="19" t="s">
        <v>46</v>
      </c>
      <c r="F82" s="19" t="s">
        <v>64</v>
      </c>
      <c r="G82" s="9"/>
      <c r="H82" s="9">
        <f>IF(Table3811[[#This Row],[modality]]=C81,1,0)</f>
        <v>0</v>
      </c>
      <c r="I82" s="9">
        <f>IF(Table3811[[#This Row],[stimulus]]=F83,1,0)</f>
        <v>0</v>
      </c>
      <c r="J82" s="9">
        <f t="shared" si="1"/>
        <v>1</v>
      </c>
    </row>
    <row r="83" spans="1:11" x14ac:dyDescent="0.3">
      <c r="A83" s="8">
        <v>4</v>
      </c>
      <c r="B83" s="46">
        <v>1</v>
      </c>
      <c r="C83" s="46" t="s">
        <v>85</v>
      </c>
      <c r="D83" s="46" t="s">
        <v>33</v>
      </c>
      <c r="E83" s="8" t="s">
        <v>46</v>
      </c>
      <c r="F83" s="8" t="s">
        <v>65</v>
      </c>
      <c r="G83" s="9"/>
      <c r="H83" s="9">
        <f>IF(Table3811[[#This Row],[modality]]=C82,1,0)</f>
        <v>1</v>
      </c>
      <c r="I83" s="9">
        <f>IF(Table3811[[#This Row],[stimulus]]=F84,1,0)</f>
        <v>0</v>
      </c>
      <c r="J83" s="9">
        <f t="shared" si="1"/>
        <v>0</v>
      </c>
    </row>
    <row r="84" spans="1:11" x14ac:dyDescent="0.3">
      <c r="A84" s="19">
        <v>4</v>
      </c>
      <c r="B84" s="41">
        <v>2</v>
      </c>
      <c r="C84" s="41" t="s">
        <v>84</v>
      </c>
      <c r="D84" s="47" t="s">
        <v>4</v>
      </c>
      <c r="E84" s="19" t="s">
        <v>45</v>
      </c>
      <c r="F84" s="19" t="s">
        <v>76</v>
      </c>
      <c r="G84" s="9"/>
      <c r="H84" s="9">
        <f>IF(Table3811[[#This Row],[modality]]=C83,1,0)</f>
        <v>0</v>
      </c>
      <c r="I84" s="9">
        <f>IF(Table3811[[#This Row],[stimulus]]=F85,1,0)</f>
        <v>1</v>
      </c>
      <c r="J84" s="9">
        <f t="shared" si="1"/>
        <v>0</v>
      </c>
    </row>
    <row r="85" spans="1:11" x14ac:dyDescent="0.3">
      <c r="A85" s="8">
        <v>4</v>
      </c>
      <c r="B85" s="42">
        <v>2</v>
      </c>
      <c r="C85" s="42" t="s">
        <v>84</v>
      </c>
      <c r="D85" s="48" t="s">
        <v>44</v>
      </c>
      <c r="E85" s="8" t="s">
        <v>13</v>
      </c>
      <c r="F85" s="8" t="s">
        <v>76</v>
      </c>
      <c r="G85" s="9"/>
      <c r="H85" s="9">
        <f>IF(Table3811[[#This Row],[modality]]=C84,1,0)</f>
        <v>1</v>
      </c>
      <c r="I85" s="9">
        <f>IF(Table3811[[#This Row],[stimulus]]=F86,1,0)</f>
        <v>0</v>
      </c>
      <c r="J85" s="9">
        <f t="shared" si="1"/>
        <v>0</v>
      </c>
    </row>
    <row r="86" spans="1:11" x14ac:dyDescent="0.3">
      <c r="A86" s="19">
        <v>4</v>
      </c>
      <c r="B86" s="41">
        <v>2</v>
      </c>
      <c r="C86" s="41" t="s">
        <v>84</v>
      </c>
      <c r="D86" s="47" t="s">
        <v>4</v>
      </c>
      <c r="E86" s="19" t="s">
        <v>45</v>
      </c>
      <c r="F86" s="19" t="s">
        <v>75</v>
      </c>
      <c r="G86" s="9"/>
      <c r="H86" s="9">
        <f>IF(Table3811[[#This Row],[modality]]=C85,1,0)</f>
        <v>1</v>
      </c>
      <c r="I86" s="9">
        <f>IF(Table3811[[#This Row],[stimulus]]=F87,1,0)</f>
        <v>1</v>
      </c>
      <c r="J86" s="9">
        <f t="shared" si="1"/>
        <v>1</v>
      </c>
    </row>
    <row r="87" spans="1:11" x14ac:dyDescent="0.3">
      <c r="A87" s="8">
        <v>4</v>
      </c>
      <c r="B87" s="42">
        <v>1</v>
      </c>
      <c r="C87" s="42" t="s">
        <v>85</v>
      </c>
      <c r="D87" s="48" t="s">
        <v>44</v>
      </c>
      <c r="E87" s="8" t="s">
        <v>14</v>
      </c>
      <c r="F87" s="8" t="s">
        <v>75</v>
      </c>
      <c r="G87" s="9"/>
      <c r="H87" s="9">
        <f>IF(Table3811[[#This Row],[modality]]=C86,1,0)</f>
        <v>0</v>
      </c>
      <c r="I87" s="9">
        <f>IF(Table3811[[#This Row],[stimulus]]=F88,1,0)</f>
        <v>0</v>
      </c>
      <c r="J87" s="9">
        <f t="shared" si="1"/>
        <v>0</v>
      </c>
    </row>
    <row r="88" spans="1:11" x14ac:dyDescent="0.3">
      <c r="A88" s="19">
        <v>4</v>
      </c>
      <c r="B88" s="46">
        <v>1</v>
      </c>
      <c r="C88" s="46" t="s">
        <v>85</v>
      </c>
      <c r="D88" s="46" t="s">
        <v>33</v>
      </c>
      <c r="E88" s="19" t="s">
        <v>46</v>
      </c>
      <c r="F88" s="19" t="s">
        <v>66</v>
      </c>
      <c r="G88" s="9"/>
      <c r="H88" s="9">
        <f>IF(Table3811[[#This Row],[modality]]=C87,1,0)</f>
        <v>1</v>
      </c>
      <c r="I88" s="9">
        <f>IF(Table3811[[#This Row],[stimulus]]=F89,1,0)</f>
        <v>0</v>
      </c>
      <c r="J88" s="9">
        <f t="shared" si="1"/>
        <v>1</v>
      </c>
    </row>
    <row r="89" spans="1:11" x14ac:dyDescent="0.3">
      <c r="A89" s="8">
        <v>4</v>
      </c>
      <c r="B89" s="42">
        <v>1</v>
      </c>
      <c r="C89" s="42" t="s">
        <v>85</v>
      </c>
      <c r="D89" s="48" t="s">
        <v>4</v>
      </c>
      <c r="E89" s="8" t="s">
        <v>45</v>
      </c>
      <c r="F89" s="8" t="s">
        <v>74</v>
      </c>
      <c r="G89" s="9"/>
      <c r="H89" s="9">
        <f>IF(Table3811[[#This Row],[modality]]=C88,1,0)</f>
        <v>1</v>
      </c>
      <c r="I89" s="9">
        <f>IF(Table3811[[#This Row],[stimulus]]=F90,1,0)</f>
        <v>1</v>
      </c>
      <c r="J89" s="9">
        <f t="shared" si="1"/>
        <v>0</v>
      </c>
    </row>
    <row r="90" spans="1:11" x14ac:dyDescent="0.3">
      <c r="A90" s="19">
        <v>4</v>
      </c>
      <c r="B90" s="41">
        <v>2</v>
      </c>
      <c r="C90" s="41" t="s">
        <v>84</v>
      </c>
      <c r="D90" s="47" t="s">
        <v>44</v>
      </c>
      <c r="E90" s="19" t="s">
        <v>14</v>
      </c>
      <c r="F90" s="19" t="s">
        <v>74</v>
      </c>
      <c r="G90" s="9"/>
      <c r="H90" s="9">
        <f>IF(Table3811[[#This Row],[modality]]=C89,1,0)</f>
        <v>0</v>
      </c>
      <c r="I90" s="9">
        <f>IF(Table3811[[#This Row],[stimulus]]=F91,1,0)</f>
        <v>0</v>
      </c>
      <c r="J90" s="9">
        <f t="shared" si="1"/>
        <v>0</v>
      </c>
    </row>
    <row r="91" spans="1:11" x14ac:dyDescent="0.3">
      <c r="A91" s="8">
        <v>4</v>
      </c>
      <c r="B91" s="42">
        <v>2</v>
      </c>
      <c r="C91" s="42" t="s">
        <v>84</v>
      </c>
      <c r="D91" s="48" t="s">
        <v>4</v>
      </c>
      <c r="E91" s="8" t="s">
        <v>45</v>
      </c>
      <c r="F91" s="8" t="s">
        <v>73</v>
      </c>
      <c r="G91" s="9"/>
      <c r="H91" s="9">
        <f>IF(Table3811[[#This Row],[modality]]=C90,1,0)</f>
        <v>1</v>
      </c>
      <c r="I91" s="9">
        <f>IF(Table3811[[#This Row],[stimulus]]=F92,1,0)</f>
        <v>1</v>
      </c>
      <c r="J91" s="9">
        <f t="shared" si="1"/>
        <v>1</v>
      </c>
    </row>
    <row r="92" spans="1:11" x14ac:dyDescent="0.3">
      <c r="A92" s="19">
        <v>4</v>
      </c>
      <c r="B92" s="41">
        <v>2</v>
      </c>
      <c r="C92" s="41" t="s">
        <v>84</v>
      </c>
      <c r="D92" s="47" t="s">
        <v>44</v>
      </c>
      <c r="E92" s="19" t="s">
        <v>13</v>
      </c>
      <c r="F92" s="19" t="s">
        <v>73</v>
      </c>
      <c r="G92" s="9"/>
      <c r="H92" s="9">
        <f>IF(Table3811[[#This Row],[modality]]=C91,1,0)</f>
        <v>1</v>
      </c>
      <c r="I92" s="9">
        <f>IF(Table3811[[#This Row],[stimulus]]=F93,1,0)</f>
        <v>0</v>
      </c>
      <c r="J92" s="9">
        <f t="shared" si="1"/>
        <v>0</v>
      </c>
    </row>
    <row r="93" spans="1:11" x14ac:dyDescent="0.3">
      <c r="A93" s="8">
        <v>4</v>
      </c>
      <c r="B93" s="46">
        <v>1</v>
      </c>
      <c r="C93" s="46" t="s">
        <v>85</v>
      </c>
      <c r="D93" s="46" t="s">
        <v>33</v>
      </c>
      <c r="E93" s="8" t="s">
        <v>46</v>
      </c>
      <c r="F93" s="8" t="s">
        <v>67</v>
      </c>
      <c r="G93" s="9"/>
      <c r="H93" s="9">
        <f>IF(Table3811[[#This Row],[modality]]=C92,1,0)</f>
        <v>0</v>
      </c>
      <c r="I93" s="9">
        <f>IF(Table3811[[#This Row],[stimulus]]=F94,1,0)</f>
        <v>0</v>
      </c>
      <c r="J93" s="9">
        <f t="shared" si="1"/>
        <v>1</v>
      </c>
    </row>
    <row r="94" spans="1:11" x14ac:dyDescent="0.3">
      <c r="A94" s="8">
        <v>4</v>
      </c>
      <c r="B94" s="46">
        <v>2</v>
      </c>
      <c r="C94" s="46" t="s">
        <v>84</v>
      </c>
      <c r="D94" s="46" t="s">
        <v>33</v>
      </c>
      <c r="E94" s="8" t="s">
        <v>46</v>
      </c>
      <c r="F94" s="8" t="s">
        <v>69</v>
      </c>
      <c r="G94" s="9"/>
      <c r="H94" s="9">
        <f>IF(Table3811[[#This Row],[modality]]=C93,1,0)</f>
        <v>0</v>
      </c>
      <c r="I94" s="9">
        <f>IF(Table3811[[#This Row],[stimulus]]=F95,1,0)</f>
        <v>0</v>
      </c>
      <c r="J94" s="9">
        <f t="shared" si="1"/>
        <v>0</v>
      </c>
    </row>
    <row r="95" spans="1:11" x14ac:dyDescent="0.3">
      <c r="A95" s="19">
        <v>4</v>
      </c>
      <c r="B95" s="41">
        <v>2</v>
      </c>
      <c r="C95" s="41" t="s">
        <v>84</v>
      </c>
      <c r="D95" s="47" t="s">
        <v>4</v>
      </c>
      <c r="E95" s="19" t="s">
        <v>45</v>
      </c>
      <c r="F95" s="19" t="s">
        <v>72</v>
      </c>
      <c r="G95" s="9"/>
      <c r="H95" s="9">
        <f>IF(Table3811[[#This Row],[modality]]=C94,1,0)</f>
        <v>1</v>
      </c>
      <c r="I95" s="9">
        <f>IF(Table3811[[#This Row],[stimulus]]=F96,1,0)</f>
        <v>1</v>
      </c>
      <c r="J95" s="9">
        <f t="shared" si="1"/>
        <v>0</v>
      </c>
    </row>
    <row r="96" spans="1:11" x14ac:dyDescent="0.3">
      <c r="A96" s="8">
        <v>4</v>
      </c>
      <c r="B96" s="42">
        <v>1</v>
      </c>
      <c r="C96" s="42" t="s">
        <v>85</v>
      </c>
      <c r="D96" s="48" t="s">
        <v>44</v>
      </c>
      <c r="E96" s="8" t="s">
        <v>14</v>
      </c>
      <c r="F96" s="8" t="s">
        <v>72</v>
      </c>
      <c r="G96" s="9"/>
      <c r="H96" s="9">
        <f>IF(Table3811[[#This Row],[modality]]=C95,1,0)</f>
        <v>0</v>
      </c>
      <c r="I96" s="9">
        <f>IF(Table3811[[#This Row],[stimulus]]=F97,1,0)</f>
        <v>0</v>
      </c>
      <c r="J96" s="9">
        <f t="shared" si="1"/>
        <v>0</v>
      </c>
      <c r="K96" t="s">
        <v>23</v>
      </c>
    </row>
    <row r="97" spans="1:10" x14ac:dyDescent="0.3">
      <c r="A97" s="8">
        <v>4</v>
      </c>
      <c r="B97" s="42">
        <v>1</v>
      </c>
      <c r="C97" s="42" t="s">
        <v>85</v>
      </c>
      <c r="D97" s="48" t="s">
        <v>4</v>
      </c>
      <c r="E97" s="8" t="s">
        <v>45</v>
      </c>
      <c r="F97" s="8" t="s">
        <v>71</v>
      </c>
      <c r="G97" s="9"/>
      <c r="H97" s="9">
        <f>IF(Table3811[[#This Row],[modality]]=C96,1,0)</f>
        <v>1</v>
      </c>
      <c r="I97" s="9">
        <f>IF(Table3811[[#This Row],[stimulus]]=F98,1,0)</f>
        <v>1</v>
      </c>
      <c r="J97" s="9">
        <f t="shared" si="1"/>
        <v>1</v>
      </c>
    </row>
    <row r="98" spans="1:10" x14ac:dyDescent="0.3">
      <c r="A98" s="19">
        <v>4</v>
      </c>
      <c r="B98" s="41">
        <v>1</v>
      </c>
      <c r="C98" s="41" t="s">
        <v>85</v>
      </c>
      <c r="D98" s="47" t="s">
        <v>44</v>
      </c>
      <c r="E98" s="19" t="s">
        <v>13</v>
      </c>
      <c r="F98" s="19" t="s">
        <v>71</v>
      </c>
      <c r="G98" s="9"/>
      <c r="H98" s="9">
        <f>IF(Table3811[[#This Row],[modality]]=C97,1,0)</f>
        <v>1</v>
      </c>
      <c r="I98" s="9">
        <f>IF(Table3811[[#This Row],[stimulus]]=F99,1,0)</f>
        <v>0</v>
      </c>
      <c r="J98" s="9">
        <f t="shared" si="1"/>
        <v>0</v>
      </c>
    </row>
    <row r="99" spans="1:10" x14ac:dyDescent="0.3">
      <c r="A99" s="19">
        <v>4</v>
      </c>
      <c r="B99" s="46">
        <v>1</v>
      </c>
      <c r="C99" s="46" t="s">
        <v>84</v>
      </c>
      <c r="D99" s="46" t="s">
        <v>33</v>
      </c>
      <c r="E99" s="19" t="s">
        <v>46</v>
      </c>
      <c r="F99" s="19" t="s">
        <v>70</v>
      </c>
      <c r="G99" s="9"/>
      <c r="H99" s="9">
        <f>IF(Table3811[[#This Row],[modality]]=C98,1,0)</f>
        <v>0</v>
      </c>
      <c r="I99" s="9">
        <f>IF(Table3811[[#This Row],[stimulus]]=F100,1,0)</f>
        <v>0</v>
      </c>
      <c r="J99" s="9">
        <f t="shared" si="1"/>
        <v>1</v>
      </c>
    </row>
    <row r="100" spans="1:10" x14ac:dyDescent="0.3">
      <c r="A100" s="19">
        <v>4</v>
      </c>
      <c r="B100" s="46">
        <v>1</v>
      </c>
      <c r="C100" s="46" t="s">
        <v>85</v>
      </c>
      <c r="D100" s="46" t="s">
        <v>33</v>
      </c>
      <c r="E100" s="19" t="s">
        <v>46</v>
      </c>
      <c r="F100" s="19" t="s">
        <v>68</v>
      </c>
      <c r="G100" s="9"/>
      <c r="H100" s="9">
        <f>IF(Table3811[[#This Row],[modality]]=C99,1,0)</f>
        <v>0</v>
      </c>
      <c r="I100" s="9">
        <f>IF(Table3811[[#This Row],[stimulus]]=F101,1,0)</f>
        <v>0</v>
      </c>
      <c r="J100" s="9">
        <f t="shared" si="1"/>
        <v>0</v>
      </c>
    </row>
    <row r="101" spans="1:10" x14ac:dyDescent="0.3">
      <c r="A101" t="s">
        <v>29</v>
      </c>
      <c r="G101" s="9"/>
      <c r="H101" s="9">
        <f>IF(Table3811[[#This Row],[modality]]=C100,1,0)</f>
        <v>0</v>
      </c>
      <c r="I101" s="9">
        <f>IF(Table3811[[#This Row],[stimulus]]=F102,1,0)</f>
        <v>0</v>
      </c>
      <c r="J101" s="9">
        <f t="shared" si="1"/>
        <v>0</v>
      </c>
    </row>
    <row r="102" spans="1:10" x14ac:dyDescent="0.3">
      <c r="A102" s="16">
        <v>1</v>
      </c>
      <c r="B102" s="47">
        <v>2</v>
      </c>
      <c r="C102" s="47" t="s">
        <v>84</v>
      </c>
      <c r="D102" s="47" t="s">
        <v>4</v>
      </c>
      <c r="E102" s="19" t="s">
        <v>45</v>
      </c>
      <c r="F102" s="19" t="s">
        <v>50</v>
      </c>
      <c r="G102" s="9"/>
      <c r="H102" s="9">
        <f>IF(Table3811[[#This Row],[modality]]=C101,1,0)</f>
        <v>0</v>
      </c>
      <c r="I102" s="9">
        <f>IF(Table3811[[#This Row],[stimulus]]=F103,1,0)</f>
        <v>1</v>
      </c>
      <c r="J102" s="9">
        <f t="shared" si="1"/>
        <v>0</v>
      </c>
    </row>
    <row r="103" spans="1:10" x14ac:dyDescent="0.3">
      <c r="A103" s="11">
        <v>1</v>
      </c>
      <c r="B103" s="48">
        <v>2</v>
      </c>
      <c r="C103" s="47" t="s">
        <v>84</v>
      </c>
      <c r="D103" s="48" t="s">
        <v>44</v>
      </c>
      <c r="E103" s="8" t="s">
        <v>13</v>
      </c>
      <c r="F103" s="8" t="s">
        <v>50</v>
      </c>
      <c r="G103" s="9"/>
      <c r="H103" s="9">
        <f>IF(Table3811[[#This Row],[modality]]=C102,1,0)</f>
        <v>1</v>
      </c>
      <c r="I103" s="9">
        <f>IF(Table3811[[#This Row],[stimulus]]=F104,1,0)</f>
        <v>0</v>
      </c>
      <c r="J103" s="9">
        <f t="shared" si="1"/>
        <v>0</v>
      </c>
    </row>
    <row r="104" spans="1:10" x14ac:dyDescent="0.3">
      <c r="A104" s="16">
        <v>1</v>
      </c>
      <c r="B104" s="43">
        <v>1</v>
      </c>
      <c r="C104" s="49" t="s">
        <v>85</v>
      </c>
      <c r="D104" s="51" t="s">
        <v>33</v>
      </c>
      <c r="E104" s="19" t="s">
        <v>46</v>
      </c>
      <c r="F104" s="19" t="s">
        <v>76</v>
      </c>
      <c r="G104" s="9"/>
      <c r="H104" s="9">
        <f>IF(Table3811[[#This Row],[modality]]=C103,1,0)</f>
        <v>0</v>
      </c>
      <c r="I104" s="9">
        <f>IF(Table3811[[#This Row],[stimulus]]=F105,1,0)</f>
        <v>0</v>
      </c>
      <c r="J104" s="9">
        <f t="shared" si="1"/>
        <v>1</v>
      </c>
    </row>
    <row r="105" spans="1:10" x14ac:dyDescent="0.3">
      <c r="A105" s="16">
        <v>1</v>
      </c>
      <c r="B105" s="47">
        <v>2</v>
      </c>
      <c r="C105" s="47" t="s">
        <v>84</v>
      </c>
      <c r="D105" s="47" t="s">
        <v>4</v>
      </c>
      <c r="E105" s="19" t="s">
        <v>45</v>
      </c>
      <c r="F105" s="19" t="s">
        <v>49</v>
      </c>
      <c r="G105" s="9"/>
      <c r="H105" s="9">
        <f>IF(Table3811[[#This Row],[modality]]=C104,1,0)</f>
        <v>0</v>
      </c>
      <c r="I105" s="9">
        <f>IF(Table3811[[#This Row],[stimulus]]=F106,1,0)</f>
        <v>1</v>
      </c>
      <c r="J105" s="9">
        <f t="shared" si="1"/>
        <v>0</v>
      </c>
    </row>
    <row r="106" spans="1:10" x14ac:dyDescent="0.3">
      <c r="A106" s="11">
        <v>1</v>
      </c>
      <c r="B106" s="48">
        <v>2</v>
      </c>
      <c r="C106" s="47" t="s">
        <v>84</v>
      </c>
      <c r="D106" s="48" t="s">
        <v>44</v>
      </c>
      <c r="E106" s="8" t="s">
        <v>13</v>
      </c>
      <c r="F106" s="8" t="s">
        <v>49</v>
      </c>
      <c r="G106" s="9"/>
      <c r="H106" s="9">
        <f>IF(Table3811[[#This Row],[modality]]=C105,1,0)</f>
        <v>1</v>
      </c>
      <c r="I106" s="9">
        <f>IF(Table3811[[#This Row],[stimulus]]=F107,1,0)</f>
        <v>0</v>
      </c>
      <c r="J106" s="9">
        <f t="shared" si="1"/>
        <v>0</v>
      </c>
    </row>
    <row r="107" spans="1:10" x14ac:dyDescent="0.3">
      <c r="A107" s="19">
        <v>1</v>
      </c>
      <c r="B107" s="48">
        <v>1</v>
      </c>
      <c r="C107" s="47" t="s">
        <v>85</v>
      </c>
      <c r="D107" s="48" t="s">
        <v>33</v>
      </c>
      <c r="E107" s="19" t="s">
        <v>46</v>
      </c>
      <c r="F107" s="19"/>
      <c r="G107" s="55" t="s">
        <v>131</v>
      </c>
      <c r="H107" s="9">
        <f>IF(Table3811[[#This Row],[modality]]=C106,1,0)</f>
        <v>0</v>
      </c>
      <c r="I107" s="9">
        <f>IF(Table3811[[#This Row],[stimulus]]=F108,1,0)</f>
        <v>0</v>
      </c>
      <c r="J107" s="9">
        <f t="shared" si="1"/>
        <v>1</v>
      </c>
    </row>
    <row r="108" spans="1:10" x14ac:dyDescent="0.3">
      <c r="A108" s="11">
        <v>1</v>
      </c>
      <c r="B108" s="43">
        <v>2</v>
      </c>
      <c r="C108" s="43" t="s">
        <v>84</v>
      </c>
      <c r="D108" s="51" t="s">
        <v>33</v>
      </c>
      <c r="E108" s="8" t="s">
        <v>46</v>
      </c>
      <c r="F108" s="8" t="s">
        <v>71</v>
      </c>
      <c r="G108" s="9"/>
      <c r="H108" s="9">
        <f>IF(Table3811[[#This Row],[modality]]=C107,1,0)</f>
        <v>0</v>
      </c>
      <c r="I108" s="9">
        <f>IF(Table3811[[#This Row],[stimulus]]=F109,1,0)</f>
        <v>0</v>
      </c>
      <c r="J108" s="9">
        <f t="shared" si="1"/>
        <v>0</v>
      </c>
    </row>
    <row r="109" spans="1:10" x14ac:dyDescent="0.3">
      <c r="A109" s="16">
        <v>1</v>
      </c>
      <c r="B109" s="47">
        <v>2</v>
      </c>
      <c r="C109" s="47" t="s">
        <v>84</v>
      </c>
      <c r="D109" s="47" t="s">
        <v>4</v>
      </c>
      <c r="E109" s="19" t="s">
        <v>45</v>
      </c>
      <c r="F109" s="19" t="s">
        <v>52</v>
      </c>
      <c r="G109" s="9"/>
      <c r="H109" s="9">
        <f>IF(Table3811[[#This Row],[modality]]=C108,1,0)</f>
        <v>1</v>
      </c>
      <c r="I109" s="9">
        <f>IF(Table3811[[#This Row],[stimulus]]=F110,1,0)</f>
        <v>1</v>
      </c>
      <c r="J109" s="9">
        <f t="shared" si="1"/>
        <v>0</v>
      </c>
    </row>
    <row r="110" spans="1:10" x14ac:dyDescent="0.3">
      <c r="A110" s="11">
        <v>1</v>
      </c>
      <c r="B110" s="48">
        <v>1</v>
      </c>
      <c r="C110" s="48" t="s">
        <v>85</v>
      </c>
      <c r="D110" s="48" t="s">
        <v>44</v>
      </c>
      <c r="E110" s="8" t="s">
        <v>14</v>
      </c>
      <c r="F110" s="8" t="s">
        <v>52</v>
      </c>
      <c r="G110" s="9"/>
      <c r="H110" s="9">
        <f>IF(Table3811[[#This Row],[modality]]=C109,1,0)</f>
        <v>0</v>
      </c>
      <c r="I110" s="9">
        <f>IF(Table3811[[#This Row],[stimulus]]=F111,1,0)</f>
        <v>0</v>
      </c>
      <c r="J110" s="9">
        <f t="shared" si="1"/>
        <v>0</v>
      </c>
    </row>
    <row r="111" spans="1:10" x14ac:dyDescent="0.3">
      <c r="A111" s="16">
        <v>1</v>
      </c>
      <c r="B111" s="43">
        <v>1</v>
      </c>
      <c r="C111" s="49" t="s">
        <v>85</v>
      </c>
      <c r="D111" s="51" t="s">
        <v>33</v>
      </c>
      <c r="E111" s="19" t="s">
        <v>46</v>
      </c>
      <c r="F111" s="19" t="s">
        <v>75</v>
      </c>
      <c r="G111" s="9"/>
      <c r="H111" s="9">
        <f>IF(Table3811[[#This Row],[modality]]=C110,1,0)</f>
        <v>1</v>
      </c>
      <c r="I111" s="9">
        <f>IF(Table3811[[#This Row],[stimulus]]=F112,1,0)</f>
        <v>0</v>
      </c>
      <c r="J111" s="9">
        <f t="shared" si="1"/>
        <v>1</v>
      </c>
    </row>
    <row r="112" spans="1:10" x14ac:dyDescent="0.3">
      <c r="A112" s="11">
        <v>1</v>
      </c>
      <c r="B112" s="48">
        <v>1</v>
      </c>
      <c r="C112" s="48" t="s">
        <v>85</v>
      </c>
      <c r="D112" s="48" t="s">
        <v>4</v>
      </c>
      <c r="E112" s="8" t="s">
        <v>45</v>
      </c>
      <c r="F112" s="8" t="s">
        <v>48</v>
      </c>
      <c r="G112" s="9"/>
      <c r="H112" s="9">
        <f>IF(Table3811[[#This Row],[modality]]=C111,1,0)</f>
        <v>1</v>
      </c>
      <c r="I112" s="9">
        <f>IF(Table3811[[#This Row],[stimulus]]=F113,1,0)</f>
        <v>1</v>
      </c>
      <c r="J112" s="9">
        <f t="shared" si="1"/>
        <v>0</v>
      </c>
    </row>
    <row r="113" spans="1:10" x14ac:dyDescent="0.3">
      <c r="A113" s="16">
        <v>1</v>
      </c>
      <c r="B113" s="47">
        <v>2</v>
      </c>
      <c r="C113" s="47" t="s">
        <v>84</v>
      </c>
      <c r="D113" s="47" t="s">
        <v>44</v>
      </c>
      <c r="E113" s="19" t="s">
        <v>14</v>
      </c>
      <c r="F113" s="19" t="s">
        <v>48</v>
      </c>
      <c r="G113" s="9"/>
      <c r="H113" s="9">
        <f>IF(Table3811[[#This Row],[modality]]=C112,1,0)</f>
        <v>0</v>
      </c>
      <c r="I113" s="9">
        <f>IF(Table3811[[#This Row],[stimulus]]=F114,1,0)</f>
        <v>0</v>
      </c>
      <c r="J113" s="9">
        <f t="shared" si="1"/>
        <v>0</v>
      </c>
    </row>
    <row r="114" spans="1:10" x14ac:dyDescent="0.3">
      <c r="A114" s="11">
        <v>1</v>
      </c>
      <c r="B114" s="48">
        <v>2</v>
      </c>
      <c r="C114" s="48" t="s">
        <v>84</v>
      </c>
      <c r="D114" s="48" t="s">
        <v>4</v>
      </c>
      <c r="E114" s="8" t="s">
        <v>45</v>
      </c>
      <c r="F114" s="8" t="s">
        <v>47</v>
      </c>
      <c r="G114" s="9"/>
      <c r="H114" s="9">
        <f>IF(Table3811[[#This Row],[modality]]=C113,1,0)</f>
        <v>1</v>
      </c>
      <c r="I114" s="9">
        <f>IF(Table3811[[#This Row],[stimulus]]=F115,1,0)</f>
        <v>1</v>
      </c>
      <c r="J114" s="9">
        <f t="shared" si="1"/>
        <v>1</v>
      </c>
    </row>
    <row r="115" spans="1:10" x14ac:dyDescent="0.3">
      <c r="A115" s="16">
        <v>1</v>
      </c>
      <c r="B115" s="47">
        <v>1</v>
      </c>
      <c r="C115" s="47" t="s">
        <v>85</v>
      </c>
      <c r="D115" s="47" t="s">
        <v>44</v>
      </c>
      <c r="E115" s="19" t="s">
        <v>14</v>
      </c>
      <c r="F115" s="19" t="s">
        <v>47</v>
      </c>
      <c r="G115" s="9"/>
      <c r="H115" s="9">
        <f>IF(Table3811[[#This Row],[modality]]=C114,1,0)</f>
        <v>0</v>
      </c>
      <c r="I115" s="9">
        <f>IF(Table3811[[#This Row],[stimulus]]=F116,1,0)</f>
        <v>0</v>
      </c>
      <c r="J115" s="9">
        <f t="shared" si="1"/>
        <v>0</v>
      </c>
    </row>
    <row r="116" spans="1:10" x14ac:dyDescent="0.3">
      <c r="A116" s="11">
        <v>1</v>
      </c>
      <c r="B116" s="43">
        <v>2</v>
      </c>
      <c r="C116" s="43" t="s">
        <v>84</v>
      </c>
      <c r="D116" s="51" t="s">
        <v>33</v>
      </c>
      <c r="E116" s="8" t="s">
        <v>46</v>
      </c>
      <c r="F116" s="8" t="s">
        <v>77</v>
      </c>
      <c r="G116" s="9"/>
      <c r="H116" s="9">
        <f>IF(Table3811[[#This Row],[modality]]=C115,1,0)</f>
        <v>0</v>
      </c>
      <c r="I116" s="9">
        <f>IF(Table3811[[#This Row],[stimulus]]=F117,1,0)</f>
        <v>0</v>
      </c>
      <c r="J116" s="9">
        <f t="shared" si="1"/>
        <v>1</v>
      </c>
    </row>
    <row r="117" spans="1:10" x14ac:dyDescent="0.3">
      <c r="A117" s="16">
        <v>1</v>
      </c>
      <c r="B117" s="47">
        <v>1</v>
      </c>
      <c r="C117" s="47" t="s">
        <v>85</v>
      </c>
      <c r="D117" s="47" t="s">
        <v>4</v>
      </c>
      <c r="E117" s="19" t="s">
        <v>45</v>
      </c>
      <c r="F117" s="19" t="s">
        <v>54</v>
      </c>
      <c r="G117" s="9"/>
      <c r="H117" s="9">
        <f>IF(Table3811[[#This Row],[modality]]=C116,1,0)</f>
        <v>0</v>
      </c>
      <c r="I117" s="9">
        <f>IF(Table3811[[#This Row],[stimulus]]=F118,1,0)</f>
        <v>1</v>
      </c>
      <c r="J117" s="9">
        <f t="shared" si="1"/>
        <v>0</v>
      </c>
    </row>
    <row r="118" spans="1:10" x14ac:dyDescent="0.3">
      <c r="A118" s="11">
        <v>1</v>
      </c>
      <c r="B118" s="48">
        <v>1</v>
      </c>
      <c r="C118" s="47" t="s">
        <v>85</v>
      </c>
      <c r="D118" s="48" t="s">
        <v>44</v>
      </c>
      <c r="E118" s="8" t="s">
        <v>13</v>
      </c>
      <c r="F118" s="8" t="s">
        <v>54</v>
      </c>
      <c r="G118" s="9"/>
      <c r="H118" s="9">
        <f>IF(Table3811[[#This Row],[modality]]=C117,1,0)</f>
        <v>1</v>
      </c>
      <c r="I118" s="9">
        <f>IF(Table3811[[#This Row],[stimulus]]=F119,1,0)</f>
        <v>0</v>
      </c>
      <c r="J118" s="9">
        <f t="shared" si="1"/>
        <v>0</v>
      </c>
    </row>
    <row r="119" spans="1:10" x14ac:dyDescent="0.3">
      <c r="A119" s="16">
        <v>1</v>
      </c>
      <c r="B119" s="43">
        <v>2</v>
      </c>
      <c r="C119" s="49" t="s">
        <v>84</v>
      </c>
      <c r="D119" s="51" t="s">
        <v>33</v>
      </c>
      <c r="E119" s="19" t="s">
        <v>46</v>
      </c>
      <c r="F119" s="19" t="s">
        <v>72</v>
      </c>
      <c r="G119" s="9"/>
      <c r="H119" s="9">
        <f>IF(Table3811[[#This Row],[modality]]=C118,1,0)</f>
        <v>0</v>
      </c>
      <c r="I119" s="9">
        <f>IF(Table3811[[#This Row],[stimulus]]=F120,1,0)</f>
        <v>0</v>
      </c>
      <c r="J119" s="9">
        <f t="shared" si="1"/>
        <v>1</v>
      </c>
    </row>
    <row r="120" spans="1:10" x14ac:dyDescent="0.3">
      <c r="A120" s="11">
        <v>1</v>
      </c>
      <c r="B120" s="48">
        <v>1</v>
      </c>
      <c r="C120" s="48" t="s">
        <v>85</v>
      </c>
      <c r="D120" s="48" t="s">
        <v>4</v>
      </c>
      <c r="E120" s="8" t="s">
        <v>45</v>
      </c>
      <c r="F120" s="8" t="s">
        <v>51</v>
      </c>
      <c r="G120" s="9"/>
      <c r="H120" s="9">
        <f>IF(Table3811[[#This Row],[modality]]=C119,1,0)</f>
        <v>0</v>
      </c>
      <c r="I120" s="9">
        <f>IF(Table3811[[#This Row],[stimulus]]=F121,1,0)</f>
        <v>1</v>
      </c>
      <c r="J120" s="9">
        <f t="shared" si="1"/>
        <v>0</v>
      </c>
    </row>
    <row r="121" spans="1:10" x14ac:dyDescent="0.3">
      <c r="A121" s="16">
        <v>1</v>
      </c>
      <c r="B121" s="47">
        <v>1</v>
      </c>
      <c r="C121" s="47" t="s">
        <v>85</v>
      </c>
      <c r="D121" s="47" t="s">
        <v>44</v>
      </c>
      <c r="E121" s="19" t="s">
        <v>13</v>
      </c>
      <c r="F121" s="19" t="s">
        <v>51</v>
      </c>
      <c r="G121" s="9"/>
      <c r="H121" s="9">
        <f>IF(Table3811[[#This Row],[modality]]=C120,1,0)</f>
        <v>1</v>
      </c>
      <c r="I121" s="9">
        <f>IF(Table3811[[#This Row],[stimulus]]=F122,1,0)</f>
        <v>0</v>
      </c>
      <c r="J121" s="9">
        <f t="shared" si="1"/>
        <v>0</v>
      </c>
    </row>
    <row r="122" spans="1:10" x14ac:dyDescent="0.3">
      <c r="A122" s="11">
        <v>1</v>
      </c>
      <c r="B122" s="43">
        <v>2</v>
      </c>
      <c r="C122" s="43" t="s">
        <v>84</v>
      </c>
      <c r="D122" s="51" t="s">
        <v>33</v>
      </c>
      <c r="E122" s="8" t="s">
        <v>46</v>
      </c>
      <c r="F122" s="8" t="s">
        <v>78</v>
      </c>
      <c r="G122" s="9"/>
      <c r="H122" s="9">
        <f>IF(Table3811[[#This Row],[modality]]=C121,1,0)</f>
        <v>0</v>
      </c>
      <c r="I122" s="9">
        <f>IF(Table3811[[#This Row],[stimulus]]=F123,1,0)</f>
        <v>0</v>
      </c>
      <c r="J122" s="9">
        <f t="shared" si="1"/>
        <v>1</v>
      </c>
    </row>
    <row r="123" spans="1:10" x14ac:dyDescent="0.3">
      <c r="A123" s="16">
        <v>1</v>
      </c>
      <c r="B123" s="43">
        <v>1</v>
      </c>
      <c r="C123" s="49" t="s">
        <v>85</v>
      </c>
      <c r="D123" s="51" t="s">
        <v>33</v>
      </c>
      <c r="E123" s="19" t="s">
        <v>46</v>
      </c>
      <c r="F123" s="19" t="s">
        <v>73</v>
      </c>
      <c r="G123" s="9"/>
      <c r="H123" s="9">
        <f>IF(Table3811[[#This Row],[modality]]=C122,1,0)</f>
        <v>0</v>
      </c>
      <c r="I123" s="9">
        <f>IF(Table3811[[#This Row],[stimulus]]=F124,1,0)</f>
        <v>0</v>
      </c>
      <c r="J123" s="9">
        <f t="shared" si="1"/>
        <v>0</v>
      </c>
    </row>
    <row r="124" spans="1:10" x14ac:dyDescent="0.3">
      <c r="A124" s="11">
        <v>1</v>
      </c>
      <c r="B124" s="48">
        <v>1</v>
      </c>
      <c r="C124" s="48" t="s">
        <v>85</v>
      </c>
      <c r="D124" s="48" t="s">
        <v>4</v>
      </c>
      <c r="E124" s="8" t="s">
        <v>45</v>
      </c>
      <c r="F124" s="8" t="s">
        <v>53</v>
      </c>
      <c r="G124" s="9"/>
      <c r="H124" s="9">
        <f>IF(Table3811[[#This Row],[modality]]=C123,1,0)</f>
        <v>1</v>
      </c>
      <c r="I124" s="9">
        <f>IF(Table3811[[#This Row],[stimulus]]=F125,1,0)</f>
        <v>1</v>
      </c>
      <c r="J124" s="9">
        <f t="shared" si="1"/>
        <v>0</v>
      </c>
    </row>
    <row r="125" spans="1:10" x14ac:dyDescent="0.3">
      <c r="A125" s="16">
        <v>1</v>
      </c>
      <c r="B125" s="47">
        <v>2</v>
      </c>
      <c r="C125" s="47" t="s">
        <v>84</v>
      </c>
      <c r="D125" s="47" t="s">
        <v>44</v>
      </c>
      <c r="E125" s="19" t="s">
        <v>14</v>
      </c>
      <c r="F125" s="19" t="s">
        <v>53</v>
      </c>
      <c r="G125" s="9"/>
      <c r="H125" s="9">
        <f>IF(Table3811[[#This Row],[modality]]=C124,1,0)</f>
        <v>0</v>
      </c>
      <c r="I125" s="9">
        <f>IF(Table3811[[#This Row],[stimulus]]=F126,1,0)</f>
        <v>0</v>
      </c>
      <c r="J125" s="9">
        <f t="shared" si="1"/>
        <v>0</v>
      </c>
    </row>
    <row r="126" spans="1:10" x14ac:dyDescent="0.3">
      <c r="A126" s="11">
        <v>1</v>
      </c>
      <c r="B126" s="43">
        <v>1</v>
      </c>
      <c r="C126" s="43" t="s">
        <v>85</v>
      </c>
      <c r="D126" s="51" t="s">
        <v>33</v>
      </c>
      <c r="E126" s="8" t="s">
        <v>46</v>
      </c>
      <c r="F126" s="8" t="s">
        <v>74</v>
      </c>
      <c r="G126" s="9"/>
      <c r="H126" s="9">
        <f>IF(Table3811[[#This Row],[modality]]=C125,1,0)</f>
        <v>0</v>
      </c>
      <c r="I126" s="9">
        <f>IF(Table3811[[#This Row],[stimulus]]=F127,1,0)</f>
        <v>0</v>
      </c>
      <c r="J126" s="9">
        <f t="shared" si="1"/>
        <v>1</v>
      </c>
    </row>
    <row r="127" spans="1:10" x14ac:dyDescent="0.3">
      <c r="A127" s="8">
        <v>2</v>
      </c>
      <c r="B127" s="48">
        <v>1</v>
      </c>
      <c r="C127" s="42" t="s">
        <v>85</v>
      </c>
      <c r="D127" s="48" t="s">
        <v>4</v>
      </c>
      <c r="E127" s="8" t="s">
        <v>45</v>
      </c>
      <c r="F127" s="8" t="s">
        <v>58</v>
      </c>
      <c r="G127" s="9"/>
      <c r="H127" s="9">
        <f>IF(Table3811[[#This Row],[modality]]=C126,1,0)</f>
        <v>1</v>
      </c>
      <c r="I127" s="9">
        <f>IF(Table3811[[#This Row],[stimulus]]=F128,1,0)</f>
        <v>1</v>
      </c>
      <c r="J127" s="9">
        <f t="shared" si="1"/>
        <v>0</v>
      </c>
    </row>
    <row r="128" spans="1:10" x14ac:dyDescent="0.3">
      <c r="A128" s="19">
        <v>2</v>
      </c>
      <c r="B128" s="47">
        <v>1</v>
      </c>
      <c r="C128" s="41" t="s">
        <v>85</v>
      </c>
      <c r="D128" s="47" t="s">
        <v>44</v>
      </c>
      <c r="E128" s="19" t="s">
        <v>13</v>
      </c>
      <c r="F128" s="19" t="s">
        <v>58</v>
      </c>
      <c r="G128" s="9"/>
      <c r="H128" s="9">
        <f>IF(Table3811[[#This Row],[modality]]=C127,1,0)</f>
        <v>1</v>
      </c>
      <c r="I128" s="9">
        <f>IF(Table3811[[#This Row],[stimulus]]=F129,1,0)</f>
        <v>0</v>
      </c>
      <c r="J128" s="9">
        <f t="shared" si="1"/>
        <v>0</v>
      </c>
    </row>
    <row r="129" spans="1:10" x14ac:dyDescent="0.3">
      <c r="A129" s="8">
        <v>2</v>
      </c>
      <c r="B129" s="44">
        <v>2</v>
      </c>
      <c r="C129" s="44" t="s">
        <v>84</v>
      </c>
      <c r="D129" s="44" t="s">
        <v>33</v>
      </c>
      <c r="E129" s="8" t="s">
        <v>46</v>
      </c>
      <c r="F129" s="8" t="s">
        <v>50</v>
      </c>
      <c r="G129" s="9"/>
      <c r="H129" s="9">
        <f>IF(Table3811[[#This Row],[modality]]=C128,1,0)</f>
        <v>0</v>
      </c>
      <c r="I129" s="9">
        <f>IF(Table3811[[#This Row],[stimulus]]=F130,1,0)</f>
        <v>0</v>
      </c>
      <c r="J129" s="9">
        <f t="shared" si="1"/>
        <v>1</v>
      </c>
    </row>
    <row r="130" spans="1:10" x14ac:dyDescent="0.3">
      <c r="A130" s="19">
        <v>2</v>
      </c>
      <c r="B130" s="47">
        <v>1</v>
      </c>
      <c r="C130" s="47" t="s">
        <v>85</v>
      </c>
      <c r="D130" s="47" t="s">
        <v>4</v>
      </c>
      <c r="E130" s="19" t="s">
        <v>45</v>
      </c>
      <c r="F130" s="19" t="s">
        <v>60</v>
      </c>
      <c r="G130" s="9"/>
      <c r="H130" s="9">
        <f>IF(Table3811[[#This Row],[modality]]=C129,1,0)</f>
        <v>0</v>
      </c>
      <c r="I130" s="9">
        <f>IF(Table3811[[#This Row],[stimulus]]=F131,1,0)</f>
        <v>1</v>
      </c>
      <c r="J130" s="9">
        <f t="shared" ref="J130:J193" si="2">IF(D129="T",1,0)</f>
        <v>0</v>
      </c>
    </row>
    <row r="131" spans="1:10" x14ac:dyDescent="0.3">
      <c r="A131" s="8">
        <v>2</v>
      </c>
      <c r="B131" s="48">
        <v>1</v>
      </c>
      <c r="C131" s="48" t="s">
        <v>85</v>
      </c>
      <c r="D131" s="48" t="s">
        <v>44</v>
      </c>
      <c r="E131" s="8" t="s">
        <v>13</v>
      </c>
      <c r="F131" s="8" t="s">
        <v>60</v>
      </c>
      <c r="G131" s="9"/>
      <c r="H131" s="9">
        <f>IF(Table3811[[#This Row],[modality]]=C130,1,0)</f>
        <v>1</v>
      </c>
      <c r="I131" s="9">
        <f>IF(Table3811[[#This Row],[stimulus]]=F132,1,0)</f>
        <v>0</v>
      </c>
      <c r="J131" s="9">
        <f t="shared" si="2"/>
        <v>0</v>
      </c>
    </row>
    <row r="132" spans="1:10" x14ac:dyDescent="0.3">
      <c r="A132" s="19">
        <v>2</v>
      </c>
      <c r="B132" s="47">
        <v>1</v>
      </c>
      <c r="C132" s="47" t="s">
        <v>85</v>
      </c>
      <c r="D132" s="47" t="s">
        <v>4</v>
      </c>
      <c r="E132" s="19" t="s">
        <v>45</v>
      </c>
      <c r="F132" s="19" t="s">
        <v>62</v>
      </c>
      <c r="G132" s="9"/>
      <c r="H132" s="9">
        <f>IF(Table3811[[#This Row],[modality]]=C131,1,0)</f>
        <v>1</v>
      </c>
      <c r="I132" s="9">
        <f>IF(Table3811[[#This Row],[stimulus]]=F133,1,0)</f>
        <v>1</v>
      </c>
      <c r="J132" s="9">
        <f t="shared" si="2"/>
        <v>1</v>
      </c>
    </row>
    <row r="133" spans="1:10" x14ac:dyDescent="0.3">
      <c r="A133" s="8">
        <v>2</v>
      </c>
      <c r="B133" s="48">
        <v>2</v>
      </c>
      <c r="C133" s="48" t="s">
        <v>84</v>
      </c>
      <c r="D133" s="48" t="s">
        <v>44</v>
      </c>
      <c r="E133" s="8" t="s">
        <v>14</v>
      </c>
      <c r="F133" s="8" t="s">
        <v>62</v>
      </c>
      <c r="G133" s="9"/>
      <c r="H133" s="9">
        <f>IF(Table3811[[#This Row],[modality]]=C132,1,0)</f>
        <v>0</v>
      </c>
      <c r="I133" s="9">
        <f>IF(Table3811[[#This Row],[stimulus]]=F134,1,0)</f>
        <v>0</v>
      </c>
      <c r="J133" s="9">
        <f t="shared" si="2"/>
        <v>0</v>
      </c>
    </row>
    <row r="134" spans="1:10" x14ac:dyDescent="0.3">
      <c r="A134" s="19">
        <v>2</v>
      </c>
      <c r="B134" s="44">
        <v>2</v>
      </c>
      <c r="C134" s="44" t="s">
        <v>84</v>
      </c>
      <c r="D134" s="44" t="s">
        <v>33</v>
      </c>
      <c r="E134" s="19" t="s">
        <v>46</v>
      </c>
      <c r="F134" s="19" t="s">
        <v>49</v>
      </c>
      <c r="G134" s="9"/>
      <c r="H134" s="9">
        <f>IF(Table3811[[#This Row],[modality]]=C133,1,0)</f>
        <v>1</v>
      </c>
      <c r="I134" s="9">
        <f>IF(Table3811[[#This Row],[stimulus]]=F135,1,0)</f>
        <v>0</v>
      </c>
      <c r="J134" s="9">
        <f t="shared" si="2"/>
        <v>1</v>
      </c>
    </row>
    <row r="135" spans="1:10" x14ac:dyDescent="0.3">
      <c r="A135" s="8">
        <v>2</v>
      </c>
      <c r="B135" s="48">
        <v>2</v>
      </c>
      <c r="C135" s="48" t="s">
        <v>84</v>
      </c>
      <c r="D135" s="48" t="s">
        <v>4</v>
      </c>
      <c r="E135" s="8" t="s">
        <v>45</v>
      </c>
      <c r="F135" s="8" t="s">
        <v>56</v>
      </c>
      <c r="G135" s="9"/>
      <c r="H135" s="9">
        <f>IF(Table3811[[#This Row],[modality]]=C134,1,0)</f>
        <v>1</v>
      </c>
      <c r="I135" s="9">
        <f>IF(Table3811[[#This Row],[stimulus]]=F136,1,0)</f>
        <v>1</v>
      </c>
      <c r="J135" s="9">
        <f t="shared" si="2"/>
        <v>0</v>
      </c>
    </row>
    <row r="136" spans="1:10" x14ac:dyDescent="0.3">
      <c r="A136" s="19">
        <v>2</v>
      </c>
      <c r="B136" s="47">
        <v>1</v>
      </c>
      <c r="C136" s="47" t="s">
        <v>85</v>
      </c>
      <c r="D136" s="47" t="s">
        <v>44</v>
      </c>
      <c r="E136" s="19" t="s">
        <v>14</v>
      </c>
      <c r="F136" s="19" t="s">
        <v>56</v>
      </c>
      <c r="G136" s="9"/>
      <c r="H136" s="9">
        <f>IF(Table3811[[#This Row],[modality]]=C135,1,0)</f>
        <v>0</v>
      </c>
      <c r="I136" s="9">
        <f>IF(Table3811[[#This Row],[stimulus]]=F137,1,0)</f>
        <v>0</v>
      </c>
      <c r="J136" s="9">
        <f t="shared" si="2"/>
        <v>0</v>
      </c>
    </row>
    <row r="137" spans="1:10" x14ac:dyDescent="0.3">
      <c r="A137" s="8">
        <v>2</v>
      </c>
      <c r="B137" s="48">
        <v>1</v>
      </c>
      <c r="C137" s="48" t="s">
        <v>85</v>
      </c>
      <c r="D137" s="48" t="s">
        <v>4</v>
      </c>
      <c r="E137" s="8" t="s">
        <v>45</v>
      </c>
      <c r="F137" s="8" t="s">
        <v>61</v>
      </c>
      <c r="G137" s="9"/>
      <c r="H137" s="9">
        <f>IF(Table3811[[#This Row],[modality]]=C136,1,0)</f>
        <v>1</v>
      </c>
      <c r="I137" s="9">
        <f>IF(Table3811[[#This Row],[stimulus]]=F138,1,0)</f>
        <v>1</v>
      </c>
      <c r="J137" s="9">
        <f t="shared" si="2"/>
        <v>1</v>
      </c>
    </row>
    <row r="138" spans="1:10" x14ac:dyDescent="0.3">
      <c r="A138" s="19">
        <v>2</v>
      </c>
      <c r="B138" s="47">
        <v>2</v>
      </c>
      <c r="C138" s="47" t="s">
        <v>84</v>
      </c>
      <c r="D138" s="47" t="s">
        <v>44</v>
      </c>
      <c r="E138" s="19" t="s">
        <v>14</v>
      </c>
      <c r="F138" s="19" t="s">
        <v>61</v>
      </c>
      <c r="G138" s="9"/>
      <c r="H138" s="9">
        <f>IF(Table3811[[#This Row],[modality]]=C137,1,0)</f>
        <v>0</v>
      </c>
      <c r="I138" s="9">
        <f>IF(Table3811[[#This Row],[stimulus]]=F139,1,0)</f>
        <v>0</v>
      </c>
      <c r="J138" s="9">
        <f t="shared" si="2"/>
        <v>0</v>
      </c>
    </row>
    <row r="139" spans="1:10" x14ac:dyDescent="0.3">
      <c r="A139" s="8">
        <v>2</v>
      </c>
      <c r="B139" s="44">
        <v>1</v>
      </c>
      <c r="C139" s="44" t="s">
        <v>85</v>
      </c>
      <c r="D139" s="44" t="s">
        <v>33</v>
      </c>
      <c r="E139" s="8" t="s">
        <v>46</v>
      </c>
      <c r="F139" s="8" t="s">
        <v>52</v>
      </c>
      <c r="G139" s="9"/>
      <c r="H139" s="9">
        <f>IF(Table3811[[#This Row],[modality]]=C138,1,0)</f>
        <v>0</v>
      </c>
      <c r="I139" s="9">
        <f>IF(Table3811[[#This Row],[stimulus]]=F140,1,0)</f>
        <v>0</v>
      </c>
      <c r="J139" s="9">
        <f t="shared" si="2"/>
        <v>1</v>
      </c>
    </row>
    <row r="140" spans="1:10" x14ac:dyDescent="0.3">
      <c r="A140" s="19">
        <v>2</v>
      </c>
      <c r="B140" s="44">
        <v>2</v>
      </c>
      <c r="C140" s="44" t="s">
        <v>84</v>
      </c>
      <c r="D140" s="44" t="s">
        <v>33</v>
      </c>
      <c r="E140" s="19" t="s">
        <v>46</v>
      </c>
      <c r="F140" s="19" t="s">
        <v>48</v>
      </c>
      <c r="G140" s="9"/>
      <c r="H140" s="9">
        <f>IF(Table3811[[#This Row],[modality]]=C139,1,0)</f>
        <v>0</v>
      </c>
      <c r="I140" s="9">
        <f>IF(Table3811[[#This Row],[stimulus]]=F141,1,0)</f>
        <v>0</v>
      </c>
      <c r="J140" s="9">
        <f t="shared" si="2"/>
        <v>0</v>
      </c>
    </row>
    <row r="141" spans="1:10" x14ac:dyDescent="0.3">
      <c r="A141" s="8">
        <v>2</v>
      </c>
      <c r="B141" s="44">
        <v>1</v>
      </c>
      <c r="C141" s="44" t="s">
        <v>85</v>
      </c>
      <c r="D141" s="44" t="s">
        <v>33</v>
      </c>
      <c r="E141" s="8" t="s">
        <v>46</v>
      </c>
      <c r="F141" s="8" t="s">
        <v>51</v>
      </c>
      <c r="G141" s="9"/>
      <c r="H141" s="9">
        <f>IF(Table3811[[#This Row],[modality]]=C140,1,0)</f>
        <v>0</v>
      </c>
      <c r="I141" s="9">
        <f>IF(Table3811[[#This Row],[stimulus]]=F142,1,0)</f>
        <v>0</v>
      </c>
      <c r="J141" s="9">
        <f t="shared" si="2"/>
        <v>0</v>
      </c>
    </row>
    <row r="142" spans="1:10" x14ac:dyDescent="0.3">
      <c r="A142" s="8">
        <v>2</v>
      </c>
      <c r="B142" s="48">
        <v>2</v>
      </c>
      <c r="C142" s="48" t="s">
        <v>84</v>
      </c>
      <c r="D142" s="48" t="s">
        <v>4</v>
      </c>
      <c r="E142" s="8" t="s">
        <v>45</v>
      </c>
      <c r="F142" s="8" t="s">
        <v>59</v>
      </c>
      <c r="G142" s="9"/>
      <c r="H142" s="9">
        <f>IF(Table3811[[#This Row],[modality]]=C141,1,0)</f>
        <v>0</v>
      </c>
      <c r="I142" s="9">
        <f>IF(Table3811[[#This Row],[stimulus]]=F143,1,0)</f>
        <v>1</v>
      </c>
      <c r="J142" s="9">
        <f t="shared" si="2"/>
        <v>0</v>
      </c>
    </row>
    <row r="143" spans="1:10" x14ac:dyDescent="0.3">
      <c r="A143" s="19">
        <v>2</v>
      </c>
      <c r="B143" s="47">
        <v>2</v>
      </c>
      <c r="C143" s="47" t="s">
        <v>84</v>
      </c>
      <c r="D143" s="47" t="s">
        <v>44</v>
      </c>
      <c r="E143" s="19" t="s">
        <v>13</v>
      </c>
      <c r="F143" s="19" t="s">
        <v>59</v>
      </c>
      <c r="G143" s="9"/>
      <c r="H143" s="9">
        <f>IF(Table3811[[#This Row],[modality]]=C142,1,0)</f>
        <v>1</v>
      </c>
      <c r="I143" s="9">
        <f>IF(Table3811[[#This Row],[stimulus]]=F144,1,0)</f>
        <v>0</v>
      </c>
      <c r="J143" s="9">
        <f t="shared" si="2"/>
        <v>0</v>
      </c>
    </row>
    <row r="144" spans="1:10" x14ac:dyDescent="0.3">
      <c r="A144" s="8">
        <v>2</v>
      </c>
      <c r="B144" s="44">
        <v>1</v>
      </c>
      <c r="C144" s="44" t="s">
        <v>85</v>
      </c>
      <c r="D144" s="44" t="s">
        <v>33</v>
      </c>
      <c r="E144" s="8" t="s">
        <v>46</v>
      </c>
      <c r="F144" s="8" t="s">
        <v>47</v>
      </c>
      <c r="G144" s="9"/>
      <c r="H144" s="9">
        <f>IF(Table3811[[#This Row],[modality]]=C143,1,0)</f>
        <v>0</v>
      </c>
      <c r="I144" s="9">
        <f>IF(Table3811[[#This Row],[stimulus]]=F145,1,0)</f>
        <v>0</v>
      </c>
      <c r="J144" s="9">
        <f t="shared" si="2"/>
        <v>1</v>
      </c>
    </row>
    <row r="145" spans="1:10" x14ac:dyDescent="0.3">
      <c r="A145" s="19">
        <v>2</v>
      </c>
      <c r="B145" s="47">
        <v>2</v>
      </c>
      <c r="C145" s="47" t="s">
        <v>84</v>
      </c>
      <c r="D145" s="47" t="s">
        <v>4</v>
      </c>
      <c r="E145" s="19" t="s">
        <v>45</v>
      </c>
      <c r="F145" s="19" t="s">
        <v>55</v>
      </c>
      <c r="G145" s="9"/>
      <c r="H145" s="9">
        <f>IF(Table3811[[#This Row],[modality]]=C144,1,0)</f>
        <v>0</v>
      </c>
      <c r="I145" s="9">
        <f>IF(Table3811[[#This Row],[stimulus]]=F146,1,0)</f>
        <v>1</v>
      </c>
      <c r="J145" s="9">
        <f t="shared" si="2"/>
        <v>0</v>
      </c>
    </row>
    <row r="146" spans="1:10" x14ac:dyDescent="0.3">
      <c r="A146" s="8">
        <v>2</v>
      </c>
      <c r="B146" s="48">
        <v>2</v>
      </c>
      <c r="C146" s="48" t="s">
        <v>84</v>
      </c>
      <c r="D146" s="48" t="s">
        <v>44</v>
      </c>
      <c r="E146" s="8" t="s">
        <v>13</v>
      </c>
      <c r="F146" s="8" t="s">
        <v>55</v>
      </c>
      <c r="G146" s="9"/>
      <c r="H146" s="9">
        <f>IF(Table3811[[#This Row],[modality]]=C145,1,0)</f>
        <v>1</v>
      </c>
      <c r="I146" s="9">
        <f>IF(Table3811[[#This Row],[stimulus]]=F147,1,0)</f>
        <v>0</v>
      </c>
      <c r="J146" s="9">
        <f t="shared" si="2"/>
        <v>0</v>
      </c>
    </row>
    <row r="147" spans="1:10" x14ac:dyDescent="0.3">
      <c r="A147" s="19">
        <v>2</v>
      </c>
      <c r="B147" s="44">
        <v>1</v>
      </c>
      <c r="C147" s="44" t="s">
        <v>85</v>
      </c>
      <c r="D147" s="44" t="s">
        <v>33</v>
      </c>
      <c r="E147" s="19" t="s">
        <v>46</v>
      </c>
      <c r="F147" s="19" t="s">
        <v>54</v>
      </c>
      <c r="G147" s="9"/>
      <c r="H147" s="9">
        <f>IF(Table3811[[#This Row],[modality]]=C146,1,0)</f>
        <v>0</v>
      </c>
      <c r="I147" s="9">
        <f>IF(Table3811[[#This Row],[stimulus]]=F148,1,0)</f>
        <v>0</v>
      </c>
      <c r="J147" s="9">
        <f t="shared" si="2"/>
        <v>1</v>
      </c>
    </row>
    <row r="148" spans="1:10" x14ac:dyDescent="0.3">
      <c r="A148" s="19">
        <v>2</v>
      </c>
      <c r="B148" s="44">
        <v>2</v>
      </c>
      <c r="C148" s="44" t="s">
        <v>84</v>
      </c>
      <c r="D148" s="44" t="s">
        <v>33</v>
      </c>
      <c r="E148" s="19" t="s">
        <v>46</v>
      </c>
      <c r="F148" s="19" t="s">
        <v>53</v>
      </c>
      <c r="G148" s="9"/>
      <c r="H148" s="9">
        <f>IF(Table3811[[#This Row],[modality]]=C147,1,0)</f>
        <v>0</v>
      </c>
      <c r="I148" s="9">
        <f>IF(Table3811[[#This Row],[stimulus]]=F149,1,0)</f>
        <v>0</v>
      </c>
      <c r="J148" s="9">
        <f t="shared" si="2"/>
        <v>0</v>
      </c>
    </row>
    <row r="149" spans="1:10" x14ac:dyDescent="0.3">
      <c r="A149" s="8">
        <v>2</v>
      </c>
      <c r="B149" s="48">
        <v>2</v>
      </c>
      <c r="C149" s="48" t="s">
        <v>84</v>
      </c>
      <c r="D149" s="48" t="s">
        <v>4</v>
      </c>
      <c r="E149" s="8" t="s">
        <v>45</v>
      </c>
      <c r="F149" s="8" t="s">
        <v>57</v>
      </c>
      <c r="G149" s="9"/>
      <c r="H149" s="9">
        <f>IF(Table3811[[#This Row],[modality]]=C148,1,0)</f>
        <v>1</v>
      </c>
      <c r="I149" s="9">
        <f>IF(Table3811[[#This Row],[stimulus]]=F150,1,0)</f>
        <v>1</v>
      </c>
      <c r="J149" s="9">
        <f t="shared" si="2"/>
        <v>0</v>
      </c>
    </row>
    <row r="150" spans="1:10" x14ac:dyDescent="0.3">
      <c r="A150" s="19">
        <v>2</v>
      </c>
      <c r="B150" s="47">
        <v>1</v>
      </c>
      <c r="C150" s="47" t="s">
        <v>85</v>
      </c>
      <c r="D150" s="47" t="s">
        <v>44</v>
      </c>
      <c r="E150" s="19" t="s">
        <v>14</v>
      </c>
      <c r="F150" s="19" t="s">
        <v>57</v>
      </c>
      <c r="G150" s="9"/>
      <c r="H150" s="9">
        <f>IF(Table3811[[#This Row],[modality]]=C149,1,0)</f>
        <v>0</v>
      </c>
      <c r="I150" s="9">
        <f>IF(Table3811[[#This Row],[stimulus]]=F151,1,0)</f>
        <v>0</v>
      </c>
      <c r="J150" s="9">
        <f t="shared" si="2"/>
        <v>0</v>
      </c>
    </row>
    <row r="151" spans="1:10" x14ac:dyDescent="0.3">
      <c r="A151" s="16">
        <v>3</v>
      </c>
      <c r="B151" s="45">
        <v>1</v>
      </c>
      <c r="C151" s="45" t="s">
        <v>85</v>
      </c>
      <c r="D151" s="45" t="s">
        <v>33</v>
      </c>
      <c r="E151" s="19" t="s">
        <v>46</v>
      </c>
      <c r="F151" s="19" t="s">
        <v>58</v>
      </c>
      <c r="G151" s="9"/>
      <c r="H151" s="9">
        <f>IF(Table3811[[#This Row],[modality]]=C150,1,0)</f>
        <v>1</v>
      </c>
      <c r="I151" s="9">
        <f>IF(Table3811[[#This Row],[stimulus]]=F152,1,0)</f>
        <v>0</v>
      </c>
      <c r="J151" s="9">
        <f t="shared" si="2"/>
        <v>1</v>
      </c>
    </row>
    <row r="152" spans="1:10" x14ac:dyDescent="0.3">
      <c r="A152" s="11">
        <v>3</v>
      </c>
      <c r="B152" s="48">
        <v>1</v>
      </c>
      <c r="C152" s="48" t="s">
        <v>85</v>
      </c>
      <c r="D152" s="48" t="s">
        <v>4</v>
      </c>
      <c r="E152" s="8" t="s">
        <v>45</v>
      </c>
      <c r="F152" s="8" t="s">
        <v>68</v>
      </c>
      <c r="G152" s="9"/>
      <c r="H152" s="9">
        <f>IF(Table3811[[#This Row],[modality]]=C151,1,0)</f>
        <v>1</v>
      </c>
      <c r="I152" s="9">
        <f>IF(Table3811[[#This Row],[stimulus]]=F153,1,0)</f>
        <v>1</v>
      </c>
      <c r="J152" s="9">
        <f t="shared" si="2"/>
        <v>0</v>
      </c>
    </row>
    <row r="153" spans="1:10" x14ac:dyDescent="0.3">
      <c r="A153" s="16">
        <v>3</v>
      </c>
      <c r="B153" s="47">
        <v>2</v>
      </c>
      <c r="C153" s="47" t="s">
        <v>84</v>
      </c>
      <c r="D153" s="47" t="s">
        <v>44</v>
      </c>
      <c r="E153" s="19" t="s">
        <v>14</v>
      </c>
      <c r="F153" s="19" t="s">
        <v>68</v>
      </c>
      <c r="G153" s="9"/>
      <c r="H153" s="9">
        <f>IF(Table3811[[#This Row],[modality]]=C152,1,0)</f>
        <v>0</v>
      </c>
      <c r="I153" s="9">
        <f>IF(Table3811[[#This Row],[stimulus]]=F154,1,0)</f>
        <v>0</v>
      </c>
      <c r="J153" s="9">
        <f t="shared" si="2"/>
        <v>0</v>
      </c>
    </row>
    <row r="154" spans="1:10" x14ac:dyDescent="0.3">
      <c r="A154" s="11">
        <v>3</v>
      </c>
      <c r="B154" s="45">
        <v>2</v>
      </c>
      <c r="C154" s="45" t="s">
        <v>84</v>
      </c>
      <c r="D154" s="45" t="s">
        <v>33</v>
      </c>
      <c r="E154" s="8" t="s">
        <v>46</v>
      </c>
      <c r="F154" s="8" t="s">
        <v>60</v>
      </c>
      <c r="G154" s="9"/>
      <c r="H154" s="9">
        <f>IF(Table3811[[#This Row],[modality]]=C153,1,0)</f>
        <v>1</v>
      </c>
      <c r="I154" s="9">
        <f>IF(Table3811[[#This Row],[stimulus]]=F155,1,0)</f>
        <v>0</v>
      </c>
      <c r="J154" s="9">
        <f t="shared" si="2"/>
        <v>1</v>
      </c>
    </row>
    <row r="155" spans="1:10" x14ac:dyDescent="0.3">
      <c r="A155" s="16">
        <v>3</v>
      </c>
      <c r="B155" s="47">
        <v>2</v>
      </c>
      <c r="C155" s="47" t="s">
        <v>84</v>
      </c>
      <c r="D155" s="47" t="s">
        <v>4</v>
      </c>
      <c r="E155" s="19" t="s">
        <v>45</v>
      </c>
      <c r="F155" s="19" t="s">
        <v>66</v>
      </c>
      <c r="G155" s="9"/>
      <c r="H155" s="9">
        <f>IF(Table3811[[#This Row],[modality]]=C154,1,0)</f>
        <v>1</v>
      </c>
      <c r="I155" s="9">
        <f>IF(Table3811[[#This Row],[stimulus]]=F156,1,0)</f>
        <v>1</v>
      </c>
      <c r="J155" s="9">
        <f t="shared" si="2"/>
        <v>0</v>
      </c>
    </row>
    <row r="156" spans="1:10" x14ac:dyDescent="0.3">
      <c r="A156" s="11">
        <v>3</v>
      </c>
      <c r="B156" s="48">
        <v>1</v>
      </c>
      <c r="C156" s="48" t="s">
        <v>85</v>
      </c>
      <c r="D156" s="48" t="s">
        <v>44</v>
      </c>
      <c r="E156" s="8" t="s">
        <v>14</v>
      </c>
      <c r="F156" s="8" t="s">
        <v>66</v>
      </c>
      <c r="G156" s="9"/>
      <c r="H156" s="9">
        <f>IF(Table3811[[#This Row],[modality]]=C155,1,0)</f>
        <v>0</v>
      </c>
      <c r="I156" s="9">
        <f>IF(Table3811[[#This Row],[stimulus]]=F157,1,0)</f>
        <v>0</v>
      </c>
      <c r="J156" s="9">
        <f t="shared" si="2"/>
        <v>0</v>
      </c>
    </row>
    <row r="157" spans="1:10" x14ac:dyDescent="0.3">
      <c r="A157" s="19">
        <v>3</v>
      </c>
      <c r="B157" s="48">
        <v>1</v>
      </c>
      <c r="C157" s="48" t="s">
        <v>85</v>
      </c>
      <c r="D157" s="48" t="s">
        <v>33</v>
      </c>
      <c r="E157" s="19" t="s">
        <v>46</v>
      </c>
      <c r="F157" s="19"/>
      <c r="G157" s="55" t="s">
        <v>131</v>
      </c>
      <c r="H157" s="9">
        <f>IF(Table3811[[#This Row],[modality]]=C156,1,0)</f>
        <v>1</v>
      </c>
      <c r="I157" s="9">
        <f>IF(Table3811[[#This Row],[stimulus]]=F158,1,0)</f>
        <v>0</v>
      </c>
      <c r="J157" s="9">
        <f t="shared" si="2"/>
        <v>1</v>
      </c>
    </row>
    <row r="158" spans="1:10" x14ac:dyDescent="0.3">
      <c r="A158" s="16">
        <v>3</v>
      </c>
      <c r="B158" s="47">
        <v>1</v>
      </c>
      <c r="C158" s="47" t="s">
        <v>85</v>
      </c>
      <c r="D158" s="47" t="s">
        <v>4</v>
      </c>
      <c r="E158" s="19" t="s">
        <v>45</v>
      </c>
      <c r="F158" s="19" t="s">
        <v>70</v>
      </c>
      <c r="G158" s="9"/>
      <c r="H158" s="9">
        <f>IF(Table3811[[#This Row],[modality]]=C157,1,0)</f>
        <v>1</v>
      </c>
      <c r="I158" s="9">
        <f>IF(Table3811[[#This Row],[stimulus]]=F159,1,0)</f>
        <v>1</v>
      </c>
      <c r="J158" s="9">
        <f t="shared" si="2"/>
        <v>0</v>
      </c>
    </row>
    <row r="159" spans="1:10" x14ac:dyDescent="0.3">
      <c r="A159" s="11">
        <v>3</v>
      </c>
      <c r="B159" s="48">
        <v>2</v>
      </c>
      <c r="C159" s="48" t="s">
        <v>84</v>
      </c>
      <c r="D159" s="48" t="s">
        <v>44</v>
      </c>
      <c r="E159" s="8" t="s">
        <v>14</v>
      </c>
      <c r="F159" s="8" t="s">
        <v>70</v>
      </c>
      <c r="G159" s="9"/>
      <c r="H159" s="9">
        <f>IF(Table3811[[#This Row],[modality]]=C158,1,0)</f>
        <v>0</v>
      </c>
      <c r="I159" s="9">
        <f>IF(Table3811[[#This Row],[stimulus]]=F160,1,0)</f>
        <v>0</v>
      </c>
      <c r="J159" s="9">
        <f t="shared" si="2"/>
        <v>0</v>
      </c>
    </row>
    <row r="160" spans="1:10" x14ac:dyDescent="0.3">
      <c r="A160" s="16">
        <v>3</v>
      </c>
      <c r="B160" s="45">
        <v>1</v>
      </c>
      <c r="C160" s="45" t="s">
        <v>85</v>
      </c>
      <c r="D160" s="45" t="s">
        <v>33</v>
      </c>
      <c r="E160" s="19" t="s">
        <v>46</v>
      </c>
      <c r="F160" s="19" t="s">
        <v>62</v>
      </c>
      <c r="G160" s="9"/>
      <c r="H160" s="9">
        <f>IF(Table3811[[#This Row],[modality]]=C159,1,0)</f>
        <v>0</v>
      </c>
      <c r="I160" s="9">
        <f>IF(Table3811[[#This Row],[stimulus]]=F161,1,0)</f>
        <v>0</v>
      </c>
      <c r="J160" s="9">
        <f t="shared" si="2"/>
        <v>1</v>
      </c>
    </row>
    <row r="161" spans="1:16" x14ac:dyDescent="0.3">
      <c r="A161" s="11">
        <v>3</v>
      </c>
      <c r="B161" s="48">
        <v>2</v>
      </c>
      <c r="C161" s="48" t="s">
        <v>84</v>
      </c>
      <c r="D161" s="48" t="s">
        <v>4</v>
      </c>
      <c r="E161" s="8" t="s">
        <v>45</v>
      </c>
      <c r="F161" s="8" t="s">
        <v>69</v>
      </c>
      <c r="G161" s="9"/>
      <c r="H161" s="9">
        <f>IF(Table3811[[#This Row],[modality]]=C160,1,0)</f>
        <v>0</v>
      </c>
      <c r="I161" s="9">
        <f>IF(Table3811[[#This Row],[stimulus]]=F162,1,0)</f>
        <v>1</v>
      </c>
      <c r="J161" s="9">
        <f t="shared" si="2"/>
        <v>0</v>
      </c>
    </row>
    <row r="162" spans="1:16" x14ac:dyDescent="0.3">
      <c r="A162" s="16">
        <v>3</v>
      </c>
      <c r="B162" s="47">
        <v>2</v>
      </c>
      <c r="C162" s="47" t="s">
        <v>84</v>
      </c>
      <c r="D162" s="47" t="s">
        <v>44</v>
      </c>
      <c r="E162" s="19" t="s">
        <v>13</v>
      </c>
      <c r="F162" s="19" t="s">
        <v>69</v>
      </c>
      <c r="G162" s="9"/>
      <c r="H162" s="9">
        <f>IF(Table3811[[#This Row],[modality]]=C161,1,0)</f>
        <v>1</v>
      </c>
      <c r="I162" s="9">
        <f>IF(Table3811[[#This Row],[stimulus]]=F164,1,0)</f>
        <v>0</v>
      </c>
      <c r="J162" s="9">
        <f t="shared" si="2"/>
        <v>0</v>
      </c>
    </row>
    <row r="163" spans="1:16" x14ac:dyDescent="0.3">
      <c r="A163" s="16">
        <v>3</v>
      </c>
      <c r="B163" s="45">
        <v>2</v>
      </c>
      <c r="C163" s="45" t="s">
        <v>84</v>
      </c>
      <c r="D163" s="45" t="s">
        <v>33</v>
      </c>
      <c r="E163" s="19" t="s">
        <v>46</v>
      </c>
      <c r="F163" s="19" t="s">
        <v>61</v>
      </c>
      <c r="G163" s="9"/>
      <c r="H163" s="9">
        <f>IF(Table3811[[#This Row],[modality]]=C164,1,0)</f>
        <v>0</v>
      </c>
      <c r="I163" s="9">
        <f>IF(Table3811[[#This Row],[stimulus]]=F165,1,0)</f>
        <v>0</v>
      </c>
      <c r="J163" s="9">
        <f>IF(D164="T",1,0)</f>
        <v>0</v>
      </c>
    </row>
    <row r="164" spans="1:16" x14ac:dyDescent="0.3">
      <c r="A164" s="11">
        <v>3</v>
      </c>
      <c r="B164" s="45">
        <v>1</v>
      </c>
      <c r="C164" s="45" t="s">
        <v>85</v>
      </c>
      <c r="D164" s="45" t="s">
        <v>33</v>
      </c>
      <c r="E164" s="8" t="s">
        <v>46</v>
      </c>
      <c r="F164" s="8" t="s">
        <v>56</v>
      </c>
      <c r="G164" s="9"/>
      <c r="H164" s="9">
        <f>IF(Table3811[[#This Row],[modality]]=C162,1,0)</f>
        <v>0</v>
      </c>
      <c r="I164" s="9">
        <f>IF(Table3811[[#This Row],[stimulus]]=F163,1,0)</f>
        <v>0</v>
      </c>
      <c r="J164" s="9">
        <f>IF(D162="T",1,0)</f>
        <v>1</v>
      </c>
    </row>
    <row r="165" spans="1:16" x14ac:dyDescent="0.3">
      <c r="A165" s="11">
        <v>3</v>
      </c>
      <c r="B165" s="48">
        <v>2</v>
      </c>
      <c r="C165" s="48" t="s">
        <v>84</v>
      </c>
      <c r="D165" s="48" t="s">
        <v>4</v>
      </c>
      <c r="E165" s="8" t="s">
        <v>45</v>
      </c>
      <c r="F165" s="8" t="s">
        <v>63</v>
      </c>
      <c r="G165" s="9"/>
      <c r="H165" s="9">
        <f>IF(Table3811[[#This Row],[modality]]=C163,1,0)</f>
        <v>1</v>
      </c>
      <c r="I165" s="9">
        <f>IF(Table3811[[#This Row],[stimulus]]=F166,1,0)</f>
        <v>1</v>
      </c>
      <c r="J165" s="9">
        <f>IF(D163="T",1,0)</f>
        <v>0</v>
      </c>
    </row>
    <row r="166" spans="1:16" x14ac:dyDescent="0.3">
      <c r="A166" s="16">
        <v>3</v>
      </c>
      <c r="B166" s="47">
        <v>2</v>
      </c>
      <c r="C166" s="47" t="s">
        <v>84</v>
      </c>
      <c r="D166" s="47" t="s">
        <v>44</v>
      </c>
      <c r="E166" s="19" t="s">
        <v>13</v>
      </c>
      <c r="F166" s="19" t="s">
        <v>63</v>
      </c>
      <c r="G166" s="9"/>
      <c r="H166" s="9">
        <f>IF(Table3811[[#This Row],[modality]]=C165,1,0)</f>
        <v>1</v>
      </c>
      <c r="I166" s="9">
        <f>IF(Table3811[[#This Row],[stimulus]]=F167,1,0)</f>
        <v>0</v>
      </c>
      <c r="J166" s="9">
        <f t="shared" si="2"/>
        <v>0</v>
      </c>
      <c r="P166" t="s">
        <v>23</v>
      </c>
    </row>
    <row r="167" spans="1:16" x14ac:dyDescent="0.3">
      <c r="A167" s="11">
        <v>3</v>
      </c>
      <c r="B167" s="48">
        <v>2</v>
      </c>
      <c r="C167" s="48" t="s">
        <v>84</v>
      </c>
      <c r="D167" s="48" t="s">
        <v>4</v>
      </c>
      <c r="E167" s="8" t="s">
        <v>45</v>
      </c>
      <c r="F167" s="8" t="s">
        <v>65</v>
      </c>
      <c r="G167" s="9"/>
      <c r="H167" s="9">
        <f>IF(Table3811[[#This Row],[modality]]=C166,1,0)</f>
        <v>1</v>
      </c>
      <c r="I167" s="9">
        <f>IF(Table3811[[#This Row],[stimulus]]=F168,1,0)</f>
        <v>1</v>
      </c>
      <c r="J167" s="9">
        <f t="shared" si="2"/>
        <v>1</v>
      </c>
    </row>
    <row r="168" spans="1:16" x14ac:dyDescent="0.3">
      <c r="A168" s="16">
        <v>3</v>
      </c>
      <c r="B168" s="47">
        <v>1</v>
      </c>
      <c r="C168" s="47" t="s">
        <v>85</v>
      </c>
      <c r="D168" s="47" t="s">
        <v>44</v>
      </c>
      <c r="E168" s="19" t="s">
        <v>14</v>
      </c>
      <c r="F168" s="19" t="s">
        <v>65</v>
      </c>
      <c r="G168" s="9"/>
      <c r="H168" s="9">
        <f>IF(Table3811[[#This Row],[modality]]=C167,1,0)</f>
        <v>0</v>
      </c>
      <c r="I168" s="9">
        <f>IF(Table3811[[#This Row],[stimulus]]=F169,1,0)</f>
        <v>0</v>
      </c>
      <c r="J168" s="9">
        <f t="shared" si="2"/>
        <v>0</v>
      </c>
    </row>
    <row r="169" spans="1:16" x14ac:dyDescent="0.3">
      <c r="A169" s="11">
        <v>3</v>
      </c>
      <c r="B169" s="45">
        <v>2</v>
      </c>
      <c r="C169" s="45" t="s">
        <v>84</v>
      </c>
      <c r="D169" s="45" t="s">
        <v>33</v>
      </c>
      <c r="E169" s="8" t="s">
        <v>46</v>
      </c>
      <c r="F169" s="8" t="s">
        <v>59</v>
      </c>
      <c r="G169" s="9"/>
      <c r="H169" s="9">
        <f>IF(Table3811[[#This Row],[modality]]=C168,1,0)</f>
        <v>0</v>
      </c>
      <c r="I169" s="9">
        <f>IF(Table3811[[#This Row],[stimulus]]=F170,1,0)</f>
        <v>0</v>
      </c>
      <c r="J169" s="9">
        <f t="shared" si="2"/>
        <v>1</v>
      </c>
    </row>
    <row r="170" spans="1:16" x14ac:dyDescent="0.3">
      <c r="A170" s="19">
        <v>3</v>
      </c>
      <c r="B170" s="48">
        <v>1</v>
      </c>
      <c r="C170" s="48" t="s">
        <v>85</v>
      </c>
      <c r="D170" s="48" t="s">
        <v>33</v>
      </c>
      <c r="E170" s="19" t="s">
        <v>46</v>
      </c>
      <c r="F170" s="19"/>
      <c r="G170" s="55" t="s">
        <v>131</v>
      </c>
      <c r="H170" s="9">
        <f>IF(Table3811[[#This Row],[modality]]=C169,1,0)</f>
        <v>0</v>
      </c>
      <c r="I170" s="9">
        <f>IF(Table3811[[#This Row],[stimulus]]=F171,1,0)</f>
        <v>0</v>
      </c>
      <c r="J170" s="9">
        <f t="shared" si="2"/>
        <v>0</v>
      </c>
    </row>
    <row r="171" spans="1:16" x14ac:dyDescent="0.3">
      <c r="A171" s="16">
        <v>3</v>
      </c>
      <c r="B171" s="47">
        <v>1</v>
      </c>
      <c r="C171" s="47" t="s">
        <v>85</v>
      </c>
      <c r="D171" s="47" t="s">
        <v>4</v>
      </c>
      <c r="E171" s="19" t="s">
        <v>45</v>
      </c>
      <c r="F171" s="19" t="s">
        <v>67</v>
      </c>
      <c r="G171" s="9"/>
      <c r="H171" s="9">
        <f>IF(Table3811[[#This Row],[modality]]=C170,1,0)</f>
        <v>1</v>
      </c>
      <c r="I171" s="9">
        <f>IF(Table3811[[#This Row],[stimulus]]=F172,1,0)</f>
        <v>1</v>
      </c>
      <c r="J171" s="9">
        <f t="shared" si="2"/>
        <v>0</v>
      </c>
    </row>
    <row r="172" spans="1:16" x14ac:dyDescent="0.3">
      <c r="A172" s="11">
        <v>3</v>
      </c>
      <c r="B172" s="48">
        <v>1</v>
      </c>
      <c r="C172" s="48" t="s">
        <v>85</v>
      </c>
      <c r="D172" s="48" t="s">
        <v>44</v>
      </c>
      <c r="E172" s="8" t="s">
        <v>13</v>
      </c>
      <c r="F172" s="8" t="s">
        <v>67</v>
      </c>
      <c r="G172" s="9"/>
      <c r="H172" s="9">
        <f>IF(Table3811[[#This Row],[modality]]=C171,1,0)</f>
        <v>1</v>
      </c>
      <c r="I172" s="9">
        <f>IF(Table3811[[#This Row],[stimulus]]=F173,1,0)</f>
        <v>0</v>
      </c>
      <c r="J172" s="9">
        <f t="shared" si="2"/>
        <v>0</v>
      </c>
    </row>
    <row r="173" spans="1:16" x14ac:dyDescent="0.3">
      <c r="A173" s="16">
        <v>3</v>
      </c>
      <c r="B173" s="45">
        <v>2</v>
      </c>
      <c r="C173" s="45" t="s">
        <v>84</v>
      </c>
      <c r="D173" s="45" t="s">
        <v>33</v>
      </c>
      <c r="E173" s="19" t="s">
        <v>46</v>
      </c>
      <c r="F173" s="19" t="s">
        <v>55</v>
      </c>
      <c r="G173" s="9"/>
      <c r="H173" s="9">
        <f>IF(Table3811[[#This Row],[modality]]=C172,1,0)</f>
        <v>0</v>
      </c>
      <c r="I173" s="9">
        <f>IF(Table3811[[#This Row],[stimulus]]=F174,1,0)</f>
        <v>0</v>
      </c>
      <c r="J173" s="9">
        <f t="shared" si="2"/>
        <v>1</v>
      </c>
    </row>
    <row r="174" spans="1:16" x14ac:dyDescent="0.3">
      <c r="A174" s="11">
        <v>3</v>
      </c>
      <c r="B174" s="48">
        <v>1</v>
      </c>
      <c r="C174" s="48" t="s">
        <v>85</v>
      </c>
      <c r="D174" s="48" t="s">
        <v>4</v>
      </c>
      <c r="E174" s="8" t="s">
        <v>45</v>
      </c>
      <c r="F174" s="8" t="s">
        <v>64</v>
      </c>
      <c r="G174" s="9"/>
      <c r="H174" s="9">
        <f>IF(Table3811[[#This Row],[modality]]=C173,1,0)</f>
        <v>0</v>
      </c>
      <c r="I174" s="9">
        <f>IF(Table3811[[#This Row],[stimulus]]=F175,1,0)</f>
        <v>1</v>
      </c>
      <c r="J174" s="9">
        <f t="shared" si="2"/>
        <v>0</v>
      </c>
    </row>
    <row r="175" spans="1:16" x14ac:dyDescent="0.3">
      <c r="A175" s="16">
        <v>3</v>
      </c>
      <c r="B175" s="47">
        <v>1</v>
      </c>
      <c r="C175" s="47" t="s">
        <v>85</v>
      </c>
      <c r="D175" s="47" t="s">
        <v>44</v>
      </c>
      <c r="E175" s="19" t="s">
        <v>13</v>
      </c>
      <c r="F175" s="19" t="s">
        <v>64</v>
      </c>
      <c r="G175" s="9"/>
      <c r="H175" s="9">
        <f>IF(Table3811[[#This Row],[modality]]=C174,1,0)</f>
        <v>1</v>
      </c>
      <c r="I175" s="9">
        <f>IF(Table3811[[#This Row],[stimulus]]=F176,1,0)</f>
        <v>0</v>
      </c>
      <c r="J175" s="9">
        <f t="shared" si="2"/>
        <v>0</v>
      </c>
    </row>
    <row r="176" spans="1:16" x14ac:dyDescent="0.3">
      <c r="A176" s="11">
        <v>3</v>
      </c>
      <c r="B176" s="45">
        <v>1</v>
      </c>
      <c r="C176" s="45" t="s">
        <v>85</v>
      </c>
      <c r="D176" s="45" t="s">
        <v>33</v>
      </c>
      <c r="E176" s="8" t="s">
        <v>46</v>
      </c>
      <c r="F176" s="8" t="s">
        <v>57</v>
      </c>
      <c r="G176" s="9"/>
      <c r="H176" s="9">
        <f>IF(Table3811[[#This Row],[modality]]=C175,1,0)</f>
        <v>1</v>
      </c>
      <c r="I176" s="9">
        <f>IF(Table3811[[#This Row],[stimulus]]=F177,1,0)</f>
        <v>0</v>
      </c>
      <c r="J176" s="9">
        <f t="shared" si="2"/>
        <v>1</v>
      </c>
    </row>
    <row r="177" spans="1:10" x14ac:dyDescent="0.3">
      <c r="A177" s="8">
        <v>4</v>
      </c>
      <c r="B177" s="46">
        <v>2</v>
      </c>
      <c r="C177" s="46" t="s">
        <v>84</v>
      </c>
      <c r="D177" s="46" t="s">
        <v>33</v>
      </c>
      <c r="E177" s="8" t="s">
        <v>46</v>
      </c>
      <c r="F177" s="8" t="s">
        <v>68</v>
      </c>
      <c r="G177" s="9"/>
      <c r="H177" s="9">
        <f>IF(Table3811[[#This Row],[modality]]=C176,1,0)</f>
        <v>0</v>
      </c>
      <c r="I177" s="9">
        <f>IF(Table3811[[#This Row],[stimulus]]=F178,1,0)</f>
        <v>0</v>
      </c>
      <c r="J177" s="9">
        <f t="shared" si="2"/>
        <v>0</v>
      </c>
    </row>
    <row r="178" spans="1:10" x14ac:dyDescent="0.3">
      <c r="A178" s="19">
        <v>4</v>
      </c>
      <c r="B178" s="47">
        <v>1</v>
      </c>
      <c r="C178" s="47" t="s">
        <v>85</v>
      </c>
      <c r="D178" s="47" t="s">
        <v>4</v>
      </c>
      <c r="E178" s="19" t="s">
        <v>45</v>
      </c>
      <c r="F178" s="19" t="s">
        <v>76</v>
      </c>
      <c r="G178" s="9"/>
      <c r="H178" s="9">
        <f>IF(Table3811[[#This Row],[modality]]=C177,1,0)</f>
        <v>0</v>
      </c>
      <c r="I178" s="9">
        <f>IF(Table3811[[#This Row],[stimulus]]=F179,1,0)</f>
        <v>1</v>
      </c>
      <c r="J178" s="9">
        <f t="shared" si="2"/>
        <v>0</v>
      </c>
    </row>
    <row r="179" spans="1:10" x14ac:dyDescent="0.3">
      <c r="A179" s="8">
        <v>4</v>
      </c>
      <c r="B179" s="48">
        <v>1</v>
      </c>
      <c r="C179" s="48" t="s">
        <v>85</v>
      </c>
      <c r="D179" s="48" t="s">
        <v>44</v>
      </c>
      <c r="E179" s="8" t="s">
        <v>13</v>
      </c>
      <c r="F179" s="8" t="s">
        <v>76</v>
      </c>
      <c r="G179" s="9"/>
      <c r="H179" s="9">
        <f>IF(Table3811[[#This Row],[modality]]=C178,1,0)</f>
        <v>1</v>
      </c>
      <c r="I179" s="9">
        <f>IF(Table3811[[#This Row],[stimulus]]=F180,1,0)</f>
        <v>0</v>
      </c>
      <c r="J179" s="9">
        <f t="shared" si="2"/>
        <v>0</v>
      </c>
    </row>
    <row r="180" spans="1:10" x14ac:dyDescent="0.3">
      <c r="A180" s="19">
        <v>4</v>
      </c>
      <c r="B180" s="47">
        <v>1</v>
      </c>
      <c r="C180" s="47" t="s">
        <v>85</v>
      </c>
      <c r="D180" s="47" t="s">
        <v>4</v>
      </c>
      <c r="E180" s="19" t="s">
        <v>45</v>
      </c>
      <c r="F180" s="19" t="s">
        <v>71</v>
      </c>
      <c r="G180" s="9"/>
      <c r="H180" s="9">
        <f>IF(Table3811[[#This Row],[modality]]=C179,1,0)</f>
        <v>1</v>
      </c>
      <c r="I180" s="9">
        <f>IF(Table3811[[#This Row],[stimulus]]=F181,1,0)</f>
        <v>1</v>
      </c>
      <c r="J180" s="9">
        <f t="shared" si="2"/>
        <v>1</v>
      </c>
    </row>
    <row r="181" spans="1:10" x14ac:dyDescent="0.3">
      <c r="A181" s="8">
        <v>4</v>
      </c>
      <c r="B181" s="48">
        <v>2</v>
      </c>
      <c r="C181" s="48" t="s">
        <v>84</v>
      </c>
      <c r="D181" s="48" t="s">
        <v>44</v>
      </c>
      <c r="E181" s="8" t="s">
        <v>14</v>
      </c>
      <c r="F181" s="8" t="s">
        <v>71</v>
      </c>
      <c r="G181" s="9"/>
      <c r="H181" s="9">
        <f>IF(Table3811[[#This Row],[modality]]=C180,1,0)</f>
        <v>0</v>
      </c>
      <c r="I181" s="9">
        <f>IF(Table3811[[#This Row],[stimulus]]=F182,1,0)</f>
        <v>0</v>
      </c>
      <c r="J181" s="9">
        <f t="shared" si="2"/>
        <v>0</v>
      </c>
    </row>
    <row r="182" spans="1:10" x14ac:dyDescent="0.3">
      <c r="A182" s="19">
        <v>4</v>
      </c>
      <c r="B182" s="46">
        <v>1</v>
      </c>
      <c r="C182" s="46" t="s">
        <v>85</v>
      </c>
      <c r="D182" s="46" t="s">
        <v>33</v>
      </c>
      <c r="E182" s="19" t="s">
        <v>46</v>
      </c>
      <c r="F182" s="19" t="s">
        <v>66</v>
      </c>
      <c r="G182" s="9"/>
      <c r="H182" s="9">
        <f>IF(Table3811[[#This Row],[modality]]=C181,1,0)</f>
        <v>0</v>
      </c>
      <c r="I182" s="9">
        <f>IF(Table3811[[#This Row],[stimulus]]=F183,1,0)</f>
        <v>0</v>
      </c>
      <c r="J182" s="9">
        <f t="shared" si="2"/>
        <v>1</v>
      </c>
    </row>
    <row r="183" spans="1:10" x14ac:dyDescent="0.3">
      <c r="A183" s="8">
        <v>4</v>
      </c>
      <c r="B183" s="48">
        <v>2</v>
      </c>
      <c r="C183" s="48" t="s">
        <v>84</v>
      </c>
      <c r="D183" s="48" t="s">
        <v>4</v>
      </c>
      <c r="E183" s="8" t="s">
        <v>45</v>
      </c>
      <c r="F183" s="8" t="s">
        <v>75</v>
      </c>
      <c r="G183" s="9"/>
      <c r="H183" s="9">
        <f>IF(Table3811[[#This Row],[modality]]=C182,1,0)</f>
        <v>0</v>
      </c>
      <c r="I183" s="9">
        <f>IF(Table3811[[#This Row],[stimulus]]=F184,1,0)</f>
        <v>1</v>
      </c>
      <c r="J183" s="9">
        <f t="shared" si="2"/>
        <v>0</v>
      </c>
    </row>
    <row r="184" spans="1:10" x14ac:dyDescent="0.3">
      <c r="A184" s="19">
        <v>4</v>
      </c>
      <c r="B184" s="47">
        <v>2</v>
      </c>
      <c r="C184" s="47" t="s">
        <v>84</v>
      </c>
      <c r="D184" s="47" t="s">
        <v>44</v>
      </c>
      <c r="E184" s="19" t="s">
        <v>13</v>
      </c>
      <c r="F184" s="19" t="s">
        <v>75</v>
      </c>
      <c r="G184" s="9"/>
      <c r="H184" s="9">
        <f>IF(Table3811[[#This Row],[modality]]=C183,1,0)</f>
        <v>1</v>
      </c>
      <c r="I184" s="9">
        <f>IF(Table3811[[#This Row],[stimulus]]=F185,1,0)</f>
        <v>0</v>
      </c>
      <c r="J184" s="9">
        <f t="shared" si="2"/>
        <v>0</v>
      </c>
    </row>
    <row r="185" spans="1:10" x14ac:dyDescent="0.3">
      <c r="A185" s="8">
        <v>4</v>
      </c>
      <c r="B185" s="48">
        <v>2</v>
      </c>
      <c r="C185" s="48" t="s">
        <v>84</v>
      </c>
      <c r="D185" s="48" t="s">
        <v>4</v>
      </c>
      <c r="E185" s="8" t="s">
        <v>45</v>
      </c>
      <c r="F185" s="8" t="s">
        <v>77</v>
      </c>
      <c r="G185" s="9"/>
      <c r="H185" s="9">
        <f>IF(Table3811[[#This Row],[modality]]=C184,1,0)</f>
        <v>1</v>
      </c>
      <c r="I185" s="9">
        <f>IF(Table3811[[#This Row],[stimulus]]=F186,1,0)</f>
        <v>1</v>
      </c>
      <c r="J185" s="9">
        <f t="shared" si="2"/>
        <v>1</v>
      </c>
    </row>
    <row r="186" spans="1:10" x14ac:dyDescent="0.3">
      <c r="A186" s="19">
        <v>4</v>
      </c>
      <c r="B186" s="47">
        <v>1</v>
      </c>
      <c r="C186" s="47" t="s">
        <v>85</v>
      </c>
      <c r="D186" s="47" t="s">
        <v>44</v>
      </c>
      <c r="E186" s="19" t="s">
        <v>14</v>
      </c>
      <c r="F186" s="19" t="s">
        <v>77</v>
      </c>
      <c r="G186" s="9"/>
      <c r="H186" s="9">
        <f>IF(Table3811[[#This Row],[modality]]=C185,1,0)</f>
        <v>0</v>
      </c>
      <c r="I186" s="9">
        <f>IF(Table3811[[#This Row],[stimulus]]=F187,1,0)</f>
        <v>0</v>
      </c>
      <c r="J186" s="9">
        <f t="shared" si="2"/>
        <v>0</v>
      </c>
    </row>
    <row r="187" spans="1:10" x14ac:dyDescent="0.3">
      <c r="A187" s="8">
        <v>4</v>
      </c>
      <c r="B187" s="46">
        <v>2</v>
      </c>
      <c r="C187" s="46" t="s">
        <v>84</v>
      </c>
      <c r="D187" s="46" t="s">
        <v>33</v>
      </c>
      <c r="E187" s="8" t="s">
        <v>46</v>
      </c>
      <c r="F187" s="8" t="s">
        <v>70</v>
      </c>
      <c r="G187" s="9"/>
      <c r="H187" s="9">
        <f>IF(Table3811[[#This Row],[modality]]=C186,1,0)</f>
        <v>0</v>
      </c>
      <c r="I187" s="9">
        <f>IF(Table3811[[#This Row],[stimulus]]=F188,1,0)</f>
        <v>0</v>
      </c>
      <c r="J187" s="9">
        <f t="shared" si="2"/>
        <v>1</v>
      </c>
    </row>
    <row r="188" spans="1:10" x14ac:dyDescent="0.3">
      <c r="A188" s="19">
        <v>4</v>
      </c>
      <c r="B188" s="47">
        <v>1</v>
      </c>
      <c r="C188" s="47" t="s">
        <v>85</v>
      </c>
      <c r="D188" s="47" t="s">
        <v>4</v>
      </c>
      <c r="E188" s="19" t="s">
        <v>45</v>
      </c>
      <c r="F188" s="19" t="s">
        <v>72</v>
      </c>
      <c r="G188" s="9"/>
      <c r="H188" s="9">
        <f>IF(Table3811[[#This Row],[modality]]=C187,1,0)</f>
        <v>0</v>
      </c>
      <c r="I188" s="9">
        <f>IF(Table3811[[#This Row],[stimulus]]=F189,1,0)</f>
        <v>1</v>
      </c>
      <c r="J188" s="9">
        <f t="shared" si="2"/>
        <v>0</v>
      </c>
    </row>
    <row r="189" spans="1:10" x14ac:dyDescent="0.3">
      <c r="A189" s="8">
        <v>4</v>
      </c>
      <c r="B189" s="48">
        <v>2</v>
      </c>
      <c r="C189" s="48" t="s">
        <v>84</v>
      </c>
      <c r="D189" s="48" t="s">
        <v>44</v>
      </c>
      <c r="E189" s="8" t="s">
        <v>14</v>
      </c>
      <c r="F189" s="8" t="s">
        <v>72</v>
      </c>
      <c r="G189" s="9"/>
      <c r="H189" s="9">
        <f>IF(Table3811[[#This Row],[modality]]=C188,1,0)</f>
        <v>0</v>
      </c>
      <c r="I189" s="9">
        <f>IF(Table3811[[#This Row],[stimulus]]=F190,1,0)</f>
        <v>0</v>
      </c>
      <c r="J189" s="9">
        <f t="shared" si="2"/>
        <v>0</v>
      </c>
    </row>
    <row r="190" spans="1:10" x14ac:dyDescent="0.3">
      <c r="A190" s="19">
        <v>4</v>
      </c>
      <c r="B190" s="46">
        <v>1</v>
      </c>
      <c r="C190" s="46" t="s">
        <v>85</v>
      </c>
      <c r="D190" s="46" t="s">
        <v>33</v>
      </c>
      <c r="E190" s="19" t="s">
        <v>46</v>
      </c>
      <c r="F190" s="19" t="s">
        <v>69</v>
      </c>
      <c r="G190" s="9"/>
      <c r="H190" s="9">
        <f>IF(Table3811[[#This Row],[modality]]=C189,1,0)</f>
        <v>0</v>
      </c>
      <c r="I190" s="9">
        <f>IF(Table3811[[#This Row],[stimulus]]=F191,1,0)</f>
        <v>0</v>
      </c>
      <c r="J190" s="9">
        <f t="shared" si="2"/>
        <v>1</v>
      </c>
    </row>
    <row r="191" spans="1:10" x14ac:dyDescent="0.3">
      <c r="A191" s="8">
        <v>4</v>
      </c>
      <c r="B191" s="46">
        <v>2</v>
      </c>
      <c r="C191" s="46" t="s">
        <v>84</v>
      </c>
      <c r="D191" s="46" t="s">
        <v>33</v>
      </c>
      <c r="E191" s="8" t="s">
        <v>46</v>
      </c>
      <c r="F191" s="8" t="s">
        <v>63</v>
      </c>
      <c r="G191" s="9"/>
      <c r="H191" s="9">
        <f>IF(Table3811[[#This Row],[modality]]=C190,1,0)</f>
        <v>0</v>
      </c>
      <c r="I191" s="9">
        <f>IF(Table3811[[#This Row],[stimulus]]=F192,1,0)</f>
        <v>0</v>
      </c>
      <c r="J191" s="9">
        <f t="shared" si="2"/>
        <v>0</v>
      </c>
    </row>
    <row r="192" spans="1:10" x14ac:dyDescent="0.3">
      <c r="A192" s="19">
        <v>4</v>
      </c>
      <c r="B192" s="47">
        <v>2</v>
      </c>
      <c r="C192" s="47" t="s">
        <v>84</v>
      </c>
      <c r="D192" s="47" t="s">
        <v>4</v>
      </c>
      <c r="E192" s="19" t="s">
        <v>45</v>
      </c>
      <c r="F192" s="19" t="s">
        <v>78</v>
      </c>
      <c r="G192" s="9"/>
      <c r="H192" s="9">
        <f>IF(Table3811[[#This Row],[modality]]=C191,1,0)</f>
        <v>1</v>
      </c>
      <c r="I192" s="9">
        <f>IF(Table3811[[#This Row],[stimulus]]=F193,1,0)</f>
        <v>1</v>
      </c>
      <c r="J192" s="9">
        <f t="shared" si="2"/>
        <v>0</v>
      </c>
    </row>
    <row r="193" spans="1:10" x14ac:dyDescent="0.3">
      <c r="A193" s="8">
        <v>4</v>
      </c>
      <c r="B193" s="48">
        <v>2</v>
      </c>
      <c r="C193" s="48" t="s">
        <v>84</v>
      </c>
      <c r="D193" s="48" t="s">
        <v>44</v>
      </c>
      <c r="E193" s="8" t="s">
        <v>13</v>
      </c>
      <c r="F193" s="8" t="s">
        <v>78</v>
      </c>
      <c r="G193" s="9"/>
      <c r="H193" s="9">
        <f>IF(Table3811[[#This Row],[modality]]=C192,1,0)</f>
        <v>1</v>
      </c>
      <c r="I193" s="9">
        <f>IF(Table3811[[#This Row],[stimulus]]=F194,1,0)</f>
        <v>0</v>
      </c>
      <c r="J193" s="9">
        <f t="shared" si="2"/>
        <v>0</v>
      </c>
    </row>
    <row r="194" spans="1:10" x14ac:dyDescent="0.3">
      <c r="A194" s="19">
        <v>4</v>
      </c>
      <c r="B194" s="46">
        <v>1</v>
      </c>
      <c r="C194" s="46" t="s">
        <v>85</v>
      </c>
      <c r="D194" s="46" t="s">
        <v>33</v>
      </c>
      <c r="E194" s="19" t="s">
        <v>46</v>
      </c>
      <c r="F194" s="19" t="s">
        <v>65</v>
      </c>
      <c r="G194" s="9"/>
      <c r="H194" s="9">
        <f>IF(Table3811[[#This Row],[modality]]=C193,1,0)</f>
        <v>0</v>
      </c>
      <c r="I194" s="9">
        <f>IF(Table3811[[#This Row],[stimulus]]=F195,1,0)</f>
        <v>0</v>
      </c>
      <c r="J194" s="9">
        <f t="shared" ref="J194:J257" si="3">IF(D193="T",1,0)</f>
        <v>1</v>
      </c>
    </row>
    <row r="195" spans="1:10" x14ac:dyDescent="0.3">
      <c r="A195" s="8">
        <v>4</v>
      </c>
      <c r="B195" s="46">
        <v>2</v>
      </c>
      <c r="C195" s="46" t="s">
        <v>84</v>
      </c>
      <c r="D195" s="46" t="s">
        <v>33</v>
      </c>
      <c r="E195" s="8" t="s">
        <v>46</v>
      </c>
      <c r="F195" s="8" t="s">
        <v>67</v>
      </c>
      <c r="G195" s="9"/>
      <c r="H195" s="9">
        <f>IF(Table3811[[#This Row],[modality]]=C194,1,0)</f>
        <v>0</v>
      </c>
      <c r="I195" s="9">
        <f>IF(Table3811[[#This Row],[stimulus]]=F196,1,0)</f>
        <v>0</v>
      </c>
      <c r="J195" s="9">
        <f t="shared" si="3"/>
        <v>0</v>
      </c>
    </row>
    <row r="196" spans="1:10" x14ac:dyDescent="0.3">
      <c r="A196" s="8">
        <v>4</v>
      </c>
      <c r="B196" s="48">
        <v>2</v>
      </c>
      <c r="C196" s="48" t="s">
        <v>84</v>
      </c>
      <c r="D196" s="48" t="s">
        <v>4</v>
      </c>
      <c r="E196" s="8" t="s">
        <v>45</v>
      </c>
      <c r="F196" s="8" t="s">
        <v>73</v>
      </c>
      <c r="G196" s="9"/>
      <c r="H196" s="9">
        <f>IF(Table3811[[#This Row],[modality]]=C195,1,0)</f>
        <v>1</v>
      </c>
      <c r="I196" s="9">
        <f>IF(Table3811[[#This Row],[stimulus]]=F197,1,0)</f>
        <v>1</v>
      </c>
      <c r="J196" s="9">
        <f t="shared" si="3"/>
        <v>0</v>
      </c>
    </row>
    <row r="197" spans="1:10" x14ac:dyDescent="0.3">
      <c r="A197" s="19">
        <v>4</v>
      </c>
      <c r="B197" s="47">
        <v>1</v>
      </c>
      <c r="C197" s="47" t="s">
        <v>85</v>
      </c>
      <c r="D197" s="47" t="s">
        <v>44</v>
      </c>
      <c r="E197" s="19" t="s">
        <v>14</v>
      </c>
      <c r="F197" s="19" t="s">
        <v>73</v>
      </c>
      <c r="G197" s="9"/>
      <c r="H197" s="9">
        <f>IF(Table3811[[#This Row],[modality]]=C196,1,0)</f>
        <v>0</v>
      </c>
      <c r="I197" s="9">
        <f>IF(Table3811[[#This Row],[stimulus]]=F198,1,0)</f>
        <v>0</v>
      </c>
      <c r="J197" s="9">
        <f t="shared" si="3"/>
        <v>0</v>
      </c>
    </row>
    <row r="198" spans="1:10" x14ac:dyDescent="0.3">
      <c r="A198" s="8">
        <v>4</v>
      </c>
      <c r="B198" s="48">
        <v>1</v>
      </c>
      <c r="C198" s="48" t="s">
        <v>85</v>
      </c>
      <c r="D198" s="48" t="s">
        <v>4</v>
      </c>
      <c r="E198" s="8" t="s">
        <v>45</v>
      </c>
      <c r="F198" s="8" t="s">
        <v>74</v>
      </c>
      <c r="G198" s="9"/>
      <c r="H198" s="9">
        <f>IF(Table3811[[#This Row],[modality]]=C197,1,0)</f>
        <v>1</v>
      </c>
      <c r="I198" s="9">
        <f>IF(Table3811[[#This Row],[stimulus]]=F199,1,0)</f>
        <v>1</v>
      </c>
      <c r="J198" s="9">
        <f t="shared" si="3"/>
        <v>1</v>
      </c>
    </row>
    <row r="199" spans="1:10" x14ac:dyDescent="0.3">
      <c r="A199" s="19">
        <v>4</v>
      </c>
      <c r="B199" s="47">
        <v>1</v>
      </c>
      <c r="C199" s="47" t="s">
        <v>85</v>
      </c>
      <c r="D199" s="47" t="s">
        <v>44</v>
      </c>
      <c r="E199" s="19" t="s">
        <v>13</v>
      </c>
      <c r="F199" s="19" t="s">
        <v>74</v>
      </c>
      <c r="G199" s="9"/>
      <c r="H199" s="9">
        <f>IF(Table3811[[#This Row],[modality]]=C198,1,0)</f>
        <v>1</v>
      </c>
      <c r="I199" s="9">
        <f>IF(Table3811[[#This Row],[stimulus]]=F200,1,0)</f>
        <v>0</v>
      </c>
      <c r="J199" s="9">
        <f t="shared" si="3"/>
        <v>0</v>
      </c>
    </row>
    <row r="200" spans="1:10" x14ac:dyDescent="0.3">
      <c r="A200" s="19">
        <v>4</v>
      </c>
      <c r="B200" s="46">
        <v>2</v>
      </c>
      <c r="C200" s="46" t="s">
        <v>84</v>
      </c>
      <c r="D200" s="46" t="s">
        <v>33</v>
      </c>
      <c r="E200" s="19" t="s">
        <v>46</v>
      </c>
      <c r="F200" s="19" t="s">
        <v>64</v>
      </c>
      <c r="G200" s="9"/>
      <c r="H200" s="9">
        <f>IF(Table3811[[#This Row],[modality]]=C199,1,0)</f>
        <v>0</v>
      </c>
      <c r="I200" s="9">
        <f>IF(Table3811[[#This Row],[stimulus]]=F201,1,0)</f>
        <v>0</v>
      </c>
      <c r="J200" s="9">
        <f t="shared" si="3"/>
        <v>1</v>
      </c>
    </row>
    <row r="201" spans="1:10" x14ac:dyDescent="0.3">
      <c r="A201" t="s">
        <v>29</v>
      </c>
      <c r="G201" s="9"/>
      <c r="H201" s="9">
        <f>IF(Table3811[[#This Row],[modality]]=C200,1,0)</f>
        <v>0</v>
      </c>
      <c r="I201" s="9">
        <f>IF(Table3811[[#This Row],[stimulus]]=F202,1,0)</f>
        <v>0</v>
      </c>
      <c r="J201" s="9">
        <f t="shared" si="3"/>
        <v>0</v>
      </c>
    </row>
    <row r="202" spans="1:10" x14ac:dyDescent="0.3">
      <c r="A202" s="16">
        <v>1</v>
      </c>
      <c r="B202" s="43">
        <v>2</v>
      </c>
      <c r="C202" s="49" t="s">
        <v>84</v>
      </c>
      <c r="D202" s="51" t="s">
        <v>33</v>
      </c>
      <c r="E202" s="19" t="s">
        <v>46</v>
      </c>
      <c r="F202" s="19" t="s">
        <v>75</v>
      </c>
      <c r="G202" s="9"/>
      <c r="H202" s="9">
        <f>IF(Table3811[[#This Row],[modality]]=C201,1,0)</f>
        <v>0</v>
      </c>
      <c r="I202" s="9">
        <f>IF(Table3811[[#This Row],[stimulus]]=F203,1,0)</f>
        <v>0</v>
      </c>
      <c r="J202" s="9">
        <f t="shared" si="3"/>
        <v>0</v>
      </c>
    </row>
    <row r="203" spans="1:10" x14ac:dyDescent="0.3">
      <c r="A203" s="11">
        <v>1</v>
      </c>
      <c r="B203" s="42">
        <v>2</v>
      </c>
      <c r="C203" s="42" t="s">
        <v>84</v>
      </c>
      <c r="D203" s="48" t="s">
        <v>4</v>
      </c>
      <c r="E203" s="8" t="s">
        <v>45</v>
      </c>
      <c r="F203" s="8" t="s">
        <v>53</v>
      </c>
      <c r="G203" s="9"/>
      <c r="H203" s="9">
        <f>IF(Table3811[[#This Row],[modality]]=C202,1,0)</f>
        <v>1</v>
      </c>
      <c r="I203" s="9">
        <f>IF(Table3811[[#This Row],[stimulus]]=F204,1,0)</f>
        <v>1</v>
      </c>
      <c r="J203" s="9">
        <f t="shared" si="3"/>
        <v>0</v>
      </c>
    </row>
    <row r="204" spans="1:10" x14ac:dyDescent="0.3">
      <c r="A204" s="16">
        <v>1</v>
      </c>
      <c r="B204" s="41">
        <v>2</v>
      </c>
      <c r="C204" s="41" t="s">
        <v>84</v>
      </c>
      <c r="D204" s="47" t="s">
        <v>44</v>
      </c>
      <c r="E204" s="19" t="s">
        <v>13</v>
      </c>
      <c r="F204" s="19" t="s">
        <v>53</v>
      </c>
      <c r="G204" s="9"/>
      <c r="H204" s="9">
        <f>IF(Table3811[[#This Row],[modality]]=C203,1,0)</f>
        <v>1</v>
      </c>
      <c r="I204" s="9">
        <f>IF(Table3811[[#This Row],[stimulus]]=F205,1,0)</f>
        <v>0</v>
      </c>
      <c r="J204" s="9">
        <f t="shared" si="3"/>
        <v>0</v>
      </c>
    </row>
    <row r="205" spans="1:10" x14ac:dyDescent="0.3">
      <c r="A205" s="11">
        <v>1</v>
      </c>
      <c r="B205" s="43">
        <v>1</v>
      </c>
      <c r="C205" s="43" t="s">
        <v>85</v>
      </c>
      <c r="D205" s="51" t="s">
        <v>33</v>
      </c>
      <c r="E205" s="8" t="s">
        <v>46</v>
      </c>
      <c r="F205" s="8" t="s">
        <v>73</v>
      </c>
      <c r="G205" s="9"/>
      <c r="H205" s="9">
        <f>IF(Table3811[[#This Row],[modality]]=C204,1,0)</f>
        <v>0</v>
      </c>
      <c r="I205" s="9">
        <f>IF(Table3811[[#This Row],[stimulus]]=F206,1,0)</f>
        <v>0</v>
      </c>
      <c r="J205" s="9">
        <f t="shared" si="3"/>
        <v>1</v>
      </c>
    </row>
    <row r="206" spans="1:10" x14ac:dyDescent="0.3">
      <c r="A206" s="16">
        <v>1</v>
      </c>
      <c r="B206" s="43">
        <v>1</v>
      </c>
      <c r="C206" s="43" t="s">
        <v>85</v>
      </c>
      <c r="D206" s="51" t="s">
        <v>33</v>
      </c>
      <c r="E206" s="19" t="s">
        <v>46</v>
      </c>
      <c r="F206" s="19" t="s">
        <v>77</v>
      </c>
      <c r="G206" s="9"/>
      <c r="H206" s="9">
        <f>IF(Table3811[[#This Row],[modality]]=C205,1,0)</f>
        <v>1</v>
      </c>
      <c r="I206" s="9">
        <f>IF(Table3811[[#This Row],[stimulus]]=F207,1,0)</f>
        <v>0</v>
      </c>
      <c r="J206" s="9">
        <f t="shared" si="3"/>
        <v>0</v>
      </c>
    </row>
    <row r="207" spans="1:10" x14ac:dyDescent="0.3">
      <c r="A207" s="11">
        <v>1</v>
      </c>
      <c r="B207" s="42">
        <v>2</v>
      </c>
      <c r="C207" s="42" t="s">
        <v>84</v>
      </c>
      <c r="D207" s="48" t="s">
        <v>4</v>
      </c>
      <c r="E207" s="8" t="s">
        <v>45</v>
      </c>
      <c r="F207" s="8" t="s">
        <v>52</v>
      </c>
      <c r="G207" s="9"/>
      <c r="H207" s="9">
        <f>IF(Table3811[[#This Row],[modality]]=C206,1,0)</f>
        <v>0</v>
      </c>
      <c r="I207" s="9">
        <f>IF(Table3811[[#This Row],[stimulus]]=F208,1,0)</f>
        <v>1</v>
      </c>
      <c r="J207" s="9">
        <f t="shared" si="3"/>
        <v>0</v>
      </c>
    </row>
    <row r="208" spans="1:10" x14ac:dyDescent="0.3">
      <c r="A208" s="16">
        <v>1</v>
      </c>
      <c r="B208" s="41">
        <v>2</v>
      </c>
      <c r="C208" s="41" t="s">
        <v>84</v>
      </c>
      <c r="D208" s="47" t="s">
        <v>44</v>
      </c>
      <c r="E208" s="19" t="s">
        <v>13</v>
      </c>
      <c r="F208" s="19" t="s">
        <v>52</v>
      </c>
      <c r="G208" s="9"/>
      <c r="H208" s="9">
        <f>IF(Table3811[[#This Row],[modality]]=C207,1,0)</f>
        <v>1</v>
      </c>
      <c r="I208" s="9">
        <f>IF(Table3811[[#This Row],[stimulus]]=F209,1,0)</f>
        <v>0</v>
      </c>
      <c r="J208" s="9">
        <f t="shared" si="3"/>
        <v>0</v>
      </c>
    </row>
    <row r="209" spans="1:10" x14ac:dyDescent="0.3">
      <c r="A209" s="11">
        <v>1</v>
      </c>
      <c r="B209" s="42">
        <v>2</v>
      </c>
      <c r="C209" s="42" t="s">
        <v>84</v>
      </c>
      <c r="D209" s="48" t="s">
        <v>4</v>
      </c>
      <c r="E209" s="8" t="s">
        <v>45</v>
      </c>
      <c r="F209" s="8" t="s">
        <v>54</v>
      </c>
      <c r="G209" s="9"/>
      <c r="H209" s="9">
        <f>IF(Table3811[[#This Row],[modality]]=C208,1,0)</f>
        <v>1</v>
      </c>
      <c r="I209" s="9">
        <f>IF(Table3811[[#This Row],[stimulus]]=F210,1,0)</f>
        <v>1</v>
      </c>
      <c r="J209" s="9">
        <f t="shared" si="3"/>
        <v>1</v>
      </c>
    </row>
    <row r="210" spans="1:10" x14ac:dyDescent="0.3">
      <c r="A210" s="16">
        <v>1</v>
      </c>
      <c r="B210" s="41">
        <v>1</v>
      </c>
      <c r="C210" s="41" t="s">
        <v>85</v>
      </c>
      <c r="D210" s="47" t="s">
        <v>44</v>
      </c>
      <c r="E210" s="19" t="s">
        <v>14</v>
      </c>
      <c r="F210" s="19" t="s">
        <v>54</v>
      </c>
      <c r="G210" s="9"/>
      <c r="H210" s="9">
        <f>IF(Table3811[[#This Row],[modality]]=C209,1,0)</f>
        <v>0</v>
      </c>
      <c r="I210" s="9">
        <f>IF(Table3811[[#This Row],[stimulus]]=F211,1,0)</f>
        <v>0</v>
      </c>
      <c r="J210" s="9">
        <f t="shared" si="3"/>
        <v>0</v>
      </c>
    </row>
    <row r="211" spans="1:10" x14ac:dyDescent="0.3">
      <c r="A211" s="11">
        <v>1</v>
      </c>
      <c r="B211" s="43">
        <v>1</v>
      </c>
      <c r="C211" s="43" t="s">
        <v>85</v>
      </c>
      <c r="D211" s="51" t="s">
        <v>33</v>
      </c>
      <c r="E211" s="8" t="s">
        <v>46</v>
      </c>
      <c r="F211" s="8" t="s">
        <v>74</v>
      </c>
      <c r="G211" s="9"/>
      <c r="H211" s="9">
        <f>IF(Table3811[[#This Row],[modality]]=C210,1,0)</f>
        <v>1</v>
      </c>
      <c r="I211" s="9">
        <f>IF(Table3811[[#This Row],[stimulus]]=F212,1,0)</f>
        <v>0</v>
      </c>
      <c r="J211" s="9">
        <f t="shared" si="3"/>
        <v>1</v>
      </c>
    </row>
    <row r="212" spans="1:10" x14ac:dyDescent="0.3">
      <c r="A212" s="16">
        <v>1</v>
      </c>
      <c r="B212" s="41">
        <v>1</v>
      </c>
      <c r="C212" s="41" t="s">
        <v>85</v>
      </c>
      <c r="D212" s="47" t="s">
        <v>4</v>
      </c>
      <c r="E212" s="19" t="s">
        <v>45</v>
      </c>
      <c r="F212" s="19" t="s">
        <v>47</v>
      </c>
      <c r="G212" s="9"/>
      <c r="H212" s="9">
        <f>IF(Table3811[[#This Row],[modality]]=C211,1,0)</f>
        <v>1</v>
      </c>
      <c r="I212" s="9">
        <f>IF(Table3811[[#This Row],[stimulus]]=F213,1,0)</f>
        <v>1</v>
      </c>
      <c r="J212" s="9">
        <f t="shared" si="3"/>
        <v>0</v>
      </c>
    </row>
    <row r="213" spans="1:10" x14ac:dyDescent="0.3">
      <c r="A213" s="11">
        <v>1</v>
      </c>
      <c r="B213" s="42">
        <v>2</v>
      </c>
      <c r="C213" s="42" t="s">
        <v>84</v>
      </c>
      <c r="D213" s="48" t="s">
        <v>44</v>
      </c>
      <c r="E213" s="8" t="s">
        <v>14</v>
      </c>
      <c r="F213" s="8" t="s">
        <v>47</v>
      </c>
      <c r="G213" s="9"/>
      <c r="H213" s="9">
        <f>IF(Table3811[[#This Row],[modality]]=C212,1,0)</f>
        <v>0</v>
      </c>
      <c r="I213" s="9">
        <f>IF(Table3811[[#This Row],[stimulus]]=F214,1,0)</f>
        <v>0</v>
      </c>
      <c r="J213" s="9">
        <f t="shared" si="3"/>
        <v>0</v>
      </c>
    </row>
    <row r="214" spans="1:10" x14ac:dyDescent="0.3">
      <c r="A214" s="16">
        <v>1</v>
      </c>
      <c r="B214" s="41">
        <v>2</v>
      </c>
      <c r="C214" s="41" t="s">
        <v>84</v>
      </c>
      <c r="D214" s="47" t="s">
        <v>4</v>
      </c>
      <c r="E214" s="19" t="s">
        <v>45</v>
      </c>
      <c r="F214" s="19" t="s">
        <v>50</v>
      </c>
      <c r="G214" s="9"/>
      <c r="H214" s="9">
        <f>IF(Table3811[[#This Row],[modality]]=C213,1,0)</f>
        <v>1</v>
      </c>
      <c r="I214" s="9">
        <f>IF(Table3811[[#This Row],[stimulus]]=F215,1,0)</f>
        <v>1</v>
      </c>
      <c r="J214" s="9">
        <f t="shared" si="3"/>
        <v>1</v>
      </c>
    </row>
    <row r="215" spans="1:10" x14ac:dyDescent="0.3">
      <c r="A215" s="11">
        <v>1</v>
      </c>
      <c r="B215" s="42">
        <v>1</v>
      </c>
      <c r="C215" s="42" t="s">
        <v>85</v>
      </c>
      <c r="D215" s="48" t="s">
        <v>44</v>
      </c>
      <c r="E215" s="8" t="s">
        <v>14</v>
      </c>
      <c r="F215" s="8" t="s">
        <v>50</v>
      </c>
      <c r="G215" s="9"/>
      <c r="H215" s="9">
        <f>IF(Table3811[[#This Row],[modality]]=C214,1,0)</f>
        <v>0</v>
      </c>
      <c r="I215" s="9">
        <f>IF(Table3811[[#This Row],[stimulus]]=F216,1,0)</f>
        <v>0</v>
      </c>
      <c r="J215" s="9">
        <f t="shared" si="3"/>
        <v>0</v>
      </c>
    </row>
    <row r="216" spans="1:10" x14ac:dyDescent="0.3">
      <c r="A216" s="16">
        <v>1</v>
      </c>
      <c r="B216" s="43">
        <v>1</v>
      </c>
      <c r="C216" s="49" t="s">
        <v>85</v>
      </c>
      <c r="D216" s="51" t="s">
        <v>33</v>
      </c>
      <c r="E216" s="19" t="s">
        <v>46</v>
      </c>
      <c r="F216" s="19" t="s">
        <v>78</v>
      </c>
      <c r="G216" s="9"/>
      <c r="H216" s="9">
        <f>IF(Table3811[[#This Row],[modality]]=C215,1,0)</f>
        <v>1</v>
      </c>
      <c r="I216" s="9">
        <f>IF(Table3811[[#This Row],[stimulus]]=F217,1,0)</f>
        <v>0</v>
      </c>
      <c r="J216" s="9">
        <f t="shared" si="3"/>
        <v>1</v>
      </c>
    </row>
    <row r="217" spans="1:10" x14ac:dyDescent="0.3">
      <c r="A217" s="11">
        <v>1</v>
      </c>
      <c r="B217" s="43">
        <v>2</v>
      </c>
      <c r="C217" s="43" t="s">
        <v>84</v>
      </c>
      <c r="D217" s="51" t="s">
        <v>33</v>
      </c>
      <c r="E217" s="8" t="s">
        <v>46</v>
      </c>
      <c r="F217" s="8" t="s">
        <v>71</v>
      </c>
      <c r="G217" s="9"/>
      <c r="H217" s="9">
        <f>IF(Table3811[[#This Row],[modality]]=C216,1,0)</f>
        <v>0</v>
      </c>
      <c r="I217" s="9">
        <f>IF(Table3811[[#This Row],[stimulus]]=F218,1,0)</f>
        <v>0</v>
      </c>
      <c r="J217" s="9">
        <f t="shared" si="3"/>
        <v>0</v>
      </c>
    </row>
    <row r="218" spans="1:10" x14ac:dyDescent="0.3">
      <c r="A218" s="16">
        <v>1</v>
      </c>
      <c r="B218" s="41">
        <v>1</v>
      </c>
      <c r="C218" s="41" t="s">
        <v>85</v>
      </c>
      <c r="D218" s="47" t="s">
        <v>4</v>
      </c>
      <c r="E218" s="19" t="s">
        <v>45</v>
      </c>
      <c r="F218" s="19" t="s">
        <v>48</v>
      </c>
      <c r="G218" s="9"/>
      <c r="H218" s="9">
        <f>IF(Table3811[[#This Row],[modality]]=C217,1,0)</f>
        <v>0</v>
      </c>
      <c r="I218" s="9">
        <f>IF(Table3811[[#This Row],[stimulus]]=F219,1,0)</f>
        <v>1</v>
      </c>
      <c r="J218" s="9">
        <f t="shared" si="3"/>
        <v>0</v>
      </c>
    </row>
    <row r="219" spans="1:10" x14ac:dyDescent="0.3">
      <c r="A219" s="11">
        <v>1</v>
      </c>
      <c r="B219" s="42">
        <v>1</v>
      </c>
      <c r="C219" s="41" t="s">
        <v>85</v>
      </c>
      <c r="D219" s="48" t="s">
        <v>44</v>
      </c>
      <c r="E219" s="8" t="s">
        <v>13</v>
      </c>
      <c r="F219" s="8" t="s">
        <v>48</v>
      </c>
      <c r="G219" s="9"/>
      <c r="H219" s="9">
        <f>IF(Table3811[[#This Row],[modality]]=C218,1,0)</f>
        <v>1</v>
      </c>
      <c r="I219" s="9">
        <f>IF(Table3811[[#This Row],[stimulus]]=F220,1,0)</f>
        <v>0</v>
      </c>
      <c r="J219" s="9">
        <f t="shared" si="3"/>
        <v>0</v>
      </c>
    </row>
    <row r="220" spans="1:10" x14ac:dyDescent="0.3">
      <c r="A220" s="16">
        <v>1</v>
      </c>
      <c r="B220" s="43">
        <v>1</v>
      </c>
      <c r="C220" s="49" t="s">
        <v>85</v>
      </c>
      <c r="D220" s="51" t="s">
        <v>33</v>
      </c>
      <c r="E220" s="19" t="s">
        <v>46</v>
      </c>
      <c r="F220" s="19" t="s">
        <v>76</v>
      </c>
      <c r="G220" s="9"/>
      <c r="H220" s="9">
        <f>IF(Table3811[[#This Row],[modality]]=C219,1,0)</f>
        <v>1</v>
      </c>
      <c r="I220" s="9">
        <f>IF(Table3811[[#This Row],[stimulus]]=F221,1,0)</f>
        <v>0</v>
      </c>
      <c r="J220" s="9">
        <f t="shared" si="3"/>
        <v>1</v>
      </c>
    </row>
    <row r="221" spans="1:10" x14ac:dyDescent="0.3">
      <c r="A221" s="11">
        <v>1</v>
      </c>
      <c r="B221" s="43">
        <v>2</v>
      </c>
      <c r="C221" s="43" t="s">
        <v>84</v>
      </c>
      <c r="D221" s="51" t="s">
        <v>33</v>
      </c>
      <c r="E221" s="8" t="s">
        <v>46</v>
      </c>
      <c r="F221" s="8" t="s">
        <v>72</v>
      </c>
      <c r="G221" s="9"/>
      <c r="H221" s="9">
        <f>IF(Table3811[[#This Row],[modality]]=C220,1,0)</f>
        <v>0</v>
      </c>
      <c r="I221" s="9">
        <f>IF(Table3811[[#This Row],[stimulus]]=F222,1,0)</f>
        <v>0</v>
      </c>
      <c r="J221" s="9">
        <f t="shared" si="3"/>
        <v>0</v>
      </c>
    </row>
    <row r="222" spans="1:10" x14ac:dyDescent="0.3">
      <c r="A222" s="16">
        <v>1</v>
      </c>
      <c r="B222" s="41">
        <v>1</v>
      </c>
      <c r="C222" s="41" t="s">
        <v>85</v>
      </c>
      <c r="D222" s="47" t="s">
        <v>4</v>
      </c>
      <c r="E222" s="19" t="s">
        <v>45</v>
      </c>
      <c r="F222" s="19" t="s">
        <v>49</v>
      </c>
      <c r="G222" s="9"/>
      <c r="H222" s="9">
        <f>IF(Table3811[[#This Row],[modality]]=C221,1,0)</f>
        <v>0</v>
      </c>
      <c r="I222" s="9">
        <f>IF(Table3811[[#This Row],[stimulus]]=F223,1,0)</f>
        <v>1</v>
      </c>
      <c r="J222" s="9">
        <f t="shared" si="3"/>
        <v>0</v>
      </c>
    </row>
    <row r="223" spans="1:10" x14ac:dyDescent="0.3">
      <c r="A223" s="11">
        <v>1</v>
      </c>
      <c r="B223" s="42">
        <v>1</v>
      </c>
      <c r="C223" s="41" t="s">
        <v>85</v>
      </c>
      <c r="D223" s="48" t="s">
        <v>44</v>
      </c>
      <c r="E223" s="8" t="s">
        <v>13</v>
      </c>
      <c r="F223" s="8" t="s">
        <v>49</v>
      </c>
      <c r="G223" s="9"/>
      <c r="H223" s="9">
        <f>IF(Table3811[[#This Row],[modality]]=C222,1,0)</f>
        <v>1</v>
      </c>
      <c r="I223" s="9">
        <f>IF(Table3811[[#This Row],[stimulus]]=F224,1,0)</f>
        <v>0</v>
      </c>
      <c r="J223" s="9">
        <f t="shared" si="3"/>
        <v>0</v>
      </c>
    </row>
    <row r="224" spans="1:10" x14ac:dyDescent="0.3">
      <c r="A224" s="16">
        <v>1</v>
      </c>
      <c r="B224" s="41">
        <v>1</v>
      </c>
      <c r="C224" s="41" t="s">
        <v>85</v>
      </c>
      <c r="D224" s="47" t="s">
        <v>4</v>
      </c>
      <c r="E224" s="19" t="s">
        <v>45</v>
      </c>
      <c r="F224" s="19" t="s">
        <v>51</v>
      </c>
      <c r="G224" s="9"/>
      <c r="H224" s="9">
        <f>IF(Table3811[[#This Row],[modality]]=C223,1,0)</f>
        <v>1</v>
      </c>
      <c r="I224" s="9">
        <f>IF(Table3811[[#This Row],[stimulus]]=F225,1,0)</f>
        <v>1</v>
      </c>
      <c r="J224" s="9">
        <f t="shared" si="3"/>
        <v>1</v>
      </c>
    </row>
    <row r="225" spans="1:10" x14ac:dyDescent="0.3">
      <c r="A225" s="11">
        <v>1</v>
      </c>
      <c r="B225" s="42">
        <v>2</v>
      </c>
      <c r="C225" s="42" t="s">
        <v>84</v>
      </c>
      <c r="D225" s="48" t="s">
        <v>44</v>
      </c>
      <c r="E225" s="8" t="s">
        <v>14</v>
      </c>
      <c r="F225" s="8" t="s">
        <v>51</v>
      </c>
      <c r="G225" s="9"/>
      <c r="H225" s="9">
        <f>IF(Table3811[[#This Row],[modality]]=C224,1,0)</f>
        <v>0</v>
      </c>
      <c r="I225" s="9">
        <f>IF(Table3811[[#This Row],[stimulus]]=F226,1,0)</f>
        <v>0</v>
      </c>
      <c r="J225" s="9">
        <f t="shared" si="3"/>
        <v>0</v>
      </c>
    </row>
    <row r="226" spans="1:10" x14ac:dyDescent="0.3">
      <c r="A226" s="8">
        <v>2</v>
      </c>
      <c r="B226" s="44">
        <v>2</v>
      </c>
      <c r="C226" s="44" t="s">
        <v>84</v>
      </c>
      <c r="D226" s="44" t="s">
        <v>33</v>
      </c>
      <c r="E226" s="8" t="s">
        <v>46</v>
      </c>
      <c r="F226" s="8" t="s">
        <v>53</v>
      </c>
      <c r="G226" s="9"/>
      <c r="H226" s="9">
        <f>IF(Table3811[[#This Row],[modality]]=C225,1,0)</f>
        <v>1</v>
      </c>
      <c r="I226" s="9">
        <f>IF(Table3811[[#This Row],[stimulus]]=F227,1,0)</f>
        <v>0</v>
      </c>
      <c r="J226" s="9">
        <f t="shared" si="3"/>
        <v>1</v>
      </c>
    </row>
    <row r="227" spans="1:10" x14ac:dyDescent="0.3">
      <c r="A227" s="8">
        <v>2</v>
      </c>
      <c r="B227" s="44">
        <v>1</v>
      </c>
      <c r="C227" s="44" t="s">
        <v>85</v>
      </c>
      <c r="D227" s="44" t="s">
        <v>33</v>
      </c>
      <c r="E227" s="8" t="s">
        <v>46</v>
      </c>
      <c r="F227" s="8" t="s">
        <v>49</v>
      </c>
      <c r="G227" s="9"/>
      <c r="H227" s="9">
        <f>IF(Table3811[[#This Row],[modality]]=C226,1,0)</f>
        <v>0</v>
      </c>
      <c r="I227" s="9">
        <f>IF(Table3811[[#This Row],[stimulus]]=F228,1,0)</f>
        <v>0</v>
      </c>
      <c r="J227" s="9">
        <f t="shared" si="3"/>
        <v>0</v>
      </c>
    </row>
    <row r="228" spans="1:10" x14ac:dyDescent="0.3">
      <c r="A228" s="8">
        <v>2</v>
      </c>
      <c r="B228" s="42">
        <v>1</v>
      </c>
      <c r="C228" s="48" t="s">
        <v>85</v>
      </c>
      <c r="D228" s="48" t="s">
        <v>4</v>
      </c>
      <c r="E228" s="8" t="s">
        <v>45</v>
      </c>
      <c r="F228" s="8" t="s">
        <v>56</v>
      </c>
      <c r="G228" s="9"/>
      <c r="H228" s="9">
        <f>IF(Table3811[[#This Row],[modality]]=C227,1,0)</f>
        <v>1</v>
      </c>
      <c r="I228" s="9">
        <f>IF(Table3811[[#This Row],[stimulus]]=F229,1,0)</f>
        <v>1</v>
      </c>
      <c r="J228" s="9">
        <f t="shared" si="3"/>
        <v>0</v>
      </c>
    </row>
    <row r="229" spans="1:10" x14ac:dyDescent="0.3">
      <c r="A229" s="19">
        <v>2</v>
      </c>
      <c r="B229" s="41">
        <v>1</v>
      </c>
      <c r="C229" s="47" t="s">
        <v>85</v>
      </c>
      <c r="D229" s="47" t="s">
        <v>44</v>
      </c>
      <c r="E229" s="19" t="s">
        <v>13</v>
      </c>
      <c r="F229" s="19" t="s">
        <v>56</v>
      </c>
      <c r="G229" s="9"/>
      <c r="H229" s="9">
        <f>IF(Table3811[[#This Row],[modality]]=C228,1,0)</f>
        <v>1</v>
      </c>
      <c r="I229" s="9">
        <f>IF(Table3811[[#This Row],[stimulus]]=F230,1,0)</f>
        <v>0</v>
      </c>
      <c r="J229" s="9">
        <f t="shared" si="3"/>
        <v>0</v>
      </c>
    </row>
    <row r="230" spans="1:10" x14ac:dyDescent="0.3">
      <c r="A230" s="19">
        <v>2</v>
      </c>
      <c r="B230" s="44">
        <v>2</v>
      </c>
      <c r="C230" s="44" t="s">
        <v>84</v>
      </c>
      <c r="D230" s="44" t="s">
        <v>33</v>
      </c>
      <c r="E230" s="19" t="s">
        <v>46</v>
      </c>
      <c r="F230" s="19" t="s">
        <v>52</v>
      </c>
      <c r="G230" s="9"/>
      <c r="H230" s="9">
        <f>IF(Table3811[[#This Row],[modality]]=C229,1,0)</f>
        <v>0</v>
      </c>
      <c r="I230" s="9">
        <f>IF(Table3811[[#This Row],[stimulus]]=F231,1,0)</f>
        <v>0</v>
      </c>
      <c r="J230" s="9">
        <f t="shared" si="3"/>
        <v>1</v>
      </c>
    </row>
    <row r="231" spans="1:10" x14ac:dyDescent="0.3">
      <c r="A231" s="8">
        <v>2</v>
      </c>
      <c r="B231" s="42">
        <v>1</v>
      </c>
      <c r="C231" s="42" t="s">
        <v>85</v>
      </c>
      <c r="D231" s="48" t="s">
        <v>4</v>
      </c>
      <c r="E231" s="8" t="s">
        <v>45</v>
      </c>
      <c r="F231" s="8" t="s">
        <v>57</v>
      </c>
      <c r="G231" s="9"/>
      <c r="H231" s="9">
        <f>IF(Table3811[[#This Row],[modality]]=C230,1,0)</f>
        <v>0</v>
      </c>
      <c r="I231" s="9">
        <f>IF(Table3811[[#This Row],[stimulus]]=F232,1,0)</f>
        <v>1</v>
      </c>
      <c r="J231" s="9">
        <f t="shared" si="3"/>
        <v>0</v>
      </c>
    </row>
    <row r="232" spans="1:10" x14ac:dyDescent="0.3">
      <c r="A232" s="19">
        <v>2</v>
      </c>
      <c r="B232" s="41">
        <v>1</v>
      </c>
      <c r="C232" s="41" t="s">
        <v>85</v>
      </c>
      <c r="D232" s="47" t="s">
        <v>44</v>
      </c>
      <c r="E232" s="19" t="s">
        <v>13</v>
      </c>
      <c r="F232" s="19" t="s">
        <v>57</v>
      </c>
      <c r="G232" s="9"/>
      <c r="H232" s="9">
        <f>IF(Table3811[[#This Row],[modality]]=C231,1,0)</f>
        <v>1</v>
      </c>
      <c r="I232" s="9">
        <f>IF(Table3811[[#This Row],[stimulus]]=F233,1,0)</f>
        <v>0</v>
      </c>
      <c r="J232" s="9">
        <f t="shared" si="3"/>
        <v>0</v>
      </c>
    </row>
    <row r="233" spans="1:10" x14ac:dyDescent="0.3">
      <c r="A233" s="8">
        <v>2</v>
      </c>
      <c r="B233" s="42">
        <v>1</v>
      </c>
      <c r="C233" s="42" t="s">
        <v>85</v>
      </c>
      <c r="D233" s="48" t="s">
        <v>4</v>
      </c>
      <c r="E233" s="8" t="s">
        <v>45</v>
      </c>
      <c r="F233" s="8" t="s">
        <v>59</v>
      </c>
      <c r="G233" s="9"/>
      <c r="H233" s="9">
        <f>IF(Table3811[[#This Row],[modality]]=C232,1,0)</f>
        <v>1</v>
      </c>
      <c r="I233" s="9">
        <f>IF(Table3811[[#This Row],[stimulus]]=F234,1,0)</f>
        <v>1</v>
      </c>
      <c r="J233" s="9">
        <f t="shared" si="3"/>
        <v>1</v>
      </c>
    </row>
    <row r="234" spans="1:10" x14ac:dyDescent="0.3">
      <c r="A234" s="19">
        <v>2</v>
      </c>
      <c r="B234" s="41">
        <v>2</v>
      </c>
      <c r="C234" s="41" t="s">
        <v>84</v>
      </c>
      <c r="D234" s="47" t="s">
        <v>44</v>
      </c>
      <c r="E234" s="19" t="s">
        <v>14</v>
      </c>
      <c r="F234" s="19" t="s">
        <v>59</v>
      </c>
      <c r="G234" s="9"/>
      <c r="H234" s="9">
        <f>IF(Table3811[[#This Row],[modality]]=C233,1,0)</f>
        <v>0</v>
      </c>
      <c r="I234" s="9">
        <f>IF(Table3811[[#This Row],[stimulus]]=F235,1,0)</f>
        <v>0</v>
      </c>
      <c r="J234" s="9">
        <f t="shared" si="3"/>
        <v>0</v>
      </c>
    </row>
    <row r="235" spans="1:10" x14ac:dyDescent="0.3">
      <c r="A235" s="8">
        <v>2</v>
      </c>
      <c r="B235" s="44">
        <v>2</v>
      </c>
      <c r="C235" s="44" t="s">
        <v>84</v>
      </c>
      <c r="D235" s="44" t="s">
        <v>33</v>
      </c>
      <c r="E235" s="8" t="s">
        <v>46</v>
      </c>
      <c r="F235" s="8" t="s">
        <v>54</v>
      </c>
      <c r="G235" s="9"/>
      <c r="H235" s="9">
        <f>IF(Table3811[[#This Row],[modality]]=C234,1,0)</f>
        <v>1</v>
      </c>
      <c r="I235" s="9">
        <f>IF(Table3811[[#This Row],[stimulus]]=F236,1,0)</f>
        <v>0</v>
      </c>
      <c r="J235" s="9">
        <f t="shared" si="3"/>
        <v>1</v>
      </c>
    </row>
    <row r="236" spans="1:10" x14ac:dyDescent="0.3">
      <c r="A236" s="19">
        <v>2</v>
      </c>
      <c r="B236" s="41">
        <v>2</v>
      </c>
      <c r="C236" s="41" t="s">
        <v>84</v>
      </c>
      <c r="D236" s="47" t="s">
        <v>4</v>
      </c>
      <c r="E236" s="19" t="s">
        <v>45</v>
      </c>
      <c r="F236" s="19" t="s">
        <v>58</v>
      </c>
      <c r="G236" s="9"/>
      <c r="H236" s="9">
        <f>IF(Table3811[[#This Row],[modality]]=C235,1,0)</f>
        <v>1</v>
      </c>
      <c r="I236" s="9">
        <f>IF(Table3811[[#This Row],[stimulus]]=F237,1,0)</f>
        <v>1</v>
      </c>
      <c r="J236" s="9">
        <f t="shared" si="3"/>
        <v>0</v>
      </c>
    </row>
    <row r="237" spans="1:10" x14ac:dyDescent="0.3">
      <c r="A237" s="8">
        <v>2</v>
      </c>
      <c r="B237" s="42">
        <v>1</v>
      </c>
      <c r="C237" s="42" t="s">
        <v>85</v>
      </c>
      <c r="D237" s="48" t="s">
        <v>44</v>
      </c>
      <c r="E237" s="8" t="s">
        <v>14</v>
      </c>
      <c r="F237" s="8" t="s">
        <v>58</v>
      </c>
      <c r="G237" s="9"/>
      <c r="H237" s="9">
        <f>IF(Table3811[[#This Row],[modality]]=C236,1,0)</f>
        <v>0</v>
      </c>
      <c r="I237" s="9">
        <f>IF(Table3811[[#This Row],[stimulus]]=F238,1,0)</f>
        <v>0</v>
      </c>
      <c r="J237" s="9">
        <f t="shared" si="3"/>
        <v>0</v>
      </c>
    </row>
    <row r="238" spans="1:10" x14ac:dyDescent="0.3">
      <c r="A238" s="19">
        <v>2</v>
      </c>
      <c r="B238" s="44">
        <v>1</v>
      </c>
      <c r="C238" s="44" t="s">
        <v>85</v>
      </c>
      <c r="D238" s="44" t="s">
        <v>33</v>
      </c>
      <c r="E238" s="19" t="s">
        <v>46</v>
      </c>
      <c r="F238" s="19" t="s">
        <v>47</v>
      </c>
      <c r="G238" s="9"/>
      <c r="H238" s="9">
        <f>IF(Table3811[[#This Row],[modality]]=C237,1,0)</f>
        <v>1</v>
      </c>
      <c r="I238" s="9">
        <f>IF(Table3811[[#This Row],[stimulus]]=F239,1,0)</f>
        <v>0</v>
      </c>
      <c r="J238" s="9">
        <f t="shared" si="3"/>
        <v>1</v>
      </c>
    </row>
    <row r="239" spans="1:10" x14ac:dyDescent="0.3">
      <c r="A239" s="19">
        <v>2</v>
      </c>
      <c r="B239" s="41">
        <v>1</v>
      </c>
      <c r="C239" s="41" t="s">
        <v>85</v>
      </c>
      <c r="D239" s="47" t="s">
        <v>4</v>
      </c>
      <c r="E239" s="19" t="s">
        <v>45</v>
      </c>
      <c r="F239" s="19" t="s">
        <v>55</v>
      </c>
      <c r="G239" s="9"/>
      <c r="H239" s="9">
        <f>IF(Table3811[[#This Row],[modality]]=C238,1,0)</f>
        <v>1</v>
      </c>
      <c r="I239" s="9">
        <f>IF(Table3811[[#This Row],[stimulus]]=F240,1,0)</f>
        <v>1</v>
      </c>
      <c r="J239" s="9">
        <f t="shared" si="3"/>
        <v>0</v>
      </c>
    </row>
    <row r="240" spans="1:10" x14ac:dyDescent="0.3">
      <c r="A240" s="8">
        <v>2</v>
      </c>
      <c r="B240" s="42">
        <v>2</v>
      </c>
      <c r="C240" s="42" t="s">
        <v>84</v>
      </c>
      <c r="D240" s="48" t="s">
        <v>44</v>
      </c>
      <c r="E240" s="8" t="s">
        <v>14</v>
      </c>
      <c r="F240" s="8" t="s">
        <v>55</v>
      </c>
      <c r="G240" s="9"/>
      <c r="H240" s="9">
        <f>IF(Table3811[[#This Row],[modality]]=C239,1,0)</f>
        <v>0</v>
      </c>
      <c r="I240" s="9">
        <f>IF(Table3811[[#This Row],[stimulus]]=F241,1,0)</f>
        <v>0</v>
      </c>
      <c r="J240" s="9">
        <f t="shared" si="3"/>
        <v>0</v>
      </c>
    </row>
    <row r="241" spans="1:10" x14ac:dyDescent="0.3">
      <c r="A241" s="8">
        <v>2</v>
      </c>
      <c r="B241" s="44">
        <v>1</v>
      </c>
      <c r="C241" s="44" t="s">
        <v>85</v>
      </c>
      <c r="D241" s="44" t="s">
        <v>33</v>
      </c>
      <c r="E241" s="8" t="s">
        <v>46</v>
      </c>
      <c r="F241" s="8" t="s">
        <v>50</v>
      </c>
      <c r="G241" s="9"/>
      <c r="H241" s="9">
        <f>IF(Table3811[[#This Row],[modality]]=C240,1,0)</f>
        <v>0</v>
      </c>
      <c r="I241" s="9">
        <f>IF(Table3811[[#This Row],[stimulus]]=F242,1,0)</f>
        <v>0</v>
      </c>
      <c r="J241" s="9">
        <f t="shared" si="3"/>
        <v>1</v>
      </c>
    </row>
    <row r="242" spans="1:10" x14ac:dyDescent="0.3">
      <c r="A242" s="19">
        <v>2</v>
      </c>
      <c r="B242" s="41">
        <v>2</v>
      </c>
      <c r="C242" s="41" t="s">
        <v>84</v>
      </c>
      <c r="D242" s="47" t="s">
        <v>4</v>
      </c>
      <c r="E242" s="19" t="s">
        <v>45</v>
      </c>
      <c r="F242" s="19" t="s">
        <v>61</v>
      </c>
      <c r="G242" s="9"/>
      <c r="H242" s="9">
        <f>IF(Table3811[[#This Row],[modality]]=C241,1,0)</f>
        <v>0</v>
      </c>
      <c r="I242" s="9">
        <f>IF(Table3811[[#This Row],[stimulus]]=F243,1,0)</f>
        <v>1</v>
      </c>
      <c r="J242" s="9">
        <f t="shared" si="3"/>
        <v>0</v>
      </c>
    </row>
    <row r="243" spans="1:10" x14ac:dyDescent="0.3">
      <c r="A243" s="8">
        <v>2</v>
      </c>
      <c r="B243" s="42">
        <v>2</v>
      </c>
      <c r="C243" s="42" t="s">
        <v>84</v>
      </c>
      <c r="D243" s="48" t="s">
        <v>44</v>
      </c>
      <c r="E243" s="8" t="s">
        <v>13</v>
      </c>
      <c r="F243" s="8" t="s">
        <v>61</v>
      </c>
      <c r="G243" s="9"/>
      <c r="H243" s="9">
        <f>IF(Table3811[[#This Row],[modality]]=C242,1,0)</f>
        <v>1</v>
      </c>
      <c r="I243" s="9">
        <f>IF(Table3811[[#This Row],[stimulus]]=F244,1,0)</f>
        <v>0</v>
      </c>
      <c r="J243" s="9">
        <f t="shared" si="3"/>
        <v>0</v>
      </c>
    </row>
    <row r="244" spans="1:10" x14ac:dyDescent="0.3">
      <c r="A244" s="19">
        <v>2</v>
      </c>
      <c r="B244" s="44">
        <v>1</v>
      </c>
      <c r="C244" s="44" t="s">
        <v>85</v>
      </c>
      <c r="D244" s="44" t="s">
        <v>33</v>
      </c>
      <c r="E244" s="19" t="s">
        <v>46</v>
      </c>
      <c r="F244" s="19" t="s">
        <v>48</v>
      </c>
      <c r="G244" s="9"/>
      <c r="H244" s="9">
        <f>IF(Table3811[[#This Row],[modality]]=C243,1,0)</f>
        <v>0</v>
      </c>
      <c r="I244" s="9">
        <f>IF(Table3811[[#This Row],[stimulus]]=F245,1,0)</f>
        <v>0</v>
      </c>
      <c r="J244" s="9">
        <f t="shared" si="3"/>
        <v>1</v>
      </c>
    </row>
    <row r="245" spans="1:10" x14ac:dyDescent="0.3">
      <c r="A245" s="8">
        <v>2</v>
      </c>
      <c r="B245" s="42">
        <v>2</v>
      </c>
      <c r="C245" s="42" t="s">
        <v>84</v>
      </c>
      <c r="D245" s="48" t="s">
        <v>4</v>
      </c>
      <c r="E245" s="8" t="s">
        <v>45</v>
      </c>
      <c r="F245" s="8" t="s">
        <v>62</v>
      </c>
      <c r="G245" s="9"/>
      <c r="H245" s="9">
        <f>IF(Table3811[[#This Row],[modality]]=C244,1,0)</f>
        <v>0</v>
      </c>
      <c r="I245" s="9">
        <f>IF(Table3811[[#This Row],[stimulus]]=F246,1,0)</f>
        <v>1</v>
      </c>
      <c r="J245" s="9">
        <f t="shared" si="3"/>
        <v>0</v>
      </c>
    </row>
    <row r="246" spans="1:10" x14ac:dyDescent="0.3">
      <c r="A246" s="19">
        <v>2</v>
      </c>
      <c r="B246" s="41">
        <v>2</v>
      </c>
      <c r="C246" s="41" t="s">
        <v>84</v>
      </c>
      <c r="D246" s="47" t="s">
        <v>44</v>
      </c>
      <c r="E246" s="19" t="s">
        <v>13</v>
      </c>
      <c r="F246" s="19" t="s">
        <v>62</v>
      </c>
      <c r="G246" s="9"/>
      <c r="H246" s="9">
        <f>IF(Table3811[[#This Row],[modality]]=C245,1,0)</f>
        <v>1</v>
      </c>
      <c r="I246" s="9">
        <f>IF(Table3811[[#This Row],[stimulus]]=F247,1,0)</f>
        <v>0</v>
      </c>
      <c r="J246" s="9">
        <f t="shared" si="3"/>
        <v>0</v>
      </c>
    </row>
    <row r="247" spans="1:10" x14ac:dyDescent="0.3">
      <c r="A247" s="19">
        <v>2</v>
      </c>
      <c r="B247" s="44">
        <v>2</v>
      </c>
      <c r="C247" s="44" t="s">
        <v>84</v>
      </c>
      <c r="D247" s="44" t="s">
        <v>33</v>
      </c>
      <c r="E247" s="19" t="s">
        <v>46</v>
      </c>
      <c r="F247" s="19" t="s">
        <v>51</v>
      </c>
      <c r="G247" s="9"/>
      <c r="H247" s="9">
        <f>IF(Table3811[[#This Row],[modality]]=C246,1,0)</f>
        <v>1</v>
      </c>
      <c r="I247" s="9">
        <f>IF(Table3811[[#This Row],[stimulus]]=F248,1,0)</f>
        <v>0</v>
      </c>
      <c r="J247" s="9">
        <f t="shared" si="3"/>
        <v>1</v>
      </c>
    </row>
    <row r="248" spans="1:10" x14ac:dyDescent="0.3">
      <c r="A248" s="8">
        <v>2</v>
      </c>
      <c r="B248" s="42">
        <v>2</v>
      </c>
      <c r="C248" s="42" t="s">
        <v>84</v>
      </c>
      <c r="D248" s="48" t="s">
        <v>4</v>
      </c>
      <c r="E248" s="8" t="s">
        <v>45</v>
      </c>
      <c r="F248" s="8" t="s">
        <v>60</v>
      </c>
      <c r="G248" s="9"/>
      <c r="H248" s="9">
        <f>IF(Table3811[[#This Row],[modality]]=C247,1,0)</f>
        <v>1</v>
      </c>
      <c r="I248" s="9">
        <f>IF(Table3811[[#This Row],[stimulus]]=F249,1,0)</f>
        <v>1</v>
      </c>
      <c r="J248" s="9">
        <f t="shared" si="3"/>
        <v>0</v>
      </c>
    </row>
    <row r="249" spans="1:10" x14ac:dyDescent="0.3">
      <c r="A249" s="19">
        <v>2</v>
      </c>
      <c r="B249" s="41">
        <v>1</v>
      </c>
      <c r="C249" s="41" t="s">
        <v>85</v>
      </c>
      <c r="D249" s="47" t="s">
        <v>44</v>
      </c>
      <c r="E249" s="19" t="s">
        <v>14</v>
      </c>
      <c r="F249" s="19" t="s">
        <v>60</v>
      </c>
      <c r="G249" s="9"/>
      <c r="H249" s="9">
        <f>IF(Table3811[[#This Row],[modality]]=C248,1,0)</f>
        <v>0</v>
      </c>
      <c r="I249" s="9">
        <f>IF(Table3811[[#This Row],[stimulus]]=F250,1,0)</f>
        <v>0</v>
      </c>
      <c r="J249" s="9">
        <f t="shared" si="3"/>
        <v>0</v>
      </c>
    </row>
    <row r="250" spans="1:10" x14ac:dyDescent="0.3">
      <c r="A250" s="16">
        <v>3</v>
      </c>
      <c r="B250" s="45">
        <v>1</v>
      </c>
      <c r="C250" s="45" t="s">
        <v>85</v>
      </c>
      <c r="D250" s="45" t="s">
        <v>33</v>
      </c>
      <c r="E250" s="19" t="s">
        <v>46</v>
      </c>
      <c r="F250" s="19" t="s">
        <v>56</v>
      </c>
      <c r="G250" s="9"/>
      <c r="H250" s="9">
        <f>IF(Table3811[[#This Row],[modality]]=C249,1,0)</f>
        <v>1</v>
      </c>
      <c r="I250" s="9">
        <f>IF(Table3811[[#This Row],[stimulus]]=F251,1,0)</f>
        <v>0</v>
      </c>
      <c r="J250" s="9">
        <f t="shared" si="3"/>
        <v>1</v>
      </c>
    </row>
    <row r="251" spans="1:10" x14ac:dyDescent="0.3">
      <c r="A251" s="16">
        <v>3</v>
      </c>
      <c r="B251" s="41">
        <v>1</v>
      </c>
      <c r="C251" s="41" t="s">
        <v>85</v>
      </c>
      <c r="D251" s="47" t="s">
        <v>4</v>
      </c>
      <c r="E251" s="19" t="s">
        <v>45</v>
      </c>
      <c r="F251" s="19" t="s">
        <v>66</v>
      </c>
      <c r="G251" s="9"/>
      <c r="H251" s="9">
        <f>IF(Table3811[[#This Row],[modality]]=C250,1,0)</f>
        <v>1</v>
      </c>
      <c r="I251" s="9">
        <f>IF(Table3811[[#This Row],[stimulus]]=F252,1,0)</f>
        <v>1</v>
      </c>
      <c r="J251" s="9">
        <f t="shared" si="3"/>
        <v>0</v>
      </c>
    </row>
    <row r="252" spans="1:10" x14ac:dyDescent="0.3">
      <c r="A252" s="11">
        <v>3</v>
      </c>
      <c r="B252" s="42">
        <v>2</v>
      </c>
      <c r="C252" s="42" t="s">
        <v>84</v>
      </c>
      <c r="D252" s="48" t="s">
        <v>44</v>
      </c>
      <c r="E252" s="8" t="s">
        <v>14</v>
      </c>
      <c r="F252" s="8" t="s">
        <v>66</v>
      </c>
      <c r="G252" s="9"/>
      <c r="H252" s="9">
        <f>IF(Table3811[[#This Row],[modality]]=C251,1,0)</f>
        <v>0</v>
      </c>
      <c r="I252" s="9">
        <f>IF(Table3811[[#This Row],[stimulus]]=F253,1,0)</f>
        <v>0</v>
      </c>
      <c r="J252" s="9">
        <f t="shared" si="3"/>
        <v>0</v>
      </c>
    </row>
    <row r="253" spans="1:10" x14ac:dyDescent="0.3">
      <c r="A253" s="11">
        <v>3</v>
      </c>
      <c r="B253" s="45">
        <v>2</v>
      </c>
      <c r="C253" s="45" t="s">
        <v>84</v>
      </c>
      <c r="D253" s="45" t="s">
        <v>33</v>
      </c>
      <c r="E253" s="8" t="s">
        <v>46</v>
      </c>
      <c r="F253" s="8" t="s">
        <v>57</v>
      </c>
      <c r="G253" s="9"/>
      <c r="H253" s="9">
        <f>IF(Table3811[[#This Row],[modality]]=C252,1,0)</f>
        <v>1</v>
      </c>
      <c r="I253" s="9">
        <f>IF(Table3811[[#This Row],[stimulus]]=F254,1,0)</f>
        <v>0</v>
      </c>
      <c r="J253" s="9">
        <f t="shared" si="3"/>
        <v>1</v>
      </c>
    </row>
    <row r="254" spans="1:10" x14ac:dyDescent="0.3">
      <c r="A254" s="16">
        <v>3</v>
      </c>
      <c r="B254" s="41">
        <v>2</v>
      </c>
      <c r="C254" s="41" t="s">
        <v>84</v>
      </c>
      <c r="D254" s="47" t="s">
        <v>4</v>
      </c>
      <c r="E254" s="19" t="s">
        <v>45</v>
      </c>
      <c r="F254" s="19" t="s">
        <v>69</v>
      </c>
      <c r="G254" s="9"/>
      <c r="H254" s="9">
        <f>IF(Table3811[[#This Row],[modality]]=C253,1,0)</f>
        <v>1</v>
      </c>
      <c r="I254" s="9">
        <f>IF(Table3811[[#This Row],[stimulus]]=F255,1,0)</f>
        <v>1</v>
      </c>
      <c r="J254" s="9">
        <f t="shared" si="3"/>
        <v>0</v>
      </c>
    </row>
    <row r="255" spans="1:10" x14ac:dyDescent="0.3">
      <c r="A255" s="11">
        <v>3</v>
      </c>
      <c r="B255" s="42">
        <v>1</v>
      </c>
      <c r="C255" s="42" t="s">
        <v>85</v>
      </c>
      <c r="D255" s="48" t="s">
        <v>44</v>
      </c>
      <c r="E255" s="8" t="s">
        <v>14</v>
      </c>
      <c r="F255" s="8" t="s">
        <v>69</v>
      </c>
      <c r="G255" s="9"/>
      <c r="H255" s="9">
        <f>IF(Table3811[[#This Row],[modality]]=C254,1,0)</f>
        <v>0</v>
      </c>
      <c r="I255" s="9">
        <f>IF(Table3811[[#This Row],[stimulus]]=F256,1,0)</f>
        <v>0</v>
      </c>
      <c r="J255" s="9">
        <f t="shared" si="3"/>
        <v>0</v>
      </c>
    </row>
    <row r="256" spans="1:10" x14ac:dyDescent="0.3">
      <c r="A256" s="16">
        <v>3</v>
      </c>
      <c r="B256" s="41">
        <v>1</v>
      </c>
      <c r="C256" s="41" t="s">
        <v>85</v>
      </c>
      <c r="D256" s="47" t="s">
        <v>4</v>
      </c>
      <c r="E256" s="19" t="s">
        <v>45</v>
      </c>
      <c r="F256" s="19" t="s">
        <v>64</v>
      </c>
      <c r="G256" s="9"/>
      <c r="H256" s="9">
        <f>IF(Table3811[[#This Row],[modality]]=C255,1,0)</f>
        <v>1</v>
      </c>
      <c r="I256" s="9">
        <f>IF(Table3811[[#This Row],[stimulus]]=F257,1,0)</f>
        <v>1</v>
      </c>
      <c r="J256" s="9">
        <f t="shared" si="3"/>
        <v>1</v>
      </c>
    </row>
    <row r="257" spans="1:12" x14ac:dyDescent="0.3">
      <c r="A257" s="11">
        <v>3</v>
      </c>
      <c r="B257" s="42">
        <v>2</v>
      </c>
      <c r="C257" s="42" t="s">
        <v>84</v>
      </c>
      <c r="D257" s="48" t="s">
        <v>44</v>
      </c>
      <c r="E257" s="8" t="s">
        <v>14</v>
      </c>
      <c r="F257" s="8" t="s">
        <v>64</v>
      </c>
      <c r="G257" s="9"/>
      <c r="H257" s="9">
        <f>IF(Table3811[[#This Row],[modality]]=C256,1,0)</f>
        <v>0</v>
      </c>
      <c r="I257" s="9">
        <f>IF(Table3811[[#This Row],[stimulus]]=F258,1,0)</f>
        <v>0</v>
      </c>
      <c r="J257" s="9">
        <f t="shared" si="3"/>
        <v>0</v>
      </c>
    </row>
    <row r="258" spans="1:12" x14ac:dyDescent="0.3">
      <c r="A258" s="16">
        <v>3</v>
      </c>
      <c r="B258" s="45">
        <v>2</v>
      </c>
      <c r="C258" s="45" t="s">
        <v>84</v>
      </c>
      <c r="D258" s="45" t="s">
        <v>33</v>
      </c>
      <c r="E258" s="19" t="s">
        <v>46</v>
      </c>
      <c r="F258" s="19" t="s">
        <v>59</v>
      </c>
      <c r="G258" s="9"/>
      <c r="H258" s="9">
        <f>IF(Table3811[[#This Row],[modality]]=C257,1,0)</f>
        <v>1</v>
      </c>
      <c r="I258" s="9">
        <f>IF(Table3811[[#This Row],[stimulus]]=F260,1,0)</f>
        <v>0</v>
      </c>
      <c r="J258" s="9">
        <f t="shared" ref="J258:J322" si="4">IF(D257="T",1,0)</f>
        <v>1</v>
      </c>
    </row>
    <row r="259" spans="1:12" x14ac:dyDescent="0.3">
      <c r="A259" s="16">
        <v>3</v>
      </c>
      <c r="B259" s="45">
        <v>1</v>
      </c>
      <c r="C259" s="45" t="s">
        <v>85</v>
      </c>
      <c r="D259" s="45" t="s">
        <v>33</v>
      </c>
      <c r="E259" s="19" t="s">
        <v>46</v>
      </c>
      <c r="F259" s="19" t="s">
        <v>55</v>
      </c>
      <c r="G259" s="9"/>
      <c r="H259" s="9">
        <f>IF(Table3811[[#This Row],[modality]]=C266,1,0)</f>
        <v>1</v>
      </c>
      <c r="I259" s="9">
        <f>IF(Table3811[[#This Row],[stimulus]]=F268,1,0)</f>
        <v>0</v>
      </c>
      <c r="J259" s="9">
        <f>IF(D266="T",1,0)</f>
        <v>1</v>
      </c>
    </row>
    <row r="260" spans="1:12" x14ac:dyDescent="0.3">
      <c r="A260" s="11">
        <v>3</v>
      </c>
      <c r="B260" s="42">
        <v>2</v>
      </c>
      <c r="C260" s="42" t="s">
        <v>84</v>
      </c>
      <c r="D260" s="48" t="s">
        <v>4</v>
      </c>
      <c r="E260" s="8" t="s">
        <v>45</v>
      </c>
      <c r="F260" s="8" t="s">
        <v>68</v>
      </c>
      <c r="G260" s="9"/>
      <c r="H260" s="9">
        <f>IF(Table3811[[#This Row],[modality]]=C258,1,0)</f>
        <v>1</v>
      </c>
      <c r="I260" s="9">
        <f>IF(Table3811[[#This Row],[stimulus]]=F261,1,0)</f>
        <v>1</v>
      </c>
      <c r="J260" s="9">
        <f>IF(D258="T",1,0)</f>
        <v>0</v>
      </c>
    </row>
    <row r="261" spans="1:12" x14ac:dyDescent="0.3">
      <c r="A261" s="16">
        <v>3</v>
      </c>
      <c r="B261" s="41">
        <v>2</v>
      </c>
      <c r="C261" s="41" t="s">
        <v>84</v>
      </c>
      <c r="D261" s="47" t="s">
        <v>44</v>
      </c>
      <c r="E261" s="19" t="s">
        <v>13</v>
      </c>
      <c r="F261" s="19" t="s">
        <v>68</v>
      </c>
      <c r="G261" s="9"/>
      <c r="H261" s="9">
        <f>IF(Table3811[[#This Row],[modality]]=C260,1,0)</f>
        <v>1</v>
      </c>
      <c r="I261" s="9">
        <f>IF(Table3811[[#This Row],[stimulus]]=F262,1,0)</f>
        <v>0</v>
      </c>
      <c r="J261" s="9">
        <f t="shared" si="4"/>
        <v>0</v>
      </c>
    </row>
    <row r="262" spans="1:12" x14ac:dyDescent="0.3">
      <c r="A262" s="11">
        <v>3</v>
      </c>
      <c r="B262" s="45">
        <v>1</v>
      </c>
      <c r="C262" s="45" t="s">
        <v>85</v>
      </c>
      <c r="D262" s="45" t="s">
        <v>33</v>
      </c>
      <c r="E262" s="8" t="s">
        <v>46</v>
      </c>
      <c r="F262" s="8" t="s">
        <v>61</v>
      </c>
      <c r="G262" s="9"/>
      <c r="H262" s="9">
        <f>IF(Table3811[[#This Row],[modality]]=C261,1,0)</f>
        <v>0</v>
      </c>
      <c r="I262" s="9">
        <f>IF(Table3811[[#This Row],[stimulus]]=F263,1,0)</f>
        <v>0</v>
      </c>
      <c r="J262" s="9">
        <f t="shared" si="4"/>
        <v>1</v>
      </c>
    </row>
    <row r="263" spans="1:12" x14ac:dyDescent="0.3">
      <c r="A263" s="16">
        <v>3</v>
      </c>
      <c r="B263" s="41">
        <v>2</v>
      </c>
      <c r="C263" s="41" t="s">
        <v>84</v>
      </c>
      <c r="D263" s="47" t="s">
        <v>4</v>
      </c>
      <c r="E263" s="19" t="s">
        <v>45</v>
      </c>
      <c r="F263" s="19" t="s">
        <v>70</v>
      </c>
      <c r="G263" s="9"/>
      <c r="H263" s="9">
        <f>IF(Table3811[[#This Row],[modality]]=C262,1,0)</f>
        <v>0</v>
      </c>
      <c r="I263" s="9">
        <f>IF(Table3811[[#This Row],[stimulus]]=F264,1,0)</f>
        <v>1</v>
      </c>
      <c r="J263" s="9">
        <f t="shared" si="4"/>
        <v>0</v>
      </c>
    </row>
    <row r="264" spans="1:12" x14ac:dyDescent="0.3">
      <c r="A264" s="11">
        <v>3</v>
      </c>
      <c r="B264" s="42">
        <v>2</v>
      </c>
      <c r="C264" s="42" t="s">
        <v>84</v>
      </c>
      <c r="D264" s="48" t="s">
        <v>44</v>
      </c>
      <c r="E264" s="8" t="s">
        <v>13</v>
      </c>
      <c r="F264" s="8" t="s">
        <v>70</v>
      </c>
      <c r="G264" s="9"/>
      <c r="H264" s="9">
        <f>IF(Table3811[[#This Row],[modality]]=C263,1,0)</f>
        <v>1</v>
      </c>
      <c r="I264" s="9">
        <f>IF(Table3811[[#This Row],[stimulus]]=F265,1,0)</f>
        <v>0</v>
      </c>
      <c r="J264" s="9">
        <f t="shared" si="4"/>
        <v>0</v>
      </c>
    </row>
    <row r="265" spans="1:12" x14ac:dyDescent="0.3">
      <c r="A265" s="16">
        <v>3</v>
      </c>
      <c r="B265" s="41">
        <v>2</v>
      </c>
      <c r="C265" s="41" t="s">
        <v>84</v>
      </c>
      <c r="D265" s="47" t="s">
        <v>4</v>
      </c>
      <c r="E265" s="19" t="s">
        <v>45</v>
      </c>
      <c r="F265" s="19" t="s">
        <v>67</v>
      </c>
      <c r="G265" s="9"/>
      <c r="H265" s="9">
        <f>IF(Table3811[[#This Row],[modality]]=C264,1,0)</f>
        <v>1</v>
      </c>
      <c r="I265" s="9">
        <f>IF(Table3811[[#This Row],[stimulus]]=F266,1,0)</f>
        <v>1</v>
      </c>
      <c r="J265" s="9">
        <f t="shared" si="4"/>
        <v>1</v>
      </c>
    </row>
    <row r="266" spans="1:12" x14ac:dyDescent="0.3">
      <c r="A266" s="11">
        <v>3</v>
      </c>
      <c r="B266" s="42">
        <v>1</v>
      </c>
      <c r="C266" s="42" t="s">
        <v>85</v>
      </c>
      <c r="D266" s="48" t="s">
        <v>44</v>
      </c>
      <c r="E266" s="8" t="s">
        <v>14</v>
      </c>
      <c r="F266" s="8" t="s">
        <v>67</v>
      </c>
      <c r="G266" s="9"/>
      <c r="H266" s="9">
        <f>IF(Table3811[[#This Row],[modality]]=C265,1,0)</f>
        <v>0</v>
      </c>
      <c r="I266" s="9">
        <f>IF(Table3811[[#This Row],[stimulus]]=F259,1,0)</f>
        <v>0</v>
      </c>
      <c r="J266" s="9">
        <f t="shared" si="4"/>
        <v>0</v>
      </c>
    </row>
    <row r="267" spans="1:12" x14ac:dyDescent="0.3">
      <c r="A267" s="19">
        <v>3</v>
      </c>
      <c r="B267" s="42">
        <v>2</v>
      </c>
      <c r="C267" s="42" t="s">
        <v>84</v>
      </c>
      <c r="D267" s="48" t="s">
        <v>33</v>
      </c>
      <c r="E267" s="19" t="s">
        <v>46</v>
      </c>
      <c r="F267" s="19"/>
      <c r="G267" s="55" t="s">
        <v>131</v>
      </c>
      <c r="H267" s="9">
        <f>IF(Table3811[[#This Row],[modality]]=C266,1,0)</f>
        <v>0</v>
      </c>
      <c r="I267" s="9">
        <f>IF(Table3811[[#This Row],[stimulus]]=F268,1,0)</f>
        <v>0</v>
      </c>
      <c r="J267" s="9">
        <f>IF(D266="T",1,0)</f>
        <v>1</v>
      </c>
    </row>
    <row r="268" spans="1:12" x14ac:dyDescent="0.3">
      <c r="A268" s="11">
        <v>3</v>
      </c>
      <c r="B268" s="45">
        <v>1</v>
      </c>
      <c r="C268" s="45" t="s">
        <v>85</v>
      </c>
      <c r="D268" s="45" t="s">
        <v>33</v>
      </c>
      <c r="E268" s="8" t="s">
        <v>46</v>
      </c>
      <c r="F268" s="8" t="s">
        <v>58</v>
      </c>
      <c r="G268" s="9"/>
      <c r="H268" s="9">
        <f>IF(Table3811[[#This Row],[modality]]=C259,1,0)</f>
        <v>1</v>
      </c>
      <c r="I268" s="9">
        <f>IF(Table3811[[#This Row],[stimulus]]=F269,1,0)</f>
        <v>0</v>
      </c>
      <c r="J268" s="9">
        <f>IF(D259="T",1,0)</f>
        <v>0</v>
      </c>
      <c r="L268" t="s">
        <v>23</v>
      </c>
    </row>
    <row r="269" spans="1:12" x14ac:dyDescent="0.3">
      <c r="A269" s="11">
        <v>3</v>
      </c>
      <c r="B269" s="42">
        <v>1</v>
      </c>
      <c r="C269" s="42" t="s">
        <v>85</v>
      </c>
      <c r="D269" s="48" t="s">
        <v>4</v>
      </c>
      <c r="E269" s="8" t="s">
        <v>45</v>
      </c>
      <c r="F269" s="8" t="s">
        <v>65</v>
      </c>
      <c r="G269" s="9"/>
      <c r="H269" s="9">
        <f>IF(Table3811[[#This Row],[modality]]=C268,1,0)</f>
        <v>1</v>
      </c>
      <c r="I269" s="9">
        <f>IF(Table3811[[#This Row],[stimulus]]=F270,1,0)</f>
        <v>1</v>
      </c>
      <c r="J269" s="9">
        <f t="shared" si="4"/>
        <v>0</v>
      </c>
    </row>
    <row r="270" spans="1:12" x14ac:dyDescent="0.3">
      <c r="A270" s="16">
        <v>3</v>
      </c>
      <c r="B270" s="41">
        <v>1</v>
      </c>
      <c r="C270" s="41" t="s">
        <v>85</v>
      </c>
      <c r="D270" s="47" t="s">
        <v>44</v>
      </c>
      <c r="E270" s="19" t="s">
        <v>13</v>
      </c>
      <c r="F270" s="19" t="s">
        <v>65</v>
      </c>
      <c r="G270" s="9"/>
      <c r="H270" s="9">
        <f>IF(Table3811[[#This Row],[modality]]=C269,1,0)</f>
        <v>1</v>
      </c>
      <c r="I270" s="9">
        <f>IF(Table3811[[#This Row],[stimulus]]=F271,1,0)</f>
        <v>0</v>
      </c>
      <c r="J270" s="9">
        <f t="shared" si="4"/>
        <v>0</v>
      </c>
    </row>
    <row r="271" spans="1:12" x14ac:dyDescent="0.3">
      <c r="A271" s="11">
        <v>3</v>
      </c>
      <c r="B271" s="45">
        <v>2</v>
      </c>
      <c r="C271" s="45" t="s">
        <v>84</v>
      </c>
      <c r="D271" s="45" t="s">
        <v>33</v>
      </c>
      <c r="E271" s="8" t="s">
        <v>46</v>
      </c>
      <c r="F271" s="8" t="s">
        <v>60</v>
      </c>
      <c r="G271" s="9"/>
      <c r="H271" s="9">
        <f>IF(Table3811[[#This Row],[modality]]=C270,1,0)</f>
        <v>0</v>
      </c>
      <c r="I271" s="9">
        <f>IF(Table3811[[#This Row],[stimulus]]=F272,1,0)</f>
        <v>0</v>
      </c>
      <c r="J271" s="9">
        <f t="shared" si="4"/>
        <v>1</v>
      </c>
    </row>
    <row r="272" spans="1:12" x14ac:dyDescent="0.3">
      <c r="A272" s="16">
        <v>3</v>
      </c>
      <c r="B272" s="41">
        <v>1</v>
      </c>
      <c r="C272" s="41" t="s">
        <v>85</v>
      </c>
      <c r="D272" s="47" t="s">
        <v>4</v>
      </c>
      <c r="E272" s="19" t="s">
        <v>45</v>
      </c>
      <c r="F272" s="19" t="s">
        <v>63</v>
      </c>
      <c r="G272" s="9"/>
      <c r="H272" s="9">
        <f>IF(Table3811[[#This Row],[modality]]=C271,1,0)</f>
        <v>0</v>
      </c>
      <c r="I272" s="9">
        <f>IF(Table3811[[#This Row],[stimulus]]=F273,1,0)</f>
        <v>1</v>
      </c>
      <c r="J272" s="9">
        <f t="shared" si="4"/>
        <v>0</v>
      </c>
    </row>
    <row r="273" spans="1:10" x14ac:dyDescent="0.3">
      <c r="A273" s="11">
        <v>3</v>
      </c>
      <c r="B273" s="42">
        <v>1</v>
      </c>
      <c r="C273" s="42" t="s">
        <v>85</v>
      </c>
      <c r="D273" s="48" t="s">
        <v>44</v>
      </c>
      <c r="E273" s="8" t="s">
        <v>13</v>
      </c>
      <c r="F273" s="8" t="s">
        <v>63</v>
      </c>
      <c r="G273" s="9"/>
      <c r="H273" s="9">
        <f>IF(Table3811[[#This Row],[modality]]=C272,1,0)</f>
        <v>1</v>
      </c>
      <c r="I273" s="9">
        <f>IF(Table3811[[#This Row],[stimulus]]=F274,1,0)</f>
        <v>0</v>
      </c>
      <c r="J273" s="9">
        <f t="shared" si="4"/>
        <v>0</v>
      </c>
    </row>
    <row r="274" spans="1:10" x14ac:dyDescent="0.3">
      <c r="A274" s="16">
        <v>3</v>
      </c>
      <c r="B274" s="45">
        <v>2</v>
      </c>
      <c r="C274" s="45" t="s">
        <v>84</v>
      </c>
      <c r="D274" s="45" t="s">
        <v>33</v>
      </c>
      <c r="E274" s="19" t="s">
        <v>46</v>
      </c>
      <c r="F274" s="19" t="s">
        <v>62</v>
      </c>
      <c r="G274" s="9"/>
      <c r="H274" s="9">
        <f>IF(Table3811[[#This Row],[modality]]=C273,1,0)</f>
        <v>0</v>
      </c>
      <c r="I274" s="9">
        <f>IF(Table3811[[#This Row],[stimulus]]=F275,1,0)</f>
        <v>0</v>
      </c>
      <c r="J274" s="9">
        <f t="shared" si="4"/>
        <v>1</v>
      </c>
    </row>
    <row r="275" spans="1:10" x14ac:dyDescent="0.3">
      <c r="A275" s="8">
        <v>4</v>
      </c>
      <c r="B275" s="42">
        <v>1</v>
      </c>
      <c r="C275" s="42" t="s">
        <v>85</v>
      </c>
      <c r="D275" s="48" t="s">
        <v>4</v>
      </c>
      <c r="E275" s="8" t="s">
        <v>45</v>
      </c>
      <c r="F275" s="8" t="s">
        <v>75</v>
      </c>
      <c r="G275" s="9"/>
      <c r="H275" s="9">
        <f>IF(Table3811[[#This Row],[modality]]=C274,1,0)</f>
        <v>0</v>
      </c>
      <c r="I275" s="9">
        <f>IF(Table3811[[#This Row],[stimulus]]=F276,1,0)</f>
        <v>1</v>
      </c>
      <c r="J275" s="9">
        <f t="shared" si="4"/>
        <v>0</v>
      </c>
    </row>
    <row r="276" spans="1:10" x14ac:dyDescent="0.3">
      <c r="A276" s="19">
        <v>4</v>
      </c>
      <c r="B276" s="41">
        <v>1</v>
      </c>
      <c r="C276" s="41" t="s">
        <v>85</v>
      </c>
      <c r="D276" s="47" t="s">
        <v>44</v>
      </c>
      <c r="E276" s="19" t="s">
        <v>13</v>
      </c>
      <c r="F276" s="19" t="s">
        <v>75</v>
      </c>
      <c r="G276" s="9"/>
      <c r="H276" s="9">
        <f>IF(Table3811[[#This Row],[modality]]=C275,1,0)</f>
        <v>1</v>
      </c>
      <c r="I276" s="9">
        <f>IF(Table3811[[#This Row],[stimulus]]=F277,1,0)</f>
        <v>0</v>
      </c>
      <c r="J276" s="9">
        <f t="shared" si="4"/>
        <v>0</v>
      </c>
    </row>
    <row r="277" spans="1:10" x14ac:dyDescent="0.3">
      <c r="A277" s="8">
        <v>4</v>
      </c>
      <c r="B277" s="46">
        <v>2</v>
      </c>
      <c r="C277" s="46" t="s">
        <v>84</v>
      </c>
      <c r="D277" s="46" t="s">
        <v>33</v>
      </c>
      <c r="E277" s="8" t="s">
        <v>46</v>
      </c>
      <c r="F277" s="8" t="s">
        <v>66</v>
      </c>
      <c r="G277" s="9"/>
      <c r="H277" s="9">
        <f>IF(Table3811[[#This Row],[modality]]=C276,1,0)</f>
        <v>0</v>
      </c>
      <c r="I277" s="9">
        <f>IF(Table3811[[#This Row],[stimulus]]=F278,1,0)</f>
        <v>0</v>
      </c>
      <c r="J277" s="9">
        <f t="shared" si="4"/>
        <v>1</v>
      </c>
    </row>
    <row r="278" spans="1:10" x14ac:dyDescent="0.3">
      <c r="A278" s="19">
        <v>4</v>
      </c>
      <c r="B278" s="41">
        <v>1</v>
      </c>
      <c r="C278" s="41" t="s">
        <v>85</v>
      </c>
      <c r="D278" s="47" t="s">
        <v>4</v>
      </c>
      <c r="E278" s="19" t="s">
        <v>45</v>
      </c>
      <c r="F278" s="19" t="s">
        <v>73</v>
      </c>
      <c r="G278" s="9"/>
      <c r="H278" s="9">
        <f>IF(Table3811[[#This Row],[modality]]=C277,1,0)</f>
        <v>0</v>
      </c>
      <c r="I278" s="9">
        <f>IF(Table3811[[#This Row],[stimulus]]=F279,1,0)</f>
        <v>1</v>
      </c>
      <c r="J278" s="9">
        <f t="shared" si="4"/>
        <v>0</v>
      </c>
    </row>
    <row r="279" spans="1:10" x14ac:dyDescent="0.3">
      <c r="A279" s="8">
        <v>4</v>
      </c>
      <c r="B279" s="42">
        <v>2</v>
      </c>
      <c r="C279" s="42" t="s">
        <v>84</v>
      </c>
      <c r="D279" s="48" t="s">
        <v>44</v>
      </c>
      <c r="E279" s="8" t="s">
        <v>14</v>
      </c>
      <c r="F279" s="8" t="s">
        <v>73</v>
      </c>
      <c r="G279" s="9"/>
      <c r="H279" s="9">
        <f>IF(Table3811[[#This Row],[modality]]=C278,1,0)</f>
        <v>0</v>
      </c>
      <c r="I279" s="9">
        <f>IF(Table3811[[#This Row],[stimulus]]=F280,1,0)</f>
        <v>0</v>
      </c>
      <c r="J279" s="9">
        <f t="shared" si="4"/>
        <v>0</v>
      </c>
    </row>
    <row r="280" spans="1:10" x14ac:dyDescent="0.3">
      <c r="A280" s="19">
        <v>4</v>
      </c>
      <c r="B280" s="41">
        <v>2</v>
      </c>
      <c r="C280" s="41" t="s">
        <v>84</v>
      </c>
      <c r="D280" s="47" t="s">
        <v>4</v>
      </c>
      <c r="E280" s="19" t="s">
        <v>45</v>
      </c>
      <c r="F280" s="19" t="s">
        <v>77</v>
      </c>
      <c r="G280" s="9"/>
      <c r="H280" s="9">
        <f>IF(Table3811[[#This Row],[modality]]=C279,1,0)</f>
        <v>1</v>
      </c>
      <c r="I280" s="9">
        <f>IF(Table3811[[#This Row],[stimulus]]=F281,1,0)</f>
        <v>1</v>
      </c>
      <c r="J280" s="9">
        <f t="shared" si="4"/>
        <v>1</v>
      </c>
    </row>
    <row r="281" spans="1:10" x14ac:dyDescent="0.3">
      <c r="A281" s="8">
        <v>4</v>
      </c>
      <c r="B281" s="42">
        <v>2</v>
      </c>
      <c r="C281" s="42" t="s">
        <v>84</v>
      </c>
      <c r="D281" s="48" t="s">
        <v>44</v>
      </c>
      <c r="E281" s="8" t="s">
        <v>13</v>
      </c>
      <c r="F281" s="8" t="s">
        <v>77</v>
      </c>
      <c r="G281" s="9"/>
      <c r="H281" s="9">
        <f>IF(Table3811[[#This Row],[modality]]=C280,1,0)</f>
        <v>1</v>
      </c>
      <c r="I281" s="9">
        <f>IF(Table3811[[#This Row],[stimulus]]=F282,1,0)</f>
        <v>0</v>
      </c>
      <c r="J281" s="9">
        <f t="shared" si="4"/>
        <v>0</v>
      </c>
    </row>
    <row r="282" spans="1:10" x14ac:dyDescent="0.3">
      <c r="A282" s="19">
        <v>4</v>
      </c>
      <c r="B282" s="46">
        <v>1</v>
      </c>
      <c r="C282" s="46" t="s">
        <v>85</v>
      </c>
      <c r="D282" s="46" t="s">
        <v>33</v>
      </c>
      <c r="E282" s="19" t="s">
        <v>46</v>
      </c>
      <c r="F282" s="19" t="s">
        <v>69</v>
      </c>
      <c r="G282" s="9"/>
      <c r="H282" s="9">
        <f>IF(Table3811[[#This Row],[modality]]=C281,1,0)</f>
        <v>0</v>
      </c>
      <c r="I282" s="9">
        <f>IF(Table3811[[#This Row],[stimulus]]=F283,1,0)</f>
        <v>0</v>
      </c>
      <c r="J282" s="9">
        <f t="shared" si="4"/>
        <v>1</v>
      </c>
    </row>
    <row r="283" spans="1:10" x14ac:dyDescent="0.3">
      <c r="A283" s="8">
        <v>4</v>
      </c>
      <c r="B283" s="46">
        <v>2</v>
      </c>
      <c r="C283" s="46" t="s">
        <v>84</v>
      </c>
      <c r="D283" s="46" t="s">
        <v>33</v>
      </c>
      <c r="E283" s="8" t="s">
        <v>46</v>
      </c>
      <c r="F283" s="8" t="s">
        <v>64</v>
      </c>
      <c r="G283" s="9"/>
      <c r="H283" s="9">
        <f>IF(Table3811[[#This Row],[modality]]=C282,1,0)</f>
        <v>0</v>
      </c>
      <c r="I283" s="9">
        <f>IF(Table3811[[#This Row],[stimulus]]=F284,1,0)</f>
        <v>0</v>
      </c>
      <c r="J283" s="9">
        <f t="shared" si="4"/>
        <v>0</v>
      </c>
    </row>
    <row r="284" spans="1:10" x14ac:dyDescent="0.3">
      <c r="A284" s="19">
        <v>4</v>
      </c>
      <c r="B284" s="41">
        <v>2</v>
      </c>
      <c r="C284" s="41" t="s">
        <v>84</v>
      </c>
      <c r="D284" s="47" t="s">
        <v>4</v>
      </c>
      <c r="E284" s="19" t="s">
        <v>45</v>
      </c>
      <c r="F284" s="19" t="s">
        <v>74</v>
      </c>
      <c r="G284" s="9"/>
      <c r="H284" s="9">
        <f>IF(Table3811[[#This Row],[modality]]=C283,1,0)</f>
        <v>1</v>
      </c>
      <c r="I284" s="9">
        <f>IF(Table3811[[#This Row],[stimulus]]=F285,1,0)</f>
        <v>1</v>
      </c>
      <c r="J284" s="9">
        <f t="shared" si="4"/>
        <v>0</v>
      </c>
    </row>
    <row r="285" spans="1:10" x14ac:dyDescent="0.3">
      <c r="A285" s="8">
        <v>4</v>
      </c>
      <c r="B285" s="42">
        <v>1</v>
      </c>
      <c r="C285" s="42" t="s">
        <v>85</v>
      </c>
      <c r="D285" s="48" t="s">
        <v>44</v>
      </c>
      <c r="E285" s="8" t="s">
        <v>14</v>
      </c>
      <c r="F285" s="8" t="s">
        <v>74</v>
      </c>
      <c r="G285" s="9"/>
      <c r="H285" s="9">
        <f>IF(Table3811[[#This Row],[modality]]=C284,1,0)</f>
        <v>0</v>
      </c>
      <c r="I285" s="9">
        <f>IF(Table3811[[#This Row],[stimulus]]=F286,1,0)</f>
        <v>0</v>
      </c>
      <c r="J285" s="9">
        <f t="shared" si="4"/>
        <v>0</v>
      </c>
    </row>
    <row r="286" spans="1:10" x14ac:dyDescent="0.3">
      <c r="A286" s="19">
        <v>4</v>
      </c>
      <c r="B286" s="41">
        <v>1</v>
      </c>
      <c r="C286" s="41" t="s">
        <v>85</v>
      </c>
      <c r="D286" s="47" t="s">
        <v>4</v>
      </c>
      <c r="E286" s="19" t="s">
        <v>45</v>
      </c>
      <c r="F286" s="19" t="s">
        <v>78</v>
      </c>
      <c r="G286" s="9"/>
      <c r="H286" s="9">
        <f>IF(Table3811[[#This Row],[modality]]=C285,1,0)</f>
        <v>1</v>
      </c>
      <c r="I286" s="9">
        <f>IF(Table3811[[#This Row],[stimulus]]=F287,1,0)</f>
        <v>1</v>
      </c>
      <c r="J286" s="9">
        <f t="shared" si="4"/>
        <v>1</v>
      </c>
    </row>
    <row r="287" spans="1:10" x14ac:dyDescent="0.3">
      <c r="A287" s="8">
        <v>4</v>
      </c>
      <c r="B287" s="42">
        <v>2</v>
      </c>
      <c r="C287" s="42" t="s">
        <v>84</v>
      </c>
      <c r="D287" s="48" t="s">
        <v>44</v>
      </c>
      <c r="E287" s="8" t="s">
        <v>14</v>
      </c>
      <c r="F287" s="8" t="s">
        <v>78</v>
      </c>
      <c r="G287" s="9"/>
      <c r="H287" s="9">
        <f>IF(Table3811[[#This Row],[modality]]=C286,1,0)</f>
        <v>0</v>
      </c>
      <c r="I287" s="9">
        <f>IF(Table3811[[#This Row],[stimulus]]=F288,1,0)</f>
        <v>0</v>
      </c>
      <c r="J287" s="9">
        <f t="shared" si="4"/>
        <v>0</v>
      </c>
    </row>
    <row r="288" spans="1:10" x14ac:dyDescent="0.3">
      <c r="A288" s="19">
        <v>4</v>
      </c>
      <c r="B288" s="46">
        <v>1</v>
      </c>
      <c r="C288" s="46" t="s">
        <v>85</v>
      </c>
      <c r="D288" s="46" t="s">
        <v>33</v>
      </c>
      <c r="E288" s="19" t="s">
        <v>46</v>
      </c>
      <c r="F288" s="19" t="s">
        <v>68</v>
      </c>
      <c r="G288" s="9"/>
      <c r="H288" s="9">
        <f>IF(Table3811[[#This Row],[modality]]=C287,1,0)</f>
        <v>0</v>
      </c>
      <c r="I288" s="9">
        <f>IF(Table3811[[#This Row],[stimulus]]=F289,1,0)</f>
        <v>0</v>
      </c>
      <c r="J288" s="9">
        <f t="shared" si="4"/>
        <v>1</v>
      </c>
    </row>
    <row r="289" spans="1:10" x14ac:dyDescent="0.3">
      <c r="A289" s="8">
        <v>4</v>
      </c>
      <c r="B289" s="42">
        <v>2</v>
      </c>
      <c r="C289" s="42" t="s">
        <v>84</v>
      </c>
      <c r="D289" s="48" t="s">
        <v>4</v>
      </c>
      <c r="E289" s="8" t="s">
        <v>45</v>
      </c>
      <c r="F289" s="8" t="s">
        <v>71</v>
      </c>
      <c r="G289" s="9"/>
      <c r="H289" s="9">
        <f>IF(Table3811[[#This Row],[modality]]=C288,1,0)</f>
        <v>0</v>
      </c>
      <c r="I289" s="9">
        <f>IF(Table3811[[#This Row],[stimulus]]=F290,1,0)</f>
        <v>1</v>
      </c>
      <c r="J289" s="9">
        <f t="shared" si="4"/>
        <v>0</v>
      </c>
    </row>
    <row r="290" spans="1:10" x14ac:dyDescent="0.3">
      <c r="A290" s="19">
        <v>4</v>
      </c>
      <c r="B290" s="41">
        <v>2</v>
      </c>
      <c r="C290" s="41" t="s">
        <v>84</v>
      </c>
      <c r="D290" s="47" t="s">
        <v>44</v>
      </c>
      <c r="E290" s="19" t="s">
        <v>13</v>
      </c>
      <c r="F290" s="19" t="s">
        <v>71</v>
      </c>
      <c r="G290" s="9"/>
      <c r="H290" s="9">
        <f>IF(Table3811[[#This Row],[modality]]=C289,1,0)</f>
        <v>1</v>
      </c>
      <c r="I290" s="9">
        <f>IF(Table3811[[#This Row],[stimulus]]=F291,1,0)</f>
        <v>0</v>
      </c>
      <c r="J290" s="9">
        <f t="shared" si="4"/>
        <v>0</v>
      </c>
    </row>
    <row r="291" spans="1:10" x14ac:dyDescent="0.3">
      <c r="A291" s="8">
        <v>4</v>
      </c>
      <c r="B291" s="46">
        <v>1</v>
      </c>
      <c r="C291" s="46" t="s">
        <v>85</v>
      </c>
      <c r="D291" s="46" t="s">
        <v>33</v>
      </c>
      <c r="E291" s="8" t="s">
        <v>46</v>
      </c>
      <c r="F291" s="8" t="s">
        <v>70</v>
      </c>
      <c r="G291" s="9"/>
      <c r="H291" s="9">
        <f>IF(Table3811[[#This Row],[modality]]=C290,1,0)</f>
        <v>0</v>
      </c>
      <c r="I291" s="9">
        <f>IF(Table3811[[#This Row],[stimulus]]=F292,1,0)</f>
        <v>0</v>
      </c>
      <c r="J291" s="9">
        <f t="shared" si="4"/>
        <v>1</v>
      </c>
    </row>
    <row r="292" spans="1:10" x14ac:dyDescent="0.3">
      <c r="A292" s="19">
        <v>4</v>
      </c>
      <c r="B292" s="46">
        <v>2</v>
      </c>
      <c r="C292" s="46" t="s">
        <v>84</v>
      </c>
      <c r="D292" s="46" t="s">
        <v>33</v>
      </c>
      <c r="E292" s="19" t="s">
        <v>46</v>
      </c>
      <c r="F292" s="19" t="s">
        <v>63</v>
      </c>
      <c r="G292" s="9"/>
      <c r="H292" s="9">
        <f>IF(Table3811[[#This Row],[modality]]=C291,1,0)</f>
        <v>0</v>
      </c>
      <c r="I292" s="9">
        <f>IF(Table3811[[#This Row],[stimulus]]=F293,1,0)</f>
        <v>0</v>
      </c>
      <c r="J292" s="9">
        <f t="shared" si="4"/>
        <v>0</v>
      </c>
    </row>
    <row r="293" spans="1:10" x14ac:dyDescent="0.3">
      <c r="A293" s="19">
        <v>4</v>
      </c>
      <c r="B293" s="41">
        <v>2</v>
      </c>
      <c r="C293" s="41" t="s">
        <v>84</v>
      </c>
      <c r="D293" s="47" t="s">
        <v>4</v>
      </c>
      <c r="E293" s="19" t="s">
        <v>45</v>
      </c>
      <c r="F293" s="19" t="s">
        <v>76</v>
      </c>
      <c r="G293" s="9"/>
      <c r="H293" s="9">
        <f>IF(Table3811[[#This Row],[modality]]=C292,1,0)</f>
        <v>1</v>
      </c>
      <c r="I293" s="9">
        <f>IF(Table3811[[#This Row],[stimulus]]=F294,1,0)</f>
        <v>1</v>
      </c>
      <c r="J293" s="9">
        <f t="shared" si="4"/>
        <v>0</v>
      </c>
    </row>
    <row r="294" spans="1:10" x14ac:dyDescent="0.3">
      <c r="A294" s="8">
        <v>4</v>
      </c>
      <c r="B294" s="42">
        <v>1</v>
      </c>
      <c r="C294" s="42" t="s">
        <v>85</v>
      </c>
      <c r="D294" s="48" t="s">
        <v>44</v>
      </c>
      <c r="E294" s="8" t="s">
        <v>14</v>
      </c>
      <c r="F294" s="8" t="s">
        <v>76</v>
      </c>
      <c r="G294" s="9"/>
      <c r="H294" s="9">
        <f>IF(Table3811[[#This Row],[modality]]=C293,1,0)</f>
        <v>0</v>
      </c>
      <c r="I294" s="9">
        <f>IF(Table3811[[#This Row],[stimulus]]=F295,1,0)</f>
        <v>0</v>
      </c>
      <c r="J294" s="9">
        <f t="shared" si="4"/>
        <v>0</v>
      </c>
    </row>
    <row r="295" spans="1:10" x14ac:dyDescent="0.3">
      <c r="A295" s="19">
        <v>4</v>
      </c>
      <c r="B295" s="46">
        <v>2</v>
      </c>
      <c r="C295" s="46" t="s">
        <v>84</v>
      </c>
      <c r="D295" s="46" t="s">
        <v>33</v>
      </c>
      <c r="E295" s="19" t="s">
        <v>46</v>
      </c>
      <c r="F295" s="19" t="s">
        <v>67</v>
      </c>
      <c r="G295" s="9"/>
      <c r="H295" s="9">
        <f>IF(Table3811[[#This Row],[modality]]=C294,1,0)</f>
        <v>0</v>
      </c>
      <c r="I295" s="9">
        <f>IF(Table3811[[#This Row],[stimulus]]=F296,1,0)</f>
        <v>0</v>
      </c>
      <c r="J295" s="9">
        <f t="shared" si="4"/>
        <v>1</v>
      </c>
    </row>
    <row r="296" spans="1:10" x14ac:dyDescent="0.3">
      <c r="A296" s="8">
        <v>4</v>
      </c>
      <c r="B296" s="46">
        <v>1</v>
      </c>
      <c r="C296" s="46" t="s">
        <v>85</v>
      </c>
      <c r="D296" s="46" t="s">
        <v>33</v>
      </c>
      <c r="E296" s="8" t="s">
        <v>46</v>
      </c>
      <c r="F296" s="8" t="s">
        <v>65</v>
      </c>
      <c r="G296" s="9"/>
      <c r="H296" s="9">
        <f>IF(Table3811[[#This Row],[modality]]=C295,1,0)</f>
        <v>0</v>
      </c>
      <c r="I296" s="9">
        <f>IF(Table3811[[#This Row],[stimulus]]=F297,1,0)</f>
        <v>0</v>
      </c>
      <c r="J296" s="9">
        <f t="shared" si="4"/>
        <v>0</v>
      </c>
    </row>
    <row r="297" spans="1:10" x14ac:dyDescent="0.3">
      <c r="A297" s="19">
        <v>4</v>
      </c>
      <c r="B297" s="41">
        <v>1</v>
      </c>
      <c r="C297" s="41" t="s">
        <v>85</v>
      </c>
      <c r="D297" s="47" t="s">
        <v>4</v>
      </c>
      <c r="E297" s="19" t="s">
        <v>45</v>
      </c>
      <c r="F297" s="19" t="s">
        <v>72</v>
      </c>
      <c r="G297" s="9"/>
      <c r="H297" s="9">
        <f>IF(Table3811[[#This Row],[modality]]=C296,1,0)</f>
        <v>1</v>
      </c>
      <c r="I297" s="9">
        <f>IF(Table3811[[#This Row],[stimulus]]=F298,1,0)</f>
        <v>1</v>
      </c>
      <c r="J297" s="9">
        <f t="shared" si="4"/>
        <v>0</v>
      </c>
    </row>
    <row r="298" spans="1:10" x14ac:dyDescent="0.3">
      <c r="A298" s="8">
        <v>4</v>
      </c>
      <c r="B298" s="42">
        <v>1</v>
      </c>
      <c r="C298" s="42" t="s">
        <v>85</v>
      </c>
      <c r="D298" s="48" t="s">
        <v>44</v>
      </c>
      <c r="E298" s="8" t="s">
        <v>13</v>
      </c>
      <c r="F298" s="8" t="s">
        <v>72</v>
      </c>
      <c r="G298" s="9"/>
      <c r="H298" s="9">
        <f>IF(Table3811[[#This Row],[modality]]=C297,1,0)</f>
        <v>1</v>
      </c>
      <c r="I298" s="9">
        <f>IF(Table3811[[#This Row],[stimulus]]=F299,1,0)</f>
        <v>0</v>
      </c>
      <c r="J298" s="9">
        <f t="shared" si="4"/>
        <v>0</v>
      </c>
    </row>
    <row r="299" spans="1:10" x14ac:dyDescent="0.3">
      <c r="A299" t="s">
        <v>29</v>
      </c>
      <c r="G299" s="9"/>
      <c r="H299" s="9">
        <f>IF(Table3811[[#This Row],[modality]]=C298,1,0)</f>
        <v>0</v>
      </c>
      <c r="I299" s="9">
        <f>IF(Table3811[[#This Row],[stimulus]]=F300,1,0)</f>
        <v>0</v>
      </c>
      <c r="J299" s="9">
        <f t="shared" si="4"/>
        <v>1</v>
      </c>
    </row>
    <row r="300" spans="1:10" x14ac:dyDescent="0.3">
      <c r="A300" s="16">
        <v>1</v>
      </c>
      <c r="B300" s="43">
        <v>2</v>
      </c>
      <c r="C300" s="49" t="s">
        <v>84</v>
      </c>
      <c r="D300" s="51" t="s">
        <v>33</v>
      </c>
      <c r="E300" s="19" t="s">
        <v>46</v>
      </c>
      <c r="F300" s="19" t="s">
        <v>73</v>
      </c>
      <c r="G300" s="9"/>
      <c r="H300" s="9">
        <f>IF(Table3811[[#This Row],[modality]]=C299,1,0)</f>
        <v>0</v>
      </c>
      <c r="I300" s="9">
        <f>IF(Table3811[[#This Row],[stimulus]]=F301,1,0)</f>
        <v>0</v>
      </c>
      <c r="J300" s="9">
        <f t="shared" si="4"/>
        <v>0</v>
      </c>
    </row>
    <row r="301" spans="1:10" x14ac:dyDescent="0.3">
      <c r="A301" s="11">
        <v>1</v>
      </c>
      <c r="B301" s="48">
        <v>2</v>
      </c>
      <c r="C301" s="48" t="s">
        <v>84</v>
      </c>
      <c r="D301" s="48" t="s">
        <v>4</v>
      </c>
      <c r="E301" s="8" t="s">
        <v>45</v>
      </c>
      <c r="F301" s="8" t="s">
        <v>51</v>
      </c>
      <c r="G301" s="9"/>
      <c r="H301" s="9">
        <f>IF(Table3811[[#This Row],[modality]]=C300,1,0)</f>
        <v>1</v>
      </c>
      <c r="I301" s="9">
        <f>IF(Table3811[[#This Row],[stimulus]]=F302,1,0)</f>
        <v>1</v>
      </c>
      <c r="J301" s="9">
        <f t="shared" si="4"/>
        <v>0</v>
      </c>
    </row>
    <row r="302" spans="1:10" x14ac:dyDescent="0.3">
      <c r="A302" s="16">
        <v>1</v>
      </c>
      <c r="B302" s="47">
        <v>2</v>
      </c>
      <c r="C302" s="47" t="s">
        <v>84</v>
      </c>
      <c r="D302" s="47" t="s">
        <v>44</v>
      </c>
      <c r="E302" s="19" t="s">
        <v>13</v>
      </c>
      <c r="F302" s="19" t="s">
        <v>51</v>
      </c>
      <c r="G302" s="9"/>
      <c r="H302" s="9">
        <f>IF(Table3811[[#This Row],[modality]]=C301,1,0)</f>
        <v>1</v>
      </c>
      <c r="I302" s="9">
        <f>IF(Table3811[[#This Row],[stimulus]]=F303,1,0)</f>
        <v>0</v>
      </c>
      <c r="J302" s="9">
        <f t="shared" si="4"/>
        <v>0</v>
      </c>
    </row>
    <row r="303" spans="1:10" x14ac:dyDescent="0.3">
      <c r="A303" s="11">
        <v>1</v>
      </c>
      <c r="B303" s="43">
        <v>1</v>
      </c>
      <c r="C303" s="43" t="s">
        <v>85</v>
      </c>
      <c r="D303" s="51" t="s">
        <v>33</v>
      </c>
      <c r="E303" s="8" t="s">
        <v>46</v>
      </c>
      <c r="F303" s="8" t="s">
        <v>76</v>
      </c>
      <c r="G303" s="9"/>
      <c r="H303" s="9">
        <f>IF(Table3811[[#This Row],[modality]]=C302,1,0)</f>
        <v>0</v>
      </c>
      <c r="I303" s="9">
        <f>IF(Table3811[[#This Row],[stimulus]]=F304,1,0)</f>
        <v>0</v>
      </c>
      <c r="J303" s="9">
        <f t="shared" si="4"/>
        <v>1</v>
      </c>
    </row>
    <row r="304" spans="1:10" x14ac:dyDescent="0.3">
      <c r="A304" s="16">
        <v>1</v>
      </c>
      <c r="B304" s="43">
        <v>2</v>
      </c>
      <c r="C304" s="49" t="s">
        <v>84</v>
      </c>
      <c r="D304" s="51" t="s">
        <v>33</v>
      </c>
      <c r="E304" s="19" t="s">
        <v>46</v>
      </c>
      <c r="F304" s="19" t="s">
        <v>74</v>
      </c>
      <c r="G304" s="9"/>
      <c r="H304" s="9">
        <f>IF(Table3811[[#This Row],[modality]]=C303,1,0)</f>
        <v>0</v>
      </c>
      <c r="I304" s="9">
        <f>IF(Table3811[[#This Row],[stimulus]]=F305,1,0)</f>
        <v>0</v>
      </c>
      <c r="J304" s="9">
        <f t="shared" si="4"/>
        <v>0</v>
      </c>
    </row>
    <row r="305" spans="1:10" x14ac:dyDescent="0.3">
      <c r="A305" s="11">
        <v>1</v>
      </c>
      <c r="B305" s="43">
        <v>1</v>
      </c>
      <c r="C305" s="43" t="s">
        <v>85</v>
      </c>
      <c r="D305" s="51" t="s">
        <v>33</v>
      </c>
      <c r="E305" s="8" t="s">
        <v>46</v>
      </c>
      <c r="F305" s="8" t="s">
        <v>78</v>
      </c>
      <c r="G305" s="9"/>
      <c r="H305" s="9">
        <f>IF(Table3811[[#This Row],[modality]]=C304,1,0)</f>
        <v>0</v>
      </c>
      <c r="I305" s="9">
        <f>IF(Table3811[[#This Row],[stimulus]]=F306,1,0)</f>
        <v>0</v>
      </c>
      <c r="J305" s="9">
        <f t="shared" si="4"/>
        <v>0</v>
      </c>
    </row>
    <row r="306" spans="1:10" x14ac:dyDescent="0.3">
      <c r="A306" s="16">
        <v>1</v>
      </c>
      <c r="B306" s="47">
        <v>2</v>
      </c>
      <c r="C306" s="47" t="s">
        <v>84</v>
      </c>
      <c r="D306" s="47" t="s">
        <v>4</v>
      </c>
      <c r="E306" s="19" t="s">
        <v>45</v>
      </c>
      <c r="F306" s="19" t="s">
        <v>54</v>
      </c>
      <c r="G306" s="9"/>
      <c r="H306" s="9">
        <f>IF(Table3811[[#This Row],[modality]]=C305,1,0)</f>
        <v>0</v>
      </c>
      <c r="I306" s="9">
        <f>IF(Table3811[[#This Row],[stimulus]]=F307,1,0)</f>
        <v>1</v>
      </c>
      <c r="J306" s="9">
        <f t="shared" si="4"/>
        <v>0</v>
      </c>
    </row>
    <row r="307" spans="1:10" x14ac:dyDescent="0.3">
      <c r="A307" s="11">
        <v>1</v>
      </c>
      <c r="B307" s="48">
        <v>2</v>
      </c>
      <c r="C307" s="47" t="s">
        <v>84</v>
      </c>
      <c r="D307" s="48" t="s">
        <v>44</v>
      </c>
      <c r="E307" s="8" t="s">
        <v>13</v>
      </c>
      <c r="F307" s="8" t="s">
        <v>54</v>
      </c>
      <c r="G307" s="9"/>
      <c r="H307" s="9">
        <f>IF(Table3811[[#This Row],[modality]]=C306,1,0)</f>
        <v>1</v>
      </c>
      <c r="I307" s="9">
        <f>IF(Table3811[[#This Row],[stimulus]]=F308,1,0)</f>
        <v>0</v>
      </c>
      <c r="J307" s="9">
        <f t="shared" si="4"/>
        <v>0</v>
      </c>
    </row>
    <row r="308" spans="1:10" x14ac:dyDescent="0.3">
      <c r="A308" s="16">
        <v>1</v>
      </c>
      <c r="B308" s="43">
        <v>1</v>
      </c>
      <c r="C308" s="49" t="s">
        <v>85</v>
      </c>
      <c r="D308" s="51" t="s">
        <v>33</v>
      </c>
      <c r="E308" s="19" t="s">
        <v>46</v>
      </c>
      <c r="F308" s="19" t="s">
        <v>71</v>
      </c>
      <c r="G308" s="9"/>
      <c r="H308" s="9">
        <f>IF(Table3811[[#This Row],[modality]]=C307,1,0)</f>
        <v>0</v>
      </c>
      <c r="I308" s="9">
        <f>IF(Table3811[[#This Row],[stimulus]]=F309,1,0)</f>
        <v>0</v>
      </c>
      <c r="J308" s="9">
        <f t="shared" si="4"/>
        <v>1</v>
      </c>
    </row>
    <row r="309" spans="1:10" x14ac:dyDescent="0.3">
      <c r="A309" s="16">
        <v>1</v>
      </c>
      <c r="B309" s="47">
        <v>2</v>
      </c>
      <c r="C309" s="47" t="s">
        <v>84</v>
      </c>
      <c r="D309" s="47" t="s">
        <v>4</v>
      </c>
      <c r="E309" s="19" t="s">
        <v>45</v>
      </c>
      <c r="F309" s="19" t="s">
        <v>53</v>
      </c>
      <c r="G309" s="9"/>
      <c r="H309" s="9">
        <f>IF(Table3811[[#This Row],[modality]]=C308,1,0)</f>
        <v>0</v>
      </c>
      <c r="I309" s="9">
        <f>IF(Table3811[[#This Row],[stimulus]]=F310,1,0)</f>
        <v>1</v>
      </c>
      <c r="J309" s="9">
        <f t="shared" si="4"/>
        <v>0</v>
      </c>
    </row>
    <row r="310" spans="1:10" x14ac:dyDescent="0.3">
      <c r="A310" s="11">
        <v>1</v>
      </c>
      <c r="B310" s="48">
        <v>1</v>
      </c>
      <c r="C310" s="48" t="s">
        <v>85</v>
      </c>
      <c r="D310" s="48" t="s">
        <v>44</v>
      </c>
      <c r="E310" s="8" t="s">
        <v>14</v>
      </c>
      <c r="F310" s="8" t="s">
        <v>53</v>
      </c>
      <c r="G310" s="9"/>
      <c r="H310" s="9">
        <f>IF(Table3811[[#This Row],[modality]]=C309,1,0)</f>
        <v>0</v>
      </c>
      <c r="I310" s="9">
        <f>IF(Table3811[[#This Row],[stimulus]]=F311,1,0)</f>
        <v>0</v>
      </c>
      <c r="J310" s="9">
        <f t="shared" si="4"/>
        <v>0</v>
      </c>
    </row>
    <row r="311" spans="1:10" x14ac:dyDescent="0.3">
      <c r="A311" s="16">
        <v>1</v>
      </c>
      <c r="B311" s="43">
        <v>1</v>
      </c>
      <c r="C311" s="49" t="s">
        <v>85</v>
      </c>
      <c r="D311" s="51" t="s">
        <v>33</v>
      </c>
      <c r="E311" s="19" t="s">
        <v>46</v>
      </c>
      <c r="F311" s="19" t="s">
        <v>75</v>
      </c>
      <c r="G311" s="9"/>
      <c r="H311" s="9">
        <f>IF(Table3811[[#This Row],[modality]]=C310,1,0)</f>
        <v>1</v>
      </c>
      <c r="I311" s="9">
        <f>IF(Table3811[[#This Row],[stimulus]]=F312,1,0)</f>
        <v>0</v>
      </c>
      <c r="J311" s="9">
        <f t="shared" si="4"/>
        <v>1</v>
      </c>
    </row>
    <row r="312" spans="1:10" x14ac:dyDescent="0.3">
      <c r="A312" s="11">
        <v>1</v>
      </c>
      <c r="B312" s="48">
        <v>1</v>
      </c>
      <c r="C312" s="48" t="s">
        <v>85</v>
      </c>
      <c r="D312" s="48" t="s">
        <v>4</v>
      </c>
      <c r="E312" s="8" t="s">
        <v>45</v>
      </c>
      <c r="F312" s="8" t="s">
        <v>49</v>
      </c>
      <c r="G312" s="9"/>
      <c r="H312" s="9">
        <f>IF(Table3811[[#This Row],[modality]]=C311,1,0)</f>
        <v>1</v>
      </c>
      <c r="I312" s="9">
        <f>IF(Table3811[[#This Row],[stimulus]]=F313,1,0)</f>
        <v>1</v>
      </c>
      <c r="J312" s="9">
        <f t="shared" si="4"/>
        <v>0</v>
      </c>
    </row>
    <row r="313" spans="1:10" x14ac:dyDescent="0.3">
      <c r="A313" s="16">
        <v>1</v>
      </c>
      <c r="B313" s="47">
        <v>2</v>
      </c>
      <c r="C313" s="47" t="s">
        <v>84</v>
      </c>
      <c r="D313" s="47" t="s">
        <v>44</v>
      </c>
      <c r="E313" s="19" t="s">
        <v>14</v>
      </c>
      <c r="F313" s="19" t="s">
        <v>49</v>
      </c>
      <c r="G313" s="9"/>
      <c r="H313" s="9">
        <f>IF(Table3811[[#This Row],[modality]]=C312,1,0)</f>
        <v>0</v>
      </c>
      <c r="I313" s="9">
        <f>IF(Table3811[[#This Row],[stimulus]]=F314,1,0)</f>
        <v>0</v>
      </c>
      <c r="J313" s="9">
        <f t="shared" si="4"/>
        <v>0</v>
      </c>
    </row>
    <row r="314" spans="1:10" x14ac:dyDescent="0.3">
      <c r="A314" s="11">
        <v>1</v>
      </c>
      <c r="B314" s="48">
        <v>2</v>
      </c>
      <c r="C314" s="48" t="s">
        <v>84</v>
      </c>
      <c r="D314" s="48" t="s">
        <v>4</v>
      </c>
      <c r="E314" s="8" t="s">
        <v>45</v>
      </c>
      <c r="F314" s="8" t="s">
        <v>48</v>
      </c>
      <c r="G314" s="9"/>
      <c r="H314" s="9">
        <f>IF(Table3811[[#This Row],[modality]]=C313,1,0)</f>
        <v>1</v>
      </c>
      <c r="I314" s="9">
        <f>IF(Table3811[[#This Row],[stimulus]]=F315,1,0)</f>
        <v>1</v>
      </c>
      <c r="J314" s="9">
        <f t="shared" si="4"/>
        <v>1</v>
      </c>
    </row>
    <row r="315" spans="1:10" x14ac:dyDescent="0.3">
      <c r="A315" s="16">
        <v>1</v>
      </c>
      <c r="B315" s="47">
        <v>1</v>
      </c>
      <c r="C315" s="47" t="s">
        <v>85</v>
      </c>
      <c r="D315" s="47" t="s">
        <v>44</v>
      </c>
      <c r="E315" s="19" t="s">
        <v>14</v>
      </c>
      <c r="F315" s="19" t="s">
        <v>48</v>
      </c>
      <c r="G315" s="9"/>
      <c r="H315" s="9">
        <f>IF(Table3811[[#This Row],[modality]]=C314,1,0)</f>
        <v>0</v>
      </c>
      <c r="I315" s="9">
        <f>IF(Table3811[[#This Row],[stimulus]]=F316,1,0)</f>
        <v>0</v>
      </c>
      <c r="J315" s="9">
        <f t="shared" si="4"/>
        <v>0</v>
      </c>
    </row>
    <row r="316" spans="1:10" x14ac:dyDescent="0.3">
      <c r="A316" s="11">
        <v>1</v>
      </c>
      <c r="B316" s="43">
        <v>2</v>
      </c>
      <c r="C316" s="43" t="s">
        <v>84</v>
      </c>
      <c r="D316" s="51" t="s">
        <v>33</v>
      </c>
      <c r="E316" s="8" t="s">
        <v>46</v>
      </c>
      <c r="F316" s="8" t="s">
        <v>72</v>
      </c>
      <c r="G316" s="9"/>
      <c r="H316" s="9">
        <f>IF(Table3811[[#This Row],[modality]]=C315,1,0)</f>
        <v>0</v>
      </c>
      <c r="I316" s="9">
        <f>IF(Table3811[[#This Row],[stimulus]]=F317,1,0)</f>
        <v>0</v>
      </c>
      <c r="J316" s="9">
        <f t="shared" si="4"/>
        <v>1</v>
      </c>
    </row>
    <row r="317" spans="1:10" x14ac:dyDescent="0.3">
      <c r="A317" s="16">
        <v>1</v>
      </c>
      <c r="B317" s="47">
        <v>1</v>
      </c>
      <c r="C317" s="47" t="s">
        <v>85</v>
      </c>
      <c r="D317" s="47" t="s">
        <v>4</v>
      </c>
      <c r="E317" s="19" t="s">
        <v>45</v>
      </c>
      <c r="F317" s="19" t="s">
        <v>50</v>
      </c>
      <c r="G317" s="9"/>
      <c r="H317" s="9">
        <f>IF(Table3811[[#This Row],[modality]]=C316,1,0)</f>
        <v>0</v>
      </c>
      <c r="I317" s="9">
        <f>IF(Table3811[[#This Row],[stimulus]]=F318,1,0)</f>
        <v>1</v>
      </c>
      <c r="J317" s="9">
        <f t="shared" si="4"/>
        <v>0</v>
      </c>
    </row>
    <row r="318" spans="1:10" x14ac:dyDescent="0.3">
      <c r="A318" s="11">
        <v>1</v>
      </c>
      <c r="B318" s="48">
        <v>1</v>
      </c>
      <c r="C318" s="47" t="s">
        <v>85</v>
      </c>
      <c r="D318" s="48" t="s">
        <v>44</v>
      </c>
      <c r="E318" s="8" t="s">
        <v>13</v>
      </c>
      <c r="F318" s="8" t="s">
        <v>50</v>
      </c>
      <c r="G318" s="9"/>
      <c r="H318" s="9">
        <f>IF(Table3811[[#This Row],[modality]]=C317,1,0)</f>
        <v>1</v>
      </c>
      <c r="I318" s="9">
        <f>IF(Table3811[[#This Row],[stimulus]]=F319,1,0)</f>
        <v>0</v>
      </c>
      <c r="J318" s="9">
        <f t="shared" si="4"/>
        <v>0</v>
      </c>
    </row>
    <row r="319" spans="1:10" x14ac:dyDescent="0.3">
      <c r="A319" s="11">
        <v>1</v>
      </c>
      <c r="B319" s="43">
        <v>2</v>
      </c>
      <c r="C319" s="43" t="s">
        <v>84</v>
      </c>
      <c r="D319" s="51" t="s">
        <v>33</v>
      </c>
      <c r="E319" s="8" t="s">
        <v>46</v>
      </c>
      <c r="F319" s="8" t="s">
        <v>77</v>
      </c>
      <c r="G319" s="9"/>
      <c r="H319" s="9">
        <f>IF(Table3811[[#This Row],[modality]]=C318,1,0)</f>
        <v>0</v>
      </c>
      <c r="I319" s="9">
        <f>IF(Table3811[[#This Row],[stimulus]]=F320,1,0)</f>
        <v>0</v>
      </c>
      <c r="J319" s="9">
        <f t="shared" si="4"/>
        <v>1</v>
      </c>
    </row>
    <row r="320" spans="1:10" x14ac:dyDescent="0.3">
      <c r="A320" s="16">
        <v>1</v>
      </c>
      <c r="B320" s="47">
        <v>1</v>
      </c>
      <c r="C320" s="47" t="s">
        <v>85</v>
      </c>
      <c r="D320" s="47" t="s">
        <v>4</v>
      </c>
      <c r="E320" s="19" t="s">
        <v>45</v>
      </c>
      <c r="F320" s="19" t="s">
        <v>47</v>
      </c>
      <c r="G320" s="9"/>
      <c r="H320" s="9">
        <f>IF(Table3811[[#This Row],[modality]]=C319,1,0)</f>
        <v>0</v>
      </c>
      <c r="I320" s="9">
        <f>IF(Table3811[[#This Row],[stimulus]]=F321,1,0)</f>
        <v>1</v>
      </c>
      <c r="J320" s="9">
        <f t="shared" si="4"/>
        <v>0</v>
      </c>
    </row>
    <row r="321" spans="1:10" x14ac:dyDescent="0.3">
      <c r="A321" s="11">
        <v>1</v>
      </c>
      <c r="B321" s="48">
        <v>1</v>
      </c>
      <c r="C321" s="47" t="s">
        <v>85</v>
      </c>
      <c r="D321" s="48" t="s">
        <v>44</v>
      </c>
      <c r="E321" s="8" t="s">
        <v>13</v>
      </c>
      <c r="F321" s="8" t="s">
        <v>47</v>
      </c>
      <c r="G321" s="9"/>
      <c r="H321" s="9">
        <f>IF(Table3811[[#This Row],[modality]]=C320,1,0)</f>
        <v>1</v>
      </c>
      <c r="I321" s="9">
        <f>IF(Table3811[[#This Row],[stimulus]]=F322,1,0)</f>
        <v>0</v>
      </c>
      <c r="J321" s="9">
        <f t="shared" si="4"/>
        <v>0</v>
      </c>
    </row>
    <row r="322" spans="1:10" x14ac:dyDescent="0.3">
      <c r="A322" s="16">
        <v>1</v>
      </c>
      <c r="B322" s="47">
        <v>1</v>
      </c>
      <c r="C322" s="47" t="s">
        <v>85</v>
      </c>
      <c r="D322" s="47" t="s">
        <v>4</v>
      </c>
      <c r="E322" s="19" t="s">
        <v>45</v>
      </c>
      <c r="F322" s="19" t="s">
        <v>52</v>
      </c>
      <c r="G322" s="9"/>
      <c r="H322" s="9">
        <f>IF(Table3811[[#This Row],[modality]]=C321,1,0)</f>
        <v>1</v>
      </c>
      <c r="I322" s="9">
        <f>IF(Table3811[[#This Row],[stimulus]]=F323,1,0)</f>
        <v>1</v>
      </c>
      <c r="J322" s="9">
        <f t="shared" si="4"/>
        <v>1</v>
      </c>
    </row>
    <row r="323" spans="1:10" x14ac:dyDescent="0.3">
      <c r="A323" s="11">
        <v>1</v>
      </c>
      <c r="B323" s="48">
        <v>2</v>
      </c>
      <c r="C323" s="48" t="s">
        <v>84</v>
      </c>
      <c r="D323" s="48" t="s">
        <v>44</v>
      </c>
      <c r="E323" s="8" t="s">
        <v>14</v>
      </c>
      <c r="F323" s="8" t="s">
        <v>52</v>
      </c>
      <c r="G323" s="9"/>
      <c r="H323" s="9">
        <f>IF(Table3811[[#This Row],[modality]]=C322,1,0)</f>
        <v>0</v>
      </c>
      <c r="I323" s="9">
        <f>IF(Table3811[[#This Row],[stimulus]]=F324,1,0)</f>
        <v>0</v>
      </c>
      <c r="J323" s="9">
        <f t="shared" ref="J323:J388" si="5">IF(D322="T",1,0)</f>
        <v>0</v>
      </c>
    </row>
    <row r="324" spans="1:10" x14ac:dyDescent="0.3">
      <c r="A324" s="8">
        <v>2</v>
      </c>
      <c r="B324" s="48">
        <v>1</v>
      </c>
      <c r="C324" s="48" t="s">
        <v>85</v>
      </c>
      <c r="D324" s="48" t="s">
        <v>4</v>
      </c>
      <c r="E324" s="8" t="s">
        <v>45</v>
      </c>
      <c r="F324" s="8" t="s">
        <v>55</v>
      </c>
      <c r="G324" s="9"/>
      <c r="H324" s="9">
        <f>IF(Table3811[[#This Row],[modality]]=C323,1,0)</f>
        <v>0</v>
      </c>
      <c r="I324" s="9">
        <f>IF(Table3811[[#This Row],[stimulus]]=F325,1,0)</f>
        <v>1</v>
      </c>
      <c r="J324" s="9">
        <f t="shared" si="5"/>
        <v>1</v>
      </c>
    </row>
    <row r="325" spans="1:10" x14ac:dyDescent="0.3">
      <c r="A325" s="8">
        <v>2</v>
      </c>
      <c r="B325" s="48">
        <v>1</v>
      </c>
      <c r="C325" s="48" t="s">
        <v>85</v>
      </c>
      <c r="D325" s="48" t="s">
        <v>44</v>
      </c>
      <c r="E325" s="8" t="s">
        <v>13</v>
      </c>
      <c r="F325" s="8" t="s">
        <v>55</v>
      </c>
      <c r="G325" s="9"/>
      <c r="H325" s="9">
        <f>IF(Table3811[[#This Row],[modality]]=C324,1,0)</f>
        <v>1</v>
      </c>
      <c r="I325" s="9">
        <f>IF(Table3811[[#This Row],[stimulus]]=F326,1,0)</f>
        <v>0</v>
      </c>
      <c r="J325" s="9">
        <f t="shared" si="5"/>
        <v>0</v>
      </c>
    </row>
    <row r="326" spans="1:10" x14ac:dyDescent="0.3">
      <c r="A326" s="8">
        <v>2</v>
      </c>
      <c r="B326" s="44">
        <v>1</v>
      </c>
      <c r="C326" s="44" t="s">
        <v>85</v>
      </c>
      <c r="D326" s="44" t="s">
        <v>33</v>
      </c>
      <c r="E326" s="8" t="s">
        <v>46</v>
      </c>
      <c r="F326" s="8" t="s">
        <v>51</v>
      </c>
      <c r="G326" s="9"/>
      <c r="H326" s="9">
        <f>IF(Table3811[[#This Row],[modality]]=C325,1,0)</f>
        <v>1</v>
      </c>
      <c r="I326" s="9">
        <f>IF(Table3811[[#This Row],[stimulus]]=F327,1,0)</f>
        <v>0</v>
      </c>
      <c r="J326" s="9">
        <f t="shared" si="5"/>
        <v>1</v>
      </c>
    </row>
    <row r="327" spans="1:10" x14ac:dyDescent="0.3">
      <c r="A327" s="8">
        <v>2</v>
      </c>
      <c r="B327" s="44">
        <v>2</v>
      </c>
      <c r="C327" s="44" t="s">
        <v>84</v>
      </c>
      <c r="D327" s="44" t="s">
        <v>33</v>
      </c>
      <c r="E327" s="8" t="s">
        <v>46</v>
      </c>
      <c r="F327" s="8" t="s">
        <v>47</v>
      </c>
      <c r="G327" s="9"/>
      <c r="H327" s="9">
        <f>IF(Table3811[[#This Row],[modality]]=C326,1,0)</f>
        <v>0</v>
      </c>
      <c r="I327" s="9">
        <f>IF(Table3811[[#This Row],[stimulus]]=F328,1,0)</f>
        <v>0</v>
      </c>
      <c r="J327" s="9">
        <f t="shared" si="5"/>
        <v>0</v>
      </c>
    </row>
    <row r="328" spans="1:10" x14ac:dyDescent="0.3">
      <c r="A328" s="19">
        <v>2</v>
      </c>
      <c r="B328" s="47">
        <v>1</v>
      </c>
      <c r="C328" s="47" t="s">
        <v>85</v>
      </c>
      <c r="D328" s="47" t="s">
        <v>4</v>
      </c>
      <c r="E328" s="19" t="s">
        <v>45</v>
      </c>
      <c r="F328" s="19" t="s">
        <v>59</v>
      </c>
      <c r="G328" s="9"/>
      <c r="H328" s="9">
        <f>IF(Table3811[[#This Row],[modality]]=C327,1,0)</f>
        <v>0</v>
      </c>
      <c r="I328" s="9">
        <f>IF(Table3811[[#This Row],[stimulus]]=F329,1,0)</f>
        <v>1</v>
      </c>
      <c r="J328" s="9">
        <f t="shared" si="5"/>
        <v>0</v>
      </c>
    </row>
    <row r="329" spans="1:10" x14ac:dyDescent="0.3">
      <c r="A329" s="8">
        <v>2</v>
      </c>
      <c r="B329" s="48">
        <v>1</v>
      </c>
      <c r="C329" s="48" t="s">
        <v>85</v>
      </c>
      <c r="D329" s="48" t="s">
        <v>44</v>
      </c>
      <c r="E329" s="8" t="s">
        <v>13</v>
      </c>
      <c r="F329" s="8" t="s">
        <v>59</v>
      </c>
      <c r="G329" s="9"/>
      <c r="H329" s="9">
        <f>IF(Table3811[[#This Row],[modality]]=C328,1,0)</f>
        <v>1</v>
      </c>
      <c r="I329" s="9">
        <f>IF(Table3811[[#This Row],[stimulus]]=F330,1,0)</f>
        <v>0</v>
      </c>
      <c r="J329" s="9">
        <f t="shared" si="5"/>
        <v>0</v>
      </c>
    </row>
    <row r="330" spans="1:10" x14ac:dyDescent="0.3">
      <c r="A330" s="19">
        <v>2</v>
      </c>
      <c r="B330" s="44">
        <v>1</v>
      </c>
      <c r="C330" s="44" t="s">
        <v>85</v>
      </c>
      <c r="D330" s="44" t="s">
        <v>33</v>
      </c>
      <c r="E330" s="19" t="s">
        <v>46</v>
      </c>
      <c r="F330" s="19" t="s">
        <v>54</v>
      </c>
      <c r="G330" s="9"/>
      <c r="H330" s="9">
        <f>IF(Table3811[[#This Row],[modality]]=C329,1,0)</f>
        <v>1</v>
      </c>
      <c r="I330" s="9">
        <f>IF(Table3811[[#This Row],[stimulus]]=F331,1,0)</f>
        <v>0</v>
      </c>
      <c r="J330" s="9">
        <f t="shared" si="5"/>
        <v>1</v>
      </c>
    </row>
    <row r="331" spans="1:10" x14ac:dyDescent="0.3">
      <c r="A331" s="52">
        <v>2</v>
      </c>
      <c r="B331" s="44">
        <v>2</v>
      </c>
      <c r="C331" s="44" t="s">
        <v>84</v>
      </c>
      <c r="D331" s="44"/>
      <c r="E331" s="53" t="s">
        <v>46</v>
      </c>
      <c r="F331" s="52"/>
      <c r="G331" s="55" t="s">
        <v>131</v>
      </c>
      <c r="H331" s="9">
        <f>IF(Table3811[[#This Row],[modality]]=C330,1,0)</f>
        <v>0</v>
      </c>
      <c r="I331" s="9">
        <f>IF(Table3811[[#This Row],[stimulus]]=F332,1,0)</f>
        <v>0</v>
      </c>
      <c r="J331" s="9">
        <f t="shared" si="5"/>
        <v>0</v>
      </c>
    </row>
    <row r="332" spans="1:10" x14ac:dyDescent="0.3">
      <c r="A332" s="8">
        <v>2</v>
      </c>
      <c r="B332" s="44">
        <v>1</v>
      </c>
      <c r="C332" s="44" t="s">
        <v>85</v>
      </c>
      <c r="D332" s="44" t="s">
        <v>33</v>
      </c>
      <c r="E332" s="8" t="s">
        <v>46</v>
      </c>
      <c r="F332" s="8" t="s">
        <v>53</v>
      </c>
      <c r="G332" s="9"/>
      <c r="H332" s="9">
        <f>IF(Table3811[[#This Row],[modality]]=C331,1,0)</f>
        <v>0</v>
      </c>
      <c r="I332" s="9">
        <f>IF(Table3811[[#This Row],[stimulus]]=F333,1,0)</f>
        <v>0</v>
      </c>
      <c r="J332" s="9">
        <f t="shared" si="5"/>
        <v>0</v>
      </c>
    </row>
    <row r="333" spans="1:10" x14ac:dyDescent="0.3">
      <c r="A333" s="19">
        <v>2</v>
      </c>
      <c r="B333" s="47">
        <v>1</v>
      </c>
      <c r="C333" s="47" t="s">
        <v>85</v>
      </c>
      <c r="D333" s="47" t="s">
        <v>4</v>
      </c>
      <c r="E333" s="19" t="s">
        <v>45</v>
      </c>
      <c r="F333" s="19" t="s">
        <v>57</v>
      </c>
      <c r="G333" s="9"/>
      <c r="H333" s="9">
        <f>IF(Table3811[[#This Row],[modality]]=C332,1,0)</f>
        <v>1</v>
      </c>
      <c r="I333" s="9">
        <f>IF(Table3811[[#This Row],[stimulus]]=F334,1,0)</f>
        <v>1</v>
      </c>
      <c r="J333" s="9">
        <f t="shared" si="5"/>
        <v>0</v>
      </c>
    </row>
    <row r="334" spans="1:10" x14ac:dyDescent="0.3">
      <c r="A334" s="8">
        <v>2</v>
      </c>
      <c r="B334" s="48">
        <v>1</v>
      </c>
      <c r="C334" s="50" t="s">
        <v>84</v>
      </c>
      <c r="D334" s="48" t="s">
        <v>44</v>
      </c>
      <c r="E334" s="8" t="s">
        <v>14</v>
      </c>
      <c r="F334" s="8" t="s">
        <v>57</v>
      </c>
      <c r="G334" s="9"/>
      <c r="H334" s="9">
        <f>IF(Table3811[[#This Row],[modality]]=C333,1,0)</f>
        <v>0</v>
      </c>
      <c r="I334" s="9">
        <f>IF(Table3811[[#This Row],[stimulus]]=F335,1,0)</f>
        <v>0</v>
      </c>
      <c r="J334" s="9">
        <f t="shared" si="5"/>
        <v>0</v>
      </c>
    </row>
    <row r="335" spans="1:10" x14ac:dyDescent="0.3">
      <c r="A335" s="19">
        <v>2</v>
      </c>
      <c r="B335" s="44">
        <v>2</v>
      </c>
      <c r="C335" s="44" t="s">
        <v>84</v>
      </c>
      <c r="D335" s="44" t="s">
        <v>33</v>
      </c>
      <c r="E335" s="19" t="s">
        <v>46</v>
      </c>
      <c r="F335" s="19" t="s">
        <v>49</v>
      </c>
      <c r="G335" s="9"/>
      <c r="H335" s="9">
        <f>IF(Table3811[[#This Row],[modality]]=C334,1,0)</f>
        <v>1</v>
      </c>
      <c r="I335" s="9">
        <f>IF(Table3811[[#This Row],[stimulus]]=F336,1,0)</f>
        <v>0</v>
      </c>
      <c r="J335" s="9">
        <f t="shared" si="5"/>
        <v>1</v>
      </c>
    </row>
    <row r="336" spans="1:10" x14ac:dyDescent="0.3">
      <c r="A336" s="8">
        <v>2</v>
      </c>
      <c r="B336" s="48">
        <v>2</v>
      </c>
      <c r="C336" s="48" t="s">
        <v>84</v>
      </c>
      <c r="D336" s="48" t="s">
        <v>4</v>
      </c>
      <c r="E336" s="8" t="s">
        <v>45</v>
      </c>
      <c r="F336" s="8" t="s">
        <v>61</v>
      </c>
      <c r="G336" s="9"/>
      <c r="H336" s="9">
        <f>IF(Table3811[[#This Row],[modality]]=C335,1,0)</f>
        <v>1</v>
      </c>
      <c r="I336" s="9">
        <f>IF(Table3811[[#This Row],[stimulus]]=F337,1,0)</f>
        <v>1</v>
      </c>
      <c r="J336" s="9">
        <f t="shared" si="5"/>
        <v>0</v>
      </c>
    </row>
    <row r="337" spans="1:10" x14ac:dyDescent="0.3">
      <c r="A337" s="8">
        <v>2</v>
      </c>
      <c r="B337" s="48">
        <v>1</v>
      </c>
      <c r="C337" s="48" t="s">
        <v>85</v>
      </c>
      <c r="D337" s="48" t="s">
        <v>44</v>
      </c>
      <c r="E337" s="8" t="s">
        <v>14</v>
      </c>
      <c r="F337" s="8" t="s">
        <v>61</v>
      </c>
      <c r="G337" s="9"/>
      <c r="H337" s="9">
        <f>IF(Table3811[[#This Row],[modality]]=C336,1,0)</f>
        <v>0</v>
      </c>
      <c r="I337" s="9">
        <f>IF(Table3811[[#This Row],[stimulus]]=F338,1,0)</f>
        <v>0</v>
      </c>
      <c r="J337" s="9">
        <f t="shared" si="5"/>
        <v>0</v>
      </c>
    </row>
    <row r="338" spans="1:10" x14ac:dyDescent="0.3">
      <c r="A338" s="8">
        <v>2</v>
      </c>
      <c r="B338" s="44">
        <v>1</v>
      </c>
      <c r="C338" s="44" t="s">
        <v>85</v>
      </c>
      <c r="D338" s="44" t="s">
        <v>33</v>
      </c>
      <c r="E338" s="8" t="s">
        <v>46</v>
      </c>
      <c r="F338" s="8" t="s">
        <v>48</v>
      </c>
      <c r="G338" s="9"/>
      <c r="H338" s="9">
        <f>IF(Table3811[[#This Row],[modality]]=C337,1,0)</f>
        <v>1</v>
      </c>
      <c r="I338" s="9">
        <f>IF(Table3811[[#This Row],[stimulus]]=F339,1,0)</f>
        <v>0</v>
      </c>
      <c r="J338" s="9">
        <f t="shared" si="5"/>
        <v>1</v>
      </c>
    </row>
    <row r="339" spans="1:10" x14ac:dyDescent="0.3">
      <c r="A339" s="19">
        <v>2</v>
      </c>
      <c r="B339" s="47">
        <v>1</v>
      </c>
      <c r="C339" s="47" t="s">
        <v>85</v>
      </c>
      <c r="D339" s="47" t="s">
        <v>4</v>
      </c>
      <c r="E339" s="19" t="s">
        <v>45</v>
      </c>
      <c r="F339" s="19" t="s">
        <v>56</v>
      </c>
      <c r="G339" s="9"/>
      <c r="H339" s="9">
        <f>IF(Table3811[[#This Row],[modality]]=C338,1,0)</f>
        <v>1</v>
      </c>
      <c r="I339" s="9">
        <f>IF(Table3811[[#This Row],[stimulus]]=F340,1,0)</f>
        <v>1</v>
      </c>
      <c r="J339" s="9">
        <f t="shared" si="5"/>
        <v>0</v>
      </c>
    </row>
    <row r="340" spans="1:10" x14ac:dyDescent="0.3">
      <c r="A340" s="8">
        <v>2</v>
      </c>
      <c r="B340" s="48">
        <v>2</v>
      </c>
      <c r="C340" s="48" t="s">
        <v>84</v>
      </c>
      <c r="D340" s="48" t="s">
        <v>44</v>
      </c>
      <c r="E340" s="8" t="s">
        <v>14</v>
      </c>
      <c r="F340" s="8" t="s">
        <v>56</v>
      </c>
      <c r="G340" s="9"/>
      <c r="H340" s="9">
        <f>IF(Table3811[[#This Row],[modality]]=C339,1,0)</f>
        <v>0</v>
      </c>
      <c r="I340" s="9">
        <f>IF(Table3811[[#This Row],[stimulus]]=F341,1,0)</f>
        <v>0</v>
      </c>
      <c r="J340" s="9">
        <f t="shared" si="5"/>
        <v>0</v>
      </c>
    </row>
    <row r="341" spans="1:10" x14ac:dyDescent="0.3">
      <c r="A341" s="19">
        <v>2</v>
      </c>
      <c r="B341" s="47">
        <v>2</v>
      </c>
      <c r="C341" s="47" t="s">
        <v>84</v>
      </c>
      <c r="D341" s="47" t="s">
        <v>4</v>
      </c>
      <c r="E341" s="19" t="s">
        <v>45</v>
      </c>
      <c r="F341" s="19" t="s">
        <v>60</v>
      </c>
      <c r="G341" s="9"/>
      <c r="H341" s="9">
        <f>IF(Table3811[[#This Row],[modality]]=C340,1,0)</f>
        <v>1</v>
      </c>
      <c r="I341" s="9">
        <f>IF(Table3811[[#This Row],[stimulus]]=F342,1,0)</f>
        <v>1</v>
      </c>
      <c r="J341" s="9">
        <f t="shared" si="5"/>
        <v>1</v>
      </c>
    </row>
    <row r="342" spans="1:10" x14ac:dyDescent="0.3">
      <c r="A342" s="8">
        <v>2</v>
      </c>
      <c r="B342" s="48">
        <v>2</v>
      </c>
      <c r="C342" s="48" t="s">
        <v>84</v>
      </c>
      <c r="D342" s="48" t="s">
        <v>44</v>
      </c>
      <c r="E342" s="8" t="s">
        <v>13</v>
      </c>
      <c r="F342" s="8" t="s">
        <v>60</v>
      </c>
      <c r="G342" s="9"/>
      <c r="H342" s="9">
        <f>IF(Table3811[[#This Row],[modality]]=C341,1,0)</f>
        <v>1</v>
      </c>
      <c r="I342" s="9">
        <f>IF(Table3811[[#This Row],[stimulus]]=F343,1,0)</f>
        <v>0</v>
      </c>
      <c r="J342" s="9">
        <f t="shared" si="5"/>
        <v>0</v>
      </c>
    </row>
    <row r="343" spans="1:10" x14ac:dyDescent="0.3">
      <c r="A343" s="19">
        <v>2</v>
      </c>
      <c r="B343" s="44">
        <v>1</v>
      </c>
      <c r="C343" s="44" t="s">
        <v>85</v>
      </c>
      <c r="D343" s="44" t="s">
        <v>33</v>
      </c>
      <c r="E343" s="19" t="s">
        <v>46</v>
      </c>
      <c r="F343" s="19" t="s">
        <v>50</v>
      </c>
      <c r="G343" s="9"/>
      <c r="H343" s="9">
        <f>IF(Table3811[[#This Row],[modality]]=C342,1,0)</f>
        <v>0</v>
      </c>
      <c r="I343" s="9">
        <f>IF(Table3811[[#This Row],[stimulus]]=F344,1,0)</f>
        <v>0</v>
      </c>
      <c r="J343" s="9">
        <f t="shared" si="5"/>
        <v>1</v>
      </c>
    </row>
    <row r="344" spans="1:10" x14ac:dyDescent="0.3">
      <c r="A344" s="8">
        <v>2</v>
      </c>
      <c r="B344" s="48">
        <v>2</v>
      </c>
      <c r="C344" s="48" t="s">
        <v>84</v>
      </c>
      <c r="D344" s="48" t="s">
        <v>4</v>
      </c>
      <c r="E344" s="8" t="s">
        <v>45</v>
      </c>
      <c r="F344" s="8" t="s">
        <v>58</v>
      </c>
      <c r="G344" s="9"/>
      <c r="H344" s="9">
        <f>IF(Table3811[[#This Row],[modality]]=C343,1,0)</f>
        <v>0</v>
      </c>
      <c r="I344" s="9">
        <f>IF(Table3811[[#This Row],[stimulus]]=F345,1,0)</f>
        <v>1</v>
      </c>
      <c r="J344" s="9">
        <f t="shared" si="5"/>
        <v>0</v>
      </c>
    </row>
    <row r="345" spans="1:10" x14ac:dyDescent="0.3">
      <c r="A345" s="8">
        <v>2</v>
      </c>
      <c r="B345" s="48">
        <v>2</v>
      </c>
      <c r="C345" s="48" t="s">
        <v>84</v>
      </c>
      <c r="D345" s="48" t="s">
        <v>44</v>
      </c>
      <c r="E345" s="8" t="s">
        <v>13</v>
      </c>
      <c r="F345" s="8" t="s">
        <v>58</v>
      </c>
      <c r="G345" s="9"/>
      <c r="H345" s="9">
        <f>IF(Table3811[[#This Row],[modality]]=C344,1,0)</f>
        <v>1</v>
      </c>
      <c r="I345" s="9">
        <f>IF(Table3811[[#This Row],[stimulus]]=F346,1,0)</f>
        <v>0</v>
      </c>
      <c r="J345" s="9">
        <f t="shared" si="5"/>
        <v>0</v>
      </c>
    </row>
    <row r="346" spans="1:10" x14ac:dyDescent="0.3">
      <c r="A346" s="19">
        <v>2</v>
      </c>
      <c r="B346" s="44">
        <v>2</v>
      </c>
      <c r="C346" s="44" t="s">
        <v>84</v>
      </c>
      <c r="D346" s="44" t="s">
        <v>33</v>
      </c>
      <c r="E346" s="19" t="s">
        <v>46</v>
      </c>
      <c r="F346" s="19" t="s">
        <v>52</v>
      </c>
      <c r="G346" s="9"/>
      <c r="H346" s="9">
        <f>IF(Table3811[[#This Row],[modality]]=C345,1,0)</f>
        <v>1</v>
      </c>
      <c r="I346" s="9">
        <f>IF(Table3811[[#This Row],[stimulus]]=F347,1,0)</f>
        <v>0</v>
      </c>
      <c r="J346" s="9">
        <f t="shared" si="5"/>
        <v>1</v>
      </c>
    </row>
    <row r="347" spans="1:10" x14ac:dyDescent="0.3">
      <c r="A347" s="8">
        <v>2</v>
      </c>
      <c r="B347" s="48">
        <v>2</v>
      </c>
      <c r="C347" s="48" t="s">
        <v>84</v>
      </c>
      <c r="D347" s="48" t="s">
        <v>4</v>
      </c>
      <c r="E347" s="8" t="s">
        <v>45</v>
      </c>
      <c r="F347" s="8" t="s">
        <v>62</v>
      </c>
      <c r="G347" s="9"/>
      <c r="H347" s="9">
        <f>IF(Table3811[[#This Row],[modality]]=C346,1,0)</f>
        <v>1</v>
      </c>
      <c r="I347" s="9">
        <f>IF(Table3811[[#This Row],[stimulus]]=F349,1,0)</f>
        <v>0</v>
      </c>
      <c r="J347" s="9">
        <f t="shared" si="5"/>
        <v>0</v>
      </c>
    </row>
    <row r="348" spans="1:10" x14ac:dyDescent="0.3">
      <c r="A348" s="8">
        <v>2</v>
      </c>
      <c r="B348" s="48">
        <v>1</v>
      </c>
      <c r="C348" s="48" t="s">
        <v>85</v>
      </c>
      <c r="D348" s="48" t="s">
        <v>44</v>
      </c>
      <c r="E348" s="8" t="s">
        <v>14</v>
      </c>
      <c r="F348" s="8" t="s">
        <v>62</v>
      </c>
      <c r="G348" s="9"/>
      <c r="H348" s="9">
        <f>IF(Table3811[[#This Row],[modality]]=C347,1,0)</f>
        <v>0</v>
      </c>
      <c r="I348" s="9">
        <f>IF(Table3811[[#This Row],[stimulus]]=F349,1,0)</f>
        <v>0</v>
      </c>
      <c r="J348" s="9">
        <f>IF(D347="T",1,0)</f>
        <v>0</v>
      </c>
    </row>
    <row r="349" spans="1:10" x14ac:dyDescent="0.3">
      <c r="A349" s="16">
        <v>3</v>
      </c>
      <c r="B349" s="47">
        <v>1</v>
      </c>
      <c r="C349" s="47" t="s">
        <v>85</v>
      </c>
      <c r="D349" s="47" t="s">
        <v>4</v>
      </c>
      <c r="E349" s="19" t="s">
        <v>45</v>
      </c>
      <c r="F349" s="19" t="s">
        <v>67</v>
      </c>
      <c r="G349" s="9"/>
      <c r="H349" s="9">
        <f>IF(Table3811[[#This Row],[modality]]=C347,1,0)</f>
        <v>0</v>
      </c>
      <c r="I349" s="9">
        <f>IF(Table3811[[#This Row],[stimulus]]=F350,1,0)</f>
        <v>1</v>
      </c>
      <c r="J349" s="9">
        <f>IF(D347="T",1,0)</f>
        <v>0</v>
      </c>
    </row>
    <row r="350" spans="1:10" x14ac:dyDescent="0.3">
      <c r="A350" s="11">
        <v>3</v>
      </c>
      <c r="B350" s="48">
        <v>2</v>
      </c>
      <c r="C350" s="48" t="s">
        <v>84</v>
      </c>
      <c r="D350" s="48" t="s">
        <v>44</v>
      </c>
      <c r="E350" s="8" t="s">
        <v>14</v>
      </c>
      <c r="F350" s="8" t="s">
        <v>67</v>
      </c>
      <c r="G350" s="9"/>
      <c r="H350" s="9">
        <f>IF(Table3811[[#This Row],[modality]]=C349,1,0)</f>
        <v>0</v>
      </c>
      <c r="I350" s="9">
        <f>IF(Table3811[[#This Row],[stimulus]]=F351,1,0)</f>
        <v>0</v>
      </c>
      <c r="J350" s="9">
        <f t="shared" si="5"/>
        <v>0</v>
      </c>
    </row>
    <row r="351" spans="1:10" x14ac:dyDescent="0.3">
      <c r="A351" s="16">
        <v>3</v>
      </c>
      <c r="B351" s="45">
        <v>2</v>
      </c>
      <c r="C351" s="45" t="s">
        <v>84</v>
      </c>
      <c r="D351" s="45" t="s">
        <v>33</v>
      </c>
      <c r="E351" s="19" t="s">
        <v>46</v>
      </c>
      <c r="F351" s="19" t="s">
        <v>55</v>
      </c>
      <c r="G351" s="9"/>
      <c r="H351" s="9">
        <f>IF(Table3811[[#This Row],[modality]]=C350,1,0)</f>
        <v>1</v>
      </c>
      <c r="I351" s="9">
        <f>IF(Table3811[[#This Row],[stimulus]]=F352,1,0)</f>
        <v>0</v>
      </c>
      <c r="J351" s="9">
        <f t="shared" si="5"/>
        <v>1</v>
      </c>
    </row>
    <row r="352" spans="1:10" x14ac:dyDescent="0.3">
      <c r="A352" s="16">
        <v>3</v>
      </c>
      <c r="B352" s="47">
        <v>2</v>
      </c>
      <c r="C352" s="47" t="s">
        <v>84</v>
      </c>
      <c r="D352" s="47" t="s">
        <v>4</v>
      </c>
      <c r="E352" s="19" t="s">
        <v>45</v>
      </c>
      <c r="F352" s="19" t="s">
        <v>63</v>
      </c>
      <c r="G352" s="9"/>
      <c r="H352" s="9">
        <f>IF(Table3811[[#This Row],[modality]]=C351,1,0)</f>
        <v>1</v>
      </c>
      <c r="I352" s="9">
        <f>IF(Table3811[[#This Row],[stimulus]]=F353,1,0)</f>
        <v>1</v>
      </c>
      <c r="J352" s="9">
        <f t="shared" si="5"/>
        <v>0</v>
      </c>
    </row>
    <row r="353" spans="1:12" x14ac:dyDescent="0.3">
      <c r="A353" s="11">
        <v>3</v>
      </c>
      <c r="B353" s="48">
        <v>1</v>
      </c>
      <c r="C353" s="48" t="s">
        <v>85</v>
      </c>
      <c r="D353" s="48" t="s">
        <v>44</v>
      </c>
      <c r="E353" s="8" t="s">
        <v>14</v>
      </c>
      <c r="F353" s="8" t="s">
        <v>63</v>
      </c>
      <c r="G353" s="9"/>
      <c r="H353" s="9">
        <f>IF(Table3811[[#This Row],[modality]]=C352,1,0)</f>
        <v>0</v>
      </c>
      <c r="I353" s="9">
        <f>IF(Table3811[[#This Row],[stimulus]]=F354,1,0)</f>
        <v>0</v>
      </c>
      <c r="J353" s="9">
        <f t="shared" si="5"/>
        <v>0</v>
      </c>
    </row>
    <row r="354" spans="1:12" x14ac:dyDescent="0.3">
      <c r="A354" s="11">
        <v>3</v>
      </c>
      <c r="B354" s="45">
        <v>1</v>
      </c>
      <c r="C354" s="45" t="s">
        <v>85</v>
      </c>
      <c r="D354" s="45" t="s">
        <v>33</v>
      </c>
      <c r="E354" s="8" t="s">
        <v>46</v>
      </c>
      <c r="F354" s="8" t="s">
        <v>59</v>
      </c>
      <c r="G354" s="9"/>
      <c r="H354" s="9">
        <f>IF(Table3811[[#This Row],[modality]]=C353,1,0)</f>
        <v>1</v>
      </c>
      <c r="I354" s="9">
        <f>IF(Table3811[[#This Row],[stimulus]]=F355,1,0)</f>
        <v>0</v>
      </c>
      <c r="J354" s="9">
        <f t="shared" si="5"/>
        <v>1</v>
      </c>
    </row>
    <row r="355" spans="1:12" x14ac:dyDescent="0.3">
      <c r="A355" s="16">
        <v>3</v>
      </c>
      <c r="B355" s="47">
        <v>1</v>
      </c>
      <c r="C355" s="47" t="s">
        <v>85</v>
      </c>
      <c r="D355" s="47" t="s">
        <v>4</v>
      </c>
      <c r="E355" s="19" t="s">
        <v>45</v>
      </c>
      <c r="F355" s="19" t="s">
        <v>69</v>
      </c>
      <c r="G355" s="9"/>
      <c r="H355" s="9">
        <f>IF(Table3811[[#This Row],[modality]]=C354,1,0)</f>
        <v>1</v>
      </c>
      <c r="I355" s="9">
        <f>IF(Table3811[[#This Row],[stimulus]]=F356,1,0)</f>
        <v>1</v>
      </c>
      <c r="J355" s="9">
        <f t="shared" si="5"/>
        <v>0</v>
      </c>
    </row>
    <row r="356" spans="1:12" x14ac:dyDescent="0.3">
      <c r="A356" s="11">
        <v>3</v>
      </c>
      <c r="B356" s="48">
        <v>2</v>
      </c>
      <c r="C356" s="48" t="s">
        <v>84</v>
      </c>
      <c r="D356" s="48" t="s">
        <v>44</v>
      </c>
      <c r="E356" s="8" t="s">
        <v>14</v>
      </c>
      <c r="F356" s="8" t="s">
        <v>69</v>
      </c>
      <c r="G356" s="9"/>
      <c r="H356" s="9">
        <f>IF(Table3811[[#This Row],[modality]]=C355,1,0)</f>
        <v>0</v>
      </c>
      <c r="I356" s="9">
        <f>IF(Table3811[[#This Row],[stimulus]]=F357,1,0)</f>
        <v>0</v>
      </c>
      <c r="J356" s="9">
        <f t="shared" si="5"/>
        <v>0</v>
      </c>
    </row>
    <row r="357" spans="1:12" x14ac:dyDescent="0.3">
      <c r="A357" s="16">
        <v>3</v>
      </c>
      <c r="B357" s="45">
        <v>1</v>
      </c>
      <c r="C357" s="45" t="s">
        <v>85</v>
      </c>
      <c r="D357" s="45" t="s">
        <v>33</v>
      </c>
      <c r="E357" s="19" t="s">
        <v>46</v>
      </c>
      <c r="F357" s="19" t="s">
        <v>57</v>
      </c>
      <c r="G357" s="9"/>
      <c r="H357" s="9">
        <f>IF(Table3811[[#This Row],[modality]]=C356,1,0)</f>
        <v>0</v>
      </c>
      <c r="I357" s="9">
        <f>IF(Table3811[[#This Row],[stimulus]]=F358,1,0)</f>
        <v>0</v>
      </c>
      <c r="J357" s="9">
        <f t="shared" si="5"/>
        <v>1</v>
      </c>
    </row>
    <row r="358" spans="1:12" x14ac:dyDescent="0.3">
      <c r="A358" s="11">
        <v>3</v>
      </c>
      <c r="B358" s="48">
        <v>2</v>
      </c>
      <c r="C358" s="48" t="s">
        <v>84</v>
      </c>
      <c r="D358" s="48" t="s">
        <v>4</v>
      </c>
      <c r="E358" s="8" t="s">
        <v>45</v>
      </c>
      <c r="F358" s="8" t="s">
        <v>65</v>
      </c>
      <c r="G358" s="9"/>
      <c r="H358" s="9">
        <f>IF(Table3811[[#This Row],[modality]]=C357,1,0)</f>
        <v>0</v>
      </c>
      <c r="I358" s="9">
        <f>IF(Table3811[[#This Row],[stimulus]]=F359,1,0)</f>
        <v>1</v>
      </c>
      <c r="J358" s="9">
        <f t="shared" si="5"/>
        <v>0</v>
      </c>
    </row>
    <row r="359" spans="1:12" x14ac:dyDescent="0.3">
      <c r="A359" s="16">
        <v>3</v>
      </c>
      <c r="B359" s="47">
        <v>2</v>
      </c>
      <c r="C359" s="47" t="s">
        <v>84</v>
      </c>
      <c r="D359" s="47" t="s">
        <v>44</v>
      </c>
      <c r="E359" s="19" t="s">
        <v>13</v>
      </c>
      <c r="F359" s="19" t="s">
        <v>65</v>
      </c>
      <c r="G359" s="9"/>
      <c r="H359" s="9">
        <f>IF(Table3811[[#This Row],[modality]]=C358,1,0)</f>
        <v>1</v>
      </c>
      <c r="I359" s="9">
        <f>IF(Table3811[[#This Row],[stimulus]]=F360,1,0)</f>
        <v>0</v>
      </c>
      <c r="J359" s="9">
        <f t="shared" si="5"/>
        <v>0</v>
      </c>
    </row>
    <row r="360" spans="1:12" x14ac:dyDescent="0.3">
      <c r="A360" s="11">
        <v>3</v>
      </c>
      <c r="B360" s="45">
        <v>2</v>
      </c>
      <c r="C360" s="45" t="s">
        <v>84</v>
      </c>
      <c r="D360" s="45" t="s">
        <v>33</v>
      </c>
      <c r="E360" s="8" t="s">
        <v>46</v>
      </c>
      <c r="F360" s="8" t="s">
        <v>61</v>
      </c>
      <c r="G360" s="9"/>
      <c r="H360" s="9">
        <f>IF(Table3811[[#This Row],[modality]]=C359,1,0)</f>
        <v>1</v>
      </c>
      <c r="I360" s="9">
        <f>IF(Table3811[[#This Row],[stimulus]]=F361,1,0)</f>
        <v>0</v>
      </c>
      <c r="J360" s="9">
        <f t="shared" si="5"/>
        <v>1</v>
      </c>
    </row>
    <row r="361" spans="1:12" x14ac:dyDescent="0.3">
      <c r="A361" s="16">
        <v>3</v>
      </c>
      <c r="B361" s="45">
        <v>1</v>
      </c>
      <c r="C361" s="45" t="s">
        <v>85</v>
      </c>
      <c r="D361" s="45" t="s">
        <v>33</v>
      </c>
      <c r="E361" s="19" t="s">
        <v>46</v>
      </c>
      <c r="F361" s="19" t="s">
        <v>56</v>
      </c>
      <c r="G361" s="9"/>
      <c r="H361" s="9">
        <f>IF(Table3811[[#This Row],[modality]]=C360,1,0)</f>
        <v>0</v>
      </c>
      <c r="I361" s="9">
        <f>IF(Table3811[[#This Row],[stimulus]]=F362,1,0)</f>
        <v>0</v>
      </c>
      <c r="J361" s="9">
        <f t="shared" si="5"/>
        <v>0</v>
      </c>
      <c r="L361" t="s">
        <v>23</v>
      </c>
    </row>
    <row r="362" spans="1:12" x14ac:dyDescent="0.3">
      <c r="A362" s="11">
        <v>3</v>
      </c>
      <c r="B362" s="48">
        <v>2</v>
      </c>
      <c r="C362" s="48" t="s">
        <v>84</v>
      </c>
      <c r="D362" s="48" t="s">
        <v>4</v>
      </c>
      <c r="E362" s="8" t="s">
        <v>45</v>
      </c>
      <c r="F362" s="8" t="s">
        <v>64</v>
      </c>
      <c r="G362" s="9"/>
      <c r="H362" s="9">
        <f>IF(Table3811[[#This Row],[modality]]=C361,1,0)</f>
        <v>0</v>
      </c>
      <c r="I362" s="9">
        <f>IF(Table3811[[#This Row],[stimulus]]=F363,1,0)</f>
        <v>1</v>
      </c>
      <c r="J362" s="9">
        <f t="shared" si="5"/>
        <v>0</v>
      </c>
    </row>
    <row r="363" spans="1:12" x14ac:dyDescent="0.3">
      <c r="A363" s="16">
        <v>3</v>
      </c>
      <c r="B363" s="47">
        <v>2</v>
      </c>
      <c r="C363" s="47" t="s">
        <v>84</v>
      </c>
      <c r="D363" s="47" t="s">
        <v>44</v>
      </c>
      <c r="E363" s="19" t="s">
        <v>13</v>
      </c>
      <c r="F363" s="19" t="s">
        <v>64</v>
      </c>
      <c r="G363" s="9"/>
      <c r="H363" s="9">
        <f>IF(Table3811[[#This Row],[modality]]=C362,1,0)</f>
        <v>1</v>
      </c>
      <c r="I363" s="9">
        <f>IF(Table3811[[#This Row],[stimulus]]=F364,1,0)</f>
        <v>0</v>
      </c>
      <c r="J363" s="9">
        <f t="shared" si="5"/>
        <v>0</v>
      </c>
    </row>
    <row r="364" spans="1:12" x14ac:dyDescent="0.3">
      <c r="A364" s="11">
        <v>3</v>
      </c>
      <c r="B364" s="48">
        <v>2</v>
      </c>
      <c r="C364" s="48" t="s">
        <v>84</v>
      </c>
      <c r="D364" s="48" t="s">
        <v>4</v>
      </c>
      <c r="E364" s="8" t="s">
        <v>45</v>
      </c>
      <c r="F364" s="8" t="s">
        <v>70</v>
      </c>
      <c r="G364" s="9"/>
      <c r="H364" s="9">
        <f>IF(Table3811[[#This Row],[modality]]=C363,1,0)</f>
        <v>1</v>
      </c>
      <c r="I364" s="9">
        <f>IF(Table3811[[#This Row],[stimulus]]=F365,1,0)</f>
        <v>1</v>
      </c>
      <c r="J364" s="9">
        <f t="shared" si="5"/>
        <v>1</v>
      </c>
    </row>
    <row r="365" spans="1:12" x14ac:dyDescent="0.3">
      <c r="A365" s="16">
        <v>3</v>
      </c>
      <c r="B365" s="47">
        <v>1</v>
      </c>
      <c r="C365" s="47" t="s">
        <v>85</v>
      </c>
      <c r="D365" s="47" t="s">
        <v>44</v>
      </c>
      <c r="E365" s="19" t="s">
        <v>14</v>
      </c>
      <c r="F365" s="19" t="s">
        <v>70</v>
      </c>
      <c r="G365" s="9"/>
      <c r="H365" s="9">
        <f>IF(Table3811[[#This Row],[modality]]=C364,1,0)</f>
        <v>0</v>
      </c>
      <c r="I365" s="9">
        <f>IF(Table3811[[#This Row],[stimulus]]=F366,1,0)</f>
        <v>0</v>
      </c>
      <c r="J365" s="9">
        <f t="shared" si="5"/>
        <v>0</v>
      </c>
    </row>
    <row r="366" spans="1:12" x14ac:dyDescent="0.3">
      <c r="A366" s="11">
        <v>3</v>
      </c>
      <c r="B366" s="45">
        <v>1</v>
      </c>
      <c r="C366" s="45" t="s">
        <v>85</v>
      </c>
      <c r="D366" s="45" t="s">
        <v>33</v>
      </c>
      <c r="E366" s="8" t="s">
        <v>46</v>
      </c>
      <c r="F366" s="8" t="s">
        <v>60</v>
      </c>
      <c r="G366" s="9"/>
      <c r="H366" s="9">
        <f>IF(Table3811[[#This Row],[modality]]=C365,1,0)</f>
        <v>1</v>
      </c>
      <c r="I366" s="9">
        <f>IF(Table3811[[#This Row],[stimulus]]=F368,1,0)</f>
        <v>0</v>
      </c>
      <c r="J366" s="9">
        <f>IF(D365="T",1,0)</f>
        <v>1</v>
      </c>
    </row>
    <row r="367" spans="1:12" x14ac:dyDescent="0.3">
      <c r="A367" s="52">
        <v>3</v>
      </c>
      <c r="B367" s="45">
        <v>2</v>
      </c>
      <c r="C367" s="45" t="s">
        <v>84</v>
      </c>
      <c r="D367" s="45" t="s">
        <v>33</v>
      </c>
      <c r="E367" s="53" t="s">
        <v>46</v>
      </c>
      <c r="F367" s="52"/>
      <c r="G367" s="55" t="s">
        <v>131</v>
      </c>
      <c r="H367" s="9"/>
      <c r="I367" s="9">
        <f>IF(Table3811[[#This Row],[stimulus]]=F368,1,0)</f>
        <v>0</v>
      </c>
      <c r="J367" s="9">
        <f>IF(D366="T",1,0)</f>
        <v>0</v>
      </c>
    </row>
    <row r="368" spans="1:12" x14ac:dyDescent="0.3">
      <c r="A368" s="16">
        <v>3</v>
      </c>
      <c r="B368" s="45">
        <v>1</v>
      </c>
      <c r="C368" s="45" t="s">
        <v>85</v>
      </c>
      <c r="D368" s="45" t="s">
        <v>33</v>
      </c>
      <c r="E368" s="19" t="s">
        <v>46</v>
      </c>
      <c r="F368" s="19" t="s">
        <v>58</v>
      </c>
      <c r="G368" s="9"/>
      <c r="H368" s="9">
        <f>IF(Table3811[[#This Row],[modality]]=C366,1,0)</f>
        <v>1</v>
      </c>
      <c r="I368" s="9">
        <f>IF(Table3811[[#This Row],[stimulus]]=F369,1,0)</f>
        <v>0</v>
      </c>
      <c r="J368" s="9">
        <f>IF(D366="T",1,0)</f>
        <v>0</v>
      </c>
    </row>
    <row r="369" spans="1:10" x14ac:dyDescent="0.3">
      <c r="A369" s="11">
        <v>3</v>
      </c>
      <c r="B369" s="48">
        <v>1</v>
      </c>
      <c r="C369" s="48" t="s">
        <v>85</v>
      </c>
      <c r="D369" s="48" t="s">
        <v>4</v>
      </c>
      <c r="E369" s="8" t="s">
        <v>45</v>
      </c>
      <c r="F369" s="8" t="s">
        <v>68</v>
      </c>
      <c r="G369" s="9"/>
      <c r="H369" s="9">
        <f>IF(Table3811[[#This Row],[modality]]=C368,1,0)</f>
        <v>1</v>
      </c>
      <c r="I369" s="9">
        <f>IF(Table3811[[#This Row],[stimulus]]=F370,1,0)</f>
        <v>1</v>
      </c>
      <c r="J369" s="9">
        <f t="shared" si="5"/>
        <v>0</v>
      </c>
    </row>
    <row r="370" spans="1:10" x14ac:dyDescent="0.3">
      <c r="A370" s="16">
        <v>3</v>
      </c>
      <c r="B370" s="47">
        <v>1</v>
      </c>
      <c r="C370" s="47" t="s">
        <v>85</v>
      </c>
      <c r="D370" s="47" t="s">
        <v>44</v>
      </c>
      <c r="E370" s="19" t="s">
        <v>13</v>
      </c>
      <c r="F370" s="19" t="s">
        <v>68</v>
      </c>
      <c r="G370" s="9"/>
      <c r="H370" s="9">
        <f>IF(Table3811[[#This Row],[modality]]=C369,1,0)</f>
        <v>1</v>
      </c>
      <c r="I370" s="9">
        <f>IF(Table3811[[#This Row],[stimulus]]=F371,1,0)</f>
        <v>0</v>
      </c>
      <c r="J370" s="9">
        <f t="shared" si="5"/>
        <v>0</v>
      </c>
    </row>
    <row r="371" spans="1:10" x14ac:dyDescent="0.3">
      <c r="A371" s="11">
        <v>3</v>
      </c>
      <c r="B371" s="45">
        <v>2</v>
      </c>
      <c r="C371" s="45" t="s">
        <v>84</v>
      </c>
      <c r="D371" s="45" t="s">
        <v>33</v>
      </c>
      <c r="E371" s="8" t="s">
        <v>46</v>
      </c>
      <c r="F371" s="8" t="s">
        <v>62</v>
      </c>
      <c r="G371" s="9"/>
      <c r="H371" s="9">
        <f>IF(Table3811[[#This Row],[modality]]=C370,1,0)</f>
        <v>0</v>
      </c>
      <c r="I371" s="9">
        <f>IF(Table3811[[#This Row],[stimulus]]=F372,1,0)</f>
        <v>0</v>
      </c>
      <c r="J371" s="9">
        <f t="shared" si="5"/>
        <v>1</v>
      </c>
    </row>
    <row r="372" spans="1:10" x14ac:dyDescent="0.3">
      <c r="A372" s="16">
        <v>3</v>
      </c>
      <c r="B372" s="47">
        <v>1</v>
      </c>
      <c r="C372" s="47" t="s">
        <v>85</v>
      </c>
      <c r="D372" s="47" t="s">
        <v>4</v>
      </c>
      <c r="E372" s="19" t="s">
        <v>45</v>
      </c>
      <c r="F372" s="19" t="s">
        <v>66</v>
      </c>
      <c r="G372" s="9"/>
      <c r="H372" s="9">
        <f>IF(Table3811[[#This Row],[modality]]=C371,1,0)</f>
        <v>0</v>
      </c>
      <c r="I372" s="9">
        <f>IF(Table3811[[#This Row],[stimulus]]=F373,1,0)</f>
        <v>1</v>
      </c>
      <c r="J372" s="9">
        <f t="shared" si="5"/>
        <v>0</v>
      </c>
    </row>
    <row r="373" spans="1:10" x14ac:dyDescent="0.3">
      <c r="A373" s="11">
        <v>3</v>
      </c>
      <c r="B373" s="48">
        <v>1</v>
      </c>
      <c r="C373" s="48" t="s">
        <v>85</v>
      </c>
      <c r="D373" s="48" t="s">
        <v>44</v>
      </c>
      <c r="E373" s="8" t="s">
        <v>13</v>
      </c>
      <c r="F373" s="8" t="s">
        <v>66</v>
      </c>
      <c r="G373" s="9"/>
      <c r="H373" s="9">
        <f>IF(Table3811[[#This Row],[modality]]=C372,1,0)</f>
        <v>1</v>
      </c>
      <c r="I373" s="9">
        <f>IF(Table3811[[#This Row],[stimulus]]=F374,1,0)</f>
        <v>0</v>
      </c>
      <c r="J373" s="9">
        <f t="shared" si="5"/>
        <v>0</v>
      </c>
    </row>
    <row r="374" spans="1:10" x14ac:dyDescent="0.3">
      <c r="A374" s="8">
        <v>4</v>
      </c>
      <c r="B374" s="46">
        <v>2</v>
      </c>
      <c r="C374" s="46" t="s">
        <v>84</v>
      </c>
      <c r="D374" s="46" t="s">
        <v>33</v>
      </c>
      <c r="E374" s="8" t="s">
        <v>46</v>
      </c>
      <c r="F374" s="8" t="s">
        <v>67</v>
      </c>
      <c r="G374" s="9"/>
      <c r="H374" s="9">
        <f>IF(Table3811[[#This Row],[modality]]=C373,1,0)</f>
        <v>0</v>
      </c>
      <c r="I374" s="9">
        <f>IF(Table3811[[#This Row],[stimulus]]=F375,1,0)</f>
        <v>0</v>
      </c>
      <c r="J374" s="9">
        <f t="shared" si="5"/>
        <v>1</v>
      </c>
    </row>
    <row r="375" spans="1:10" x14ac:dyDescent="0.3">
      <c r="A375" s="19">
        <v>4</v>
      </c>
      <c r="B375" s="46">
        <v>2</v>
      </c>
      <c r="C375" s="46" t="s">
        <v>84</v>
      </c>
      <c r="D375" s="46" t="s">
        <v>33</v>
      </c>
      <c r="E375" s="19" t="s">
        <v>46</v>
      </c>
      <c r="F375" s="19" t="s">
        <v>63</v>
      </c>
      <c r="G375" s="9"/>
      <c r="H375" s="9">
        <f>IF(Table3811[[#This Row],[modality]]=C374,1,0)</f>
        <v>1</v>
      </c>
      <c r="I375" s="9">
        <f>IF(Table3811[[#This Row],[stimulus]]=F376,1,0)</f>
        <v>0</v>
      </c>
      <c r="J375" s="9">
        <f t="shared" si="5"/>
        <v>0</v>
      </c>
    </row>
    <row r="376" spans="1:10" x14ac:dyDescent="0.3">
      <c r="A376" s="8">
        <v>4</v>
      </c>
      <c r="B376" s="48">
        <v>1</v>
      </c>
      <c r="C376" s="48" t="s">
        <v>85</v>
      </c>
      <c r="D376" s="48" t="s">
        <v>4</v>
      </c>
      <c r="E376" s="8" t="s">
        <v>45</v>
      </c>
      <c r="F376" s="8" t="s">
        <v>73</v>
      </c>
      <c r="G376" s="9"/>
      <c r="H376" s="9">
        <f>IF(Table3811[[#This Row],[modality]]=C375,1,0)</f>
        <v>0</v>
      </c>
      <c r="I376" s="9">
        <f>IF(Table3811[[#This Row],[stimulus]]=F377,1,0)</f>
        <v>1</v>
      </c>
      <c r="J376" s="9">
        <f t="shared" si="5"/>
        <v>0</v>
      </c>
    </row>
    <row r="377" spans="1:10" x14ac:dyDescent="0.3">
      <c r="A377" s="19">
        <v>4</v>
      </c>
      <c r="B377" s="47">
        <v>1</v>
      </c>
      <c r="C377" s="47" t="s">
        <v>85</v>
      </c>
      <c r="D377" s="47" t="s">
        <v>44</v>
      </c>
      <c r="E377" s="19" t="s">
        <v>13</v>
      </c>
      <c r="F377" s="19" t="s">
        <v>73</v>
      </c>
      <c r="G377" s="9"/>
      <c r="H377" s="9">
        <f>IF(Table3811[[#This Row],[modality]]=C376,1,0)</f>
        <v>1</v>
      </c>
      <c r="I377" s="9">
        <f>IF(Table3811[[#This Row],[stimulus]]=F378,1,0)</f>
        <v>0</v>
      </c>
      <c r="J377" s="9">
        <f t="shared" si="5"/>
        <v>0</v>
      </c>
    </row>
    <row r="378" spans="1:10" x14ac:dyDescent="0.3">
      <c r="A378" s="8">
        <v>4</v>
      </c>
      <c r="B378" s="48">
        <v>1</v>
      </c>
      <c r="C378" s="48" t="s">
        <v>85</v>
      </c>
      <c r="D378" s="48" t="s">
        <v>4</v>
      </c>
      <c r="E378" s="8" t="s">
        <v>45</v>
      </c>
      <c r="F378" s="8" t="s">
        <v>76</v>
      </c>
      <c r="G378" s="9"/>
      <c r="H378" s="9">
        <f>IF(Table3811[[#This Row],[modality]]=C377,1,0)</f>
        <v>1</v>
      </c>
      <c r="I378" s="9">
        <f>IF(Table3811[[#This Row],[stimulus]]=F379,1,0)</f>
        <v>1</v>
      </c>
      <c r="J378" s="9">
        <f t="shared" si="5"/>
        <v>1</v>
      </c>
    </row>
    <row r="379" spans="1:10" x14ac:dyDescent="0.3">
      <c r="A379" s="19">
        <v>4</v>
      </c>
      <c r="B379" s="47">
        <v>2</v>
      </c>
      <c r="C379" s="47" t="s">
        <v>84</v>
      </c>
      <c r="D379" s="47" t="s">
        <v>44</v>
      </c>
      <c r="E379" s="19" t="s">
        <v>14</v>
      </c>
      <c r="F379" s="19" t="s">
        <v>76</v>
      </c>
      <c r="G379" s="9"/>
      <c r="H379" s="9">
        <f>IF(Table3811[[#This Row],[modality]]=C378,1,0)</f>
        <v>0</v>
      </c>
      <c r="I379" s="9">
        <f>IF(Table3811[[#This Row],[stimulus]]=F380,1,0)</f>
        <v>0</v>
      </c>
      <c r="J379" s="9">
        <f t="shared" si="5"/>
        <v>0</v>
      </c>
    </row>
    <row r="380" spans="1:10" x14ac:dyDescent="0.3">
      <c r="A380" s="8">
        <v>4</v>
      </c>
      <c r="B380" s="46">
        <v>1</v>
      </c>
      <c r="C380" s="46" t="s">
        <v>85</v>
      </c>
      <c r="D380" s="46" t="s">
        <v>33</v>
      </c>
      <c r="E380" s="8" t="s">
        <v>46</v>
      </c>
      <c r="F380" s="8" t="s">
        <v>69</v>
      </c>
      <c r="G380" s="9"/>
      <c r="H380" s="9">
        <f>IF(Table3811[[#This Row],[modality]]=C379,1,0)</f>
        <v>0</v>
      </c>
      <c r="I380" s="9">
        <f>IF(Table3811[[#This Row],[stimulus]]=F381,1,0)</f>
        <v>0</v>
      </c>
      <c r="J380" s="9">
        <f t="shared" si="5"/>
        <v>1</v>
      </c>
    </row>
    <row r="381" spans="1:10" x14ac:dyDescent="0.3">
      <c r="A381" s="19">
        <v>4</v>
      </c>
      <c r="B381" s="47">
        <v>2</v>
      </c>
      <c r="C381" s="47" t="s">
        <v>84</v>
      </c>
      <c r="D381" s="47" t="s">
        <v>4</v>
      </c>
      <c r="E381" s="19" t="s">
        <v>45</v>
      </c>
      <c r="F381" s="19" t="s">
        <v>74</v>
      </c>
      <c r="G381" s="9"/>
      <c r="H381" s="9">
        <f>IF(Table3811[[#This Row],[modality]]=C380,1,0)</f>
        <v>0</v>
      </c>
      <c r="I381" s="9">
        <f>IF(Table3811[[#This Row],[stimulus]]=F382,1,0)</f>
        <v>1</v>
      </c>
      <c r="J381" s="9">
        <f t="shared" si="5"/>
        <v>0</v>
      </c>
    </row>
    <row r="382" spans="1:10" x14ac:dyDescent="0.3">
      <c r="A382" s="8">
        <v>4</v>
      </c>
      <c r="B382" s="48">
        <v>2</v>
      </c>
      <c r="C382" s="48" t="s">
        <v>84</v>
      </c>
      <c r="D382" s="48" t="s">
        <v>44</v>
      </c>
      <c r="E382" s="8" t="s">
        <v>13</v>
      </c>
      <c r="F382" s="8" t="s">
        <v>74</v>
      </c>
      <c r="G382" s="9"/>
      <c r="H382" s="9">
        <f>IF(Table3811[[#This Row],[modality]]=C381,1,0)</f>
        <v>1</v>
      </c>
      <c r="I382" s="9">
        <f>IF(Table3811[[#This Row],[stimulus]]=F383,1,0)</f>
        <v>0</v>
      </c>
      <c r="J382" s="9">
        <f t="shared" si="5"/>
        <v>0</v>
      </c>
    </row>
    <row r="383" spans="1:10" x14ac:dyDescent="0.3">
      <c r="A383" s="19">
        <v>4</v>
      </c>
      <c r="B383" s="47">
        <v>2</v>
      </c>
      <c r="C383" s="47" t="s">
        <v>84</v>
      </c>
      <c r="D383" s="47" t="s">
        <v>4</v>
      </c>
      <c r="E383" s="19" t="s">
        <v>45</v>
      </c>
      <c r="F383" s="19" t="s">
        <v>78</v>
      </c>
      <c r="G383" s="9"/>
      <c r="H383" s="9">
        <f>IF(Table3811[[#This Row],[modality]]=C382,1,0)</f>
        <v>1</v>
      </c>
      <c r="I383" s="9">
        <f>IF(Table3811[[#This Row],[stimulus]]=F384,1,0)</f>
        <v>1</v>
      </c>
      <c r="J383" s="9">
        <f t="shared" si="5"/>
        <v>1</v>
      </c>
    </row>
    <row r="384" spans="1:10" x14ac:dyDescent="0.3">
      <c r="A384" s="8">
        <v>4</v>
      </c>
      <c r="B384" s="48">
        <v>1</v>
      </c>
      <c r="C384" s="48" t="s">
        <v>85</v>
      </c>
      <c r="D384" s="48" t="s">
        <v>44</v>
      </c>
      <c r="E384" s="8" t="s">
        <v>14</v>
      </c>
      <c r="F384" s="8" t="s">
        <v>78</v>
      </c>
      <c r="G384" s="9"/>
      <c r="H384" s="9">
        <f>IF(Table3811[[#This Row],[modality]]=C383,1,0)</f>
        <v>0</v>
      </c>
      <c r="I384" s="9">
        <f>IF(Table3811[[#This Row],[stimulus]]=F385,1,0)</f>
        <v>0</v>
      </c>
      <c r="J384" s="9">
        <f t="shared" si="5"/>
        <v>0</v>
      </c>
    </row>
    <row r="385" spans="1:10" x14ac:dyDescent="0.3">
      <c r="A385" s="19">
        <v>4</v>
      </c>
      <c r="B385" s="46">
        <v>2</v>
      </c>
      <c r="C385" s="46" t="s">
        <v>84</v>
      </c>
      <c r="D385" s="46" t="s">
        <v>33</v>
      </c>
      <c r="E385" s="19" t="s">
        <v>46</v>
      </c>
      <c r="F385" s="19" t="s">
        <v>65</v>
      </c>
      <c r="G385" s="9"/>
      <c r="H385" s="9">
        <f>IF(Table3811[[#This Row],[modality]]=C384,1,0)</f>
        <v>0</v>
      </c>
      <c r="I385" s="9">
        <f>IF(Table3811[[#This Row],[stimulus]]=F386,1,0)</f>
        <v>0</v>
      </c>
      <c r="J385" s="9">
        <f t="shared" si="5"/>
        <v>1</v>
      </c>
    </row>
    <row r="386" spans="1:10" x14ac:dyDescent="0.3">
      <c r="A386" s="8">
        <v>4</v>
      </c>
      <c r="B386" s="48">
        <v>1</v>
      </c>
      <c r="C386" s="48" t="s">
        <v>85</v>
      </c>
      <c r="D386" s="48" t="s">
        <v>4</v>
      </c>
      <c r="E386" s="8" t="s">
        <v>45</v>
      </c>
      <c r="F386" s="8" t="s">
        <v>75</v>
      </c>
      <c r="G386" s="9"/>
      <c r="H386" s="9">
        <f>IF(Table3811[[#This Row],[modality]]=C385,1,0)</f>
        <v>0</v>
      </c>
      <c r="I386" s="9">
        <f>IF(Table3811[[#This Row],[stimulus]]=F387,1,0)</f>
        <v>1</v>
      </c>
      <c r="J386" s="9">
        <f t="shared" si="5"/>
        <v>0</v>
      </c>
    </row>
    <row r="387" spans="1:10" x14ac:dyDescent="0.3">
      <c r="A387" s="19">
        <v>4</v>
      </c>
      <c r="B387" s="47">
        <v>2</v>
      </c>
      <c r="C387" s="47" t="s">
        <v>84</v>
      </c>
      <c r="D387" s="47" t="s">
        <v>44</v>
      </c>
      <c r="E387" s="19" t="s">
        <v>14</v>
      </c>
      <c r="F387" s="19" t="s">
        <v>75</v>
      </c>
      <c r="G387" s="9"/>
      <c r="H387" s="9">
        <f>IF(Table3811[[#This Row],[modality]]=C386,1,0)</f>
        <v>0</v>
      </c>
      <c r="I387" s="9">
        <f>IF(Table3811[[#This Row],[stimulus]]=F388,1,0)</f>
        <v>0</v>
      </c>
      <c r="J387" s="9">
        <f t="shared" si="5"/>
        <v>0</v>
      </c>
    </row>
    <row r="388" spans="1:10" x14ac:dyDescent="0.3">
      <c r="A388" s="19">
        <v>4</v>
      </c>
      <c r="B388" s="46">
        <v>2</v>
      </c>
      <c r="C388" s="46" t="s">
        <v>84</v>
      </c>
      <c r="D388" s="46" t="s">
        <v>33</v>
      </c>
      <c r="E388" s="19" t="s">
        <v>46</v>
      </c>
      <c r="F388" s="19" t="s">
        <v>64</v>
      </c>
      <c r="G388" s="9"/>
      <c r="H388" s="9">
        <f>IF(Table3811[[#This Row],[modality]]=C387,1,0)</f>
        <v>1</v>
      </c>
      <c r="I388" s="9">
        <f>IF(Table3811[[#This Row],[stimulus]]=F389,1,0)</f>
        <v>0</v>
      </c>
      <c r="J388" s="9">
        <f t="shared" si="5"/>
        <v>1</v>
      </c>
    </row>
    <row r="389" spans="1:10" x14ac:dyDescent="0.3">
      <c r="A389" s="8">
        <v>4</v>
      </c>
      <c r="B389" s="48">
        <v>2</v>
      </c>
      <c r="C389" s="48" t="s">
        <v>84</v>
      </c>
      <c r="D389" s="48" t="s">
        <v>4</v>
      </c>
      <c r="E389" s="8" t="s">
        <v>45</v>
      </c>
      <c r="F389" s="8" t="s">
        <v>72</v>
      </c>
      <c r="G389" s="9"/>
      <c r="H389" s="9">
        <f>IF(Table3811[[#This Row],[modality]]=C388,1,0)</f>
        <v>1</v>
      </c>
      <c r="I389" s="9">
        <f>IF(Table3811[[#This Row],[stimulus]]=F390,1,0)</f>
        <v>1</v>
      </c>
      <c r="J389" s="9">
        <f t="shared" ref="J389:J397" si="6">IF(D388="T",1,0)</f>
        <v>0</v>
      </c>
    </row>
    <row r="390" spans="1:10" x14ac:dyDescent="0.3">
      <c r="A390" s="19">
        <v>4</v>
      </c>
      <c r="B390" s="47">
        <v>2</v>
      </c>
      <c r="C390" s="47" t="s">
        <v>84</v>
      </c>
      <c r="D390" s="47" t="s">
        <v>44</v>
      </c>
      <c r="E390" s="19" t="s">
        <v>13</v>
      </c>
      <c r="F390" s="19" t="s">
        <v>72</v>
      </c>
      <c r="G390" s="9"/>
      <c r="H390" s="9">
        <f>IF(Table3811[[#This Row],[modality]]=C389,1,0)</f>
        <v>1</v>
      </c>
      <c r="I390" s="9">
        <f>IF(Table3811[[#This Row],[stimulus]]=F391,1,0)</f>
        <v>0</v>
      </c>
      <c r="J390" s="9">
        <f t="shared" si="6"/>
        <v>0</v>
      </c>
    </row>
    <row r="391" spans="1:10" x14ac:dyDescent="0.3">
      <c r="A391" s="8">
        <v>4</v>
      </c>
      <c r="B391" s="46">
        <v>1</v>
      </c>
      <c r="C391" s="46" t="s">
        <v>85</v>
      </c>
      <c r="D391" s="46" t="s">
        <v>33</v>
      </c>
      <c r="E391" s="8" t="s">
        <v>46</v>
      </c>
      <c r="F391" s="8" t="s">
        <v>70</v>
      </c>
      <c r="G391" s="9"/>
      <c r="H391" s="9">
        <f>IF(Table3811[[#This Row],[modality]]=C390,1,0)</f>
        <v>0</v>
      </c>
      <c r="I391" s="9">
        <f>IF(Table3811[[#This Row],[stimulus]]=F392,1,0)</f>
        <v>0</v>
      </c>
      <c r="J391" s="9">
        <f t="shared" si="6"/>
        <v>1</v>
      </c>
    </row>
    <row r="392" spans="1:10" x14ac:dyDescent="0.3">
      <c r="A392" s="8">
        <v>4</v>
      </c>
      <c r="B392" s="46">
        <v>2</v>
      </c>
      <c r="C392" s="46" t="s">
        <v>84</v>
      </c>
      <c r="D392" s="46" t="s">
        <v>33</v>
      </c>
      <c r="E392" s="8" t="s">
        <v>46</v>
      </c>
      <c r="F392" s="8" t="s">
        <v>68</v>
      </c>
      <c r="G392" s="9"/>
      <c r="H392" s="9">
        <f>IF(Table3811[[#This Row],[modality]]=C391,1,0)</f>
        <v>0</v>
      </c>
      <c r="I392" s="9">
        <f>IF(Table3811[[#This Row],[stimulus]]=F393,1,0)</f>
        <v>0</v>
      </c>
      <c r="J392" s="9">
        <f t="shared" si="6"/>
        <v>0</v>
      </c>
    </row>
    <row r="393" spans="1:10" x14ac:dyDescent="0.3">
      <c r="A393" s="8">
        <v>4</v>
      </c>
      <c r="B393" s="48">
        <v>2</v>
      </c>
      <c r="C393" s="48" t="s">
        <v>84</v>
      </c>
      <c r="D393" s="48" t="s">
        <v>4</v>
      </c>
      <c r="E393" s="8" t="s">
        <v>45</v>
      </c>
      <c r="F393" s="8" t="s">
        <v>71</v>
      </c>
      <c r="G393" s="9"/>
      <c r="H393" s="9">
        <f>IF(Table3811[[#This Row],[modality]]=C392,1,0)</f>
        <v>1</v>
      </c>
      <c r="I393" s="9">
        <f>IF(Table3811[[#This Row],[stimulus]]=F394,1,0)</f>
        <v>1</v>
      </c>
      <c r="J393" s="9">
        <f t="shared" si="6"/>
        <v>0</v>
      </c>
    </row>
    <row r="394" spans="1:10" x14ac:dyDescent="0.3">
      <c r="A394" s="19">
        <v>4</v>
      </c>
      <c r="B394" s="47">
        <v>1</v>
      </c>
      <c r="C394" s="47" t="s">
        <v>85</v>
      </c>
      <c r="D394" s="47" t="s">
        <v>44</v>
      </c>
      <c r="E394" s="19" t="s">
        <v>14</v>
      </c>
      <c r="F394" s="19" t="s">
        <v>71</v>
      </c>
      <c r="G394" s="9"/>
      <c r="H394" s="9">
        <f>IF(Table3811[[#This Row],[modality]]=C393,1,0)</f>
        <v>0</v>
      </c>
      <c r="I394" s="9">
        <f>IF(Table3811[[#This Row],[stimulus]]=F395,1,0)</f>
        <v>0</v>
      </c>
      <c r="J394" s="9">
        <f t="shared" si="6"/>
        <v>0</v>
      </c>
    </row>
    <row r="395" spans="1:10" x14ac:dyDescent="0.3">
      <c r="A395" s="19">
        <v>4</v>
      </c>
      <c r="B395" s="46">
        <v>1</v>
      </c>
      <c r="C395" s="46" t="s">
        <v>85</v>
      </c>
      <c r="D395" s="46" t="s">
        <v>33</v>
      </c>
      <c r="E395" s="19" t="s">
        <v>46</v>
      </c>
      <c r="F395" s="19" t="s">
        <v>66</v>
      </c>
      <c r="G395" s="9"/>
      <c r="H395" s="9">
        <f>IF(Table3811[[#This Row],[modality]]=C394,1,0)</f>
        <v>1</v>
      </c>
      <c r="I395" s="9">
        <f>IF(Table3811[[#This Row],[stimulus]]=F396,1,0)</f>
        <v>0</v>
      </c>
      <c r="J395" s="9">
        <f t="shared" si="6"/>
        <v>1</v>
      </c>
    </row>
    <row r="396" spans="1:10" x14ac:dyDescent="0.3">
      <c r="A396" s="8">
        <v>4</v>
      </c>
      <c r="B396" s="48">
        <v>1</v>
      </c>
      <c r="C396" s="48" t="s">
        <v>85</v>
      </c>
      <c r="D396" s="48" t="s">
        <v>4</v>
      </c>
      <c r="E396" s="8" t="s">
        <v>45</v>
      </c>
      <c r="F396" s="8" t="s">
        <v>77</v>
      </c>
      <c r="G396" s="9"/>
      <c r="H396" s="9">
        <f>IF(Table3811[[#This Row],[modality]]=C395,1,0)</f>
        <v>1</v>
      </c>
      <c r="I396" s="9">
        <f>IF(Table3811[[#This Row],[stimulus]]=F397,1,0)</f>
        <v>1</v>
      </c>
      <c r="J396" s="9">
        <f t="shared" si="6"/>
        <v>0</v>
      </c>
    </row>
    <row r="397" spans="1:10" x14ac:dyDescent="0.3">
      <c r="A397" s="19">
        <v>4</v>
      </c>
      <c r="B397" s="47">
        <v>1</v>
      </c>
      <c r="C397" s="47" t="s">
        <v>85</v>
      </c>
      <c r="D397" s="47" t="s">
        <v>44</v>
      </c>
      <c r="E397" s="19" t="s">
        <v>13</v>
      </c>
      <c r="F397" s="19" t="s">
        <v>77</v>
      </c>
      <c r="G397" s="9"/>
      <c r="H397" s="9">
        <f>IF(Table3811[[#This Row],[modality]]=C396,1,0)</f>
        <v>1</v>
      </c>
      <c r="I397" s="9"/>
      <c r="J397" s="9">
        <f t="shared" si="6"/>
        <v>0</v>
      </c>
    </row>
  </sheetData>
  <pageMargins left="0.7" right="0.7" top="0.75" bottom="0.75" header="0.3" footer="0.3"/>
  <pageSetup paperSize="9" orientation="portrait" horizontalDpi="360" verticalDpi="360"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>
      <selection activeCell="B5" sqref="B5"/>
    </sheetView>
  </sheetViews>
  <sheetFormatPr defaultRowHeight="14.4" x14ac:dyDescent="0.3"/>
  <cols>
    <col min="1" max="1" width="13.88671875" bestFit="1" customWidth="1"/>
    <col min="2" max="2" width="15.5546875" bestFit="1" customWidth="1"/>
    <col min="3" max="4" width="4" bestFit="1" customWidth="1"/>
    <col min="5" max="5" width="7" bestFit="1" customWidth="1"/>
    <col min="6" max="6" width="10.6640625" bestFit="1" customWidth="1"/>
  </cols>
  <sheetData>
    <row r="1" spans="1:6" x14ac:dyDescent="0.3">
      <c r="A1" s="58" t="s">
        <v>150</v>
      </c>
      <c r="B1" s="58" t="s">
        <v>138</v>
      </c>
    </row>
    <row r="2" spans="1:6" x14ac:dyDescent="0.3">
      <c r="A2" s="58" t="s">
        <v>135</v>
      </c>
      <c r="B2" t="s">
        <v>33</v>
      </c>
      <c r="C2" t="s">
        <v>4</v>
      </c>
      <c r="D2" t="s">
        <v>44</v>
      </c>
      <c r="E2" t="s">
        <v>136</v>
      </c>
      <c r="F2" t="s">
        <v>137</v>
      </c>
    </row>
    <row r="3" spans="1:6" x14ac:dyDescent="0.3">
      <c r="A3" s="59" t="s">
        <v>84</v>
      </c>
      <c r="B3">
        <v>66</v>
      </c>
      <c r="C3">
        <v>64</v>
      </c>
      <c r="D3">
        <v>64</v>
      </c>
      <c r="F3">
        <v>194</v>
      </c>
    </row>
    <row r="4" spans="1:6" x14ac:dyDescent="0.3">
      <c r="A4" s="59" t="s">
        <v>85</v>
      </c>
      <c r="B4">
        <v>70</v>
      </c>
      <c r="C4">
        <v>64</v>
      </c>
      <c r="D4">
        <v>64</v>
      </c>
      <c r="F4">
        <v>198</v>
      </c>
    </row>
    <row r="5" spans="1:6" x14ac:dyDescent="0.3">
      <c r="A5" s="59" t="s">
        <v>136</v>
      </c>
    </row>
    <row r="6" spans="1:6" x14ac:dyDescent="0.3">
      <c r="A6" s="59" t="s">
        <v>137</v>
      </c>
      <c r="B6">
        <v>136</v>
      </c>
      <c r="C6">
        <v>128</v>
      </c>
      <c r="D6">
        <v>128</v>
      </c>
      <c r="F6">
        <v>392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E15"/>
  <sheetViews>
    <sheetView workbookViewId="0">
      <selection activeCell="A10" sqref="A10"/>
    </sheetView>
  </sheetViews>
  <sheetFormatPr defaultRowHeight="14.4" x14ac:dyDescent="0.3"/>
  <cols>
    <col min="1" max="1" width="30.44140625" bestFit="1" customWidth="1"/>
    <col min="2" max="2" width="15.5546875" bestFit="1" customWidth="1"/>
    <col min="3" max="3" width="4" bestFit="1" customWidth="1"/>
    <col min="4" max="4" width="7" bestFit="1" customWidth="1"/>
    <col min="5" max="5" width="10.6640625" bestFit="1" customWidth="1"/>
  </cols>
  <sheetData>
    <row r="3" spans="1:5" x14ac:dyDescent="0.3">
      <c r="A3" s="58" t="s">
        <v>139</v>
      </c>
      <c r="B3" s="58" t="s">
        <v>138</v>
      </c>
    </row>
    <row r="4" spans="1:5" x14ac:dyDescent="0.3">
      <c r="A4" s="58" t="s">
        <v>135</v>
      </c>
      <c r="B4">
        <v>0</v>
      </c>
      <c r="C4">
        <v>1</v>
      </c>
      <c r="D4" t="s">
        <v>136</v>
      </c>
      <c r="E4" t="s">
        <v>137</v>
      </c>
    </row>
    <row r="5" spans="1:5" x14ac:dyDescent="0.3">
      <c r="A5" s="59" t="s">
        <v>33</v>
      </c>
      <c r="B5">
        <v>92</v>
      </c>
      <c r="C5">
        <v>43</v>
      </c>
      <c r="E5">
        <v>135</v>
      </c>
    </row>
    <row r="6" spans="1:5" x14ac:dyDescent="0.3">
      <c r="A6" s="61" t="s">
        <v>84</v>
      </c>
      <c r="B6">
        <v>47</v>
      </c>
      <c r="C6">
        <v>18</v>
      </c>
      <c r="E6">
        <v>65</v>
      </c>
    </row>
    <row r="7" spans="1:5" x14ac:dyDescent="0.3">
      <c r="A7" s="61" t="s">
        <v>85</v>
      </c>
      <c r="B7">
        <v>45</v>
      </c>
      <c r="C7">
        <v>25</v>
      </c>
      <c r="E7">
        <v>70</v>
      </c>
    </row>
    <row r="8" spans="1:5" x14ac:dyDescent="0.3">
      <c r="A8" s="59" t="s">
        <v>4</v>
      </c>
      <c r="B8">
        <v>49</v>
      </c>
      <c r="C8">
        <v>79</v>
      </c>
      <c r="E8">
        <v>128</v>
      </c>
    </row>
    <row r="9" spans="1:5" x14ac:dyDescent="0.3">
      <c r="A9" s="61" t="s">
        <v>84</v>
      </c>
      <c r="B9">
        <v>23</v>
      </c>
      <c r="C9">
        <v>41</v>
      </c>
      <c r="E9">
        <v>64</v>
      </c>
    </row>
    <row r="10" spans="1:5" x14ac:dyDescent="0.3">
      <c r="A10" s="61" t="s">
        <v>85</v>
      </c>
      <c r="B10">
        <v>26</v>
      </c>
      <c r="C10">
        <v>38</v>
      </c>
      <c r="E10">
        <v>64</v>
      </c>
    </row>
    <row r="11" spans="1:5" x14ac:dyDescent="0.3">
      <c r="A11" s="59" t="s">
        <v>44</v>
      </c>
      <c r="B11">
        <v>64</v>
      </c>
      <c r="C11">
        <v>64</v>
      </c>
      <c r="E11">
        <v>128</v>
      </c>
    </row>
    <row r="12" spans="1:5" x14ac:dyDescent="0.3">
      <c r="A12" s="61" t="s">
        <v>84</v>
      </c>
      <c r="B12">
        <v>32</v>
      </c>
      <c r="C12">
        <v>32</v>
      </c>
      <c r="E12">
        <v>64</v>
      </c>
    </row>
    <row r="13" spans="1:5" x14ac:dyDescent="0.3">
      <c r="A13" s="61" t="s">
        <v>85</v>
      </c>
      <c r="B13">
        <v>32</v>
      </c>
      <c r="C13">
        <v>32</v>
      </c>
      <c r="E13">
        <v>64</v>
      </c>
    </row>
    <row r="14" spans="1:5" x14ac:dyDescent="0.3">
      <c r="A14" s="59" t="s">
        <v>136</v>
      </c>
      <c r="B14">
        <v>4</v>
      </c>
      <c r="E14">
        <v>4</v>
      </c>
    </row>
    <row r="15" spans="1:5" x14ac:dyDescent="0.3">
      <c r="A15" s="59" t="s">
        <v>137</v>
      </c>
      <c r="B15">
        <v>209</v>
      </c>
      <c r="C15">
        <v>186</v>
      </c>
      <c r="E15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List1</vt:lpstr>
      <vt:lpstr>List2</vt:lpstr>
      <vt:lpstr>List3</vt:lpstr>
      <vt:lpstr>List4</vt:lpstr>
      <vt:lpstr>Sheet9</vt:lpstr>
      <vt:lpstr>22.06_NT_fillers</vt:lpstr>
      <vt:lpstr>Sheet13</vt:lpstr>
      <vt:lpstr>Count_Item_per_Condition</vt:lpstr>
      <vt:lpstr>22.06_NT_fillers_Svetlana</vt:lpstr>
      <vt:lpstr>Sheet6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2023-07-03T11:49:00Z</cp:lastPrinted>
  <dcterms:created xsi:type="dcterms:W3CDTF">2023-03-31T13:21:22Z</dcterms:created>
  <dcterms:modified xsi:type="dcterms:W3CDTF">2023-07-20T13:01:45Z</dcterms:modified>
</cp:coreProperties>
</file>