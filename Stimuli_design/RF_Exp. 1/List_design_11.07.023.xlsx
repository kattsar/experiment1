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Κατερίνα\Nextcloud\Experiment_1\RF_Exp. 1\"/>
    </mc:Choice>
  </mc:AlternateContent>
  <xr:revisionPtr revIDLastSave="0" documentId="13_ncr:1_{264A26FB-EFDF-47B0-AA07-BFE0BBC07B58}" xr6:coauthVersionLast="47" xr6:coauthVersionMax="47" xr10:uidLastSave="{00000000-0000-0000-0000-000000000000}"/>
  <bookViews>
    <workbookView xWindow="-108" yWindow="492" windowWidth="23256" windowHeight="12576" tabRatio="781" xr2:uid="{00000000-000D-0000-FFFF-FFFF00000000}"/>
  </bookViews>
  <sheets>
    <sheet name="Sheet2" sheetId="2" r:id="rId1"/>
    <sheet name="Sheet6" sheetId="11" r:id="rId2"/>
    <sheet name="Sheet3" sheetId="3" r:id="rId3"/>
    <sheet name="Sheet4" sheetId="8" r:id="rId4"/>
    <sheet name="List1" sheetId="4" r:id="rId5"/>
    <sheet name="List2" sheetId="5" r:id="rId6"/>
    <sheet name="List3" sheetId="6" r:id="rId7"/>
    <sheet name="List4" sheetId="7" r:id="rId8"/>
    <sheet name="22.06_NT_fillers" sheetId="10" r:id="rId9"/>
    <sheet name="List_11.07.023 (2)" sheetId="115" r:id="rId10"/>
    <sheet name="NT_Type00" sheetId="125" r:id="rId11"/>
    <sheet name="F_Type00" sheetId="126" r:id="rId12"/>
    <sheet name="F_Type01" sheetId="134" r:id="rId13"/>
    <sheet name="NT_Speak00" sheetId="127" r:id="rId14"/>
    <sheet name="F_Speak00" sheetId="128" r:id="rId15"/>
    <sheet name="F_Speak01" sheetId="135" r:id="rId16"/>
    <sheet name="Pivot_Tables (11.07.)" sheetId="53" r:id="rId17"/>
    <sheet name="List_11.07.023" sheetId="14" r:id="rId18"/>
    <sheet name="NT_Type10" sheetId="129" r:id="rId19"/>
    <sheet name="NT_Type11" sheetId="138" r:id="rId20"/>
    <sheet name="F_Type10" sheetId="130" r:id="rId21"/>
    <sheet name="Sheet12" sheetId="147" r:id="rId22"/>
    <sheet name="F_Type11" sheetId="136" r:id="rId23"/>
    <sheet name="NT_Speak10" sheetId="131" r:id="rId24"/>
    <sheet name="NT_Speak11" sheetId="139" r:id="rId25"/>
    <sheet name="F_Speak10" sheetId="142" r:id="rId26"/>
    <sheet name="F_Speak11" sheetId="137" r:id="rId27"/>
  </sheets>
  <calcPr calcId="191029"/>
  <pivotCaches>
    <pivotCache cacheId="0" r:id="rId28"/>
    <pivotCache cacheId="1" r:id="rId29"/>
    <pivotCache cacheId="2" r:id="rId30"/>
    <pivotCache cacheId="3" r:id="rId31"/>
    <pivotCache cacheId="4" r:id="rId32"/>
    <pivotCache cacheId="5" r:id="rId3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7" i="14" l="1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L377" i="14"/>
  <c r="L378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L394" i="14"/>
  <c r="L395" i="14"/>
  <c r="L396" i="14"/>
  <c r="L397" i="14"/>
  <c r="L398" i="14"/>
  <c r="L399" i="14"/>
  <c r="L400" i="14"/>
  <c r="N393" i="14"/>
  <c r="N394" i="14"/>
  <c r="N395" i="14"/>
  <c r="N396" i="14"/>
  <c r="N397" i="14"/>
  <c r="N398" i="14"/>
  <c r="N399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400" i="14"/>
  <c r="N401" i="14"/>
  <c r="N402" i="14"/>
  <c r="N403" i="14"/>
  <c r="N404" i="14"/>
  <c r="N405" i="14"/>
  <c r="N406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99" i="14"/>
  <c r="M400" i="14"/>
  <c r="M401" i="14"/>
  <c r="M402" i="14"/>
  <c r="M403" i="14"/>
  <c r="M404" i="14"/>
  <c r="M405" i="14"/>
  <c r="M406" i="14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L132" i="14"/>
  <c r="L133" i="14"/>
  <c r="L134" i="14"/>
  <c r="L135" i="14"/>
  <c r="L136" i="14"/>
  <c r="L137" i="14"/>
  <c r="L138" i="14"/>
  <c r="L139" i="14"/>
  <c r="L140" i="14"/>
  <c r="L141" i="14"/>
  <c r="L142" i="14"/>
  <c r="L143" i="14"/>
  <c r="L144" i="14"/>
  <c r="L145" i="14"/>
  <c r="L146" i="14"/>
  <c r="L147" i="14"/>
  <c r="L148" i="14"/>
  <c r="L149" i="14"/>
  <c r="L150" i="14"/>
  <c r="L151" i="14"/>
  <c r="L152" i="14"/>
  <c r="L153" i="14"/>
  <c r="L154" i="14"/>
  <c r="L155" i="14"/>
  <c r="L156" i="14"/>
  <c r="L157" i="14"/>
  <c r="L158" i="14"/>
  <c r="L159" i="14"/>
  <c r="L160" i="14"/>
  <c r="L161" i="14"/>
  <c r="L162" i="14"/>
  <c r="L163" i="14"/>
  <c r="L164" i="14"/>
  <c r="L165" i="14"/>
  <c r="L166" i="14"/>
  <c r="L167" i="14"/>
  <c r="L168" i="14"/>
  <c r="L169" i="14"/>
  <c r="L170" i="14"/>
  <c r="L171" i="14"/>
  <c r="L172" i="14"/>
  <c r="L173" i="14"/>
  <c r="L174" i="14"/>
  <c r="L175" i="14"/>
  <c r="L176" i="14"/>
  <c r="L177" i="14"/>
  <c r="L178" i="14"/>
  <c r="L179" i="14"/>
  <c r="L180" i="14"/>
  <c r="L181" i="14"/>
  <c r="L182" i="14"/>
  <c r="L183" i="14"/>
  <c r="L184" i="14"/>
  <c r="L185" i="14"/>
  <c r="L186" i="14"/>
  <c r="L187" i="14"/>
  <c r="L188" i="14"/>
  <c r="L189" i="14"/>
  <c r="L190" i="14"/>
  <c r="L191" i="14"/>
  <c r="L192" i="14"/>
  <c r="L193" i="14"/>
  <c r="L194" i="14"/>
  <c r="L195" i="14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L212" i="14"/>
  <c r="L213" i="14"/>
  <c r="L214" i="14"/>
  <c r="L215" i="14"/>
  <c r="L216" i="14"/>
  <c r="L217" i="14"/>
  <c r="L218" i="14"/>
  <c r="L219" i="14"/>
  <c r="L220" i="14"/>
  <c r="L221" i="14"/>
  <c r="L222" i="14"/>
  <c r="L223" i="14"/>
  <c r="L224" i="14"/>
  <c r="L225" i="14"/>
  <c r="L226" i="14"/>
  <c r="L227" i="14"/>
  <c r="L228" i="14"/>
  <c r="L229" i="14"/>
  <c r="L230" i="14"/>
  <c r="L231" i="14"/>
  <c r="L232" i="14"/>
  <c r="L233" i="14"/>
  <c r="L234" i="14"/>
  <c r="L235" i="14"/>
  <c r="L236" i="14"/>
  <c r="L237" i="14"/>
  <c r="L238" i="14"/>
  <c r="L239" i="14"/>
  <c r="L240" i="14"/>
  <c r="L241" i="14"/>
  <c r="L242" i="14"/>
  <c r="L243" i="14"/>
  <c r="L244" i="14"/>
  <c r="L245" i="14"/>
  <c r="L246" i="14"/>
  <c r="L247" i="14"/>
  <c r="L248" i="14"/>
  <c r="L249" i="14"/>
  <c r="L250" i="14"/>
  <c r="L251" i="14"/>
  <c r="L252" i="14"/>
  <c r="L253" i="14"/>
  <c r="L254" i="14"/>
  <c r="L255" i="14"/>
  <c r="L256" i="14"/>
  <c r="L257" i="14"/>
  <c r="L258" i="14"/>
  <c r="L259" i="14"/>
  <c r="L260" i="14"/>
  <c r="L261" i="14"/>
  <c r="L262" i="14"/>
  <c r="L263" i="14"/>
  <c r="L264" i="14"/>
  <c r="L265" i="14"/>
  <c r="L266" i="14"/>
  <c r="L267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L286" i="14"/>
  <c r="L287" i="14"/>
  <c r="L288" i="14"/>
  <c r="L289" i="14"/>
  <c r="L290" i="14"/>
  <c r="L291" i="14"/>
  <c r="L292" i="14"/>
  <c r="L293" i="14"/>
  <c r="L294" i="14"/>
  <c r="L295" i="14"/>
  <c r="L296" i="14"/>
  <c r="L297" i="14"/>
  <c r="L298" i="14"/>
  <c r="L299" i="14"/>
  <c r="L300" i="14"/>
  <c r="L301" i="14"/>
  <c r="L302" i="14"/>
  <c r="L303" i="14"/>
  <c r="L304" i="14"/>
  <c r="L305" i="14"/>
  <c r="L306" i="14"/>
  <c r="L307" i="14"/>
  <c r="L308" i="14"/>
  <c r="L309" i="14"/>
  <c r="L310" i="14"/>
  <c r="L311" i="14"/>
  <c r="L312" i="14"/>
  <c r="L313" i="14"/>
  <c r="L314" i="14"/>
  <c r="L315" i="14"/>
  <c r="L316" i="14"/>
  <c r="L317" i="14"/>
  <c r="L318" i="14"/>
  <c r="L319" i="14"/>
  <c r="L320" i="14"/>
  <c r="L321" i="14"/>
  <c r="L322" i="14"/>
  <c r="L323" i="14"/>
  <c r="L324" i="14"/>
  <c r="L325" i="14"/>
  <c r="L326" i="14"/>
  <c r="L327" i="14"/>
  <c r="L328" i="14"/>
  <c r="L329" i="14"/>
  <c r="L330" i="14"/>
  <c r="L331" i="14"/>
  <c r="L332" i="14"/>
  <c r="L333" i="14"/>
  <c r="L334" i="14"/>
  <c r="L335" i="14"/>
  <c r="L336" i="14"/>
  <c r="L337" i="14"/>
  <c r="L338" i="14"/>
  <c r="L339" i="14"/>
  <c r="L340" i="14"/>
  <c r="L341" i="14"/>
  <c r="L342" i="14"/>
  <c r="L343" i="14"/>
  <c r="L344" i="14"/>
  <c r="L345" i="14"/>
  <c r="L346" i="14"/>
  <c r="L347" i="14"/>
  <c r="L348" i="14"/>
  <c r="L349" i="14"/>
  <c r="L350" i="14"/>
  <c r="L351" i="14"/>
  <c r="L352" i="14"/>
  <c r="L353" i="14"/>
  <c r="L354" i="14"/>
  <c r="L355" i="14"/>
  <c r="L356" i="14"/>
  <c r="L357" i="14"/>
  <c r="L358" i="14"/>
  <c r="L359" i="14"/>
  <c r="L360" i="14"/>
  <c r="L361" i="14"/>
  <c r="L362" i="14"/>
  <c r="L363" i="14"/>
  <c r="L364" i="14"/>
  <c r="L365" i="14"/>
  <c r="L366" i="14"/>
  <c r="L367" i="14"/>
  <c r="L368" i="14"/>
  <c r="L369" i="14"/>
  <c r="L370" i="14"/>
  <c r="L371" i="14"/>
  <c r="L372" i="14"/>
  <c r="L373" i="14"/>
  <c r="L374" i="14"/>
  <c r="L375" i="14"/>
  <c r="L376" i="14"/>
  <c r="L401" i="14"/>
  <c r="L402" i="14"/>
  <c r="L403" i="14"/>
  <c r="L404" i="14"/>
  <c r="L405" i="14"/>
  <c r="L406" i="14"/>
  <c r="N436" i="115"/>
  <c r="M436" i="115"/>
  <c r="L436" i="115"/>
  <c r="K436" i="115"/>
  <c r="N435" i="115"/>
  <c r="M435" i="115"/>
  <c r="L435" i="115"/>
  <c r="K435" i="115"/>
  <c r="N434" i="115"/>
  <c r="M434" i="115"/>
  <c r="L434" i="115"/>
  <c r="K434" i="115"/>
  <c r="N433" i="115"/>
  <c r="M433" i="115"/>
  <c r="L433" i="115"/>
  <c r="K433" i="115"/>
  <c r="N432" i="115"/>
  <c r="M432" i="115"/>
  <c r="L432" i="115"/>
  <c r="K432" i="115"/>
  <c r="N431" i="115"/>
  <c r="M431" i="115"/>
  <c r="L431" i="115"/>
  <c r="K431" i="115"/>
  <c r="N430" i="115"/>
  <c r="M430" i="115"/>
  <c r="L430" i="115"/>
  <c r="K430" i="115"/>
  <c r="N429" i="115"/>
  <c r="M429" i="115"/>
  <c r="L429" i="115"/>
  <c r="K429" i="115"/>
  <c r="N428" i="115"/>
  <c r="M428" i="115"/>
  <c r="L428" i="115"/>
  <c r="K428" i="115"/>
  <c r="N427" i="115"/>
  <c r="M427" i="115"/>
  <c r="L427" i="115"/>
  <c r="K427" i="115"/>
  <c r="N426" i="115"/>
  <c r="M426" i="115"/>
  <c r="L426" i="115"/>
  <c r="K426" i="115"/>
  <c r="N425" i="115"/>
  <c r="M425" i="115"/>
  <c r="L425" i="115"/>
  <c r="K425" i="115"/>
  <c r="N424" i="115"/>
  <c r="M424" i="115"/>
  <c r="L424" i="115"/>
  <c r="K424" i="115"/>
  <c r="N423" i="115"/>
  <c r="M423" i="115"/>
  <c r="L423" i="115"/>
  <c r="K423" i="115"/>
  <c r="N422" i="115"/>
  <c r="M422" i="115"/>
  <c r="L422" i="115"/>
  <c r="K422" i="115"/>
  <c r="N421" i="115"/>
  <c r="M421" i="115"/>
  <c r="L421" i="115"/>
  <c r="K421" i="115"/>
  <c r="N420" i="115"/>
  <c r="M420" i="115"/>
  <c r="L420" i="115"/>
  <c r="K420" i="115"/>
  <c r="N419" i="115"/>
  <c r="M419" i="115"/>
  <c r="L419" i="115"/>
  <c r="K419" i="115"/>
  <c r="N418" i="115"/>
  <c r="M418" i="115"/>
  <c r="L418" i="115"/>
  <c r="K418" i="115"/>
  <c r="N417" i="115"/>
  <c r="M417" i="115"/>
  <c r="L417" i="115"/>
  <c r="K417" i="115"/>
  <c r="N416" i="115"/>
  <c r="M416" i="115"/>
  <c r="L416" i="115"/>
  <c r="K416" i="115"/>
  <c r="N415" i="115"/>
  <c r="M415" i="115"/>
  <c r="L415" i="115"/>
  <c r="K415" i="115"/>
  <c r="N414" i="115"/>
  <c r="M414" i="115"/>
  <c r="L414" i="115"/>
  <c r="K414" i="115"/>
  <c r="N413" i="115"/>
  <c r="M413" i="115"/>
  <c r="L413" i="115"/>
  <c r="K413" i="115"/>
  <c r="N412" i="115"/>
  <c r="M412" i="115"/>
  <c r="L412" i="115"/>
  <c r="K412" i="115"/>
  <c r="N411" i="115"/>
  <c r="M411" i="115"/>
  <c r="L411" i="115"/>
  <c r="K411" i="115"/>
  <c r="N410" i="115"/>
  <c r="M410" i="115"/>
  <c r="L410" i="115"/>
  <c r="K410" i="115"/>
  <c r="N409" i="115"/>
  <c r="M409" i="115"/>
  <c r="L409" i="115"/>
  <c r="K409" i="115"/>
  <c r="N408" i="115"/>
  <c r="M408" i="115"/>
  <c r="L408" i="115"/>
  <c r="K408" i="115"/>
  <c r="N407" i="115"/>
  <c r="M407" i="115"/>
  <c r="L407" i="115"/>
  <c r="K407" i="115"/>
  <c r="N406" i="115"/>
  <c r="M406" i="115"/>
  <c r="L406" i="115"/>
  <c r="K406" i="115"/>
  <c r="N405" i="115"/>
  <c r="M405" i="115"/>
  <c r="L405" i="115"/>
  <c r="K405" i="115"/>
  <c r="N404" i="115"/>
  <c r="M404" i="115"/>
  <c r="L404" i="115"/>
  <c r="K404" i="115"/>
  <c r="N403" i="115"/>
  <c r="M403" i="115"/>
  <c r="L403" i="115"/>
  <c r="K403" i="115"/>
  <c r="N402" i="115"/>
  <c r="M402" i="115"/>
  <c r="L402" i="115"/>
  <c r="K402" i="115"/>
  <c r="N401" i="115"/>
  <c r="M401" i="115"/>
  <c r="L401" i="115"/>
  <c r="K401" i="115"/>
  <c r="N400" i="115"/>
  <c r="M400" i="115"/>
  <c r="L400" i="115"/>
  <c r="K400" i="115"/>
  <c r="N399" i="115"/>
  <c r="M399" i="115"/>
  <c r="L399" i="115"/>
  <c r="K399" i="115"/>
  <c r="N398" i="115"/>
  <c r="M398" i="115"/>
  <c r="L398" i="115"/>
  <c r="K398" i="115"/>
  <c r="N397" i="115"/>
  <c r="M397" i="115"/>
  <c r="L397" i="115"/>
  <c r="K397" i="115"/>
  <c r="N396" i="115"/>
  <c r="M396" i="115"/>
  <c r="L396" i="115"/>
  <c r="K396" i="115"/>
  <c r="N395" i="115"/>
  <c r="M395" i="115"/>
  <c r="L395" i="115"/>
  <c r="K395" i="115"/>
  <c r="N394" i="115"/>
  <c r="M394" i="115"/>
  <c r="L394" i="115"/>
  <c r="K394" i="115"/>
  <c r="N393" i="115"/>
  <c r="M393" i="115"/>
  <c r="L393" i="115"/>
  <c r="K393" i="115"/>
  <c r="N392" i="115"/>
  <c r="M392" i="115"/>
  <c r="L392" i="115"/>
  <c r="K392" i="115"/>
  <c r="N391" i="115"/>
  <c r="M391" i="115"/>
  <c r="L391" i="115"/>
  <c r="K391" i="115"/>
  <c r="N390" i="115"/>
  <c r="M390" i="115"/>
  <c r="L390" i="115"/>
  <c r="K390" i="115"/>
  <c r="N389" i="115"/>
  <c r="M389" i="115"/>
  <c r="L389" i="115"/>
  <c r="K389" i="115"/>
  <c r="N388" i="115"/>
  <c r="M388" i="115"/>
  <c r="L388" i="115"/>
  <c r="K388" i="115"/>
  <c r="N387" i="115"/>
  <c r="M387" i="115"/>
  <c r="L387" i="115"/>
  <c r="K387" i="115"/>
  <c r="N386" i="115"/>
  <c r="M386" i="115"/>
  <c r="L386" i="115"/>
  <c r="K386" i="115"/>
  <c r="N385" i="115"/>
  <c r="M385" i="115"/>
  <c r="L385" i="115"/>
  <c r="K385" i="115"/>
  <c r="N384" i="115"/>
  <c r="M384" i="115"/>
  <c r="L384" i="115"/>
  <c r="K384" i="115"/>
  <c r="N383" i="115"/>
  <c r="M383" i="115"/>
  <c r="L383" i="115"/>
  <c r="K383" i="115"/>
  <c r="N382" i="115"/>
  <c r="M382" i="115"/>
  <c r="L382" i="115"/>
  <c r="K382" i="115"/>
  <c r="N381" i="115"/>
  <c r="M381" i="115"/>
  <c r="L381" i="115"/>
  <c r="K381" i="115"/>
  <c r="N380" i="115"/>
  <c r="M380" i="115"/>
  <c r="L380" i="115"/>
  <c r="K380" i="115"/>
  <c r="N379" i="115"/>
  <c r="M379" i="115"/>
  <c r="L379" i="115"/>
  <c r="K379" i="115"/>
  <c r="N378" i="115"/>
  <c r="M378" i="115"/>
  <c r="L378" i="115"/>
  <c r="K378" i="115"/>
  <c r="N377" i="115"/>
  <c r="M377" i="115"/>
  <c r="L377" i="115"/>
  <c r="K377" i="115"/>
  <c r="N376" i="115"/>
  <c r="M376" i="115"/>
  <c r="L376" i="115"/>
  <c r="K376" i="115"/>
  <c r="N375" i="115"/>
  <c r="M375" i="115"/>
  <c r="L375" i="115"/>
  <c r="K375" i="115"/>
  <c r="N374" i="115"/>
  <c r="M374" i="115"/>
  <c r="L374" i="115"/>
  <c r="K374" i="115"/>
  <c r="N373" i="115"/>
  <c r="M373" i="115"/>
  <c r="L373" i="115"/>
  <c r="K373" i="115"/>
  <c r="N372" i="115"/>
  <c r="M372" i="115"/>
  <c r="L372" i="115"/>
  <c r="K372" i="115"/>
  <c r="N371" i="115"/>
  <c r="M371" i="115"/>
  <c r="L371" i="115"/>
  <c r="K371" i="115"/>
  <c r="N370" i="115"/>
  <c r="M370" i="115"/>
  <c r="L370" i="115"/>
  <c r="K370" i="115"/>
  <c r="N369" i="115"/>
  <c r="M369" i="115"/>
  <c r="L369" i="115"/>
  <c r="K369" i="115"/>
  <c r="N368" i="115"/>
  <c r="M368" i="115"/>
  <c r="L368" i="115"/>
  <c r="K368" i="115"/>
  <c r="N367" i="115"/>
  <c r="M367" i="115"/>
  <c r="L367" i="115"/>
  <c r="K367" i="115"/>
  <c r="N366" i="115"/>
  <c r="M366" i="115"/>
  <c r="L366" i="115"/>
  <c r="K366" i="115"/>
  <c r="N365" i="115"/>
  <c r="M365" i="115"/>
  <c r="L365" i="115"/>
  <c r="K365" i="115"/>
  <c r="N364" i="115"/>
  <c r="M364" i="115"/>
  <c r="L364" i="115"/>
  <c r="K364" i="115"/>
  <c r="N363" i="115"/>
  <c r="M363" i="115"/>
  <c r="L363" i="115"/>
  <c r="K363" i="115"/>
  <c r="N362" i="115"/>
  <c r="M362" i="115"/>
  <c r="L362" i="115"/>
  <c r="K362" i="115"/>
  <c r="N361" i="115"/>
  <c r="M361" i="115"/>
  <c r="L361" i="115"/>
  <c r="K361" i="115"/>
  <c r="N360" i="115"/>
  <c r="M360" i="115"/>
  <c r="L360" i="115"/>
  <c r="K360" i="115"/>
  <c r="N359" i="115"/>
  <c r="M359" i="115"/>
  <c r="L359" i="115"/>
  <c r="K359" i="115"/>
  <c r="N358" i="115"/>
  <c r="M358" i="115"/>
  <c r="L358" i="115"/>
  <c r="K358" i="115"/>
  <c r="N357" i="115"/>
  <c r="M357" i="115"/>
  <c r="L357" i="115"/>
  <c r="K357" i="115"/>
  <c r="N356" i="115"/>
  <c r="M356" i="115"/>
  <c r="L356" i="115"/>
  <c r="K356" i="115"/>
  <c r="N355" i="115"/>
  <c r="M355" i="115"/>
  <c r="L355" i="115"/>
  <c r="K355" i="115"/>
  <c r="N354" i="115"/>
  <c r="M354" i="115"/>
  <c r="L354" i="115"/>
  <c r="K354" i="115"/>
  <c r="N353" i="115"/>
  <c r="M353" i="115"/>
  <c r="L353" i="115"/>
  <c r="K353" i="115"/>
  <c r="N352" i="115"/>
  <c r="M352" i="115"/>
  <c r="L352" i="115"/>
  <c r="K352" i="115"/>
  <c r="N351" i="115"/>
  <c r="M351" i="115"/>
  <c r="L351" i="115"/>
  <c r="K351" i="115"/>
  <c r="N350" i="115"/>
  <c r="M350" i="115"/>
  <c r="L350" i="115"/>
  <c r="K350" i="115"/>
  <c r="N349" i="115"/>
  <c r="M349" i="115"/>
  <c r="L349" i="115"/>
  <c r="K349" i="115"/>
  <c r="N348" i="115"/>
  <c r="M348" i="115"/>
  <c r="L348" i="115"/>
  <c r="K348" i="115"/>
  <c r="N347" i="115"/>
  <c r="M347" i="115"/>
  <c r="L347" i="115"/>
  <c r="K347" i="115"/>
  <c r="N346" i="115"/>
  <c r="M346" i="115"/>
  <c r="L346" i="115"/>
  <c r="K346" i="115"/>
  <c r="N345" i="115"/>
  <c r="M345" i="115"/>
  <c r="L345" i="115"/>
  <c r="K345" i="115"/>
  <c r="N344" i="115"/>
  <c r="M344" i="115"/>
  <c r="L344" i="115"/>
  <c r="K344" i="115"/>
  <c r="N343" i="115"/>
  <c r="M343" i="115"/>
  <c r="L343" i="115"/>
  <c r="K343" i="115"/>
  <c r="N342" i="115"/>
  <c r="M342" i="115"/>
  <c r="L342" i="115"/>
  <c r="K342" i="115"/>
  <c r="N341" i="115"/>
  <c r="M341" i="115"/>
  <c r="L341" i="115"/>
  <c r="K341" i="115"/>
  <c r="N340" i="115"/>
  <c r="M340" i="115"/>
  <c r="L340" i="115"/>
  <c r="K340" i="115"/>
  <c r="N339" i="115"/>
  <c r="M339" i="115"/>
  <c r="L339" i="115"/>
  <c r="K339" i="115"/>
  <c r="N338" i="115"/>
  <c r="M338" i="115"/>
  <c r="L338" i="115"/>
  <c r="K338" i="115"/>
  <c r="N337" i="115"/>
  <c r="M337" i="115"/>
  <c r="L337" i="115"/>
  <c r="K337" i="115"/>
  <c r="N336" i="115"/>
  <c r="M336" i="115"/>
  <c r="L336" i="115"/>
  <c r="K336" i="115"/>
  <c r="N335" i="115"/>
  <c r="M335" i="115"/>
  <c r="L335" i="115"/>
  <c r="K335" i="115"/>
  <c r="N334" i="115"/>
  <c r="M334" i="115"/>
  <c r="L334" i="115"/>
  <c r="K334" i="115"/>
  <c r="N333" i="115"/>
  <c r="M333" i="115"/>
  <c r="L333" i="115"/>
  <c r="K333" i="115"/>
  <c r="N332" i="115"/>
  <c r="M332" i="115"/>
  <c r="L332" i="115"/>
  <c r="K332" i="115"/>
  <c r="N331" i="115"/>
  <c r="M331" i="115"/>
  <c r="L331" i="115"/>
  <c r="K331" i="115"/>
  <c r="N330" i="115"/>
  <c r="M330" i="115"/>
  <c r="L330" i="115"/>
  <c r="K330" i="115"/>
  <c r="N329" i="115"/>
  <c r="M329" i="115"/>
  <c r="L329" i="115"/>
  <c r="K329" i="115"/>
  <c r="N328" i="115"/>
  <c r="M328" i="115"/>
  <c r="L328" i="115"/>
  <c r="K328" i="115"/>
  <c r="N327" i="115"/>
  <c r="M327" i="115"/>
  <c r="L327" i="115"/>
  <c r="K327" i="115"/>
  <c r="N326" i="115"/>
  <c r="M326" i="115"/>
  <c r="L326" i="115"/>
  <c r="K326" i="115"/>
  <c r="N325" i="115"/>
  <c r="M325" i="115"/>
  <c r="L325" i="115"/>
  <c r="K325" i="115"/>
  <c r="N324" i="115"/>
  <c r="M324" i="115"/>
  <c r="L324" i="115"/>
  <c r="K324" i="115"/>
  <c r="N323" i="115"/>
  <c r="M323" i="115"/>
  <c r="L323" i="115"/>
  <c r="K323" i="115"/>
  <c r="N322" i="115"/>
  <c r="M322" i="115"/>
  <c r="L322" i="115"/>
  <c r="K322" i="115"/>
  <c r="N321" i="115"/>
  <c r="M321" i="115"/>
  <c r="L321" i="115"/>
  <c r="K321" i="115"/>
  <c r="N320" i="115"/>
  <c r="M320" i="115"/>
  <c r="L320" i="115"/>
  <c r="K320" i="115"/>
  <c r="N319" i="115"/>
  <c r="M319" i="115"/>
  <c r="L319" i="115"/>
  <c r="K319" i="115"/>
  <c r="N318" i="115"/>
  <c r="M318" i="115"/>
  <c r="L318" i="115"/>
  <c r="K318" i="115"/>
  <c r="N317" i="115"/>
  <c r="M317" i="115"/>
  <c r="L317" i="115"/>
  <c r="K317" i="115"/>
  <c r="N316" i="115"/>
  <c r="M316" i="115"/>
  <c r="L316" i="115"/>
  <c r="K316" i="115"/>
  <c r="N315" i="115"/>
  <c r="M315" i="115"/>
  <c r="L315" i="115"/>
  <c r="K315" i="115"/>
  <c r="N314" i="115"/>
  <c r="M314" i="115"/>
  <c r="L314" i="115"/>
  <c r="K314" i="115"/>
  <c r="N313" i="115"/>
  <c r="M313" i="115"/>
  <c r="L313" i="115"/>
  <c r="K313" i="115"/>
  <c r="N312" i="115"/>
  <c r="M312" i="115"/>
  <c r="L312" i="115"/>
  <c r="K312" i="115"/>
  <c r="N311" i="115"/>
  <c r="M311" i="115"/>
  <c r="L311" i="115"/>
  <c r="K311" i="115"/>
  <c r="N310" i="115"/>
  <c r="M310" i="115"/>
  <c r="L310" i="115"/>
  <c r="K310" i="115"/>
  <c r="N309" i="115"/>
  <c r="M309" i="115"/>
  <c r="L309" i="115"/>
  <c r="K309" i="115"/>
  <c r="N308" i="115"/>
  <c r="M308" i="115"/>
  <c r="L308" i="115"/>
  <c r="K308" i="115"/>
  <c r="N307" i="115"/>
  <c r="M307" i="115"/>
  <c r="L307" i="115"/>
  <c r="K307" i="115"/>
  <c r="N306" i="115"/>
  <c r="M306" i="115"/>
  <c r="L306" i="115"/>
  <c r="K306" i="115"/>
  <c r="N305" i="115"/>
  <c r="M305" i="115"/>
  <c r="L305" i="115"/>
  <c r="K305" i="115"/>
  <c r="N304" i="115"/>
  <c r="M304" i="115"/>
  <c r="L304" i="115"/>
  <c r="K304" i="115"/>
  <c r="N303" i="115"/>
  <c r="M303" i="115"/>
  <c r="L303" i="115"/>
  <c r="K303" i="115"/>
  <c r="N302" i="115"/>
  <c r="M302" i="115"/>
  <c r="L302" i="115"/>
  <c r="K302" i="115"/>
  <c r="N301" i="115"/>
  <c r="M301" i="115"/>
  <c r="L301" i="115"/>
  <c r="K301" i="115"/>
  <c r="N300" i="115"/>
  <c r="M300" i="115"/>
  <c r="L300" i="115"/>
  <c r="K300" i="115"/>
  <c r="N299" i="115"/>
  <c r="M299" i="115"/>
  <c r="L299" i="115"/>
  <c r="K299" i="115"/>
  <c r="N298" i="115"/>
  <c r="M298" i="115"/>
  <c r="L298" i="115"/>
  <c r="K298" i="115"/>
  <c r="N297" i="115"/>
  <c r="M297" i="115"/>
  <c r="L297" i="115"/>
  <c r="K297" i="115"/>
  <c r="N296" i="115"/>
  <c r="M296" i="115"/>
  <c r="L296" i="115"/>
  <c r="K296" i="115"/>
  <c r="N295" i="115"/>
  <c r="M295" i="115"/>
  <c r="L295" i="115"/>
  <c r="K295" i="115"/>
  <c r="N294" i="115"/>
  <c r="M294" i="115"/>
  <c r="L294" i="115"/>
  <c r="K294" i="115"/>
  <c r="N293" i="115"/>
  <c r="M293" i="115"/>
  <c r="L293" i="115"/>
  <c r="K293" i="115"/>
  <c r="N292" i="115"/>
  <c r="M292" i="115"/>
  <c r="L292" i="115"/>
  <c r="K292" i="115"/>
  <c r="N291" i="115"/>
  <c r="M291" i="115"/>
  <c r="L291" i="115"/>
  <c r="K291" i="115"/>
  <c r="N290" i="115"/>
  <c r="M290" i="115"/>
  <c r="L290" i="115"/>
  <c r="K290" i="115"/>
  <c r="N289" i="115"/>
  <c r="M289" i="115"/>
  <c r="L289" i="115"/>
  <c r="K289" i="115"/>
  <c r="N288" i="115"/>
  <c r="M288" i="115"/>
  <c r="L288" i="115"/>
  <c r="K288" i="115"/>
  <c r="N287" i="115"/>
  <c r="M287" i="115"/>
  <c r="L287" i="115"/>
  <c r="K287" i="115"/>
  <c r="N286" i="115"/>
  <c r="M286" i="115"/>
  <c r="L286" i="115"/>
  <c r="K286" i="115"/>
  <c r="N285" i="115"/>
  <c r="M285" i="115"/>
  <c r="L285" i="115"/>
  <c r="K285" i="115"/>
  <c r="N284" i="115"/>
  <c r="M284" i="115"/>
  <c r="L284" i="115"/>
  <c r="K284" i="115"/>
  <c r="N283" i="115"/>
  <c r="M283" i="115"/>
  <c r="L283" i="115"/>
  <c r="K283" i="115"/>
  <c r="N282" i="115"/>
  <c r="M282" i="115"/>
  <c r="L282" i="115"/>
  <c r="K282" i="115"/>
  <c r="N281" i="115"/>
  <c r="M281" i="115"/>
  <c r="L281" i="115"/>
  <c r="K281" i="115"/>
  <c r="N280" i="115"/>
  <c r="M280" i="115"/>
  <c r="L280" i="115"/>
  <c r="K280" i="115"/>
  <c r="N279" i="115"/>
  <c r="M279" i="115"/>
  <c r="L279" i="115"/>
  <c r="K279" i="115"/>
  <c r="N278" i="115"/>
  <c r="M278" i="115"/>
  <c r="L278" i="115"/>
  <c r="K278" i="115"/>
  <c r="N277" i="115"/>
  <c r="M277" i="115"/>
  <c r="L277" i="115"/>
  <c r="K277" i="115"/>
  <c r="N276" i="115"/>
  <c r="M276" i="115"/>
  <c r="L276" i="115"/>
  <c r="K276" i="115"/>
  <c r="N275" i="115"/>
  <c r="M275" i="115"/>
  <c r="L275" i="115"/>
  <c r="K275" i="115"/>
  <c r="N274" i="115"/>
  <c r="M274" i="115"/>
  <c r="L274" i="115"/>
  <c r="K274" i="115"/>
  <c r="N273" i="115"/>
  <c r="M273" i="115"/>
  <c r="L273" i="115"/>
  <c r="K273" i="115"/>
  <c r="N272" i="115"/>
  <c r="M272" i="115"/>
  <c r="L272" i="115"/>
  <c r="K272" i="115"/>
  <c r="N271" i="115"/>
  <c r="M271" i="115"/>
  <c r="L271" i="115"/>
  <c r="K271" i="115"/>
  <c r="N270" i="115"/>
  <c r="M270" i="115"/>
  <c r="L270" i="115"/>
  <c r="K270" i="115"/>
  <c r="N269" i="115"/>
  <c r="M269" i="115"/>
  <c r="L269" i="115"/>
  <c r="K269" i="115"/>
  <c r="N268" i="115"/>
  <c r="M268" i="115"/>
  <c r="L268" i="115"/>
  <c r="K268" i="115"/>
  <c r="N267" i="115"/>
  <c r="M267" i="115"/>
  <c r="L267" i="115"/>
  <c r="K267" i="115"/>
  <c r="N266" i="115"/>
  <c r="M266" i="115"/>
  <c r="L266" i="115"/>
  <c r="K266" i="115"/>
  <c r="N265" i="115"/>
  <c r="M265" i="115"/>
  <c r="L265" i="115"/>
  <c r="K265" i="115"/>
  <c r="N264" i="115"/>
  <c r="M264" i="115"/>
  <c r="L264" i="115"/>
  <c r="K264" i="115"/>
  <c r="N263" i="115"/>
  <c r="M263" i="115"/>
  <c r="L263" i="115"/>
  <c r="K263" i="115"/>
  <c r="N262" i="115"/>
  <c r="M262" i="115"/>
  <c r="L262" i="115"/>
  <c r="K262" i="115"/>
  <c r="N261" i="115"/>
  <c r="M261" i="115"/>
  <c r="L261" i="115"/>
  <c r="K261" i="115"/>
  <c r="N260" i="115"/>
  <c r="M260" i="115"/>
  <c r="L260" i="115"/>
  <c r="K260" i="115"/>
  <c r="N259" i="115"/>
  <c r="M259" i="115"/>
  <c r="L259" i="115"/>
  <c r="K259" i="115"/>
  <c r="N258" i="115"/>
  <c r="M258" i="115"/>
  <c r="L258" i="115"/>
  <c r="K258" i="115"/>
  <c r="N257" i="115"/>
  <c r="M257" i="115"/>
  <c r="L257" i="115"/>
  <c r="K257" i="115"/>
  <c r="N256" i="115"/>
  <c r="M256" i="115"/>
  <c r="L256" i="115"/>
  <c r="K256" i="115"/>
  <c r="N255" i="115"/>
  <c r="M255" i="115"/>
  <c r="L255" i="115"/>
  <c r="K255" i="115"/>
  <c r="N254" i="115"/>
  <c r="M254" i="115"/>
  <c r="L254" i="115"/>
  <c r="K254" i="115"/>
  <c r="N253" i="115"/>
  <c r="M253" i="115"/>
  <c r="L253" i="115"/>
  <c r="K253" i="115"/>
  <c r="N252" i="115"/>
  <c r="M252" i="115"/>
  <c r="L252" i="115"/>
  <c r="K252" i="115"/>
  <c r="N251" i="115"/>
  <c r="M251" i="115"/>
  <c r="L251" i="115"/>
  <c r="K251" i="115"/>
  <c r="N250" i="115"/>
  <c r="M250" i="115"/>
  <c r="L250" i="115"/>
  <c r="K250" i="115"/>
  <c r="N249" i="115"/>
  <c r="M249" i="115"/>
  <c r="L249" i="115"/>
  <c r="K249" i="115"/>
  <c r="N248" i="115"/>
  <c r="M248" i="115"/>
  <c r="L248" i="115"/>
  <c r="K248" i="115"/>
  <c r="N247" i="115"/>
  <c r="M247" i="115"/>
  <c r="L247" i="115"/>
  <c r="K247" i="115"/>
  <c r="N246" i="115"/>
  <c r="M246" i="115"/>
  <c r="L246" i="115"/>
  <c r="K246" i="115"/>
  <c r="N245" i="115"/>
  <c r="M245" i="115"/>
  <c r="L245" i="115"/>
  <c r="K245" i="115"/>
  <c r="N244" i="115"/>
  <c r="M244" i="115"/>
  <c r="L244" i="115"/>
  <c r="K244" i="115"/>
  <c r="N243" i="115"/>
  <c r="M243" i="115"/>
  <c r="L243" i="115"/>
  <c r="K243" i="115"/>
  <c r="N242" i="115"/>
  <c r="M242" i="115"/>
  <c r="L242" i="115"/>
  <c r="K242" i="115"/>
  <c r="N241" i="115"/>
  <c r="M241" i="115"/>
  <c r="L241" i="115"/>
  <c r="K241" i="115"/>
  <c r="N240" i="115"/>
  <c r="M240" i="115"/>
  <c r="L240" i="115"/>
  <c r="K240" i="115"/>
  <c r="N239" i="115"/>
  <c r="M239" i="115"/>
  <c r="L239" i="115"/>
  <c r="K239" i="115"/>
  <c r="N238" i="115"/>
  <c r="M238" i="115"/>
  <c r="L238" i="115"/>
  <c r="K238" i="115"/>
  <c r="N237" i="115"/>
  <c r="M237" i="115"/>
  <c r="L237" i="115"/>
  <c r="K237" i="115"/>
  <c r="N236" i="115"/>
  <c r="M236" i="115"/>
  <c r="L236" i="115"/>
  <c r="K236" i="115"/>
  <c r="N235" i="115"/>
  <c r="M235" i="115"/>
  <c r="L235" i="115"/>
  <c r="K235" i="115"/>
  <c r="N234" i="115"/>
  <c r="M234" i="115"/>
  <c r="L234" i="115"/>
  <c r="K234" i="115"/>
  <c r="N233" i="115"/>
  <c r="M233" i="115"/>
  <c r="L233" i="115"/>
  <c r="K233" i="115"/>
  <c r="N232" i="115"/>
  <c r="M232" i="115"/>
  <c r="L232" i="115"/>
  <c r="K232" i="115"/>
  <c r="N231" i="115"/>
  <c r="M231" i="115"/>
  <c r="L231" i="115"/>
  <c r="K231" i="115"/>
  <c r="N230" i="115"/>
  <c r="M230" i="115"/>
  <c r="L230" i="115"/>
  <c r="K230" i="115"/>
  <c r="N229" i="115"/>
  <c r="M229" i="115"/>
  <c r="L229" i="115"/>
  <c r="K229" i="115"/>
  <c r="N228" i="115"/>
  <c r="M228" i="115"/>
  <c r="L228" i="115"/>
  <c r="K228" i="115"/>
  <c r="N227" i="115"/>
  <c r="M227" i="115"/>
  <c r="L227" i="115"/>
  <c r="K227" i="115"/>
  <c r="N226" i="115"/>
  <c r="M226" i="115"/>
  <c r="L226" i="115"/>
  <c r="K226" i="115"/>
  <c r="N225" i="115"/>
  <c r="M225" i="115"/>
  <c r="L225" i="115"/>
  <c r="K225" i="115"/>
  <c r="N224" i="115"/>
  <c r="M224" i="115"/>
  <c r="L224" i="115"/>
  <c r="K224" i="115"/>
  <c r="N223" i="115"/>
  <c r="M223" i="115"/>
  <c r="L223" i="115"/>
  <c r="K223" i="115"/>
  <c r="N222" i="115"/>
  <c r="M222" i="115"/>
  <c r="L222" i="115"/>
  <c r="K222" i="115"/>
  <c r="N221" i="115"/>
  <c r="M221" i="115"/>
  <c r="L221" i="115"/>
  <c r="K221" i="115"/>
  <c r="N220" i="115"/>
  <c r="M220" i="115"/>
  <c r="L220" i="115"/>
  <c r="K220" i="115"/>
  <c r="N219" i="115"/>
  <c r="M219" i="115"/>
  <c r="L219" i="115"/>
  <c r="K219" i="115"/>
  <c r="N218" i="115"/>
  <c r="M218" i="115"/>
  <c r="L218" i="115"/>
  <c r="K218" i="115"/>
  <c r="N217" i="115"/>
  <c r="M217" i="115"/>
  <c r="L217" i="115"/>
  <c r="K217" i="115"/>
  <c r="N216" i="115"/>
  <c r="M216" i="115"/>
  <c r="L216" i="115"/>
  <c r="K216" i="115"/>
  <c r="N215" i="115"/>
  <c r="M215" i="115"/>
  <c r="L215" i="115"/>
  <c r="K215" i="115"/>
  <c r="N214" i="115"/>
  <c r="M214" i="115"/>
  <c r="L214" i="115"/>
  <c r="K214" i="115"/>
  <c r="N213" i="115"/>
  <c r="M213" i="115"/>
  <c r="L213" i="115"/>
  <c r="K213" i="115"/>
  <c r="N212" i="115"/>
  <c r="M212" i="115"/>
  <c r="L212" i="115"/>
  <c r="K212" i="115"/>
  <c r="N211" i="115"/>
  <c r="M211" i="115"/>
  <c r="L211" i="115"/>
  <c r="K211" i="115"/>
  <c r="N210" i="115"/>
  <c r="M210" i="115"/>
  <c r="L210" i="115"/>
  <c r="K210" i="115"/>
  <c r="N209" i="115"/>
  <c r="M209" i="115"/>
  <c r="L209" i="115"/>
  <c r="K209" i="115"/>
  <c r="N208" i="115"/>
  <c r="M208" i="115"/>
  <c r="L208" i="115"/>
  <c r="K208" i="115"/>
  <c r="N207" i="115"/>
  <c r="M207" i="115"/>
  <c r="L207" i="115"/>
  <c r="K207" i="115"/>
  <c r="N206" i="115"/>
  <c r="M206" i="115"/>
  <c r="L206" i="115"/>
  <c r="K206" i="115"/>
  <c r="N205" i="115"/>
  <c r="M205" i="115"/>
  <c r="L205" i="115"/>
  <c r="K205" i="115"/>
  <c r="N204" i="115"/>
  <c r="M204" i="115"/>
  <c r="L204" i="115"/>
  <c r="K204" i="115"/>
  <c r="N203" i="115"/>
  <c r="M203" i="115"/>
  <c r="L203" i="115"/>
  <c r="K203" i="115"/>
  <c r="N202" i="115"/>
  <c r="M202" i="115"/>
  <c r="L202" i="115"/>
  <c r="K202" i="115"/>
  <c r="N201" i="115"/>
  <c r="M201" i="115"/>
  <c r="L201" i="115"/>
  <c r="K201" i="115"/>
  <c r="N200" i="115"/>
  <c r="M200" i="115"/>
  <c r="L200" i="115"/>
  <c r="K200" i="115"/>
  <c r="N199" i="115"/>
  <c r="M199" i="115"/>
  <c r="L199" i="115"/>
  <c r="K199" i="115"/>
  <c r="N198" i="115"/>
  <c r="M198" i="115"/>
  <c r="L198" i="115"/>
  <c r="K198" i="115"/>
  <c r="N197" i="115"/>
  <c r="M197" i="115"/>
  <c r="L197" i="115"/>
  <c r="K197" i="115"/>
  <c r="N196" i="115"/>
  <c r="M196" i="115"/>
  <c r="L196" i="115"/>
  <c r="K196" i="115"/>
  <c r="N195" i="115"/>
  <c r="M195" i="115"/>
  <c r="L195" i="115"/>
  <c r="K195" i="115"/>
  <c r="N194" i="115"/>
  <c r="M194" i="115"/>
  <c r="L194" i="115"/>
  <c r="K194" i="115"/>
  <c r="N193" i="115"/>
  <c r="M193" i="115"/>
  <c r="L193" i="115"/>
  <c r="K193" i="115"/>
  <c r="N192" i="115"/>
  <c r="M192" i="115"/>
  <c r="L192" i="115"/>
  <c r="K192" i="115"/>
  <c r="N191" i="115"/>
  <c r="M191" i="115"/>
  <c r="L191" i="115"/>
  <c r="K191" i="115"/>
  <c r="N190" i="115"/>
  <c r="M190" i="115"/>
  <c r="L190" i="115"/>
  <c r="K190" i="115"/>
  <c r="N189" i="115"/>
  <c r="M189" i="115"/>
  <c r="L189" i="115"/>
  <c r="K189" i="115"/>
  <c r="N188" i="115"/>
  <c r="M188" i="115"/>
  <c r="L188" i="115"/>
  <c r="K188" i="115"/>
  <c r="N187" i="115"/>
  <c r="M187" i="115"/>
  <c r="L187" i="115"/>
  <c r="K187" i="115"/>
  <c r="N186" i="115"/>
  <c r="M186" i="115"/>
  <c r="L186" i="115"/>
  <c r="K186" i="115"/>
  <c r="N185" i="115"/>
  <c r="M185" i="115"/>
  <c r="L185" i="115"/>
  <c r="K185" i="115"/>
  <c r="N184" i="115"/>
  <c r="M184" i="115"/>
  <c r="L184" i="115"/>
  <c r="K184" i="115"/>
  <c r="N183" i="115"/>
  <c r="M183" i="115"/>
  <c r="L183" i="115"/>
  <c r="K183" i="115"/>
  <c r="N182" i="115"/>
  <c r="M182" i="115"/>
  <c r="L182" i="115"/>
  <c r="K182" i="115"/>
  <c r="N181" i="115"/>
  <c r="M181" i="115"/>
  <c r="L181" i="115"/>
  <c r="K181" i="115"/>
  <c r="N180" i="115"/>
  <c r="M180" i="115"/>
  <c r="L180" i="115"/>
  <c r="K180" i="115"/>
  <c r="N179" i="115"/>
  <c r="M179" i="115"/>
  <c r="L179" i="115"/>
  <c r="K179" i="115"/>
  <c r="N178" i="115"/>
  <c r="M178" i="115"/>
  <c r="L178" i="115"/>
  <c r="K178" i="115"/>
  <c r="N177" i="115"/>
  <c r="M177" i="115"/>
  <c r="L177" i="115"/>
  <c r="K177" i="115"/>
  <c r="N176" i="115"/>
  <c r="M176" i="115"/>
  <c r="L176" i="115"/>
  <c r="K176" i="115"/>
  <c r="N175" i="115"/>
  <c r="M175" i="115"/>
  <c r="L175" i="115"/>
  <c r="K175" i="115"/>
  <c r="N174" i="115"/>
  <c r="M174" i="115"/>
  <c r="L174" i="115"/>
  <c r="K174" i="115"/>
  <c r="N173" i="115"/>
  <c r="M173" i="115"/>
  <c r="L173" i="115"/>
  <c r="K173" i="115"/>
  <c r="N172" i="115"/>
  <c r="M172" i="115"/>
  <c r="L172" i="115"/>
  <c r="K172" i="115"/>
  <c r="N171" i="115"/>
  <c r="M171" i="115"/>
  <c r="L171" i="115"/>
  <c r="K171" i="115"/>
  <c r="N170" i="115"/>
  <c r="M170" i="115"/>
  <c r="L170" i="115"/>
  <c r="K170" i="115"/>
  <c r="N169" i="115"/>
  <c r="M169" i="115"/>
  <c r="L169" i="115"/>
  <c r="K169" i="115"/>
  <c r="N168" i="115"/>
  <c r="M168" i="115"/>
  <c r="L168" i="115"/>
  <c r="K168" i="115"/>
  <c r="N167" i="115"/>
  <c r="M167" i="115"/>
  <c r="L167" i="115"/>
  <c r="K167" i="115"/>
  <c r="N166" i="115"/>
  <c r="M166" i="115"/>
  <c r="L166" i="115"/>
  <c r="K166" i="115"/>
  <c r="N165" i="115"/>
  <c r="M165" i="115"/>
  <c r="L165" i="115"/>
  <c r="K165" i="115"/>
  <c r="N164" i="115"/>
  <c r="M164" i="115"/>
  <c r="L164" i="115"/>
  <c r="K164" i="115"/>
  <c r="N163" i="115"/>
  <c r="M163" i="115"/>
  <c r="L163" i="115"/>
  <c r="K163" i="115"/>
  <c r="N162" i="115"/>
  <c r="M162" i="115"/>
  <c r="L162" i="115"/>
  <c r="K162" i="115"/>
  <c r="N161" i="115"/>
  <c r="M161" i="115"/>
  <c r="L161" i="115"/>
  <c r="K161" i="115"/>
  <c r="N160" i="115"/>
  <c r="M160" i="115"/>
  <c r="L160" i="115"/>
  <c r="K160" i="115"/>
  <c r="N159" i="115"/>
  <c r="M159" i="115"/>
  <c r="L159" i="115"/>
  <c r="K159" i="115"/>
  <c r="N158" i="115"/>
  <c r="M158" i="115"/>
  <c r="L158" i="115"/>
  <c r="K158" i="115"/>
  <c r="N157" i="115"/>
  <c r="M157" i="115"/>
  <c r="L157" i="115"/>
  <c r="K157" i="115"/>
  <c r="N156" i="115"/>
  <c r="M156" i="115"/>
  <c r="L156" i="115"/>
  <c r="K156" i="115"/>
  <c r="N155" i="115"/>
  <c r="M155" i="115"/>
  <c r="L155" i="115"/>
  <c r="K155" i="115"/>
  <c r="N154" i="115"/>
  <c r="M154" i="115"/>
  <c r="L154" i="115"/>
  <c r="K154" i="115"/>
  <c r="N153" i="115"/>
  <c r="M153" i="115"/>
  <c r="L153" i="115"/>
  <c r="K153" i="115"/>
  <c r="N152" i="115"/>
  <c r="M152" i="115"/>
  <c r="L152" i="115"/>
  <c r="K152" i="115"/>
  <c r="N151" i="115"/>
  <c r="M151" i="115"/>
  <c r="L151" i="115"/>
  <c r="K151" i="115"/>
  <c r="N150" i="115"/>
  <c r="M150" i="115"/>
  <c r="L150" i="115"/>
  <c r="K150" i="115"/>
  <c r="N149" i="115"/>
  <c r="M149" i="115"/>
  <c r="L149" i="115"/>
  <c r="K149" i="115"/>
  <c r="N148" i="115"/>
  <c r="M148" i="115"/>
  <c r="L148" i="115"/>
  <c r="K148" i="115"/>
  <c r="N147" i="115"/>
  <c r="M147" i="115"/>
  <c r="L147" i="115"/>
  <c r="K147" i="115"/>
  <c r="N146" i="115"/>
  <c r="M146" i="115"/>
  <c r="L146" i="115"/>
  <c r="K146" i="115"/>
  <c r="N145" i="115"/>
  <c r="M145" i="115"/>
  <c r="L145" i="115"/>
  <c r="K145" i="115"/>
  <c r="N144" i="115"/>
  <c r="M144" i="115"/>
  <c r="L144" i="115"/>
  <c r="K144" i="115"/>
  <c r="N143" i="115"/>
  <c r="M143" i="115"/>
  <c r="L143" i="115"/>
  <c r="K143" i="115"/>
  <c r="N142" i="115"/>
  <c r="M142" i="115"/>
  <c r="L142" i="115"/>
  <c r="K142" i="115"/>
  <c r="N141" i="115"/>
  <c r="M141" i="115"/>
  <c r="L141" i="115"/>
  <c r="K141" i="115"/>
  <c r="N140" i="115"/>
  <c r="M140" i="115"/>
  <c r="L140" i="115"/>
  <c r="K140" i="115"/>
  <c r="N139" i="115"/>
  <c r="M139" i="115"/>
  <c r="L139" i="115"/>
  <c r="K139" i="115"/>
  <c r="N138" i="115"/>
  <c r="M138" i="115"/>
  <c r="L138" i="115"/>
  <c r="K138" i="115"/>
  <c r="N137" i="115"/>
  <c r="M137" i="115"/>
  <c r="L137" i="115"/>
  <c r="K137" i="115"/>
  <c r="N136" i="115"/>
  <c r="M136" i="115"/>
  <c r="L136" i="115"/>
  <c r="K136" i="115"/>
  <c r="N135" i="115"/>
  <c r="M135" i="115"/>
  <c r="L135" i="115"/>
  <c r="K135" i="115"/>
  <c r="N134" i="115"/>
  <c r="M134" i="115"/>
  <c r="L134" i="115"/>
  <c r="K134" i="115"/>
  <c r="N133" i="115"/>
  <c r="M133" i="115"/>
  <c r="L133" i="115"/>
  <c r="K133" i="115"/>
  <c r="N132" i="115"/>
  <c r="M132" i="115"/>
  <c r="L132" i="115"/>
  <c r="K132" i="115"/>
  <c r="N131" i="115"/>
  <c r="M131" i="115"/>
  <c r="L131" i="115"/>
  <c r="K131" i="115"/>
  <c r="N130" i="115"/>
  <c r="M130" i="115"/>
  <c r="L130" i="115"/>
  <c r="K130" i="115"/>
  <c r="N129" i="115"/>
  <c r="M129" i="115"/>
  <c r="L129" i="115"/>
  <c r="K129" i="115"/>
  <c r="N128" i="115"/>
  <c r="M128" i="115"/>
  <c r="L128" i="115"/>
  <c r="K128" i="115"/>
  <c r="N127" i="115"/>
  <c r="M127" i="115"/>
  <c r="L127" i="115"/>
  <c r="K127" i="115"/>
  <c r="N126" i="115"/>
  <c r="M126" i="115"/>
  <c r="L126" i="115"/>
  <c r="K126" i="115"/>
  <c r="N125" i="115"/>
  <c r="M125" i="115"/>
  <c r="L125" i="115"/>
  <c r="K125" i="115"/>
  <c r="N124" i="115"/>
  <c r="M124" i="115"/>
  <c r="L124" i="115"/>
  <c r="K124" i="115"/>
  <c r="N123" i="115"/>
  <c r="M123" i="115"/>
  <c r="L123" i="115"/>
  <c r="K123" i="115"/>
  <c r="N122" i="115"/>
  <c r="M122" i="115"/>
  <c r="L122" i="115"/>
  <c r="K122" i="115"/>
  <c r="N121" i="115"/>
  <c r="M121" i="115"/>
  <c r="L121" i="115"/>
  <c r="K121" i="115"/>
  <c r="N120" i="115"/>
  <c r="M120" i="115"/>
  <c r="L120" i="115"/>
  <c r="K120" i="115"/>
  <c r="N119" i="115"/>
  <c r="M119" i="115"/>
  <c r="L119" i="115"/>
  <c r="K119" i="115"/>
  <c r="N118" i="115"/>
  <c r="M118" i="115"/>
  <c r="L118" i="115"/>
  <c r="K118" i="115"/>
  <c r="N117" i="115"/>
  <c r="M117" i="115"/>
  <c r="L117" i="115"/>
  <c r="K117" i="115"/>
  <c r="N116" i="115"/>
  <c r="M116" i="115"/>
  <c r="L116" i="115"/>
  <c r="K116" i="115"/>
  <c r="N115" i="115"/>
  <c r="M115" i="115"/>
  <c r="L115" i="115"/>
  <c r="K115" i="115"/>
  <c r="N114" i="115"/>
  <c r="M114" i="115"/>
  <c r="L114" i="115"/>
  <c r="K114" i="115"/>
  <c r="N113" i="115"/>
  <c r="M113" i="115"/>
  <c r="L113" i="115"/>
  <c r="K113" i="115"/>
  <c r="N112" i="115"/>
  <c r="M112" i="115"/>
  <c r="L112" i="115"/>
  <c r="K112" i="115"/>
  <c r="N111" i="115"/>
  <c r="M111" i="115"/>
  <c r="L111" i="115"/>
  <c r="K111" i="115"/>
  <c r="N110" i="115"/>
  <c r="M110" i="115"/>
  <c r="L110" i="115"/>
  <c r="K110" i="115"/>
  <c r="N109" i="115"/>
  <c r="M109" i="115"/>
  <c r="L109" i="115"/>
  <c r="K109" i="115"/>
  <c r="N108" i="115"/>
  <c r="M108" i="115"/>
  <c r="L108" i="115"/>
  <c r="K108" i="115"/>
  <c r="N107" i="115"/>
  <c r="M107" i="115"/>
  <c r="L107" i="115"/>
  <c r="K107" i="115"/>
  <c r="N106" i="115"/>
  <c r="M106" i="115"/>
  <c r="L106" i="115"/>
  <c r="K106" i="115"/>
  <c r="N105" i="115"/>
  <c r="M105" i="115"/>
  <c r="L105" i="115"/>
  <c r="K105" i="115"/>
  <c r="N104" i="115"/>
  <c r="M104" i="115"/>
  <c r="L104" i="115"/>
  <c r="K104" i="115"/>
  <c r="N103" i="115"/>
  <c r="M103" i="115"/>
  <c r="L103" i="115"/>
  <c r="K103" i="115"/>
  <c r="N102" i="115"/>
  <c r="M102" i="115"/>
  <c r="L102" i="115"/>
  <c r="K102" i="115"/>
  <c r="N101" i="115"/>
  <c r="M101" i="115"/>
  <c r="L101" i="115"/>
  <c r="K101" i="115"/>
  <c r="N100" i="115"/>
  <c r="M100" i="115"/>
  <c r="L100" i="115"/>
  <c r="K100" i="115"/>
  <c r="N99" i="115"/>
  <c r="M99" i="115"/>
  <c r="L99" i="115"/>
  <c r="K99" i="115"/>
  <c r="N98" i="115"/>
  <c r="M98" i="115"/>
  <c r="L98" i="115"/>
  <c r="K98" i="115"/>
  <c r="N97" i="115"/>
  <c r="M97" i="115"/>
  <c r="L97" i="115"/>
  <c r="K97" i="115"/>
  <c r="N96" i="115"/>
  <c r="M96" i="115"/>
  <c r="L96" i="115"/>
  <c r="K96" i="115"/>
  <c r="N95" i="115"/>
  <c r="M95" i="115"/>
  <c r="L95" i="115"/>
  <c r="K95" i="115"/>
  <c r="N94" i="115"/>
  <c r="M94" i="115"/>
  <c r="L94" i="115"/>
  <c r="K94" i="115"/>
  <c r="N93" i="115"/>
  <c r="M93" i="115"/>
  <c r="L93" i="115"/>
  <c r="K93" i="115"/>
  <c r="N92" i="115"/>
  <c r="M92" i="115"/>
  <c r="L92" i="115"/>
  <c r="K92" i="115"/>
  <c r="N91" i="115"/>
  <c r="M91" i="115"/>
  <c r="L91" i="115"/>
  <c r="K91" i="115"/>
  <c r="N90" i="115"/>
  <c r="M90" i="115"/>
  <c r="L90" i="115"/>
  <c r="K90" i="115"/>
  <c r="N89" i="115"/>
  <c r="M89" i="115"/>
  <c r="L89" i="115"/>
  <c r="K89" i="115"/>
  <c r="N88" i="115"/>
  <c r="M88" i="115"/>
  <c r="L88" i="115"/>
  <c r="K88" i="115"/>
  <c r="N87" i="115"/>
  <c r="M87" i="115"/>
  <c r="L87" i="115"/>
  <c r="K87" i="115"/>
  <c r="N86" i="115"/>
  <c r="M86" i="115"/>
  <c r="L86" i="115"/>
  <c r="K86" i="115"/>
  <c r="N85" i="115"/>
  <c r="M85" i="115"/>
  <c r="L85" i="115"/>
  <c r="K85" i="115"/>
  <c r="N84" i="115"/>
  <c r="M84" i="115"/>
  <c r="L84" i="115"/>
  <c r="K84" i="115"/>
  <c r="N83" i="115"/>
  <c r="M83" i="115"/>
  <c r="L83" i="115"/>
  <c r="K83" i="115"/>
  <c r="N82" i="115"/>
  <c r="M82" i="115"/>
  <c r="L82" i="115"/>
  <c r="K82" i="115"/>
  <c r="N81" i="115"/>
  <c r="M81" i="115"/>
  <c r="L81" i="115"/>
  <c r="K81" i="115"/>
  <c r="N80" i="115"/>
  <c r="M80" i="115"/>
  <c r="L80" i="115"/>
  <c r="K80" i="115"/>
  <c r="N79" i="115"/>
  <c r="M79" i="115"/>
  <c r="L79" i="115"/>
  <c r="K79" i="115"/>
  <c r="N78" i="115"/>
  <c r="M78" i="115"/>
  <c r="L78" i="115"/>
  <c r="K78" i="115"/>
  <c r="N77" i="115"/>
  <c r="M77" i="115"/>
  <c r="L77" i="115"/>
  <c r="K77" i="115"/>
  <c r="N76" i="115"/>
  <c r="M76" i="115"/>
  <c r="L76" i="115"/>
  <c r="K76" i="115"/>
  <c r="N75" i="115"/>
  <c r="M75" i="115"/>
  <c r="L75" i="115"/>
  <c r="K75" i="115"/>
  <c r="N74" i="115"/>
  <c r="M74" i="115"/>
  <c r="L74" i="115"/>
  <c r="K74" i="115"/>
  <c r="N73" i="115"/>
  <c r="M73" i="115"/>
  <c r="L73" i="115"/>
  <c r="K73" i="115"/>
  <c r="N72" i="115"/>
  <c r="M72" i="115"/>
  <c r="L72" i="115"/>
  <c r="K72" i="115"/>
  <c r="N71" i="115"/>
  <c r="M71" i="115"/>
  <c r="L71" i="115"/>
  <c r="K71" i="115"/>
  <c r="N70" i="115"/>
  <c r="M70" i="115"/>
  <c r="L70" i="115"/>
  <c r="K70" i="115"/>
  <c r="N69" i="115"/>
  <c r="M69" i="115"/>
  <c r="L69" i="115"/>
  <c r="K69" i="115"/>
  <c r="N68" i="115"/>
  <c r="M68" i="115"/>
  <c r="L68" i="115"/>
  <c r="K68" i="115"/>
  <c r="N67" i="115"/>
  <c r="M67" i="115"/>
  <c r="L67" i="115"/>
  <c r="K67" i="115"/>
  <c r="N66" i="115"/>
  <c r="M66" i="115"/>
  <c r="L66" i="115"/>
  <c r="K66" i="115"/>
  <c r="N65" i="115"/>
  <c r="M65" i="115"/>
  <c r="L65" i="115"/>
  <c r="K65" i="115"/>
  <c r="N64" i="115"/>
  <c r="M64" i="115"/>
  <c r="L64" i="115"/>
  <c r="K64" i="115"/>
  <c r="N63" i="115"/>
  <c r="M63" i="115"/>
  <c r="L63" i="115"/>
  <c r="K63" i="115"/>
  <c r="N62" i="115"/>
  <c r="M62" i="115"/>
  <c r="L62" i="115"/>
  <c r="K62" i="115"/>
  <c r="N61" i="115"/>
  <c r="M61" i="115"/>
  <c r="L61" i="115"/>
  <c r="K61" i="115"/>
  <c r="N60" i="115"/>
  <c r="M60" i="115"/>
  <c r="L60" i="115"/>
  <c r="K60" i="115"/>
  <c r="N59" i="115"/>
  <c r="M59" i="115"/>
  <c r="L59" i="115"/>
  <c r="K59" i="115"/>
  <c r="N58" i="115"/>
  <c r="M58" i="115"/>
  <c r="L58" i="115"/>
  <c r="K58" i="115"/>
  <c r="N57" i="115"/>
  <c r="M57" i="115"/>
  <c r="L57" i="115"/>
  <c r="K57" i="115"/>
  <c r="N56" i="115"/>
  <c r="M56" i="115"/>
  <c r="L56" i="115"/>
  <c r="K56" i="115"/>
  <c r="N55" i="115"/>
  <c r="M55" i="115"/>
  <c r="L55" i="115"/>
  <c r="K55" i="115"/>
  <c r="N54" i="115"/>
  <c r="M54" i="115"/>
  <c r="L54" i="115"/>
  <c r="K54" i="115"/>
  <c r="N53" i="115"/>
  <c r="M53" i="115"/>
  <c r="L53" i="115"/>
  <c r="K53" i="115"/>
  <c r="N52" i="115"/>
  <c r="M52" i="115"/>
  <c r="L52" i="115"/>
  <c r="K52" i="115"/>
  <c r="N51" i="115"/>
  <c r="M51" i="115"/>
  <c r="L51" i="115"/>
  <c r="K51" i="115"/>
  <c r="N50" i="115"/>
  <c r="M50" i="115"/>
  <c r="L50" i="115"/>
  <c r="K50" i="115"/>
  <c r="N49" i="115"/>
  <c r="M49" i="115"/>
  <c r="L49" i="115"/>
  <c r="K49" i="115"/>
  <c r="N48" i="115"/>
  <c r="M48" i="115"/>
  <c r="L48" i="115"/>
  <c r="K48" i="115"/>
  <c r="N47" i="115"/>
  <c r="M47" i="115"/>
  <c r="L47" i="115"/>
  <c r="K47" i="115"/>
  <c r="N46" i="115"/>
  <c r="M46" i="115"/>
  <c r="L46" i="115"/>
  <c r="K46" i="115"/>
  <c r="N45" i="115"/>
  <c r="M45" i="115"/>
  <c r="L45" i="115"/>
  <c r="K45" i="115"/>
  <c r="N44" i="115"/>
  <c r="M44" i="115"/>
  <c r="L44" i="115"/>
  <c r="K44" i="115"/>
  <c r="N43" i="115"/>
  <c r="M43" i="115"/>
  <c r="L43" i="115"/>
  <c r="K43" i="115"/>
  <c r="N42" i="115"/>
  <c r="M42" i="115"/>
  <c r="L42" i="115"/>
  <c r="K42" i="115"/>
  <c r="N41" i="115"/>
  <c r="M41" i="115"/>
  <c r="L41" i="115"/>
  <c r="K41" i="115"/>
  <c r="N40" i="115"/>
  <c r="M40" i="115"/>
  <c r="L40" i="115"/>
  <c r="K40" i="115"/>
  <c r="N39" i="115"/>
  <c r="M39" i="115"/>
  <c r="L39" i="115"/>
  <c r="K39" i="115"/>
  <c r="N38" i="115"/>
  <c r="M38" i="115"/>
  <c r="L38" i="115"/>
  <c r="K38" i="115"/>
  <c r="N37" i="115"/>
  <c r="M37" i="115"/>
  <c r="L37" i="115"/>
  <c r="K37" i="115"/>
  <c r="N36" i="115"/>
  <c r="M36" i="115"/>
  <c r="L36" i="115"/>
  <c r="K36" i="115"/>
  <c r="N35" i="115"/>
  <c r="M35" i="115"/>
  <c r="L35" i="115"/>
  <c r="K35" i="115"/>
  <c r="N34" i="115"/>
  <c r="M34" i="115"/>
  <c r="L34" i="115"/>
  <c r="K34" i="115"/>
  <c r="N33" i="115"/>
  <c r="M33" i="115"/>
  <c r="L33" i="115"/>
  <c r="K33" i="115"/>
  <c r="N32" i="115"/>
  <c r="M32" i="115"/>
  <c r="L32" i="115"/>
  <c r="K32" i="115"/>
  <c r="N31" i="115"/>
  <c r="M31" i="115"/>
  <c r="L31" i="115"/>
  <c r="K31" i="115"/>
  <c r="N30" i="115"/>
  <c r="M30" i="115"/>
  <c r="L30" i="115"/>
  <c r="K30" i="115"/>
  <c r="N29" i="115"/>
  <c r="M29" i="115"/>
  <c r="L29" i="115"/>
  <c r="K29" i="115"/>
  <c r="N28" i="115"/>
  <c r="M28" i="115"/>
  <c r="L28" i="115"/>
  <c r="K28" i="115"/>
  <c r="N27" i="115"/>
  <c r="M27" i="115"/>
  <c r="L27" i="115"/>
  <c r="K27" i="115"/>
  <c r="N26" i="115"/>
  <c r="M26" i="115"/>
  <c r="L26" i="115"/>
  <c r="K26" i="115"/>
  <c r="N25" i="115"/>
  <c r="M25" i="115"/>
  <c r="L25" i="115"/>
  <c r="K25" i="115"/>
  <c r="N24" i="115"/>
  <c r="M24" i="115"/>
  <c r="L24" i="115"/>
  <c r="K24" i="115"/>
  <c r="N23" i="115"/>
  <c r="M23" i="115"/>
  <c r="L23" i="115"/>
  <c r="K23" i="115"/>
  <c r="N22" i="115"/>
  <c r="M22" i="115"/>
  <c r="L22" i="115"/>
  <c r="K22" i="115"/>
  <c r="N21" i="115"/>
  <c r="M21" i="115"/>
  <c r="L21" i="115"/>
  <c r="K21" i="115"/>
  <c r="N20" i="115"/>
  <c r="M20" i="115"/>
  <c r="L20" i="115"/>
  <c r="K20" i="115"/>
  <c r="N19" i="115"/>
  <c r="M19" i="115"/>
  <c r="L19" i="115"/>
  <c r="K19" i="115"/>
  <c r="N18" i="115"/>
  <c r="M18" i="115"/>
  <c r="L18" i="115"/>
  <c r="K18" i="115"/>
  <c r="N17" i="115"/>
  <c r="M17" i="115"/>
  <c r="L17" i="115"/>
  <c r="K17" i="115"/>
  <c r="N16" i="115"/>
  <c r="M16" i="115"/>
  <c r="L16" i="115"/>
  <c r="K16" i="115"/>
  <c r="N15" i="115"/>
  <c r="M15" i="115"/>
  <c r="L15" i="115"/>
  <c r="K15" i="115"/>
  <c r="N14" i="115"/>
  <c r="M14" i="115"/>
  <c r="L14" i="115"/>
  <c r="K14" i="115"/>
  <c r="N13" i="115"/>
  <c r="M13" i="115"/>
  <c r="L13" i="115"/>
  <c r="K13" i="115"/>
  <c r="N12" i="115"/>
  <c r="M12" i="115"/>
  <c r="L12" i="115"/>
  <c r="K12" i="115"/>
  <c r="N11" i="115"/>
  <c r="M11" i="115"/>
  <c r="L11" i="115"/>
  <c r="K11" i="115"/>
  <c r="N10" i="115"/>
  <c r="M10" i="115"/>
  <c r="L10" i="115"/>
  <c r="K10" i="115"/>
  <c r="N9" i="115"/>
  <c r="M9" i="115"/>
  <c r="L9" i="115"/>
  <c r="K9" i="115"/>
  <c r="N8" i="115"/>
  <c r="M8" i="115"/>
  <c r="L8" i="115"/>
  <c r="K8" i="115"/>
  <c r="N7" i="115"/>
  <c r="M7" i="115"/>
  <c r="L7" i="115"/>
  <c r="K7" i="115"/>
  <c r="N6" i="115"/>
  <c r="M6" i="115"/>
  <c r="L6" i="115"/>
  <c r="K6" i="115"/>
  <c r="N5" i="115"/>
  <c r="M5" i="115"/>
  <c r="L5" i="115"/>
  <c r="K5" i="115"/>
  <c r="N4" i="115"/>
  <c r="M4" i="115"/>
  <c r="L4" i="115"/>
  <c r="K4" i="115"/>
  <c r="N3" i="115"/>
  <c r="M3" i="115"/>
  <c r="L3" i="115"/>
  <c r="K3" i="115"/>
  <c r="N2" i="115"/>
  <c r="M2" i="115"/>
  <c r="L2" i="115"/>
  <c r="K2" i="115"/>
  <c r="M2" i="14" l="1"/>
  <c r="L2" i="14" l="1"/>
  <c r="O2" i="14"/>
  <c r="N2" i="14"/>
  <c r="C62" i="2"/>
  <c r="C61" i="2"/>
  <c r="C60" i="2"/>
  <c r="C59" i="2"/>
  <c r="C56" i="2"/>
  <c r="C55" i="2"/>
  <c r="C54" i="2"/>
  <c r="C53" i="2"/>
  <c r="C44" i="2"/>
  <c r="C43" i="2"/>
  <c r="C42" i="2"/>
  <c r="C41" i="2"/>
  <c r="C40" i="2"/>
  <c r="C39" i="2"/>
  <c r="C36" i="2"/>
  <c r="C35" i="2"/>
  <c r="C32" i="2"/>
  <c r="C31" i="2"/>
  <c r="C30" i="2"/>
  <c r="C29" i="2"/>
  <c r="C28" i="2"/>
  <c r="C27" i="2"/>
  <c r="C24" i="2"/>
  <c r="C23" i="2"/>
  <c r="C3" i="2"/>
  <c r="C2" i="2"/>
  <c r="C4" i="2"/>
  <c r="C5" i="2"/>
  <c r="C6" i="2"/>
  <c r="C9" i="2"/>
  <c r="C10" i="2"/>
  <c r="C17" i="2"/>
  <c r="AF9" i="2"/>
  <c r="AB17" i="2"/>
  <c r="AC17" i="2"/>
  <c r="AB15" i="2"/>
  <c r="AC15" i="2" s="1"/>
  <c r="AB14" i="2"/>
  <c r="AB16" i="2" s="1"/>
  <c r="AB11" i="2"/>
  <c r="AC10" i="2"/>
</calcChain>
</file>

<file path=xl/sharedStrings.xml><?xml version="1.0" encoding="utf-8"?>
<sst xmlns="http://schemas.openxmlformats.org/spreadsheetml/2006/main" count="16644" uniqueCount="186">
  <si>
    <t>NT</t>
  </si>
  <si>
    <t>Stim1</t>
  </si>
  <si>
    <t>Stim2</t>
  </si>
  <si>
    <t>Stim3</t>
  </si>
  <si>
    <t>Stim4</t>
  </si>
  <si>
    <t>Stim5</t>
  </si>
  <si>
    <t>Stim6</t>
  </si>
  <si>
    <t>Stim7</t>
  </si>
  <si>
    <t>Stim8</t>
  </si>
  <si>
    <t>repeat</t>
  </si>
  <si>
    <t>switch</t>
  </si>
  <si>
    <t>64 trials</t>
  </si>
  <si>
    <t>trials per condition</t>
  </si>
  <si>
    <t>(fillers still to add)</t>
  </si>
  <si>
    <t>Set1</t>
  </si>
  <si>
    <t>Set2</t>
  </si>
  <si>
    <t>Set3</t>
  </si>
  <si>
    <t>Set4</t>
  </si>
  <si>
    <t>for each seq of 16 I need 8 fillers</t>
  </si>
  <si>
    <t xml:space="preserve"> </t>
  </si>
  <si>
    <t>Set</t>
  </si>
  <si>
    <t>Each word appears X1 per condition</t>
  </si>
  <si>
    <t>Target</t>
  </si>
  <si>
    <t>Modality</t>
  </si>
  <si>
    <t>Rep_Sw</t>
  </si>
  <si>
    <t>BREAK</t>
  </si>
  <si>
    <t>Fillers for Set 1 --&gt; Set 3</t>
  </si>
  <si>
    <t>Fillers for Set 3 --&gt; Set 2</t>
  </si>
  <si>
    <t>Stimulus</t>
  </si>
  <si>
    <t>F</t>
  </si>
  <si>
    <t>Equal number oF T &amp; S Fillers throughout the list</t>
  </si>
  <si>
    <t>Does it make any difference if the "block" ends in a target trial and not a filler?</t>
  </si>
  <si>
    <t>muñeca</t>
  </si>
  <si>
    <t>cazador</t>
  </si>
  <si>
    <t>falda</t>
  </si>
  <si>
    <t>cartero</t>
  </si>
  <si>
    <t>mano</t>
  </si>
  <si>
    <t>conejo</t>
  </si>
  <si>
    <t>miel</t>
  </si>
  <si>
    <t>camisa</t>
  </si>
  <si>
    <t>T</t>
  </si>
  <si>
    <t>nontarget</t>
  </si>
  <si>
    <t>filler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</si>
  <si>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</si>
  <si>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</si>
  <si>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</si>
  <si>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</si>
  <si>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</si>
  <si>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</si>
  <si>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</si>
  <si>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</si>
  <si>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Stim8_Set2</t>
  </si>
  <si>
    <t>Stim7_Set2</t>
  </si>
  <si>
    <t>Stim6_Set2</t>
  </si>
  <si>
    <t>Stim5_Set2</t>
  </si>
  <si>
    <t>Stim4_Set2</t>
  </si>
  <si>
    <t>Stim3_Set2</t>
  </si>
  <si>
    <t>Stim2_Set2</t>
  </si>
  <si>
    <t>Stim1_Set2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</si>
  <si>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</si>
  <si>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</si>
  <si>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</si>
  <si>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</si>
  <si>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</si>
  <si>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</si>
  <si>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</si>
  <si>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</si>
  <si>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Stim8_Set4</t>
  </si>
  <si>
    <t>Stim7_Set4</t>
  </si>
  <si>
    <t>Stim6_Set4</t>
  </si>
  <si>
    <t>Stim5_Set4</t>
  </si>
  <si>
    <t>Stim4_Set4</t>
  </si>
  <si>
    <t>Stim3_Set4</t>
  </si>
  <si>
    <t>Stim2_Set4</t>
  </si>
  <si>
    <t>Stim1_Set4</t>
  </si>
  <si>
    <t>sequence</t>
  </si>
  <si>
    <t>modality</t>
  </si>
  <si>
    <t>target</t>
  </si>
  <si>
    <t>repSwitch</t>
  </si>
  <si>
    <t>stimulus</t>
  </si>
  <si>
    <t>speak</t>
  </si>
  <si>
    <t>type</t>
  </si>
  <si>
    <t>When calculating that you have 50% image repetition or image change you only count the 1st image of each pair.</t>
  </si>
  <si>
    <t>set</t>
  </si>
  <si>
    <t>Fillers for Set 2 --&gt; Set 1</t>
  </si>
  <si>
    <t>Fillers for Set 4 --&gt; Set 3</t>
  </si>
  <si>
    <t>(1 1)</t>
  </si>
  <si>
    <t>(2 2)</t>
  </si>
  <si>
    <t>(1 2)</t>
  </si>
  <si>
    <t>(2 1)</t>
  </si>
  <si>
    <t>(1 1) Repeat Type</t>
  </si>
  <si>
    <t>(2 2) Repeat Speak</t>
  </si>
  <si>
    <t>(1 2) Switch Type Speak</t>
  </si>
  <si>
    <t>(2 1) Switch Speak Type</t>
  </si>
  <si>
    <t>Stim5_Set5</t>
  </si>
  <si>
    <t>order1</t>
  </si>
  <si>
    <t>order2</t>
  </si>
  <si>
    <t>order3</t>
  </si>
  <si>
    <t>order4</t>
  </si>
  <si>
    <t>type_filler</t>
  </si>
  <si>
    <t>speak_filler</t>
  </si>
  <si>
    <t>Sequence</t>
  </si>
  <si>
    <t>vaso</t>
  </si>
  <si>
    <t>caracol</t>
  </si>
  <si>
    <t>pintor</t>
  </si>
  <si>
    <t>puente</t>
  </si>
  <si>
    <t>pavo</t>
  </si>
  <si>
    <t>aguja</t>
  </si>
  <si>
    <t>granja</t>
  </si>
  <si>
    <t>vaca</t>
  </si>
  <si>
    <t>iglesia</t>
  </si>
  <si>
    <t>fresa</t>
  </si>
  <si>
    <t>bombero</t>
  </si>
  <si>
    <t>cuerda</t>
  </si>
  <si>
    <t>manzana</t>
  </si>
  <si>
    <t>guante</t>
  </si>
  <si>
    <t>oveja</t>
  </si>
  <si>
    <t>baño</t>
  </si>
  <si>
    <t>pierna</t>
  </si>
  <si>
    <t>boca</t>
  </si>
  <si>
    <t>Picture</t>
  </si>
  <si>
    <t>oreja</t>
  </si>
  <si>
    <t>pulpo</t>
  </si>
  <si>
    <t>traje</t>
  </si>
  <si>
    <t>goma</t>
  </si>
  <si>
    <t>braga</t>
  </si>
  <si>
    <t>puerta</t>
  </si>
  <si>
    <t>here</t>
  </si>
  <si>
    <t>Additions</t>
  </si>
  <si>
    <t>Picture2</t>
  </si>
  <si>
    <t>Picture3</t>
  </si>
  <si>
    <t>Picture4</t>
  </si>
  <si>
    <t>espalda</t>
  </si>
  <si>
    <t>cerdo</t>
  </si>
  <si>
    <t>regalo</t>
  </si>
  <si>
    <t>taza</t>
  </si>
  <si>
    <t>trial</t>
  </si>
  <si>
    <t>Previous_modality_same</t>
  </si>
  <si>
    <t>Next_item_same_item</t>
  </si>
  <si>
    <t>Previous_is_target</t>
  </si>
  <si>
    <t>baseline</t>
  </si>
  <si>
    <t>Previous_is_filler</t>
  </si>
  <si>
    <t>break</t>
  </si>
  <si>
    <t>Row Labels</t>
  </si>
  <si>
    <t>Grand Total</t>
  </si>
  <si>
    <t>Count of modality</t>
  </si>
  <si>
    <t>Count of Previous_modality_same</t>
  </si>
  <si>
    <t>Column Labels</t>
  </si>
  <si>
    <t>0 Total</t>
  </si>
  <si>
    <t>1 Total</t>
  </si>
  <si>
    <t>no</t>
  </si>
  <si>
    <t>yes</t>
  </si>
  <si>
    <t>(blank)</t>
  </si>
  <si>
    <t>Count of stimulus</t>
  </si>
  <si>
    <t>1 = break</t>
  </si>
  <si>
    <t>yes/no</t>
  </si>
  <si>
    <t>Count of trial</t>
  </si>
  <si>
    <t>block</t>
  </si>
  <si>
    <t>2 breaks + 1st trial of the list</t>
  </si>
  <si>
    <t>missing Stim2_Set4</t>
  </si>
  <si>
    <t>missing Stim7_Set4</t>
  </si>
  <si>
    <t>missing Stim8_Set4</t>
  </si>
  <si>
    <t>Missing</t>
  </si>
  <si>
    <t>missing Stim3_Set3</t>
  </si>
  <si>
    <t>missing Stim5_Set1</t>
  </si>
  <si>
    <t>missing Stim6_Set3</t>
  </si>
  <si>
    <t>missing Stim5_Set2+3+4</t>
  </si>
  <si>
    <t>missing Stim8_Set2+3+4</t>
  </si>
  <si>
    <t>missing Stim7_Set1+2</t>
  </si>
  <si>
    <t>missing Stim1_Set1+4</t>
  </si>
  <si>
    <t>missing Stim2_Set1+4</t>
  </si>
  <si>
    <t>missing Stim3_Set2</t>
  </si>
  <si>
    <t>missing Stim5_Set1+3</t>
  </si>
  <si>
    <t>missing Stim8_Set1+3</t>
  </si>
  <si>
    <t>missing Stim6_Set2+4</t>
  </si>
  <si>
    <t>missing Stim1_Set 2+3+4</t>
  </si>
  <si>
    <t>missing Stim2_Set2+3</t>
  </si>
  <si>
    <t>missing Stim4_Set1+2+4</t>
  </si>
  <si>
    <t>missing Stim3_Set1+3</t>
  </si>
  <si>
    <t>total 13</t>
  </si>
  <si>
    <t>total 10</t>
  </si>
  <si>
    <r>
      <t xml:space="preserve">missing </t>
    </r>
    <r>
      <rPr>
        <b/>
        <sz val="11"/>
        <color rgb="FF000000"/>
        <rFont val="Calibri"/>
        <family val="2"/>
        <charset val="161"/>
      </rPr>
      <t>Stim4_Set1</t>
    </r>
    <r>
      <rPr>
        <sz val="11"/>
        <color rgb="FF000000"/>
        <rFont val="Calibri"/>
        <family val="2"/>
        <charset val="161"/>
      </rPr>
      <t>+2+4</t>
    </r>
  </si>
  <si>
    <r>
      <t>missing Stim3_Set2</t>
    </r>
    <r>
      <rPr>
        <sz val="11"/>
        <color rgb="FF000000"/>
        <rFont val="Calibri"/>
        <family val="2"/>
        <charset val="161"/>
      </rPr>
      <t>+4</t>
    </r>
  </si>
  <si>
    <r>
      <rPr>
        <sz val="11"/>
        <color rgb="FF000000"/>
        <rFont val="Calibri"/>
        <family val="2"/>
        <charset val="161"/>
      </rPr>
      <t>missing Stim6_Set1+</t>
    </r>
    <r>
      <rPr>
        <b/>
        <sz val="11"/>
        <color rgb="FF000000"/>
        <rFont val="Calibri"/>
        <family val="2"/>
        <charset val="161"/>
      </rPr>
      <t>4</t>
    </r>
  </si>
  <si>
    <t>baseline_condition</t>
  </si>
  <si>
    <t>Fillers for Set 1 --&gt; Set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</si>
</sst>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family val="2"/>
      <charset val="161"/>
    </font>
    <font>
      <sz val="11"/>
      <color theme="1"/>
      <name val="Calibri"/>
      <family val="2"/>
      <charset val="161"/>
    </font>
    <font>
      <sz val="8"/>
      <name val="Calibri"/>
      <family val="2"/>
      <charset val="161"/>
    </font>
    <font>
      <b/>
      <sz val="11"/>
      <color rgb="FF000000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</font>
    <font>
      <sz val="11"/>
      <color rgb="FFFF4747"/>
      <name val="Calibri"/>
      <family val="2"/>
      <charset val="161"/>
    </font>
    <font>
      <sz val="11"/>
      <color rgb="FFFF0000"/>
      <name val="Calibri"/>
      <family val="2"/>
      <charset val="161"/>
    </font>
    <font>
      <b/>
      <sz val="11"/>
      <color rgb="FFFF0000"/>
      <name val="Calibri"/>
      <family val="2"/>
      <charset val="161"/>
    </font>
    <font>
      <sz val="11"/>
      <name val="Calibri"/>
      <family val="2"/>
      <charset val="161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B8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7" tint="0.59999389629810485"/>
        <bgColor theme="6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theme="6" tint="0.79998168889431442"/>
      </patternFill>
    </fill>
    <fill>
      <patternFill patternType="solid">
        <fgColor rgb="FF00B050"/>
        <bgColor theme="6" tint="0.79998168889431442"/>
      </patternFill>
    </fill>
    <fill>
      <patternFill patternType="solid">
        <fgColor rgb="FFFFC000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6" tint="0.79998168889431442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C00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6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6" borderId="0" xfId="0" applyFont="1" applyFill="1"/>
    <xf numFmtId="0" fontId="0" fillId="8" borderId="0" xfId="0" applyFill="1"/>
    <xf numFmtId="0" fontId="7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0" borderId="1" xfId="0" applyFont="1" applyBorder="1"/>
    <xf numFmtId="0" fontId="8" fillId="6" borderId="0" xfId="0" applyFont="1" applyFill="1"/>
    <xf numFmtId="0" fontId="9" fillId="0" borderId="0" xfId="0" applyFont="1"/>
    <xf numFmtId="0" fontId="8" fillId="7" borderId="0" xfId="0" applyFont="1" applyFill="1"/>
    <xf numFmtId="0" fontId="8" fillId="0" borderId="0" xfId="0" applyFont="1"/>
    <xf numFmtId="0" fontId="8" fillId="4" borderId="0" xfId="0" applyFont="1" applyFill="1"/>
    <xf numFmtId="0" fontId="5" fillId="9" borderId="0" xfId="0" applyFont="1" applyFill="1"/>
    <xf numFmtId="0" fontId="6" fillId="9" borderId="0" xfId="0" applyFont="1" applyFill="1"/>
    <xf numFmtId="0" fontId="1" fillId="9" borderId="0" xfId="0" applyFont="1" applyFill="1"/>
    <xf numFmtId="0" fontId="5" fillId="6" borderId="1" xfId="0" applyFont="1" applyFill="1" applyBorder="1"/>
    <xf numFmtId="0" fontId="5" fillId="5" borderId="1" xfId="0" applyFont="1" applyFill="1" applyBorder="1"/>
    <xf numFmtId="0" fontId="6" fillId="11" borderId="0" xfId="0" applyFont="1" applyFill="1"/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8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0" fillId="6" borderId="0" xfId="0" applyFont="1" applyFill="1"/>
    <xf numFmtId="0" fontId="11" fillId="6" borderId="0" xfId="0" applyFont="1" applyFill="1"/>
    <xf numFmtId="0" fontId="12" fillId="0" borderId="1" xfId="0" applyFont="1" applyBorder="1"/>
    <xf numFmtId="0" fontId="3" fillId="1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14" borderId="0" xfId="0" applyFont="1" applyFill="1"/>
    <xf numFmtId="0" fontId="11" fillId="1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2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2" xfId="0" applyFont="1" applyBorder="1"/>
    <xf numFmtId="0" fontId="12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0" xfId="0" applyFont="1"/>
    <xf numFmtId="0" fontId="12" fillId="1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9" borderId="0" xfId="0" applyFont="1" applyFill="1"/>
    <xf numFmtId="0" fontId="11" fillId="8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1" fillId="17" borderId="0" xfId="0" applyFont="1" applyFill="1" applyAlignment="1">
      <alignment horizontal="center"/>
    </xf>
    <xf numFmtId="0" fontId="11" fillId="16" borderId="0" xfId="0" applyFont="1" applyFill="1"/>
    <xf numFmtId="0" fontId="11" fillId="3" borderId="0" xfId="0" applyFont="1" applyFill="1" applyAlignment="1">
      <alignment horizontal="center"/>
    </xf>
    <xf numFmtId="0" fontId="12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11" fillId="15" borderId="0" xfId="0" applyFont="1" applyFill="1"/>
    <xf numFmtId="0" fontId="11" fillId="4" borderId="0" xfId="0" applyFont="1" applyFill="1" applyAlignment="1">
      <alignment horizontal="center"/>
    </xf>
    <xf numFmtId="0" fontId="12" fillId="23" borderId="0" xfId="0" applyFont="1" applyFill="1" applyAlignment="1">
      <alignment horizontal="center"/>
    </xf>
    <xf numFmtId="0" fontId="11" fillId="23" borderId="0" xfId="0" applyFont="1" applyFill="1" applyAlignment="1">
      <alignment horizontal="center"/>
    </xf>
    <xf numFmtId="0" fontId="11" fillId="23" borderId="0" xfId="0" applyFont="1" applyFill="1"/>
    <xf numFmtId="0" fontId="12" fillId="18" borderId="0" xfId="0" applyFont="1" applyFill="1" applyAlignment="1">
      <alignment horizontal="center"/>
    </xf>
    <xf numFmtId="0" fontId="11" fillId="18" borderId="0" xfId="0" applyFont="1" applyFill="1" applyAlignment="1">
      <alignment horizontal="center"/>
    </xf>
    <xf numFmtId="0" fontId="11" fillId="18" borderId="0" xfId="0" applyFont="1" applyFill="1"/>
    <xf numFmtId="0" fontId="11" fillId="5" borderId="0" xfId="0" applyFont="1" applyFill="1" applyAlignment="1">
      <alignment horizontal="center"/>
    </xf>
    <xf numFmtId="0" fontId="13" fillId="21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0" fontId="11" fillId="20" borderId="0" xfId="0" applyFont="1" applyFill="1"/>
    <xf numFmtId="0" fontId="11" fillId="11" borderId="0" xfId="0" applyFont="1" applyFill="1" applyAlignment="1">
      <alignment horizontal="center"/>
    </xf>
    <xf numFmtId="0" fontId="11" fillId="22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1" fillId="12" borderId="0" xfId="0" applyFont="1" applyFill="1"/>
    <xf numFmtId="0" fontId="11" fillId="19" borderId="0" xfId="0" applyFont="1" applyFill="1"/>
    <xf numFmtId="0" fontId="11" fillId="16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14" fillId="9" borderId="0" xfId="0" applyFont="1" applyFill="1"/>
    <xf numFmtId="0" fontId="12" fillId="11" borderId="0" xfId="0" applyFont="1" applyFill="1" applyAlignment="1">
      <alignment horizontal="center"/>
    </xf>
    <xf numFmtId="0" fontId="14" fillId="21" borderId="0" xfId="0" applyFont="1" applyFill="1" applyAlignment="1">
      <alignment horizontal="center"/>
    </xf>
    <xf numFmtId="0" fontId="0" fillId="17" borderId="0" xfId="0" applyFill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 customBuiltin="1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theme="0" tint="-0.14999847407452621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theme="6" tint="0.79998168889431442"/>
          <bgColor auto="1"/>
        </patternFill>
      </fill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4FB8FF"/>
        </patternFill>
      </fill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theme="6" tint="0.79998168889431442"/>
          <bgColor theme="6" tint="0.79998168889431442"/>
        </patternFill>
      </fill>
    </dxf>
    <dxf>
      <border outline="0">
        <top style="thin">
          <color theme="6"/>
        </top>
        <bottom style="thin">
          <color theme="6"/>
        </bottom>
      </border>
    </dxf>
    <dxf>
      <border outline="0">
        <bottom style="thin">
          <color theme="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colors>
    <mruColors>
      <color rgb="FFFF4747"/>
      <color rgb="FF4FB8FF"/>
      <color rgb="FFFF0D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5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5.587716550923" createdVersion="8" refreshedVersion="8" minRefreshableVersion="3" recordCount="404" xr:uid="{825FCDEC-704F-4B8E-B6F1-C52239F90301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4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5.587783449075" createdVersion="8" refreshedVersion="8" minRefreshableVersion="3" recordCount="404" xr:uid="{218C045B-6BF9-416F-8C4C-5966392A5E0D}">
  <cacheSource type="worksheet">
    <worksheetSource name="Table1214"/>
  </cacheSource>
  <cacheFields count="14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4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6.61313622685" createdVersion="8" refreshedVersion="8" minRefreshableVersion="3" recordCount="405" xr:uid="{09656523-133E-4157-B29B-B4FB4784EC54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 containsBlank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 count="2">
        <n v="0"/>
        <n v="1"/>
      </sharedItems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 count="2">
        <n v="0"/>
        <n v="1"/>
      </sharedItems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6.613163773145" createdVersion="8" refreshedVersion="8" minRefreshableVersion="3" recordCount="405" xr:uid="{F7AAC383-0011-43C2-80D8-299BA2563DB9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 count="33">
        <m/>
        <s v="Stim1_Set1"/>
        <s v="Stim1_Set4"/>
        <s v="Stim2_Set1"/>
        <s v="Stim2_Set4"/>
        <s v="Stim3_Set1"/>
        <s v="Stim5_Set4"/>
        <s v="Stim4_Set1"/>
        <s v="Stim3_Set4"/>
        <s v="Stim5_Set1"/>
        <s v="Stim4_Set4"/>
        <s v="Stim6_Set1"/>
        <s v="Stim7_Set4"/>
        <s v="Stim7_Set1"/>
        <s v="Stim6_Set4"/>
        <s v="Stim8_Set4"/>
        <s v="Stim8_Set1"/>
        <s v="Stim1_Set2"/>
        <s v="Stim2_Set2"/>
        <s v="Stim3_Set2"/>
        <s v="Stim4_Set2"/>
        <s v="Stim5_Set2"/>
        <s v="Stim6_Set2"/>
        <s v="Stim7_Set2"/>
        <s v="Stim8_Set2"/>
        <s v="Stim1_Set3"/>
        <s v="Stim2_Set3"/>
        <s v="Stim3_Set3"/>
        <s v="Stim4_Set3"/>
        <s v="Stim5_Set3"/>
        <s v="Stim6_Set3"/>
        <s v="Stim7_Set3"/>
        <s v="Stim8_Set3"/>
      </sharedItems>
    </cacheField>
    <cacheField name="Additions" numFmtId="0">
      <sharedItems containsBlank="1"/>
    </cacheField>
    <cacheField name="baseline" numFmtId="0">
      <sharedItems containsBlank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6.613256481483" createdVersion="8" refreshedVersion="8" minRefreshableVersion="3" recordCount="405" xr:uid="{5049E654-B6FB-4085-8D76-0115EC9F548F}">
  <cacheSource type="worksheet">
    <worksheetSource name="Table1214"/>
  </cacheSource>
  <cacheFields count="15">
    <cacheField name="set" numFmtId="0">
      <sharedItems containsMixedTypes="1" containsNumber="1" containsInteger="1" minValue="1" maxValue="4" count="5">
        <n v="1"/>
        <n v="2"/>
        <n v="3"/>
        <n v="4"/>
        <s v="BREAK"/>
      </sharedItems>
    </cacheField>
    <cacheField name="block" numFmtId="0">
      <sharedItems containsString="0" containsBlank="1" containsNumber="1" containsInteger="1" minValue="1" maxValue="4" count="5">
        <n v="1"/>
        <m/>
        <n v="2"/>
        <n v="3"/>
        <n v="4"/>
      </sharedItems>
    </cacheField>
    <cacheField name="trial" numFmtId="0">
      <sharedItems containsSemiMixedTypes="0" containsString="0" containsNumber="1" containsInteger="1" minValue="1" maxValue="405"/>
    </cacheField>
    <cacheField name="sequence" numFmtId="0">
      <sharedItems containsString="0" containsBlank="1" containsNumber="1" containsInteger="1" minValue="1" maxValue="2"/>
    </cacheField>
    <cacheField name="modality" numFmtId="0">
      <sharedItems/>
    </cacheField>
    <cacheField name="target" numFmtId="0">
      <sharedItems/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 containsBlank="1"/>
    </cacheField>
    <cacheField name="baseline_condition" numFmtId="0">
      <sharedItems containsBlank="1"/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rina Tsaroucha" refreshedDate="45126.615431365739" createdVersion="8" refreshedVersion="8" minRefreshableVersion="3" recordCount="405" xr:uid="{9586D888-0423-4834-B869-A3530F5AE3BA}">
  <cacheSource type="worksheet">
    <worksheetSource name="Table1214"/>
  </cacheSource>
  <cacheFields count="15">
    <cacheField name="set" numFmtId="0">
      <sharedItems containsMixedTypes="1" containsNumber="1" containsInteger="1" minValue="1" maxValue="4"/>
    </cacheField>
    <cacheField name="block" numFmtId="0">
      <sharedItems containsString="0" containsBlank="1" containsNumber="1" containsInteger="1" minValue="1" maxValue="4"/>
    </cacheField>
    <cacheField name="trial" numFmtId="0">
      <sharedItems containsSemiMixedTypes="0" containsString="0" containsNumber="1" containsInteger="1" minValue="1" maxValue="405"/>
    </cacheField>
    <cacheField name="sequence" numFmtId="0">
      <sharedItems containsString="0" containsBlank="1" containsNumber="1" containsInteger="1" minValue="1" maxValue="2"/>
    </cacheField>
    <cacheField name="modality" numFmtId="0">
      <sharedItems count="3">
        <s v="speak"/>
        <s v="type"/>
        <s v="break"/>
      </sharedItems>
    </cacheField>
    <cacheField name="target" numFmtId="0">
      <sharedItems count="4">
        <s v="F"/>
        <s v="NT"/>
        <s v="T"/>
        <s v="break"/>
      </sharedItems>
    </cacheField>
    <cacheField name="repSwitch" numFmtId="0">
      <sharedItems containsBlank="1"/>
    </cacheField>
    <cacheField name="stimulus" numFmtId="0">
      <sharedItems containsBlank="1"/>
    </cacheField>
    <cacheField name="Additions" numFmtId="0">
      <sharedItems containsBlank="1"/>
    </cacheField>
    <cacheField name="baseline" numFmtId="0">
      <sharedItems containsSemiMixedTypes="0" containsString="0" containsNumber="1" containsInteger="1" minValue="0" maxValue="1" count="2">
        <n v="0"/>
        <n v="1"/>
      </sharedItems>
    </cacheField>
    <cacheField name="baseline_condition" numFmtId="0">
      <sharedItems containsBlank="1" count="3">
        <m/>
        <s v="repeat"/>
        <s v="switch"/>
      </sharedItems>
    </cacheField>
    <cacheField name="Previous_modality_same" numFmtId="0">
      <sharedItems containsSemiMixedTypes="0" containsString="0" containsNumber="1" containsInteger="1" minValue="0" maxValue="1"/>
    </cacheField>
    <cacheField name="Next_item_same_item" numFmtId="0">
      <sharedItems containsSemiMixedTypes="0" containsString="0" containsNumber="1" containsInteger="1" minValue="0" maxValue="1"/>
    </cacheField>
    <cacheField name="Previous_is_target" numFmtId="0">
      <sharedItems containsSemiMixedTypes="0" containsString="0" containsNumber="1" containsInteger="1" minValue="0" maxValue="1"/>
    </cacheField>
    <cacheField name="Previous_is_fill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1"/>
    <n v="1"/>
    <n v="1"/>
    <n v="2"/>
    <x v="0"/>
    <s v="F"/>
    <s v="filler"/>
    <m/>
    <s v="here"/>
    <s v="no"/>
    <n v="0"/>
    <n v="0"/>
    <n v="0"/>
    <n v="0"/>
  </r>
  <r>
    <n v="1"/>
    <n v="1"/>
    <n v="2"/>
    <n v="2"/>
    <x v="0"/>
    <s v="NT"/>
    <s v="nontarget"/>
    <s v="Stim1_Set1"/>
    <m/>
    <s v="yes"/>
    <n v="1"/>
    <n v="1"/>
    <n v="0"/>
    <n v="1"/>
  </r>
  <r>
    <n v="1"/>
    <n v="1"/>
    <n v="3"/>
    <n v="2"/>
    <x v="0"/>
    <s v="T"/>
    <s v="repeat"/>
    <s v="Stim1_Set1"/>
    <m/>
    <s v="no"/>
    <n v="1"/>
    <n v="0"/>
    <n v="0"/>
    <n v="0"/>
  </r>
  <r>
    <n v="1"/>
    <n v="1"/>
    <n v="4"/>
    <n v="1"/>
    <x v="1"/>
    <s v="F"/>
    <s v="filler"/>
    <s v="Stim1_Set4"/>
    <m/>
    <s v="no"/>
    <n v="0"/>
    <n v="0"/>
    <n v="1"/>
    <n v="0"/>
  </r>
  <r>
    <n v="1"/>
    <n v="1"/>
    <n v="5"/>
    <n v="2"/>
    <x v="0"/>
    <s v="NT"/>
    <s v="nontarget"/>
    <s v="Stim2_Set1"/>
    <m/>
    <s v="yes"/>
    <n v="0"/>
    <n v="1"/>
    <n v="0"/>
    <n v="1"/>
  </r>
  <r>
    <n v="1"/>
    <n v="1"/>
    <n v="6"/>
    <n v="2"/>
    <x v="0"/>
    <s v="T"/>
    <s v="repeat"/>
    <s v="Stim2_Set1"/>
    <m/>
    <s v="no"/>
    <n v="1"/>
    <n v="0"/>
    <n v="0"/>
    <n v="0"/>
  </r>
  <r>
    <n v="1"/>
    <n v="1"/>
    <n v="7"/>
    <n v="1"/>
    <x v="1"/>
    <s v="F"/>
    <s v="filler"/>
    <s v="Stim2_Set4"/>
    <m/>
    <s v="no"/>
    <n v="0"/>
    <n v="0"/>
    <n v="1"/>
    <n v="0"/>
  </r>
  <r>
    <n v="1"/>
    <n v="1"/>
    <n v="8"/>
    <n v="2"/>
    <x v="0"/>
    <s v="NT"/>
    <s v="nontarget"/>
    <s v="Stim3_Set1"/>
    <m/>
    <s v="yes"/>
    <n v="0"/>
    <n v="1"/>
    <n v="0"/>
    <n v="1"/>
  </r>
  <r>
    <n v="1"/>
    <n v="1"/>
    <n v="9"/>
    <n v="1"/>
    <x v="1"/>
    <s v="T"/>
    <s v="switch"/>
    <s v="Stim3_Set1"/>
    <m/>
    <s v="no"/>
    <n v="0"/>
    <n v="0"/>
    <n v="0"/>
    <n v="0"/>
  </r>
  <r>
    <n v="1"/>
    <n v="1"/>
    <n v="10"/>
    <n v="2"/>
    <x v="0"/>
    <s v="F"/>
    <s v="filler"/>
    <s v="Stim5_Set4"/>
    <m/>
    <s v="no"/>
    <n v="0"/>
    <n v="0"/>
    <n v="1"/>
    <n v="0"/>
  </r>
  <r>
    <n v="1"/>
    <n v="1"/>
    <n v="11"/>
    <n v="1"/>
    <x v="1"/>
    <s v="NT"/>
    <s v="nontarget"/>
    <s v="Stim4_Set1"/>
    <m/>
    <s v="yes"/>
    <n v="0"/>
    <n v="1"/>
    <n v="0"/>
    <n v="1"/>
  </r>
  <r>
    <n v="1"/>
    <n v="1"/>
    <n v="12"/>
    <n v="2"/>
    <x v="0"/>
    <s v="T"/>
    <s v="switch"/>
    <s v="Stim4_Set1"/>
    <m/>
    <s v="no"/>
    <n v="0"/>
    <n v="0"/>
    <n v="0"/>
    <n v="0"/>
  </r>
  <r>
    <n v="1"/>
    <n v="1"/>
    <n v="13"/>
    <n v="2"/>
    <x v="0"/>
    <s v="F"/>
    <s v="filler"/>
    <s v="Stim3_Set4"/>
    <m/>
    <s v="no"/>
    <n v="1"/>
    <n v="0"/>
    <n v="1"/>
    <n v="0"/>
  </r>
  <r>
    <n v="1"/>
    <n v="1"/>
    <n v="14"/>
    <n v="2"/>
    <x v="0"/>
    <s v="NT"/>
    <s v="nontarget"/>
    <s v="Stim5_Set1"/>
    <m/>
    <s v="yes"/>
    <n v="1"/>
    <n v="1"/>
    <n v="0"/>
    <n v="1"/>
  </r>
  <r>
    <n v="1"/>
    <n v="1"/>
    <n v="15"/>
    <n v="1"/>
    <x v="1"/>
    <s v="T"/>
    <s v="switch"/>
    <s v="Stim5_Set1"/>
    <m/>
    <s v="no"/>
    <n v="0"/>
    <n v="0"/>
    <n v="0"/>
    <n v="0"/>
  </r>
  <r>
    <n v="1"/>
    <n v="1"/>
    <n v="16"/>
    <n v="2"/>
    <x v="0"/>
    <s v="F"/>
    <s v="filler"/>
    <s v="Stim4_Set4"/>
    <m/>
    <s v="no"/>
    <n v="0"/>
    <n v="0"/>
    <n v="1"/>
    <n v="0"/>
  </r>
  <r>
    <n v="1"/>
    <n v="1"/>
    <n v="17"/>
    <n v="1"/>
    <x v="1"/>
    <s v="NT"/>
    <s v="nontarget"/>
    <s v="Stim6_Set1"/>
    <m/>
    <s v="yes"/>
    <n v="0"/>
    <n v="1"/>
    <n v="0"/>
    <n v="1"/>
  </r>
  <r>
    <n v="1"/>
    <n v="1"/>
    <n v="18"/>
    <n v="1"/>
    <x v="1"/>
    <s v="T"/>
    <s v="repeat"/>
    <s v="Stim6_Set1"/>
    <m/>
    <s v="no"/>
    <n v="1"/>
    <n v="0"/>
    <n v="0"/>
    <n v="0"/>
  </r>
  <r>
    <n v="1"/>
    <n v="1"/>
    <n v="19"/>
    <n v="1"/>
    <x v="1"/>
    <s v="F"/>
    <s v="filler"/>
    <s v="Stim7_Set4"/>
    <m/>
    <s v="no"/>
    <n v="1"/>
    <n v="0"/>
    <n v="1"/>
    <n v="0"/>
  </r>
  <r>
    <n v="1"/>
    <n v="1"/>
    <n v="20"/>
    <n v="1"/>
    <x v="1"/>
    <s v="NT"/>
    <s v="nontarget"/>
    <s v="Stim7_Set1"/>
    <m/>
    <s v="yes"/>
    <n v="1"/>
    <n v="1"/>
    <n v="0"/>
    <n v="1"/>
  </r>
  <r>
    <n v="1"/>
    <n v="1"/>
    <n v="21"/>
    <n v="1"/>
    <x v="1"/>
    <s v="T"/>
    <s v="repeat"/>
    <s v="Stim7_Set1"/>
    <m/>
    <s v="no"/>
    <n v="1"/>
    <n v="0"/>
    <n v="0"/>
    <n v="0"/>
  </r>
  <r>
    <n v="1"/>
    <n v="1"/>
    <n v="22"/>
    <n v="2"/>
    <x v="0"/>
    <s v="F"/>
    <s v="filler"/>
    <s v="Stim6_Set4"/>
    <m/>
    <s v="no"/>
    <n v="0"/>
    <n v="0"/>
    <n v="1"/>
    <n v="0"/>
  </r>
  <r>
    <n v="1"/>
    <n v="1"/>
    <n v="23"/>
    <n v="1"/>
    <x v="1"/>
    <s v="F"/>
    <s v="filler"/>
    <s v="Stim8_Set4"/>
    <m/>
    <s v="yes"/>
    <n v="0"/>
    <n v="0"/>
    <n v="0"/>
    <n v="1"/>
  </r>
  <r>
    <n v="1"/>
    <n v="1"/>
    <n v="24"/>
    <n v="1"/>
    <x v="1"/>
    <s v="NT"/>
    <s v="nontarget"/>
    <s v="Stim8_Set1"/>
    <m/>
    <s v="yes"/>
    <n v="1"/>
    <n v="1"/>
    <n v="0"/>
    <n v="1"/>
  </r>
  <r>
    <n v="1"/>
    <n v="1"/>
    <n v="25"/>
    <n v="2"/>
    <x v="0"/>
    <s v="T"/>
    <s v="switch"/>
    <s v="Stim8_Set1"/>
    <m/>
    <s v="no"/>
    <n v="0"/>
    <n v="0"/>
    <n v="0"/>
    <n v="0"/>
  </r>
  <r>
    <n v="2"/>
    <n v="1"/>
    <n v="26"/>
    <n v="2"/>
    <x v="0"/>
    <s v="F"/>
    <s v="filler"/>
    <s v="Stim1_Set1"/>
    <m/>
    <s v="no"/>
    <n v="1"/>
    <n v="0"/>
    <n v="1"/>
    <n v="0"/>
  </r>
  <r>
    <n v="2"/>
    <n v="1"/>
    <n v="27"/>
    <n v="1"/>
    <x v="1"/>
    <s v="NT"/>
    <s v="nontarget"/>
    <s v="Stim1_Set2"/>
    <m/>
    <s v="yes"/>
    <n v="0"/>
    <n v="1"/>
    <n v="0"/>
    <n v="1"/>
  </r>
  <r>
    <n v="2"/>
    <n v="1"/>
    <n v="28"/>
    <n v="1"/>
    <x v="1"/>
    <s v="T"/>
    <s v="repeat"/>
    <s v="Stim1_Set2"/>
    <m/>
    <s v="no"/>
    <n v="1"/>
    <n v="0"/>
    <n v="0"/>
    <n v="0"/>
  </r>
  <r>
    <n v="2"/>
    <n v="1"/>
    <n v="29"/>
    <n v="2"/>
    <x v="0"/>
    <s v="F"/>
    <s v="filler"/>
    <s v="Stim2_Set1"/>
    <m/>
    <s v="no"/>
    <n v="0"/>
    <n v="0"/>
    <n v="1"/>
    <n v="0"/>
  </r>
  <r>
    <n v="2"/>
    <n v="1"/>
    <n v="30"/>
    <n v="1"/>
    <x v="1"/>
    <s v="NT"/>
    <s v="nontarget"/>
    <s v="Stim2_Set2"/>
    <m/>
    <s v="yes"/>
    <n v="0"/>
    <n v="1"/>
    <n v="0"/>
    <n v="1"/>
  </r>
  <r>
    <n v="2"/>
    <n v="1"/>
    <n v="31"/>
    <n v="1"/>
    <x v="1"/>
    <s v="T"/>
    <s v="repeat"/>
    <s v="Stim2_Set2"/>
    <m/>
    <s v="no"/>
    <n v="1"/>
    <n v="0"/>
    <n v="0"/>
    <n v="0"/>
  </r>
  <r>
    <n v="2"/>
    <n v="1"/>
    <n v="32"/>
    <n v="2"/>
    <x v="0"/>
    <s v="F"/>
    <s v="filler"/>
    <s v="Stim4_Set1"/>
    <m/>
    <s v="no"/>
    <n v="0"/>
    <n v="0"/>
    <n v="1"/>
    <n v="0"/>
  </r>
  <r>
    <n v="2"/>
    <n v="1"/>
    <n v="33"/>
    <n v="1"/>
    <x v="1"/>
    <s v="NT"/>
    <s v="nontarget"/>
    <s v="Stim3_Set2"/>
    <m/>
    <s v="yes"/>
    <n v="0"/>
    <n v="1"/>
    <n v="0"/>
    <n v="1"/>
  </r>
  <r>
    <n v="2"/>
    <n v="1"/>
    <n v="34"/>
    <n v="2"/>
    <x v="0"/>
    <s v="T"/>
    <s v="switch"/>
    <s v="Stim3_Set2"/>
    <m/>
    <s v="no"/>
    <n v="0"/>
    <n v="0"/>
    <n v="0"/>
    <n v="0"/>
  </r>
  <r>
    <n v="2"/>
    <n v="1"/>
    <n v="35"/>
    <n v="2"/>
    <x v="0"/>
    <s v="NT"/>
    <s v="nontarget"/>
    <s v="Stim4_Set2"/>
    <m/>
    <s v="yes"/>
    <n v="1"/>
    <n v="1"/>
    <n v="1"/>
    <n v="0"/>
  </r>
  <r>
    <n v="2"/>
    <n v="1"/>
    <n v="36"/>
    <n v="1"/>
    <x v="1"/>
    <s v="T"/>
    <s v="switch"/>
    <s v="Stim4_Set2"/>
    <m/>
    <s v="no"/>
    <n v="0"/>
    <n v="0"/>
    <n v="0"/>
    <n v="0"/>
  </r>
  <r>
    <n v="2"/>
    <n v="1"/>
    <n v="37"/>
    <n v="1"/>
    <x v="1"/>
    <s v="F"/>
    <s v="filler"/>
    <s v="Stim3_Set1"/>
    <m/>
    <s v="no"/>
    <n v="1"/>
    <n v="0"/>
    <n v="1"/>
    <n v="0"/>
  </r>
  <r>
    <n v="2"/>
    <n v="1"/>
    <n v="38"/>
    <n v="1"/>
    <x v="1"/>
    <s v="NT"/>
    <s v="nontarget"/>
    <s v="Stim5_Set2"/>
    <m/>
    <s v="yes"/>
    <n v="1"/>
    <n v="1"/>
    <n v="0"/>
    <n v="1"/>
  </r>
  <r>
    <n v="2"/>
    <n v="1"/>
    <n v="39"/>
    <n v="2"/>
    <x v="0"/>
    <s v="T"/>
    <s v="switch"/>
    <s v="Stim5_Set2"/>
    <m/>
    <s v="no"/>
    <n v="0"/>
    <n v="0"/>
    <n v="0"/>
    <n v="0"/>
  </r>
  <r>
    <n v="2"/>
    <n v="1"/>
    <n v="40"/>
    <n v="1"/>
    <x v="1"/>
    <s v="F"/>
    <s v="filler"/>
    <s v="Stim7_Set1"/>
    <m/>
    <s v="no"/>
    <n v="0"/>
    <n v="0"/>
    <n v="1"/>
    <n v="0"/>
  </r>
  <r>
    <n v="2"/>
    <n v="1"/>
    <n v="41"/>
    <n v="2"/>
    <x v="0"/>
    <s v="F"/>
    <s v="filler"/>
    <s v="Stim5_Set1"/>
    <m/>
    <s v="yes"/>
    <n v="0"/>
    <n v="0"/>
    <n v="0"/>
    <n v="1"/>
  </r>
  <r>
    <n v="2"/>
    <n v="1"/>
    <n v="42"/>
    <n v="2"/>
    <x v="0"/>
    <s v="NT"/>
    <s v="nontarget"/>
    <s v="Stim6_Set2"/>
    <m/>
    <s v="yes"/>
    <n v="1"/>
    <n v="1"/>
    <n v="0"/>
    <n v="1"/>
  </r>
  <r>
    <n v="2"/>
    <n v="1"/>
    <n v="43"/>
    <n v="2"/>
    <x v="0"/>
    <s v="T"/>
    <s v="repeat"/>
    <s v="Stim6_Set2"/>
    <m/>
    <s v="no"/>
    <n v="1"/>
    <n v="0"/>
    <n v="0"/>
    <n v="0"/>
  </r>
  <r>
    <n v="2"/>
    <n v="1"/>
    <n v="44"/>
    <n v="1"/>
    <x v="1"/>
    <s v="F"/>
    <s v="filler"/>
    <s v="Stim6_Set1"/>
    <m/>
    <s v="no"/>
    <n v="0"/>
    <n v="0"/>
    <n v="1"/>
    <n v="0"/>
  </r>
  <r>
    <n v="2"/>
    <n v="1"/>
    <n v="45"/>
    <n v="2"/>
    <x v="0"/>
    <s v="NT"/>
    <s v="nontarget"/>
    <s v="Stim7_Set2"/>
    <m/>
    <s v="yes"/>
    <n v="0"/>
    <n v="1"/>
    <n v="0"/>
    <n v="1"/>
  </r>
  <r>
    <n v="2"/>
    <n v="1"/>
    <n v="46"/>
    <n v="2"/>
    <x v="0"/>
    <s v="T"/>
    <s v="repeat"/>
    <s v="Stim7_Set2"/>
    <m/>
    <s v="no"/>
    <n v="1"/>
    <n v="0"/>
    <n v="0"/>
    <n v="0"/>
  </r>
  <r>
    <n v="2"/>
    <n v="1"/>
    <n v="47"/>
    <n v="1"/>
    <x v="1"/>
    <s v="F"/>
    <s v="filler"/>
    <m/>
    <s v="here"/>
    <s v="no"/>
    <n v="0"/>
    <n v="0"/>
    <n v="1"/>
    <n v="0"/>
  </r>
  <r>
    <n v="2"/>
    <n v="1"/>
    <n v="48"/>
    <n v="2"/>
    <x v="0"/>
    <s v="F"/>
    <s v="filler"/>
    <s v="Stim8_Set1"/>
    <m/>
    <s v="no"/>
    <n v="0"/>
    <n v="0"/>
    <n v="0"/>
    <n v="1"/>
  </r>
  <r>
    <n v="2"/>
    <n v="1"/>
    <n v="49"/>
    <n v="2"/>
    <x v="0"/>
    <s v="NT"/>
    <s v="nontarget"/>
    <s v="Stim8_Set2"/>
    <m/>
    <s v="yes"/>
    <n v="1"/>
    <n v="1"/>
    <n v="0"/>
    <n v="1"/>
  </r>
  <r>
    <n v="2"/>
    <n v="1"/>
    <n v="50"/>
    <n v="1"/>
    <x v="1"/>
    <s v="T"/>
    <s v="switch"/>
    <s v="Stim8_Set2"/>
    <m/>
    <s v="no"/>
    <n v="0"/>
    <n v="0"/>
    <n v="0"/>
    <n v="0"/>
  </r>
  <r>
    <n v="3"/>
    <n v="1"/>
    <n v="51"/>
    <n v="1"/>
    <x v="1"/>
    <s v="NT"/>
    <s v="nontarget"/>
    <s v="Stim1_Set3"/>
    <m/>
    <s v="yes"/>
    <n v="1"/>
    <n v="1"/>
    <n v="1"/>
    <n v="0"/>
  </r>
  <r>
    <n v="3"/>
    <n v="1"/>
    <n v="52"/>
    <n v="2"/>
    <x v="0"/>
    <s v="T"/>
    <s v="switch"/>
    <s v="Stim1_Set3"/>
    <m/>
    <s v="no"/>
    <n v="0"/>
    <n v="0"/>
    <n v="0"/>
    <n v="0"/>
  </r>
  <r>
    <n v="3"/>
    <n v="1"/>
    <n v="53"/>
    <n v="2"/>
    <x v="0"/>
    <s v="F"/>
    <s v="filler"/>
    <m/>
    <s v="here"/>
    <s v="no"/>
    <n v="1"/>
    <n v="0"/>
    <n v="1"/>
    <n v="0"/>
  </r>
  <r>
    <n v="3"/>
    <n v="1"/>
    <n v="54"/>
    <n v="2"/>
    <x v="0"/>
    <s v="NT"/>
    <s v="nontarget"/>
    <s v="Stim2_Set3"/>
    <m/>
    <s v="yes"/>
    <n v="1"/>
    <n v="1"/>
    <n v="0"/>
    <n v="1"/>
  </r>
  <r>
    <n v="3"/>
    <n v="1"/>
    <n v="55"/>
    <n v="1"/>
    <x v="1"/>
    <s v="T"/>
    <s v="switch"/>
    <s v="Stim2_Set3"/>
    <m/>
    <s v="no"/>
    <n v="0"/>
    <n v="0"/>
    <n v="0"/>
    <n v="0"/>
  </r>
  <r>
    <n v="3"/>
    <n v="1"/>
    <n v="56"/>
    <n v="1"/>
    <x v="1"/>
    <s v="F"/>
    <s v="filler"/>
    <s v="Stim1_Set2"/>
    <m/>
    <s v="no"/>
    <n v="1"/>
    <n v="0"/>
    <n v="1"/>
    <n v="0"/>
  </r>
  <r>
    <n v="3"/>
    <n v="1"/>
    <n v="57"/>
    <n v="1"/>
    <x v="1"/>
    <s v="NT"/>
    <s v="nontarget"/>
    <s v="Stim3_Set3"/>
    <m/>
    <s v="yes"/>
    <n v="1"/>
    <n v="1"/>
    <n v="0"/>
    <n v="1"/>
  </r>
  <r>
    <n v="3"/>
    <n v="1"/>
    <n v="58"/>
    <n v="2"/>
    <x v="0"/>
    <s v="T"/>
    <s v="switch"/>
    <s v="Stim3_Set3"/>
    <m/>
    <s v="no"/>
    <n v="0"/>
    <n v="0"/>
    <n v="0"/>
    <n v="0"/>
  </r>
  <r>
    <n v="3"/>
    <n v="1"/>
    <n v="59"/>
    <n v="2"/>
    <x v="0"/>
    <s v="F"/>
    <s v="filler"/>
    <s v="Stim2_Set2"/>
    <m/>
    <s v="no"/>
    <n v="1"/>
    <n v="0"/>
    <n v="1"/>
    <n v="0"/>
  </r>
  <r>
    <n v="3"/>
    <n v="1"/>
    <n v="60"/>
    <n v="1"/>
    <x v="1"/>
    <s v="F"/>
    <s v="filler"/>
    <s v="Stim4_Set2"/>
    <m/>
    <s v="no"/>
    <n v="0"/>
    <n v="0"/>
    <n v="0"/>
    <n v="1"/>
  </r>
  <r>
    <n v="3"/>
    <n v="1"/>
    <n v="61"/>
    <n v="2"/>
    <x v="0"/>
    <s v="NT"/>
    <s v="nontarget"/>
    <s v="Stim4_Set3"/>
    <m/>
    <s v="yes"/>
    <n v="0"/>
    <n v="1"/>
    <n v="0"/>
    <n v="1"/>
  </r>
  <r>
    <n v="3"/>
    <n v="1"/>
    <n v="62"/>
    <n v="2"/>
    <x v="0"/>
    <s v="T"/>
    <s v="repeat"/>
    <s v="Stim4_Set3"/>
    <m/>
    <s v="no"/>
    <n v="1"/>
    <n v="0"/>
    <n v="0"/>
    <n v="0"/>
  </r>
  <r>
    <n v="3"/>
    <n v="1"/>
    <n v="63"/>
    <n v="1"/>
    <x v="1"/>
    <s v="F"/>
    <s v="filler"/>
    <s v="Stim3_Set2"/>
    <m/>
    <s v="no"/>
    <n v="0"/>
    <n v="0"/>
    <n v="1"/>
    <n v="0"/>
  </r>
  <r>
    <n v="3"/>
    <n v="1"/>
    <n v="64"/>
    <n v="2"/>
    <x v="0"/>
    <s v="F"/>
    <s v="filler"/>
    <s v="Stim5_Set2"/>
    <m/>
    <s v="no"/>
    <n v="0"/>
    <n v="0"/>
    <n v="0"/>
    <n v="1"/>
  </r>
  <r>
    <n v="3"/>
    <n v="1"/>
    <n v="65"/>
    <n v="2"/>
    <x v="0"/>
    <s v="NT"/>
    <s v="nontarget"/>
    <s v="Stim5_Set3"/>
    <m/>
    <s v="yes"/>
    <n v="1"/>
    <n v="1"/>
    <n v="0"/>
    <n v="1"/>
  </r>
  <r>
    <n v="3"/>
    <n v="1"/>
    <n v="66"/>
    <n v="2"/>
    <x v="0"/>
    <s v="T"/>
    <s v="repeat"/>
    <s v="Stim5_Set3"/>
    <m/>
    <s v="no"/>
    <n v="1"/>
    <n v="0"/>
    <n v="0"/>
    <n v="0"/>
  </r>
  <r>
    <n v="3"/>
    <n v="1"/>
    <n v="67"/>
    <n v="1"/>
    <x v="1"/>
    <s v="F"/>
    <s v="filler"/>
    <m/>
    <s v="here"/>
    <s v="no"/>
    <n v="0"/>
    <n v="0"/>
    <n v="1"/>
    <n v="0"/>
  </r>
  <r>
    <n v="3"/>
    <n v="1"/>
    <n v="68"/>
    <n v="2"/>
    <x v="0"/>
    <s v="NT"/>
    <s v="nontarget"/>
    <s v="Stim6_Set3"/>
    <m/>
    <s v="yes"/>
    <n v="0"/>
    <n v="1"/>
    <n v="0"/>
    <n v="1"/>
  </r>
  <r>
    <n v="3"/>
    <n v="1"/>
    <n v="69"/>
    <n v="1"/>
    <x v="1"/>
    <s v="T"/>
    <s v="switch"/>
    <s v="Stim6_Set3"/>
    <m/>
    <s v="no"/>
    <n v="0"/>
    <n v="0"/>
    <n v="0"/>
    <n v="0"/>
  </r>
  <r>
    <n v="3"/>
    <n v="1"/>
    <n v="70"/>
    <n v="2"/>
    <x v="0"/>
    <s v="F"/>
    <s v="filler"/>
    <s v="Stim6_Set2"/>
    <m/>
    <s v="no"/>
    <n v="0"/>
    <n v="0"/>
    <n v="1"/>
    <n v="0"/>
  </r>
  <r>
    <n v="3"/>
    <n v="1"/>
    <n v="71"/>
    <n v="1"/>
    <x v="1"/>
    <s v="NT"/>
    <s v="nontarget"/>
    <s v="Stim7_Set3"/>
    <m/>
    <s v="yes"/>
    <n v="0"/>
    <n v="1"/>
    <n v="0"/>
    <n v="1"/>
  </r>
  <r>
    <n v="3"/>
    <n v="1"/>
    <n v="72"/>
    <n v="1"/>
    <x v="1"/>
    <s v="T"/>
    <s v="repeat"/>
    <s v="Stim7_Set3"/>
    <m/>
    <s v="no"/>
    <n v="1"/>
    <n v="0"/>
    <n v="0"/>
    <n v="0"/>
  </r>
  <r>
    <n v="3"/>
    <n v="1"/>
    <n v="73"/>
    <n v="2"/>
    <x v="0"/>
    <s v="F"/>
    <s v="filler"/>
    <s v="Stim7_Set2"/>
    <m/>
    <s v="no"/>
    <n v="0"/>
    <n v="0"/>
    <n v="1"/>
    <n v="0"/>
  </r>
  <r>
    <n v="3"/>
    <n v="1"/>
    <n v="74"/>
    <n v="1"/>
    <x v="1"/>
    <s v="F"/>
    <s v="filler"/>
    <s v="Stim8_Set2"/>
    <m/>
    <s v="yes"/>
    <n v="0"/>
    <n v="0"/>
    <n v="0"/>
    <n v="1"/>
  </r>
  <r>
    <n v="3"/>
    <n v="1"/>
    <n v="75"/>
    <n v="1"/>
    <x v="1"/>
    <s v="NT"/>
    <s v="nontarget"/>
    <s v="Stim8_Set3"/>
    <m/>
    <s v="yes"/>
    <n v="1"/>
    <n v="1"/>
    <n v="0"/>
    <n v="1"/>
  </r>
  <r>
    <n v="3"/>
    <n v="1"/>
    <n v="76"/>
    <n v="1"/>
    <x v="1"/>
    <s v="T"/>
    <s v="repeat"/>
    <s v="Stim8_Set3"/>
    <m/>
    <s v="no"/>
    <n v="1"/>
    <n v="0"/>
    <n v="0"/>
    <n v="0"/>
  </r>
  <r>
    <n v="4"/>
    <n v="1"/>
    <n v="77"/>
    <n v="2"/>
    <x v="0"/>
    <s v="F"/>
    <s v="filler"/>
    <s v="Stim1_Set3"/>
    <m/>
    <s v="no"/>
    <n v="0"/>
    <n v="0"/>
    <n v="1"/>
    <n v="0"/>
  </r>
  <r>
    <n v="4"/>
    <n v="1"/>
    <n v="78"/>
    <n v="1"/>
    <x v="1"/>
    <s v="NT"/>
    <s v="nontarget"/>
    <s v="Stim1_Set4"/>
    <m/>
    <s v="yes"/>
    <n v="0"/>
    <n v="1"/>
    <n v="0"/>
    <n v="1"/>
  </r>
  <r>
    <n v="4"/>
    <n v="1"/>
    <n v="79"/>
    <n v="1"/>
    <x v="1"/>
    <s v="T"/>
    <s v="repeat"/>
    <s v="Stim1_Set4"/>
    <m/>
    <s v="no"/>
    <n v="1"/>
    <n v="0"/>
    <n v="0"/>
    <n v="0"/>
  </r>
  <r>
    <n v="4"/>
    <n v="1"/>
    <n v="80"/>
    <n v="1"/>
    <x v="1"/>
    <s v="NT"/>
    <s v="nontarget"/>
    <s v="Stim2_Set4"/>
    <m/>
    <s v="yes"/>
    <n v="1"/>
    <n v="1"/>
    <n v="1"/>
    <n v="0"/>
  </r>
  <r>
    <n v="4"/>
    <n v="1"/>
    <n v="81"/>
    <n v="2"/>
    <x v="0"/>
    <s v="T"/>
    <s v="switch"/>
    <s v="Stim2_Set4"/>
    <m/>
    <s v="no"/>
    <n v="0"/>
    <n v="0"/>
    <n v="0"/>
    <n v="0"/>
  </r>
  <r>
    <n v="4"/>
    <n v="1"/>
    <n v="82"/>
    <n v="2"/>
    <x v="0"/>
    <s v="F"/>
    <s v="filler"/>
    <s v="Stim3_Set3"/>
    <m/>
    <s v="no"/>
    <n v="1"/>
    <n v="0"/>
    <n v="1"/>
    <n v="0"/>
  </r>
  <r>
    <n v="4"/>
    <n v="1"/>
    <n v="83"/>
    <n v="1"/>
    <x v="1"/>
    <s v="F"/>
    <s v="filler"/>
    <s v="Stim2_Set3"/>
    <m/>
    <s v="no"/>
    <n v="0"/>
    <n v="0"/>
    <n v="0"/>
    <n v="1"/>
  </r>
  <r>
    <n v="4"/>
    <n v="1"/>
    <n v="84"/>
    <n v="2"/>
    <x v="0"/>
    <s v="NT"/>
    <s v="nontarget"/>
    <s v="Stim3_Set4"/>
    <m/>
    <s v="yes"/>
    <n v="0"/>
    <n v="1"/>
    <n v="0"/>
    <n v="1"/>
  </r>
  <r>
    <n v="4"/>
    <n v="1"/>
    <n v="85"/>
    <n v="2"/>
    <x v="0"/>
    <s v="T"/>
    <s v="repeat"/>
    <s v="Stim3_Set4"/>
    <m/>
    <s v="no"/>
    <n v="1"/>
    <n v="0"/>
    <n v="0"/>
    <n v="0"/>
  </r>
  <r>
    <n v="4"/>
    <n v="1"/>
    <n v="86"/>
    <n v="2"/>
    <x v="0"/>
    <s v="NT"/>
    <s v="nontarget"/>
    <s v="Stim4_Set4"/>
    <m/>
    <s v="yes"/>
    <n v="1"/>
    <n v="1"/>
    <n v="1"/>
    <n v="0"/>
  </r>
  <r>
    <n v="4"/>
    <n v="1"/>
    <n v="87"/>
    <n v="1"/>
    <x v="1"/>
    <s v="T"/>
    <s v="switch"/>
    <s v="Stim4_Set4"/>
    <m/>
    <s v="no"/>
    <n v="0"/>
    <n v="0"/>
    <n v="0"/>
    <n v="0"/>
  </r>
  <r>
    <n v="4"/>
    <n v="1"/>
    <n v="88"/>
    <n v="2"/>
    <x v="0"/>
    <s v="F"/>
    <s v="filler"/>
    <s v="Stim4_Set3"/>
    <m/>
    <s v="no"/>
    <n v="0"/>
    <n v="0"/>
    <n v="1"/>
    <n v="0"/>
  </r>
  <r>
    <n v="4"/>
    <n v="1"/>
    <n v="89"/>
    <n v="1"/>
    <x v="1"/>
    <s v="F"/>
    <s v="filler"/>
    <s v="Stim5_Set3"/>
    <m/>
    <s v="yes"/>
    <n v="0"/>
    <n v="0"/>
    <n v="0"/>
    <n v="1"/>
  </r>
  <r>
    <n v="4"/>
    <n v="1"/>
    <n v="90"/>
    <n v="1"/>
    <x v="1"/>
    <s v="NT"/>
    <s v="nontarget"/>
    <s v="Stim5_Set4"/>
    <m/>
    <s v="yes"/>
    <n v="1"/>
    <n v="1"/>
    <n v="0"/>
    <n v="1"/>
  </r>
  <r>
    <n v="4"/>
    <n v="1"/>
    <n v="91"/>
    <n v="2"/>
    <x v="0"/>
    <s v="T"/>
    <s v="switch"/>
    <s v="Stim5_Set4"/>
    <m/>
    <s v="no"/>
    <n v="0"/>
    <n v="0"/>
    <n v="0"/>
    <n v="0"/>
  </r>
  <r>
    <n v="4"/>
    <n v="1"/>
    <n v="92"/>
    <n v="2"/>
    <x v="0"/>
    <s v="NT"/>
    <s v="nontarget"/>
    <s v="Stim6_Set4"/>
    <m/>
    <s v="yes"/>
    <n v="1"/>
    <n v="1"/>
    <n v="1"/>
    <n v="0"/>
  </r>
  <r>
    <n v="4"/>
    <n v="1"/>
    <n v="93"/>
    <n v="2"/>
    <x v="0"/>
    <s v="T"/>
    <s v="repeat"/>
    <s v="Stim6_Set4"/>
    <m/>
    <s v="no"/>
    <n v="1"/>
    <n v="0"/>
    <n v="0"/>
    <n v="0"/>
  </r>
  <r>
    <n v="4"/>
    <n v="1"/>
    <n v="94"/>
    <n v="1"/>
    <x v="1"/>
    <s v="F"/>
    <s v="filler"/>
    <m/>
    <s v="here"/>
    <s v="no"/>
    <n v="0"/>
    <n v="0"/>
    <n v="1"/>
    <n v="0"/>
  </r>
  <r>
    <n v="4"/>
    <n v="1"/>
    <n v="95"/>
    <n v="2"/>
    <x v="0"/>
    <s v="F"/>
    <s v="filler"/>
    <s v="Stim7_Set3"/>
    <m/>
    <s v="no"/>
    <n v="0"/>
    <n v="0"/>
    <n v="0"/>
    <n v="1"/>
  </r>
  <r>
    <n v="4"/>
    <n v="1"/>
    <n v="96"/>
    <n v="2"/>
    <x v="0"/>
    <s v="NT"/>
    <s v="nontarget"/>
    <s v="Stim7_Set4"/>
    <m/>
    <s v="yes"/>
    <n v="1"/>
    <n v="1"/>
    <n v="0"/>
    <n v="1"/>
  </r>
  <r>
    <n v="4"/>
    <n v="1"/>
    <n v="97"/>
    <n v="1"/>
    <x v="1"/>
    <s v="T"/>
    <s v="switch"/>
    <s v="Stim7_Set4"/>
    <m/>
    <s v="no"/>
    <n v="0"/>
    <n v="0"/>
    <n v="0"/>
    <n v="0"/>
  </r>
  <r>
    <n v="4"/>
    <n v="1"/>
    <n v="98"/>
    <n v="1"/>
    <x v="1"/>
    <s v="NT"/>
    <s v="nontarget"/>
    <s v="Stim8_Set4"/>
    <m/>
    <s v="yes"/>
    <n v="1"/>
    <n v="1"/>
    <n v="1"/>
    <n v="0"/>
  </r>
  <r>
    <n v="4"/>
    <n v="1"/>
    <n v="99"/>
    <n v="1"/>
    <x v="1"/>
    <s v="T"/>
    <s v="repeat"/>
    <s v="Stim8_Set4"/>
    <m/>
    <s v="no"/>
    <n v="1"/>
    <n v="0"/>
    <n v="0"/>
    <n v="0"/>
  </r>
  <r>
    <n v="4"/>
    <n v="1"/>
    <n v="100"/>
    <n v="1"/>
    <x v="0"/>
    <s v="F"/>
    <s v="filler"/>
    <s v="Stim8_Set3"/>
    <m/>
    <s v="no"/>
    <n v="0"/>
    <n v="0"/>
    <n v="1"/>
    <n v="0"/>
  </r>
  <r>
    <n v="4"/>
    <n v="1"/>
    <n v="101"/>
    <n v="1"/>
    <x v="1"/>
    <s v="F"/>
    <s v="filler"/>
    <s v="Stim6_Set3"/>
    <m/>
    <s v="yes"/>
    <n v="0"/>
    <n v="0"/>
    <n v="0"/>
    <n v="1"/>
  </r>
  <r>
    <s v="BREAK"/>
    <m/>
    <n v="102"/>
    <m/>
    <x v="2"/>
    <s v="break"/>
    <m/>
    <m/>
    <m/>
    <s v="no"/>
    <n v="0"/>
    <n v="0"/>
    <n v="0"/>
    <n v="1"/>
  </r>
  <r>
    <n v="1"/>
    <n v="2"/>
    <n v="103"/>
    <n v="2"/>
    <x v="0"/>
    <s v="NT"/>
    <s v="nontarget"/>
    <s v="Stim4_Set1"/>
    <m/>
    <s v="yes"/>
    <n v="0"/>
    <n v="1"/>
    <n v="0"/>
    <n v="0"/>
  </r>
  <r>
    <n v="1"/>
    <n v="2"/>
    <n v="104"/>
    <n v="2"/>
    <x v="0"/>
    <s v="T"/>
    <s v="repeat"/>
    <s v="Stim4_Set1"/>
    <m/>
    <s v="no"/>
    <n v="1"/>
    <n v="0"/>
    <n v="0"/>
    <n v="0"/>
  </r>
  <r>
    <n v="1"/>
    <n v="2"/>
    <n v="105"/>
    <n v="1"/>
    <x v="1"/>
    <s v="F"/>
    <s v="filler"/>
    <s v="Stim3_Set4"/>
    <m/>
    <s v="no"/>
    <n v="0"/>
    <n v="0"/>
    <n v="1"/>
    <n v="0"/>
  </r>
  <r>
    <n v="1"/>
    <n v="2"/>
    <n v="106"/>
    <n v="2"/>
    <x v="0"/>
    <s v="NT"/>
    <s v="nontarget"/>
    <s v="Stim3_Set1"/>
    <m/>
    <s v="yes"/>
    <n v="0"/>
    <n v="1"/>
    <n v="0"/>
    <n v="1"/>
  </r>
  <r>
    <n v="1"/>
    <n v="2"/>
    <n v="107"/>
    <n v="2"/>
    <x v="0"/>
    <s v="T"/>
    <s v="repeat"/>
    <s v="Stim3_Set1"/>
    <m/>
    <s v="no"/>
    <n v="1"/>
    <n v="0"/>
    <n v="0"/>
    <n v="0"/>
  </r>
  <r>
    <n v="1"/>
    <n v="2"/>
    <n v="108"/>
    <n v="1"/>
    <x v="1"/>
    <s v="F"/>
    <s v="filler"/>
    <m/>
    <s v="here"/>
    <s v="no"/>
    <n v="0"/>
    <n v="0"/>
    <n v="1"/>
    <n v="0"/>
  </r>
  <r>
    <n v="1"/>
    <n v="2"/>
    <n v="109"/>
    <n v="2"/>
    <x v="0"/>
    <s v="F"/>
    <s v="filler"/>
    <s v="Stim8_Set4"/>
    <m/>
    <s v="no"/>
    <n v="0"/>
    <n v="0"/>
    <n v="0"/>
    <n v="1"/>
  </r>
  <r>
    <n v="1"/>
    <n v="2"/>
    <n v="110"/>
    <n v="2"/>
    <x v="0"/>
    <s v="NT"/>
    <s v="nontarget"/>
    <s v="Stim6_Set1"/>
    <m/>
    <s v="yes"/>
    <n v="1"/>
    <n v="1"/>
    <n v="0"/>
    <n v="1"/>
  </r>
  <r>
    <n v="1"/>
    <n v="2"/>
    <n v="111"/>
    <n v="1"/>
    <x v="1"/>
    <s v="T"/>
    <s v="switch"/>
    <s v="Stim6_Set1"/>
    <m/>
    <s v="no"/>
    <n v="0"/>
    <n v="0"/>
    <n v="0"/>
    <n v="0"/>
  </r>
  <r>
    <n v="1"/>
    <n v="2"/>
    <n v="112"/>
    <n v="1"/>
    <x v="1"/>
    <s v="F"/>
    <s v="filler"/>
    <s v="Stim4_Set4"/>
    <m/>
    <s v="no"/>
    <n v="1"/>
    <n v="0"/>
    <n v="1"/>
    <n v="0"/>
  </r>
  <r>
    <n v="1"/>
    <n v="2"/>
    <n v="113"/>
    <n v="1"/>
    <x v="1"/>
    <s v="NT"/>
    <s v="nontarget"/>
    <s v="Stim2_Set1"/>
    <m/>
    <s v="yes"/>
    <n v="1"/>
    <n v="1"/>
    <n v="0"/>
    <n v="1"/>
  </r>
  <r>
    <n v="1"/>
    <n v="2"/>
    <n v="114"/>
    <n v="2"/>
    <x v="0"/>
    <s v="T"/>
    <s v="switch"/>
    <s v="Stim2_Set1"/>
    <m/>
    <s v="no"/>
    <n v="0"/>
    <n v="0"/>
    <n v="0"/>
    <n v="0"/>
  </r>
  <r>
    <n v="1"/>
    <n v="2"/>
    <n v="115"/>
    <n v="2"/>
    <x v="0"/>
    <s v="NT"/>
    <s v="nontarget"/>
    <s v="Stim1_Set1"/>
    <m/>
    <s v="yes"/>
    <n v="1"/>
    <n v="1"/>
    <n v="1"/>
    <n v="0"/>
  </r>
  <r>
    <n v="1"/>
    <n v="2"/>
    <n v="116"/>
    <n v="1"/>
    <x v="1"/>
    <s v="T"/>
    <s v="switch"/>
    <s v="Stim1_Set1"/>
    <m/>
    <s v="no"/>
    <n v="0"/>
    <n v="0"/>
    <n v="0"/>
    <n v="0"/>
  </r>
  <r>
    <n v="1"/>
    <n v="2"/>
    <n v="117"/>
    <n v="2"/>
    <x v="0"/>
    <s v="F"/>
    <s v="filler"/>
    <s v="Stim2_Set4"/>
    <m/>
    <s v="no"/>
    <n v="0"/>
    <n v="0"/>
    <n v="1"/>
    <n v="0"/>
  </r>
  <r>
    <n v="1"/>
    <n v="2"/>
    <n v="118"/>
    <n v="1"/>
    <x v="1"/>
    <s v="NT"/>
    <s v="nontarget"/>
    <s v="Stim8_Set1"/>
    <m/>
    <s v="yes"/>
    <n v="0"/>
    <n v="1"/>
    <n v="0"/>
    <n v="1"/>
  </r>
  <r>
    <n v="1"/>
    <n v="2"/>
    <n v="119"/>
    <n v="1"/>
    <x v="1"/>
    <s v="T"/>
    <s v="repeat"/>
    <s v="Stim8_Set1"/>
    <m/>
    <s v="no"/>
    <n v="1"/>
    <n v="0"/>
    <n v="0"/>
    <n v="0"/>
  </r>
  <r>
    <n v="1"/>
    <n v="2"/>
    <n v="120"/>
    <n v="2"/>
    <x v="0"/>
    <s v="F"/>
    <s v="filler"/>
    <s v="Stim7_Set4"/>
    <m/>
    <s v="no"/>
    <n v="0"/>
    <n v="0"/>
    <n v="1"/>
    <n v="0"/>
  </r>
  <r>
    <n v="1"/>
    <n v="2"/>
    <n v="121"/>
    <n v="1"/>
    <x v="1"/>
    <s v="NT"/>
    <s v="nontarget"/>
    <s v="Stim5_Set1"/>
    <m/>
    <s v="yes"/>
    <n v="0"/>
    <n v="1"/>
    <n v="0"/>
    <n v="1"/>
  </r>
  <r>
    <n v="1"/>
    <n v="2"/>
    <n v="122"/>
    <n v="1"/>
    <x v="1"/>
    <s v="T"/>
    <s v="repeat"/>
    <s v="Stim5_Set1"/>
    <m/>
    <s v="no"/>
    <n v="1"/>
    <n v="0"/>
    <n v="0"/>
    <n v="0"/>
  </r>
  <r>
    <n v="1"/>
    <n v="2"/>
    <n v="123"/>
    <n v="2"/>
    <x v="0"/>
    <s v="F"/>
    <s v="filler"/>
    <s v="Stim1_Set4"/>
    <m/>
    <s v="no"/>
    <n v="0"/>
    <n v="0"/>
    <n v="1"/>
    <n v="0"/>
  </r>
  <r>
    <n v="1"/>
    <n v="2"/>
    <n v="124"/>
    <n v="1"/>
    <x v="1"/>
    <s v="F"/>
    <s v="filler"/>
    <s v="Stim6_Set4"/>
    <m/>
    <s v="no"/>
    <n v="0"/>
    <n v="0"/>
    <n v="0"/>
    <n v="1"/>
  </r>
  <r>
    <n v="1"/>
    <n v="2"/>
    <n v="125"/>
    <n v="1"/>
    <x v="1"/>
    <s v="NT"/>
    <s v="nontarget"/>
    <s v="Stim7_Set1"/>
    <m/>
    <s v="yes"/>
    <n v="1"/>
    <n v="1"/>
    <n v="0"/>
    <n v="1"/>
  </r>
  <r>
    <n v="1"/>
    <n v="2"/>
    <n v="126"/>
    <n v="2"/>
    <x v="0"/>
    <s v="T"/>
    <s v="switch"/>
    <s v="Stim7_Set1"/>
    <m/>
    <s v="no"/>
    <n v="0"/>
    <n v="0"/>
    <n v="0"/>
    <n v="0"/>
  </r>
  <r>
    <n v="1"/>
    <n v="2"/>
    <n v="127"/>
    <n v="1"/>
    <x v="1"/>
    <s v="F"/>
    <s v="filler"/>
    <s v="Stim5_Set4"/>
    <m/>
    <s v="no"/>
    <n v="0"/>
    <n v="0"/>
    <n v="1"/>
    <n v="0"/>
  </r>
  <r>
    <n v="2"/>
    <n v="2"/>
    <n v="128"/>
    <n v="1"/>
    <x v="1"/>
    <s v="NT"/>
    <s v="nontarget"/>
    <s v="Stim5_Set2"/>
    <m/>
    <s v="yes"/>
    <n v="1"/>
    <n v="1"/>
    <n v="0"/>
    <n v="1"/>
  </r>
  <r>
    <n v="2"/>
    <n v="2"/>
    <n v="129"/>
    <n v="1"/>
    <x v="1"/>
    <s v="T"/>
    <s v="repeat"/>
    <s v="Stim5_Set2"/>
    <m/>
    <s v="no"/>
    <n v="1"/>
    <n v="0"/>
    <n v="0"/>
    <n v="0"/>
  </r>
  <r>
    <n v="2"/>
    <n v="2"/>
    <n v="130"/>
    <n v="2"/>
    <x v="0"/>
    <s v="F"/>
    <s v="filler"/>
    <s v="Stim4_Set1"/>
    <m/>
    <s v="no"/>
    <n v="0"/>
    <n v="0"/>
    <n v="1"/>
    <n v="0"/>
  </r>
  <r>
    <n v="2"/>
    <n v="2"/>
    <n v="131"/>
    <n v="1"/>
    <x v="1"/>
    <s v="NT"/>
    <s v="nontarget"/>
    <s v="Stim3_Set2"/>
    <m/>
    <s v="yes"/>
    <n v="0"/>
    <n v="1"/>
    <n v="0"/>
    <n v="1"/>
  </r>
  <r>
    <n v="2"/>
    <n v="2"/>
    <n v="132"/>
    <n v="1"/>
    <x v="1"/>
    <s v="T"/>
    <s v="repeat"/>
    <s v="Stim3_Set2"/>
    <m/>
    <s v="no"/>
    <n v="1"/>
    <n v="0"/>
    <n v="0"/>
    <n v="0"/>
  </r>
  <r>
    <n v="2"/>
    <n v="2"/>
    <n v="133"/>
    <n v="1"/>
    <x v="1"/>
    <s v="NT"/>
    <s v="nontarget"/>
    <s v="Stim1_Set2"/>
    <m/>
    <s v="yes"/>
    <n v="1"/>
    <n v="1"/>
    <n v="1"/>
    <n v="0"/>
  </r>
  <r>
    <n v="2"/>
    <n v="2"/>
    <n v="134"/>
    <n v="2"/>
    <x v="0"/>
    <s v="T"/>
    <s v="switch"/>
    <s v="Stim1_Set2"/>
    <m/>
    <s v="no"/>
    <n v="0"/>
    <n v="0"/>
    <n v="0"/>
    <n v="0"/>
  </r>
  <r>
    <n v="2"/>
    <n v="2"/>
    <n v="135"/>
    <n v="2"/>
    <x v="0"/>
    <s v="F"/>
    <s v="filler"/>
    <s v="Stim3_Set1"/>
    <m/>
    <s v="no"/>
    <n v="1"/>
    <n v="0"/>
    <n v="1"/>
    <n v="0"/>
  </r>
  <r>
    <n v="2"/>
    <n v="2"/>
    <n v="136"/>
    <n v="2"/>
    <x v="0"/>
    <s v="NT"/>
    <s v="nontarget"/>
    <s v="Stim7_Set2"/>
    <m/>
    <s v="yes"/>
    <n v="1"/>
    <n v="1"/>
    <n v="0"/>
    <n v="1"/>
  </r>
  <r>
    <n v="2"/>
    <n v="2"/>
    <n v="137"/>
    <n v="1"/>
    <x v="1"/>
    <s v="T"/>
    <s v="switch"/>
    <s v="Stim7_Set2"/>
    <m/>
    <s v="no"/>
    <n v="0"/>
    <n v="0"/>
    <n v="0"/>
    <n v="0"/>
  </r>
  <r>
    <n v="2"/>
    <n v="2"/>
    <n v="138"/>
    <n v="1"/>
    <x v="1"/>
    <s v="NT"/>
    <s v="nontarget"/>
    <s v="Stim2_Set2"/>
    <m/>
    <s v="yes"/>
    <n v="1"/>
    <n v="1"/>
    <n v="1"/>
    <n v="0"/>
  </r>
  <r>
    <n v="2"/>
    <n v="2"/>
    <n v="139"/>
    <n v="2"/>
    <x v="0"/>
    <s v="T"/>
    <s v="switch"/>
    <s v="Stim2_Set2"/>
    <m/>
    <s v="no"/>
    <n v="0"/>
    <n v="0"/>
    <n v="0"/>
    <n v="0"/>
  </r>
  <r>
    <n v="2"/>
    <n v="2"/>
    <n v="140"/>
    <n v="1"/>
    <x v="1"/>
    <s v="F"/>
    <s v="filler"/>
    <s v="Stim6_Set1"/>
    <m/>
    <s v="no"/>
    <n v="0"/>
    <n v="0"/>
    <n v="1"/>
    <n v="0"/>
  </r>
  <r>
    <n v="2"/>
    <n v="2"/>
    <n v="141"/>
    <n v="2"/>
    <x v="0"/>
    <s v="F"/>
    <s v="filler"/>
    <s v="Stim2_Set1"/>
    <m/>
    <s v="no"/>
    <n v="0"/>
    <n v="0"/>
    <n v="0"/>
    <n v="1"/>
  </r>
  <r>
    <n v="2"/>
    <n v="2"/>
    <n v="142"/>
    <n v="1"/>
    <x v="1"/>
    <s v="F"/>
    <s v="filler"/>
    <s v="Stim5_Set1"/>
    <m/>
    <s v="no"/>
    <n v="0"/>
    <n v="0"/>
    <n v="0"/>
    <n v="1"/>
  </r>
  <r>
    <n v="2"/>
    <n v="2"/>
    <n v="143"/>
    <n v="2"/>
    <x v="0"/>
    <s v="NT"/>
    <s v="nontarget"/>
    <s v="Stim4_Set2"/>
    <m/>
    <s v="yes"/>
    <n v="0"/>
    <n v="1"/>
    <n v="0"/>
    <n v="1"/>
  </r>
  <r>
    <n v="2"/>
    <n v="2"/>
    <n v="144"/>
    <n v="2"/>
    <x v="0"/>
    <s v="T"/>
    <s v="repeat"/>
    <s v="Stim4_Set2"/>
    <m/>
    <s v="no"/>
    <n v="1"/>
    <n v="0"/>
    <n v="0"/>
    <n v="0"/>
  </r>
  <r>
    <n v="2"/>
    <n v="2"/>
    <n v="145"/>
    <n v="1"/>
    <x v="1"/>
    <s v="F"/>
    <s v="filler"/>
    <s v="Stim1_Set1"/>
    <m/>
    <s v="no"/>
    <n v="0"/>
    <n v="0"/>
    <n v="1"/>
    <n v="0"/>
  </r>
  <r>
    <n v="2"/>
    <n v="2"/>
    <n v="146"/>
    <n v="2"/>
    <x v="0"/>
    <s v="NT"/>
    <s v="nontarget"/>
    <s v="Stim8_Set2"/>
    <m/>
    <s v="yes"/>
    <n v="0"/>
    <n v="1"/>
    <n v="0"/>
    <n v="1"/>
  </r>
  <r>
    <n v="2"/>
    <n v="2"/>
    <n v="147"/>
    <n v="2"/>
    <x v="0"/>
    <s v="T"/>
    <s v="repeat"/>
    <s v="Stim8_Set2"/>
    <m/>
    <s v="no"/>
    <n v="1"/>
    <n v="0"/>
    <n v="0"/>
    <n v="0"/>
  </r>
  <r>
    <n v="2"/>
    <n v="2"/>
    <n v="148"/>
    <n v="1"/>
    <x v="1"/>
    <s v="F"/>
    <s v="filler"/>
    <s v="Stim8_Set1"/>
    <m/>
    <s v="no"/>
    <n v="0"/>
    <n v="0"/>
    <n v="1"/>
    <n v="0"/>
  </r>
  <r>
    <n v="2"/>
    <n v="2"/>
    <n v="149"/>
    <n v="2"/>
    <x v="0"/>
    <s v="F"/>
    <s v="filler"/>
    <s v="Stim7_Set1"/>
    <m/>
    <s v="no"/>
    <n v="0"/>
    <n v="0"/>
    <n v="0"/>
    <n v="1"/>
  </r>
  <r>
    <n v="2"/>
    <n v="2"/>
    <n v="150"/>
    <n v="2"/>
    <x v="0"/>
    <s v="NT"/>
    <s v="nontarget"/>
    <s v="Stim6_Set2"/>
    <m/>
    <s v="yes"/>
    <n v="1"/>
    <n v="1"/>
    <n v="0"/>
    <n v="1"/>
  </r>
  <r>
    <n v="2"/>
    <n v="2"/>
    <n v="151"/>
    <n v="1"/>
    <x v="1"/>
    <s v="T"/>
    <s v="switch"/>
    <s v="Stim6_Set2"/>
    <m/>
    <s v="no"/>
    <n v="0"/>
    <n v="0"/>
    <n v="0"/>
    <n v="0"/>
  </r>
  <r>
    <n v="3"/>
    <n v="2"/>
    <n v="152"/>
    <n v="1"/>
    <x v="1"/>
    <s v="F"/>
    <s v="filler"/>
    <s v="Stim5_Set2"/>
    <m/>
    <s v="no"/>
    <n v="1"/>
    <n v="0"/>
    <n v="1"/>
    <n v="0"/>
  </r>
  <r>
    <n v="3"/>
    <n v="2"/>
    <n v="153"/>
    <n v="1"/>
    <x v="1"/>
    <s v="NT"/>
    <s v="nontarget"/>
    <s v="Stim6_Set3"/>
    <m/>
    <s v="yes"/>
    <n v="1"/>
    <n v="1"/>
    <n v="0"/>
    <n v="1"/>
  </r>
  <r>
    <n v="3"/>
    <n v="2"/>
    <n v="154"/>
    <n v="2"/>
    <x v="0"/>
    <s v="T"/>
    <s v="switch"/>
    <s v="Stim6_Set3"/>
    <m/>
    <s v="no"/>
    <n v="0"/>
    <n v="0"/>
    <n v="0"/>
    <n v="0"/>
  </r>
  <r>
    <n v="3"/>
    <n v="2"/>
    <n v="155"/>
    <n v="2"/>
    <x v="0"/>
    <s v="F"/>
    <s v="filler"/>
    <s v="Stim3_Set2"/>
    <m/>
    <s v="no"/>
    <n v="1"/>
    <n v="0"/>
    <n v="1"/>
    <n v="0"/>
  </r>
  <r>
    <n v="3"/>
    <n v="2"/>
    <n v="156"/>
    <n v="2"/>
    <x v="0"/>
    <s v="NT"/>
    <s v="nontarget"/>
    <s v="Stim4_Set3"/>
    <m/>
    <s v="yes"/>
    <n v="1"/>
    <n v="1"/>
    <n v="0"/>
    <n v="1"/>
  </r>
  <r>
    <n v="3"/>
    <n v="2"/>
    <n v="157"/>
    <n v="1"/>
    <x v="1"/>
    <s v="T"/>
    <s v="switch"/>
    <s v="Stim4_Set3"/>
    <m/>
    <s v="no"/>
    <n v="0"/>
    <n v="0"/>
    <n v="0"/>
    <n v="0"/>
  </r>
  <r>
    <n v="3"/>
    <n v="2"/>
    <n v="158"/>
    <n v="1"/>
    <x v="1"/>
    <s v="F"/>
    <s v="filler"/>
    <m/>
    <s v="here"/>
    <s v="no"/>
    <n v="1"/>
    <n v="0"/>
    <n v="1"/>
    <n v="0"/>
  </r>
  <r>
    <n v="3"/>
    <n v="2"/>
    <n v="159"/>
    <n v="1"/>
    <x v="1"/>
    <s v="NT"/>
    <s v="nontarget"/>
    <s v="Stim8_Set3"/>
    <m/>
    <s v="yes"/>
    <n v="1"/>
    <n v="1"/>
    <n v="0"/>
    <n v="1"/>
  </r>
  <r>
    <n v="3"/>
    <n v="2"/>
    <n v="160"/>
    <n v="2"/>
    <x v="0"/>
    <s v="T"/>
    <s v="switch"/>
    <s v="Stim8_Set3"/>
    <m/>
    <s v="no"/>
    <n v="0"/>
    <n v="0"/>
    <n v="0"/>
    <n v="0"/>
  </r>
  <r>
    <n v="3"/>
    <n v="2"/>
    <n v="161"/>
    <n v="1"/>
    <x v="1"/>
    <s v="F"/>
    <s v="filler"/>
    <s v="Stim1_Set2"/>
    <m/>
    <s v="no"/>
    <n v="0"/>
    <n v="0"/>
    <n v="1"/>
    <n v="0"/>
  </r>
  <r>
    <n v="3"/>
    <n v="2"/>
    <n v="162"/>
    <n v="2"/>
    <x v="0"/>
    <s v="NT"/>
    <s v="nontarget"/>
    <s v="Stim7_Set3"/>
    <m/>
    <s v="yes"/>
    <n v="0"/>
    <n v="1"/>
    <n v="0"/>
    <n v="1"/>
  </r>
  <r>
    <n v="3"/>
    <n v="2"/>
    <n v="163"/>
    <n v="2"/>
    <x v="0"/>
    <s v="T"/>
    <s v="repeat"/>
    <s v="Stim7_Set3"/>
    <m/>
    <s v="no"/>
    <n v="1"/>
    <n v="0"/>
    <n v="0"/>
    <n v="0"/>
  </r>
  <r>
    <n v="3"/>
    <n v="2"/>
    <n v="164"/>
    <n v="2"/>
    <x v="0"/>
    <s v="F"/>
    <s v="filler"/>
    <s v="Stim7_Set2"/>
    <m/>
    <s v="no"/>
    <n v="1"/>
    <n v="0"/>
    <n v="1"/>
    <n v="0"/>
  </r>
  <r>
    <n v="3"/>
    <n v="2"/>
    <n v="165"/>
    <n v="1"/>
    <x v="1"/>
    <s v="F"/>
    <s v="filler"/>
    <s v="Stim2_Set2"/>
    <m/>
    <s v="no"/>
    <n v="0"/>
    <n v="0"/>
    <n v="0"/>
    <n v="1"/>
  </r>
  <r>
    <n v="3"/>
    <n v="2"/>
    <n v="166"/>
    <n v="2"/>
    <x v="0"/>
    <s v="NT"/>
    <s v="nontarget"/>
    <s v="Stim1_Set3"/>
    <m/>
    <s v="yes"/>
    <n v="0"/>
    <n v="1"/>
    <n v="0"/>
    <n v="1"/>
  </r>
  <r>
    <n v="3"/>
    <n v="2"/>
    <n v="167"/>
    <n v="2"/>
    <x v="0"/>
    <s v="T"/>
    <s v="repeat"/>
    <s v="Stim1_Set3"/>
    <m/>
    <s v="no"/>
    <n v="1"/>
    <n v="0"/>
    <n v="0"/>
    <n v="0"/>
  </r>
  <r>
    <n v="3"/>
    <n v="2"/>
    <n v="168"/>
    <n v="2"/>
    <x v="0"/>
    <s v="NT"/>
    <s v="nontarget"/>
    <s v="Stim3_Set3"/>
    <m/>
    <s v="yes"/>
    <n v="1"/>
    <n v="1"/>
    <n v="1"/>
    <n v="0"/>
  </r>
  <r>
    <n v="3"/>
    <n v="2"/>
    <n v="169"/>
    <n v="1"/>
    <x v="1"/>
    <s v="T"/>
    <s v="switch"/>
    <s v="Stim3_Set3"/>
    <m/>
    <s v="no"/>
    <n v="0"/>
    <n v="0"/>
    <n v="0"/>
    <n v="0"/>
  </r>
  <r>
    <n v="3"/>
    <n v="2"/>
    <n v="170"/>
    <n v="2"/>
    <x v="0"/>
    <s v="F"/>
    <s v="filler"/>
    <s v="Stim4_Set2"/>
    <m/>
    <s v="no"/>
    <n v="0"/>
    <n v="0"/>
    <n v="1"/>
    <n v="0"/>
  </r>
  <r>
    <n v="3"/>
    <n v="2"/>
    <n v="171"/>
    <n v="1"/>
    <x v="1"/>
    <s v="F"/>
    <s v="filler"/>
    <m/>
    <s v="here"/>
    <s v="no"/>
    <n v="0"/>
    <n v="0"/>
    <n v="0"/>
    <n v="1"/>
  </r>
  <r>
    <n v="3"/>
    <n v="2"/>
    <n v="172"/>
    <n v="1"/>
    <x v="1"/>
    <s v="NT"/>
    <s v="nontarget"/>
    <s v="Stim5_Set3"/>
    <m/>
    <s v="yes"/>
    <n v="1"/>
    <n v="1"/>
    <n v="0"/>
    <n v="1"/>
  </r>
  <r>
    <n v="3"/>
    <n v="2"/>
    <n v="173"/>
    <n v="1"/>
    <x v="1"/>
    <s v="T"/>
    <s v="repeat"/>
    <s v="Stim5_Set3"/>
    <m/>
    <s v="no"/>
    <n v="1"/>
    <n v="0"/>
    <n v="0"/>
    <n v="0"/>
  </r>
  <r>
    <n v="3"/>
    <n v="2"/>
    <n v="174"/>
    <n v="2"/>
    <x v="0"/>
    <s v="F"/>
    <s v="filler"/>
    <s v="Stim8_Set2"/>
    <m/>
    <s v="no"/>
    <n v="0"/>
    <n v="0"/>
    <n v="1"/>
    <n v="0"/>
  </r>
  <r>
    <n v="3"/>
    <n v="2"/>
    <n v="175"/>
    <n v="1"/>
    <x v="1"/>
    <s v="NT"/>
    <s v="nontarget"/>
    <s v="Stim2_Set3"/>
    <m/>
    <s v="yes"/>
    <n v="0"/>
    <n v="1"/>
    <n v="0"/>
    <n v="1"/>
  </r>
  <r>
    <n v="3"/>
    <n v="2"/>
    <n v="176"/>
    <n v="1"/>
    <x v="1"/>
    <s v="T"/>
    <s v="repeat"/>
    <s v="Stim2_Set3"/>
    <m/>
    <s v="no"/>
    <n v="1"/>
    <n v="0"/>
    <n v="0"/>
    <n v="0"/>
  </r>
  <r>
    <n v="3"/>
    <n v="2"/>
    <n v="177"/>
    <n v="1"/>
    <x v="1"/>
    <s v="F"/>
    <s v="filler"/>
    <s v="Stim6_Set2"/>
    <m/>
    <s v="no"/>
    <n v="1"/>
    <n v="0"/>
    <n v="1"/>
    <n v="0"/>
  </r>
  <r>
    <n v="4"/>
    <n v="2"/>
    <n v="178"/>
    <n v="2"/>
    <x v="0"/>
    <s v="F"/>
    <s v="filler"/>
    <s v="Stim6_Set3"/>
    <m/>
    <s v="no"/>
    <n v="0"/>
    <n v="0"/>
    <n v="0"/>
    <n v="1"/>
  </r>
  <r>
    <n v="4"/>
    <n v="2"/>
    <n v="179"/>
    <n v="1"/>
    <x v="1"/>
    <s v="NT"/>
    <s v="nontarget"/>
    <s v="Stim3_Set4"/>
    <m/>
    <s v="yes"/>
    <n v="0"/>
    <n v="1"/>
    <n v="0"/>
    <n v="1"/>
  </r>
  <r>
    <n v="4"/>
    <n v="2"/>
    <n v="180"/>
    <n v="1"/>
    <x v="1"/>
    <s v="T"/>
    <s v="repeat"/>
    <s v="Stim3_Set4"/>
    <m/>
    <s v="no"/>
    <n v="1"/>
    <n v="0"/>
    <n v="0"/>
    <n v="0"/>
  </r>
  <r>
    <n v="4"/>
    <n v="2"/>
    <n v="181"/>
    <n v="1"/>
    <x v="1"/>
    <s v="NT"/>
    <s v="nontarget"/>
    <s v="Stim8_Set4"/>
    <m/>
    <s v="yes"/>
    <n v="1"/>
    <n v="1"/>
    <n v="1"/>
    <n v="0"/>
  </r>
  <r>
    <n v="4"/>
    <n v="2"/>
    <n v="182"/>
    <n v="2"/>
    <x v="0"/>
    <s v="T"/>
    <s v="switch"/>
    <s v="Stim8_Set4"/>
    <m/>
    <s v="no"/>
    <n v="0"/>
    <n v="0"/>
    <n v="0"/>
    <n v="0"/>
  </r>
  <r>
    <n v="4"/>
    <n v="2"/>
    <n v="183"/>
    <n v="1"/>
    <x v="1"/>
    <s v="F"/>
    <s v="filler"/>
    <s v="Stim4_Set3"/>
    <m/>
    <s v="no"/>
    <n v="0"/>
    <n v="0"/>
    <n v="1"/>
    <n v="0"/>
  </r>
  <r>
    <n v="4"/>
    <n v="2"/>
    <n v="184"/>
    <n v="2"/>
    <x v="0"/>
    <s v="NT"/>
    <s v="nontarget"/>
    <s v="Stim4_Set4"/>
    <m/>
    <s v="yes"/>
    <n v="0"/>
    <n v="1"/>
    <n v="0"/>
    <n v="1"/>
  </r>
  <r>
    <n v="4"/>
    <n v="2"/>
    <n v="185"/>
    <n v="2"/>
    <x v="0"/>
    <s v="T"/>
    <s v="repeat"/>
    <s v="Stim4_Set4"/>
    <m/>
    <s v="no"/>
    <n v="1"/>
    <n v="0"/>
    <n v="0"/>
    <n v="0"/>
  </r>
  <r>
    <n v="4"/>
    <n v="2"/>
    <n v="186"/>
    <n v="2"/>
    <x v="0"/>
    <s v="NT"/>
    <s v="nontarget"/>
    <s v="Stim2_Set4"/>
    <m/>
    <s v="yes"/>
    <n v="1"/>
    <n v="1"/>
    <n v="1"/>
    <n v="0"/>
  </r>
  <r>
    <n v="4"/>
    <n v="2"/>
    <n v="187"/>
    <n v="1"/>
    <x v="1"/>
    <s v="T"/>
    <s v="switch"/>
    <s v="Stim2_Set4"/>
    <m/>
    <s v="no"/>
    <n v="0"/>
    <n v="0"/>
    <n v="0"/>
    <n v="0"/>
  </r>
  <r>
    <n v="4"/>
    <n v="2"/>
    <n v="188"/>
    <n v="2"/>
    <x v="0"/>
    <s v="F"/>
    <s v="filler"/>
    <s v="Stim8_Set3"/>
    <m/>
    <s v="no"/>
    <n v="0"/>
    <n v="0"/>
    <n v="1"/>
    <n v="0"/>
  </r>
  <r>
    <n v="4"/>
    <n v="2"/>
    <n v="189"/>
    <n v="1"/>
    <x v="1"/>
    <s v="NT"/>
    <s v="nontarget"/>
    <s v="Stim7_Set4"/>
    <m/>
    <s v="yes"/>
    <n v="0"/>
    <n v="1"/>
    <n v="0"/>
    <n v="1"/>
  </r>
  <r>
    <n v="4"/>
    <n v="2"/>
    <n v="190"/>
    <n v="2"/>
    <x v="0"/>
    <s v="T"/>
    <s v="switch"/>
    <s v="Stim7_Set4"/>
    <m/>
    <s v="no"/>
    <n v="0"/>
    <n v="0"/>
    <n v="0"/>
    <n v="0"/>
  </r>
  <r>
    <n v="4"/>
    <n v="2"/>
    <n v="191"/>
    <n v="1"/>
    <x v="1"/>
    <s v="F"/>
    <s v="filler"/>
    <s v="Stim1_Set3"/>
    <m/>
    <s v="no"/>
    <n v="0"/>
    <n v="0"/>
    <n v="1"/>
    <n v="0"/>
  </r>
  <r>
    <n v="4"/>
    <n v="2"/>
    <n v="192"/>
    <n v="2"/>
    <x v="0"/>
    <s v="F"/>
    <s v="filler"/>
    <s v="Stim7_Set3"/>
    <m/>
    <s v="no"/>
    <n v="0"/>
    <n v="0"/>
    <n v="0"/>
    <n v="1"/>
  </r>
  <r>
    <n v="4"/>
    <n v="2"/>
    <n v="193"/>
    <n v="2"/>
    <x v="0"/>
    <s v="NT"/>
    <s v="nontarget"/>
    <s v="Stim1_Set4"/>
    <m/>
    <s v="yes"/>
    <n v="1"/>
    <n v="1"/>
    <n v="0"/>
    <n v="1"/>
  </r>
  <r>
    <n v="4"/>
    <n v="2"/>
    <n v="194"/>
    <n v="2"/>
    <x v="0"/>
    <s v="T"/>
    <s v="repeat"/>
    <s v="Stim1_Set4"/>
    <m/>
    <s v="no"/>
    <n v="1"/>
    <n v="0"/>
    <n v="0"/>
    <n v="0"/>
  </r>
  <r>
    <n v="4"/>
    <n v="2"/>
    <n v="195"/>
    <n v="1"/>
    <x v="1"/>
    <s v="F"/>
    <s v="filler"/>
    <s v="Stim3_Set3"/>
    <m/>
    <s v="no"/>
    <n v="0"/>
    <n v="0"/>
    <n v="1"/>
    <n v="0"/>
  </r>
  <r>
    <n v="4"/>
    <n v="2"/>
    <n v="196"/>
    <n v="2"/>
    <x v="0"/>
    <s v="F"/>
    <s v="filler"/>
    <s v="Stim5_Set3"/>
    <m/>
    <s v="yes"/>
    <n v="0"/>
    <n v="0"/>
    <n v="0"/>
    <n v="1"/>
  </r>
  <r>
    <n v="4"/>
    <n v="2"/>
    <n v="197"/>
    <n v="2"/>
    <x v="0"/>
    <s v="NT"/>
    <s v="nontarget"/>
    <s v="Stim6_Set4"/>
    <m/>
    <s v="yes"/>
    <n v="1"/>
    <n v="1"/>
    <n v="0"/>
    <n v="1"/>
  </r>
  <r>
    <n v="4"/>
    <n v="2"/>
    <n v="198"/>
    <n v="1"/>
    <x v="1"/>
    <s v="T"/>
    <s v="switch"/>
    <s v="Stim6_Set4"/>
    <m/>
    <s v="no"/>
    <n v="0"/>
    <n v="0"/>
    <n v="0"/>
    <n v="0"/>
  </r>
  <r>
    <n v="4"/>
    <n v="2"/>
    <n v="199"/>
    <n v="1"/>
    <x v="1"/>
    <s v="NT"/>
    <s v="nontarget"/>
    <s v="Stim5_Set4"/>
    <m/>
    <s v="yes"/>
    <n v="1"/>
    <n v="1"/>
    <n v="1"/>
    <n v="0"/>
  </r>
  <r>
    <n v="4"/>
    <n v="2"/>
    <n v="200"/>
    <n v="1"/>
    <x v="1"/>
    <s v="T"/>
    <s v="repeat"/>
    <s v="Stim5_Set4"/>
    <m/>
    <s v="no"/>
    <n v="1"/>
    <n v="0"/>
    <n v="0"/>
    <n v="0"/>
  </r>
  <r>
    <n v="4"/>
    <n v="2"/>
    <n v="201"/>
    <n v="2"/>
    <x v="0"/>
    <s v="F"/>
    <s v="filler"/>
    <m/>
    <s v="here"/>
    <s v="no"/>
    <n v="0"/>
    <n v="0"/>
    <n v="1"/>
    <n v="0"/>
  </r>
  <r>
    <n v="4"/>
    <n v="2"/>
    <n v="202"/>
    <n v="1"/>
    <x v="1"/>
    <s v="F"/>
    <s v="filler"/>
    <s v="Stim2_Set3"/>
    <m/>
    <s v="no"/>
    <n v="0"/>
    <n v="0"/>
    <n v="0"/>
    <n v="1"/>
  </r>
  <r>
    <s v="BREAK"/>
    <m/>
    <n v="203"/>
    <m/>
    <x v="2"/>
    <s v="break"/>
    <m/>
    <m/>
    <m/>
    <s v="no"/>
    <n v="0"/>
    <n v="0"/>
    <n v="0"/>
    <n v="1"/>
  </r>
  <r>
    <n v="1"/>
    <n v="3"/>
    <n v="204"/>
    <n v="2"/>
    <x v="0"/>
    <s v="F"/>
    <s v="filler"/>
    <s v="Stim4_Set4"/>
    <m/>
    <s v="no"/>
    <n v="0"/>
    <n v="0"/>
    <n v="0"/>
    <n v="0"/>
  </r>
  <r>
    <n v="1"/>
    <n v="3"/>
    <n v="205"/>
    <n v="2"/>
    <x v="0"/>
    <s v="NT"/>
    <s v="nontarget"/>
    <s v="Stim7_Set1"/>
    <m/>
    <s v="yes"/>
    <n v="1"/>
    <n v="1"/>
    <n v="0"/>
    <n v="1"/>
  </r>
  <r>
    <n v="1"/>
    <n v="3"/>
    <n v="206"/>
    <n v="2"/>
    <x v="0"/>
    <s v="T"/>
    <s v="repeat"/>
    <s v="Stim7_Set1"/>
    <m/>
    <s v="no"/>
    <n v="1"/>
    <n v="0"/>
    <n v="0"/>
    <n v="0"/>
  </r>
  <r>
    <n v="1"/>
    <n v="3"/>
    <n v="207"/>
    <n v="1"/>
    <x v="1"/>
    <s v="F"/>
    <s v="filler"/>
    <s v="Stim6_Set4"/>
    <m/>
    <s v="no"/>
    <n v="0"/>
    <n v="0"/>
    <n v="1"/>
    <n v="0"/>
  </r>
  <r>
    <n v="1"/>
    <n v="3"/>
    <n v="208"/>
    <n v="1"/>
    <x v="1"/>
    <s v="F"/>
    <s v="filler"/>
    <s v="Stim2_Set4"/>
    <m/>
    <s v="no"/>
    <n v="1"/>
    <n v="0"/>
    <n v="0"/>
    <n v="1"/>
  </r>
  <r>
    <n v="1"/>
    <n v="3"/>
    <n v="209"/>
    <n v="2"/>
    <x v="0"/>
    <s v="NT"/>
    <s v="nontarget"/>
    <s v="Stim6_Set1"/>
    <m/>
    <s v="yes"/>
    <n v="0"/>
    <n v="1"/>
    <n v="0"/>
    <n v="1"/>
  </r>
  <r>
    <n v="1"/>
    <n v="3"/>
    <n v="210"/>
    <n v="2"/>
    <x v="0"/>
    <s v="T"/>
    <s v="repeat"/>
    <s v="Stim6_Set1"/>
    <m/>
    <s v="no"/>
    <n v="1"/>
    <n v="0"/>
    <n v="0"/>
    <n v="0"/>
  </r>
  <r>
    <n v="1"/>
    <n v="3"/>
    <n v="211"/>
    <n v="2"/>
    <x v="0"/>
    <s v="NT"/>
    <s v="nontarget"/>
    <s v="Stim8_Set1"/>
    <m/>
    <s v="yes"/>
    <n v="1"/>
    <n v="1"/>
    <n v="1"/>
    <n v="0"/>
  </r>
  <r>
    <n v="1"/>
    <n v="3"/>
    <n v="212"/>
    <n v="1"/>
    <x v="1"/>
    <s v="T"/>
    <s v="switch"/>
    <s v="Stim8_Set1"/>
    <m/>
    <s v="no"/>
    <n v="0"/>
    <n v="0"/>
    <n v="0"/>
    <n v="0"/>
  </r>
  <r>
    <n v="1"/>
    <n v="3"/>
    <n v="213"/>
    <n v="1"/>
    <x v="1"/>
    <s v="F"/>
    <s v="filler"/>
    <s v="Stim5_Set4"/>
    <m/>
    <s v="no"/>
    <n v="1"/>
    <n v="0"/>
    <n v="1"/>
    <n v="0"/>
  </r>
  <r>
    <n v="1"/>
    <n v="3"/>
    <n v="214"/>
    <n v="1"/>
    <x v="1"/>
    <s v="NT"/>
    <s v="nontarget"/>
    <s v="Stim1_Set1"/>
    <m/>
    <s v="yes"/>
    <n v="1"/>
    <n v="1"/>
    <n v="0"/>
    <n v="1"/>
  </r>
  <r>
    <n v="1"/>
    <n v="3"/>
    <n v="215"/>
    <n v="2"/>
    <x v="0"/>
    <s v="T"/>
    <s v="switch"/>
    <s v="Stim1_Set1"/>
    <m/>
    <s v="no"/>
    <n v="0"/>
    <n v="0"/>
    <n v="0"/>
    <n v="0"/>
  </r>
  <r>
    <n v="1"/>
    <n v="3"/>
    <n v="216"/>
    <n v="2"/>
    <x v="0"/>
    <s v="NT"/>
    <s v="nontarget"/>
    <s v="Stim4_Set1"/>
    <m/>
    <s v="yes"/>
    <n v="1"/>
    <n v="1"/>
    <n v="1"/>
    <n v="0"/>
  </r>
  <r>
    <n v="1"/>
    <n v="3"/>
    <n v="217"/>
    <n v="1"/>
    <x v="1"/>
    <s v="T"/>
    <s v="switch"/>
    <s v="Stim4_Set1"/>
    <m/>
    <s v="no"/>
    <n v="0"/>
    <n v="0"/>
    <n v="0"/>
    <n v="0"/>
  </r>
  <r>
    <n v="1"/>
    <n v="3"/>
    <n v="218"/>
    <n v="2"/>
    <x v="0"/>
    <s v="F"/>
    <s v="filler"/>
    <s v="Stim1_Set4"/>
    <m/>
    <s v="no"/>
    <n v="0"/>
    <n v="0"/>
    <n v="1"/>
    <n v="0"/>
  </r>
  <r>
    <n v="1"/>
    <n v="3"/>
    <n v="219"/>
    <n v="2"/>
    <x v="0"/>
    <s v="F"/>
    <s v="filler"/>
    <s v="Stim8_Set4"/>
    <m/>
    <s v="no"/>
    <n v="1"/>
    <n v="0"/>
    <n v="0"/>
    <n v="1"/>
  </r>
  <r>
    <n v="1"/>
    <n v="3"/>
    <n v="220"/>
    <n v="1"/>
    <x v="1"/>
    <s v="NT"/>
    <s v="nontarget"/>
    <s v="Stim2_Set1"/>
    <m/>
    <s v="yes"/>
    <n v="0"/>
    <n v="1"/>
    <n v="0"/>
    <n v="1"/>
  </r>
  <r>
    <n v="1"/>
    <n v="3"/>
    <n v="221"/>
    <n v="1"/>
    <x v="1"/>
    <s v="T"/>
    <s v="repeat"/>
    <s v="Stim2_Set1"/>
    <m/>
    <s v="no"/>
    <n v="1"/>
    <n v="0"/>
    <n v="0"/>
    <n v="0"/>
  </r>
  <r>
    <n v="1"/>
    <n v="3"/>
    <n v="222"/>
    <n v="2"/>
    <x v="0"/>
    <s v="F"/>
    <s v="filler"/>
    <s v="Stim3_Set4"/>
    <m/>
    <s v="no"/>
    <n v="0"/>
    <n v="0"/>
    <n v="1"/>
    <n v="0"/>
  </r>
  <r>
    <n v="1"/>
    <n v="3"/>
    <n v="223"/>
    <n v="2"/>
    <x v="0"/>
    <s v="F"/>
    <s v="filler"/>
    <s v="Stim7_Set4"/>
    <m/>
    <s v="no"/>
    <n v="1"/>
    <n v="0"/>
    <n v="0"/>
    <n v="1"/>
  </r>
  <r>
    <n v="1"/>
    <n v="3"/>
    <n v="224"/>
    <n v="1"/>
    <x v="1"/>
    <s v="NT"/>
    <s v="nontarget"/>
    <s v="Stim3_Set1"/>
    <m/>
    <s v="yes"/>
    <n v="0"/>
    <n v="1"/>
    <n v="0"/>
    <n v="1"/>
  </r>
  <r>
    <n v="1"/>
    <n v="3"/>
    <n v="225"/>
    <n v="1"/>
    <x v="1"/>
    <s v="T"/>
    <s v="repeat"/>
    <s v="Stim3_Set1"/>
    <m/>
    <s v="no"/>
    <n v="1"/>
    <n v="0"/>
    <n v="0"/>
    <n v="0"/>
  </r>
  <r>
    <n v="1"/>
    <n v="3"/>
    <n v="226"/>
    <n v="1"/>
    <x v="1"/>
    <s v="NT"/>
    <s v="nontarget"/>
    <s v="Stim5_Set1"/>
    <m/>
    <s v="yes"/>
    <n v="1"/>
    <n v="1"/>
    <n v="1"/>
    <n v="0"/>
  </r>
  <r>
    <n v="1"/>
    <n v="3"/>
    <n v="227"/>
    <n v="2"/>
    <x v="0"/>
    <s v="T"/>
    <s v="switch"/>
    <s v="Stim5_Set1"/>
    <m/>
    <s v="no"/>
    <n v="0"/>
    <n v="0"/>
    <n v="0"/>
    <n v="0"/>
  </r>
  <r>
    <n v="2"/>
    <n v="3"/>
    <n v="228"/>
    <n v="2"/>
    <x v="0"/>
    <s v="F"/>
    <s v="filler"/>
    <s v="Stim7_Set1"/>
    <m/>
    <s v="no"/>
    <n v="1"/>
    <n v="0"/>
    <n v="1"/>
    <n v="0"/>
  </r>
  <r>
    <n v="2"/>
    <n v="3"/>
    <n v="229"/>
    <n v="1"/>
    <x v="1"/>
    <s v="F"/>
    <s v="filler"/>
    <s v="Stim3_Set1"/>
    <m/>
    <s v="no"/>
    <n v="0"/>
    <n v="0"/>
    <n v="0"/>
    <n v="1"/>
  </r>
  <r>
    <n v="2"/>
    <n v="3"/>
    <n v="230"/>
    <n v="1"/>
    <x v="1"/>
    <s v="NT"/>
    <s v="nontarget"/>
    <s v="Stim7_Set2"/>
    <m/>
    <s v="yes"/>
    <n v="1"/>
    <n v="1"/>
    <n v="0"/>
    <n v="1"/>
  </r>
  <r>
    <n v="2"/>
    <n v="3"/>
    <n v="231"/>
    <n v="1"/>
    <x v="1"/>
    <s v="T"/>
    <s v="repeat"/>
    <s v="Stim7_Set2"/>
    <m/>
    <s v="no"/>
    <n v="1"/>
    <n v="0"/>
    <n v="0"/>
    <n v="0"/>
  </r>
  <r>
    <n v="2"/>
    <n v="3"/>
    <n v="232"/>
    <n v="2"/>
    <x v="0"/>
    <s v="F"/>
    <s v="filler"/>
    <s v="Stim6_Set1"/>
    <m/>
    <s v="no"/>
    <n v="0"/>
    <n v="0"/>
    <n v="1"/>
    <n v="0"/>
  </r>
  <r>
    <n v="2"/>
    <n v="3"/>
    <n v="233"/>
    <n v="1"/>
    <x v="1"/>
    <s v="NT"/>
    <s v="nontarget"/>
    <s v="Stim6_Set2"/>
    <m/>
    <s v="yes"/>
    <n v="0"/>
    <n v="1"/>
    <n v="0"/>
    <n v="1"/>
  </r>
  <r>
    <n v="2"/>
    <n v="3"/>
    <n v="234"/>
    <n v="1"/>
    <x v="1"/>
    <s v="T"/>
    <s v="repeat"/>
    <s v="Stim6_Set2"/>
    <m/>
    <s v="no"/>
    <n v="1"/>
    <n v="0"/>
    <n v="0"/>
    <n v="0"/>
  </r>
  <r>
    <n v="2"/>
    <n v="3"/>
    <n v="235"/>
    <n v="1"/>
    <x v="1"/>
    <s v="NT"/>
    <s v="nontarget"/>
    <s v="Stim4_Set2"/>
    <m/>
    <s v="yes"/>
    <n v="1"/>
    <n v="1"/>
    <n v="1"/>
    <n v="0"/>
  </r>
  <r>
    <n v="2"/>
    <n v="3"/>
    <n v="236"/>
    <n v="2"/>
    <x v="0"/>
    <s v="T"/>
    <s v="switch"/>
    <s v="Stim4_Set2"/>
    <m/>
    <s v="no"/>
    <n v="0"/>
    <n v="0"/>
    <n v="0"/>
    <n v="0"/>
  </r>
  <r>
    <n v="2"/>
    <n v="3"/>
    <n v="237"/>
    <n v="2"/>
    <x v="0"/>
    <s v="F"/>
    <s v="filler"/>
    <s v="Stim8_Set1"/>
    <m/>
    <s v="no"/>
    <n v="1"/>
    <n v="0"/>
    <n v="1"/>
    <n v="0"/>
  </r>
  <r>
    <n v="2"/>
    <n v="3"/>
    <n v="238"/>
    <n v="2"/>
    <x v="0"/>
    <s v="NT"/>
    <s v="nontarget"/>
    <s v="Stim5_Set2"/>
    <m/>
    <s v="yes"/>
    <n v="1"/>
    <n v="1"/>
    <n v="0"/>
    <n v="1"/>
  </r>
  <r>
    <n v="2"/>
    <n v="3"/>
    <n v="239"/>
    <n v="1"/>
    <x v="1"/>
    <s v="T"/>
    <s v="switch"/>
    <s v="Stim5_Set2"/>
    <m/>
    <s v="no"/>
    <n v="0"/>
    <n v="0"/>
    <n v="0"/>
    <n v="0"/>
  </r>
  <r>
    <n v="2"/>
    <n v="3"/>
    <n v="240"/>
    <n v="1"/>
    <x v="1"/>
    <s v="F"/>
    <s v="filler"/>
    <s v="Stim1_Set1"/>
    <m/>
    <s v="no"/>
    <n v="1"/>
    <n v="0"/>
    <n v="1"/>
    <n v="0"/>
  </r>
  <r>
    <n v="2"/>
    <n v="3"/>
    <n v="241"/>
    <n v="1"/>
    <x v="1"/>
    <s v="NT"/>
    <s v="nontarget"/>
    <s v="Stim8_Set2"/>
    <m/>
    <s v="yes"/>
    <n v="1"/>
    <n v="1"/>
    <n v="0"/>
    <n v="1"/>
  </r>
  <r>
    <n v="2"/>
    <n v="3"/>
    <n v="242"/>
    <n v="2"/>
    <x v="0"/>
    <s v="T"/>
    <s v="switch"/>
    <s v="Stim8_Set2"/>
    <m/>
    <s v="no"/>
    <n v="0"/>
    <n v="0"/>
    <n v="0"/>
    <n v="0"/>
  </r>
  <r>
    <n v="2"/>
    <n v="3"/>
    <n v="243"/>
    <n v="1"/>
    <x v="1"/>
    <s v="F"/>
    <s v="filler"/>
    <s v="Stim4_Set1"/>
    <m/>
    <s v="no"/>
    <n v="0"/>
    <n v="0"/>
    <n v="1"/>
    <n v="0"/>
  </r>
  <r>
    <n v="2"/>
    <n v="3"/>
    <n v="244"/>
    <n v="2"/>
    <x v="0"/>
    <s v="NT"/>
    <s v="nontarget"/>
    <s v="Stim2_Set2"/>
    <m/>
    <s v="yes"/>
    <n v="0"/>
    <n v="1"/>
    <n v="0"/>
    <n v="1"/>
  </r>
  <r>
    <n v="2"/>
    <n v="3"/>
    <n v="245"/>
    <n v="2"/>
    <x v="0"/>
    <s v="T"/>
    <s v="repeat"/>
    <s v="Stim2_Set2"/>
    <m/>
    <s v="no"/>
    <n v="1"/>
    <n v="0"/>
    <n v="0"/>
    <n v="0"/>
  </r>
  <r>
    <n v="2"/>
    <n v="3"/>
    <n v="246"/>
    <n v="1"/>
    <x v="1"/>
    <s v="F"/>
    <s v="filler"/>
    <s v="Stim2_Set1"/>
    <m/>
    <s v="no"/>
    <n v="0"/>
    <n v="0"/>
    <n v="1"/>
    <n v="0"/>
  </r>
  <r>
    <n v="2"/>
    <n v="3"/>
    <n v="247"/>
    <n v="2"/>
    <x v="0"/>
    <s v="NT"/>
    <s v="nontarget"/>
    <s v="Stim1_Set2"/>
    <m/>
    <s v="yes"/>
    <n v="0"/>
    <n v="1"/>
    <n v="0"/>
    <n v="1"/>
  </r>
  <r>
    <n v="2"/>
    <n v="3"/>
    <n v="248"/>
    <n v="2"/>
    <x v="0"/>
    <s v="T"/>
    <s v="repeat"/>
    <s v="Stim1_Set2"/>
    <m/>
    <s v="no"/>
    <n v="1"/>
    <n v="0"/>
    <n v="0"/>
    <n v="0"/>
  </r>
  <r>
    <n v="2"/>
    <n v="3"/>
    <n v="249"/>
    <n v="2"/>
    <x v="0"/>
    <s v="F"/>
    <s v="filler"/>
    <s v="Stim5_Set1"/>
    <m/>
    <s v="no"/>
    <n v="1"/>
    <n v="0"/>
    <n v="1"/>
    <n v="0"/>
  </r>
  <r>
    <n v="2"/>
    <n v="3"/>
    <n v="250"/>
    <n v="2"/>
    <x v="0"/>
    <s v="NT"/>
    <s v="nontarget"/>
    <s v="Stim3_Set2"/>
    <m/>
    <s v="yes"/>
    <n v="1"/>
    <n v="1"/>
    <n v="0"/>
    <n v="1"/>
  </r>
  <r>
    <n v="2"/>
    <n v="3"/>
    <n v="251"/>
    <n v="1"/>
    <x v="1"/>
    <s v="T"/>
    <s v="switch"/>
    <s v="Stim3_Set2"/>
    <m/>
    <s v="no"/>
    <n v="0"/>
    <n v="0"/>
    <n v="0"/>
    <n v="0"/>
  </r>
  <r>
    <n v="3"/>
    <n v="3"/>
    <n v="252"/>
    <n v="1"/>
    <x v="1"/>
    <s v="F"/>
    <s v="filler"/>
    <s v="Stim7_Set2"/>
    <m/>
    <s v="no"/>
    <n v="1"/>
    <n v="0"/>
    <n v="1"/>
    <n v="0"/>
  </r>
  <r>
    <n v="3"/>
    <n v="3"/>
    <n v="253"/>
    <n v="1"/>
    <x v="1"/>
    <s v="NT"/>
    <s v="nontarget"/>
    <s v="Stim4_Set3"/>
    <m/>
    <s v="yes"/>
    <n v="1"/>
    <n v="1"/>
    <n v="0"/>
    <n v="1"/>
  </r>
  <r>
    <n v="3"/>
    <n v="3"/>
    <n v="254"/>
    <n v="2"/>
    <x v="0"/>
    <s v="T"/>
    <s v="switch"/>
    <s v="Stim4_Set3"/>
    <m/>
    <s v="no"/>
    <n v="0"/>
    <n v="0"/>
    <n v="0"/>
    <n v="0"/>
  </r>
  <r>
    <n v="3"/>
    <n v="3"/>
    <n v="255"/>
    <n v="2"/>
    <x v="0"/>
    <s v="F"/>
    <s v="filler"/>
    <s v="Stim6_Set2"/>
    <m/>
    <s v="no"/>
    <n v="1"/>
    <n v="0"/>
    <n v="1"/>
    <n v="0"/>
  </r>
  <r>
    <n v="3"/>
    <n v="3"/>
    <n v="256"/>
    <n v="2"/>
    <x v="0"/>
    <s v="NT"/>
    <s v="nontarget"/>
    <s v="Stim7_Set3"/>
    <m/>
    <s v="yes"/>
    <n v="1"/>
    <n v="1"/>
    <n v="0"/>
    <n v="1"/>
  </r>
  <r>
    <n v="3"/>
    <n v="3"/>
    <n v="257"/>
    <n v="1"/>
    <x v="1"/>
    <s v="T"/>
    <s v="switch"/>
    <s v="Stim7_Set3"/>
    <m/>
    <s v="no"/>
    <n v="0"/>
    <n v="0"/>
    <n v="0"/>
    <n v="0"/>
  </r>
  <r>
    <n v="3"/>
    <n v="3"/>
    <n v="258"/>
    <n v="1"/>
    <x v="1"/>
    <s v="NT"/>
    <s v="nontarget"/>
    <s v="Stim2_Set3"/>
    <m/>
    <s v="yes"/>
    <n v="1"/>
    <n v="1"/>
    <n v="1"/>
    <n v="0"/>
  </r>
  <r>
    <n v="3"/>
    <n v="3"/>
    <n v="259"/>
    <n v="2"/>
    <x v="0"/>
    <s v="T"/>
    <s v="switch"/>
    <s v="Stim2_Set3"/>
    <m/>
    <s v="no"/>
    <n v="0"/>
    <n v="0"/>
    <n v="0"/>
    <n v="0"/>
  </r>
  <r>
    <n v="3"/>
    <n v="3"/>
    <n v="260"/>
    <n v="1"/>
    <x v="1"/>
    <s v="F"/>
    <s v="filler"/>
    <s v="Stim8_Set2"/>
    <m/>
    <s v="no"/>
    <n v="0"/>
    <n v="0"/>
    <n v="1"/>
    <n v="0"/>
  </r>
  <r>
    <n v="3"/>
    <n v="3"/>
    <n v="261"/>
    <n v="2"/>
    <x v="0"/>
    <s v="NT"/>
    <s v="nontarget"/>
    <s v="Stim6_Set3"/>
    <m/>
    <s v="yes"/>
    <n v="0"/>
    <n v="1"/>
    <n v="0"/>
    <n v="1"/>
  </r>
  <r>
    <n v="3"/>
    <n v="3"/>
    <n v="262"/>
    <n v="2"/>
    <x v="0"/>
    <s v="T"/>
    <s v="repeat"/>
    <s v="Stim6_Set3"/>
    <m/>
    <s v="no"/>
    <n v="1"/>
    <n v="0"/>
    <n v="0"/>
    <n v="0"/>
  </r>
  <r>
    <n v="3"/>
    <n v="3"/>
    <n v="263"/>
    <n v="1"/>
    <x v="1"/>
    <s v="F"/>
    <s v="filler"/>
    <s v="Stim2_Set2"/>
    <m/>
    <s v="no"/>
    <n v="0"/>
    <n v="0"/>
    <n v="1"/>
    <n v="0"/>
  </r>
  <r>
    <n v="3"/>
    <n v="3"/>
    <n v="264"/>
    <n v="2"/>
    <x v="0"/>
    <s v="NT"/>
    <s v="nontarget"/>
    <s v="Stim8_Set3"/>
    <m/>
    <s v="yes"/>
    <n v="0"/>
    <n v="1"/>
    <n v="0"/>
    <n v="1"/>
  </r>
  <r>
    <n v="3"/>
    <n v="3"/>
    <n v="265"/>
    <n v="2"/>
    <x v="0"/>
    <s v="T"/>
    <s v="repeat"/>
    <s v="Stim8_Set3"/>
    <m/>
    <s v="no"/>
    <n v="1"/>
    <n v="0"/>
    <n v="0"/>
    <n v="0"/>
  </r>
  <r>
    <n v="3"/>
    <n v="3"/>
    <n v="266"/>
    <n v="2"/>
    <x v="0"/>
    <s v="NT"/>
    <s v="nontarget"/>
    <s v="Stim5_Set3"/>
    <m/>
    <s v="yes"/>
    <n v="1"/>
    <n v="1"/>
    <n v="1"/>
    <n v="0"/>
  </r>
  <r>
    <n v="3"/>
    <n v="3"/>
    <n v="267"/>
    <n v="1"/>
    <x v="1"/>
    <s v="T"/>
    <s v="switch"/>
    <s v="Stim5_Set3"/>
    <m/>
    <s v="no"/>
    <n v="0"/>
    <n v="0"/>
    <n v="0"/>
    <n v="0"/>
  </r>
  <r>
    <n v="3"/>
    <n v="3"/>
    <n v="268"/>
    <n v="2"/>
    <x v="0"/>
    <s v="F"/>
    <s v="filler"/>
    <s v="Stim4_Set2"/>
    <m/>
    <s v="no"/>
    <n v="0"/>
    <n v="0"/>
    <n v="1"/>
    <n v="0"/>
  </r>
  <r>
    <n v="3"/>
    <n v="3"/>
    <n v="269"/>
    <n v="1"/>
    <x v="1"/>
    <s v="F"/>
    <s v="filler"/>
    <s v="Stim5_Set2"/>
    <m/>
    <s v="yes"/>
    <n v="0"/>
    <n v="0"/>
    <n v="0"/>
    <n v="1"/>
  </r>
  <r>
    <n v="3"/>
    <n v="3"/>
    <n v="270"/>
    <n v="1"/>
    <x v="1"/>
    <s v="NT"/>
    <s v="nontarget"/>
    <s v="Stim3_Set3"/>
    <m/>
    <s v="yes"/>
    <n v="1"/>
    <n v="1"/>
    <n v="0"/>
    <n v="1"/>
  </r>
  <r>
    <n v="3"/>
    <n v="3"/>
    <n v="271"/>
    <n v="1"/>
    <x v="1"/>
    <s v="T"/>
    <s v="repeat"/>
    <s v="Stim3_Set3"/>
    <m/>
    <s v="no"/>
    <n v="1"/>
    <n v="0"/>
    <n v="0"/>
    <n v="0"/>
  </r>
  <r>
    <n v="3"/>
    <n v="3"/>
    <n v="272"/>
    <n v="2"/>
    <x v="0"/>
    <s v="F"/>
    <s v="filler"/>
    <s v="Stim3_Set2"/>
    <m/>
    <s v="no"/>
    <n v="0"/>
    <n v="0"/>
    <n v="1"/>
    <n v="0"/>
  </r>
  <r>
    <n v="3"/>
    <n v="3"/>
    <n v="273"/>
    <n v="1"/>
    <x v="1"/>
    <s v="NT"/>
    <s v="nontarget"/>
    <s v="Stim1_Set3"/>
    <m/>
    <s v="yes"/>
    <n v="0"/>
    <n v="1"/>
    <n v="0"/>
    <n v="1"/>
  </r>
  <r>
    <n v="3"/>
    <n v="3"/>
    <n v="274"/>
    <n v="1"/>
    <x v="1"/>
    <s v="T"/>
    <s v="repeat"/>
    <s v="Stim1_Set3"/>
    <m/>
    <s v="no"/>
    <n v="1"/>
    <n v="0"/>
    <n v="0"/>
    <n v="0"/>
  </r>
  <r>
    <n v="3"/>
    <n v="3"/>
    <n v="275"/>
    <n v="2"/>
    <x v="0"/>
    <s v="F"/>
    <s v="filler"/>
    <s v="Stim1_Set2"/>
    <m/>
    <s v="no"/>
    <n v="0"/>
    <n v="0"/>
    <n v="1"/>
    <n v="0"/>
  </r>
  <r>
    <n v="4"/>
    <n v="3"/>
    <n v="276"/>
    <n v="1"/>
    <x v="1"/>
    <s v="NT"/>
    <s v="nontarget"/>
    <s v="Stim4_Set4"/>
    <m/>
    <s v="yes"/>
    <n v="0"/>
    <n v="1"/>
    <n v="0"/>
    <n v="1"/>
  </r>
  <r>
    <n v="4"/>
    <n v="3"/>
    <n v="277"/>
    <n v="1"/>
    <x v="1"/>
    <s v="T"/>
    <s v="repeat"/>
    <s v="Stim4_Set4"/>
    <m/>
    <s v="no"/>
    <n v="1"/>
    <n v="0"/>
    <n v="0"/>
    <n v="0"/>
  </r>
  <r>
    <n v="4"/>
    <n v="3"/>
    <n v="278"/>
    <n v="2"/>
    <x v="0"/>
    <s v="F"/>
    <s v="filler"/>
    <s v="Stim4_Set3"/>
    <m/>
    <s v="no"/>
    <n v="0"/>
    <n v="0"/>
    <n v="1"/>
    <n v="0"/>
  </r>
  <r>
    <n v="4"/>
    <n v="3"/>
    <n v="279"/>
    <n v="1"/>
    <x v="1"/>
    <s v="NT"/>
    <s v="nontarget"/>
    <s v="Stim6_Set4"/>
    <m/>
    <s v="yes"/>
    <n v="0"/>
    <n v="1"/>
    <n v="0"/>
    <n v="1"/>
  </r>
  <r>
    <n v="4"/>
    <n v="3"/>
    <n v="280"/>
    <n v="2"/>
    <x v="0"/>
    <s v="T"/>
    <s v="switch"/>
    <s v="Stim6_Set4"/>
    <m/>
    <s v="no"/>
    <n v="0"/>
    <n v="0"/>
    <n v="0"/>
    <n v="0"/>
  </r>
  <r>
    <n v="4"/>
    <n v="3"/>
    <n v="281"/>
    <n v="2"/>
    <x v="0"/>
    <s v="NT"/>
    <s v="nontarget"/>
    <s v="Stim2_Set4"/>
    <m/>
    <s v="yes"/>
    <n v="1"/>
    <n v="1"/>
    <n v="1"/>
    <n v="0"/>
  </r>
  <r>
    <n v="4"/>
    <n v="3"/>
    <n v="282"/>
    <n v="2"/>
    <x v="0"/>
    <s v="T"/>
    <s v="repeat"/>
    <s v="Stim2_Set4"/>
    <m/>
    <s v="no"/>
    <n v="1"/>
    <n v="0"/>
    <n v="0"/>
    <n v="0"/>
  </r>
  <r>
    <n v="4"/>
    <n v="3"/>
    <n v="283"/>
    <n v="1"/>
    <x v="1"/>
    <s v="F"/>
    <s v="filler"/>
    <s v="Stim7_Set3"/>
    <m/>
    <s v="no"/>
    <n v="0"/>
    <n v="0"/>
    <n v="1"/>
    <n v="0"/>
  </r>
  <r>
    <n v="4"/>
    <n v="3"/>
    <n v="284"/>
    <n v="2"/>
    <x v="0"/>
    <s v="F"/>
    <s v="filler"/>
    <s v="Stim2_Set3"/>
    <m/>
    <s v="no"/>
    <n v="0"/>
    <n v="0"/>
    <n v="0"/>
    <n v="1"/>
  </r>
  <r>
    <n v="4"/>
    <n v="3"/>
    <n v="285"/>
    <n v="2"/>
    <x v="0"/>
    <s v="NT"/>
    <s v="nontarget"/>
    <s v="Stim5_Set4"/>
    <m/>
    <s v="yes"/>
    <n v="1"/>
    <n v="1"/>
    <n v="0"/>
    <n v="1"/>
  </r>
  <r>
    <n v="4"/>
    <n v="3"/>
    <n v="286"/>
    <n v="1"/>
    <x v="1"/>
    <s v="T"/>
    <s v="switch"/>
    <s v="Stim5_Set4"/>
    <m/>
    <s v="no"/>
    <n v="0"/>
    <n v="0"/>
    <n v="0"/>
    <n v="0"/>
  </r>
  <r>
    <n v="4"/>
    <n v="3"/>
    <n v="287"/>
    <n v="1"/>
    <x v="1"/>
    <s v="NT"/>
    <s v="nontarget"/>
    <s v="Stim1_Set4"/>
    <m/>
    <s v="yes"/>
    <n v="1"/>
    <n v="1"/>
    <n v="1"/>
    <n v="0"/>
  </r>
  <r>
    <n v="4"/>
    <n v="3"/>
    <n v="288"/>
    <n v="2"/>
    <x v="0"/>
    <s v="T"/>
    <s v="switch"/>
    <s v="Stim1_Set4"/>
    <m/>
    <s v="no"/>
    <n v="0"/>
    <n v="0"/>
    <n v="0"/>
    <n v="0"/>
  </r>
  <r>
    <n v="4"/>
    <n v="3"/>
    <n v="289"/>
    <n v="1"/>
    <x v="1"/>
    <s v="F"/>
    <s v="filler"/>
    <s v="Stim6_Set3"/>
    <m/>
    <s v="no"/>
    <n v="0"/>
    <n v="0"/>
    <n v="1"/>
    <n v="0"/>
  </r>
  <r>
    <n v="4"/>
    <n v="3"/>
    <n v="290"/>
    <n v="2"/>
    <x v="0"/>
    <s v="NT"/>
    <s v="nontarget"/>
    <s v="Stim8_Set4"/>
    <m/>
    <s v="yes"/>
    <n v="0"/>
    <n v="1"/>
    <n v="0"/>
    <n v="1"/>
  </r>
  <r>
    <n v="4"/>
    <n v="3"/>
    <n v="291"/>
    <n v="2"/>
    <x v="0"/>
    <s v="T"/>
    <s v="repeat"/>
    <s v="Stim8_Set4"/>
    <m/>
    <s v="no"/>
    <n v="1"/>
    <n v="0"/>
    <n v="0"/>
    <n v="0"/>
  </r>
  <r>
    <n v="4"/>
    <n v="3"/>
    <n v="292"/>
    <n v="1"/>
    <x v="1"/>
    <s v="F"/>
    <s v="filler"/>
    <s v="Stim8_Set3"/>
    <m/>
    <s v="no"/>
    <n v="0"/>
    <n v="0"/>
    <n v="1"/>
    <n v="0"/>
  </r>
  <r>
    <n v="4"/>
    <n v="3"/>
    <n v="293"/>
    <n v="2"/>
    <x v="0"/>
    <s v="F"/>
    <s v="filler"/>
    <s v="Stim1_Set3"/>
    <m/>
    <s v="no"/>
    <n v="0"/>
    <n v="0"/>
    <n v="0"/>
    <n v="1"/>
  </r>
  <r>
    <n v="4"/>
    <n v="3"/>
    <n v="294"/>
    <n v="2"/>
    <x v="0"/>
    <s v="NT"/>
    <s v="nontarget"/>
    <s v="Stim3_Set4"/>
    <m/>
    <s v="yes"/>
    <n v="1"/>
    <n v="1"/>
    <n v="0"/>
    <n v="1"/>
  </r>
  <r>
    <n v="4"/>
    <n v="3"/>
    <n v="295"/>
    <n v="1"/>
    <x v="1"/>
    <s v="T"/>
    <s v="switch"/>
    <s v="Stim3_Set4"/>
    <m/>
    <s v="no"/>
    <n v="0"/>
    <n v="0"/>
    <n v="0"/>
    <n v="0"/>
  </r>
  <r>
    <n v="4"/>
    <n v="3"/>
    <n v="296"/>
    <n v="2"/>
    <x v="0"/>
    <s v="F"/>
    <s v="filler"/>
    <m/>
    <s v="here"/>
    <s v="no"/>
    <n v="0"/>
    <n v="0"/>
    <n v="1"/>
    <n v="0"/>
  </r>
  <r>
    <n v="4"/>
    <n v="3"/>
    <n v="297"/>
    <n v="1"/>
    <x v="1"/>
    <s v="F"/>
    <s v="filler"/>
    <s v="Stim5_Set3"/>
    <m/>
    <s v="no"/>
    <n v="0"/>
    <n v="0"/>
    <n v="0"/>
    <n v="1"/>
  </r>
  <r>
    <n v="4"/>
    <n v="3"/>
    <n v="298"/>
    <n v="2"/>
    <x v="0"/>
    <s v="F"/>
    <s v="filler"/>
    <m/>
    <s v="here"/>
    <s v="no"/>
    <n v="0"/>
    <n v="0"/>
    <n v="0"/>
    <n v="1"/>
  </r>
  <r>
    <n v="4"/>
    <n v="3"/>
    <n v="299"/>
    <n v="1"/>
    <x v="1"/>
    <s v="F"/>
    <s v="filler"/>
    <s v="Stim3_Set3"/>
    <m/>
    <s v="yes"/>
    <n v="0"/>
    <n v="0"/>
    <n v="0"/>
    <n v="1"/>
  </r>
  <r>
    <n v="4"/>
    <n v="3"/>
    <n v="300"/>
    <n v="1"/>
    <x v="1"/>
    <s v="NT"/>
    <s v="nontarget"/>
    <s v="Stim7_Set4"/>
    <m/>
    <s v="yes"/>
    <n v="1"/>
    <n v="1"/>
    <n v="0"/>
    <n v="1"/>
  </r>
  <r>
    <n v="4"/>
    <n v="3"/>
    <n v="301"/>
    <n v="1"/>
    <x v="1"/>
    <s v="T"/>
    <s v="repeat"/>
    <s v="Stim7_Set4"/>
    <m/>
    <s v="no"/>
    <n v="1"/>
    <n v="0"/>
    <n v="0"/>
    <n v="0"/>
  </r>
  <r>
    <n v="4"/>
    <n v="3"/>
    <n v="302"/>
    <n v="2"/>
    <x v="0"/>
    <s v="F"/>
    <s v="filler"/>
    <m/>
    <s v="here"/>
    <s v="no"/>
    <n v="0"/>
    <n v="1"/>
    <n v="1"/>
    <n v="0"/>
  </r>
  <r>
    <s v="BREAK"/>
    <m/>
    <n v="303"/>
    <m/>
    <x v="2"/>
    <s v="break"/>
    <m/>
    <m/>
    <m/>
    <s v="no"/>
    <n v="0"/>
    <n v="0"/>
    <n v="0"/>
    <n v="1"/>
  </r>
  <r>
    <n v="1"/>
    <n v="4"/>
    <n v="304"/>
    <n v="2"/>
    <x v="0"/>
    <s v="F"/>
    <s v="filler"/>
    <s v="Stim6_Set4"/>
    <m/>
    <s v="yes"/>
    <n v="0"/>
    <n v="0"/>
    <n v="0"/>
    <n v="0"/>
  </r>
  <r>
    <n v="1"/>
    <n v="4"/>
    <n v="305"/>
    <n v="2"/>
    <x v="0"/>
    <s v="NT"/>
    <s v="nontarget"/>
    <s v="Stim5_Set1"/>
    <m/>
    <s v="yes"/>
    <n v="1"/>
    <n v="1"/>
    <n v="0"/>
    <n v="1"/>
  </r>
  <r>
    <n v="1"/>
    <n v="4"/>
    <n v="306"/>
    <n v="2"/>
    <x v="0"/>
    <s v="T"/>
    <s v="repeat"/>
    <s v="Stim5_Set1"/>
    <m/>
    <s v="no"/>
    <n v="1"/>
    <n v="0"/>
    <n v="0"/>
    <n v="0"/>
  </r>
  <r>
    <n v="1"/>
    <n v="4"/>
    <n v="307"/>
    <n v="1"/>
    <x v="1"/>
    <s v="F"/>
    <s v="filler"/>
    <s v="Stim3_Set4"/>
    <m/>
    <s v="no"/>
    <n v="0"/>
    <n v="0"/>
    <n v="1"/>
    <n v="0"/>
  </r>
  <r>
    <n v="1"/>
    <n v="4"/>
    <n v="308"/>
    <n v="1"/>
    <x v="1"/>
    <s v="F"/>
    <s v="filler"/>
    <s v="Stim1_Set4"/>
    <m/>
    <s v="yes"/>
    <n v="1"/>
    <n v="0"/>
    <n v="0"/>
    <n v="1"/>
  </r>
  <r>
    <n v="1"/>
    <n v="4"/>
    <n v="309"/>
    <n v="2"/>
    <x v="0"/>
    <s v="NT"/>
    <s v="nontarget"/>
    <s v="Stim8_Set1"/>
    <m/>
    <s v="yes"/>
    <n v="0"/>
    <n v="1"/>
    <n v="0"/>
    <n v="1"/>
  </r>
  <r>
    <n v="1"/>
    <n v="4"/>
    <n v="310"/>
    <n v="2"/>
    <x v="0"/>
    <s v="T"/>
    <s v="repeat"/>
    <s v="Stim8_Set1"/>
    <m/>
    <s v="no"/>
    <n v="1"/>
    <n v="0"/>
    <n v="0"/>
    <n v="0"/>
  </r>
  <r>
    <n v="1"/>
    <n v="4"/>
    <n v="311"/>
    <n v="1"/>
    <x v="1"/>
    <s v="F"/>
    <s v="filler"/>
    <s v="Stim8_Set4"/>
    <m/>
    <s v="no"/>
    <n v="0"/>
    <n v="0"/>
    <n v="1"/>
    <n v="0"/>
  </r>
  <r>
    <n v="1"/>
    <n v="4"/>
    <n v="312"/>
    <n v="2"/>
    <x v="0"/>
    <s v="NT"/>
    <s v="nontarget"/>
    <s v="Stim7_Set1"/>
    <m/>
    <s v="yes"/>
    <n v="0"/>
    <n v="1"/>
    <n v="0"/>
    <n v="1"/>
  </r>
  <r>
    <n v="1"/>
    <n v="4"/>
    <n v="313"/>
    <n v="1"/>
    <x v="1"/>
    <s v="T"/>
    <s v="switch"/>
    <s v="Stim7_Set1"/>
    <m/>
    <s v="no"/>
    <n v="0"/>
    <n v="0"/>
    <n v="0"/>
    <n v="0"/>
  </r>
  <r>
    <n v="1"/>
    <n v="4"/>
    <n v="314"/>
    <n v="1"/>
    <x v="1"/>
    <s v="F"/>
    <s v="filler"/>
    <s v="Stim4_Set4"/>
    <m/>
    <s v="no"/>
    <n v="1"/>
    <n v="0"/>
    <n v="1"/>
    <n v="0"/>
  </r>
  <r>
    <n v="1"/>
    <n v="4"/>
    <n v="315"/>
    <n v="1"/>
    <x v="1"/>
    <s v="NT"/>
    <s v="nontarget"/>
    <s v="Stim3_Set1"/>
    <m/>
    <s v="yes"/>
    <n v="1"/>
    <n v="1"/>
    <n v="0"/>
    <n v="1"/>
  </r>
  <r>
    <n v="1"/>
    <n v="4"/>
    <n v="316"/>
    <n v="2"/>
    <x v="0"/>
    <s v="T"/>
    <s v="switch"/>
    <s v="Stim3_Set1"/>
    <m/>
    <s v="no"/>
    <n v="0"/>
    <n v="0"/>
    <n v="0"/>
    <n v="0"/>
  </r>
  <r>
    <n v="1"/>
    <n v="4"/>
    <n v="317"/>
    <n v="2"/>
    <x v="0"/>
    <s v="NT"/>
    <s v="nontarget"/>
    <s v="Stim2_Set1"/>
    <m/>
    <s v="yes"/>
    <n v="1"/>
    <n v="1"/>
    <n v="1"/>
    <n v="0"/>
  </r>
  <r>
    <n v="1"/>
    <n v="4"/>
    <n v="318"/>
    <n v="1"/>
    <x v="1"/>
    <s v="T"/>
    <s v="switch"/>
    <s v="Stim2_Set1"/>
    <m/>
    <s v="no"/>
    <n v="0"/>
    <n v="0"/>
    <n v="0"/>
    <n v="0"/>
  </r>
  <r>
    <n v="1"/>
    <n v="4"/>
    <n v="319"/>
    <n v="1"/>
    <x v="1"/>
    <s v="F"/>
    <s v="filler"/>
    <s v="Stim7_Set4"/>
    <m/>
    <s v="no"/>
    <n v="1"/>
    <n v="0"/>
    <n v="1"/>
    <n v="0"/>
  </r>
  <r>
    <n v="1"/>
    <n v="4"/>
    <n v="320"/>
    <n v="2"/>
    <x v="0"/>
    <s v="F"/>
    <s v="filler"/>
    <s v="Stim5_Set4"/>
    <m/>
    <s v="no"/>
    <n v="0"/>
    <n v="0"/>
    <n v="0"/>
    <n v="1"/>
  </r>
  <r>
    <n v="1"/>
    <n v="4"/>
    <n v="321"/>
    <n v="1"/>
    <x v="1"/>
    <s v="NT"/>
    <s v="nontarget"/>
    <s v="Stim4_Set1"/>
    <m/>
    <s v="yes"/>
    <n v="0"/>
    <n v="1"/>
    <n v="0"/>
    <n v="1"/>
  </r>
  <r>
    <n v="1"/>
    <n v="4"/>
    <n v="322"/>
    <n v="1"/>
    <x v="1"/>
    <s v="T"/>
    <s v="repeat"/>
    <s v="Stim4_Set1"/>
    <m/>
    <s v="no"/>
    <n v="1"/>
    <n v="0"/>
    <n v="0"/>
    <n v="0"/>
  </r>
  <r>
    <n v="1"/>
    <n v="4"/>
    <n v="323"/>
    <n v="2"/>
    <x v="0"/>
    <s v="F"/>
    <s v="filler"/>
    <s v="Stim2_Set4"/>
    <m/>
    <s v="no"/>
    <n v="0"/>
    <n v="0"/>
    <n v="1"/>
    <n v="0"/>
  </r>
  <r>
    <n v="1"/>
    <n v="4"/>
    <n v="324"/>
    <n v="1"/>
    <x v="1"/>
    <s v="NT"/>
    <s v="nontarget"/>
    <s v="Stim1_Set1"/>
    <m/>
    <s v="yes"/>
    <n v="0"/>
    <n v="1"/>
    <n v="0"/>
    <n v="1"/>
  </r>
  <r>
    <n v="1"/>
    <n v="4"/>
    <n v="325"/>
    <n v="1"/>
    <x v="1"/>
    <s v="T"/>
    <s v="repeat"/>
    <s v="Stim1_Set1"/>
    <m/>
    <s v="no"/>
    <n v="1"/>
    <n v="0"/>
    <n v="0"/>
    <n v="0"/>
  </r>
  <r>
    <n v="1"/>
    <n v="4"/>
    <n v="326"/>
    <n v="1"/>
    <x v="1"/>
    <s v="NT"/>
    <s v="nontarget"/>
    <s v="Stim6_Set1"/>
    <m/>
    <s v="yes"/>
    <n v="1"/>
    <n v="1"/>
    <n v="1"/>
    <n v="0"/>
  </r>
  <r>
    <n v="1"/>
    <n v="4"/>
    <n v="327"/>
    <n v="2"/>
    <x v="0"/>
    <s v="T"/>
    <s v="switch"/>
    <s v="Stim6_Set1"/>
    <m/>
    <s v="no"/>
    <n v="0"/>
    <n v="0"/>
    <n v="0"/>
    <n v="0"/>
  </r>
  <r>
    <n v="2"/>
    <n v="4"/>
    <n v="328"/>
    <n v="1"/>
    <x v="1"/>
    <s v="F"/>
    <s v="filler"/>
    <s v="Stim5_Set1"/>
    <m/>
    <s v="no"/>
    <n v="0"/>
    <n v="0"/>
    <n v="1"/>
    <n v="0"/>
  </r>
  <r>
    <n v="2"/>
    <n v="4"/>
    <n v="329"/>
    <n v="1"/>
    <x v="1"/>
    <s v="NT"/>
    <s v="nontarget"/>
    <s v="Stim8_Set2"/>
    <m/>
    <s v="yes"/>
    <n v="1"/>
    <n v="1"/>
    <n v="0"/>
    <n v="1"/>
  </r>
  <r>
    <n v="2"/>
    <n v="4"/>
    <n v="330"/>
    <n v="1"/>
    <x v="1"/>
    <s v="T"/>
    <s v="repeat"/>
    <s v="Stim8_Set2"/>
    <m/>
    <s v="no"/>
    <n v="1"/>
    <n v="0"/>
    <n v="0"/>
    <n v="0"/>
  </r>
  <r>
    <n v="2"/>
    <n v="4"/>
    <n v="331"/>
    <n v="2"/>
    <x v="0"/>
    <s v="F"/>
    <s v="filler"/>
    <s v="Stim1_Set1"/>
    <m/>
    <s v="no"/>
    <n v="0"/>
    <n v="0"/>
    <n v="1"/>
    <n v="0"/>
  </r>
  <r>
    <n v="2"/>
    <n v="4"/>
    <n v="332"/>
    <n v="1"/>
    <x v="1"/>
    <s v="NT"/>
    <s v="nontarget"/>
    <s v="Stim4_Set2"/>
    <m/>
    <s v="yes"/>
    <n v="0"/>
    <n v="1"/>
    <n v="0"/>
    <n v="1"/>
  </r>
  <r>
    <n v="2"/>
    <n v="4"/>
    <n v="333"/>
    <n v="1"/>
    <x v="1"/>
    <s v="T"/>
    <s v="repeat"/>
    <s v="Stim4_Set2"/>
    <m/>
    <s v="no"/>
    <n v="1"/>
    <n v="0"/>
    <n v="0"/>
    <n v="0"/>
  </r>
  <r>
    <n v="2"/>
    <n v="4"/>
    <n v="334"/>
    <n v="1"/>
    <x v="1"/>
    <s v="F"/>
    <s v="filler"/>
    <s v="Stim8_Set1"/>
    <m/>
    <s v="no"/>
    <n v="1"/>
    <n v="0"/>
    <n v="1"/>
    <n v="0"/>
  </r>
  <r>
    <n v="2"/>
    <n v="4"/>
    <n v="335"/>
    <n v="2"/>
    <x v="0"/>
    <s v="F"/>
    <s v="filler"/>
    <m/>
    <s v="here"/>
    <s v="no"/>
    <n v="0"/>
    <n v="0"/>
    <n v="0"/>
    <n v="1"/>
  </r>
  <r>
    <n v="2"/>
    <n v="4"/>
    <n v="336"/>
    <n v="1"/>
    <x v="1"/>
    <s v="F"/>
    <s v="filler"/>
    <s v="Stim7_Set1"/>
    <m/>
    <s v="yes"/>
    <n v="0"/>
    <n v="0"/>
    <n v="0"/>
    <n v="1"/>
  </r>
  <r>
    <n v="2"/>
    <n v="4"/>
    <n v="337"/>
    <n v="1"/>
    <x v="1"/>
    <s v="NT"/>
    <s v="nontarget"/>
    <s v="Stim6_Set2"/>
    <m/>
    <s v="yes"/>
    <n v="1"/>
    <n v="1"/>
    <n v="0"/>
    <n v="1"/>
  </r>
  <r>
    <n v="2"/>
    <n v="4"/>
    <n v="338"/>
    <n v="1"/>
    <x v="0"/>
    <s v="T"/>
    <s v="switch"/>
    <s v="Stim6_Set2"/>
    <m/>
    <s v="no"/>
    <n v="0"/>
    <n v="0"/>
    <n v="0"/>
    <n v="0"/>
  </r>
  <r>
    <n v="2"/>
    <n v="4"/>
    <n v="339"/>
    <n v="2"/>
    <x v="0"/>
    <s v="F"/>
    <s v="filler"/>
    <s v="Stim3_Set1"/>
    <m/>
    <s v="no"/>
    <n v="1"/>
    <n v="0"/>
    <n v="1"/>
    <n v="0"/>
  </r>
  <r>
    <n v="2"/>
    <n v="4"/>
    <n v="340"/>
    <n v="2"/>
    <x v="0"/>
    <s v="NT"/>
    <s v="nontarget"/>
    <s v="Stim2_Set2"/>
    <m/>
    <s v="yes"/>
    <n v="1"/>
    <n v="1"/>
    <n v="0"/>
    <n v="1"/>
  </r>
  <r>
    <n v="2"/>
    <n v="4"/>
    <n v="341"/>
    <n v="1"/>
    <x v="1"/>
    <s v="T"/>
    <s v="switch"/>
    <s v="Stim2_Set2"/>
    <m/>
    <s v="no"/>
    <n v="0"/>
    <n v="0"/>
    <n v="0"/>
    <n v="0"/>
  </r>
  <r>
    <n v="2"/>
    <n v="4"/>
    <n v="342"/>
    <n v="1"/>
    <x v="1"/>
    <s v="F"/>
    <s v="filler"/>
    <s v="Stim2_Set1"/>
    <m/>
    <s v="no"/>
    <n v="1"/>
    <n v="0"/>
    <n v="1"/>
    <n v="0"/>
  </r>
  <r>
    <n v="2"/>
    <n v="4"/>
    <n v="343"/>
    <n v="1"/>
    <x v="1"/>
    <s v="NT"/>
    <s v="nontarget"/>
    <s v="Stim7_Set2"/>
    <m/>
    <s v="yes"/>
    <n v="1"/>
    <n v="1"/>
    <n v="0"/>
    <n v="1"/>
  </r>
  <r>
    <n v="2"/>
    <n v="4"/>
    <n v="344"/>
    <n v="2"/>
    <x v="0"/>
    <s v="T"/>
    <s v="switch"/>
    <s v="Stim7_Set2"/>
    <m/>
    <s v="no"/>
    <n v="0"/>
    <n v="0"/>
    <n v="0"/>
    <n v="0"/>
  </r>
  <r>
    <n v="2"/>
    <n v="4"/>
    <n v="345"/>
    <n v="2"/>
    <x v="0"/>
    <s v="NT"/>
    <s v="nontarget"/>
    <s v="Stim3_Set2"/>
    <m/>
    <s v="yes"/>
    <n v="1"/>
    <n v="1"/>
    <n v="1"/>
    <n v="0"/>
  </r>
  <r>
    <n v="2"/>
    <n v="4"/>
    <n v="346"/>
    <n v="2"/>
    <x v="0"/>
    <s v="T"/>
    <s v="repeat"/>
    <s v="Stim3_Set2"/>
    <m/>
    <s v="no"/>
    <n v="1"/>
    <n v="0"/>
    <n v="0"/>
    <n v="0"/>
  </r>
  <r>
    <n v="2"/>
    <n v="4"/>
    <n v="347"/>
    <n v="1"/>
    <x v="1"/>
    <s v="F"/>
    <s v="filler"/>
    <s v="Stim4_Set1"/>
    <m/>
    <s v="no"/>
    <n v="0"/>
    <n v="0"/>
    <n v="1"/>
    <n v="0"/>
  </r>
  <r>
    <n v="2"/>
    <n v="4"/>
    <n v="348"/>
    <n v="2"/>
    <x v="0"/>
    <s v="NT"/>
    <s v="nontarget"/>
    <s v="Stim5_Set2"/>
    <m/>
    <s v="yes"/>
    <n v="0"/>
    <n v="1"/>
    <n v="0"/>
    <n v="1"/>
  </r>
  <r>
    <n v="2"/>
    <n v="4"/>
    <n v="349"/>
    <n v="2"/>
    <x v="0"/>
    <s v="T"/>
    <s v="repeat"/>
    <s v="Stim5_Set2"/>
    <m/>
    <s v="no"/>
    <n v="1"/>
    <n v="0"/>
    <n v="0"/>
    <n v="0"/>
  </r>
  <r>
    <n v="2"/>
    <n v="4"/>
    <n v="350"/>
    <n v="1"/>
    <x v="1"/>
    <s v="F"/>
    <s v="filler"/>
    <m/>
    <s v="here"/>
    <s v="no"/>
    <n v="0"/>
    <n v="0"/>
    <n v="1"/>
    <n v="0"/>
  </r>
  <r>
    <n v="2"/>
    <n v="4"/>
    <n v="351"/>
    <n v="2"/>
    <x v="0"/>
    <s v="F"/>
    <s v="filler"/>
    <s v="Stim6_Set1"/>
    <m/>
    <s v="no"/>
    <n v="0"/>
    <n v="0"/>
    <n v="0"/>
    <n v="1"/>
  </r>
  <r>
    <n v="2"/>
    <n v="4"/>
    <n v="352"/>
    <n v="2"/>
    <x v="0"/>
    <s v="NT"/>
    <s v="nontarget"/>
    <s v="Stim1_Set2"/>
    <m/>
    <s v="yes"/>
    <n v="1"/>
    <n v="1"/>
    <n v="0"/>
    <n v="1"/>
  </r>
  <r>
    <n v="2"/>
    <n v="4"/>
    <n v="353"/>
    <n v="1"/>
    <x v="1"/>
    <s v="T"/>
    <s v="switch"/>
    <s v="Stim1_Set2"/>
    <m/>
    <s v="no"/>
    <n v="0"/>
    <n v="0"/>
    <n v="0"/>
    <n v="0"/>
  </r>
  <r>
    <n v="3"/>
    <n v="4"/>
    <n v="354"/>
    <n v="1"/>
    <x v="1"/>
    <s v="NT"/>
    <s v="nontarget"/>
    <s v="Stim5_Set3"/>
    <m/>
    <s v="yes"/>
    <n v="1"/>
    <n v="1"/>
    <n v="1"/>
    <n v="0"/>
  </r>
  <r>
    <n v="3"/>
    <n v="4"/>
    <n v="355"/>
    <n v="2"/>
    <x v="0"/>
    <s v="T"/>
    <s v="switch"/>
    <s v="Stim5_Set3"/>
    <m/>
    <s v="no"/>
    <n v="0"/>
    <n v="0"/>
    <n v="0"/>
    <n v="0"/>
  </r>
  <r>
    <n v="3"/>
    <n v="4"/>
    <n v="356"/>
    <n v="2"/>
    <x v="0"/>
    <s v="F"/>
    <s v="filler"/>
    <s v="Stim8_Set2"/>
    <m/>
    <s v="no"/>
    <n v="1"/>
    <n v="0"/>
    <n v="1"/>
    <n v="0"/>
  </r>
  <r>
    <n v="3"/>
    <n v="4"/>
    <n v="357"/>
    <n v="2"/>
    <x v="0"/>
    <s v="NT"/>
    <s v="nontarget"/>
    <s v="Stim1_Set3"/>
    <m/>
    <s v="yes"/>
    <n v="1"/>
    <n v="1"/>
    <n v="0"/>
    <n v="1"/>
  </r>
  <r>
    <n v="3"/>
    <n v="4"/>
    <n v="358"/>
    <n v="1"/>
    <x v="1"/>
    <s v="T"/>
    <s v="switch"/>
    <s v="Stim1_Set3"/>
    <m/>
    <s v="no"/>
    <n v="0"/>
    <n v="0"/>
    <n v="0"/>
    <n v="0"/>
  </r>
  <r>
    <n v="3"/>
    <n v="4"/>
    <n v="359"/>
    <n v="1"/>
    <x v="1"/>
    <s v="F"/>
    <s v="filler"/>
    <s v="Stim4_Set2"/>
    <m/>
    <s v="no"/>
    <n v="1"/>
    <n v="0"/>
    <n v="1"/>
    <n v="0"/>
  </r>
  <r>
    <n v="3"/>
    <n v="4"/>
    <n v="360"/>
    <n v="1"/>
    <x v="1"/>
    <s v="NT"/>
    <s v="nontarget"/>
    <s v="Stim7_Set3"/>
    <m/>
    <s v="yes"/>
    <n v="1"/>
    <n v="1"/>
    <n v="0"/>
    <n v="1"/>
  </r>
  <r>
    <n v="3"/>
    <n v="4"/>
    <n v="361"/>
    <n v="2"/>
    <x v="0"/>
    <s v="T"/>
    <s v="switch"/>
    <s v="Stim7_Set3"/>
    <m/>
    <s v="no"/>
    <n v="0"/>
    <n v="0"/>
    <n v="0"/>
    <n v="0"/>
  </r>
  <r>
    <n v="3"/>
    <n v="4"/>
    <n v="362"/>
    <n v="1"/>
    <x v="1"/>
    <s v="F"/>
    <s v="filler"/>
    <s v="Stim6_Set2"/>
    <m/>
    <s v="no"/>
    <n v="0"/>
    <n v="0"/>
    <n v="1"/>
    <n v="0"/>
  </r>
  <r>
    <n v="3"/>
    <n v="4"/>
    <n v="363"/>
    <n v="2"/>
    <x v="0"/>
    <s v="NT"/>
    <s v="nontarget"/>
    <s v="Stim3_Set3"/>
    <m/>
    <s v="yes"/>
    <n v="0"/>
    <n v="1"/>
    <n v="0"/>
    <n v="1"/>
  </r>
  <r>
    <n v="3"/>
    <n v="4"/>
    <n v="364"/>
    <n v="2"/>
    <x v="0"/>
    <s v="T"/>
    <s v="repeat"/>
    <s v="Stim3_Set3"/>
    <m/>
    <s v="no"/>
    <n v="1"/>
    <n v="0"/>
    <n v="0"/>
    <n v="0"/>
  </r>
  <r>
    <n v="3"/>
    <n v="4"/>
    <n v="365"/>
    <n v="2"/>
    <x v="0"/>
    <s v="F"/>
    <s v="filler"/>
    <s v="Stim2_Set2"/>
    <m/>
    <s v="no"/>
    <n v="1"/>
    <n v="0"/>
    <n v="1"/>
    <n v="0"/>
  </r>
  <r>
    <n v="3"/>
    <n v="4"/>
    <n v="366"/>
    <n v="1"/>
    <x v="1"/>
    <s v="F"/>
    <s v="filler"/>
    <s v="Stim7_Set2"/>
    <m/>
    <s v="yes"/>
    <n v="0"/>
    <n v="0"/>
    <n v="0"/>
    <n v="1"/>
  </r>
  <r>
    <n v="3"/>
    <n v="4"/>
    <n v="367"/>
    <n v="2"/>
    <x v="0"/>
    <s v="NT"/>
    <s v="nontarget"/>
    <s v="Stim2_Set3"/>
    <m/>
    <s v="yes"/>
    <n v="0"/>
    <n v="1"/>
    <n v="0"/>
    <n v="1"/>
  </r>
  <r>
    <n v="3"/>
    <n v="4"/>
    <n v="368"/>
    <n v="2"/>
    <x v="0"/>
    <s v="T"/>
    <s v="repeat"/>
    <s v="Stim2_Set3"/>
    <m/>
    <s v="no"/>
    <n v="1"/>
    <n v="0"/>
    <n v="0"/>
    <n v="0"/>
  </r>
  <r>
    <n v="3"/>
    <n v="4"/>
    <n v="369"/>
    <n v="2"/>
    <x v="0"/>
    <s v="NT"/>
    <s v="nontarget"/>
    <s v="Stim8_Set3"/>
    <m/>
    <s v="yes"/>
    <n v="1"/>
    <n v="1"/>
    <n v="1"/>
    <n v="0"/>
  </r>
  <r>
    <n v="3"/>
    <n v="4"/>
    <n v="370"/>
    <n v="1"/>
    <x v="1"/>
    <s v="T"/>
    <s v="switch"/>
    <s v="Stim8_Set3"/>
    <m/>
    <s v="no"/>
    <n v="0"/>
    <n v="0"/>
    <n v="0"/>
    <n v="0"/>
  </r>
  <r>
    <n v="3"/>
    <n v="4"/>
    <n v="371"/>
    <n v="2"/>
    <x v="0"/>
    <s v="F"/>
    <s v="filler"/>
    <s v="Stim5_Set2"/>
    <m/>
    <s v="no"/>
    <n v="0"/>
    <n v="0"/>
    <n v="1"/>
    <n v="0"/>
  </r>
  <r>
    <n v="3"/>
    <n v="4"/>
    <n v="372"/>
    <n v="1"/>
    <x v="1"/>
    <s v="F"/>
    <s v="filler"/>
    <s v="Stim3_Set2"/>
    <m/>
    <s v="no"/>
    <n v="0"/>
    <n v="0"/>
    <n v="0"/>
    <n v="1"/>
  </r>
  <r>
    <n v="3"/>
    <n v="4"/>
    <n v="373"/>
    <n v="1"/>
    <x v="1"/>
    <s v="NT"/>
    <s v="nontarget"/>
    <s v="Stim6_Set3"/>
    <m/>
    <s v="yes"/>
    <n v="1"/>
    <n v="1"/>
    <n v="0"/>
    <n v="1"/>
  </r>
  <r>
    <n v="3"/>
    <n v="4"/>
    <n v="374"/>
    <n v="1"/>
    <x v="1"/>
    <s v="T"/>
    <s v="repeat"/>
    <s v="Stim6_Set3"/>
    <m/>
    <s v="no"/>
    <n v="1"/>
    <n v="0"/>
    <n v="0"/>
    <n v="0"/>
  </r>
  <r>
    <n v="3"/>
    <n v="4"/>
    <n v="375"/>
    <n v="2"/>
    <x v="0"/>
    <s v="F"/>
    <s v="filler"/>
    <s v="Stim1_Set2"/>
    <m/>
    <s v="no"/>
    <n v="0"/>
    <n v="0"/>
    <n v="1"/>
    <n v="0"/>
  </r>
  <r>
    <n v="3"/>
    <n v="4"/>
    <n v="376"/>
    <n v="1"/>
    <x v="1"/>
    <s v="NT"/>
    <s v="nontarget"/>
    <s v="Stim4_Set3"/>
    <m/>
    <s v="yes"/>
    <n v="0"/>
    <n v="1"/>
    <n v="0"/>
    <n v="1"/>
  </r>
  <r>
    <n v="3"/>
    <n v="4"/>
    <n v="377"/>
    <n v="1"/>
    <x v="1"/>
    <s v="T"/>
    <s v="repeat"/>
    <s v="Stim4_Set3"/>
    <m/>
    <s v="no"/>
    <n v="1"/>
    <n v="0"/>
    <n v="0"/>
    <n v="0"/>
  </r>
  <r>
    <n v="4"/>
    <n v="4"/>
    <n v="378"/>
    <n v="1"/>
    <x v="1"/>
    <s v="F"/>
    <s v="filler"/>
    <s v="Stim1_Set3"/>
    <m/>
    <s v="no"/>
    <n v="1"/>
    <n v="0"/>
    <n v="1"/>
    <n v="0"/>
  </r>
  <r>
    <n v="4"/>
    <n v="4"/>
    <n v="379"/>
    <n v="2"/>
    <x v="0"/>
    <s v="F"/>
    <s v="filler"/>
    <s v="Stim5_Set3"/>
    <m/>
    <s v="yes"/>
    <n v="0"/>
    <n v="0"/>
    <n v="0"/>
    <n v="1"/>
  </r>
  <r>
    <n v="4"/>
    <n v="4"/>
    <n v="380"/>
    <n v="1"/>
    <x v="1"/>
    <s v="NT"/>
    <s v="nontarget"/>
    <s v="Stim6_Set4"/>
    <m/>
    <s v="yes"/>
    <n v="0"/>
    <n v="1"/>
    <n v="0"/>
    <n v="1"/>
  </r>
  <r>
    <n v="4"/>
    <n v="4"/>
    <n v="381"/>
    <n v="1"/>
    <x v="1"/>
    <s v="T"/>
    <s v="repeat"/>
    <s v="Stim6_Set4"/>
    <m/>
    <s v="no"/>
    <n v="1"/>
    <n v="0"/>
    <n v="0"/>
    <n v="0"/>
  </r>
  <r>
    <n v="4"/>
    <n v="4"/>
    <n v="382"/>
    <n v="1"/>
    <x v="1"/>
    <s v="NT"/>
    <s v="nontarget"/>
    <s v="Stim3_Set4"/>
    <m/>
    <s v="yes"/>
    <n v="1"/>
    <n v="1"/>
    <n v="1"/>
    <n v="0"/>
  </r>
  <r>
    <n v="4"/>
    <n v="4"/>
    <n v="383"/>
    <n v="2"/>
    <x v="0"/>
    <s v="T"/>
    <s v="switch"/>
    <s v="Stim3_Set4"/>
    <m/>
    <s v="no"/>
    <n v="0"/>
    <n v="0"/>
    <n v="0"/>
    <n v="0"/>
  </r>
  <r>
    <n v="4"/>
    <n v="4"/>
    <n v="384"/>
    <n v="1"/>
    <x v="1"/>
    <s v="F"/>
    <s v="filler"/>
    <s v="Stim7_Set3"/>
    <m/>
    <s v="no"/>
    <n v="0"/>
    <n v="0"/>
    <n v="1"/>
    <n v="0"/>
  </r>
  <r>
    <n v="4"/>
    <n v="4"/>
    <n v="385"/>
    <n v="2"/>
    <x v="0"/>
    <s v="NT"/>
    <s v="nontarget"/>
    <s v="Stim5_Set4"/>
    <m/>
    <s v="yes"/>
    <n v="0"/>
    <n v="1"/>
    <n v="0"/>
    <n v="1"/>
  </r>
  <r>
    <n v="4"/>
    <n v="4"/>
    <n v="386"/>
    <n v="2"/>
    <x v="0"/>
    <s v="T"/>
    <s v="repeat"/>
    <s v="Stim5_Set4"/>
    <m/>
    <s v="no"/>
    <n v="1"/>
    <n v="0"/>
    <n v="0"/>
    <n v="0"/>
  </r>
  <r>
    <n v="4"/>
    <n v="4"/>
    <n v="387"/>
    <n v="2"/>
    <x v="0"/>
    <s v="NT"/>
    <s v="nontarget"/>
    <s v="Stim1_Set4"/>
    <m/>
    <s v="yes"/>
    <n v="1"/>
    <n v="1"/>
    <n v="1"/>
    <n v="0"/>
  </r>
  <r>
    <n v="4"/>
    <n v="4"/>
    <n v="388"/>
    <n v="1"/>
    <x v="1"/>
    <s v="T"/>
    <s v="switch"/>
    <s v="Stim1_Set4"/>
    <m/>
    <s v="no"/>
    <n v="0"/>
    <n v="0"/>
    <n v="0"/>
    <n v="0"/>
  </r>
  <r>
    <n v="4"/>
    <n v="4"/>
    <n v="389"/>
    <n v="2"/>
    <x v="0"/>
    <s v="F"/>
    <s v="filler"/>
    <s v="Stim3_Set3"/>
    <m/>
    <s v="no"/>
    <n v="0"/>
    <n v="0"/>
    <n v="1"/>
    <n v="0"/>
  </r>
  <r>
    <n v="4"/>
    <n v="4"/>
    <n v="390"/>
    <n v="1"/>
    <x v="1"/>
    <s v="NT"/>
    <s v="nontarget"/>
    <s v="Stim4_Set4"/>
    <m/>
    <s v="yes"/>
    <n v="0"/>
    <n v="1"/>
    <n v="0"/>
    <n v="1"/>
  </r>
  <r>
    <n v="4"/>
    <n v="4"/>
    <n v="391"/>
    <n v="2"/>
    <x v="0"/>
    <s v="T"/>
    <s v="switch"/>
    <s v="Stim4_Set4"/>
    <m/>
    <s v="no"/>
    <n v="0"/>
    <n v="0"/>
    <n v="0"/>
    <n v="0"/>
  </r>
  <r>
    <n v="4"/>
    <n v="4"/>
    <n v="392"/>
    <n v="1"/>
    <x v="1"/>
    <s v="F"/>
    <s v="filler"/>
    <m/>
    <s v="here"/>
    <s v="no"/>
    <n v="0"/>
    <n v="0"/>
    <n v="1"/>
    <n v="0"/>
  </r>
  <r>
    <n v="4"/>
    <n v="4"/>
    <n v="393"/>
    <n v="2"/>
    <x v="0"/>
    <s v="F"/>
    <s v="filler"/>
    <s v="Stim2_Set3"/>
    <m/>
    <s v="no"/>
    <n v="0"/>
    <n v="0"/>
    <n v="0"/>
    <n v="1"/>
  </r>
  <r>
    <n v="4"/>
    <n v="4"/>
    <n v="394"/>
    <n v="2"/>
    <x v="0"/>
    <s v="NT"/>
    <s v="nontarget"/>
    <s v="Stim7_Set4"/>
    <m/>
    <s v="yes"/>
    <n v="1"/>
    <n v="1"/>
    <n v="0"/>
    <n v="1"/>
  </r>
  <r>
    <n v="4"/>
    <n v="4"/>
    <n v="395"/>
    <n v="2"/>
    <x v="0"/>
    <s v="T"/>
    <s v="repeat"/>
    <s v="Stim7_Set4"/>
    <m/>
    <s v="no"/>
    <n v="1"/>
    <n v="0"/>
    <n v="0"/>
    <n v="0"/>
  </r>
  <r>
    <n v="4"/>
    <n v="4"/>
    <n v="396"/>
    <n v="1"/>
    <x v="1"/>
    <s v="F"/>
    <s v="filler"/>
    <s v="Stim8_Set3"/>
    <m/>
    <s v="no"/>
    <n v="0"/>
    <n v="0"/>
    <n v="1"/>
    <n v="0"/>
  </r>
  <r>
    <n v="4"/>
    <n v="4"/>
    <n v="397"/>
    <n v="2"/>
    <x v="0"/>
    <s v="F"/>
    <s v="filler"/>
    <s v="Stim6_Set3"/>
    <m/>
    <s v="no"/>
    <n v="0"/>
    <n v="0"/>
    <n v="0"/>
    <n v="1"/>
  </r>
  <r>
    <n v="4"/>
    <n v="4"/>
    <n v="398"/>
    <n v="2"/>
    <x v="0"/>
    <s v="NT"/>
    <s v="nontarget"/>
    <s v="Stim8_Set4"/>
    <m/>
    <s v="yes"/>
    <n v="1"/>
    <n v="1"/>
    <n v="0"/>
    <n v="1"/>
  </r>
  <r>
    <n v="4"/>
    <n v="4"/>
    <n v="399"/>
    <n v="1"/>
    <x v="1"/>
    <s v="T"/>
    <s v="switch"/>
    <s v="Stim8_Set4"/>
    <m/>
    <s v="no"/>
    <n v="0"/>
    <n v="0"/>
    <n v="0"/>
    <n v="0"/>
  </r>
  <r>
    <n v="4"/>
    <n v="4"/>
    <n v="400"/>
    <n v="2"/>
    <x v="0"/>
    <s v="F"/>
    <s v="filler"/>
    <m/>
    <s v="here"/>
    <s v="no"/>
    <n v="0"/>
    <n v="0"/>
    <n v="1"/>
    <n v="0"/>
  </r>
  <r>
    <n v="4"/>
    <n v="4"/>
    <n v="401"/>
    <n v="1"/>
    <x v="1"/>
    <s v="F"/>
    <s v="filler"/>
    <s v="Stim4_Set3"/>
    <m/>
    <s v="no"/>
    <n v="0"/>
    <n v="0"/>
    <n v="0"/>
    <n v="1"/>
  </r>
  <r>
    <n v="4"/>
    <n v="4"/>
    <n v="402"/>
    <n v="1"/>
    <x v="1"/>
    <s v="NT"/>
    <s v="nontarget"/>
    <s v="Stim2_Set4"/>
    <m/>
    <s v="yes"/>
    <n v="1"/>
    <n v="1"/>
    <n v="0"/>
    <n v="1"/>
  </r>
  <r>
    <n v="4"/>
    <n v="4"/>
    <n v="403"/>
    <n v="1"/>
    <x v="1"/>
    <s v="T"/>
    <s v="repeat"/>
    <s v="Stim2_Set4"/>
    <m/>
    <s v="no"/>
    <n v="1"/>
    <n v="0"/>
    <n v="0"/>
    <n v="0"/>
  </r>
  <r>
    <n v="4"/>
    <n v="4"/>
    <n v="404"/>
    <n v="2"/>
    <x v="0"/>
    <s v="F"/>
    <s v="filler"/>
    <m/>
    <s v="here"/>
    <s v="no"/>
    <n v="0"/>
    <n v="1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">
  <r>
    <n v="1"/>
    <n v="1"/>
    <n v="1"/>
    <n v="2"/>
    <x v="0"/>
    <x v="0"/>
    <s v="filler"/>
    <m/>
    <s v="here"/>
    <s v="no"/>
    <x v="0"/>
    <n v="0"/>
    <x v="0"/>
    <x v="0"/>
  </r>
  <r>
    <n v="1"/>
    <n v="1"/>
    <n v="2"/>
    <n v="2"/>
    <x v="0"/>
    <x v="1"/>
    <s v="nontarget"/>
    <s v="Stim1_Set1"/>
    <m/>
    <s v="yes"/>
    <x v="1"/>
    <n v="1"/>
    <x v="0"/>
    <x v="1"/>
  </r>
  <r>
    <n v="1"/>
    <n v="1"/>
    <n v="3"/>
    <n v="2"/>
    <x v="0"/>
    <x v="2"/>
    <s v="repeat"/>
    <s v="Stim1_Set1"/>
    <m/>
    <s v="no"/>
    <x v="1"/>
    <n v="0"/>
    <x v="0"/>
    <x v="0"/>
  </r>
  <r>
    <n v="1"/>
    <n v="1"/>
    <n v="4"/>
    <n v="1"/>
    <x v="1"/>
    <x v="0"/>
    <s v="filler"/>
    <s v="Stim1_Set4"/>
    <m/>
    <s v="no"/>
    <x v="0"/>
    <n v="0"/>
    <x v="1"/>
    <x v="0"/>
  </r>
  <r>
    <n v="1"/>
    <n v="1"/>
    <n v="5"/>
    <n v="2"/>
    <x v="0"/>
    <x v="1"/>
    <s v="nontarget"/>
    <s v="Stim2_Set1"/>
    <m/>
    <s v="yes"/>
    <x v="0"/>
    <n v="1"/>
    <x v="0"/>
    <x v="1"/>
  </r>
  <r>
    <n v="1"/>
    <n v="1"/>
    <n v="6"/>
    <n v="2"/>
    <x v="0"/>
    <x v="2"/>
    <s v="repeat"/>
    <s v="Stim2_Set1"/>
    <m/>
    <s v="no"/>
    <x v="1"/>
    <n v="0"/>
    <x v="0"/>
    <x v="0"/>
  </r>
  <r>
    <n v="1"/>
    <n v="1"/>
    <n v="7"/>
    <n v="1"/>
    <x v="1"/>
    <x v="0"/>
    <s v="filler"/>
    <s v="Stim2_Set4"/>
    <m/>
    <s v="no"/>
    <x v="0"/>
    <n v="0"/>
    <x v="1"/>
    <x v="0"/>
  </r>
  <r>
    <n v="1"/>
    <n v="1"/>
    <n v="8"/>
    <n v="2"/>
    <x v="0"/>
    <x v="1"/>
    <s v="nontarget"/>
    <s v="Stim3_Set1"/>
    <m/>
    <s v="yes"/>
    <x v="0"/>
    <n v="1"/>
    <x v="0"/>
    <x v="1"/>
  </r>
  <r>
    <n v="1"/>
    <n v="1"/>
    <n v="9"/>
    <n v="1"/>
    <x v="1"/>
    <x v="2"/>
    <s v="switch"/>
    <s v="Stim3_Set1"/>
    <m/>
    <s v="no"/>
    <x v="0"/>
    <n v="0"/>
    <x v="0"/>
    <x v="0"/>
  </r>
  <r>
    <n v="1"/>
    <n v="1"/>
    <n v="10"/>
    <n v="2"/>
    <x v="0"/>
    <x v="0"/>
    <s v="filler"/>
    <s v="Stim5_Set4"/>
    <m/>
    <s v="no"/>
    <x v="0"/>
    <n v="0"/>
    <x v="1"/>
    <x v="0"/>
  </r>
  <r>
    <n v="1"/>
    <n v="1"/>
    <n v="11"/>
    <n v="1"/>
    <x v="1"/>
    <x v="1"/>
    <s v="nontarget"/>
    <s v="Stim4_Set1"/>
    <m/>
    <s v="yes"/>
    <x v="0"/>
    <n v="1"/>
    <x v="0"/>
    <x v="1"/>
  </r>
  <r>
    <n v="1"/>
    <n v="1"/>
    <n v="12"/>
    <n v="2"/>
    <x v="0"/>
    <x v="2"/>
    <s v="switch"/>
    <s v="Stim4_Set1"/>
    <m/>
    <s v="no"/>
    <x v="0"/>
    <n v="0"/>
    <x v="0"/>
    <x v="0"/>
  </r>
  <r>
    <n v="1"/>
    <n v="1"/>
    <n v="13"/>
    <n v="2"/>
    <x v="0"/>
    <x v="0"/>
    <s v="filler"/>
    <s v="Stim3_Set4"/>
    <m/>
    <s v="no"/>
    <x v="1"/>
    <n v="0"/>
    <x v="1"/>
    <x v="0"/>
  </r>
  <r>
    <n v="1"/>
    <n v="1"/>
    <n v="14"/>
    <n v="2"/>
    <x v="0"/>
    <x v="1"/>
    <s v="nontarget"/>
    <s v="Stim5_Set1"/>
    <m/>
    <s v="yes"/>
    <x v="1"/>
    <n v="1"/>
    <x v="0"/>
    <x v="1"/>
  </r>
  <r>
    <n v="1"/>
    <n v="1"/>
    <n v="15"/>
    <n v="1"/>
    <x v="1"/>
    <x v="2"/>
    <s v="switch"/>
    <s v="Stim5_Set1"/>
    <m/>
    <s v="no"/>
    <x v="0"/>
    <n v="0"/>
    <x v="0"/>
    <x v="0"/>
  </r>
  <r>
    <n v="1"/>
    <n v="1"/>
    <n v="16"/>
    <n v="2"/>
    <x v="0"/>
    <x v="0"/>
    <s v="filler"/>
    <s v="Stim4_Set4"/>
    <m/>
    <s v="no"/>
    <x v="0"/>
    <n v="0"/>
    <x v="1"/>
    <x v="0"/>
  </r>
  <r>
    <n v="1"/>
    <n v="1"/>
    <n v="17"/>
    <n v="1"/>
    <x v="1"/>
    <x v="1"/>
    <s v="nontarget"/>
    <s v="Stim6_Set1"/>
    <m/>
    <s v="yes"/>
    <x v="0"/>
    <n v="1"/>
    <x v="0"/>
    <x v="1"/>
  </r>
  <r>
    <n v="1"/>
    <n v="1"/>
    <n v="18"/>
    <n v="1"/>
    <x v="1"/>
    <x v="2"/>
    <s v="repeat"/>
    <s v="Stim6_Set1"/>
    <m/>
    <s v="no"/>
    <x v="1"/>
    <n v="0"/>
    <x v="0"/>
    <x v="0"/>
  </r>
  <r>
    <n v="1"/>
    <n v="1"/>
    <n v="19"/>
    <n v="1"/>
    <x v="1"/>
    <x v="0"/>
    <s v="filler"/>
    <s v="Stim7_Set4"/>
    <m/>
    <s v="no"/>
    <x v="1"/>
    <n v="0"/>
    <x v="1"/>
    <x v="0"/>
  </r>
  <r>
    <n v="1"/>
    <n v="1"/>
    <n v="20"/>
    <n v="1"/>
    <x v="1"/>
    <x v="1"/>
    <s v="nontarget"/>
    <s v="Stim7_Set1"/>
    <m/>
    <s v="yes"/>
    <x v="1"/>
    <n v="1"/>
    <x v="0"/>
    <x v="1"/>
  </r>
  <r>
    <n v="1"/>
    <n v="1"/>
    <n v="21"/>
    <n v="1"/>
    <x v="1"/>
    <x v="2"/>
    <s v="repeat"/>
    <s v="Stim7_Set1"/>
    <m/>
    <s v="no"/>
    <x v="1"/>
    <n v="0"/>
    <x v="0"/>
    <x v="0"/>
  </r>
  <r>
    <n v="1"/>
    <n v="1"/>
    <n v="22"/>
    <n v="2"/>
    <x v="0"/>
    <x v="0"/>
    <s v="filler"/>
    <s v="Stim6_Set4"/>
    <m/>
    <s v="no"/>
    <x v="0"/>
    <n v="0"/>
    <x v="1"/>
    <x v="0"/>
  </r>
  <r>
    <n v="1"/>
    <n v="1"/>
    <n v="23"/>
    <n v="1"/>
    <x v="1"/>
    <x v="0"/>
    <s v="filler"/>
    <s v="Stim8_Set4"/>
    <m/>
    <s v="yes"/>
    <x v="0"/>
    <n v="0"/>
    <x v="0"/>
    <x v="1"/>
  </r>
  <r>
    <n v="1"/>
    <n v="1"/>
    <n v="24"/>
    <n v="1"/>
    <x v="1"/>
    <x v="1"/>
    <s v="nontarget"/>
    <s v="Stim8_Set1"/>
    <m/>
    <s v="yes"/>
    <x v="1"/>
    <n v="1"/>
    <x v="0"/>
    <x v="1"/>
  </r>
  <r>
    <n v="1"/>
    <n v="1"/>
    <n v="25"/>
    <n v="2"/>
    <x v="0"/>
    <x v="2"/>
    <s v="switch"/>
    <s v="Stim8_Set1"/>
    <m/>
    <s v="no"/>
    <x v="0"/>
    <n v="0"/>
    <x v="0"/>
    <x v="0"/>
  </r>
  <r>
    <n v="2"/>
    <n v="1"/>
    <n v="26"/>
    <n v="2"/>
    <x v="0"/>
    <x v="0"/>
    <s v="filler"/>
    <s v="Stim1_Set1"/>
    <m/>
    <s v="no"/>
    <x v="1"/>
    <n v="0"/>
    <x v="1"/>
    <x v="0"/>
  </r>
  <r>
    <n v="2"/>
    <n v="1"/>
    <n v="27"/>
    <n v="1"/>
    <x v="1"/>
    <x v="1"/>
    <s v="nontarget"/>
    <s v="Stim1_Set2"/>
    <m/>
    <s v="yes"/>
    <x v="0"/>
    <n v="1"/>
    <x v="0"/>
    <x v="1"/>
  </r>
  <r>
    <n v="2"/>
    <n v="1"/>
    <n v="28"/>
    <n v="1"/>
    <x v="1"/>
    <x v="2"/>
    <s v="repeat"/>
    <s v="Stim1_Set2"/>
    <m/>
    <s v="no"/>
    <x v="1"/>
    <n v="0"/>
    <x v="0"/>
    <x v="0"/>
  </r>
  <r>
    <n v="2"/>
    <n v="1"/>
    <n v="29"/>
    <n v="2"/>
    <x v="0"/>
    <x v="0"/>
    <s v="filler"/>
    <s v="Stim2_Set1"/>
    <m/>
    <s v="no"/>
    <x v="0"/>
    <n v="0"/>
    <x v="1"/>
    <x v="0"/>
  </r>
  <r>
    <n v="2"/>
    <n v="1"/>
    <n v="30"/>
    <n v="1"/>
    <x v="1"/>
    <x v="1"/>
    <s v="nontarget"/>
    <s v="Stim2_Set2"/>
    <m/>
    <s v="yes"/>
    <x v="0"/>
    <n v="1"/>
    <x v="0"/>
    <x v="1"/>
  </r>
  <r>
    <n v="2"/>
    <n v="1"/>
    <n v="31"/>
    <n v="1"/>
    <x v="1"/>
    <x v="2"/>
    <s v="repeat"/>
    <s v="Stim2_Set2"/>
    <m/>
    <s v="no"/>
    <x v="1"/>
    <n v="0"/>
    <x v="0"/>
    <x v="0"/>
  </r>
  <r>
    <n v="2"/>
    <n v="1"/>
    <n v="32"/>
    <n v="2"/>
    <x v="0"/>
    <x v="0"/>
    <s v="filler"/>
    <s v="Stim4_Set1"/>
    <m/>
    <s v="no"/>
    <x v="0"/>
    <n v="0"/>
    <x v="1"/>
    <x v="0"/>
  </r>
  <r>
    <n v="2"/>
    <n v="1"/>
    <n v="33"/>
    <n v="1"/>
    <x v="1"/>
    <x v="1"/>
    <s v="nontarget"/>
    <s v="Stim3_Set2"/>
    <m/>
    <s v="yes"/>
    <x v="0"/>
    <n v="1"/>
    <x v="0"/>
    <x v="1"/>
  </r>
  <r>
    <n v="2"/>
    <n v="1"/>
    <n v="34"/>
    <n v="2"/>
    <x v="0"/>
    <x v="2"/>
    <s v="switch"/>
    <s v="Stim3_Set2"/>
    <m/>
    <s v="no"/>
    <x v="0"/>
    <n v="0"/>
    <x v="0"/>
    <x v="0"/>
  </r>
  <r>
    <n v="2"/>
    <n v="1"/>
    <n v="35"/>
    <n v="2"/>
    <x v="0"/>
    <x v="1"/>
    <s v="nontarget"/>
    <s v="Stim4_Set2"/>
    <m/>
    <s v="yes"/>
    <x v="1"/>
    <n v="1"/>
    <x v="1"/>
    <x v="0"/>
  </r>
  <r>
    <n v="2"/>
    <n v="1"/>
    <n v="36"/>
    <n v="1"/>
    <x v="1"/>
    <x v="2"/>
    <s v="switch"/>
    <s v="Stim4_Set2"/>
    <m/>
    <s v="no"/>
    <x v="0"/>
    <n v="0"/>
    <x v="0"/>
    <x v="0"/>
  </r>
  <r>
    <n v="2"/>
    <n v="1"/>
    <n v="37"/>
    <n v="1"/>
    <x v="1"/>
    <x v="0"/>
    <s v="filler"/>
    <s v="Stim3_Set1"/>
    <m/>
    <s v="no"/>
    <x v="1"/>
    <n v="0"/>
    <x v="1"/>
    <x v="0"/>
  </r>
  <r>
    <n v="2"/>
    <n v="1"/>
    <n v="38"/>
    <n v="1"/>
    <x v="1"/>
    <x v="1"/>
    <s v="nontarget"/>
    <s v="Stim5_Set2"/>
    <m/>
    <s v="yes"/>
    <x v="1"/>
    <n v="1"/>
    <x v="0"/>
    <x v="1"/>
  </r>
  <r>
    <n v="2"/>
    <n v="1"/>
    <n v="39"/>
    <n v="2"/>
    <x v="0"/>
    <x v="2"/>
    <s v="switch"/>
    <s v="Stim5_Set2"/>
    <m/>
    <s v="no"/>
    <x v="0"/>
    <n v="0"/>
    <x v="0"/>
    <x v="0"/>
  </r>
  <r>
    <n v="2"/>
    <n v="1"/>
    <n v="40"/>
    <n v="1"/>
    <x v="1"/>
    <x v="0"/>
    <s v="filler"/>
    <s v="Stim7_Set1"/>
    <m/>
    <s v="no"/>
    <x v="0"/>
    <n v="0"/>
    <x v="1"/>
    <x v="0"/>
  </r>
  <r>
    <n v="2"/>
    <n v="1"/>
    <n v="41"/>
    <n v="2"/>
    <x v="0"/>
    <x v="0"/>
    <s v="filler"/>
    <s v="Stim5_Set1"/>
    <m/>
    <s v="yes"/>
    <x v="0"/>
    <n v="0"/>
    <x v="0"/>
    <x v="1"/>
  </r>
  <r>
    <n v="2"/>
    <n v="1"/>
    <n v="42"/>
    <n v="2"/>
    <x v="0"/>
    <x v="1"/>
    <s v="nontarget"/>
    <s v="Stim6_Set2"/>
    <m/>
    <s v="yes"/>
    <x v="1"/>
    <n v="1"/>
    <x v="0"/>
    <x v="1"/>
  </r>
  <r>
    <n v="2"/>
    <n v="1"/>
    <n v="43"/>
    <n v="2"/>
    <x v="0"/>
    <x v="2"/>
    <s v="repeat"/>
    <s v="Stim6_Set2"/>
    <m/>
    <s v="no"/>
    <x v="1"/>
    <n v="0"/>
    <x v="0"/>
    <x v="0"/>
  </r>
  <r>
    <n v="2"/>
    <n v="1"/>
    <n v="44"/>
    <n v="1"/>
    <x v="1"/>
    <x v="0"/>
    <s v="filler"/>
    <s v="Stim6_Set1"/>
    <m/>
    <s v="no"/>
    <x v="0"/>
    <n v="0"/>
    <x v="1"/>
    <x v="0"/>
  </r>
  <r>
    <n v="2"/>
    <n v="1"/>
    <n v="45"/>
    <n v="2"/>
    <x v="0"/>
    <x v="1"/>
    <s v="nontarget"/>
    <s v="Stim7_Set2"/>
    <m/>
    <s v="yes"/>
    <x v="0"/>
    <n v="1"/>
    <x v="0"/>
    <x v="1"/>
  </r>
  <r>
    <n v="2"/>
    <n v="1"/>
    <n v="46"/>
    <n v="2"/>
    <x v="0"/>
    <x v="2"/>
    <s v="repeat"/>
    <s v="Stim7_Set2"/>
    <m/>
    <s v="no"/>
    <x v="1"/>
    <n v="0"/>
    <x v="0"/>
    <x v="0"/>
  </r>
  <r>
    <n v="2"/>
    <n v="1"/>
    <n v="47"/>
    <n v="1"/>
    <x v="1"/>
    <x v="0"/>
    <s v="filler"/>
    <m/>
    <s v="here"/>
    <s v="no"/>
    <x v="0"/>
    <n v="0"/>
    <x v="1"/>
    <x v="0"/>
  </r>
  <r>
    <n v="2"/>
    <n v="1"/>
    <n v="48"/>
    <n v="2"/>
    <x v="0"/>
    <x v="0"/>
    <s v="filler"/>
    <s v="Stim8_Set1"/>
    <m/>
    <s v="no"/>
    <x v="0"/>
    <n v="0"/>
    <x v="0"/>
    <x v="1"/>
  </r>
  <r>
    <n v="2"/>
    <n v="1"/>
    <n v="49"/>
    <n v="2"/>
    <x v="0"/>
    <x v="1"/>
    <s v="nontarget"/>
    <s v="Stim8_Set2"/>
    <m/>
    <s v="yes"/>
    <x v="1"/>
    <n v="1"/>
    <x v="0"/>
    <x v="1"/>
  </r>
  <r>
    <n v="2"/>
    <n v="1"/>
    <n v="50"/>
    <n v="1"/>
    <x v="1"/>
    <x v="2"/>
    <s v="switch"/>
    <s v="Stim8_Set2"/>
    <m/>
    <s v="no"/>
    <x v="0"/>
    <n v="0"/>
    <x v="0"/>
    <x v="0"/>
  </r>
  <r>
    <n v="3"/>
    <n v="1"/>
    <n v="51"/>
    <n v="1"/>
    <x v="1"/>
    <x v="1"/>
    <s v="nontarget"/>
    <s v="Stim1_Set3"/>
    <m/>
    <s v="yes"/>
    <x v="1"/>
    <n v="1"/>
    <x v="1"/>
    <x v="0"/>
  </r>
  <r>
    <n v="3"/>
    <n v="1"/>
    <n v="52"/>
    <n v="2"/>
    <x v="0"/>
    <x v="2"/>
    <s v="switch"/>
    <s v="Stim1_Set3"/>
    <m/>
    <s v="no"/>
    <x v="0"/>
    <n v="0"/>
    <x v="0"/>
    <x v="0"/>
  </r>
  <r>
    <n v="3"/>
    <n v="1"/>
    <n v="53"/>
    <n v="2"/>
    <x v="0"/>
    <x v="0"/>
    <s v="filler"/>
    <m/>
    <s v="here"/>
    <s v="no"/>
    <x v="1"/>
    <n v="0"/>
    <x v="1"/>
    <x v="0"/>
  </r>
  <r>
    <n v="3"/>
    <n v="1"/>
    <n v="54"/>
    <n v="2"/>
    <x v="0"/>
    <x v="1"/>
    <s v="nontarget"/>
    <s v="Stim2_Set3"/>
    <m/>
    <s v="yes"/>
    <x v="1"/>
    <n v="1"/>
    <x v="0"/>
    <x v="1"/>
  </r>
  <r>
    <n v="3"/>
    <n v="1"/>
    <n v="55"/>
    <n v="1"/>
    <x v="1"/>
    <x v="2"/>
    <s v="switch"/>
    <s v="Stim2_Set3"/>
    <m/>
    <s v="no"/>
    <x v="0"/>
    <n v="0"/>
    <x v="0"/>
    <x v="0"/>
  </r>
  <r>
    <n v="3"/>
    <n v="1"/>
    <n v="56"/>
    <n v="1"/>
    <x v="1"/>
    <x v="0"/>
    <s v="filler"/>
    <s v="Stim1_Set2"/>
    <m/>
    <s v="no"/>
    <x v="1"/>
    <n v="0"/>
    <x v="1"/>
    <x v="0"/>
  </r>
  <r>
    <n v="3"/>
    <n v="1"/>
    <n v="57"/>
    <n v="1"/>
    <x v="1"/>
    <x v="1"/>
    <s v="nontarget"/>
    <s v="Stim3_Set3"/>
    <m/>
    <s v="yes"/>
    <x v="1"/>
    <n v="1"/>
    <x v="0"/>
    <x v="1"/>
  </r>
  <r>
    <n v="3"/>
    <n v="1"/>
    <n v="58"/>
    <n v="2"/>
    <x v="0"/>
    <x v="2"/>
    <s v="switch"/>
    <s v="Stim3_Set3"/>
    <m/>
    <s v="no"/>
    <x v="0"/>
    <n v="0"/>
    <x v="0"/>
    <x v="0"/>
  </r>
  <r>
    <n v="3"/>
    <n v="1"/>
    <n v="59"/>
    <n v="2"/>
    <x v="0"/>
    <x v="0"/>
    <s v="filler"/>
    <s v="Stim2_Set2"/>
    <m/>
    <s v="no"/>
    <x v="1"/>
    <n v="0"/>
    <x v="1"/>
    <x v="0"/>
  </r>
  <r>
    <n v="3"/>
    <n v="1"/>
    <n v="60"/>
    <n v="1"/>
    <x v="1"/>
    <x v="0"/>
    <s v="filler"/>
    <s v="Stim4_Set2"/>
    <m/>
    <s v="no"/>
    <x v="0"/>
    <n v="0"/>
    <x v="0"/>
    <x v="1"/>
  </r>
  <r>
    <n v="3"/>
    <n v="1"/>
    <n v="61"/>
    <n v="2"/>
    <x v="0"/>
    <x v="1"/>
    <s v="nontarget"/>
    <s v="Stim4_Set3"/>
    <m/>
    <s v="yes"/>
    <x v="0"/>
    <n v="1"/>
    <x v="0"/>
    <x v="1"/>
  </r>
  <r>
    <n v="3"/>
    <n v="1"/>
    <n v="62"/>
    <n v="2"/>
    <x v="0"/>
    <x v="2"/>
    <s v="repeat"/>
    <s v="Stim4_Set3"/>
    <m/>
    <s v="no"/>
    <x v="1"/>
    <n v="0"/>
    <x v="0"/>
    <x v="0"/>
  </r>
  <r>
    <n v="3"/>
    <n v="1"/>
    <n v="63"/>
    <n v="1"/>
    <x v="1"/>
    <x v="0"/>
    <s v="filler"/>
    <s v="Stim3_Set2"/>
    <m/>
    <s v="no"/>
    <x v="0"/>
    <n v="0"/>
    <x v="1"/>
    <x v="0"/>
  </r>
  <r>
    <n v="3"/>
    <n v="1"/>
    <n v="64"/>
    <n v="2"/>
    <x v="0"/>
    <x v="0"/>
    <s v="filler"/>
    <s v="Stim5_Set2"/>
    <m/>
    <s v="no"/>
    <x v="0"/>
    <n v="0"/>
    <x v="0"/>
    <x v="1"/>
  </r>
  <r>
    <n v="3"/>
    <n v="1"/>
    <n v="65"/>
    <n v="2"/>
    <x v="0"/>
    <x v="1"/>
    <s v="nontarget"/>
    <s v="Stim5_Set3"/>
    <m/>
    <s v="yes"/>
    <x v="1"/>
    <n v="1"/>
    <x v="0"/>
    <x v="1"/>
  </r>
  <r>
    <n v="3"/>
    <n v="1"/>
    <n v="66"/>
    <n v="2"/>
    <x v="0"/>
    <x v="2"/>
    <s v="repeat"/>
    <s v="Stim5_Set3"/>
    <m/>
    <s v="no"/>
    <x v="1"/>
    <n v="0"/>
    <x v="0"/>
    <x v="0"/>
  </r>
  <r>
    <n v="3"/>
    <n v="1"/>
    <n v="67"/>
    <n v="1"/>
    <x v="1"/>
    <x v="0"/>
    <s v="filler"/>
    <m/>
    <s v="here"/>
    <s v="no"/>
    <x v="0"/>
    <n v="0"/>
    <x v="1"/>
    <x v="0"/>
  </r>
  <r>
    <n v="3"/>
    <n v="1"/>
    <n v="68"/>
    <n v="2"/>
    <x v="0"/>
    <x v="1"/>
    <s v="nontarget"/>
    <s v="Stim6_Set3"/>
    <m/>
    <s v="yes"/>
    <x v="0"/>
    <n v="1"/>
    <x v="0"/>
    <x v="1"/>
  </r>
  <r>
    <n v="3"/>
    <n v="1"/>
    <n v="69"/>
    <n v="1"/>
    <x v="1"/>
    <x v="2"/>
    <s v="switch"/>
    <s v="Stim6_Set3"/>
    <m/>
    <s v="no"/>
    <x v="0"/>
    <n v="0"/>
    <x v="0"/>
    <x v="0"/>
  </r>
  <r>
    <n v="3"/>
    <n v="1"/>
    <n v="70"/>
    <n v="2"/>
    <x v="0"/>
    <x v="0"/>
    <s v="filler"/>
    <s v="Stim6_Set2"/>
    <m/>
    <s v="no"/>
    <x v="0"/>
    <n v="0"/>
    <x v="1"/>
    <x v="0"/>
  </r>
  <r>
    <n v="3"/>
    <n v="1"/>
    <n v="71"/>
    <n v="1"/>
    <x v="1"/>
    <x v="1"/>
    <s v="nontarget"/>
    <s v="Stim7_Set3"/>
    <m/>
    <s v="yes"/>
    <x v="0"/>
    <n v="1"/>
    <x v="0"/>
    <x v="1"/>
  </r>
  <r>
    <n v="3"/>
    <n v="1"/>
    <n v="72"/>
    <n v="1"/>
    <x v="1"/>
    <x v="2"/>
    <s v="repeat"/>
    <s v="Stim7_Set3"/>
    <m/>
    <s v="no"/>
    <x v="1"/>
    <n v="0"/>
    <x v="0"/>
    <x v="0"/>
  </r>
  <r>
    <n v="3"/>
    <n v="1"/>
    <n v="73"/>
    <n v="2"/>
    <x v="0"/>
    <x v="0"/>
    <s v="filler"/>
    <s v="Stim7_Set2"/>
    <m/>
    <s v="no"/>
    <x v="0"/>
    <n v="0"/>
    <x v="1"/>
    <x v="0"/>
  </r>
  <r>
    <n v="3"/>
    <n v="1"/>
    <n v="74"/>
    <n v="1"/>
    <x v="1"/>
    <x v="0"/>
    <s v="filler"/>
    <s v="Stim8_Set2"/>
    <m/>
    <s v="yes"/>
    <x v="0"/>
    <n v="0"/>
    <x v="0"/>
    <x v="1"/>
  </r>
  <r>
    <n v="3"/>
    <n v="1"/>
    <n v="75"/>
    <n v="1"/>
    <x v="1"/>
    <x v="1"/>
    <s v="nontarget"/>
    <s v="Stim8_Set3"/>
    <m/>
    <s v="yes"/>
    <x v="1"/>
    <n v="1"/>
    <x v="0"/>
    <x v="1"/>
  </r>
  <r>
    <n v="3"/>
    <n v="1"/>
    <n v="76"/>
    <n v="1"/>
    <x v="1"/>
    <x v="2"/>
    <s v="repeat"/>
    <s v="Stim8_Set3"/>
    <m/>
    <s v="no"/>
    <x v="1"/>
    <n v="0"/>
    <x v="0"/>
    <x v="0"/>
  </r>
  <r>
    <n v="4"/>
    <n v="1"/>
    <n v="77"/>
    <n v="2"/>
    <x v="0"/>
    <x v="0"/>
    <s v="filler"/>
    <s v="Stim1_Set3"/>
    <m/>
    <s v="no"/>
    <x v="0"/>
    <n v="0"/>
    <x v="1"/>
    <x v="0"/>
  </r>
  <r>
    <n v="4"/>
    <n v="1"/>
    <n v="78"/>
    <n v="1"/>
    <x v="1"/>
    <x v="1"/>
    <s v="nontarget"/>
    <s v="Stim1_Set4"/>
    <m/>
    <s v="yes"/>
    <x v="0"/>
    <n v="1"/>
    <x v="0"/>
    <x v="1"/>
  </r>
  <r>
    <n v="4"/>
    <n v="1"/>
    <n v="79"/>
    <n v="1"/>
    <x v="1"/>
    <x v="2"/>
    <s v="repeat"/>
    <s v="Stim1_Set4"/>
    <m/>
    <s v="no"/>
    <x v="1"/>
    <n v="0"/>
    <x v="0"/>
    <x v="0"/>
  </r>
  <r>
    <n v="4"/>
    <n v="1"/>
    <n v="80"/>
    <n v="1"/>
    <x v="1"/>
    <x v="1"/>
    <s v="nontarget"/>
    <s v="Stim2_Set4"/>
    <m/>
    <s v="yes"/>
    <x v="1"/>
    <n v="1"/>
    <x v="1"/>
    <x v="0"/>
  </r>
  <r>
    <n v="4"/>
    <n v="1"/>
    <n v="81"/>
    <n v="2"/>
    <x v="0"/>
    <x v="2"/>
    <s v="switch"/>
    <s v="Stim2_Set4"/>
    <m/>
    <s v="no"/>
    <x v="0"/>
    <n v="0"/>
    <x v="0"/>
    <x v="0"/>
  </r>
  <r>
    <n v="4"/>
    <n v="1"/>
    <n v="82"/>
    <n v="2"/>
    <x v="0"/>
    <x v="0"/>
    <s v="filler"/>
    <s v="Stim3_Set3"/>
    <m/>
    <s v="no"/>
    <x v="1"/>
    <n v="0"/>
    <x v="1"/>
    <x v="0"/>
  </r>
  <r>
    <n v="4"/>
    <n v="1"/>
    <n v="83"/>
    <n v="1"/>
    <x v="1"/>
    <x v="0"/>
    <s v="filler"/>
    <s v="Stim2_Set3"/>
    <m/>
    <s v="no"/>
    <x v="0"/>
    <n v="0"/>
    <x v="0"/>
    <x v="1"/>
  </r>
  <r>
    <n v="4"/>
    <n v="1"/>
    <n v="84"/>
    <n v="2"/>
    <x v="0"/>
    <x v="1"/>
    <s v="nontarget"/>
    <s v="Stim3_Set4"/>
    <m/>
    <s v="yes"/>
    <x v="0"/>
    <n v="1"/>
    <x v="0"/>
    <x v="1"/>
  </r>
  <r>
    <n v="4"/>
    <n v="1"/>
    <n v="85"/>
    <n v="2"/>
    <x v="0"/>
    <x v="2"/>
    <s v="repeat"/>
    <s v="Stim3_Set4"/>
    <m/>
    <s v="no"/>
    <x v="1"/>
    <n v="0"/>
    <x v="0"/>
    <x v="0"/>
  </r>
  <r>
    <n v="4"/>
    <n v="1"/>
    <n v="86"/>
    <n v="2"/>
    <x v="0"/>
    <x v="1"/>
    <s v="nontarget"/>
    <s v="Stim4_Set4"/>
    <m/>
    <s v="yes"/>
    <x v="1"/>
    <n v="1"/>
    <x v="1"/>
    <x v="0"/>
  </r>
  <r>
    <n v="4"/>
    <n v="1"/>
    <n v="87"/>
    <n v="1"/>
    <x v="1"/>
    <x v="2"/>
    <s v="switch"/>
    <s v="Stim4_Set4"/>
    <m/>
    <s v="no"/>
    <x v="0"/>
    <n v="0"/>
    <x v="0"/>
    <x v="0"/>
  </r>
  <r>
    <n v="4"/>
    <n v="1"/>
    <n v="88"/>
    <n v="2"/>
    <x v="0"/>
    <x v="0"/>
    <s v="filler"/>
    <s v="Stim4_Set3"/>
    <m/>
    <s v="no"/>
    <x v="0"/>
    <n v="0"/>
    <x v="1"/>
    <x v="0"/>
  </r>
  <r>
    <n v="4"/>
    <n v="1"/>
    <n v="89"/>
    <n v="1"/>
    <x v="1"/>
    <x v="0"/>
    <s v="filler"/>
    <s v="Stim5_Set3"/>
    <m/>
    <s v="yes"/>
    <x v="0"/>
    <n v="0"/>
    <x v="0"/>
    <x v="1"/>
  </r>
  <r>
    <n v="4"/>
    <n v="1"/>
    <n v="90"/>
    <n v="1"/>
    <x v="1"/>
    <x v="1"/>
    <s v="nontarget"/>
    <s v="Stim5_Set4"/>
    <m/>
    <s v="yes"/>
    <x v="1"/>
    <n v="1"/>
    <x v="0"/>
    <x v="1"/>
  </r>
  <r>
    <n v="4"/>
    <n v="1"/>
    <n v="91"/>
    <n v="2"/>
    <x v="0"/>
    <x v="2"/>
    <s v="switch"/>
    <s v="Stim5_Set4"/>
    <m/>
    <s v="no"/>
    <x v="0"/>
    <n v="0"/>
    <x v="0"/>
    <x v="0"/>
  </r>
  <r>
    <n v="4"/>
    <n v="1"/>
    <n v="92"/>
    <n v="2"/>
    <x v="0"/>
    <x v="1"/>
    <s v="nontarget"/>
    <s v="Stim6_Set4"/>
    <m/>
    <s v="yes"/>
    <x v="1"/>
    <n v="1"/>
    <x v="1"/>
    <x v="0"/>
  </r>
  <r>
    <n v="4"/>
    <n v="1"/>
    <n v="93"/>
    <n v="2"/>
    <x v="0"/>
    <x v="2"/>
    <s v="repeat"/>
    <s v="Stim6_Set4"/>
    <m/>
    <s v="no"/>
    <x v="1"/>
    <n v="0"/>
    <x v="0"/>
    <x v="0"/>
  </r>
  <r>
    <n v="4"/>
    <n v="1"/>
    <n v="94"/>
    <n v="1"/>
    <x v="1"/>
    <x v="0"/>
    <s v="filler"/>
    <m/>
    <s v="here"/>
    <s v="no"/>
    <x v="0"/>
    <n v="0"/>
    <x v="1"/>
    <x v="0"/>
  </r>
  <r>
    <n v="4"/>
    <n v="1"/>
    <n v="95"/>
    <n v="2"/>
    <x v="0"/>
    <x v="0"/>
    <s v="filler"/>
    <s v="Stim7_Set3"/>
    <m/>
    <s v="no"/>
    <x v="0"/>
    <n v="0"/>
    <x v="0"/>
    <x v="1"/>
  </r>
  <r>
    <n v="4"/>
    <n v="1"/>
    <n v="96"/>
    <n v="2"/>
    <x v="0"/>
    <x v="1"/>
    <s v="nontarget"/>
    <s v="Stim7_Set4"/>
    <m/>
    <s v="yes"/>
    <x v="1"/>
    <n v="1"/>
    <x v="0"/>
    <x v="1"/>
  </r>
  <r>
    <n v="4"/>
    <n v="1"/>
    <n v="97"/>
    <n v="1"/>
    <x v="1"/>
    <x v="2"/>
    <s v="switch"/>
    <s v="Stim7_Set4"/>
    <m/>
    <s v="no"/>
    <x v="0"/>
    <n v="0"/>
    <x v="0"/>
    <x v="0"/>
  </r>
  <r>
    <n v="4"/>
    <n v="1"/>
    <n v="98"/>
    <n v="1"/>
    <x v="1"/>
    <x v="1"/>
    <s v="nontarget"/>
    <s v="Stim8_Set4"/>
    <m/>
    <s v="yes"/>
    <x v="1"/>
    <n v="1"/>
    <x v="1"/>
    <x v="0"/>
  </r>
  <r>
    <n v="4"/>
    <n v="1"/>
    <n v="99"/>
    <n v="1"/>
    <x v="1"/>
    <x v="2"/>
    <s v="repeat"/>
    <s v="Stim8_Set4"/>
    <m/>
    <s v="no"/>
    <x v="1"/>
    <n v="0"/>
    <x v="0"/>
    <x v="0"/>
  </r>
  <r>
    <n v="4"/>
    <n v="1"/>
    <n v="100"/>
    <n v="1"/>
    <x v="0"/>
    <x v="0"/>
    <s v="filler"/>
    <s v="Stim8_Set3"/>
    <m/>
    <s v="no"/>
    <x v="0"/>
    <n v="0"/>
    <x v="1"/>
    <x v="0"/>
  </r>
  <r>
    <n v="4"/>
    <n v="1"/>
    <n v="101"/>
    <n v="1"/>
    <x v="1"/>
    <x v="0"/>
    <s v="filler"/>
    <s v="Stim6_Set3"/>
    <m/>
    <s v="yes"/>
    <x v="0"/>
    <n v="0"/>
    <x v="0"/>
    <x v="1"/>
  </r>
  <r>
    <s v="BREAK"/>
    <m/>
    <n v="102"/>
    <m/>
    <x v="2"/>
    <x v="3"/>
    <m/>
    <m/>
    <m/>
    <s v="no"/>
    <x v="0"/>
    <n v="0"/>
    <x v="0"/>
    <x v="1"/>
  </r>
  <r>
    <n v="1"/>
    <n v="2"/>
    <n v="103"/>
    <n v="2"/>
    <x v="0"/>
    <x v="1"/>
    <s v="nontarget"/>
    <s v="Stim4_Set1"/>
    <m/>
    <s v="yes"/>
    <x v="0"/>
    <n v="1"/>
    <x v="0"/>
    <x v="0"/>
  </r>
  <r>
    <n v="1"/>
    <n v="2"/>
    <n v="104"/>
    <n v="2"/>
    <x v="0"/>
    <x v="2"/>
    <s v="repeat"/>
    <s v="Stim4_Set1"/>
    <m/>
    <s v="no"/>
    <x v="1"/>
    <n v="0"/>
    <x v="0"/>
    <x v="0"/>
  </r>
  <r>
    <n v="1"/>
    <n v="2"/>
    <n v="105"/>
    <n v="1"/>
    <x v="1"/>
    <x v="0"/>
    <s v="filler"/>
    <s v="Stim3_Set4"/>
    <m/>
    <s v="no"/>
    <x v="0"/>
    <n v="0"/>
    <x v="1"/>
    <x v="0"/>
  </r>
  <r>
    <n v="1"/>
    <n v="2"/>
    <n v="106"/>
    <n v="2"/>
    <x v="0"/>
    <x v="1"/>
    <s v="nontarget"/>
    <s v="Stim3_Set1"/>
    <m/>
    <s v="yes"/>
    <x v="0"/>
    <n v="1"/>
    <x v="0"/>
    <x v="1"/>
  </r>
  <r>
    <n v="1"/>
    <n v="2"/>
    <n v="107"/>
    <n v="2"/>
    <x v="0"/>
    <x v="2"/>
    <s v="repeat"/>
    <s v="Stim3_Set1"/>
    <m/>
    <s v="no"/>
    <x v="1"/>
    <n v="0"/>
    <x v="0"/>
    <x v="0"/>
  </r>
  <r>
    <n v="1"/>
    <n v="2"/>
    <n v="108"/>
    <n v="1"/>
    <x v="1"/>
    <x v="0"/>
    <s v="filler"/>
    <m/>
    <s v="here"/>
    <s v="no"/>
    <x v="0"/>
    <n v="0"/>
    <x v="1"/>
    <x v="0"/>
  </r>
  <r>
    <n v="1"/>
    <n v="2"/>
    <n v="109"/>
    <n v="2"/>
    <x v="0"/>
    <x v="0"/>
    <s v="filler"/>
    <s v="Stim8_Set4"/>
    <m/>
    <s v="no"/>
    <x v="0"/>
    <n v="0"/>
    <x v="0"/>
    <x v="1"/>
  </r>
  <r>
    <n v="1"/>
    <n v="2"/>
    <n v="110"/>
    <n v="2"/>
    <x v="0"/>
    <x v="1"/>
    <s v="nontarget"/>
    <s v="Stim6_Set1"/>
    <m/>
    <s v="yes"/>
    <x v="1"/>
    <n v="1"/>
    <x v="0"/>
    <x v="1"/>
  </r>
  <r>
    <n v="1"/>
    <n v="2"/>
    <n v="111"/>
    <n v="1"/>
    <x v="1"/>
    <x v="2"/>
    <s v="switch"/>
    <s v="Stim6_Set1"/>
    <m/>
    <s v="no"/>
    <x v="0"/>
    <n v="0"/>
    <x v="0"/>
    <x v="0"/>
  </r>
  <r>
    <n v="1"/>
    <n v="2"/>
    <n v="112"/>
    <n v="1"/>
    <x v="1"/>
    <x v="0"/>
    <s v="filler"/>
    <s v="Stim4_Set4"/>
    <m/>
    <s v="no"/>
    <x v="1"/>
    <n v="0"/>
    <x v="1"/>
    <x v="0"/>
  </r>
  <r>
    <n v="1"/>
    <n v="2"/>
    <n v="113"/>
    <n v="1"/>
    <x v="1"/>
    <x v="1"/>
    <s v="nontarget"/>
    <s v="Stim2_Set1"/>
    <m/>
    <s v="yes"/>
    <x v="1"/>
    <n v="1"/>
    <x v="0"/>
    <x v="1"/>
  </r>
  <r>
    <n v="1"/>
    <n v="2"/>
    <n v="114"/>
    <n v="2"/>
    <x v="0"/>
    <x v="2"/>
    <s v="switch"/>
    <s v="Stim2_Set1"/>
    <m/>
    <s v="no"/>
    <x v="0"/>
    <n v="0"/>
    <x v="0"/>
    <x v="0"/>
  </r>
  <r>
    <n v="1"/>
    <n v="2"/>
    <n v="115"/>
    <n v="2"/>
    <x v="0"/>
    <x v="1"/>
    <s v="nontarget"/>
    <s v="Stim1_Set1"/>
    <m/>
    <s v="yes"/>
    <x v="1"/>
    <n v="1"/>
    <x v="1"/>
    <x v="0"/>
  </r>
  <r>
    <n v="1"/>
    <n v="2"/>
    <n v="116"/>
    <n v="1"/>
    <x v="1"/>
    <x v="2"/>
    <s v="switch"/>
    <s v="Stim1_Set1"/>
    <m/>
    <s v="no"/>
    <x v="0"/>
    <n v="0"/>
    <x v="0"/>
    <x v="0"/>
  </r>
  <r>
    <n v="1"/>
    <n v="2"/>
    <n v="117"/>
    <n v="2"/>
    <x v="0"/>
    <x v="0"/>
    <s v="filler"/>
    <s v="Stim2_Set4"/>
    <m/>
    <s v="no"/>
    <x v="0"/>
    <n v="0"/>
    <x v="1"/>
    <x v="0"/>
  </r>
  <r>
    <n v="1"/>
    <n v="2"/>
    <n v="118"/>
    <n v="1"/>
    <x v="1"/>
    <x v="1"/>
    <s v="nontarget"/>
    <s v="Stim8_Set1"/>
    <m/>
    <s v="yes"/>
    <x v="0"/>
    <n v="1"/>
    <x v="0"/>
    <x v="1"/>
  </r>
  <r>
    <n v="1"/>
    <n v="2"/>
    <n v="119"/>
    <n v="1"/>
    <x v="1"/>
    <x v="2"/>
    <s v="repeat"/>
    <s v="Stim8_Set1"/>
    <m/>
    <s v="no"/>
    <x v="1"/>
    <n v="0"/>
    <x v="0"/>
    <x v="0"/>
  </r>
  <r>
    <n v="1"/>
    <n v="2"/>
    <n v="120"/>
    <n v="2"/>
    <x v="0"/>
    <x v="0"/>
    <s v="filler"/>
    <s v="Stim7_Set4"/>
    <m/>
    <s v="no"/>
    <x v="0"/>
    <n v="0"/>
    <x v="1"/>
    <x v="0"/>
  </r>
  <r>
    <n v="1"/>
    <n v="2"/>
    <n v="121"/>
    <n v="1"/>
    <x v="1"/>
    <x v="1"/>
    <s v="nontarget"/>
    <s v="Stim5_Set1"/>
    <m/>
    <s v="yes"/>
    <x v="0"/>
    <n v="1"/>
    <x v="0"/>
    <x v="1"/>
  </r>
  <r>
    <n v="1"/>
    <n v="2"/>
    <n v="122"/>
    <n v="1"/>
    <x v="1"/>
    <x v="2"/>
    <s v="repeat"/>
    <s v="Stim5_Set1"/>
    <m/>
    <s v="no"/>
    <x v="1"/>
    <n v="0"/>
    <x v="0"/>
    <x v="0"/>
  </r>
  <r>
    <n v="1"/>
    <n v="2"/>
    <n v="123"/>
    <n v="2"/>
    <x v="0"/>
    <x v="0"/>
    <s v="filler"/>
    <s v="Stim1_Set4"/>
    <m/>
    <s v="no"/>
    <x v="0"/>
    <n v="0"/>
    <x v="1"/>
    <x v="0"/>
  </r>
  <r>
    <n v="1"/>
    <n v="2"/>
    <n v="124"/>
    <n v="1"/>
    <x v="1"/>
    <x v="0"/>
    <s v="filler"/>
    <s v="Stim6_Set4"/>
    <m/>
    <s v="no"/>
    <x v="0"/>
    <n v="0"/>
    <x v="0"/>
    <x v="1"/>
  </r>
  <r>
    <n v="1"/>
    <n v="2"/>
    <n v="125"/>
    <n v="1"/>
    <x v="1"/>
    <x v="1"/>
    <s v="nontarget"/>
    <s v="Stim7_Set1"/>
    <m/>
    <s v="yes"/>
    <x v="1"/>
    <n v="1"/>
    <x v="0"/>
    <x v="1"/>
  </r>
  <r>
    <n v="1"/>
    <n v="2"/>
    <n v="126"/>
    <n v="2"/>
    <x v="0"/>
    <x v="2"/>
    <s v="switch"/>
    <s v="Stim7_Set1"/>
    <m/>
    <s v="no"/>
    <x v="0"/>
    <n v="0"/>
    <x v="0"/>
    <x v="0"/>
  </r>
  <r>
    <n v="1"/>
    <n v="2"/>
    <n v="127"/>
    <n v="1"/>
    <x v="1"/>
    <x v="0"/>
    <s v="filler"/>
    <s v="Stim5_Set4"/>
    <m/>
    <s v="no"/>
    <x v="0"/>
    <n v="0"/>
    <x v="1"/>
    <x v="0"/>
  </r>
  <r>
    <n v="2"/>
    <n v="2"/>
    <n v="128"/>
    <n v="1"/>
    <x v="1"/>
    <x v="1"/>
    <s v="nontarget"/>
    <s v="Stim5_Set2"/>
    <m/>
    <s v="yes"/>
    <x v="1"/>
    <n v="1"/>
    <x v="0"/>
    <x v="1"/>
  </r>
  <r>
    <n v="2"/>
    <n v="2"/>
    <n v="129"/>
    <n v="1"/>
    <x v="1"/>
    <x v="2"/>
    <s v="repeat"/>
    <s v="Stim5_Set2"/>
    <m/>
    <s v="no"/>
    <x v="1"/>
    <n v="0"/>
    <x v="0"/>
    <x v="0"/>
  </r>
  <r>
    <n v="2"/>
    <n v="2"/>
    <n v="130"/>
    <n v="2"/>
    <x v="0"/>
    <x v="0"/>
    <s v="filler"/>
    <s v="Stim4_Set1"/>
    <m/>
    <s v="no"/>
    <x v="0"/>
    <n v="0"/>
    <x v="1"/>
    <x v="0"/>
  </r>
  <r>
    <n v="2"/>
    <n v="2"/>
    <n v="131"/>
    <n v="1"/>
    <x v="1"/>
    <x v="1"/>
    <s v="nontarget"/>
    <s v="Stim3_Set2"/>
    <m/>
    <s v="yes"/>
    <x v="0"/>
    <n v="1"/>
    <x v="0"/>
    <x v="1"/>
  </r>
  <r>
    <n v="2"/>
    <n v="2"/>
    <n v="132"/>
    <n v="1"/>
    <x v="1"/>
    <x v="2"/>
    <s v="repeat"/>
    <s v="Stim3_Set2"/>
    <m/>
    <s v="no"/>
    <x v="1"/>
    <n v="0"/>
    <x v="0"/>
    <x v="0"/>
  </r>
  <r>
    <n v="2"/>
    <n v="2"/>
    <n v="133"/>
    <n v="1"/>
    <x v="1"/>
    <x v="1"/>
    <s v="nontarget"/>
    <s v="Stim1_Set2"/>
    <m/>
    <s v="yes"/>
    <x v="1"/>
    <n v="1"/>
    <x v="1"/>
    <x v="0"/>
  </r>
  <r>
    <n v="2"/>
    <n v="2"/>
    <n v="134"/>
    <n v="2"/>
    <x v="0"/>
    <x v="2"/>
    <s v="switch"/>
    <s v="Stim1_Set2"/>
    <m/>
    <s v="no"/>
    <x v="0"/>
    <n v="0"/>
    <x v="0"/>
    <x v="0"/>
  </r>
  <r>
    <n v="2"/>
    <n v="2"/>
    <n v="135"/>
    <n v="2"/>
    <x v="0"/>
    <x v="0"/>
    <s v="filler"/>
    <s v="Stim3_Set1"/>
    <m/>
    <s v="no"/>
    <x v="1"/>
    <n v="0"/>
    <x v="1"/>
    <x v="0"/>
  </r>
  <r>
    <n v="2"/>
    <n v="2"/>
    <n v="136"/>
    <n v="2"/>
    <x v="0"/>
    <x v="1"/>
    <s v="nontarget"/>
    <s v="Stim7_Set2"/>
    <m/>
    <s v="yes"/>
    <x v="1"/>
    <n v="1"/>
    <x v="0"/>
    <x v="1"/>
  </r>
  <r>
    <n v="2"/>
    <n v="2"/>
    <n v="137"/>
    <n v="1"/>
    <x v="1"/>
    <x v="2"/>
    <s v="switch"/>
    <s v="Stim7_Set2"/>
    <m/>
    <s v="no"/>
    <x v="0"/>
    <n v="0"/>
    <x v="0"/>
    <x v="0"/>
  </r>
  <r>
    <n v="2"/>
    <n v="2"/>
    <n v="138"/>
    <n v="1"/>
    <x v="1"/>
    <x v="1"/>
    <s v="nontarget"/>
    <s v="Stim2_Set2"/>
    <m/>
    <s v="yes"/>
    <x v="1"/>
    <n v="1"/>
    <x v="1"/>
    <x v="0"/>
  </r>
  <r>
    <n v="2"/>
    <n v="2"/>
    <n v="139"/>
    <n v="2"/>
    <x v="0"/>
    <x v="2"/>
    <s v="switch"/>
    <s v="Stim2_Set2"/>
    <m/>
    <s v="no"/>
    <x v="0"/>
    <n v="0"/>
    <x v="0"/>
    <x v="0"/>
  </r>
  <r>
    <n v="2"/>
    <n v="2"/>
    <n v="140"/>
    <n v="1"/>
    <x v="1"/>
    <x v="0"/>
    <s v="filler"/>
    <s v="Stim6_Set1"/>
    <m/>
    <s v="no"/>
    <x v="0"/>
    <n v="0"/>
    <x v="1"/>
    <x v="0"/>
  </r>
  <r>
    <n v="2"/>
    <n v="2"/>
    <n v="141"/>
    <n v="2"/>
    <x v="0"/>
    <x v="0"/>
    <s v="filler"/>
    <s v="Stim2_Set1"/>
    <m/>
    <s v="no"/>
    <x v="0"/>
    <n v="0"/>
    <x v="0"/>
    <x v="1"/>
  </r>
  <r>
    <n v="2"/>
    <n v="2"/>
    <n v="142"/>
    <n v="1"/>
    <x v="1"/>
    <x v="0"/>
    <s v="filler"/>
    <s v="Stim5_Set1"/>
    <m/>
    <s v="no"/>
    <x v="0"/>
    <n v="0"/>
    <x v="0"/>
    <x v="1"/>
  </r>
  <r>
    <n v="2"/>
    <n v="2"/>
    <n v="143"/>
    <n v="2"/>
    <x v="0"/>
    <x v="1"/>
    <s v="nontarget"/>
    <s v="Stim4_Set2"/>
    <m/>
    <s v="yes"/>
    <x v="0"/>
    <n v="1"/>
    <x v="0"/>
    <x v="1"/>
  </r>
  <r>
    <n v="2"/>
    <n v="2"/>
    <n v="144"/>
    <n v="2"/>
    <x v="0"/>
    <x v="2"/>
    <s v="repeat"/>
    <s v="Stim4_Set2"/>
    <m/>
    <s v="no"/>
    <x v="1"/>
    <n v="0"/>
    <x v="0"/>
    <x v="0"/>
  </r>
  <r>
    <n v="2"/>
    <n v="2"/>
    <n v="145"/>
    <n v="1"/>
    <x v="1"/>
    <x v="0"/>
    <s v="filler"/>
    <s v="Stim1_Set1"/>
    <m/>
    <s v="no"/>
    <x v="0"/>
    <n v="0"/>
    <x v="1"/>
    <x v="0"/>
  </r>
  <r>
    <n v="2"/>
    <n v="2"/>
    <n v="146"/>
    <n v="2"/>
    <x v="0"/>
    <x v="1"/>
    <s v="nontarget"/>
    <s v="Stim8_Set2"/>
    <m/>
    <s v="yes"/>
    <x v="0"/>
    <n v="1"/>
    <x v="0"/>
    <x v="1"/>
  </r>
  <r>
    <n v="2"/>
    <n v="2"/>
    <n v="147"/>
    <n v="2"/>
    <x v="0"/>
    <x v="2"/>
    <s v="repeat"/>
    <s v="Stim8_Set2"/>
    <m/>
    <s v="no"/>
    <x v="1"/>
    <n v="0"/>
    <x v="0"/>
    <x v="0"/>
  </r>
  <r>
    <n v="2"/>
    <n v="2"/>
    <n v="148"/>
    <n v="1"/>
    <x v="1"/>
    <x v="0"/>
    <s v="filler"/>
    <s v="Stim8_Set1"/>
    <m/>
    <s v="no"/>
    <x v="0"/>
    <n v="0"/>
    <x v="1"/>
    <x v="0"/>
  </r>
  <r>
    <n v="2"/>
    <n v="2"/>
    <n v="149"/>
    <n v="2"/>
    <x v="0"/>
    <x v="0"/>
    <s v="filler"/>
    <s v="Stim7_Set1"/>
    <m/>
    <s v="no"/>
    <x v="0"/>
    <n v="0"/>
    <x v="0"/>
    <x v="1"/>
  </r>
  <r>
    <n v="2"/>
    <n v="2"/>
    <n v="150"/>
    <n v="2"/>
    <x v="0"/>
    <x v="1"/>
    <s v="nontarget"/>
    <s v="Stim6_Set2"/>
    <m/>
    <s v="yes"/>
    <x v="1"/>
    <n v="1"/>
    <x v="0"/>
    <x v="1"/>
  </r>
  <r>
    <n v="2"/>
    <n v="2"/>
    <n v="151"/>
    <n v="1"/>
    <x v="1"/>
    <x v="2"/>
    <s v="switch"/>
    <s v="Stim6_Set2"/>
    <m/>
    <s v="no"/>
    <x v="0"/>
    <n v="0"/>
    <x v="0"/>
    <x v="0"/>
  </r>
  <r>
    <n v="3"/>
    <n v="2"/>
    <n v="152"/>
    <n v="1"/>
    <x v="1"/>
    <x v="0"/>
    <s v="filler"/>
    <s v="Stim5_Set2"/>
    <m/>
    <s v="no"/>
    <x v="1"/>
    <n v="0"/>
    <x v="1"/>
    <x v="0"/>
  </r>
  <r>
    <n v="3"/>
    <n v="2"/>
    <n v="153"/>
    <n v="1"/>
    <x v="1"/>
    <x v="1"/>
    <s v="nontarget"/>
    <s v="Stim6_Set3"/>
    <m/>
    <s v="yes"/>
    <x v="1"/>
    <n v="1"/>
    <x v="0"/>
    <x v="1"/>
  </r>
  <r>
    <n v="3"/>
    <n v="2"/>
    <n v="154"/>
    <n v="2"/>
    <x v="0"/>
    <x v="2"/>
    <s v="switch"/>
    <s v="Stim6_Set3"/>
    <m/>
    <s v="no"/>
    <x v="0"/>
    <n v="0"/>
    <x v="0"/>
    <x v="0"/>
  </r>
  <r>
    <n v="3"/>
    <n v="2"/>
    <n v="155"/>
    <n v="2"/>
    <x v="0"/>
    <x v="0"/>
    <s v="filler"/>
    <s v="Stim3_Set2"/>
    <m/>
    <s v="no"/>
    <x v="1"/>
    <n v="0"/>
    <x v="1"/>
    <x v="0"/>
  </r>
  <r>
    <n v="3"/>
    <n v="2"/>
    <n v="156"/>
    <n v="2"/>
    <x v="0"/>
    <x v="1"/>
    <s v="nontarget"/>
    <s v="Stim4_Set3"/>
    <m/>
    <s v="yes"/>
    <x v="1"/>
    <n v="1"/>
    <x v="0"/>
    <x v="1"/>
  </r>
  <r>
    <n v="3"/>
    <n v="2"/>
    <n v="157"/>
    <n v="1"/>
    <x v="1"/>
    <x v="2"/>
    <s v="switch"/>
    <s v="Stim4_Set3"/>
    <m/>
    <s v="no"/>
    <x v="0"/>
    <n v="0"/>
    <x v="0"/>
    <x v="0"/>
  </r>
  <r>
    <n v="3"/>
    <n v="2"/>
    <n v="158"/>
    <n v="1"/>
    <x v="1"/>
    <x v="0"/>
    <s v="filler"/>
    <m/>
    <s v="here"/>
    <s v="no"/>
    <x v="1"/>
    <n v="0"/>
    <x v="1"/>
    <x v="0"/>
  </r>
  <r>
    <n v="3"/>
    <n v="2"/>
    <n v="159"/>
    <n v="1"/>
    <x v="1"/>
    <x v="1"/>
    <s v="nontarget"/>
    <s v="Stim8_Set3"/>
    <m/>
    <s v="yes"/>
    <x v="1"/>
    <n v="1"/>
    <x v="0"/>
    <x v="1"/>
  </r>
  <r>
    <n v="3"/>
    <n v="2"/>
    <n v="160"/>
    <n v="2"/>
    <x v="0"/>
    <x v="2"/>
    <s v="switch"/>
    <s v="Stim8_Set3"/>
    <m/>
    <s v="no"/>
    <x v="0"/>
    <n v="0"/>
    <x v="0"/>
    <x v="0"/>
  </r>
  <r>
    <n v="3"/>
    <n v="2"/>
    <n v="161"/>
    <n v="1"/>
    <x v="1"/>
    <x v="0"/>
    <s v="filler"/>
    <s v="Stim1_Set2"/>
    <m/>
    <s v="no"/>
    <x v="0"/>
    <n v="0"/>
    <x v="1"/>
    <x v="0"/>
  </r>
  <r>
    <n v="3"/>
    <n v="2"/>
    <n v="162"/>
    <n v="2"/>
    <x v="0"/>
    <x v="1"/>
    <s v="nontarget"/>
    <s v="Stim7_Set3"/>
    <m/>
    <s v="yes"/>
    <x v="0"/>
    <n v="1"/>
    <x v="0"/>
    <x v="1"/>
  </r>
  <r>
    <n v="3"/>
    <n v="2"/>
    <n v="163"/>
    <n v="2"/>
    <x v="0"/>
    <x v="2"/>
    <s v="repeat"/>
    <s v="Stim7_Set3"/>
    <m/>
    <s v="no"/>
    <x v="1"/>
    <n v="0"/>
    <x v="0"/>
    <x v="0"/>
  </r>
  <r>
    <n v="3"/>
    <n v="2"/>
    <n v="164"/>
    <n v="2"/>
    <x v="0"/>
    <x v="0"/>
    <s v="filler"/>
    <s v="Stim7_Set2"/>
    <m/>
    <s v="no"/>
    <x v="1"/>
    <n v="0"/>
    <x v="1"/>
    <x v="0"/>
  </r>
  <r>
    <n v="3"/>
    <n v="2"/>
    <n v="165"/>
    <n v="1"/>
    <x v="1"/>
    <x v="0"/>
    <s v="filler"/>
    <s v="Stim2_Set2"/>
    <m/>
    <s v="no"/>
    <x v="0"/>
    <n v="0"/>
    <x v="0"/>
    <x v="1"/>
  </r>
  <r>
    <n v="3"/>
    <n v="2"/>
    <n v="166"/>
    <n v="2"/>
    <x v="0"/>
    <x v="1"/>
    <s v="nontarget"/>
    <s v="Stim1_Set3"/>
    <m/>
    <s v="yes"/>
    <x v="0"/>
    <n v="1"/>
    <x v="0"/>
    <x v="1"/>
  </r>
  <r>
    <n v="3"/>
    <n v="2"/>
    <n v="167"/>
    <n v="2"/>
    <x v="0"/>
    <x v="2"/>
    <s v="repeat"/>
    <s v="Stim1_Set3"/>
    <m/>
    <s v="no"/>
    <x v="1"/>
    <n v="0"/>
    <x v="0"/>
    <x v="0"/>
  </r>
  <r>
    <n v="3"/>
    <n v="2"/>
    <n v="168"/>
    <n v="2"/>
    <x v="0"/>
    <x v="1"/>
    <s v="nontarget"/>
    <s v="Stim3_Set3"/>
    <m/>
    <s v="yes"/>
    <x v="1"/>
    <n v="1"/>
    <x v="1"/>
    <x v="0"/>
  </r>
  <r>
    <n v="3"/>
    <n v="2"/>
    <n v="169"/>
    <n v="1"/>
    <x v="1"/>
    <x v="2"/>
    <s v="switch"/>
    <s v="Stim3_Set3"/>
    <m/>
    <s v="no"/>
    <x v="0"/>
    <n v="0"/>
    <x v="0"/>
    <x v="0"/>
  </r>
  <r>
    <n v="3"/>
    <n v="2"/>
    <n v="170"/>
    <n v="2"/>
    <x v="0"/>
    <x v="0"/>
    <s v="filler"/>
    <s v="Stim4_Set2"/>
    <m/>
    <s v="no"/>
    <x v="0"/>
    <n v="0"/>
    <x v="1"/>
    <x v="0"/>
  </r>
  <r>
    <n v="3"/>
    <n v="2"/>
    <n v="171"/>
    <n v="1"/>
    <x v="1"/>
    <x v="0"/>
    <s v="filler"/>
    <m/>
    <s v="here"/>
    <s v="no"/>
    <x v="0"/>
    <n v="0"/>
    <x v="0"/>
    <x v="1"/>
  </r>
  <r>
    <n v="3"/>
    <n v="2"/>
    <n v="172"/>
    <n v="1"/>
    <x v="1"/>
    <x v="1"/>
    <s v="nontarget"/>
    <s v="Stim5_Set3"/>
    <m/>
    <s v="yes"/>
    <x v="1"/>
    <n v="1"/>
    <x v="0"/>
    <x v="1"/>
  </r>
  <r>
    <n v="3"/>
    <n v="2"/>
    <n v="173"/>
    <n v="1"/>
    <x v="1"/>
    <x v="2"/>
    <s v="repeat"/>
    <s v="Stim5_Set3"/>
    <m/>
    <s v="no"/>
    <x v="1"/>
    <n v="0"/>
    <x v="0"/>
    <x v="0"/>
  </r>
  <r>
    <n v="3"/>
    <n v="2"/>
    <n v="174"/>
    <n v="2"/>
    <x v="0"/>
    <x v="0"/>
    <s v="filler"/>
    <s v="Stim8_Set2"/>
    <m/>
    <s v="no"/>
    <x v="0"/>
    <n v="0"/>
    <x v="1"/>
    <x v="0"/>
  </r>
  <r>
    <n v="3"/>
    <n v="2"/>
    <n v="175"/>
    <n v="1"/>
    <x v="1"/>
    <x v="1"/>
    <s v="nontarget"/>
    <s v="Stim2_Set3"/>
    <m/>
    <s v="yes"/>
    <x v="0"/>
    <n v="1"/>
    <x v="0"/>
    <x v="1"/>
  </r>
  <r>
    <n v="3"/>
    <n v="2"/>
    <n v="176"/>
    <n v="1"/>
    <x v="1"/>
    <x v="2"/>
    <s v="repeat"/>
    <s v="Stim2_Set3"/>
    <m/>
    <s v="no"/>
    <x v="1"/>
    <n v="0"/>
    <x v="0"/>
    <x v="0"/>
  </r>
  <r>
    <n v="3"/>
    <n v="2"/>
    <n v="177"/>
    <n v="1"/>
    <x v="1"/>
    <x v="0"/>
    <s v="filler"/>
    <s v="Stim6_Set2"/>
    <m/>
    <s v="no"/>
    <x v="1"/>
    <n v="0"/>
    <x v="1"/>
    <x v="0"/>
  </r>
  <r>
    <n v="4"/>
    <n v="2"/>
    <n v="178"/>
    <n v="2"/>
    <x v="0"/>
    <x v="0"/>
    <s v="filler"/>
    <s v="Stim6_Set3"/>
    <m/>
    <s v="no"/>
    <x v="0"/>
    <n v="0"/>
    <x v="0"/>
    <x v="1"/>
  </r>
  <r>
    <n v="4"/>
    <n v="2"/>
    <n v="179"/>
    <n v="1"/>
    <x v="1"/>
    <x v="1"/>
    <s v="nontarget"/>
    <s v="Stim3_Set4"/>
    <m/>
    <s v="yes"/>
    <x v="0"/>
    <n v="1"/>
    <x v="0"/>
    <x v="1"/>
  </r>
  <r>
    <n v="4"/>
    <n v="2"/>
    <n v="180"/>
    <n v="1"/>
    <x v="1"/>
    <x v="2"/>
    <s v="repeat"/>
    <s v="Stim3_Set4"/>
    <m/>
    <s v="no"/>
    <x v="1"/>
    <n v="0"/>
    <x v="0"/>
    <x v="0"/>
  </r>
  <r>
    <n v="4"/>
    <n v="2"/>
    <n v="181"/>
    <n v="1"/>
    <x v="1"/>
    <x v="1"/>
    <s v="nontarget"/>
    <s v="Stim8_Set4"/>
    <m/>
    <s v="yes"/>
    <x v="1"/>
    <n v="1"/>
    <x v="1"/>
    <x v="0"/>
  </r>
  <r>
    <n v="4"/>
    <n v="2"/>
    <n v="182"/>
    <n v="2"/>
    <x v="0"/>
    <x v="2"/>
    <s v="switch"/>
    <s v="Stim8_Set4"/>
    <m/>
    <s v="no"/>
    <x v="0"/>
    <n v="0"/>
    <x v="0"/>
    <x v="0"/>
  </r>
  <r>
    <n v="4"/>
    <n v="2"/>
    <n v="183"/>
    <n v="1"/>
    <x v="1"/>
    <x v="0"/>
    <s v="filler"/>
    <s v="Stim4_Set3"/>
    <m/>
    <s v="no"/>
    <x v="0"/>
    <n v="0"/>
    <x v="1"/>
    <x v="0"/>
  </r>
  <r>
    <n v="4"/>
    <n v="2"/>
    <n v="184"/>
    <n v="2"/>
    <x v="0"/>
    <x v="1"/>
    <s v="nontarget"/>
    <s v="Stim4_Set4"/>
    <m/>
    <s v="yes"/>
    <x v="0"/>
    <n v="1"/>
    <x v="0"/>
    <x v="1"/>
  </r>
  <r>
    <n v="4"/>
    <n v="2"/>
    <n v="185"/>
    <n v="2"/>
    <x v="0"/>
    <x v="2"/>
    <s v="repeat"/>
    <s v="Stim4_Set4"/>
    <m/>
    <s v="no"/>
    <x v="1"/>
    <n v="0"/>
    <x v="0"/>
    <x v="0"/>
  </r>
  <r>
    <n v="4"/>
    <n v="2"/>
    <n v="186"/>
    <n v="2"/>
    <x v="0"/>
    <x v="1"/>
    <s v="nontarget"/>
    <s v="Stim2_Set4"/>
    <m/>
    <s v="yes"/>
    <x v="1"/>
    <n v="1"/>
    <x v="1"/>
    <x v="0"/>
  </r>
  <r>
    <n v="4"/>
    <n v="2"/>
    <n v="187"/>
    <n v="1"/>
    <x v="1"/>
    <x v="2"/>
    <s v="switch"/>
    <s v="Stim2_Set4"/>
    <m/>
    <s v="no"/>
    <x v="0"/>
    <n v="0"/>
    <x v="0"/>
    <x v="0"/>
  </r>
  <r>
    <n v="4"/>
    <n v="2"/>
    <n v="188"/>
    <n v="2"/>
    <x v="0"/>
    <x v="0"/>
    <s v="filler"/>
    <s v="Stim8_Set3"/>
    <m/>
    <s v="no"/>
    <x v="0"/>
    <n v="0"/>
    <x v="1"/>
    <x v="0"/>
  </r>
  <r>
    <n v="4"/>
    <n v="2"/>
    <n v="189"/>
    <n v="1"/>
    <x v="1"/>
    <x v="1"/>
    <s v="nontarget"/>
    <s v="Stim7_Set4"/>
    <m/>
    <s v="yes"/>
    <x v="0"/>
    <n v="1"/>
    <x v="0"/>
    <x v="1"/>
  </r>
  <r>
    <n v="4"/>
    <n v="2"/>
    <n v="190"/>
    <n v="2"/>
    <x v="0"/>
    <x v="2"/>
    <s v="switch"/>
    <s v="Stim7_Set4"/>
    <m/>
    <s v="no"/>
    <x v="0"/>
    <n v="0"/>
    <x v="0"/>
    <x v="0"/>
  </r>
  <r>
    <n v="4"/>
    <n v="2"/>
    <n v="191"/>
    <n v="1"/>
    <x v="1"/>
    <x v="0"/>
    <s v="filler"/>
    <s v="Stim1_Set3"/>
    <m/>
    <s v="no"/>
    <x v="0"/>
    <n v="0"/>
    <x v="1"/>
    <x v="0"/>
  </r>
  <r>
    <n v="4"/>
    <n v="2"/>
    <n v="192"/>
    <n v="2"/>
    <x v="0"/>
    <x v="0"/>
    <s v="filler"/>
    <s v="Stim7_Set3"/>
    <m/>
    <s v="no"/>
    <x v="0"/>
    <n v="0"/>
    <x v="0"/>
    <x v="1"/>
  </r>
  <r>
    <n v="4"/>
    <n v="2"/>
    <n v="193"/>
    <n v="2"/>
    <x v="0"/>
    <x v="1"/>
    <s v="nontarget"/>
    <s v="Stim1_Set4"/>
    <m/>
    <s v="yes"/>
    <x v="1"/>
    <n v="1"/>
    <x v="0"/>
    <x v="1"/>
  </r>
  <r>
    <n v="4"/>
    <n v="2"/>
    <n v="194"/>
    <n v="2"/>
    <x v="0"/>
    <x v="2"/>
    <s v="repeat"/>
    <s v="Stim1_Set4"/>
    <m/>
    <s v="no"/>
    <x v="1"/>
    <n v="0"/>
    <x v="0"/>
    <x v="0"/>
  </r>
  <r>
    <n v="4"/>
    <n v="2"/>
    <n v="195"/>
    <n v="1"/>
    <x v="1"/>
    <x v="0"/>
    <s v="filler"/>
    <s v="Stim3_Set3"/>
    <m/>
    <s v="no"/>
    <x v="0"/>
    <n v="0"/>
    <x v="1"/>
    <x v="0"/>
  </r>
  <r>
    <n v="4"/>
    <n v="2"/>
    <n v="196"/>
    <n v="2"/>
    <x v="0"/>
    <x v="0"/>
    <s v="filler"/>
    <s v="Stim5_Set3"/>
    <m/>
    <s v="yes"/>
    <x v="0"/>
    <n v="0"/>
    <x v="0"/>
    <x v="1"/>
  </r>
  <r>
    <n v="4"/>
    <n v="2"/>
    <n v="197"/>
    <n v="2"/>
    <x v="0"/>
    <x v="1"/>
    <s v="nontarget"/>
    <s v="Stim6_Set4"/>
    <m/>
    <s v="yes"/>
    <x v="1"/>
    <n v="1"/>
    <x v="0"/>
    <x v="1"/>
  </r>
  <r>
    <n v="4"/>
    <n v="2"/>
    <n v="198"/>
    <n v="1"/>
    <x v="1"/>
    <x v="2"/>
    <s v="switch"/>
    <s v="Stim6_Set4"/>
    <m/>
    <s v="no"/>
    <x v="0"/>
    <n v="0"/>
    <x v="0"/>
    <x v="0"/>
  </r>
  <r>
    <n v="4"/>
    <n v="2"/>
    <n v="199"/>
    <n v="1"/>
    <x v="1"/>
    <x v="1"/>
    <s v="nontarget"/>
    <s v="Stim5_Set4"/>
    <m/>
    <s v="yes"/>
    <x v="1"/>
    <n v="1"/>
    <x v="1"/>
    <x v="0"/>
  </r>
  <r>
    <n v="4"/>
    <n v="2"/>
    <n v="200"/>
    <n v="1"/>
    <x v="1"/>
    <x v="2"/>
    <s v="repeat"/>
    <s v="Stim5_Set4"/>
    <m/>
    <s v="no"/>
    <x v="1"/>
    <n v="0"/>
    <x v="0"/>
    <x v="0"/>
  </r>
  <r>
    <n v="4"/>
    <n v="2"/>
    <n v="201"/>
    <n v="2"/>
    <x v="0"/>
    <x v="0"/>
    <s v="filler"/>
    <m/>
    <s v="here"/>
    <s v="no"/>
    <x v="0"/>
    <n v="0"/>
    <x v="1"/>
    <x v="0"/>
  </r>
  <r>
    <n v="4"/>
    <n v="2"/>
    <n v="202"/>
    <n v="1"/>
    <x v="1"/>
    <x v="0"/>
    <s v="filler"/>
    <s v="Stim2_Set3"/>
    <m/>
    <s v="no"/>
    <x v="0"/>
    <n v="0"/>
    <x v="0"/>
    <x v="1"/>
  </r>
  <r>
    <s v="BREAK"/>
    <m/>
    <n v="203"/>
    <m/>
    <x v="2"/>
    <x v="3"/>
    <m/>
    <m/>
    <m/>
    <s v="no"/>
    <x v="0"/>
    <n v="0"/>
    <x v="0"/>
    <x v="1"/>
  </r>
  <r>
    <n v="1"/>
    <n v="3"/>
    <n v="204"/>
    <n v="2"/>
    <x v="0"/>
    <x v="0"/>
    <s v="filler"/>
    <s v="Stim4_Set4"/>
    <m/>
    <s v="no"/>
    <x v="0"/>
    <n v="0"/>
    <x v="0"/>
    <x v="0"/>
  </r>
  <r>
    <n v="1"/>
    <n v="3"/>
    <n v="205"/>
    <n v="2"/>
    <x v="0"/>
    <x v="1"/>
    <s v="nontarget"/>
    <s v="Stim7_Set1"/>
    <m/>
    <s v="yes"/>
    <x v="1"/>
    <n v="1"/>
    <x v="0"/>
    <x v="1"/>
  </r>
  <r>
    <n v="1"/>
    <n v="3"/>
    <n v="206"/>
    <n v="2"/>
    <x v="0"/>
    <x v="2"/>
    <s v="repeat"/>
    <s v="Stim7_Set1"/>
    <m/>
    <s v="no"/>
    <x v="1"/>
    <n v="0"/>
    <x v="0"/>
    <x v="0"/>
  </r>
  <r>
    <n v="1"/>
    <n v="3"/>
    <n v="207"/>
    <n v="1"/>
    <x v="1"/>
    <x v="0"/>
    <s v="filler"/>
    <s v="Stim6_Set4"/>
    <m/>
    <s v="no"/>
    <x v="0"/>
    <n v="0"/>
    <x v="1"/>
    <x v="0"/>
  </r>
  <r>
    <n v="1"/>
    <n v="3"/>
    <n v="208"/>
    <n v="1"/>
    <x v="1"/>
    <x v="0"/>
    <s v="filler"/>
    <s v="Stim2_Set4"/>
    <m/>
    <s v="no"/>
    <x v="1"/>
    <n v="0"/>
    <x v="0"/>
    <x v="1"/>
  </r>
  <r>
    <n v="1"/>
    <n v="3"/>
    <n v="209"/>
    <n v="2"/>
    <x v="0"/>
    <x v="1"/>
    <s v="nontarget"/>
    <s v="Stim6_Set1"/>
    <m/>
    <s v="yes"/>
    <x v="0"/>
    <n v="1"/>
    <x v="0"/>
    <x v="1"/>
  </r>
  <r>
    <n v="1"/>
    <n v="3"/>
    <n v="210"/>
    <n v="2"/>
    <x v="0"/>
    <x v="2"/>
    <s v="repeat"/>
    <s v="Stim6_Set1"/>
    <m/>
    <s v="no"/>
    <x v="1"/>
    <n v="0"/>
    <x v="0"/>
    <x v="0"/>
  </r>
  <r>
    <n v="1"/>
    <n v="3"/>
    <n v="211"/>
    <n v="2"/>
    <x v="0"/>
    <x v="1"/>
    <s v="nontarget"/>
    <s v="Stim8_Set1"/>
    <m/>
    <s v="yes"/>
    <x v="1"/>
    <n v="1"/>
    <x v="1"/>
    <x v="0"/>
  </r>
  <r>
    <n v="1"/>
    <n v="3"/>
    <n v="212"/>
    <n v="1"/>
    <x v="1"/>
    <x v="2"/>
    <s v="switch"/>
    <s v="Stim8_Set1"/>
    <m/>
    <s v="no"/>
    <x v="0"/>
    <n v="0"/>
    <x v="0"/>
    <x v="0"/>
  </r>
  <r>
    <n v="1"/>
    <n v="3"/>
    <n v="213"/>
    <n v="1"/>
    <x v="1"/>
    <x v="0"/>
    <s v="filler"/>
    <s v="Stim5_Set4"/>
    <m/>
    <s v="no"/>
    <x v="1"/>
    <n v="0"/>
    <x v="1"/>
    <x v="0"/>
  </r>
  <r>
    <n v="1"/>
    <n v="3"/>
    <n v="214"/>
    <n v="1"/>
    <x v="1"/>
    <x v="1"/>
    <s v="nontarget"/>
    <s v="Stim1_Set1"/>
    <m/>
    <s v="yes"/>
    <x v="1"/>
    <n v="1"/>
    <x v="0"/>
    <x v="1"/>
  </r>
  <r>
    <n v="1"/>
    <n v="3"/>
    <n v="215"/>
    <n v="2"/>
    <x v="0"/>
    <x v="2"/>
    <s v="switch"/>
    <s v="Stim1_Set1"/>
    <m/>
    <s v="no"/>
    <x v="0"/>
    <n v="0"/>
    <x v="0"/>
    <x v="0"/>
  </r>
  <r>
    <n v="1"/>
    <n v="3"/>
    <n v="216"/>
    <n v="2"/>
    <x v="0"/>
    <x v="1"/>
    <s v="nontarget"/>
    <s v="Stim4_Set1"/>
    <m/>
    <s v="yes"/>
    <x v="1"/>
    <n v="1"/>
    <x v="1"/>
    <x v="0"/>
  </r>
  <r>
    <n v="1"/>
    <n v="3"/>
    <n v="217"/>
    <n v="1"/>
    <x v="1"/>
    <x v="2"/>
    <s v="switch"/>
    <s v="Stim4_Set1"/>
    <m/>
    <s v="no"/>
    <x v="0"/>
    <n v="0"/>
    <x v="0"/>
    <x v="0"/>
  </r>
  <r>
    <n v="1"/>
    <n v="3"/>
    <n v="218"/>
    <n v="2"/>
    <x v="0"/>
    <x v="0"/>
    <s v="filler"/>
    <s v="Stim1_Set4"/>
    <m/>
    <s v="no"/>
    <x v="0"/>
    <n v="0"/>
    <x v="1"/>
    <x v="0"/>
  </r>
  <r>
    <n v="1"/>
    <n v="3"/>
    <n v="219"/>
    <n v="2"/>
    <x v="0"/>
    <x v="0"/>
    <s v="filler"/>
    <s v="Stim8_Set4"/>
    <m/>
    <s v="no"/>
    <x v="1"/>
    <n v="0"/>
    <x v="0"/>
    <x v="1"/>
  </r>
  <r>
    <n v="1"/>
    <n v="3"/>
    <n v="220"/>
    <n v="1"/>
    <x v="1"/>
    <x v="1"/>
    <s v="nontarget"/>
    <s v="Stim2_Set1"/>
    <m/>
    <s v="yes"/>
    <x v="0"/>
    <n v="1"/>
    <x v="0"/>
    <x v="1"/>
  </r>
  <r>
    <n v="1"/>
    <n v="3"/>
    <n v="221"/>
    <n v="1"/>
    <x v="1"/>
    <x v="2"/>
    <s v="repeat"/>
    <s v="Stim2_Set1"/>
    <m/>
    <s v="no"/>
    <x v="1"/>
    <n v="0"/>
    <x v="0"/>
    <x v="0"/>
  </r>
  <r>
    <n v="1"/>
    <n v="3"/>
    <n v="222"/>
    <n v="2"/>
    <x v="0"/>
    <x v="0"/>
    <s v="filler"/>
    <s v="Stim3_Set4"/>
    <m/>
    <s v="no"/>
    <x v="0"/>
    <n v="0"/>
    <x v="1"/>
    <x v="0"/>
  </r>
  <r>
    <n v="1"/>
    <n v="3"/>
    <n v="223"/>
    <n v="2"/>
    <x v="0"/>
    <x v="0"/>
    <s v="filler"/>
    <s v="Stim7_Set4"/>
    <m/>
    <s v="no"/>
    <x v="1"/>
    <n v="0"/>
    <x v="0"/>
    <x v="1"/>
  </r>
  <r>
    <n v="1"/>
    <n v="3"/>
    <n v="224"/>
    <n v="1"/>
    <x v="1"/>
    <x v="1"/>
    <s v="nontarget"/>
    <s v="Stim3_Set1"/>
    <m/>
    <s v="yes"/>
    <x v="0"/>
    <n v="1"/>
    <x v="0"/>
    <x v="1"/>
  </r>
  <r>
    <n v="1"/>
    <n v="3"/>
    <n v="225"/>
    <n v="1"/>
    <x v="1"/>
    <x v="2"/>
    <s v="repeat"/>
    <s v="Stim3_Set1"/>
    <m/>
    <s v="no"/>
    <x v="1"/>
    <n v="0"/>
    <x v="0"/>
    <x v="0"/>
  </r>
  <r>
    <n v="1"/>
    <n v="3"/>
    <n v="226"/>
    <n v="1"/>
    <x v="1"/>
    <x v="1"/>
    <s v="nontarget"/>
    <s v="Stim5_Set1"/>
    <m/>
    <s v="yes"/>
    <x v="1"/>
    <n v="1"/>
    <x v="1"/>
    <x v="0"/>
  </r>
  <r>
    <n v="1"/>
    <n v="3"/>
    <n v="227"/>
    <n v="2"/>
    <x v="0"/>
    <x v="2"/>
    <s v="switch"/>
    <s v="Stim5_Set1"/>
    <m/>
    <s v="no"/>
    <x v="0"/>
    <n v="0"/>
    <x v="0"/>
    <x v="0"/>
  </r>
  <r>
    <n v="2"/>
    <n v="3"/>
    <n v="228"/>
    <n v="2"/>
    <x v="0"/>
    <x v="0"/>
    <s v="filler"/>
    <s v="Stim7_Set1"/>
    <m/>
    <s v="no"/>
    <x v="1"/>
    <n v="0"/>
    <x v="1"/>
    <x v="0"/>
  </r>
  <r>
    <n v="2"/>
    <n v="3"/>
    <n v="229"/>
    <n v="1"/>
    <x v="1"/>
    <x v="0"/>
    <s v="filler"/>
    <s v="Stim3_Set1"/>
    <m/>
    <s v="no"/>
    <x v="0"/>
    <n v="0"/>
    <x v="0"/>
    <x v="1"/>
  </r>
  <r>
    <n v="2"/>
    <n v="3"/>
    <n v="230"/>
    <n v="1"/>
    <x v="1"/>
    <x v="1"/>
    <s v="nontarget"/>
    <s v="Stim7_Set2"/>
    <m/>
    <s v="yes"/>
    <x v="1"/>
    <n v="1"/>
    <x v="0"/>
    <x v="1"/>
  </r>
  <r>
    <n v="2"/>
    <n v="3"/>
    <n v="231"/>
    <n v="1"/>
    <x v="1"/>
    <x v="2"/>
    <s v="repeat"/>
    <s v="Stim7_Set2"/>
    <m/>
    <s v="no"/>
    <x v="1"/>
    <n v="0"/>
    <x v="0"/>
    <x v="0"/>
  </r>
  <r>
    <n v="2"/>
    <n v="3"/>
    <n v="232"/>
    <n v="2"/>
    <x v="0"/>
    <x v="0"/>
    <s v="filler"/>
    <s v="Stim6_Set1"/>
    <m/>
    <s v="no"/>
    <x v="0"/>
    <n v="0"/>
    <x v="1"/>
    <x v="0"/>
  </r>
  <r>
    <n v="2"/>
    <n v="3"/>
    <n v="233"/>
    <n v="1"/>
    <x v="1"/>
    <x v="1"/>
    <s v="nontarget"/>
    <s v="Stim6_Set2"/>
    <m/>
    <s v="yes"/>
    <x v="0"/>
    <n v="1"/>
    <x v="0"/>
    <x v="1"/>
  </r>
  <r>
    <n v="2"/>
    <n v="3"/>
    <n v="234"/>
    <n v="1"/>
    <x v="1"/>
    <x v="2"/>
    <s v="repeat"/>
    <s v="Stim6_Set2"/>
    <m/>
    <s v="no"/>
    <x v="1"/>
    <n v="0"/>
    <x v="0"/>
    <x v="0"/>
  </r>
  <r>
    <n v="2"/>
    <n v="3"/>
    <n v="235"/>
    <n v="1"/>
    <x v="1"/>
    <x v="1"/>
    <s v="nontarget"/>
    <s v="Stim4_Set2"/>
    <m/>
    <s v="yes"/>
    <x v="1"/>
    <n v="1"/>
    <x v="1"/>
    <x v="0"/>
  </r>
  <r>
    <n v="2"/>
    <n v="3"/>
    <n v="236"/>
    <n v="2"/>
    <x v="0"/>
    <x v="2"/>
    <s v="switch"/>
    <s v="Stim4_Set2"/>
    <m/>
    <s v="no"/>
    <x v="0"/>
    <n v="0"/>
    <x v="0"/>
    <x v="0"/>
  </r>
  <r>
    <n v="2"/>
    <n v="3"/>
    <n v="237"/>
    <n v="2"/>
    <x v="0"/>
    <x v="0"/>
    <s v="filler"/>
    <s v="Stim8_Set1"/>
    <m/>
    <s v="no"/>
    <x v="1"/>
    <n v="0"/>
    <x v="1"/>
    <x v="0"/>
  </r>
  <r>
    <n v="2"/>
    <n v="3"/>
    <n v="238"/>
    <n v="2"/>
    <x v="0"/>
    <x v="1"/>
    <s v="nontarget"/>
    <s v="Stim5_Set2"/>
    <m/>
    <s v="yes"/>
    <x v="1"/>
    <n v="1"/>
    <x v="0"/>
    <x v="1"/>
  </r>
  <r>
    <n v="2"/>
    <n v="3"/>
    <n v="239"/>
    <n v="1"/>
    <x v="1"/>
    <x v="2"/>
    <s v="switch"/>
    <s v="Stim5_Set2"/>
    <m/>
    <s v="no"/>
    <x v="0"/>
    <n v="0"/>
    <x v="0"/>
    <x v="0"/>
  </r>
  <r>
    <n v="2"/>
    <n v="3"/>
    <n v="240"/>
    <n v="1"/>
    <x v="1"/>
    <x v="0"/>
    <s v="filler"/>
    <s v="Stim1_Set1"/>
    <m/>
    <s v="no"/>
    <x v="1"/>
    <n v="0"/>
    <x v="1"/>
    <x v="0"/>
  </r>
  <r>
    <n v="2"/>
    <n v="3"/>
    <n v="241"/>
    <n v="1"/>
    <x v="1"/>
    <x v="1"/>
    <s v="nontarget"/>
    <s v="Stim8_Set2"/>
    <m/>
    <s v="yes"/>
    <x v="1"/>
    <n v="1"/>
    <x v="0"/>
    <x v="1"/>
  </r>
  <r>
    <n v="2"/>
    <n v="3"/>
    <n v="242"/>
    <n v="2"/>
    <x v="0"/>
    <x v="2"/>
    <s v="switch"/>
    <s v="Stim8_Set2"/>
    <m/>
    <s v="no"/>
    <x v="0"/>
    <n v="0"/>
    <x v="0"/>
    <x v="0"/>
  </r>
  <r>
    <n v="2"/>
    <n v="3"/>
    <n v="243"/>
    <n v="1"/>
    <x v="1"/>
    <x v="0"/>
    <s v="filler"/>
    <s v="Stim4_Set1"/>
    <m/>
    <s v="no"/>
    <x v="0"/>
    <n v="0"/>
    <x v="1"/>
    <x v="0"/>
  </r>
  <r>
    <n v="2"/>
    <n v="3"/>
    <n v="244"/>
    <n v="2"/>
    <x v="0"/>
    <x v="1"/>
    <s v="nontarget"/>
    <s v="Stim2_Set2"/>
    <m/>
    <s v="yes"/>
    <x v="0"/>
    <n v="1"/>
    <x v="0"/>
    <x v="1"/>
  </r>
  <r>
    <n v="2"/>
    <n v="3"/>
    <n v="245"/>
    <n v="2"/>
    <x v="0"/>
    <x v="2"/>
    <s v="repeat"/>
    <s v="Stim2_Set2"/>
    <m/>
    <s v="no"/>
    <x v="1"/>
    <n v="0"/>
    <x v="0"/>
    <x v="0"/>
  </r>
  <r>
    <n v="2"/>
    <n v="3"/>
    <n v="246"/>
    <n v="1"/>
    <x v="1"/>
    <x v="0"/>
    <s v="filler"/>
    <s v="Stim2_Set1"/>
    <m/>
    <s v="no"/>
    <x v="0"/>
    <n v="0"/>
    <x v="1"/>
    <x v="0"/>
  </r>
  <r>
    <n v="2"/>
    <n v="3"/>
    <n v="247"/>
    <n v="2"/>
    <x v="0"/>
    <x v="1"/>
    <s v="nontarget"/>
    <s v="Stim1_Set2"/>
    <m/>
    <s v="yes"/>
    <x v="0"/>
    <n v="1"/>
    <x v="0"/>
    <x v="1"/>
  </r>
  <r>
    <n v="2"/>
    <n v="3"/>
    <n v="248"/>
    <n v="2"/>
    <x v="0"/>
    <x v="2"/>
    <s v="repeat"/>
    <s v="Stim1_Set2"/>
    <m/>
    <s v="no"/>
    <x v="1"/>
    <n v="0"/>
    <x v="0"/>
    <x v="0"/>
  </r>
  <r>
    <n v="2"/>
    <n v="3"/>
    <n v="249"/>
    <n v="2"/>
    <x v="0"/>
    <x v="0"/>
    <s v="filler"/>
    <s v="Stim5_Set1"/>
    <m/>
    <s v="no"/>
    <x v="1"/>
    <n v="0"/>
    <x v="1"/>
    <x v="0"/>
  </r>
  <r>
    <n v="2"/>
    <n v="3"/>
    <n v="250"/>
    <n v="2"/>
    <x v="0"/>
    <x v="1"/>
    <s v="nontarget"/>
    <s v="Stim3_Set2"/>
    <m/>
    <s v="yes"/>
    <x v="1"/>
    <n v="1"/>
    <x v="0"/>
    <x v="1"/>
  </r>
  <r>
    <n v="2"/>
    <n v="3"/>
    <n v="251"/>
    <n v="1"/>
    <x v="1"/>
    <x v="2"/>
    <s v="switch"/>
    <s v="Stim3_Set2"/>
    <m/>
    <s v="no"/>
    <x v="0"/>
    <n v="0"/>
    <x v="0"/>
    <x v="0"/>
  </r>
  <r>
    <n v="3"/>
    <n v="3"/>
    <n v="252"/>
    <n v="1"/>
    <x v="1"/>
    <x v="0"/>
    <s v="filler"/>
    <s v="Stim7_Set2"/>
    <m/>
    <s v="no"/>
    <x v="1"/>
    <n v="0"/>
    <x v="1"/>
    <x v="0"/>
  </r>
  <r>
    <n v="3"/>
    <n v="3"/>
    <n v="253"/>
    <n v="1"/>
    <x v="1"/>
    <x v="1"/>
    <s v="nontarget"/>
    <s v="Stim4_Set3"/>
    <m/>
    <s v="yes"/>
    <x v="1"/>
    <n v="1"/>
    <x v="0"/>
    <x v="1"/>
  </r>
  <r>
    <n v="3"/>
    <n v="3"/>
    <n v="254"/>
    <n v="2"/>
    <x v="0"/>
    <x v="2"/>
    <s v="switch"/>
    <s v="Stim4_Set3"/>
    <m/>
    <s v="no"/>
    <x v="0"/>
    <n v="0"/>
    <x v="0"/>
    <x v="0"/>
  </r>
  <r>
    <n v="3"/>
    <n v="3"/>
    <n v="255"/>
    <n v="2"/>
    <x v="0"/>
    <x v="0"/>
    <s v="filler"/>
    <s v="Stim6_Set2"/>
    <m/>
    <s v="no"/>
    <x v="1"/>
    <n v="0"/>
    <x v="1"/>
    <x v="0"/>
  </r>
  <r>
    <n v="3"/>
    <n v="3"/>
    <n v="256"/>
    <n v="2"/>
    <x v="0"/>
    <x v="1"/>
    <s v="nontarget"/>
    <s v="Stim7_Set3"/>
    <m/>
    <s v="yes"/>
    <x v="1"/>
    <n v="1"/>
    <x v="0"/>
    <x v="1"/>
  </r>
  <r>
    <n v="3"/>
    <n v="3"/>
    <n v="257"/>
    <n v="1"/>
    <x v="1"/>
    <x v="2"/>
    <s v="switch"/>
    <s v="Stim7_Set3"/>
    <m/>
    <s v="no"/>
    <x v="0"/>
    <n v="0"/>
    <x v="0"/>
    <x v="0"/>
  </r>
  <r>
    <n v="3"/>
    <n v="3"/>
    <n v="258"/>
    <n v="1"/>
    <x v="1"/>
    <x v="1"/>
    <s v="nontarget"/>
    <s v="Stim2_Set3"/>
    <m/>
    <s v="yes"/>
    <x v="1"/>
    <n v="1"/>
    <x v="1"/>
    <x v="0"/>
  </r>
  <r>
    <n v="3"/>
    <n v="3"/>
    <n v="259"/>
    <n v="2"/>
    <x v="0"/>
    <x v="2"/>
    <s v="switch"/>
    <s v="Stim2_Set3"/>
    <m/>
    <s v="no"/>
    <x v="0"/>
    <n v="0"/>
    <x v="0"/>
    <x v="0"/>
  </r>
  <r>
    <n v="3"/>
    <n v="3"/>
    <n v="260"/>
    <n v="1"/>
    <x v="1"/>
    <x v="0"/>
    <s v="filler"/>
    <s v="Stim8_Set2"/>
    <m/>
    <s v="no"/>
    <x v="0"/>
    <n v="0"/>
    <x v="1"/>
    <x v="0"/>
  </r>
  <r>
    <n v="3"/>
    <n v="3"/>
    <n v="261"/>
    <n v="2"/>
    <x v="0"/>
    <x v="1"/>
    <s v="nontarget"/>
    <s v="Stim6_Set3"/>
    <m/>
    <s v="yes"/>
    <x v="0"/>
    <n v="1"/>
    <x v="0"/>
    <x v="1"/>
  </r>
  <r>
    <n v="3"/>
    <n v="3"/>
    <n v="262"/>
    <n v="2"/>
    <x v="0"/>
    <x v="2"/>
    <s v="repeat"/>
    <s v="Stim6_Set3"/>
    <m/>
    <s v="no"/>
    <x v="1"/>
    <n v="0"/>
    <x v="0"/>
    <x v="0"/>
  </r>
  <r>
    <n v="3"/>
    <n v="3"/>
    <n v="263"/>
    <n v="1"/>
    <x v="1"/>
    <x v="0"/>
    <s v="filler"/>
    <s v="Stim2_Set2"/>
    <m/>
    <s v="no"/>
    <x v="0"/>
    <n v="0"/>
    <x v="1"/>
    <x v="0"/>
  </r>
  <r>
    <n v="3"/>
    <n v="3"/>
    <n v="264"/>
    <n v="2"/>
    <x v="0"/>
    <x v="1"/>
    <s v="nontarget"/>
    <s v="Stim8_Set3"/>
    <m/>
    <s v="yes"/>
    <x v="0"/>
    <n v="1"/>
    <x v="0"/>
    <x v="1"/>
  </r>
  <r>
    <n v="3"/>
    <n v="3"/>
    <n v="265"/>
    <n v="2"/>
    <x v="0"/>
    <x v="2"/>
    <s v="repeat"/>
    <s v="Stim8_Set3"/>
    <m/>
    <s v="no"/>
    <x v="1"/>
    <n v="0"/>
    <x v="0"/>
    <x v="0"/>
  </r>
  <r>
    <n v="3"/>
    <n v="3"/>
    <n v="266"/>
    <n v="2"/>
    <x v="0"/>
    <x v="1"/>
    <s v="nontarget"/>
    <s v="Stim5_Set3"/>
    <m/>
    <s v="yes"/>
    <x v="1"/>
    <n v="1"/>
    <x v="1"/>
    <x v="0"/>
  </r>
  <r>
    <n v="3"/>
    <n v="3"/>
    <n v="267"/>
    <n v="1"/>
    <x v="1"/>
    <x v="2"/>
    <s v="switch"/>
    <s v="Stim5_Set3"/>
    <m/>
    <s v="no"/>
    <x v="0"/>
    <n v="0"/>
    <x v="0"/>
    <x v="0"/>
  </r>
  <r>
    <n v="3"/>
    <n v="3"/>
    <n v="268"/>
    <n v="2"/>
    <x v="0"/>
    <x v="0"/>
    <s v="filler"/>
    <s v="Stim4_Set2"/>
    <m/>
    <s v="no"/>
    <x v="0"/>
    <n v="0"/>
    <x v="1"/>
    <x v="0"/>
  </r>
  <r>
    <n v="3"/>
    <n v="3"/>
    <n v="269"/>
    <n v="1"/>
    <x v="1"/>
    <x v="0"/>
    <s v="filler"/>
    <s v="Stim5_Set2"/>
    <m/>
    <s v="yes"/>
    <x v="0"/>
    <n v="0"/>
    <x v="0"/>
    <x v="1"/>
  </r>
  <r>
    <n v="3"/>
    <n v="3"/>
    <n v="270"/>
    <n v="1"/>
    <x v="1"/>
    <x v="1"/>
    <s v="nontarget"/>
    <s v="Stim3_Set3"/>
    <m/>
    <s v="yes"/>
    <x v="1"/>
    <n v="1"/>
    <x v="0"/>
    <x v="1"/>
  </r>
  <r>
    <n v="3"/>
    <n v="3"/>
    <n v="271"/>
    <n v="1"/>
    <x v="1"/>
    <x v="2"/>
    <s v="repeat"/>
    <s v="Stim3_Set3"/>
    <m/>
    <s v="no"/>
    <x v="1"/>
    <n v="0"/>
    <x v="0"/>
    <x v="0"/>
  </r>
  <r>
    <n v="3"/>
    <n v="3"/>
    <n v="272"/>
    <n v="2"/>
    <x v="0"/>
    <x v="0"/>
    <s v="filler"/>
    <s v="Stim3_Set2"/>
    <m/>
    <s v="no"/>
    <x v="0"/>
    <n v="0"/>
    <x v="1"/>
    <x v="0"/>
  </r>
  <r>
    <n v="3"/>
    <n v="3"/>
    <n v="273"/>
    <n v="1"/>
    <x v="1"/>
    <x v="1"/>
    <s v="nontarget"/>
    <s v="Stim1_Set3"/>
    <m/>
    <s v="yes"/>
    <x v="0"/>
    <n v="1"/>
    <x v="0"/>
    <x v="1"/>
  </r>
  <r>
    <n v="3"/>
    <n v="3"/>
    <n v="274"/>
    <n v="1"/>
    <x v="1"/>
    <x v="2"/>
    <s v="repeat"/>
    <s v="Stim1_Set3"/>
    <m/>
    <s v="no"/>
    <x v="1"/>
    <n v="0"/>
    <x v="0"/>
    <x v="0"/>
  </r>
  <r>
    <n v="3"/>
    <n v="3"/>
    <n v="275"/>
    <n v="2"/>
    <x v="0"/>
    <x v="0"/>
    <s v="filler"/>
    <s v="Stim1_Set2"/>
    <m/>
    <s v="no"/>
    <x v="0"/>
    <n v="0"/>
    <x v="1"/>
    <x v="0"/>
  </r>
  <r>
    <n v="4"/>
    <n v="3"/>
    <n v="276"/>
    <n v="1"/>
    <x v="1"/>
    <x v="1"/>
    <s v="nontarget"/>
    <s v="Stim4_Set4"/>
    <m/>
    <s v="yes"/>
    <x v="0"/>
    <n v="1"/>
    <x v="0"/>
    <x v="1"/>
  </r>
  <r>
    <n v="4"/>
    <n v="3"/>
    <n v="277"/>
    <n v="1"/>
    <x v="1"/>
    <x v="2"/>
    <s v="repeat"/>
    <s v="Stim4_Set4"/>
    <m/>
    <s v="no"/>
    <x v="1"/>
    <n v="0"/>
    <x v="0"/>
    <x v="0"/>
  </r>
  <r>
    <n v="4"/>
    <n v="3"/>
    <n v="278"/>
    <n v="2"/>
    <x v="0"/>
    <x v="0"/>
    <s v="filler"/>
    <s v="Stim4_Set3"/>
    <m/>
    <s v="no"/>
    <x v="0"/>
    <n v="0"/>
    <x v="1"/>
    <x v="0"/>
  </r>
  <r>
    <n v="4"/>
    <n v="3"/>
    <n v="279"/>
    <n v="1"/>
    <x v="1"/>
    <x v="1"/>
    <s v="nontarget"/>
    <s v="Stim6_Set4"/>
    <m/>
    <s v="yes"/>
    <x v="0"/>
    <n v="1"/>
    <x v="0"/>
    <x v="1"/>
  </r>
  <r>
    <n v="4"/>
    <n v="3"/>
    <n v="280"/>
    <n v="2"/>
    <x v="0"/>
    <x v="2"/>
    <s v="switch"/>
    <s v="Stim6_Set4"/>
    <m/>
    <s v="no"/>
    <x v="0"/>
    <n v="0"/>
    <x v="0"/>
    <x v="0"/>
  </r>
  <r>
    <n v="4"/>
    <n v="3"/>
    <n v="281"/>
    <n v="2"/>
    <x v="0"/>
    <x v="1"/>
    <s v="nontarget"/>
    <s v="Stim2_Set4"/>
    <m/>
    <s v="yes"/>
    <x v="1"/>
    <n v="1"/>
    <x v="1"/>
    <x v="0"/>
  </r>
  <r>
    <n v="4"/>
    <n v="3"/>
    <n v="282"/>
    <n v="2"/>
    <x v="0"/>
    <x v="2"/>
    <s v="repeat"/>
    <s v="Stim2_Set4"/>
    <m/>
    <s v="no"/>
    <x v="1"/>
    <n v="0"/>
    <x v="0"/>
    <x v="0"/>
  </r>
  <r>
    <n v="4"/>
    <n v="3"/>
    <n v="283"/>
    <n v="1"/>
    <x v="1"/>
    <x v="0"/>
    <s v="filler"/>
    <s v="Stim7_Set3"/>
    <m/>
    <s v="no"/>
    <x v="0"/>
    <n v="0"/>
    <x v="1"/>
    <x v="0"/>
  </r>
  <r>
    <n v="4"/>
    <n v="3"/>
    <n v="284"/>
    <n v="2"/>
    <x v="0"/>
    <x v="0"/>
    <s v="filler"/>
    <s v="Stim2_Set3"/>
    <m/>
    <s v="no"/>
    <x v="0"/>
    <n v="0"/>
    <x v="0"/>
    <x v="1"/>
  </r>
  <r>
    <n v="4"/>
    <n v="3"/>
    <n v="285"/>
    <n v="2"/>
    <x v="0"/>
    <x v="1"/>
    <s v="nontarget"/>
    <s v="Stim5_Set4"/>
    <m/>
    <s v="yes"/>
    <x v="1"/>
    <n v="1"/>
    <x v="0"/>
    <x v="1"/>
  </r>
  <r>
    <n v="4"/>
    <n v="3"/>
    <n v="286"/>
    <n v="1"/>
    <x v="1"/>
    <x v="2"/>
    <s v="switch"/>
    <s v="Stim5_Set4"/>
    <m/>
    <s v="no"/>
    <x v="0"/>
    <n v="0"/>
    <x v="0"/>
    <x v="0"/>
  </r>
  <r>
    <n v="4"/>
    <n v="3"/>
    <n v="287"/>
    <n v="1"/>
    <x v="1"/>
    <x v="1"/>
    <s v="nontarget"/>
    <s v="Stim1_Set4"/>
    <m/>
    <s v="yes"/>
    <x v="1"/>
    <n v="1"/>
    <x v="1"/>
    <x v="0"/>
  </r>
  <r>
    <n v="4"/>
    <n v="3"/>
    <n v="288"/>
    <n v="2"/>
    <x v="0"/>
    <x v="2"/>
    <s v="switch"/>
    <s v="Stim1_Set4"/>
    <m/>
    <s v="no"/>
    <x v="0"/>
    <n v="0"/>
    <x v="0"/>
    <x v="0"/>
  </r>
  <r>
    <n v="4"/>
    <n v="3"/>
    <n v="289"/>
    <n v="1"/>
    <x v="1"/>
    <x v="0"/>
    <s v="filler"/>
    <s v="Stim6_Set3"/>
    <m/>
    <s v="no"/>
    <x v="0"/>
    <n v="0"/>
    <x v="1"/>
    <x v="0"/>
  </r>
  <r>
    <n v="4"/>
    <n v="3"/>
    <n v="290"/>
    <n v="2"/>
    <x v="0"/>
    <x v="1"/>
    <s v="nontarget"/>
    <s v="Stim8_Set4"/>
    <m/>
    <s v="yes"/>
    <x v="0"/>
    <n v="1"/>
    <x v="0"/>
    <x v="1"/>
  </r>
  <r>
    <n v="4"/>
    <n v="3"/>
    <n v="291"/>
    <n v="2"/>
    <x v="0"/>
    <x v="2"/>
    <s v="repeat"/>
    <s v="Stim8_Set4"/>
    <m/>
    <s v="no"/>
    <x v="1"/>
    <n v="0"/>
    <x v="0"/>
    <x v="0"/>
  </r>
  <r>
    <n v="4"/>
    <n v="3"/>
    <n v="292"/>
    <n v="1"/>
    <x v="1"/>
    <x v="0"/>
    <s v="filler"/>
    <s v="Stim8_Set3"/>
    <m/>
    <s v="no"/>
    <x v="0"/>
    <n v="0"/>
    <x v="1"/>
    <x v="0"/>
  </r>
  <r>
    <n v="4"/>
    <n v="3"/>
    <n v="293"/>
    <n v="2"/>
    <x v="0"/>
    <x v="0"/>
    <s v="filler"/>
    <s v="Stim1_Set3"/>
    <m/>
    <s v="no"/>
    <x v="0"/>
    <n v="0"/>
    <x v="0"/>
    <x v="1"/>
  </r>
  <r>
    <n v="4"/>
    <n v="3"/>
    <n v="294"/>
    <n v="2"/>
    <x v="0"/>
    <x v="1"/>
    <s v="nontarget"/>
    <s v="Stim3_Set4"/>
    <m/>
    <s v="yes"/>
    <x v="1"/>
    <n v="1"/>
    <x v="0"/>
    <x v="1"/>
  </r>
  <r>
    <n v="4"/>
    <n v="3"/>
    <n v="295"/>
    <n v="1"/>
    <x v="1"/>
    <x v="2"/>
    <s v="switch"/>
    <s v="Stim3_Set4"/>
    <m/>
    <s v="no"/>
    <x v="0"/>
    <n v="0"/>
    <x v="0"/>
    <x v="0"/>
  </r>
  <r>
    <n v="4"/>
    <n v="3"/>
    <n v="296"/>
    <n v="2"/>
    <x v="0"/>
    <x v="0"/>
    <s v="filler"/>
    <m/>
    <s v="here"/>
    <s v="no"/>
    <x v="0"/>
    <n v="0"/>
    <x v="1"/>
    <x v="0"/>
  </r>
  <r>
    <n v="4"/>
    <n v="3"/>
    <n v="297"/>
    <n v="1"/>
    <x v="1"/>
    <x v="0"/>
    <s v="filler"/>
    <s v="Stim5_Set3"/>
    <m/>
    <s v="no"/>
    <x v="0"/>
    <n v="0"/>
    <x v="0"/>
    <x v="1"/>
  </r>
  <r>
    <n v="4"/>
    <n v="3"/>
    <n v="298"/>
    <n v="2"/>
    <x v="0"/>
    <x v="0"/>
    <s v="filler"/>
    <m/>
    <s v="here"/>
    <s v="no"/>
    <x v="0"/>
    <n v="0"/>
    <x v="0"/>
    <x v="1"/>
  </r>
  <r>
    <n v="4"/>
    <n v="3"/>
    <n v="299"/>
    <n v="1"/>
    <x v="1"/>
    <x v="0"/>
    <s v="filler"/>
    <s v="Stim3_Set3"/>
    <m/>
    <s v="yes"/>
    <x v="0"/>
    <n v="0"/>
    <x v="0"/>
    <x v="1"/>
  </r>
  <r>
    <n v="4"/>
    <n v="3"/>
    <n v="300"/>
    <n v="1"/>
    <x v="1"/>
    <x v="1"/>
    <s v="nontarget"/>
    <s v="Stim7_Set4"/>
    <m/>
    <s v="yes"/>
    <x v="1"/>
    <n v="1"/>
    <x v="0"/>
    <x v="1"/>
  </r>
  <r>
    <n v="4"/>
    <n v="3"/>
    <n v="301"/>
    <n v="1"/>
    <x v="1"/>
    <x v="2"/>
    <s v="repeat"/>
    <s v="Stim7_Set4"/>
    <m/>
    <s v="no"/>
    <x v="1"/>
    <n v="0"/>
    <x v="0"/>
    <x v="0"/>
  </r>
  <r>
    <n v="4"/>
    <n v="3"/>
    <n v="302"/>
    <n v="2"/>
    <x v="0"/>
    <x v="0"/>
    <s v="filler"/>
    <m/>
    <s v="here"/>
    <s v="no"/>
    <x v="0"/>
    <n v="1"/>
    <x v="1"/>
    <x v="0"/>
  </r>
  <r>
    <s v="BREAK"/>
    <m/>
    <n v="303"/>
    <m/>
    <x v="2"/>
    <x v="3"/>
    <m/>
    <m/>
    <m/>
    <s v="no"/>
    <x v="0"/>
    <n v="0"/>
    <x v="0"/>
    <x v="1"/>
  </r>
  <r>
    <n v="1"/>
    <n v="4"/>
    <n v="304"/>
    <n v="2"/>
    <x v="0"/>
    <x v="0"/>
    <s v="filler"/>
    <s v="Stim6_Set4"/>
    <m/>
    <s v="yes"/>
    <x v="0"/>
    <n v="0"/>
    <x v="0"/>
    <x v="0"/>
  </r>
  <r>
    <n v="1"/>
    <n v="4"/>
    <n v="305"/>
    <n v="2"/>
    <x v="0"/>
    <x v="1"/>
    <s v="nontarget"/>
    <s v="Stim5_Set1"/>
    <m/>
    <s v="yes"/>
    <x v="1"/>
    <n v="1"/>
    <x v="0"/>
    <x v="1"/>
  </r>
  <r>
    <n v="1"/>
    <n v="4"/>
    <n v="306"/>
    <n v="2"/>
    <x v="0"/>
    <x v="2"/>
    <s v="repeat"/>
    <s v="Stim5_Set1"/>
    <m/>
    <s v="no"/>
    <x v="1"/>
    <n v="0"/>
    <x v="0"/>
    <x v="0"/>
  </r>
  <r>
    <n v="1"/>
    <n v="4"/>
    <n v="307"/>
    <n v="1"/>
    <x v="1"/>
    <x v="0"/>
    <s v="filler"/>
    <s v="Stim3_Set4"/>
    <m/>
    <s v="no"/>
    <x v="0"/>
    <n v="0"/>
    <x v="1"/>
    <x v="0"/>
  </r>
  <r>
    <n v="1"/>
    <n v="4"/>
    <n v="308"/>
    <n v="1"/>
    <x v="1"/>
    <x v="0"/>
    <s v="filler"/>
    <s v="Stim1_Set4"/>
    <m/>
    <s v="yes"/>
    <x v="1"/>
    <n v="0"/>
    <x v="0"/>
    <x v="1"/>
  </r>
  <r>
    <n v="1"/>
    <n v="4"/>
    <n v="309"/>
    <n v="2"/>
    <x v="0"/>
    <x v="1"/>
    <s v="nontarget"/>
    <s v="Stim8_Set1"/>
    <m/>
    <s v="yes"/>
    <x v="0"/>
    <n v="1"/>
    <x v="0"/>
    <x v="1"/>
  </r>
  <r>
    <n v="1"/>
    <n v="4"/>
    <n v="310"/>
    <n v="2"/>
    <x v="0"/>
    <x v="2"/>
    <s v="repeat"/>
    <s v="Stim8_Set1"/>
    <m/>
    <s v="no"/>
    <x v="1"/>
    <n v="0"/>
    <x v="0"/>
    <x v="0"/>
  </r>
  <r>
    <n v="1"/>
    <n v="4"/>
    <n v="311"/>
    <n v="1"/>
    <x v="1"/>
    <x v="0"/>
    <s v="filler"/>
    <s v="Stim8_Set4"/>
    <m/>
    <s v="no"/>
    <x v="0"/>
    <n v="0"/>
    <x v="1"/>
    <x v="0"/>
  </r>
  <r>
    <n v="1"/>
    <n v="4"/>
    <n v="312"/>
    <n v="2"/>
    <x v="0"/>
    <x v="1"/>
    <s v="nontarget"/>
    <s v="Stim7_Set1"/>
    <m/>
    <s v="yes"/>
    <x v="0"/>
    <n v="1"/>
    <x v="0"/>
    <x v="1"/>
  </r>
  <r>
    <n v="1"/>
    <n v="4"/>
    <n v="313"/>
    <n v="1"/>
    <x v="1"/>
    <x v="2"/>
    <s v="switch"/>
    <s v="Stim7_Set1"/>
    <m/>
    <s v="no"/>
    <x v="0"/>
    <n v="0"/>
    <x v="0"/>
    <x v="0"/>
  </r>
  <r>
    <n v="1"/>
    <n v="4"/>
    <n v="314"/>
    <n v="1"/>
    <x v="1"/>
    <x v="0"/>
    <s v="filler"/>
    <s v="Stim4_Set4"/>
    <m/>
    <s v="no"/>
    <x v="1"/>
    <n v="0"/>
    <x v="1"/>
    <x v="0"/>
  </r>
  <r>
    <n v="1"/>
    <n v="4"/>
    <n v="315"/>
    <n v="1"/>
    <x v="1"/>
    <x v="1"/>
    <s v="nontarget"/>
    <s v="Stim3_Set1"/>
    <m/>
    <s v="yes"/>
    <x v="1"/>
    <n v="1"/>
    <x v="0"/>
    <x v="1"/>
  </r>
  <r>
    <n v="1"/>
    <n v="4"/>
    <n v="316"/>
    <n v="2"/>
    <x v="0"/>
    <x v="2"/>
    <s v="switch"/>
    <s v="Stim3_Set1"/>
    <m/>
    <s v="no"/>
    <x v="0"/>
    <n v="0"/>
    <x v="0"/>
    <x v="0"/>
  </r>
  <r>
    <n v="1"/>
    <n v="4"/>
    <n v="317"/>
    <n v="2"/>
    <x v="0"/>
    <x v="1"/>
    <s v="nontarget"/>
    <s v="Stim2_Set1"/>
    <m/>
    <s v="yes"/>
    <x v="1"/>
    <n v="1"/>
    <x v="1"/>
    <x v="0"/>
  </r>
  <r>
    <n v="1"/>
    <n v="4"/>
    <n v="318"/>
    <n v="1"/>
    <x v="1"/>
    <x v="2"/>
    <s v="switch"/>
    <s v="Stim2_Set1"/>
    <m/>
    <s v="no"/>
    <x v="0"/>
    <n v="0"/>
    <x v="0"/>
    <x v="0"/>
  </r>
  <r>
    <n v="1"/>
    <n v="4"/>
    <n v="319"/>
    <n v="1"/>
    <x v="1"/>
    <x v="0"/>
    <s v="filler"/>
    <s v="Stim7_Set4"/>
    <m/>
    <s v="no"/>
    <x v="1"/>
    <n v="0"/>
    <x v="1"/>
    <x v="0"/>
  </r>
  <r>
    <n v="1"/>
    <n v="4"/>
    <n v="320"/>
    <n v="2"/>
    <x v="0"/>
    <x v="0"/>
    <s v="filler"/>
    <s v="Stim5_Set4"/>
    <m/>
    <s v="no"/>
    <x v="0"/>
    <n v="0"/>
    <x v="0"/>
    <x v="1"/>
  </r>
  <r>
    <n v="1"/>
    <n v="4"/>
    <n v="321"/>
    <n v="1"/>
    <x v="1"/>
    <x v="1"/>
    <s v="nontarget"/>
    <s v="Stim4_Set1"/>
    <m/>
    <s v="yes"/>
    <x v="0"/>
    <n v="1"/>
    <x v="0"/>
    <x v="1"/>
  </r>
  <r>
    <n v="1"/>
    <n v="4"/>
    <n v="322"/>
    <n v="1"/>
    <x v="1"/>
    <x v="2"/>
    <s v="repeat"/>
    <s v="Stim4_Set1"/>
    <m/>
    <s v="no"/>
    <x v="1"/>
    <n v="0"/>
    <x v="0"/>
    <x v="0"/>
  </r>
  <r>
    <n v="1"/>
    <n v="4"/>
    <n v="323"/>
    <n v="2"/>
    <x v="0"/>
    <x v="0"/>
    <s v="filler"/>
    <s v="Stim2_Set4"/>
    <m/>
    <s v="no"/>
    <x v="0"/>
    <n v="0"/>
    <x v="1"/>
    <x v="0"/>
  </r>
  <r>
    <n v="1"/>
    <n v="4"/>
    <n v="324"/>
    <n v="1"/>
    <x v="1"/>
    <x v="1"/>
    <s v="nontarget"/>
    <s v="Stim1_Set1"/>
    <m/>
    <s v="yes"/>
    <x v="0"/>
    <n v="1"/>
    <x v="0"/>
    <x v="1"/>
  </r>
  <r>
    <n v="1"/>
    <n v="4"/>
    <n v="325"/>
    <n v="1"/>
    <x v="1"/>
    <x v="2"/>
    <s v="repeat"/>
    <s v="Stim1_Set1"/>
    <m/>
    <s v="no"/>
    <x v="1"/>
    <n v="0"/>
    <x v="0"/>
    <x v="0"/>
  </r>
  <r>
    <n v="1"/>
    <n v="4"/>
    <n v="326"/>
    <n v="1"/>
    <x v="1"/>
    <x v="1"/>
    <s v="nontarget"/>
    <s v="Stim6_Set1"/>
    <m/>
    <s v="yes"/>
    <x v="1"/>
    <n v="1"/>
    <x v="1"/>
    <x v="0"/>
  </r>
  <r>
    <n v="1"/>
    <n v="4"/>
    <n v="327"/>
    <n v="2"/>
    <x v="0"/>
    <x v="2"/>
    <s v="switch"/>
    <s v="Stim6_Set1"/>
    <m/>
    <s v="no"/>
    <x v="0"/>
    <n v="0"/>
    <x v="0"/>
    <x v="0"/>
  </r>
  <r>
    <n v="2"/>
    <n v="4"/>
    <n v="328"/>
    <n v="1"/>
    <x v="1"/>
    <x v="0"/>
    <s v="filler"/>
    <s v="Stim5_Set1"/>
    <m/>
    <s v="no"/>
    <x v="0"/>
    <n v="0"/>
    <x v="1"/>
    <x v="0"/>
  </r>
  <r>
    <n v="2"/>
    <n v="4"/>
    <n v="329"/>
    <n v="1"/>
    <x v="1"/>
    <x v="1"/>
    <s v="nontarget"/>
    <s v="Stim8_Set2"/>
    <m/>
    <s v="yes"/>
    <x v="1"/>
    <n v="1"/>
    <x v="0"/>
    <x v="1"/>
  </r>
  <r>
    <n v="2"/>
    <n v="4"/>
    <n v="330"/>
    <n v="1"/>
    <x v="1"/>
    <x v="2"/>
    <s v="repeat"/>
    <s v="Stim8_Set2"/>
    <m/>
    <s v="no"/>
    <x v="1"/>
    <n v="0"/>
    <x v="0"/>
    <x v="0"/>
  </r>
  <r>
    <n v="2"/>
    <n v="4"/>
    <n v="331"/>
    <n v="2"/>
    <x v="0"/>
    <x v="0"/>
    <s v="filler"/>
    <s v="Stim1_Set1"/>
    <m/>
    <s v="no"/>
    <x v="0"/>
    <n v="0"/>
    <x v="1"/>
    <x v="0"/>
  </r>
  <r>
    <n v="2"/>
    <n v="4"/>
    <n v="332"/>
    <n v="1"/>
    <x v="1"/>
    <x v="1"/>
    <s v="nontarget"/>
    <s v="Stim4_Set2"/>
    <m/>
    <s v="yes"/>
    <x v="0"/>
    <n v="1"/>
    <x v="0"/>
    <x v="1"/>
  </r>
  <r>
    <n v="2"/>
    <n v="4"/>
    <n v="333"/>
    <n v="1"/>
    <x v="1"/>
    <x v="2"/>
    <s v="repeat"/>
    <s v="Stim4_Set2"/>
    <m/>
    <s v="no"/>
    <x v="1"/>
    <n v="0"/>
    <x v="0"/>
    <x v="0"/>
  </r>
  <r>
    <n v="2"/>
    <n v="4"/>
    <n v="334"/>
    <n v="1"/>
    <x v="1"/>
    <x v="0"/>
    <s v="filler"/>
    <s v="Stim8_Set1"/>
    <m/>
    <s v="no"/>
    <x v="1"/>
    <n v="0"/>
    <x v="1"/>
    <x v="0"/>
  </r>
  <r>
    <n v="2"/>
    <n v="4"/>
    <n v="335"/>
    <n v="2"/>
    <x v="0"/>
    <x v="0"/>
    <s v="filler"/>
    <m/>
    <s v="here"/>
    <s v="no"/>
    <x v="0"/>
    <n v="0"/>
    <x v="0"/>
    <x v="1"/>
  </r>
  <r>
    <n v="2"/>
    <n v="4"/>
    <n v="336"/>
    <n v="1"/>
    <x v="1"/>
    <x v="0"/>
    <s v="filler"/>
    <s v="Stim7_Set1"/>
    <m/>
    <s v="yes"/>
    <x v="0"/>
    <n v="0"/>
    <x v="0"/>
    <x v="1"/>
  </r>
  <r>
    <n v="2"/>
    <n v="4"/>
    <n v="337"/>
    <n v="1"/>
    <x v="1"/>
    <x v="1"/>
    <s v="nontarget"/>
    <s v="Stim6_Set2"/>
    <m/>
    <s v="yes"/>
    <x v="1"/>
    <n v="1"/>
    <x v="0"/>
    <x v="1"/>
  </r>
  <r>
    <n v="2"/>
    <n v="4"/>
    <n v="338"/>
    <n v="1"/>
    <x v="0"/>
    <x v="2"/>
    <s v="switch"/>
    <s v="Stim6_Set2"/>
    <m/>
    <s v="no"/>
    <x v="0"/>
    <n v="0"/>
    <x v="0"/>
    <x v="0"/>
  </r>
  <r>
    <n v="2"/>
    <n v="4"/>
    <n v="339"/>
    <n v="2"/>
    <x v="0"/>
    <x v="0"/>
    <s v="filler"/>
    <s v="Stim3_Set1"/>
    <m/>
    <s v="no"/>
    <x v="1"/>
    <n v="0"/>
    <x v="1"/>
    <x v="0"/>
  </r>
  <r>
    <n v="2"/>
    <n v="4"/>
    <n v="340"/>
    <n v="2"/>
    <x v="0"/>
    <x v="1"/>
    <s v="nontarget"/>
    <s v="Stim2_Set2"/>
    <m/>
    <s v="yes"/>
    <x v="1"/>
    <n v="1"/>
    <x v="0"/>
    <x v="1"/>
  </r>
  <r>
    <n v="2"/>
    <n v="4"/>
    <n v="341"/>
    <n v="1"/>
    <x v="1"/>
    <x v="2"/>
    <s v="switch"/>
    <s v="Stim2_Set2"/>
    <m/>
    <s v="no"/>
    <x v="0"/>
    <n v="0"/>
    <x v="0"/>
    <x v="0"/>
  </r>
  <r>
    <n v="2"/>
    <n v="4"/>
    <n v="342"/>
    <n v="1"/>
    <x v="1"/>
    <x v="0"/>
    <s v="filler"/>
    <s v="Stim2_Set1"/>
    <m/>
    <s v="no"/>
    <x v="1"/>
    <n v="0"/>
    <x v="1"/>
    <x v="0"/>
  </r>
  <r>
    <n v="2"/>
    <n v="4"/>
    <n v="343"/>
    <n v="1"/>
    <x v="1"/>
    <x v="1"/>
    <s v="nontarget"/>
    <s v="Stim7_Set2"/>
    <m/>
    <s v="yes"/>
    <x v="1"/>
    <n v="1"/>
    <x v="0"/>
    <x v="1"/>
  </r>
  <r>
    <n v="2"/>
    <n v="4"/>
    <n v="344"/>
    <n v="2"/>
    <x v="0"/>
    <x v="2"/>
    <s v="switch"/>
    <s v="Stim7_Set2"/>
    <m/>
    <s v="no"/>
    <x v="0"/>
    <n v="0"/>
    <x v="0"/>
    <x v="0"/>
  </r>
  <r>
    <n v="2"/>
    <n v="4"/>
    <n v="345"/>
    <n v="2"/>
    <x v="0"/>
    <x v="1"/>
    <s v="nontarget"/>
    <s v="Stim3_Set2"/>
    <m/>
    <s v="yes"/>
    <x v="1"/>
    <n v="1"/>
    <x v="1"/>
    <x v="0"/>
  </r>
  <r>
    <n v="2"/>
    <n v="4"/>
    <n v="346"/>
    <n v="2"/>
    <x v="0"/>
    <x v="2"/>
    <s v="repeat"/>
    <s v="Stim3_Set2"/>
    <m/>
    <s v="no"/>
    <x v="1"/>
    <n v="0"/>
    <x v="0"/>
    <x v="0"/>
  </r>
  <r>
    <n v="2"/>
    <n v="4"/>
    <n v="347"/>
    <n v="1"/>
    <x v="1"/>
    <x v="0"/>
    <s v="filler"/>
    <s v="Stim4_Set1"/>
    <m/>
    <s v="no"/>
    <x v="0"/>
    <n v="0"/>
    <x v="1"/>
    <x v="0"/>
  </r>
  <r>
    <n v="2"/>
    <n v="4"/>
    <n v="348"/>
    <n v="2"/>
    <x v="0"/>
    <x v="1"/>
    <s v="nontarget"/>
    <s v="Stim5_Set2"/>
    <m/>
    <s v="yes"/>
    <x v="0"/>
    <n v="1"/>
    <x v="0"/>
    <x v="1"/>
  </r>
  <r>
    <n v="2"/>
    <n v="4"/>
    <n v="349"/>
    <n v="2"/>
    <x v="0"/>
    <x v="2"/>
    <s v="repeat"/>
    <s v="Stim5_Set2"/>
    <m/>
    <s v="no"/>
    <x v="1"/>
    <n v="0"/>
    <x v="0"/>
    <x v="0"/>
  </r>
  <r>
    <n v="2"/>
    <n v="4"/>
    <n v="350"/>
    <n v="1"/>
    <x v="1"/>
    <x v="0"/>
    <s v="filler"/>
    <m/>
    <s v="here"/>
    <s v="no"/>
    <x v="0"/>
    <n v="0"/>
    <x v="1"/>
    <x v="0"/>
  </r>
  <r>
    <n v="2"/>
    <n v="4"/>
    <n v="351"/>
    <n v="2"/>
    <x v="0"/>
    <x v="0"/>
    <s v="filler"/>
    <s v="Stim6_Set1"/>
    <m/>
    <s v="no"/>
    <x v="0"/>
    <n v="0"/>
    <x v="0"/>
    <x v="1"/>
  </r>
  <r>
    <n v="2"/>
    <n v="4"/>
    <n v="352"/>
    <n v="2"/>
    <x v="0"/>
    <x v="1"/>
    <s v="nontarget"/>
    <s v="Stim1_Set2"/>
    <m/>
    <s v="yes"/>
    <x v="1"/>
    <n v="1"/>
    <x v="0"/>
    <x v="1"/>
  </r>
  <r>
    <n v="2"/>
    <n v="4"/>
    <n v="353"/>
    <n v="1"/>
    <x v="1"/>
    <x v="2"/>
    <s v="switch"/>
    <s v="Stim1_Set2"/>
    <m/>
    <s v="no"/>
    <x v="0"/>
    <n v="0"/>
    <x v="0"/>
    <x v="0"/>
  </r>
  <r>
    <n v="3"/>
    <n v="4"/>
    <n v="354"/>
    <n v="1"/>
    <x v="1"/>
    <x v="1"/>
    <s v="nontarget"/>
    <s v="Stim5_Set3"/>
    <m/>
    <s v="yes"/>
    <x v="1"/>
    <n v="1"/>
    <x v="1"/>
    <x v="0"/>
  </r>
  <r>
    <n v="3"/>
    <n v="4"/>
    <n v="355"/>
    <n v="2"/>
    <x v="0"/>
    <x v="2"/>
    <s v="switch"/>
    <s v="Stim5_Set3"/>
    <m/>
    <s v="no"/>
    <x v="0"/>
    <n v="0"/>
    <x v="0"/>
    <x v="0"/>
  </r>
  <r>
    <n v="3"/>
    <n v="4"/>
    <n v="356"/>
    <n v="2"/>
    <x v="0"/>
    <x v="0"/>
    <s v="filler"/>
    <s v="Stim8_Set2"/>
    <m/>
    <s v="no"/>
    <x v="1"/>
    <n v="0"/>
    <x v="1"/>
    <x v="0"/>
  </r>
  <r>
    <n v="3"/>
    <n v="4"/>
    <n v="357"/>
    <n v="2"/>
    <x v="0"/>
    <x v="1"/>
    <s v="nontarget"/>
    <s v="Stim1_Set3"/>
    <m/>
    <s v="yes"/>
    <x v="1"/>
    <n v="1"/>
    <x v="0"/>
    <x v="1"/>
  </r>
  <r>
    <n v="3"/>
    <n v="4"/>
    <n v="358"/>
    <n v="1"/>
    <x v="1"/>
    <x v="2"/>
    <s v="switch"/>
    <s v="Stim1_Set3"/>
    <m/>
    <s v="no"/>
    <x v="0"/>
    <n v="0"/>
    <x v="0"/>
    <x v="0"/>
  </r>
  <r>
    <n v="3"/>
    <n v="4"/>
    <n v="359"/>
    <n v="1"/>
    <x v="1"/>
    <x v="0"/>
    <s v="filler"/>
    <s v="Stim4_Set2"/>
    <m/>
    <s v="no"/>
    <x v="1"/>
    <n v="0"/>
    <x v="1"/>
    <x v="0"/>
  </r>
  <r>
    <n v="3"/>
    <n v="4"/>
    <n v="360"/>
    <n v="1"/>
    <x v="1"/>
    <x v="1"/>
    <s v="nontarget"/>
    <s v="Stim7_Set3"/>
    <m/>
    <s v="yes"/>
    <x v="1"/>
    <n v="1"/>
    <x v="0"/>
    <x v="1"/>
  </r>
  <r>
    <n v="3"/>
    <n v="4"/>
    <n v="361"/>
    <n v="2"/>
    <x v="0"/>
    <x v="2"/>
    <s v="switch"/>
    <s v="Stim7_Set3"/>
    <m/>
    <s v="no"/>
    <x v="0"/>
    <n v="0"/>
    <x v="0"/>
    <x v="0"/>
  </r>
  <r>
    <n v="3"/>
    <n v="4"/>
    <n v="362"/>
    <n v="1"/>
    <x v="1"/>
    <x v="0"/>
    <s v="filler"/>
    <s v="Stim6_Set2"/>
    <m/>
    <s v="no"/>
    <x v="0"/>
    <n v="0"/>
    <x v="1"/>
    <x v="0"/>
  </r>
  <r>
    <n v="3"/>
    <n v="4"/>
    <n v="363"/>
    <n v="2"/>
    <x v="0"/>
    <x v="1"/>
    <s v="nontarget"/>
    <s v="Stim3_Set3"/>
    <m/>
    <s v="yes"/>
    <x v="0"/>
    <n v="1"/>
    <x v="0"/>
    <x v="1"/>
  </r>
  <r>
    <n v="3"/>
    <n v="4"/>
    <n v="364"/>
    <n v="2"/>
    <x v="0"/>
    <x v="2"/>
    <s v="repeat"/>
    <s v="Stim3_Set3"/>
    <m/>
    <s v="no"/>
    <x v="1"/>
    <n v="0"/>
    <x v="0"/>
    <x v="0"/>
  </r>
  <r>
    <n v="3"/>
    <n v="4"/>
    <n v="365"/>
    <n v="2"/>
    <x v="0"/>
    <x v="0"/>
    <s v="filler"/>
    <s v="Stim2_Set2"/>
    <m/>
    <s v="no"/>
    <x v="1"/>
    <n v="0"/>
    <x v="1"/>
    <x v="0"/>
  </r>
  <r>
    <n v="3"/>
    <n v="4"/>
    <n v="366"/>
    <n v="1"/>
    <x v="1"/>
    <x v="0"/>
    <s v="filler"/>
    <s v="Stim7_Set2"/>
    <m/>
    <s v="yes"/>
    <x v="0"/>
    <n v="0"/>
    <x v="0"/>
    <x v="1"/>
  </r>
  <r>
    <n v="3"/>
    <n v="4"/>
    <n v="367"/>
    <n v="2"/>
    <x v="0"/>
    <x v="1"/>
    <s v="nontarget"/>
    <s v="Stim2_Set3"/>
    <m/>
    <s v="yes"/>
    <x v="0"/>
    <n v="1"/>
    <x v="0"/>
    <x v="1"/>
  </r>
  <r>
    <n v="3"/>
    <n v="4"/>
    <n v="368"/>
    <n v="2"/>
    <x v="0"/>
    <x v="2"/>
    <s v="repeat"/>
    <s v="Stim2_Set3"/>
    <m/>
    <s v="no"/>
    <x v="1"/>
    <n v="0"/>
    <x v="0"/>
    <x v="0"/>
  </r>
  <r>
    <n v="3"/>
    <n v="4"/>
    <n v="369"/>
    <n v="2"/>
    <x v="0"/>
    <x v="1"/>
    <s v="nontarget"/>
    <s v="Stim8_Set3"/>
    <m/>
    <s v="yes"/>
    <x v="1"/>
    <n v="1"/>
    <x v="1"/>
    <x v="0"/>
  </r>
  <r>
    <n v="3"/>
    <n v="4"/>
    <n v="370"/>
    <n v="1"/>
    <x v="1"/>
    <x v="2"/>
    <s v="switch"/>
    <s v="Stim8_Set3"/>
    <m/>
    <s v="no"/>
    <x v="0"/>
    <n v="0"/>
    <x v="0"/>
    <x v="0"/>
  </r>
  <r>
    <n v="3"/>
    <n v="4"/>
    <n v="371"/>
    <n v="2"/>
    <x v="0"/>
    <x v="0"/>
    <s v="filler"/>
    <s v="Stim5_Set2"/>
    <m/>
    <s v="no"/>
    <x v="0"/>
    <n v="0"/>
    <x v="1"/>
    <x v="0"/>
  </r>
  <r>
    <n v="3"/>
    <n v="4"/>
    <n v="372"/>
    <n v="1"/>
    <x v="1"/>
    <x v="0"/>
    <s v="filler"/>
    <s v="Stim3_Set2"/>
    <m/>
    <s v="no"/>
    <x v="0"/>
    <n v="0"/>
    <x v="0"/>
    <x v="1"/>
  </r>
  <r>
    <n v="3"/>
    <n v="4"/>
    <n v="373"/>
    <n v="1"/>
    <x v="1"/>
    <x v="1"/>
    <s v="nontarget"/>
    <s v="Stim6_Set3"/>
    <m/>
    <s v="yes"/>
    <x v="1"/>
    <n v="1"/>
    <x v="0"/>
    <x v="1"/>
  </r>
  <r>
    <n v="3"/>
    <n v="4"/>
    <n v="374"/>
    <n v="1"/>
    <x v="1"/>
    <x v="2"/>
    <s v="repeat"/>
    <s v="Stim6_Set3"/>
    <m/>
    <s v="no"/>
    <x v="1"/>
    <n v="0"/>
    <x v="0"/>
    <x v="0"/>
  </r>
  <r>
    <n v="3"/>
    <n v="4"/>
    <n v="375"/>
    <n v="2"/>
    <x v="0"/>
    <x v="0"/>
    <s v="filler"/>
    <s v="Stim1_Set2"/>
    <m/>
    <s v="no"/>
    <x v="0"/>
    <n v="0"/>
    <x v="1"/>
    <x v="0"/>
  </r>
  <r>
    <n v="3"/>
    <n v="4"/>
    <n v="376"/>
    <n v="1"/>
    <x v="1"/>
    <x v="1"/>
    <s v="nontarget"/>
    <s v="Stim4_Set3"/>
    <m/>
    <s v="yes"/>
    <x v="0"/>
    <n v="1"/>
    <x v="0"/>
    <x v="1"/>
  </r>
  <r>
    <n v="3"/>
    <n v="4"/>
    <n v="377"/>
    <n v="1"/>
    <x v="1"/>
    <x v="2"/>
    <s v="repeat"/>
    <s v="Stim4_Set3"/>
    <m/>
    <s v="no"/>
    <x v="1"/>
    <n v="0"/>
    <x v="0"/>
    <x v="0"/>
  </r>
  <r>
    <n v="4"/>
    <n v="4"/>
    <n v="378"/>
    <n v="1"/>
    <x v="1"/>
    <x v="0"/>
    <s v="filler"/>
    <s v="Stim1_Set3"/>
    <m/>
    <s v="no"/>
    <x v="1"/>
    <n v="0"/>
    <x v="1"/>
    <x v="0"/>
  </r>
  <r>
    <n v="4"/>
    <n v="4"/>
    <n v="379"/>
    <n v="2"/>
    <x v="0"/>
    <x v="0"/>
    <s v="filler"/>
    <s v="Stim5_Set3"/>
    <m/>
    <s v="yes"/>
    <x v="0"/>
    <n v="0"/>
    <x v="0"/>
    <x v="1"/>
  </r>
  <r>
    <n v="4"/>
    <n v="4"/>
    <n v="380"/>
    <n v="1"/>
    <x v="1"/>
    <x v="1"/>
    <s v="nontarget"/>
    <s v="Stim6_Set4"/>
    <m/>
    <s v="yes"/>
    <x v="0"/>
    <n v="1"/>
    <x v="0"/>
    <x v="1"/>
  </r>
  <r>
    <n v="4"/>
    <n v="4"/>
    <n v="381"/>
    <n v="1"/>
    <x v="1"/>
    <x v="2"/>
    <s v="repeat"/>
    <s v="Stim6_Set4"/>
    <m/>
    <s v="no"/>
    <x v="1"/>
    <n v="0"/>
    <x v="0"/>
    <x v="0"/>
  </r>
  <r>
    <n v="4"/>
    <n v="4"/>
    <n v="382"/>
    <n v="1"/>
    <x v="1"/>
    <x v="1"/>
    <s v="nontarget"/>
    <s v="Stim3_Set4"/>
    <m/>
    <s v="yes"/>
    <x v="1"/>
    <n v="1"/>
    <x v="1"/>
    <x v="0"/>
  </r>
  <r>
    <n v="4"/>
    <n v="4"/>
    <n v="383"/>
    <n v="2"/>
    <x v="0"/>
    <x v="2"/>
    <s v="switch"/>
    <s v="Stim3_Set4"/>
    <m/>
    <s v="no"/>
    <x v="0"/>
    <n v="0"/>
    <x v="0"/>
    <x v="0"/>
  </r>
  <r>
    <n v="4"/>
    <n v="4"/>
    <n v="384"/>
    <n v="1"/>
    <x v="1"/>
    <x v="0"/>
    <s v="filler"/>
    <s v="Stim7_Set3"/>
    <m/>
    <s v="no"/>
    <x v="0"/>
    <n v="0"/>
    <x v="1"/>
    <x v="0"/>
  </r>
  <r>
    <n v="4"/>
    <n v="4"/>
    <n v="385"/>
    <n v="2"/>
    <x v="0"/>
    <x v="1"/>
    <s v="nontarget"/>
    <s v="Stim5_Set4"/>
    <m/>
    <s v="yes"/>
    <x v="0"/>
    <n v="1"/>
    <x v="0"/>
    <x v="1"/>
  </r>
  <r>
    <n v="4"/>
    <n v="4"/>
    <n v="386"/>
    <n v="2"/>
    <x v="0"/>
    <x v="2"/>
    <s v="repeat"/>
    <s v="Stim5_Set4"/>
    <m/>
    <s v="no"/>
    <x v="1"/>
    <n v="0"/>
    <x v="0"/>
    <x v="0"/>
  </r>
  <r>
    <n v="4"/>
    <n v="4"/>
    <n v="387"/>
    <n v="2"/>
    <x v="0"/>
    <x v="1"/>
    <s v="nontarget"/>
    <s v="Stim1_Set4"/>
    <m/>
    <s v="yes"/>
    <x v="1"/>
    <n v="1"/>
    <x v="1"/>
    <x v="0"/>
  </r>
  <r>
    <n v="4"/>
    <n v="4"/>
    <n v="388"/>
    <n v="1"/>
    <x v="1"/>
    <x v="2"/>
    <s v="switch"/>
    <s v="Stim1_Set4"/>
    <m/>
    <s v="no"/>
    <x v="0"/>
    <n v="0"/>
    <x v="0"/>
    <x v="0"/>
  </r>
  <r>
    <n v="4"/>
    <n v="4"/>
    <n v="389"/>
    <n v="2"/>
    <x v="0"/>
    <x v="0"/>
    <s v="filler"/>
    <s v="Stim3_Set3"/>
    <m/>
    <s v="no"/>
    <x v="0"/>
    <n v="0"/>
    <x v="1"/>
    <x v="0"/>
  </r>
  <r>
    <n v="4"/>
    <n v="4"/>
    <n v="390"/>
    <n v="1"/>
    <x v="1"/>
    <x v="1"/>
    <s v="nontarget"/>
    <s v="Stim4_Set4"/>
    <m/>
    <s v="yes"/>
    <x v="0"/>
    <n v="1"/>
    <x v="0"/>
    <x v="1"/>
  </r>
  <r>
    <n v="4"/>
    <n v="4"/>
    <n v="391"/>
    <n v="2"/>
    <x v="0"/>
    <x v="2"/>
    <s v="switch"/>
    <s v="Stim4_Set4"/>
    <m/>
    <s v="no"/>
    <x v="0"/>
    <n v="0"/>
    <x v="0"/>
    <x v="0"/>
  </r>
  <r>
    <n v="4"/>
    <n v="4"/>
    <n v="392"/>
    <n v="1"/>
    <x v="1"/>
    <x v="0"/>
    <s v="filler"/>
    <m/>
    <s v="here"/>
    <s v="no"/>
    <x v="0"/>
    <n v="0"/>
    <x v="1"/>
    <x v="0"/>
  </r>
  <r>
    <n v="4"/>
    <n v="4"/>
    <n v="393"/>
    <n v="2"/>
    <x v="0"/>
    <x v="0"/>
    <s v="filler"/>
    <s v="Stim2_Set3"/>
    <m/>
    <s v="no"/>
    <x v="0"/>
    <n v="0"/>
    <x v="0"/>
    <x v="1"/>
  </r>
  <r>
    <n v="4"/>
    <n v="4"/>
    <n v="394"/>
    <n v="2"/>
    <x v="0"/>
    <x v="1"/>
    <s v="nontarget"/>
    <s v="Stim7_Set4"/>
    <m/>
    <s v="yes"/>
    <x v="1"/>
    <n v="1"/>
    <x v="0"/>
    <x v="1"/>
  </r>
  <r>
    <n v="4"/>
    <n v="4"/>
    <n v="395"/>
    <n v="2"/>
    <x v="0"/>
    <x v="2"/>
    <s v="repeat"/>
    <s v="Stim7_Set4"/>
    <m/>
    <s v="no"/>
    <x v="1"/>
    <n v="0"/>
    <x v="0"/>
    <x v="0"/>
  </r>
  <r>
    <n v="4"/>
    <n v="4"/>
    <n v="396"/>
    <n v="1"/>
    <x v="1"/>
    <x v="0"/>
    <s v="filler"/>
    <s v="Stim8_Set3"/>
    <m/>
    <s v="no"/>
    <x v="0"/>
    <n v="0"/>
    <x v="1"/>
    <x v="0"/>
  </r>
  <r>
    <n v="4"/>
    <n v="4"/>
    <n v="397"/>
    <n v="2"/>
    <x v="0"/>
    <x v="0"/>
    <s v="filler"/>
    <s v="Stim6_Set3"/>
    <m/>
    <s v="no"/>
    <x v="0"/>
    <n v="0"/>
    <x v="0"/>
    <x v="1"/>
  </r>
  <r>
    <n v="4"/>
    <n v="4"/>
    <n v="398"/>
    <n v="2"/>
    <x v="0"/>
    <x v="1"/>
    <s v="nontarget"/>
    <s v="Stim8_Set4"/>
    <m/>
    <s v="yes"/>
    <x v="1"/>
    <n v="1"/>
    <x v="0"/>
    <x v="1"/>
  </r>
  <r>
    <n v="4"/>
    <n v="4"/>
    <n v="399"/>
    <n v="1"/>
    <x v="1"/>
    <x v="2"/>
    <s v="switch"/>
    <s v="Stim8_Set4"/>
    <m/>
    <s v="no"/>
    <x v="0"/>
    <n v="0"/>
    <x v="0"/>
    <x v="0"/>
  </r>
  <r>
    <n v="4"/>
    <n v="4"/>
    <n v="400"/>
    <n v="2"/>
    <x v="0"/>
    <x v="0"/>
    <s v="filler"/>
    <m/>
    <s v="here"/>
    <s v="no"/>
    <x v="0"/>
    <n v="0"/>
    <x v="1"/>
    <x v="0"/>
  </r>
  <r>
    <n v="4"/>
    <n v="4"/>
    <n v="401"/>
    <n v="1"/>
    <x v="1"/>
    <x v="0"/>
    <s v="filler"/>
    <s v="Stim4_Set3"/>
    <m/>
    <s v="no"/>
    <x v="0"/>
    <n v="0"/>
    <x v="0"/>
    <x v="1"/>
  </r>
  <r>
    <n v="4"/>
    <n v="4"/>
    <n v="402"/>
    <n v="1"/>
    <x v="1"/>
    <x v="1"/>
    <s v="nontarget"/>
    <s v="Stim2_Set4"/>
    <m/>
    <s v="yes"/>
    <x v="1"/>
    <n v="1"/>
    <x v="0"/>
    <x v="1"/>
  </r>
  <r>
    <n v="4"/>
    <n v="4"/>
    <n v="403"/>
    <n v="1"/>
    <x v="1"/>
    <x v="2"/>
    <s v="repeat"/>
    <s v="Stim2_Set4"/>
    <m/>
    <s v="no"/>
    <x v="1"/>
    <n v="0"/>
    <x v="0"/>
    <x v="0"/>
  </r>
  <r>
    <n v="4"/>
    <n v="4"/>
    <n v="404"/>
    <n v="2"/>
    <x v="0"/>
    <x v="0"/>
    <s v="filler"/>
    <m/>
    <s v="here"/>
    <s v="no"/>
    <x v="0"/>
    <n v="1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1"/>
    <n v="1"/>
    <n v="1"/>
    <n v="2"/>
    <x v="0"/>
    <x v="0"/>
    <s v="filler"/>
    <m/>
    <s v="here"/>
    <m/>
    <m/>
    <x v="0"/>
    <n v="0"/>
    <x v="0"/>
    <n v="0"/>
  </r>
  <r>
    <n v="1"/>
    <n v="1"/>
    <n v="2"/>
    <n v="2"/>
    <x v="0"/>
    <x v="1"/>
    <s v="nontarget"/>
    <s v="Stim1_Set1"/>
    <m/>
    <s v="yes"/>
    <s v="repeat"/>
    <x v="1"/>
    <n v="1"/>
    <x v="0"/>
    <n v="1"/>
  </r>
  <r>
    <n v="1"/>
    <n v="1"/>
    <n v="3"/>
    <n v="2"/>
    <x v="0"/>
    <x v="2"/>
    <s v="repeat"/>
    <s v="Stim1_Set1"/>
    <m/>
    <m/>
    <m/>
    <x v="1"/>
    <n v="0"/>
    <x v="0"/>
    <n v="0"/>
  </r>
  <r>
    <n v="1"/>
    <n v="1"/>
    <n v="4"/>
    <n v="1"/>
    <x v="1"/>
    <x v="0"/>
    <s v="filler"/>
    <s v="Stim1_Set4"/>
    <m/>
    <m/>
    <m/>
    <x v="0"/>
    <n v="0"/>
    <x v="1"/>
    <n v="0"/>
  </r>
  <r>
    <n v="1"/>
    <n v="1"/>
    <n v="5"/>
    <n v="2"/>
    <x v="0"/>
    <x v="1"/>
    <s v="nontarget"/>
    <s v="Stim2_Set1"/>
    <m/>
    <s v="yes"/>
    <s v="switch"/>
    <x v="0"/>
    <n v="1"/>
    <x v="0"/>
    <n v="1"/>
  </r>
  <r>
    <n v="1"/>
    <n v="1"/>
    <n v="6"/>
    <n v="2"/>
    <x v="0"/>
    <x v="2"/>
    <s v="repeat"/>
    <s v="Stim2_Set1"/>
    <m/>
    <m/>
    <m/>
    <x v="1"/>
    <n v="0"/>
    <x v="0"/>
    <n v="0"/>
  </r>
  <r>
    <n v="1"/>
    <n v="1"/>
    <n v="7"/>
    <n v="1"/>
    <x v="1"/>
    <x v="0"/>
    <s v="filler"/>
    <s v="Stim2_Set4"/>
    <m/>
    <s v="yes"/>
    <s v="switch"/>
    <x v="0"/>
    <n v="0"/>
    <x v="1"/>
    <n v="0"/>
  </r>
  <r>
    <n v="1"/>
    <n v="1"/>
    <n v="8"/>
    <n v="2"/>
    <x v="0"/>
    <x v="1"/>
    <s v="nontarget"/>
    <s v="Stim3_Set1"/>
    <m/>
    <m/>
    <m/>
    <x v="0"/>
    <n v="1"/>
    <x v="0"/>
    <n v="1"/>
  </r>
  <r>
    <n v="1"/>
    <n v="1"/>
    <n v="9"/>
    <n v="1"/>
    <x v="1"/>
    <x v="2"/>
    <s v="switch"/>
    <s v="Stim3_Set1"/>
    <m/>
    <m/>
    <m/>
    <x v="0"/>
    <n v="0"/>
    <x v="0"/>
    <n v="0"/>
  </r>
  <r>
    <n v="1"/>
    <n v="1"/>
    <n v="10"/>
    <n v="2"/>
    <x v="0"/>
    <x v="0"/>
    <s v="filler"/>
    <s v="Stim5_Set4"/>
    <m/>
    <m/>
    <m/>
    <x v="0"/>
    <n v="0"/>
    <x v="1"/>
    <n v="0"/>
  </r>
  <r>
    <n v="1"/>
    <n v="1"/>
    <n v="11"/>
    <n v="1"/>
    <x v="1"/>
    <x v="1"/>
    <s v="nontarget"/>
    <s v="Stim4_Set1"/>
    <m/>
    <s v="yes"/>
    <s v="switch"/>
    <x v="0"/>
    <n v="1"/>
    <x v="0"/>
    <n v="1"/>
  </r>
  <r>
    <n v="1"/>
    <n v="1"/>
    <n v="12"/>
    <n v="2"/>
    <x v="0"/>
    <x v="2"/>
    <s v="switch"/>
    <s v="Stim4_Set1"/>
    <m/>
    <m/>
    <m/>
    <x v="0"/>
    <n v="0"/>
    <x v="0"/>
    <n v="0"/>
  </r>
  <r>
    <n v="1"/>
    <n v="1"/>
    <n v="13"/>
    <n v="2"/>
    <x v="0"/>
    <x v="0"/>
    <s v="filler"/>
    <s v="Stim3_Set4"/>
    <m/>
    <m/>
    <m/>
    <x v="1"/>
    <n v="0"/>
    <x v="1"/>
    <n v="0"/>
  </r>
  <r>
    <n v="1"/>
    <n v="1"/>
    <n v="14"/>
    <n v="2"/>
    <x v="0"/>
    <x v="1"/>
    <s v="nontarget"/>
    <s v="Stim5_Set1"/>
    <m/>
    <m/>
    <m/>
    <x v="1"/>
    <n v="1"/>
    <x v="0"/>
    <n v="1"/>
  </r>
  <r>
    <n v="1"/>
    <n v="1"/>
    <n v="15"/>
    <n v="1"/>
    <x v="1"/>
    <x v="2"/>
    <s v="switch"/>
    <s v="Stim5_Set1"/>
    <m/>
    <m/>
    <m/>
    <x v="0"/>
    <n v="0"/>
    <x v="0"/>
    <n v="0"/>
  </r>
  <r>
    <n v="1"/>
    <n v="1"/>
    <n v="16"/>
    <n v="2"/>
    <x v="0"/>
    <x v="0"/>
    <s v="filler"/>
    <s v="Stim4_Set4"/>
    <m/>
    <m/>
    <m/>
    <x v="0"/>
    <n v="0"/>
    <x v="1"/>
    <n v="0"/>
  </r>
  <r>
    <n v="1"/>
    <n v="1"/>
    <n v="17"/>
    <n v="1"/>
    <x v="1"/>
    <x v="1"/>
    <s v="nontarget"/>
    <s v="Stim6_Set1"/>
    <m/>
    <s v="yes"/>
    <s v="switch"/>
    <x v="0"/>
    <n v="1"/>
    <x v="0"/>
    <n v="1"/>
  </r>
  <r>
    <n v="1"/>
    <n v="1"/>
    <n v="18"/>
    <n v="1"/>
    <x v="1"/>
    <x v="2"/>
    <s v="repeat"/>
    <s v="Stim6_Set1"/>
    <m/>
    <m/>
    <m/>
    <x v="1"/>
    <n v="0"/>
    <x v="0"/>
    <n v="0"/>
  </r>
  <r>
    <n v="1"/>
    <n v="1"/>
    <n v="19"/>
    <n v="1"/>
    <x v="1"/>
    <x v="0"/>
    <s v="filler"/>
    <s v="Stim7_Set4"/>
    <m/>
    <m/>
    <m/>
    <x v="1"/>
    <n v="0"/>
    <x v="1"/>
    <n v="0"/>
  </r>
  <r>
    <n v="1"/>
    <n v="1"/>
    <n v="20"/>
    <n v="1"/>
    <x v="1"/>
    <x v="1"/>
    <s v="nontarget"/>
    <s v="Stim7_Set1"/>
    <m/>
    <s v="yes"/>
    <s v="repeat"/>
    <x v="1"/>
    <n v="1"/>
    <x v="0"/>
    <n v="1"/>
  </r>
  <r>
    <n v="1"/>
    <n v="1"/>
    <n v="21"/>
    <n v="1"/>
    <x v="1"/>
    <x v="2"/>
    <s v="repeat"/>
    <s v="Stim7_Set1"/>
    <m/>
    <m/>
    <m/>
    <x v="1"/>
    <n v="0"/>
    <x v="0"/>
    <n v="0"/>
  </r>
  <r>
    <n v="1"/>
    <n v="1"/>
    <n v="22"/>
    <n v="2"/>
    <x v="0"/>
    <x v="0"/>
    <s v="filler"/>
    <s v="Stim6_Set4"/>
    <m/>
    <s v="yes"/>
    <s v="switch"/>
    <x v="0"/>
    <n v="0"/>
    <x v="1"/>
    <n v="0"/>
  </r>
  <r>
    <n v="1"/>
    <n v="1"/>
    <n v="23"/>
    <n v="1"/>
    <x v="1"/>
    <x v="0"/>
    <s v="filler"/>
    <s v="Stim8_Set4"/>
    <m/>
    <s v="yes"/>
    <s v="switch"/>
    <x v="0"/>
    <n v="0"/>
    <x v="0"/>
    <n v="1"/>
  </r>
  <r>
    <n v="1"/>
    <n v="1"/>
    <n v="24"/>
    <n v="1"/>
    <x v="1"/>
    <x v="1"/>
    <s v="nontarget"/>
    <s v="Stim8_Set1"/>
    <m/>
    <s v="yes"/>
    <s v="repeat"/>
    <x v="1"/>
    <n v="1"/>
    <x v="0"/>
    <n v="1"/>
  </r>
  <r>
    <n v="1"/>
    <n v="1"/>
    <n v="25"/>
    <n v="2"/>
    <x v="0"/>
    <x v="2"/>
    <s v="switch"/>
    <s v="Stim8_Set1"/>
    <m/>
    <m/>
    <m/>
    <x v="0"/>
    <n v="0"/>
    <x v="0"/>
    <n v="0"/>
  </r>
  <r>
    <n v="2"/>
    <n v="1"/>
    <n v="26"/>
    <n v="2"/>
    <x v="0"/>
    <x v="0"/>
    <s v="filler"/>
    <s v="Stim1_Set1"/>
    <m/>
    <m/>
    <m/>
    <x v="1"/>
    <n v="0"/>
    <x v="1"/>
    <n v="0"/>
  </r>
  <r>
    <n v="2"/>
    <n v="1"/>
    <n v="27"/>
    <n v="1"/>
    <x v="1"/>
    <x v="1"/>
    <s v="nontarget"/>
    <s v="Stim1_Set2"/>
    <m/>
    <s v="yes"/>
    <s v="switch"/>
    <x v="0"/>
    <n v="1"/>
    <x v="0"/>
    <n v="1"/>
  </r>
  <r>
    <n v="2"/>
    <n v="1"/>
    <n v="28"/>
    <n v="1"/>
    <x v="1"/>
    <x v="2"/>
    <s v="repeat"/>
    <s v="Stim1_Set2"/>
    <m/>
    <m/>
    <m/>
    <x v="1"/>
    <n v="0"/>
    <x v="0"/>
    <n v="0"/>
  </r>
  <r>
    <n v="2"/>
    <n v="1"/>
    <n v="29"/>
    <n v="2"/>
    <x v="0"/>
    <x v="0"/>
    <s v="filler"/>
    <s v="Stim2_Set1"/>
    <m/>
    <m/>
    <m/>
    <x v="0"/>
    <n v="0"/>
    <x v="1"/>
    <n v="0"/>
  </r>
  <r>
    <n v="2"/>
    <n v="1"/>
    <n v="30"/>
    <n v="1"/>
    <x v="1"/>
    <x v="1"/>
    <s v="nontarget"/>
    <s v="Stim2_Set2"/>
    <m/>
    <s v="yes"/>
    <s v="switch"/>
    <x v="0"/>
    <n v="1"/>
    <x v="0"/>
    <n v="1"/>
  </r>
  <r>
    <n v="2"/>
    <n v="1"/>
    <n v="31"/>
    <n v="1"/>
    <x v="1"/>
    <x v="2"/>
    <s v="repeat"/>
    <s v="Stim2_Set2"/>
    <m/>
    <m/>
    <m/>
    <x v="1"/>
    <n v="0"/>
    <x v="0"/>
    <n v="0"/>
  </r>
  <r>
    <n v="2"/>
    <n v="1"/>
    <n v="32"/>
    <n v="2"/>
    <x v="0"/>
    <x v="0"/>
    <s v="filler"/>
    <s v="Stim4_Set1"/>
    <m/>
    <m/>
    <m/>
    <x v="0"/>
    <n v="0"/>
    <x v="1"/>
    <n v="0"/>
  </r>
  <r>
    <n v="2"/>
    <n v="1"/>
    <n v="33"/>
    <n v="1"/>
    <x v="1"/>
    <x v="1"/>
    <s v="nontarget"/>
    <s v="Stim3_Set2"/>
    <m/>
    <m/>
    <m/>
    <x v="0"/>
    <n v="1"/>
    <x v="0"/>
    <n v="1"/>
  </r>
  <r>
    <n v="2"/>
    <n v="1"/>
    <n v="34"/>
    <n v="2"/>
    <x v="0"/>
    <x v="2"/>
    <s v="switch"/>
    <s v="Stim3_Set2"/>
    <m/>
    <m/>
    <m/>
    <x v="0"/>
    <n v="0"/>
    <x v="0"/>
    <n v="0"/>
  </r>
  <r>
    <n v="2"/>
    <n v="1"/>
    <n v="35"/>
    <n v="2"/>
    <x v="0"/>
    <x v="1"/>
    <s v="nontarget"/>
    <s v="Stim4_Set2"/>
    <m/>
    <s v="yes"/>
    <s v="repeat"/>
    <x v="1"/>
    <n v="1"/>
    <x v="1"/>
    <n v="0"/>
  </r>
  <r>
    <n v="2"/>
    <n v="1"/>
    <n v="36"/>
    <n v="1"/>
    <x v="1"/>
    <x v="2"/>
    <s v="switch"/>
    <s v="Stim4_Set2"/>
    <m/>
    <m/>
    <m/>
    <x v="0"/>
    <n v="0"/>
    <x v="0"/>
    <n v="0"/>
  </r>
  <r>
    <n v="2"/>
    <n v="1"/>
    <n v="37"/>
    <n v="1"/>
    <x v="1"/>
    <x v="0"/>
    <s v="filler"/>
    <s v="Stim3_Set1"/>
    <m/>
    <m/>
    <m/>
    <x v="1"/>
    <n v="0"/>
    <x v="1"/>
    <n v="0"/>
  </r>
  <r>
    <n v="2"/>
    <n v="1"/>
    <n v="38"/>
    <n v="1"/>
    <x v="1"/>
    <x v="1"/>
    <s v="nontarget"/>
    <s v="Stim5_Set2"/>
    <m/>
    <s v="yes"/>
    <s v="repeat"/>
    <x v="1"/>
    <n v="1"/>
    <x v="0"/>
    <n v="1"/>
  </r>
  <r>
    <n v="2"/>
    <n v="1"/>
    <n v="39"/>
    <n v="2"/>
    <x v="0"/>
    <x v="2"/>
    <s v="switch"/>
    <s v="Stim5_Set2"/>
    <m/>
    <m/>
    <m/>
    <x v="0"/>
    <n v="0"/>
    <x v="0"/>
    <n v="0"/>
  </r>
  <r>
    <n v="2"/>
    <n v="1"/>
    <n v="40"/>
    <n v="1"/>
    <x v="1"/>
    <x v="0"/>
    <s v="filler"/>
    <s v="Stim7_Set1"/>
    <m/>
    <m/>
    <m/>
    <x v="0"/>
    <n v="0"/>
    <x v="1"/>
    <n v="0"/>
  </r>
  <r>
    <n v="2"/>
    <n v="1"/>
    <n v="41"/>
    <n v="2"/>
    <x v="0"/>
    <x v="0"/>
    <s v="filler"/>
    <s v="Stim5_Set1"/>
    <m/>
    <s v="yes"/>
    <s v="switch"/>
    <x v="0"/>
    <n v="0"/>
    <x v="0"/>
    <n v="1"/>
  </r>
  <r>
    <n v="2"/>
    <n v="1"/>
    <n v="42"/>
    <n v="2"/>
    <x v="0"/>
    <x v="1"/>
    <s v="nontarget"/>
    <s v="Stim6_Set2"/>
    <m/>
    <s v="yes"/>
    <s v="repeat"/>
    <x v="1"/>
    <n v="1"/>
    <x v="0"/>
    <n v="1"/>
  </r>
  <r>
    <n v="2"/>
    <n v="1"/>
    <n v="43"/>
    <n v="2"/>
    <x v="0"/>
    <x v="2"/>
    <s v="repeat"/>
    <s v="Stim6_Set2"/>
    <m/>
    <m/>
    <m/>
    <x v="1"/>
    <n v="0"/>
    <x v="0"/>
    <n v="0"/>
  </r>
  <r>
    <n v="2"/>
    <n v="1"/>
    <n v="44"/>
    <n v="1"/>
    <x v="1"/>
    <x v="0"/>
    <s v="filler"/>
    <s v="Stim6_Set1"/>
    <m/>
    <m/>
    <m/>
    <x v="0"/>
    <n v="0"/>
    <x v="1"/>
    <n v="0"/>
  </r>
  <r>
    <n v="2"/>
    <n v="1"/>
    <n v="45"/>
    <n v="2"/>
    <x v="0"/>
    <x v="1"/>
    <s v="nontarget"/>
    <s v="Stim7_Set2"/>
    <m/>
    <s v="yes"/>
    <s v="switch"/>
    <x v="0"/>
    <n v="1"/>
    <x v="0"/>
    <n v="1"/>
  </r>
  <r>
    <n v="2"/>
    <n v="1"/>
    <n v="46"/>
    <n v="2"/>
    <x v="0"/>
    <x v="2"/>
    <s v="repeat"/>
    <s v="Stim7_Set2"/>
    <m/>
    <m/>
    <m/>
    <x v="1"/>
    <n v="0"/>
    <x v="0"/>
    <n v="0"/>
  </r>
  <r>
    <n v="2"/>
    <n v="1"/>
    <n v="47"/>
    <n v="1"/>
    <x v="1"/>
    <x v="0"/>
    <s v="filler"/>
    <m/>
    <s v="here"/>
    <m/>
    <m/>
    <x v="0"/>
    <n v="0"/>
    <x v="1"/>
    <n v="0"/>
  </r>
  <r>
    <n v="2"/>
    <n v="1"/>
    <n v="48"/>
    <n v="2"/>
    <x v="0"/>
    <x v="0"/>
    <s v="filler"/>
    <s v="Stim8_Set1"/>
    <m/>
    <m/>
    <m/>
    <x v="0"/>
    <n v="0"/>
    <x v="0"/>
    <n v="1"/>
  </r>
  <r>
    <n v="2"/>
    <n v="1"/>
    <n v="49"/>
    <n v="2"/>
    <x v="0"/>
    <x v="1"/>
    <s v="nontarget"/>
    <s v="Stim8_Set2"/>
    <m/>
    <s v="yes"/>
    <s v="repeat"/>
    <x v="1"/>
    <n v="1"/>
    <x v="0"/>
    <n v="1"/>
  </r>
  <r>
    <n v="2"/>
    <n v="1"/>
    <n v="50"/>
    <n v="1"/>
    <x v="1"/>
    <x v="2"/>
    <s v="switch"/>
    <s v="Stim8_Set2"/>
    <m/>
    <m/>
    <m/>
    <x v="0"/>
    <n v="0"/>
    <x v="0"/>
    <n v="0"/>
  </r>
  <r>
    <n v="3"/>
    <n v="1"/>
    <n v="51"/>
    <n v="1"/>
    <x v="1"/>
    <x v="1"/>
    <s v="nontarget"/>
    <s v="Stim1_Set3"/>
    <m/>
    <m/>
    <m/>
    <x v="1"/>
    <n v="1"/>
    <x v="1"/>
    <n v="0"/>
  </r>
  <r>
    <n v="3"/>
    <n v="1"/>
    <n v="52"/>
    <n v="2"/>
    <x v="0"/>
    <x v="2"/>
    <s v="switch"/>
    <s v="Stim1_Set3"/>
    <m/>
    <m/>
    <m/>
    <x v="0"/>
    <n v="0"/>
    <x v="0"/>
    <n v="0"/>
  </r>
  <r>
    <n v="3"/>
    <n v="1"/>
    <n v="53"/>
    <n v="2"/>
    <x v="0"/>
    <x v="0"/>
    <s v="filler"/>
    <m/>
    <s v="here"/>
    <m/>
    <m/>
    <x v="1"/>
    <n v="0"/>
    <x v="1"/>
    <n v="0"/>
  </r>
  <r>
    <n v="3"/>
    <n v="1"/>
    <n v="54"/>
    <n v="2"/>
    <x v="0"/>
    <x v="1"/>
    <s v="nontarget"/>
    <s v="Stim2_Set3"/>
    <m/>
    <s v="yes"/>
    <s v="repeat"/>
    <x v="1"/>
    <n v="1"/>
    <x v="0"/>
    <n v="1"/>
  </r>
  <r>
    <n v="3"/>
    <n v="1"/>
    <n v="55"/>
    <n v="1"/>
    <x v="1"/>
    <x v="2"/>
    <s v="switch"/>
    <s v="Stim2_Set3"/>
    <m/>
    <m/>
    <m/>
    <x v="0"/>
    <n v="0"/>
    <x v="0"/>
    <n v="0"/>
  </r>
  <r>
    <n v="3"/>
    <n v="1"/>
    <n v="56"/>
    <n v="1"/>
    <x v="1"/>
    <x v="0"/>
    <s v="filler"/>
    <s v="Stim1_Set2"/>
    <m/>
    <s v="yes"/>
    <s v="repeat"/>
    <x v="1"/>
    <n v="0"/>
    <x v="1"/>
    <n v="0"/>
  </r>
  <r>
    <n v="3"/>
    <n v="1"/>
    <n v="57"/>
    <n v="1"/>
    <x v="1"/>
    <x v="1"/>
    <s v="nontarget"/>
    <s v="Stim3_Set3"/>
    <m/>
    <s v="yes"/>
    <s v="repeat"/>
    <x v="1"/>
    <n v="1"/>
    <x v="0"/>
    <n v="1"/>
  </r>
  <r>
    <n v="3"/>
    <n v="1"/>
    <n v="58"/>
    <n v="2"/>
    <x v="0"/>
    <x v="2"/>
    <s v="switch"/>
    <s v="Stim3_Set3"/>
    <m/>
    <m/>
    <m/>
    <x v="0"/>
    <n v="0"/>
    <x v="0"/>
    <n v="0"/>
  </r>
  <r>
    <n v="3"/>
    <n v="1"/>
    <n v="59"/>
    <n v="2"/>
    <x v="0"/>
    <x v="0"/>
    <s v="filler"/>
    <s v="Stim2_Set2"/>
    <m/>
    <m/>
    <m/>
    <x v="1"/>
    <n v="0"/>
    <x v="1"/>
    <n v="0"/>
  </r>
  <r>
    <n v="3"/>
    <n v="1"/>
    <n v="60"/>
    <n v="1"/>
    <x v="1"/>
    <x v="0"/>
    <s v="filler"/>
    <s v="Stim4_Set2"/>
    <m/>
    <m/>
    <m/>
    <x v="0"/>
    <n v="0"/>
    <x v="0"/>
    <n v="1"/>
  </r>
  <r>
    <n v="3"/>
    <n v="1"/>
    <n v="61"/>
    <n v="2"/>
    <x v="0"/>
    <x v="1"/>
    <s v="nontarget"/>
    <s v="Stim4_Set3"/>
    <m/>
    <s v="yes"/>
    <s v="switch"/>
    <x v="0"/>
    <n v="1"/>
    <x v="0"/>
    <n v="1"/>
  </r>
  <r>
    <n v="3"/>
    <n v="1"/>
    <n v="62"/>
    <n v="2"/>
    <x v="0"/>
    <x v="2"/>
    <s v="repeat"/>
    <s v="Stim4_Set3"/>
    <m/>
    <m/>
    <m/>
    <x v="1"/>
    <n v="0"/>
    <x v="0"/>
    <n v="0"/>
  </r>
  <r>
    <n v="3"/>
    <n v="1"/>
    <n v="63"/>
    <n v="1"/>
    <x v="1"/>
    <x v="0"/>
    <s v="filler"/>
    <s v="Stim3_Set2"/>
    <m/>
    <m/>
    <m/>
    <x v="0"/>
    <n v="0"/>
    <x v="1"/>
    <n v="0"/>
  </r>
  <r>
    <n v="3"/>
    <n v="1"/>
    <n v="64"/>
    <n v="2"/>
    <x v="0"/>
    <x v="0"/>
    <s v="filler"/>
    <s v="Stim5_Set2"/>
    <m/>
    <m/>
    <m/>
    <x v="0"/>
    <n v="0"/>
    <x v="0"/>
    <n v="1"/>
  </r>
  <r>
    <n v="3"/>
    <n v="1"/>
    <n v="65"/>
    <n v="2"/>
    <x v="0"/>
    <x v="1"/>
    <s v="nontarget"/>
    <s v="Stim5_Set3"/>
    <m/>
    <s v="yes"/>
    <s v="repeat"/>
    <x v="1"/>
    <n v="1"/>
    <x v="0"/>
    <n v="1"/>
  </r>
  <r>
    <n v="3"/>
    <n v="1"/>
    <n v="66"/>
    <n v="2"/>
    <x v="0"/>
    <x v="2"/>
    <s v="repeat"/>
    <s v="Stim5_Set3"/>
    <m/>
    <m/>
    <m/>
    <x v="1"/>
    <n v="0"/>
    <x v="0"/>
    <n v="0"/>
  </r>
  <r>
    <n v="3"/>
    <n v="1"/>
    <n v="67"/>
    <n v="1"/>
    <x v="1"/>
    <x v="0"/>
    <s v="filler"/>
    <m/>
    <s v="here"/>
    <m/>
    <m/>
    <x v="0"/>
    <n v="0"/>
    <x v="1"/>
    <n v="0"/>
  </r>
  <r>
    <n v="3"/>
    <n v="1"/>
    <n v="68"/>
    <n v="2"/>
    <x v="0"/>
    <x v="1"/>
    <s v="nontarget"/>
    <s v="Stim6_Set3"/>
    <m/>
    <m/>
    <m/>
    <x v="0"/>
    <n v="1"/>
    <x v="0"/>
    <n v="1"/>
  </r>
  <r>
    <n v="3"/>
    <n v="1"/>
    <n v="69"/>
    <n v="1"/>
    <x v="1"/>
    <x v="2"/>
    <s v="switch"/>
    <s v="Stim6_Set3"/>
    <m/>
    <m/>
    <m/>
    <x v="0"/>
    <n v="0"/>
    <x v="0"/>
    <n v="0"/>
  </r>
  <r>
    <n v="3"/>
    <n v="1"/>
    <n v="70"/>
    <n v="2"/>
    <x v="0"/>
    <x v="0"/>
    <s v="filler"/>
    <s v="Stim6_Set2"/>
    <m/>
    <s v="yes"/>
    <s v="switch"/>
    <x v="0"/>
    <n v="0"/>
    <x v="1"/>
    <n v="0"/>
  </r>
  <r>
    <n v="3"/>
    <n v="1"/>
    <n v="71"/>
    <n v="1"/>
    <x v="1"/>
    <x v="1"/>
    <s v="nontarget"/>
    <s v="Stim7_Set3"/>
    <m/>
    <s v="yes"/>
    <s v="switch"/>
    <x v="0"/>
    <n v="1"/>
    <x v="0"/>
    <n v="1"/>
  </r>
  <r>
    <n v="3"/>
    <n v="1"/>
    <n v="72"/>
    <n v="1"/>
    <x v="1"/>
    <x v="2"/>
    <s v="repeat"/>
    <s v="Stim7_Set3"/>
    <m/>
    <m/>
    <m/>
    <x v="1"/>
    <n v="0"/>
    <x v="0"/>
    <n v="0"/>
  </r>
  <r>
    <n v="3"/>
    <n v="1"/>
    <n v="73"/>
    <n v="2"/>
    <x v="0"/>
    <x v="0"/>
    <s v="filler"/>
    <s v="Stim7_Set2"/>
    <m/>
    <m/>
    <m/>
    <x v="0"/>
    <n v="0"/>
    <x v="1"/>
    <n v="0"/>
  </r>
  <r>
    <n v="3"/>
    <n v="1"/>
    <n v="74"/>
    <n v="1"/>
    <x v="1"/>
    <x v="0"/>
    <s v="filler"/>
    <s v="Stim8_Set2"/>
    <m/>
    <s v="yes"/>
    <s v="switch"/>
    <x v="0"/>
    <n v="0"/>
    <x v="0"/>
    <n v="1"/>
  </r>
  <r>
    <n v="3"/>
    <n v="1"/>
    <n v="75"/>
    <n v="1"/>
    <x v="1"/>
    <x v="1"/>
    <s v="nontarget"/>
    <s v="Stim8_Set3"/>
    <m/>
    <s v="yes"/>
    <s v="repeat"/>
    <x v="1"/>
    <n v="1"/>
    <x v="0"/>
    <n v="1"/>
  </r>
  <r>
    <n v="3"/>
    <n v="1"/>
    <n v="76"/>
    <n v="1"/>
    <x v="1"/>
    <x v="2"/>
    <s v="repeat"/>
    <s v="Stim8_Set3"/>
    <m/>
    <m/>
    <m/>
    <x v="1"/>
    <n v="0"/>
    <x v="0"/>
    <n v="0"/>
  </r>
  <r>
    <n v="4"/>
    <n v="1"/>
    <n v="77"/>
    <n v="2"/>
    <x v="0"/>
    <x v="0"/>
    <s v="filler"/>
    <s v="Stim1_Set3"/>
    <m/>
    <m/>
    <m/>
    <x v="0"/>
    <n v="0"/>
    <x v="1"/>
    <n v="0"/>
  </r>
  <r>
    <n v="4"/>
    <n v="1"/>
    <n v="78"/>
    <n v="1"/>
    <x v="1"/>
    <x v="1"/>
    <s v="nontarget"/>
    <s v="Stim1_Set4"/>
    <m/>
    <s v="yes"/>
    <s v="switch"/>
    <x v="0"/>
    <n v="1"/>
    <x v="0"/>
    <n v="1"/>
  </r>
  <r>
    <n v="4"/>
    <n v="1"/>
    <n v="79"/>
    <n v="1"/>
    <x v="1"/>
    <x v="2"/>
    <s v="repeat"/>
    <s v="Stim1_Set4"/>
    <m/>
    <m/>
    <m/>
    <x v="1"/>
    <n v="0"/>
    <x v="0"/>
    <n v="0"/>
  </r>
  <r>
    <n v="4"/>
    <n v="1"/>
    <n v="80"/>
    <n v="1"/>
    <x v="1"/>
    <x v="1"/>
    <s v="nontarget"/>
    <s v="Stim2_Set4"/>
    <m/>
    <m/>
    <m/>
    <x v="1"/>
    <n v="1"/>
    <x v="1"/>
    <n v="0"/>
  </r>
  <r>
    <n v="4"/>
    <n v="1"/>
    <n v="81"/>
    <n v="2"/>
    <x v="0"/>
    <x v="2"/>
    <s v="switch"/>
    <s v="Stim2_Set4"/>
    <m/>
    <m/>
    <m/>
    <x v="0"/>
    <n v="0"/>
    <x v="0"/>
    <n v="0"/>
  </r>
  <r>
    <n v="4"/>
    <n v="1"/>
    <n v="82"/>
    <n v="2"/>
    <x v="0"/>
    <x v="0"/>
    <s v="filler"/>
    <s v="Stim3_Set3"/>
    <m/>
    <s v="yes"/>
    <s v="repeat"/>
    <x v="1"/>
    <n v="0"/>
    <x v="1"/>
    <n v="0"/>
  </r>
  <r>
    <n v="4"/>
    <n v="1"/>
    <n v="83"/>
    <n v="1"/>
    <x v="1"/>
    <x v="0"/>
    <s v="filler"/>
    <s v="Stim2_Set3"/>
    <m/>
    <m/>
    <m/>
    <x v="0"/>
    <n v="0"/>
    <x v="0"/>
    <n v="1"/>
  </r>
  <r>
    <n v="4"/>
    <n v="1"/>
    <n v="84"/>
    <n v="2"/>
    <x v="0"/>
    <x v="1"/>
    <s v="nontarget"/>
    <s v="Stim3_Set4"/>
    <m/>
    <s v="yes"/>
    <s v="switch"/>
    <x v="0"/>
    <n v="1"/>
    <x v="0"/>
    <n v="1"/>
  </r>
  <r>
    <n v="4"/>
    <n v="1"/>
    <n v="85"/>
    <n v="2"/>
    <x v="0"/>
    <x v="2"/>
    <s v="repeat"/>
    <s v="Stim3_Set4"/>
    <m/>
    <m/>
    <m/>
    <x v="1"/>
    <n v="0"/>
    <x v="0"/>
    <n v="0"/>
  </r>
  <r>
    <n v="4"/>
    <n v="1"/>
    <n v="86"/>
    <n v="2"/>
    <x v="0"/>
    <x v="1"/>
    <s v="nontarget"/>
    <s v="Stim4_Set4"/>
    <m/>
    <s v="yes"/>
    <s v="repeat"/>
    <x v="1"/>
    <n v="1"/>
    <x v="1"/>
    <n v="0"/>
  </r>
  <r>
    <n v="4"/>
    <n v="1"/>
    <n v="87"/>
    <n v="1"/>
    <x v="1"/>
    <x v="2"/>
    <s v="switch"/>
    <s v="Stim4_Set4"/>
    <m/>
    <m/>
    <m/>
    <x v="0"/>
    <n v="0"/>
    <x v="0"/>
    <n v="0"/>
  </r>
  <r>
    <n v="4"/>
    <n v="1"/>
    <n v="88"/>
    <n v="2"/>
    <x v="0"/>
    <x v="0"/>
    <s v="filler"/>
    <s v="Stim4_Set3"/>
    <m/>
    <m/>
    <m/>
    <x v="0"/>
    <n v="0"/>
    <x v="1"/>
    <n v="0"/>
  </r>
  <r>
    <n v="4"/>
    <n v="1"/>
    <n v="89"/>
    <n v="1"/>
    <x v="1"/>
    <x v="0"/>
    <s v="filler"/>
    <s v="Stim5_Set3"/>
    <m/>
    <m/>
    <m/>
    <x v="0"/>
    <n v="0"/>
    <x v="0"/>
    <n v="1"/>
  </r>
  <r>
    <n v="4"/>
    <n v="1"/>
    <n v="90"/>
    <n v="1"/>
    <x v="1"/>
    <x v="1"/>
    <s v="nontarget"/>
    <s v="Stim5_Set4"/>
    <m/>
    <s v="yes"/>
    <s v="repeat"/>
    <x v="1"/>
    <n v="1"/>
    <x v="0"/>
    <n v="1"/>
  </r>
  <r>
    <n v="4"/>
    <n v="1"/>
    <n v="91"/>
    <n v="2"/>
    <x v="0"/>
    <x v="2"/>
    <s v="switch"/>
    <s v="Stim5_Set4"/>
    <m/>
    <m/>
    <m/>
    <x v="0"/>
    <n v="0"/>
    <x v="0"/>
    <n v="0"/>
  </r>
  <r>
    <n v="4"/>
    <n v="1"/>
    <n v="92"/>
    <n v="2"/>
    <x v="0"/>
    <x v="1"/>
    <s v="nontarget"/>
    <s v="Stim6_Set4"/>
    <m/>
    <m/>
    <m/>
    <x v="1"/>
    <n v="1"/>
    <x v="1"/>
    <n v="0"/>
  </r>
  <r>
    <n v="4"/>
    <n v="1"/>
    <n v="93"/>
    <n v="2"/>
    <x v="0"/>
    <x v="2"/>
    <s v="repeat"/>
    <s v="Stim6_Set4"/>
    <m/>
    <m/>
    <m/>
    <x v="1"/>
    <n v="0"/>
    <x v="0"/>
    <n v="0"/>
  </r>
  <r>
    <n v="4"/>
    <n v="1"/>
    <n v="94"/>
    <n v="1"/>
    <x v="1"/>
    <x v="0"/>
    <s v="filler"/>
    <m/>
    <s v="here"/>
    <m/>
    <m/>
    <x v="0"/>
    <n v="0"/>
    <x v="1"/>
    <n v="0"/>
  </r>
  <r>
    <n v="4"/>
    <n v="1"/>
    <n v="95"/>
    <n v="2"/>
    <x v="0"/>
    <x v="0"/>
    <s v="filler"/>
    <s v="Stim7_Set3"/>
    <m/>
    <m/>
    <m/>
    <x v="0"/>
    <n v="0"/>
    <x v="0"/>
    <n v="1"/>
  </r>
  <r>
    <n v="4"/>
    <n v="1"/>
    <n v="96"/>
    <n v="2"/>
    <x v="0"/>
    <x v="1"/>
    <s v="nontarget"/>
    <s v="Stim7_Set4"/>
    <m/>
    <m/>
    <m/>
    <x v="1"/>
    <n v="1"/>
    <x v="0"/>
    <n v="1"/>
  </r>
  <r>
    <n v="4"/>
    <n v="1"/>
    <n v="97"/>
    <n v="1"/>
    <x v="1"/>
    <x v="2"/>
    <s v="switch"/>
    <s v="Stim7_Set4"/>
    <m/>
    <m/>
    <m/>
    <x v="0"/>
    <n v="0"/>
    <x v="0"/>
    <n v="0"/>
  </r>
  <r>
    <n v="4"/>
    <n v="1"/>
    <n v="98"/>
    <n v="1"/>
    <x v="1"/>
    <x v="1"/>
    <s v="nontarget"/>
    <s v="Stim8_Set4"/>
    <m/>
    <m/>
    <m/>
    <x v="1"/>
    <n v="1"/>
    <x v="1"/>
    <n v="0"/>
  </r>
  <r>
    <n v="4"/>
    <n v="1"/>
    <n v="99"/>
    <n v="1"/>
    <x v="1"/>
    <x v="2"/>
    <s v="repeat"/>
    <s v="Stim8_Set4"/>
    <m/>
    <m/>
    <m/>
    <x v="1"/>
    <n v="0"/>
    <x v="0"/>
    <n v="0"/>
  </r>
  <r>
    <n v="4"/>
    <n v="1"/>
    <n v="100"/>
    <n v="1"/>
    <x v="0"/>
    <x v="0"/>
    <s v="filler"/>
    <s v="Stim8_Set3"/>
    <m/>
    <m/>
    <m/>
    <x v="0"/>
    <n v="0"/>
    <x v="1"/>
    <n v="0"/>
  </r>
  <r>
    <n v="4"/>
    <n v="1"/>
    <n v="101"/>
    <n v="1"/>
    <x v="1"/>
    <x v="0"/>
    <s v="filler"/>
    <s v="Stim6_Set3"/>
    <m/>
    <m/>
    <m/>
    <x v="0"/>
    <n v="0"/>
    <x v="0"/>
    <n v="1"/>
  </r>
  <r>
    <s v="BREAK"/>
    <m/>
    <n v="102"/>
    <m/>
    <x v="2"/>
    <x v="3"/>
    <m/>
    <m/>
    <m/>
    <m/>
    <m/>
    <x v="0"/>
    <n v="0"/>
    <x v="0"/>
    <n v="1"/>
  </r>
  <r>
    <n v="1"/>
    <n v="2"/>
    <n v="103"/>
    <n v="2"/>
    <x v="0"/>
    <x v="1"/>
    <s v="nontarget"/>
    <s v="Stim4_Set1"/>
    <m/>
    <s v="yes"/>
    <s v="switch"/>
    <x v="0"/>
    <n v="1"/>
    <x v="0"/>
    <n v="0"/>
  </r>
  <r>
    <n v="1"/>
    <n v="2"/>
    <n v="104"/>
    <n v="2"/>
    <x v="0"/>
    <x v="2"/>
    <s v="repeat"/>
    <s v="Stim4_Set1"/>
    <m/>
    <m/>
    <m/>
    <x v="1"/>
    <n v="0"/>
    <x v="0"/>
    <n v="0"/>
  </r>
  <r>
    <n v="1"/>
    <n v="2"/>
    <n v="105"/>
    <n v="1"/>
    <x v="1"/>
    <x v="0"/>
    <s v="filler"/>
    <s v="Stim3_Set4"/>
    <m/>
    <m/>
    <m/>
    <x v="0"/>
    <n v="0"/>
    <x v="1"/>
    <n v="0"/>
  </r>
  <r>
    <n v="1"/>
    <n v="2"/>
    <n v="106"/>
    <n v="2"/>
    <x v="0"/>
    <x v="1"/>
    <s v="nontarget"/>
    <s v="Stim3_Set1"/>
    <m/>
    <s v="yes"/>
    <s v="switch"/>
    <x v="0"/>
    <n v="1"/>
    <x v="0"/>
    <n v="1"/>
  </r>
  <r>
    <n v="1"/>
    <n v="2"/>
    <n v="107"/>
    <n v="2"/>
    <x v="0"/>
    <x v="2"/>
    <s v="repeat"/>
    <s v="Stim3_Set1"/>
    <m/>
    <m/>
    <m/>
    <x v="1"/>
    <n v="0"/>
    <x v="0"/>
    <n v="0"/>
  </r>
  <r>
    <n v="1"/>
    <n v="2"/>
    <n v="108"/>
    <n v="1"/>
    <x v="1"/>
    <x v="0"/>
    <s v="filler"/>
    <m/>
    <s v="here"/>
    <m/>
    <m/>
    <x v="0"/>
    <n v="0"/>
    <x v="1"/>
    <n v="0"/>
  </r>
  <r>
    <n v="1"/>
    <n v="2"/>
    <n v="109"/>
    <n v="2"/>
    <x v="0"/>
    <x v="0"/>
    <s v="filler"/>
    <s v="Stim8_Set4"/>
    <m/>
    <m/>
    <m/>
    <x v="0"/>
    <n v="0"/>
    <x v="0"/>
    <n v="1"/>
  </r>
  <r>
    <n v="1"/>
    <n v="2"/>
    <n v="110"/>
    <n v="2"/>
    <x v="0"/>
    <x v="1"/>
    <s v="nontarget"/>
    <s v="Stim6_Set1"/>
    <m/>
    <s v="yes"/>
    <s v="repeat"/>
    <x v="1"/>
    <n v="1"/>
    <x v="0"/>
    <n v="1"/>
  </r>
  <r>
    <n v="1"/>
    <n v="2"/>
    <n v="111"/>
    <n v="1"/>
    <x v="1"/>
    <x v="2"/>
    <s v="switch"/>
    <s v="Stim6_Set1"/>
    <m/>
    <m/>
    <m/>
    <x v="0"/>
    <n v="0"/>
    <x v="0"/>
    <n v="0"/>
  </r>
  <r>
    <n v="1"/>
    <n v="2"/>
    <n v="112"/>
    <n v="1"/>
    <x v="1"/>
    <x v="0"/>
    <s v="filler"/>
    <s v="Stim4_Set4"/>
    <m/>
    <s v="yes"/>
    <s v="repeat"/>
    <x v="1"/>
    <n v="0"/>
    <x v="1"/>
    <n v="0"/>
  </r>
  <r>
    <n v="1"/>
    <n v="2"/>
    <n v="113"/>
    <n v="1"/>
    <x v="1"/>
    <x v="1"/>
    <s v="nontarget"/>
    <s v="Stim2_Set1"/>
    <m/>
    <s v="yes"/>
    <s v="repeat"/>
    <x v="1"/>
    <n v="1"/>
    <x v="0"/>
    <n v="1"/>
  </r>
  <r>
    <n v="1"/>
    <n v="2"/>
    <n v="114"/>
    <n v="2"/>
    <x v="0"/>
    <x v="2"/>
    <s v="switch"/>
    <s v="Stim2_Set1"/>
    <m/>
    <m/>
    <m/>
    <x v="0"/>
    <n v="0"/>
    <x v="0"/>
    <n v="0"/>
  </r>
  <r>
    <n v="1"/>
    <n v="2"/>
    <n v="115"/>
    <n v="2"/>
    <x v="0"/>
    <x v="1"/>
    <s v="nontarget"/>
    <s v="Stim1_Set1"/>
    <m/>
    <m/>
    <m/>
    <x v="1"/>
    <n v="1"/>
    <x v="1"/>
    <n v="0"/>
  </r>
  <r>
    <n v="1"/>
    <n v="2"/>
    <n v="116"/>
    <n v="1"/>
    <x v="1"/>
    <x v="2"/>
    <s v="switch"/>
    <s v="Stim1_Set1"/>
    <m/>
    <m/>
    <m/>
    <x v="0"/>
    <n v="0"/>
    <x v="0"/>
    <n v="0"/>
  </r>
  <r>
    <n v="1"/>
    <n v="2"/>
    <n v="117"/>
    <n v="2"/>
    <x v="0"/>
    <x v="0"/>
    <s v="filler"/>
    <s v="Stim2_Set4"/>
    <m/>
    <m/>
    <m/>
    <x v="0"/>
    <n v="0"/>
    <x v="1"/>
    <n v="0"/>
  </r>
  <r>
    <n v="1"/>
    <n v="2"/>
    <n v="118"/>
    <n v="1"/>
    <x v="1"/>
    <x v="1"/>
    <s v="nontarget"/>
    <s v="Stim8_Set1"/>
    <m/>
    <s v="yes"/>
    <s v="switch"/>
    <x v="0"/>
    <n v="1"/>
    <x v="0"/>
    <n v="1"/>
  </r>
  <r>
    <n v="1"/>
    <n v="2"/>
    <n v="119"/>
    <n v="1"/>
    <x v="1"/>
    <x v="2"/>
    <s v="repeat"/>
    <s v="Stim8_Set1"/>
    <m/>
    <m/>
    <m/>
    <x v="1"/>
    <n v="0"/>
    <x v="0"/>
    <n v="0"/>
  </r>
  <r>
    <n v="1"/>
    <n v="2"/>
    <n v="120"/>
    <n v="2"/>
    <x v="0"/>
    <x v="0"/>
    <s v="filler"/>
    <s v="Stim7_Set4"/>
    <m/>
    <s v="yes"/>
    <s v="switch"/>
    <x v="0"/>
    <n v="0"/>
    <x v="1"/>
    <n v="0"/>
  </r>
  <r>
    <n v="1"/>
    <n v="2"/>
    <n v="121"/>
    <n v="1"/>
    <x v="1"/>
    <x v="1"/>
    <s v="nontarget"/>
    <s v="Stim5_Set1"/>
    <m/>
    <s v="yes"/>
    <s v="switch"/>
    <x v="0"/>
    <n v="1"/>
    <x v="0"/>
    <n v="1"/>
  </r>
  <r>
    <n v="1"/>
    <n v="2"/>
    <n v="122"/>
    <n v="1"/>
    <x v="1"/>
    <x v="2"/>
    <s v="repeat"/>
    <s v="Stim5_Set1"/>
    <m/>
    <m/>
    <m/>
    <x v="1"/>
    <n v="0"/>
    <x v="0"/>
    <n v="0"/>
  </r>
  <r>
    <n v="1"/>
    <n v="2"/>
    <n v="123"/>
    <n v="2"/>
    <x v="0"/>
    <x v="0"/>
    <s v="filler"/>
    <s v="Stim1_Set4"/>
    <m/>
    <m/>
    <m/>
    <x v="0"/>
    <n v="0"/>
    <x v="1"/>
    <n v="0"/>
  </r>
  <r>
    <n v="1"/>
    <n v="2"/>
    <n v="124"/>
    <n v="1"/>
    <x v="1"/>
    <x v="0"/>
    <s v="filler"/>
    <s v="Stim6_Set4"/>
    <m/>
    <m/>
    <m/>
    <x v="0"/>
    <n v="0"/>
    <x v="0"/>
    <n v="1"/>
  </r>
  <r>
    <n v="1"/>
    <n v="2"/>
    <n v="125"/>
    <n v="1"/>
    <x v="1"/>
    <x v="1"/>
    <s v="nontarget"/>
    <s v="Stim7_Set1"/>
    <m/>
    <m/>
    <m/>
    <x v="1"/>
    <n v="1"/>
    <x v="0"/>
    <n v="1"/>
  </r>
  <r>
    <n v="1"/>
    <n v="2"/>
    <n v="126"/>
    <n v="2"/>
    <x v="0"/>
    <x v="2"/>
    <s v="switch"/>
    <s v="Stim7_Set1"/>
    <m/>
    <m/>
    <m/>
    <x v="0"/>
    <n v="0"/>
    <x v="0"/>
    <n v="0"/>
  </r>
  <r>
    <n v="1"/>
    <n v="2"/>
    <n v="127"/>
    <n v="1"/>
    <x v="1"/>
    <x v="0"/>
    <s v="filler"/>
    <s v="Stim5_Set4"/>
    <m/>
    <s v="yes"/>
    <s v="switch"/>
    <x v="0"/>
    <n v="0"/>
    <x v="1"/>
    <n v="0"/>
  </r>
  <r>
    <n v="2"/>
    <n v="2"/>
    <n v="128"/>
    <n v="1"/>
    <x v="1"/>
    <x v="1"/>
    <s v="nontarget"/>
    <s v="Stim5_Set2"/>
    <m/>
    <m/>
    <m/>
    <x v="1"/>
    <n v="1"/>
    <x v="0"/>
    <n v="1"/>
  </r>
  <r>
    <n v="2"/>
    <n v="2"/>
    <n v="129"/>
    <n v="1"/>
    <x v="1"/>
    <x v="2"/>
    <s v="repeat"/>
    <s v="Stim5_Set2"/>
    <m/>
    <m/>
    <m/>
    <x v="1"/>
    <n v="0"/>
    <x v="0"/>
    <n v="0"/>
  </r>
  <r>
    <n v="2"/>
    <n v="2"/>
    <n v="130"/>
    <n v="2"/>
    <x v="0"/>
    <x v="0"/>
    <s v="filler"/>
    <s v="Stim4_Set1"/>
    <m/>
    <m/>
    <m/>
    <x v="0"/>
    <n v="0"/>
    <x v="1"/>
    <n v="0"/>
  </r>
  <r>
    <n v="2"/>
    <n v="2"/>
    <n v="131"/>
    <n v="1"/>
    <x v="1"/>
    <x v="1"/>
    <s v="nontarget"/>
    <s v="Stim3_Set2"/>
    <m/>
    <s v="yes"/>
    <s v="switch"/>
    <x v="0"/>
    <n v="1"/>
    <x v="0"/>
    <n v="1"/>
  </r>
  <r>
    <n v="2"/>
    <n v="2"/>
    <n v="132"/>
    <n v="1"/>
    <x v="1"/>
    <x v="2"/>
    <s v="repeat"/>
    <s v="Stim3_Set2"/>
    <m/>
    <m/>
    <m/>
    <x v="1"/>
    <n v="0"/>
    <x v="0"/>
    <n v="0"/>
  </r>
  <r>
    <n v="2"/>
    <n v="2"/>
    <n v="133"/>
    <n v="1"/>
    <x v="1"/>
    <x v="1"/>
    <s v="nontarget"/>
    <s v="Stim1_Set2"/>
    <m/>
    <m/>
    <m/>
    <x v="1"/>
    <n v="1"/>
    <x v="1"/>
    <n v="0"/>
  </r>
  <r>
    <n v="2"/>
    <n v="2"/>
    <n v="134"/>
    <n v="2"/>
    <x v="0"/>
    <x v="2"/>
    <s v="switch"/>
    <s v="Stim1_Set2"/>
    <m/>
    <m/>
    <m/>
    <x v="0"/>
    <n v="0"/>
    <x v="0"/>
    <n v="0"/>
  </r>
  <r>
    <n v="2"/>
    <n v="2"/>
    <n v="135"/>
    <n v="2"/>
    <x v="0"/>
    <x v="0"/>
    <s v="filler"/>
    <s v="Stim3_Set1"/>
    <m/>
    <s v="yes"/>
    <s v="repeat"/>
    <x v="1"/>
    <n v="0"/>
    <x v="1"/>
    <n v="0"/>
  </r>
  <r>
    <n v="2"/>
    <n v="2"/>
    <n v="136"/>
    <n v="2"/>
    <x v="0"/>
    <x v="1"/>
    <s v="nontarget"/>
    <s v="Stim7_Set2"/>
    <m/>
    <s v="yes"/>
    <s v="repeat"/>
    <x v="1"/>
    <n v="1"/>
    <x v="0"/>
    <n v="1"/>
  </r>
  <r>
    <n v="2"/>
    <n v="2"/>
    <n v="137"/>
    <n v="1"/>
    <x v="1"/>
    <x v="2"/>
    <s v="switch"/>
    <s v="Stim7_Set2"/>
    <m/>
    <m/>
    <m/>
    <x v="0"/>
    <n v="0"/>
    <x v="0"/>
    <n v="0"/>
  </r>
  <r>
    <n v="2"/>
    <n v="2"/>
    <n v="138"/>
    <n v="1"/>
    <x v="1"/>
    <x v="1"/>
    <s v="nontarget"/>
    <s v="Stim2_Set2"/>
    <m/>
    <s v="yes"/>
    <s v="repeat"/>
    <x v="1"/>
    <n v="1"/>
    <x v="1"/>
    <n v="0"/>
  </r>
  <r>
    <n v="2"/>
    <n v="2"/>
    <n v="139"/>
    <n v="2"/>
    <x v="0"/>
    <x v="2"/>
    <s v="switch"/>
    <s v="Stim2_Set2"/>
    <m/>
    <m/>
    <m/>
    <x v="0"/>
    <n v="0"/>
    <x v="0"/>
    <n v="0"/>
  </r>
  <r>
    <n v="2"/>
    <n v="2"/>
    <n v="140"/>
    <n v="1"/>
    <x v="1"/>
    <x v="0"/>
    <s v="filler"/>
    <s v="Stim6_Set1"/>
    <m/>
    <m/>
    <m/>
    <x v="0"/>
    <n v="0"/>
    <x v="1"/>
    <n v="0"/>
  </r>
  <r>
    <n v="2"/>
    <n v="2"/>
    <n v="141"/>
    <n v="2"/>
    <x v="0"/>
    <x v="0"/>
    <s v="filler"/>
    <s v="Stim2_Set1"/>
    <m/>
    <m/>
    <m/>
    <x v="0"/>
    <n v="0"/>
    <x v="0"/>
    <n v="1"/>
  </r>
  <r>
    <n v="2"/>
    <n v="2"/>
    <n v="142"/>
    <n v="1"/>
    <x v="1"/>
    <x v="0"/>
    <s v="filler"/>
    <s v="Stim5_Set1"/>
    <m/>
    <m/>
    <m/>
    <x v="0"/>
    <n v="0"/>
    <x v="0"/>
    <n v="1"/>
  </r>
  <r>
    <n v="2"/>
    <n v="2"/>
    <n v="143"/>
    <n v="2"/>
    <x v="0"/>
    <x v="1"/>
    <s v="nontarget"/>
    <s v="Stim4_Set2"/>
    <m/>
    <s v="yes"/>
    <s v="switch"/>
    <x v="0"/>
    <n v="1"/>
    <x v="0"/>
    <n v="1"/>
  </r>
  <r>
    <n v="2"/>
    <n v="2"/>
    <n v="144"/>
    <n v="2"/>
    <x v="0"/>
    <x v="2"/>
    <s v="repeat"/>
    <s v="Stim4_Set2"/>
    <m/>
    <m/>
    <m/>
    <x v="1"/>
    <n v="0"/>
    <x v="0"/>
    <n v="0"/>
  </r>
  <r>
    <n v="2"/>
    <n v="2"/>
    <n v="145"/>
    <n v="1"/>
    <x v="1"/>
    <x v="0"/>
    <s v="filler"/>
    <s v="Stim1_Set1"/>
    <m/>
    <m/>
    <m/>
    <x v="0"/>
    <n v="0"/>
    <x v="1"/>
    <n v="0"/>
  </r>
  <r>
    <n v="2"/>
    <n v="2"/>
    <n v="146"/>
    <n v="2"/>
    <x v="0"/>
    <x v="1"/>
    <s v="nontarget"/>
    <s v="Stim8_Set2"/>
    <m/>
    <s v="yes"/>
    <s v="switch"/>
    <x v="0"/>
    <n v="1"/>
    <x v="0"/>
    <n v="1"/>
  </r>
  <r>
    <n v="2"/>
    <n v="2"/>
    <n v="147"/>
    <n v="2"/>
    <x v="0"/>
    <x v="2"/>
    <s v="repeat"/>
    <s v="Stim8_Set2"/>
    <m/>
    <m/>
    <m/>
    <x v="1"/>
    <n v="0"/>
    <x v="0"/>
    <n v="0"/>
  </r>
  <r>
    <n v="2"/>
    <n v="2"/>
    <n v="148"/>
    <n v="1"/>
    <x v="1"/>
    <x v="0"/>
    <s v="filler"/>
    <s v="Stim8_Set1"/>
    <m/>
    <m/>
    <m/>
    <x v="0"/>
    <n v="0"/>
    <x v="1"/>
    <n v="0"/>
  </r>
  <r>
    <n v="2"/>
    <n v="2"/>
    <n v="149"/>
    <n v="2"/>
    <x v="0"/>
    <x v="0"/>
    <s v="filler"/>
    <s v="Stim7_Set1"/>
    <m/>
    <m/>
    <m/>
    <x v="0"/>
    <n v="0"/>
    <x v="0"/>
    <n v="1"/>
  </r>
  <r>
    <n v="2"/>
    <n v="2"/>
    <n v="150"/>
    <n v="2"/>
    <x v="0"/>
    <x v="1"/>
    <s v="nontarget"/>
    <s v="Stim6_Set2"/>
    <m/>
    <m/>
    <m/>
    <x v="1"/>
    <n v="1"/>
    <x v="0"/>
    <n v="1"/>
  </r>
  <r>
    <n v="2"/>
    <n v="2"/>
    <n v="151"/>
    <n v="1"/>
    <x v="1"/>
    <x v="2"/>
    <s v="switch"/>
    <s v="Stim6_Set2"/>
    <m/>
    <m/>
    <m/>
    <x v="0"/>
    <n v="0"/>
    <x v="0"/>
    <n v="0"/>
  </r>
  <r>
    <n v="3"/>
    <n v="2"/>
    <n v="152"/>
    <n v="1"/>
    <x v="1"/>
    <x v="0"/>
    <s v="filler"/>
    <s v="Stim5_Set2"/>
    <m/>
    <m/>
    <m/>
    <x v="1"/>
    <n v="0"/>
    <x v="1"/>
    <n v="0"/>
  </r>
  <r>
    <n v="3"/>
    <n v="2"/>
    <n v="153"/>
    <n v="1"/>
    <x v="1"/>
    <x v="1"/>
    <s v="nontarget"/>
    <s v="Stim6_Set3"/>
    <m/>
    <s v="yes"/>
    <s v="repeat"/>
    <x v="1"/>
    <n v="1"/>
    <x v="0"/>
    <n v="1"/>
  </r>
  <r>
    <n v="3"/>
    <n v="2"/>
    <n v="154"/>
    <n v="2"/>
    <x v="0"/>
    <x v="2"/>
    <s v="switch"/>
    <s v="Stim6_Set3"/>
    <m/>
    <m/>
    <m/>
    <x v="0"/>
    <n v="0"/>
    <x v="0"/>
    <n v="0"/>
  </r>
  <r>
    <n v="3"/>
    <n v="2"/>
    <n v="155"/>
    <n v="2"/>
    <x v="0"/>
    <x v="0"/>
    <s v="filler"/>
    <s v="Stim6_Set2"/>
    <m/>
    <m/>
    <m/>
    <x v="1"/>
    <n v="0"/>
    <x v="1"/>
    <n v="0"/>
  </r>
  <r>
    <n v="3"/>
    <n v="2"/>
    <n v="156"/>
    <n v="2"/>
    <x v="0"/>
    <x v="1"/>
    <s v="nontarget"/>
    <s v="Stim4_Set3"/>
    <m/>
    <s v="yes"/>
    <s v="repeat"/>
    <x v="1"/>
    <n v="1"/>
    <x v="0"/>
    <n v="1"/>
  </r>
  <r>
    <n v="3"/>
    <n v="2"/>
    <n v="157"/>
    <n v="1"/>
    <x v="1"/>
    <x v="2"/>
    <s v="switch"/>
    <s v="Stim4_Set3"/>
    <m/>
    <m/>
    <m/>
    <x v="0"/>
    <n v="0"/>
    <x v="0"/>
    <n v="0"/>
  </r>
  <r>
    <n v="3"/>
    <n v="2"/>
    <n v="158"/>
    <n v="1"/>
    <x v="1"/>
    <x v="0"/>
    <s v="filler"/>
    <m/>
    <s v="here"/>
    <m/>
    <m/>
    <x v="1"/>
    <n v="0"/>
    <x v="1"/>
    <n v="0"/>
  </r>
  <r>
    <n v="3"/>
    <n v="2"/>
    <n v="159"/>
    <n v="1"/>
    <x v="1"/>
    <x v="1"/>
    <s v="nontarget"/>
    <s v="Stim8_Set3"/>
    <m/>
    <m/>
    <m/>
    <x v="1"/>
    <n v="1"/>
    <x v="0"/>
    <n v="1"/>
  </r>
  <r>
    <n v="3"/>
    <n v="2"/>
    <n v="160"/>
    <n v="2"/>
    <x v="0"/>
    <x v="2"/>
    <s v="switch"/>
    <s v="Stim8_Set3"/>
    <m/>
    <m/>
    <m/>
    <x v="0"/>
    <n v="0"/>
    <x v="0"/>
    <n v="0"/>
  </r>
  <r>
    <n v="3"/>
    <n v="2"/>
    <n v="161"/>
    <n v="1"/>
    <x v="1"/>
    <x v="0"/>
    <s v="filler"/>
    <s v="Stim1_Set2"/>
    <m/>
    <m/>
    <m/>
    <x v="0"/>
    <n v="0"/>
    <x v="1"/>
    <n v="0"/>
  </r>
  <r>
    <n v="3"/>
    <n v="2"/>
    <n v="162"/>
    <n v="2"/>
    <x v="0"/>
    <x v="1"/>
    <s v="nontarget"/>
    <s v="Stim7_Set3"/>
    <m/>
    <s v="yes"/>
    <s v="switch"/>
    <x v="0"/>
    <n v="1"/>
    <x v="0"/>
    <n v="1"/>
  </r>
  <r>
    <n v="3"/>
    <n v="2"/>
    <n v="163"/>
    <n v="2"/>
    <x v="0"/>
    <x v="2"/>
    <s v="repeat"/>
    <s v="Stim7_Set3"/>
    <m/>
    <m/>
    <m/>
    <x v="1"/>
    <n v="0"/>
    <x v="0"/>
    <n v="0"/>
  </r>
  <r>
    <n v="3"/>
    <n v="2"/>
    <n v="164"/>
    <n v="2"/>
    <x v="0"/>
    <x v="0"/>
    <s v="filler"/>
    <s v="Stim7_Set2"/>
    <m/>
    <m/>
    <m/>
    <x v="1"/>
    <n v="0"/>
    <x v="1"/>
    <n v="0"/>
  </r>
  <r>
    <n v="3"/>
    <n v="2"/>
    <n v="165"/>
    <n v="1"/>
    <x v="1"/>
    <x v="0"/>
    <s v="filler"/>
    <s v="Stim2_Set2"/>
    <m/>
    <m/>
    <m/>
    <x v="0"/>
    <n v="0"/>
    <x v="0"/>
    <n v="1"/>
  </r>
  <r>
    <n v="3"/>
    <n v="2"/>
    <n v="166"/>
    <n v="2"/>
    <x v="0"/>
    <x v="1"/>
    <s v="nontarget"/>
    <s v="Stim1_Set3"/>
    <m/>
    <s v="yes"/>
    <s v="switch"/>
    <x v="0"/>
    <n v="1"/>
    <x v="0"/>
    <n v="1"/>
  </r>
  <r>
    <n v="3"/>
    <n v="2"/>
    <n v="167"/>
    <n v="2"/>
    <x v="0"/>
    <x v="2"/>
    <s v="repeat"/>
    <s v="Stim1_Set3"/>
    <m/>
    <m/>
    <m/>
    <x v="1"/>
    <n v="0"/>
    <x v="0"/>
    <n v="0"/>
  </r>
  <r>
    <n v="3"/>
    <n v="2"/>
    <n v="168"/>
    <n v="2"/>
    <x v="0"/>
    <x v="1"/>
    <s v="nontarget"/>
    <s v="Stim3_Set3"/>
    <m/>
    <m/>
    <m/>
    <x v="1"/>
    <n v="1"/>
    <x v="1"/>
    <n v="0"/>
  </r>
  <r>
    <n v="3"/>
    <n v="2"/>
    <n v="169"/>
    <n v="1"/>
    <x v="1"/>
    <x v="2"/>
    <s v="switch"/>
    <s v="Stim3_Set3"/>
    <m/>
    <m/>
    <m/>
    <x v="0"/>
    <n v="0"/>
    <x v="0"/>
    <n v="0"/>
  </r>
  <r>
    <n v="3"/>
    <n v="2"/>
    <n v="170"/>
    <n v="2"/>
    <x v="0"/>
    <x v="0"/>
    <s v="filler"/>
    <s v="Stim4_Set2"/>
    <m/>
    <m/>
    <m/>
    <x v="0"/>
    <n v="0"/>
    <x v="1"/>
    <n v="0"/>
  </r>
  <r>
    <n v="3"/>
    <n v="2"/>
    <n v="171"/>
    <n v="1"/>
    <x v="1"/>
    <x v="0"/>
    <s v="filler"/>
    <m/>
    <s v="here"/>
    <m/>
    <m/>
    <x v="0"/>
    <n v="0"/>
    <x v="0"/>
    <n v="1"/>
  </r>
  <r>
    <n v="3"/>
    <n v="2"/>
    <n v="172"/>
    <n v="1"/>
    <x v="1"/>
    <x v="1"/>
    <s v="nontarget"/>
    <s v="Stim5_Set3"/>
    <m/>
    <s v="yes"/>
    <s v="repeat"/>
    <x v="1"/>
    <n v="1"/>
    <x v="0"/>
    <n v="1"/>
  </r>
  <r>
    <n v="3"/>
    <n v="2"/>
    <n v="173"/>
    <n v="1"/>
    <x v="1"/>
    <x v="2"/>
    <s v="repeat"/>
    <s v="Stim5_Set3"/>
    <m/>
    <m/>
    <m/>
    <x v="1"/>
    <n v="0"/>
    <x v="0"/>
    <n v="0"/>
  </r>
  <r>
    <n v="3"/>
    <n v="2"/>
    <n v="174"/>
    <n v="2"/>
    <x v="0"/>
    <x v="0"/>
    <s v="filler"/>
    <s v="Stim8_Set2"/>
    <m/>
    <m/>
    <m/>
    <x v="0"/>
    <n v="0"/>
    <x v="1"/>
    <n v="0"/>
  </r>
  <r>
    <n v="3"/>
    <n v="2"/>
    <n v="175"/>
    <n v="1"/>
    <x v="1"/>
    <x v="1"/>
    <s v="nontarget"/>
    <s v="Stim2_Set3"/>
    <m/>
    <s v="yes"/>
    <s v="switch"/>
    <x v="0"/>
    <n v="1"/>
    <x v="0"/>
    <n v="1"/>
  </r>
  <r>
    <n v="3"/>
    <n v="2"/>
    <n v="176"/>
    <n v="1"/>
    <x v="1"/>
    <x v="2"/>
    <s v="repeat"/>
    <s v="Stim2_Set3"/>
    <m/>
    <m/>
    <m/>
    <x v="1"/>
    <n v="0"/>
    <x v="0"/>
    <n v="0"/>
  </r>
  <r>
    <n v="3"/>
    <n v="2"/>
    <n v="177"/>
    <n v="1"/>
    <x v="1"/>
    <x v="0"/>
    <s v="filler"/>
    <s v="Stim3_Set2"/>
    <m/>
    <s v="yes"/>
    <s v="repeat"/>
    <x v="1"/>
    <n v="0"/>
    <x v="1"/>
    <n v="0"/>
  </r>
  <r>
    <n v="4"/>
    <n v="2"/>
    <n v="178"/>
    <n v="2"/>
    <x v="0"/>
    <x v="0"/>
    <s v="filler"/>
    <s v="Stim6_Set3"/>
    <m/>
    <m/>
    <m/>
    <x v="0"/>
    <n v="0"/>
    <x v="0"/>
    <n v="1"/>
  </r>
  <r>
    <n v="4"/>
    <n v="2"/>
    <n v="179"/>
    <n v="1"/>
    <x v="1"/>
    <x v="1"/>
    <s v="nontarget"/>
    <s v="Stim3_Set4"/>
    <m/>
    <s v="yes"/>
    <s v="switch"/>
    <x v="0"/>
    <n v="1"/>
    <x v="0"/>
    <n v="1"/>
  </r>
  <r>
    <n v="4"/>
    <n v="2"/>
    <n v="180"/>
    <n v="1"/>
    <x v="1"/>
    <x v="2"/>
    <s v="repeat"/>
    <s v="Stim3_Set4"/>
    <m/>
    <m/>
    <m/>
    <x v="1"/>
    <n v="0"/>
    <x v="0"/>
    <n v="0"/>
  </r>
  <r>
    <n v="4"/>
    <n v="2"/>
    <n v="181"/>
    <n v="1"/>
    <x v="1"/>
    <x v="1"/>
    <s v="nontarget"/>
    <s v="Stim8_Set4"/>
    <m/>
    <s v="yes"/>
    <s v="repeat"/>
    <x v="1"/>
    <n v="1"/>
    <x v="1"/>
    <n v="0"/>
  </r>
  <r>
    <n v="4"/>
    <n v="2"/>
    <n v="182"/>
    <n v="2"/>
    <x v="0"/>
    <x v="2"/>
    <s v="switch"/>
    <s v="Stim8_Set4"/>
    <m/>
    <m/>
    <m/>
    <x v="0"/>
    <n v="0"/>
    <x v="0"/>
    <n v="0"/>
  </r>
  <r>
    <n v="4"/>
    <n v="2"/>
    <n v="183"/>
    <n v="1"/>
    <x v="1"/>
    <x v="0"/>
    <s v="filler"/>
    <s v="Stim4_Set3"/>
    <m/>
    <m/>
    <m/>
    <x v="0"/>
    <n v="0"/>
    <x v="1"/>
    <n v="0"/>
  </r>
  <r>
    <n v="4"/>
    <n v="2"/>
    <n v="184"/>
    <n v="2"/>
    <x v="0"/>
    <x v="1"/>
    <s v="nontarget"/>
    <s v="Stim4_Set4"/>
    <m/>
    <s v="yes"/>
    <s v="switch"/>
    <x v="0"/>
    <n v="1"/>
    <x v="0"/>
    <n v="1"/>
  </r>
  <r>
    <n v="4"/>
    <n v="2"/>
    <n v="185"/>
    <n v="2"/>
    <x v="0"/>
    <x v="2"/>
    <s v="repeat"/>
    <s v="Stim4_Set4"/>
    <m/>
    <m/>
    <m/>
    <x v="1"/>
    <n v="0"/>
    <x v="0"/>
    <n v="0"/>
  </r>
  <r>
    <n v="4"/>
    <n v="2"/>
    <n v="186"/>
    <n v="2"/>
    <x v="0"/>
    <x v="1"/>
    <s v="nontarget"/>
    <s v="Stim2_Set4"/>
    <m/>
    <m/>
    <m/>
    <x v="1"/>
    <n v="1"/>
    <x v="1"/>
    <n v="0"/>
  </r>
  <r>
    <n v="4"/>
    <n v="2"/>
    <n v="187"/>
    <n v="1"/>
    <x v="1"/>
    <x v="2"/>
    <s v="switch"/>
    <s v="Stim2_Set4"/>
    <m/>
    <m/>
    <m/>
    <x v="0"/>
    <n v="0"/>
    <x v="0"/>
    <n v="0"/>
  </r>
  <r>
    <n v="4"/>
    <n v="2"/>
    <n v="188"/>
    <n v="2"/>
    <x v="0"/>
    <x v="0"/>
    <s v="filler"/>
    <s v="Stim8_Set3"/>
    <m/>
    <m/>
    <m/>
    <x v="0"/>
    <n v="0"/>
    <x v="1"/>
    <n v="0"/>
  </r>
  <r>
    <n v="4"/>
    <n v="2"/>
    <n v="189"/>
    <n v="1"/>
    <x v="1"/>
    <x v="1"/>
    <s v="nontarget"/>
    <s v="Stim7_Set4"/>
    <m/>
    <s v="yes"/>
    <s v="switch"/>
    <x v="0"/>
    <n v="1"/>
    <x v="0"/>
    <n v="1"/>
  </r>
  <r>
    <n v="4"/>
    <n v="2"/>
    <n v="190"/>
    <n v="2"/>
    <x v="0"/>
    <x v="2"/>
    <s v="switch"/>
    <s v="Stim7_Set4"/>
    <m/>
    <m/>
    <m/>
    <x v="0"/>
    <n v="0"/>
    <x v="0"/>
    <n v="0"/>
  </r>
  <r>
    <n v="4"/>
    <n v="2"/>
    <n v="191"/>
    <n v="1"/>
    <x v="1"/>
    <x v="0"/>
    <s v="filler"/>
    <s v="Stim1_Set3"/>
    <m/>
    <m/>
    <m/>
    <x v="0"/>
    <n v="0"/>
    <x v="1"/>
    <n v="0"/>
  </r>
  <r>
    <n v="4"/>
    <n v="2"/>
    <n v="192"/>
    <n v="2"/>
    <x v="0"/>
    <x v="0"/>
    <s v="filler"/>
    <s v="Stim7_Set3"/>
    <m/>
    <m/>
    <m/>
    <x v="0"/>
    <n v="0"/>
    <x v="0"/>
    <n v="1"/>
  </r>
  <r>
    <n v="4"/>
    <n v="2"/>
    <n v="193"/>
    <n v="2"/>
    <x v="0"/>
    <x v="1"/>
    <s v="nontarget"/>
    <s v="Stim1_Set4"/>
    <m/>
    <s v="yes"/>
    <s v="repeat"/>
    <x v="1"/>
    <n v="1"/>
    <x v="0"/>
    <n v="1"/>
  </r>
  <r>
    <n v="4"/>
    <n v="2"/>
    <n v="194"/>
    <n v="2"/>
    <x v="0"/>
    <x v="2"/>
    <s v="repeat"/>
    <s v="Stim1_Set4"/>
    <m/>
    <m/>
    <m/>
    <x v="1"/>
    <n v="0"/>
    <x v="0"/>
    <n v="0"/>
  </r>
  <r>
    <n v="4"/>
    <n v="2"/>
    <n v="195"/>
    <n v="1"/>
    <x v="1"/>
    <x v="0"/>
    <s v="filler"/>
    <s v="Stim3_Set3"/>
    <m/>
    <m/>
    <m/>
    <x v="0"/>
    <n v="0"/>
    <x v="1"/>
    <n v="0"/>
  </r>
  <r>
    <n v="4"/>
    <n v="2"/>
    <n v="196"/>
    <n v="2"/>
    <x v="0"/>
    <x v="0"/>
    <s v="filler"/>
    <s v="Stim5_Set3"/>
    <m/>
    <s v="yes"/>
    <s v="switch"/>
    <x v="0"/>
    <n v="0"/>
    <x v="0"/>
    <n v="1"/>
  </r>
  <r>
    <n v="4"/>
    <n v="2"/>
    <n v="197"/>
    <n v="2"/>
    <x v="0"/>
    <x v="1"/>
    <s v="nontarget"/>
    <s v="Stim6_Set4"/>
    <m/>
    <s v="yes"/>
    <s v="repeat"/>
    <x v="1"/>
    <n v="1"/>
    <x v="0"/>
    <n v="1"/>
  </r>
  <r>
    <n v="4"/>
    <n v="2"/>
    <n v="198"/>
    <n v="1"/>
    <x v="1"/>
    <x v="2"/>
    <s v="switch"/>
    <s v="Stim6_Set4"/>
    <m/>
    <m/>
    <m/>
    <x v="0"/>
    <n v="0"/>
    <x v="0"/>
    <n v="0"/>
  </r>
  <r>
    <n v="4"/>
    <n v="2"/>
    <n v="199"/>
    <n v="1"/>
    <x v="1"/>
    <x v="1"/>
    <s v="nontarget"/>
    <s v="Stim5_Set4"/>
    <m/>
    <m/>
    <m/>
    <x v="1"/>
    <n v="1"/>
    <x v="1"/>
    <n v="0"/>
  </r>
  <r>
    <n v="4"/>
    <n v="2"/>
    <n v="200"/>
    <n v="1"/>
    <x v="1"/>
    <x v="2"/>
    <s v="repeat"/>
    <s v="Stim5_Set4"/>
    <m/>
    <m/>
    <m/>
    <x v="1"/>
    <n v="0"/>
    <x v="0"/>
    <n v="0"/>
  </r>
  <r>
    <n v="4"/>
    <n v="2"/>
    <n v="201"/>
    <n v="2"/>
    <x v="0"/>
    <x v="0"/>
    <s v="filler"/>
    <m/>
    <s v="here"/>
    <m/>
    <m/>
    <x v="0"/>
    <n v="0"/>
    <x v="1"/>
    <n v="0"/>
  </r>
  <r>
    <n v="4"/>
    <n v="2"/>
    <n v="202"/>
    <n v="1"/>
    <x v="1"/>
    <x v="0"/>
    <s v="filler"/>
    <s v="Stim2_Set3"/>
    <m/>
    <m/>
    <m/>
    <x v="0"/>
    <n v="0"/>
    <x v="0"/>
    <n v="1"/>
  </r>
  <r>
    <s v="BREAK"/>
    <m/>
    <n v="203"/>
    <m/>
    <x v="2"/>
    <x v="3"/>
    <m/>
    <m/>
    <m/>
    <m/>
    <m/>
    <x v="0"/>
    <n v="0"/>
    <x v="0"/>
    <n v="1"/>
  </r>
  <r>
    <n v="1"/>
    <n v="3"/>
    <n v="204"/>
    <n v="2"/>
    <x v="0"/>
    <x v="0"/>
    <s v="filler"/>
    <s v="Stim4_Set4"/>
    <m/>
    <m/>
    <m/>
    <x v="0"/>
    <n v="0"/>
    <x v="0"/>
    <n v="0"/>
  </r>
  <r>
    <n v="1"/>
    <n v="3"/>
    <n v="205"/>
    <n v="2"/>
    <x v="0"/>
    <x v="1"/>
    <s v="nontarget"/>
    <s v="Stim7_Set1"/>
    <m/>
    <s v="yes"/>
    <s v="repeat"/>
    <x v="1"/>
    <n v="1"/>
    <x v="0"/>
    <n v="1"/>
  </r>
  <r>
    <n v="1"/>
    <n v="3"/>
    <n v="206"/>
    <n v="2"/>
    <x v="0"/>
    <x v="2"/>
    <s v="repeat"/>
    <s v="Stim7_Set1"/>
    <m/>
    <m/>
    <m/>
    <x v="1"/>
    <n v="0"/>
    <x v="0"/>
    <n v="0"/>
  </r>
  <r>
    <n v="1"/>
    <n v="3"/>
    <n v="207"/>
    <n v="1"/>
    <x v="1"/>
    <x v="0"/>
    <s v="filler"/>
    <s v="Stim6_Set4"/>
    <m/>
    <m/>
    <m/>
    <x v="0"/>
    <n v="0"/>
    <x v="1"/>
    <n v="0"/>
  </r>
  <r>
    <n v="1"/>
    <n v="3"/>
    <n v="208"/>
    <n v="1"/>
    <x v="1"/>
    <x v="0"/>
    <s v="filler"/>
    <s v="Stim2_Set4"/>
    <m/>
    <m/>
    <m/>
    <x v="1"/>
    <n v="0"/>
    <x v="0"/>
    <n v="1"/>
  </r>
  <r>
    <n v="1"/>
    <n v="3"/>
    <n v="209"/>
    <n v="2"/>
    <x v="0"/>
    <x v="1"/>
    <s v="nontarget"/>
    <s v="Stim6_Set1"/>
    <m/>
    <s v="yes"/>
    <s v="switch"/>
    <x v="0"/>
    <n v="1"/>
    <x v="0"/>
    <n v="1"/>
  </r>
  <r>
    <n v="1"/>
    <n v="3"/>
    <n v="210"/>
    <n v="2"/>
    <x v="0"/>
    <x v="2"/>
    <s v="repeat"/>
    <s v="Stim6_Set1"/>
    <m/>
    <m/>
    <m/>
    <x v="1"/>
    <n v="0"/>
    <x v="0"/>
    <n v="0"/>
  </r>
  <r>
    <n v="1"/>
    <n v="3"/>
    <n v="211"/>
    <n v="2"/>
    <x v="0"/>
    <x v="1"/>
    <s v="nontarget"/>
    <s v="Stim8_Set1"/>
    <m/>
    <m/>
    <m/>
    <x v="1"/>
    <n v="1"/>
    <x v="1"/>
    <n v="0"/>
  </r>
  <r>
    <n v="1"/>
    <n v="3"/>
    <n v="212"/>
    <n v="1"/>
    <x v="1"/>
    <x v="2"/>
    <s v="switch"/>
    <s v="Stim8_Set1"/>
    <m/>
    <m/>
    <m/>
    <x v="0"/>
    <n v="0"/>
    <x v="0"/>
    <n v="0"/>
  </r>
  <r>
    <n v="1"/>
    <n v="3"/>
    <n v="213"/>
    <n v="1"/>
    <x v="1"/>
    <x v="0"/>
    <s v="filler"/>
    <s v="Stim5_Set4"/>
    <m/>
    <m/>
    <m/>
    <x v="1"/>
    <n v="0"/>
    <x v="1"/>
    <n v="0"/>
  </r>
  <r>
    <n v="1"/>
    <n v="3"/>
    <n v="214"/>
    <n v="1"/>
    <x v="1"/>
    <x v="1"/>
    <s v="nontarget"/>
    <s v="Stim1_Set1"/>
    <m/>
    <s v="yes"/>
    <s v="repeat"/>
    <x v="1"/>
    <n v="1"/>
    <x v="0"/>
    <n v="1"/>
  </r>
  <r>
    <n v="1"/>
    <n v="3"/>
    <n v="215"/>
    <n v="2"/>
    <x v="0"/>
    <x v="2"/>
    <s v="switch"/>
    <s v="Stim1_Set1"/>
    <m/>
    <m/>
    <m/>
    <x v="0"/>
    <n v="0"/>
    <x v="0"/>
    <n v="0"/>
  </r>
  <r>
    <n v="1"/>
    <n v="3"/>
    <n v="216"/>
    <n v="2"/>
    <x v="0"/>
    <x v="1"/>
    <s v="nontarget"/>
    <s v="Stim4_Set1"/>
    <m/>
    <s v="yes"/>
    <s v="repeat"/>
    <x v="1"/>
    <n v="1"/>
    <x v="1"/>
    <n v="0"/>
  </r>
  <r>
    <n v="1"/>
    <n v="3"/>
    <n v="217"/>
    <n v="1"/>
    <x v="1"/>
    <x v="2"/>
    <s v="switch"/>
    <s v="Stim4_Set1"/>
    <m/>
    <m/>
    <m/>
    <x v="0"/>
    <n v="0"/>
    <x v="0"/>
    <n v="0"/>
  </r>
  <r>
    <n v="1"/>
    <n v="3"/>
    <n v="218"/>
    <n v="2"/>
    <x v="0"/>
    <x v="0"/>
    <s v="filler"/>
    <s v="Stim1_Set4"/>
    <m/>
    <s v="yes"/>
    <s v="switch"/>
    <x v="0"/>
    <n v="0"/>
    <x v="1"/>
    <n v="0"/>
  </r>
  <r>
    <n v="1"/>
    <n v="3"/>
    <n v="219"/>
    <n v="2"/>
    <x v="0"/>
    <x v="0"/>
    <s v="filler"/>
    <s v="Stim8_Set4"/>
    <m/>
    <m/>
    <m/>
    <x v="1"/>
    <n v="0"/>
    <x v="0"/>
    <n v="1"/>
  </r>
  <r>
    <n v="1"/>
    <n v="3"/>
    <n v="220"/>
    <n v="1"/>
    <x v="1"/>
    <x v="1"/>
    <s v="nontarget"/>
    <s v="Stim2_Set1"/>
    <m/>
    <s v="yes"/>
    <s v="switch"/>
    <x v="0"/>
    <n v="1"/>
    <x v="0"/>
    <n v="1"/>
  </r>
  <r>
    <n v="1"/>
    <n v="3"/>
    <n v="221"/>
    <n v="1"/>
    <x v="1"/>
    <x v="2"/>
    <s v="repeat"/>
    <s v="Stim2_Set1"/>
    <m/>
    <m/>
    <m/>
    <x v="1"/>
    <n v="0"/>
    <x v="0"/>
    <n v="0"/>
  </r>
  <r>
    <n v="1"/>
    <n v="3"/>
    <n v="222"/>
    <n v="2"/>
    <x v="0"/>
    <x v="0"/>
    <s v="filler"/>
    <s v="Stim3_Set4"/>
    <m/>
    <m/>
    <m/>
    <x v="0"/>
    <n v="0"/>
    <x v="1"/>
    <n v="0"/>
  </r>
  <r>
    <n v="1"/>
    <n v="3"/>
    <n v="223"/>
    <n v="2"/>
    <x v="0"/>
    <x v="0"/>
    <s v="filler"/>
    <s v="Stim7_Set4"/>
    <m/>
    <m/>
    <m/>
    <x v="1"/>
    <n v="0"/>
    <x v="0"/>
    <n v="1"/>
  </r>
  <r>
    <n v="1"/>
    <n v="3"/>
    <n v="224"/>
    <n v="1"/>
    <x v="1"/>
    <x v="1"/>
    <s v="nontarget"/>
    <s v="Stim3_Set1"/>
    <m/>
    <s v="yes"/>
    <s v="switch"/>
    <x v="0"/>
    <n v="1"/>
    <x v="0"/>
    <n v="1"/>
  </r>
  <r>
    <n v="1"/>
    <n v="3"/>
    <n v="225"/>
    <n v="1"/>
    <x v="1"/>
    <x v="2"/>
    <s v="repeat"/>
    <s v="Stim3_Set1"/>
    <m/>
    <m/>
    <m/>
    <x v="1"/>
    <n v="0"/>
    <x v="0"/>
    <n v="0"/>
  </r>
  <r>
    <n v="1"/>
    <n v="3"/>
    <n v="226"/>
    <n v="1"/>
    <x v="1"/>
    <x v="1"/>
    <s v="nontarget"/>
    <s v="Stim5_Set1"/>
    <m/>
    <s v="yes"/>
    <s v="repeat"/>
    <x v="1"/>
    <n v="1"/>
    <x v="1"/>
    <n v="0"/>
  </r>
  <r>
    <n v="1"/>
    <n v="3"/>
    <n v="227"/>
    <n v="2"/>
    <x v="0"/>
    <x v="2"/>
    <s v="switch"/>
    <s v="Stim5_Set1"/>
    <m/>
    <m/>
    <m/>
    <x v="0"/>
    <n v="0"/>
    <x v="0"/>
    <n v="0"/>
  </r>
  <r>
    <n v="2"/>
    <n v="3"/>
    <n v="228"/>
    <n v="2"/>
    <x v="0"/>
    <x v="0"/>
    <s v="filler"/>
    <s v="Stim7_Set1"/>
    <m/>
    <m/>
    <m/>
    <x v="1"/>
    <n v="0"/>
    <x v="1"/>
    <n v="0"/>
  </r>
  <r>
    <n v="2"/>
    <n v="3"/>
    <n v="229"/>
    <n v="1"/>
    <x v="1"/>
    <x v="0"/>
    <s v="filler"/>
    <s v="Stim3_Set1"/>
    <m/>
    <m/>
    <m/>
    <x v="0"/>
    <n v="0"/>
    <x v="0"/>
    <n v="1"/>
  </r>
  <r>
    <n v="2"/>
    <n v="3"/>
    <n v="230"/>
    <n v="1"/>
    <x v="1"/>
    <x v="1"/>
    <s v="nontarget"/>
    <s v="Stim7_Set2"/>
    <m/>
    <m/>
    <m/>
    <x v="1"/>
    <n v="1"/>
    <x v="0"/>
    <n v="1"/>
  </r>
  <r>
    <n v="2"/>
    <n v="3"/>
    <n v="231"/>
    <n v="1"/>
    <x v="1"/>
    <x v="2"/>
    <s v="repeat"/>
    <s v="Stim7_Set2"/>
    <m/>
    <m/>
    <m/>
    <x v="1"/>
    <n v="0"/>
    <x v="0"/>
    <n v="0"/>
  </r>
  <r>
    <n v="2"/>
    <n v="3"/>
    <n v="232"/>
    <n v="2"/>
    <x v="0"/>
    <x v="0"/>
    <s v="filler"/>
    <s v="Stim6_Set1"/>
    <m/>
    <m/>
    <m/>
    <x v="0"/>
    <n v="0"/>
    <x v="1"/>
    <n v="0"/>
  </r>
  <r>
    <n v="2"/>
    <n v="3"/>
    <n v="233"/>
    <n v="1"/>
    <x v="1"/>
    <x v="1"/>
    <s v="nontarget"/>
    <s v="Stim6_Set2"/>
    <m/>
    <s v="yes"/>
    <s v="switch"/>
    <x v="0"/>
    <n v="1"/>
    <x v="0"/>
    <n v="1"/>
  </r>
  <r>
    <n v="2"/>
    <n v="3"/>
    <n v="234"/>
    <n v="1"/>
    <x v="1"/>
    <x v="2"/>
    <s v="repeat"/>
    <s v="Stim6_Set2"/>
    <m/>
    <m/>
    <m/>
    <x v="1"/>
    <n v="0"/>
    <x v="0"/>
    <n v="0"/>
  </r>
  <r>
    <n v="2"/>
    <n v="3"/>
    <n v="235"/>
    <n v="1"/>
    <x v="1"/>
    <x v="1"/>
    <s v="nontarget"/>
    <s v="Stim4_Set2"/>
    <m/>
    <m/>
    <m/>
    <x v="1"/>
    <n v="1"/>
    <x v="1"/>
    <n v="0"/>
  </r>
  <r>
    <n v="2"/>
    <n v="3"/>
    <n v="236"/>
    <n v="2"/>
    <x v="0"/>
    <x v="2"/>
    <s v="switch"/>
    <s v="Stim4_Set2"/>
    <m/>
    <m/>
    <m/>
    <x v="0"/>
    <n v="0"/>
    <x v="0"/>
    <n v="0"/>
  </r>
  <r>
    <n v="2"/>
    <n v="3"/>
    <n v="237"/>
    <n v="2"/>
    <x v="0"/>
    <x v="0"/>
    <s v="filler"/>
    <s v="Stim8_Set1"/>
    <m/>
    <s v="yes"/>
    <s v="repeat"/>
    <x v="1"/>
    <n v="0"/>
    <x v="1"/>
    <n v="0"/>
  </r>
  <r>
    <n v="2"/>
    <n v="3"/>
    <n v="238"/>
    <n v="2"/>
    <x v="0"/>
    <x v="1"/>
    <s v="nontarget"/>
    <s v="Stim5_Set2"/>
    <m/>
    <s v="yes"/>
    <s v="repeat"/>
    <x v="1"/>
    <n v="1"/>
    <x v="0"/>
    <n v="1"/>
  </r>
  <r>
    <n v="2"/>
    <n v="3"/>
    <n v="239"/>
    <n v="1"/>
    <x v="1"/>
    <x v="2"/>
    <s v="switch"/>
    <s v="Stim5_Set2"/>
    <m/>
    <m/>
    <m/>
    <x v="0"/>
    <n v="0"/>
    <x v="0"/>
    <n v="0"/>
  </r>
  <r>
    <n v="2"/>
    <n v="3"/>
    <n v="240"/>
    <n v="1"/>
    <x v="1"/>
    <x v="0"/>
    <s v="filler"/>
    <s v="Stim4_Set1"/>
    <m/>
    <s v="yes"/>
    <s v="repeat"/>
    <x v="1"/>
    <n v="0"/>
    <x v="1"/>
    <n v="0"/>
  </r>
  <r>
    <n v="2"/>
    <n v="3"/>
    <n v="241"/>
    <n v="1"/>
    <x v="1"/>
    <x v="1"/>
    <s v="nontarget"/>
    <s v="Stim8_Set2"/>
    <m/>
    <m/>
    <m/>
    <x v="1"/>
    <n v="1"/>
    <x v="0"/>
    <n v="1"/>
  </r>
  <r>
    <n v="2"/>
    <n v="3"/>
    <n v="242"/>
    <n v="2"/>
    <x v="0"/>
    <x v="2"/>
    <s v="switch"/>
    <s v="Stim8_Set2"/>
    <m/>
    <m/>
    <m/>
    <x v="0"/>
    <n v="0"/>
    <x v="0"/>
    <n v="0"/>
  </r>
  <r>
    <n v="2"/>
    <n v="3"/>
    <n v="243"/>
    <n v="1"/>
    <x v="1"/>
    <x v="0"/>
    <s v="filler"/>
    <s v="Stim1_Set1"/>
    <m/>
    <m/>
    <m/>
    <x v="0"/>
    <n v="0"/>
    <x v="1"/>
    <n v="0"/>
  </r>
  <r>
    <n v="2"/>
    <n v="3"/>
    <n v="244"/>
    <n v="2"/>
    <x v="0"/>
    <x v="1"/>
    <s v="nontarget"/>
    <s v="Stim2_Set2"/>
    <m/>
    <s v="yes"/>
    <s v="switch"/>
    <x v="0"/>
    <n v="1"/>
    <x v="0"/>
    <n v="1"/>
  </r>
  <r>
    <n v="2"/>
    <n v="3"/>
    <n v="245"/>
    <n v="2"/>
    <x v="0"/>
    <x v="2"/>
    <s v="repeat"/>
    <s v="Stim2_Set2"/>
    <m/>
    <m/>
    <m/>
    <x v="1"/>
    <n v="0"/>
    <x v="0"/>
    <n v="0"/>
  </r>
  <r>
    <n v="2"/>
    <n v="3"/>
    <n v="246"/>
    <n v="1"/>
    <x v="1"/>
    <x v="0"/>
    <s v="filler"/>
    <s v="Stim2_Set1"/>
    <m/>
    <m/>
    <m/>
    <x v="0"/>
    <n v="0"/>
    <x v="1"/>
    <n v="0"/>
  </r>
  <r>
    <n v="2"/>
    <n v="3"/>
    <n v="247"/>
    <n v="2"/>
    <x v="0"/>
    <x v="1"/>
    <s v="nontarget"/>
    <s v="Stim1_Set2"/>
    <m/>
    <s v="yes"/>
    <s v="switch"/>
    <x v="0"/>
    <n v="1"/>
    <x v="0"/>
    <n v="1"/>
  </r>
  <r>
    <n v="2"/>
    <n v="3"/>
    <n v="248"/>
    <n v="2"/>
    <x v="0"/>
    <x v="2"/>
    <s v="repeat"/>
    <s v="Stim1_Set2"/>
    <m/>
    <m/>
    <m/>
    <x v="1"/>
    <n v="0"/>
    <x v="0"/>
    <n v="0"/>
  </r>
  <r>
    <n v="2"/>
    <n v="3"/>
    <n v="249"/>
    <n v="2"/>
    <x v="0"/>
    <x v="0"/>
    <s v="filler"/>
    <s v="Stim5_Set1"/>
    <m/>
    <m/>
    <m/>
    <x v="1"/>
    <n v="0"/>
    <x v="1"/>
    <n v="0"/>
  </r>
  <r>
    <n v="2"/>
    <n v="3"/>
    <n v="250"/>
    <n v="2"/>
    <x v="0"/>
    <x v="1"/>
    <s v="nontarget"/>
    <s v="Stim3_Set2"/>
    <m/>
    <s v="yes"/>
    <s v="repeat"/>
    <x v="1"/>
    <n v="1"/>
    <x v="0"/>
    <n v="1"/>
  </r>
  <r>
    <n v="2"/>
    <n v="3"/>
    <n v="251"/>
    <n v="1"/>
    <x v="1"/>
    <x v="2"/>
    <s v="switch"/>
    <s v="Stim3_Set2"/>
    <m/>
    <m/>
    <m/>
    <x v="0"/>
    <n v="0"/>
    <x v="0"/>
    <n v="0"/>
  </r>
  <r>
    <n v="3"/>
    <n v="3"/>
    <n v="252"/>
    <n v="1"/>
    <x v="1"/>
    <x v="0"/>
    <s v="filler"/>
    <s v="Stim7_Set2"/>
    <m/>
    <m/>
    <m/>
    <x v="1"/>
    <n v="0"/>
    <x v="1"/>
    <n v="0"/>
  </r>
  <r>
    <n v="3"/>
    <n v="3"/>
    <n v="253"/>
    <n v="1"/>
    <x v="1"/>
    <x v="1"/>
    <s v="nontarget"/>
    <s v="Stim4_Set3"/>
    <m/>
    <s v="yes"/>
    <s v="repeat"/>
    <x v="1"/>
    <n v="1"/>
    <x v="0"/>
    <n v="1"/>
  </r>
  <r>
    <n v="3"/>
    <n v="3"/>
    <n v="254"/>
    <n v="2"/>
    <x v="0"/>
    <x v="2"/>
    <s v="switch"/>
    <s v="Stim4_Set3"/>
    <m/>
    <m/>
    <m/>
    <x v="0"/>
    <n v="0"/>
    <x v="0"/>
    <n v="0"/>
  </r>
  <r>
    <n v="3"/>
    <n v="3"/>
    <n v="255"/>
    <n v="2"/>
    <x v="0"/>
    <x v="0"/>
    <s v="filler"/>
    <s v="Stim6_Set2"/>
    <m/>
    <m/>
    <m/>
    <x v="1"/>
    <n v="0"/>
    <x v="1"/>
    <n v="0"/>
  </r>
  <r>
    <n v="3"/>
    <n v="3"/>
    <n v="256"/>
    <n v="2"/>
    <x v="0"/>
    <x v="1"/>
    <s v="nontarget"/>
    <s v="Stim7_Set3"/>
    <m/>
    <s v="yes"/>
    <s v="repeat"/>
    <x v="1"/>
    <n v="1"/>
    <x v="0"/>
    <n v="1"/>
  </r>
  <r>
    <n v="3"/>
    <n v="3"/>
    <n v="257"/>
    <n v="1"/>
    <x v="1"/>
    <x v="2"/>
    <s v="switch"/>
    <s v="Stim7_Set3"/>
    <m/>
    <m/>
    <m/>
    <x v="0"/>
    <n v="0"/>
    <x v="0"/>
    <n v="0"/>
  </r>
  <r>
    <n v="3"/>
    <n v="3"/>
    <n v="258"/>
    <n v="1"/>
    <x v="1"/>
    <x v="1"/>
    <s v="nontarget"/>
    <s v="Stim2_Set3"/>
    <m/>
    <s v="yes"/>
    <s v="repeat"/>
    <x v="1"/>
    <n v="1"/>
    <x v="1"/>
    <n v="0"/>
  </r>
  <r>
    <n v="3"/>
    <n v="3"/>
    <n v="259"/>
    <n v="2"/>
    <x v="0"/>
    <x v="2"/>
    <s v="switch"/>
    <s v="Stim2_Set3"/>
    <m/>
    <m/>
    <m/>
    <x v="0"/>
    <n v="0"/>
    <x v="0"/>
    <n v="0"/>
  </r>
  <r>
    <n v="3"/>
    <n v="3"/>
    <n v="260"/>
    <n v="1"/>
    <x v="1"/>
    <x v="0"/>
    <s v="filler"/>
    <s v="Stim8_Set2"/>
    <m/>
    <m/>
    <m/>
    <x v="0"/>
    <n v="0"/>
    <x v="1"/>
    <n v="0"/>
  </r>
  <r>
    <n v="3"/>
    <n v="3"/>
    <n v="261"/>
    <n v="2"/>
    <x v="0"/>
    <x v="1"/>
    <s v="nontarget"/>
    <s v="Stim6_Set3"/>
    <m/>
    <s v="yes"/>
    <s v="switch"/>
    <x v="0"/>
    <n v="1"/>
    <x v="0"/>
    <n v="1"/>
  </r>
  <r>
    <n v="3"/>
    <n v="3"/>
    <n v="262"/>
    <n v="2"/>
    <x v="0"/>
    <x v="2"/>
    <s v="repeat"/>
    <s v="Stim6_Set3"/>
    <m/>
    <m/>
    <m/>
    <x v="1"/>
    <n v="0"/>
    <x v="0"/>
    <n v="0"/>
  </r>
  <r>
    <n v="3"/>
    <n v="3"/>
    <n v="263"/>
    <n v="1"/>
    <x v="1"/>
    <x v="0"/>
    <s v="filler"/>
    <s v="Stim2_Set2"/>
    <m/>
    <m/>
    <m/>
    <x v="0"/>
    <n v="0"/>
    <x v="1"/>
    <n v="0"/>
  </r>
  <r>
    <n v="3"/>
    <n v="3"/>
    <n v="264"/>
    <n v="2"/>
    <x v="0"/>
    <x v="1"/>
    <s v="nontarget"/>
    <s v="Stim8_Set3"/>
    <m/>
    <s v="yes"/>
    <s v="switch"/>
    <x v="0"/>
    <n v="1"/>
    <x v="0"/>
    <n v="1"/>
  </r>
  <r>
    <n v="3"/>
    <n v="3"/>
    <n v="265"/>
    <n v="2"/>
    <x v="0"/>
    <x v="2"/>
    <s v="repeat"/>
    <s v="Stim8_Set3"/>
    <m/>
    <m/>
    <m/>
    <x v="1"/>
    <n v="0"/>
    <x v="0"/>
    <n v="0"/>
  </r>
  <r>
    <n v="3"/>
    <n v="3"/>
    <n v="266"/>
    <n v="2"/>
    <x v="0"/>
    <x v="1"/>
    <s v="nontarget"/>
    <s v="Stim5_Set3"/>
    <m/>
    <m/>
    <m/>
    <x v="1"/>
    <n v="1"/>
    <x v="1"/>
    <n v="0"/>
  </r>
  <r>
    <n v="3"/>
    <n v="3"/>
    <n v="267"/>
    <n v="1"/>
    <x v="1"/>
    <x v="2"/>
    <s v="switch"/>
    <s v="Stim5_Set3"/>
    <m/>
    <m/>
    <m/>
    <x v="0"/>
    <n v="0"/>
    <x v="0"/>
    <n v="0"/>
  </r>
  <r>
    <n v="3"/>
    <n v="3"/>
    <n v="268"/>
    <n v="2"/>
    <x v="0"/>
    <x v="0"/>
    <s v="filler"/>
    <s v="Stim4_Set2"/>
    <m/>
    <m/>
    <m/>
    <x v="0"/>
    <n v="0"/>
    <x v="1"/>
    <n v="0"/>
  </r>
  <r>
    <n v="3"/>
    <n v="3"/>
    <n v="269"/>
    <n v="1"/>
    <x v="1"/>
    <x v="0"/>
    <s v="filler"/>
    <s v="Stim5_Set2"/>
    <m/>
    <s v="yes"/>
    <s v="switch"/>
    <x v="0"/>
    <n v="0"/>
    <x v="0"/>
    <n v="1"/>
  </r>
  <r>
    <n v="3"/>
    <n v="3"/>
    <n v="270"/>
    <n v="1"/>
    <x v="1"/>
    <x v="1"/>
    <s v="nontarget"/>
    <s v="Stim3_Set3"/>
    <m/>
    <m/>
    <m/>
    <x v="1"/>
    <n v="1"/>
    <x v="0"/>
    <n v="1"/>
  </r>
  <r>
    <n v="3"/>
    <n v="3"/>
    <n v="271"/>
    <n v="1"/>
    <x v="1"/>
    <x v="2"/>
    <s v="repeat"/>
    <s v="Stim3_Set3"/>
    <m/>
    <m/>
    <m/>
    <x v="1"/>
    <n v="0"/>
    <x v="0"/>
    <n v="0"/>
  </r>
  <r>
    <n v="3"/>
    <n v="3"/>
    <n v="272"/>
    <n v="2"/>
    <x v="0"/>
    <x v="0"/>
    <s v="filler"/>
    <s v="Stim3_Set2"/>
    <m/>
    <s v="yes"/>
    <s v="switch"/>
    <x v="0"/>
    <n v="0"/>
    <x v="1"/>
    <n v="0"/>
  </r>
  <r>
    <n v="3"/>
    <n v="3"/>
    <n v="273"/>
    <n v="1"/>
    <x v="1"/>
    <x v="1"/>
    <s v="nontarget"/>
    <s v="Stim1_Set3"/>
    <m/>
    <s v="yes"/>
    <s v="switch"/>
    <x v="0"/>
    <n v="1"/>
    <x v="0"/>
    <n v="1"/>
  </r>
  <r>
    <n v="3"/>
    <n v="3"/>
    <n v="274"/>
    <n v="1"/>
    <x v="1"/>
    <x v="2"/>
    <s v="repeat"/>
    <s v="Stim1_Set3"/>
    <m/>
    <m/>
    <m/>
    <x v="1"/>
    <n v="0"/>
    <x v="0"/>
    <n v="0"/>
  </r>
  <r>
    <n v="3"/>
    <n v="3"/>
    <n v="275"/>
    <n v="2"/>
    <x v="0"/>
    <x v="0"/>
    <s v="filler"/>
    <s v="Stim1_Set2"/>
    <m/>
    <m/>
    <m/>
    <x v="0"/>
    <n v="0"/>
    <x v="1"/>
    <n v="0"/>
  </r>
  <r>
    <n v="4"/>
    <n v="3"/>
    <n v="276"/>
    <n v="1"/>
    <x v="1"/>
    <x v="1"/>
    <s v="nontarget"/>
    <s v="Stim4_Set4"/>
    <m/>
    <m/>
    <m/>
    <x v="0"/>
    <n v="1"/>
    <x v="0"/>
    <n v="1"/>
  </r>
  <r>
    <n v="4"/>
    <n v="3"/>
    <n v="277"/>
    <n v="1"/>
    <x v="1"/>
    <x v="2"/>
    <s v="repeat"/>
    <s v="Stim4_Set4"/>
    <m/>
    <m/>
    <m/>
    <x v="1"/>
    <n v="0"/>
    <x v="0"/>
    <n v="0"/>
  </r>
  <r>
    <n v="4"/>
    <n v="3"/>
    <n v="278"/>
    <n v="2"/>
    <x v="0"/>
    <x v="0"/>
    <s v="filler"/>
    <s v="Stim4_Set3"/>
    <m/>
    <m/>
    <m/>
    <x v="0"/>
    <n v="0"/>
    <x v="1"/>
    <n v="0"/>
  </r>
  <r>
    <n v="4"/>
    <n v="3"/>
    <n v="279"/>
    <n v="1"/>
    <x v="1"/>
    <x v="1"/>
    <s v="nontarget"/>
    <s v="Stim6_Set4"/>
    <m/>
    <s v="yes"/>
    <s v="switch"/>
    <x v="0"/>
    <n v="1"/>
    <x v="0"/>
    <n v="1"/>
  </r>
  <r>
    <n v="4"/>
    <n v="3"/>
    <n v="280"/>
    <n v="2"/>
    <x v="0"/>
    <x v="2"/>
    <s v="switch"/>
    <s v="Stim6_Set4"/>
    <m/>
    <m/>
    <m/>
    <x v="0"/>
    <n v="0"/>
    <x v="0"/>
    <n v="0"/>
  </r>
  <r>
    <n v="4"/>
    <n v="3"/>
    <n v="281"/>
    <n v="2"/>
    <x v="0"/>
    <x v="1"/>
    <s v="nontarget"/>
    <s v="Stim2_Set4"/>
    <m/>
    <s v="yes"/>
    <s v="repeat"/>
    <x v="1"/>
    <n v="1"/>
    <x v="1"/>
    <n v="0"/>
  </r>
  <r>
    <n v="4"/>
    <n v="3"/>
    <n v="282"/>
    <n v="2"/>
    <x v="0"/>
    <x v="2"/>
    <s v="repeat"/>
    <s v="Stim2_Set4"/>
    <m/>
    <m/>
    <m/>
    <x v="1"/>
    <n v="0"/>
    <x v="0"/>
    <n v="0"/>
  </r>
  <r>
    <n v="4"/>
    <n v="3"/>
    <n v="283"/>
    <n v="1"/>
    <x v="1"/>
    <x v="0"/>
    <s v="filler"/>
    <s v="Stim7_Set3"/>
    <m/>
    <m/>
    <m/>
    <x v="0"/>
    <n v="0"/>
    <x v="1"/>
    <n v="0"/>
  </r>
  <r>
    <n v="4"/>
    <n v="3"/>
    <n v="284"/>
    <n v="2"/>
    <x v="0"/>
    <x v="0"/>
    <s v="filler"/>
    <s v="Stim2_Set3"/>
    <m/>
    <m/>
    <m/>
    <x v="0"/>
    <n v="0"/>
    <x v="0"/>
    <n v="1"/>
  </r>
  <r>
    <n v="4"/>
    <n v="3"/>
    <n v="285"/>
    <n v="2"/>
    <x v="0"/>
    <x v="1"/>
    <s v="nontarget"/>
    <s v="Stim5_Set4"/>
    <m/>
    <s v="yes"/>
    <s v="repeat"/>
    <x v="1"/>
    <n v="1"/>
    <x v="0"/>
    <n v="1"/>
  </r>
  <r>
    <n v="4"/>
    <n v="3"/>
    <n v="286"/>
    <n v="1"/>
    <x v="1"/>
    <x v="2"/>
    <s v="switch"/>
    <s v="Stim5_Set4"/>
    <m/>
    <m/>
    <m/>
    <x v="0"/>
    <n v="0"/>
    <x v="0"/>
    <n v="0"/>
  </r>
  <r>
    <n v="4"/>
    <n v="3"/>
    <n v="287"/>
    <n v="1"/>
    <x v="1"/>
    <x v="1"/>
    <s v="nontarget"/>
    <s v="Stim1_Set4"/>
    <m/>
    <m/>
    <m/>
    <x v="1"/>
    <n v="1"/>
    <x v="1"/>
    <n v="0"/>
  </r>
  <r>
    <n v="4"/>
    <n v="3"/>
    <n v="288"/>
    <n v="2"/>
    <x v="0"/>
    <x v="2"/>
    <s v="switch"/>
    <s v="Stim1_Set4"/>
    <m/>
    <m/>
    <m/>
    <x v="0"/>
    <n v="0"/>
    <x v="0"/>
    <n v="0"/>
  </r>
  <r>
    <n v="4"/>
    <n v="3"/>
    <n v="289"/>
    <n v="1"/>
    <x v="1"/>
    <x v="0"/>
    <s v="filler"/>
    <s v="Stim6_Set3"/>
    <m/>
    <s v="yes"/>
    <s v="switch"/>
    <x v="0"/>
    <n v="0"/>
    <x v="1"/>
    <n v="0"/>
  </r>
  <r>
    <n v="4"/>
    <n v="3"/>
    <n v="290"/>
    <n v="2"/>
    <x v="0"/>
    <x v="1"/>
    <s v="nontarget"/>
    <s v="Stim8_Set4"/>
    <m/>
    <s v="yes"/>
    <s v="switch"/>
    <x v="0"/>
    <n v="1"/>
    <x v="0"/>
    <n v="1"/>
  </r>
  <r>
    <n v="4"/>
    <n v="3"/>
    <n v="291"/>
    <n v="2"/>
    <x v="0"/>
    <x v="2"/>
    <s v="repeat"/>
    <s v="Stim8_Set4"/>
    <m/>
    <m/>
    <m/>
    <x v="1"/>
    <n v="0"/>
    <x v="0"/>
    <n v="0"/>
  </r>
  <r>
    <n v="4"/>
    <n v="3"/>
    <n v="292"/>
    <n v="1"/>
    <x v="1"/>
    <x v="0"/>
    <s v="filler"/>
    <s v="Stim8_Set3"/>
    <m/>
    <m/>
    <m/>
    <x v="0"/>
    <n v="0"/>
    <x v="1"/>
    <n v="0"/>
  </r>
  <r>
    <n v="4"/>
    <n v="3"/>
    <n v="293"/>
    <n v="2"/>
    <x v="0"/>
    <x v="0"/>
    <s v="filler"/>
    <s v="Stim1_Set3"/>
    <m/>
    <m/>
    <m/>
    <x v="0"/>
    <n v="0"/>
    <x v="0"/>
    <n v="1"/>
  </r>
  <r>
    <n v="4"/>
    <n v="3"/>
    <n v="294"/>
    <n v="2"/>
    <x v="0"/>
    <x v="1"/>
    <s v="nontarget"/>
    <s v="Stim3_Set4"/>
    <m/>
    <s v="yes"/>
    <s v="repeat"/>
    <x v="1"/>
    <n v="1"/>
    <x v="0"/>
    <n v="1"/>
  </r>
  <r>
    <n v="4"/>
    <n v="3"/>
    <n v="295"/>
    <n v="1"/>
    <x v="1"/>
    <x v="2"/>
    <s v="switch"/>
    <s v="Stim3_Set4"/>
    <m/>
    <m/>
    <m/>
    <x v="0"/>
    <n v="0"/>
    <x v="0"/>
    <n v="0"/>
  </r>
  <r>
    <n v="4"/>
    <n v="3"/>
    <n v="296"/>
    <n v="2"/>
    <x v="0"/>
    <x v="0"/>
    <s v="filler"/>
    <m/>
    <s v="here"/>
    <m/>
    <m/>
    <x v="0"/>
    <n v="0"/>
    <x v="1"/>
    <n v="0"/>
  </r>
  <r>
    <n v="4"/>
    <n v="3"/>
    <n v="297"/>
    <n v="1"/>
    <x v="1"/>
    <x v="0"/>
    <s v="filler"/>
    <s v="Stim5_Set3"/>
    <m/>
    <s v="yes"/>
    <s v="switch"/>
    <x v="0"/>
    <n v="0"/>
    <x v="0"/>
    <n v="1"/>
  </r>
  <r>
    <n v="4"/>
    <n v="3"/>
    <n v="298"/>
    <n v="2"/>
    <x v="0"/>
    <x v="0"/>
    <s v="filler"/>
    <m/>
    <s v="here"/>
    <m/>
    <m/>
    <x v="0"/>
    <n v="0"/>
    <x v="0"/>
    <n v="1"/>
  </r>
  <r>
    <n v="4"/>
    <n v="3"/>
    <n v="299"/>
    <n v="1"/>
    <x v="1"/>
    <x v="0"/>
    <s v="filler"/>
    <s v="Stim3_Set3"/>
    <m/>
    <s v="yes"/>
    <s v="switch"/>
    <x v="0"/>
    <n v="0"/>
    <x v="0"/>
    <n v="1"/>
  </r>
  <r>
    <n v="4"/>
    <n v="3"/>
    <n v="300"/>
    <n v="1"/>
    <x v="1"/>
    <x v="1"/>
    <s v="nontarget"/>
    <s v="Stim7_Set4"/>
    <m/>
    <s v="yes"/>
    <s v="repeat"/>
    <x v="1"/>
    <n v="1"/>
    <x v="0"/>
    <n v="1"/>
  </r>
  <r>
    <n v="4"/>
    <n v="3"/>
    <n v="301"/>
    <n v="1"/>
    <x v="1"/>
    <x v="2"/>
    <s v="repeat"/>
    <s v="Stim7_Set4"/>
    <m/>
    <m/>
    <m/>
    <x v="1"/>
    <n v="0"/>
    <x v="0"/>
    <n v="0"/>
  </r>
  <r>
    <n v="4"/>
    <n v="3"/>
    <n v="302"/>
    <n v="2"/>
    <x v="0"/>
    <x v="0"/>
    <s v="filler"/>
    <m/>
    <s v="here"/>
    <m/>
    <m/>
    <x v="0"/>
    <n v="1"/>
    <x v="1"/>
    <n v="0"/>
  </r>
  <r>
    <s v="BREAK"/>
    <m/>
    <n v="303"/>
    <m/>
    <x v="2"/>
    <x v="3"/>
    <m/>
    <m/>
    <m/>
    <m/>
    <m/>
    <x v="0"/>
    <n v="0"/>
    <x v="0"/>
    <n v="1"/>
  </r>
  <r>
    <n v="1"/>
    <n v="4"/>
    <n v="304"/>
    <n v="2"/>
    <x v="0"/>
    <x v="0"/>
    <s v="filler"/>
    <s v="Stim4_Set4"/>
    <m/>
    <m/>
    <m/>
    <x v="0"/>
    <n v="0"/>
    <x v="0"/>
    <n v="0"/>
  </r>
  <r>
    <n v="1"/>
    <n v="4"/>
    <n v="305"/>
    <n v="2"/>
    <x v="0"/>
    <x v="1"/>
    <s v="nontarget"/>
    <s v="Stim5_Set1"/>
    <m/>
    <s v="yes"/>
    <s v="repeat"/>
    <x v="1"/>
    <n v="1"/>
    <x v="0"/>
    <n v="1"/>
  </r>
  <r>
    <n v="1"/>
    <n v="4"/>
    <n v="306"/>
    <n v="2"/>
    <x v="0"/>
    <x v="2"/>
    <s v="repeat"/>
    <s v="Stim5_Set1"/>
    <m/>
    <m/>
    <m/>
    <x v="1"/>
    <n v="0"/>
    <x v="0"/>
    <n v="0"/>
  </r>
  <r>
    <n v="1"/>
    <n v="4"/>
    <n v="307"/>
    <n v="1"/>
    <x v="1"/>
    <x v="0"/>
    <s v="filler"/>
    <s v="Stim3_Set4"/>
    <m/>
    <m/>
    <m/>
    <x v="0"/>
    <n v="0"/>
    <x v="1"/>
    <n v="0"/>
  </r>
  <r>
    <n v="1"/>
    <n v="4"/>
    <n v="308"/>
    <n v="1"/>
    <x v="1"/>
    <x v="0"/>
    <s v="filler"/>
    <s v="Stim1_Set4"/>
    <m/>
    <s v="yes"/>
    <s v="repeat"/>
    <x v="1"/>
    <n v="0"/>
    <x v="0"/>
    <n v="1"/>
  </r>
  <r>
    <n v="1"/>
    <n v="4"/>
    <n v="309"/>
    <n v="2"/>
    <x v="0"/>
    <x v="1"/>
    <s v="nontarget"/>
    <s v="Stim8_Set1"/>
    <m/>
    <s v="yes"/>
    <s v="switch"/>
    <x v="0"/>
    <n v="1"/>
    <x v="0"/>
    <n v="1"/>
  </r>
  <r>
    <n v="1"/>
    <n v="4"/>
    <n v="310"/>
    <n v="2"/>
    <x v="0"/>
    <x v="2"/>
    <s v="repeat"/>
    <s v="Stim8_Set1"/>
    <m/>
    <m/>
    <m/>
    <x v="1"/>
    <n v="0"/>
    <x v="0"/>
    <n v="0"/>
  </r>
  <r>
    <n v="1"/>
    <n v="4"/>
    <n v="311"/>
    <n v="1"/>
    <x v="1"/>
    <x v="0"/>
    <s v="filler"/>
    <s v="Stim8_Set4"/>
    <m/>
    <m/>
    <m/>
    <x v="0"/>
    <n v="0"/>
    <x v="1"/>
    <n v="0"/>
  </r>
  <r>
    <n v="1"/>
    <n v="4"/>
    <n v="312"/>
    <n v="2"/>
    <x v="0"/>
    <x v="1"/>
    <s v="nontarget"/>
    <s v="Stim7_Set1"/>
    <m/>
    <s v="yes"/>
    <s v="switch"/>
    <x v="0"/>
    <n v="1"/>
    <x v="0"/>
    <n v="1"/>
  </r>
  <r>
    <n v="1"/>
    <n v="4"/>
    <n v="313"/>
    <n v="1"/>
    <x v="1"/>
    <x v="2"/>
    <s v="switch"/>
    <s v="Stim7_Set1"/>
    <m/>
    <m/>
    <m/>
    <x v="0"/>
    <n v="0"/>
    <x v="0"/>
    <n v="0"/>
  </r>
  <r>
    <n v="1"/>
    <n v="4"/>
    <n v="314"/>
    <n v="1"/>
    <x v="1"/>
    <x v="0"/>
    <s v="filler"/>
    <s v="Stim6_Set4"/>
    <m/>
    <s v="yes"/>
    <s v="repeat"/>
    <x v="1"/>
    <n v="0"/>
    <x v="1"/>
    <n v="0"/>
  </r>
  <r>
    <n v="1"/>
    <n v="4"/>
    <n v="315"/>
    <n v="1"/>
    <x v="1"/>
    <x v="1"/>
    <s v="nontarget"/>
    <s v="Stim3_Set1"/>
    <m/>
    <s v="yes"/>
    <s v="repeat"/>
    <x v="1"/>
    <n v="1"/>
    <x v="0"/>
    <n v="1"/>
  </r>
  <r>
    <n v="1"/>
    <n v="4"/>
    <n v="316"/>
    <n v="2"/>
    <x v="0"/>
    <x v="2"/>
    <s v="switch"/>
    <s v="Stim3_Set1"/>
    <m/>
    <m/>
    <m/>
    <x v="0"/>
    <n v="0"/>
    <x v="0"/>
    <n v="0"/>
  </r>
  <r>
    <n v="1"/>
    <n v="4"/>
    <n v="317"/>
    <n v="2"/>
    <x v="0"/>
    <x v="1"/>
    <s v="nontarget"/>
    <s v="Stim2_Set1"/>
    <m/>
    <s v="yes"/>
    <s v="repeat"/>
    <x v="1"/>
    <n v="1"/>
    <x v="1"/>
    <n v="0"/>
  </r>
  <r>
    <n v="1"/>
    <n v="4"/>
    <n v="318"/>
    <n v="1"/>
    <x v="1"/>
    <x v="2"/>
    <s v="switch"/>
    <s v="Stim2_Set1"/>
    <m/>
    <m/>
    <m/>
    <x v="0"/>
    <n v="0"/>
    <x v="0"/>
    <n v="0"/>
  </r>
  <r>
    <n v="1"/>
    <n v="4"/>
    <n v="319"/>
    <n v="1"/>
    <x v="1"/>
    <x v="0"/>
    <s v="filler"/>
    <s v="Stim7_Set4"/>
    <m/>
    <m/>
    <m/>
    <x v="1"/>
    <n v="0"/>
    <x v="1"/>
    <n v="0"/>
  </r>
  <r>
    <n v="1"/>
    <n v="4"/>
    <n v="320"/>
    <n v="2"/>
    <x v="0"/>
    <x v="0"/>
    <s v="filler"/>
    <s v="Stim5_Set4"/>
    <m/>
    <m/>
    <m/>
    <x v="0"/>
    <n v="0"/>
    <x v="0"/>
    <n v="1"/>
  </r>
  <r>
    <n v="1"/>
    <n v="4"/>
    <n v="321"/>
    <n v="1"/>
    <x v="1"/>
    <x v="1"/>
    <s v="nontarget"/>
    <s v="Stim4_Set1"/>
    <m/>
    <m/>
    <m/>
    <x v="0"/>
    <n v="1"/>
    <x v="0"/>
    <n v="1"/>
  </r>
  <r>
    <n v="1"/>
    <n v="4"/>
    <n v="322"/>
    <n v="1"/>
    <x v="1"/>
    <x v="2"/>
    <s v="repeat"/>
    <s v="Stim4_Set1"/>
    <m/>
    <m/>
    <m/>
    <x v="1"/>
    <n v="0"/>
    <x v="0"/>
    <n v="0"/>
  </r>
  <r>
    <n v="1"/>
    <n v="4"/>
    <n v="323"/>
    <n v="2"/>
    <x v="0"/>
    <x v="0"/>
    <s v="filler"/>
    <s v="Stim2_Set4"/>
    <m/>
    <s v="yes"/>
    <s v="switch"/>
    <x v="0"/>
    <n v="0"/>
    <x v="1"/>
    <n v="0"/>
  </r>
  <r>
    <n v="1"/>
    <n v="4"/>
    <n v="324"/>
    <n v="1"/>
    <x v="1"/>
    <x v="1"/>
    <s v="nontarget"/>
    <s v="Stim1_Set1"/>
    <m/>
    <s v="yes"/>
    <s v="switch"/>
    <x v="0"/>
    <n v="1"/>
    <x v="0"/>
    <n v="1"/>
  </r>
  <r>
    <n v="1"/>
    <n v="4"/>
    <n v="325"/>
    <n v="1"/>
    <x v="1"/>
    <x v="2"/>
    <s v="repeat"/>
    <s v="Stim1_Set1"/>
    <m/>
    <m/>
    <m/>
    <x v="1"/>
    <n v="0"/>
    <x v="0"/>
    <n v="0"/>
  </r>
  <r>
    <n v="1"/>
    <n v="4"/>
    <n v="326"/>
    <n v="1"/>
    <x v="1"/>
    <x v="1"/>
    <s v="nontarget"/>
    <s v="Stim6_Set1"/>
    <m/>
    <s v="yes"/>
    <s v="repeat"/>
    <x v="1"/>
    <n v="1"/>
    <x v="1"/>
    <n v="0"/>
  </r>
  <r>
    <n v="1"/>
    <n v="4"/>
    <n v="327"/>
    <n v="2"/>
    <x v="0"/>
    <x v="2"/>
    <s v="switch"/>
    <s v="Stim6_Set1"/>
    <m/>
    <m/>
    <m/>
    <x v="0"/>
    <n v="0"/>
    <x v="0"/>
    <n v="0"/>
  </r>
  <r>
    <n v="2"/>
    <n v="4"/>
    <n v="328"/>
    <n v="1"/>
    <x v="1"/>
    <x v="0"/>
    <s v="filler"/>
    <s v="Stim5_Set1"/>
    <m/>
    <m/>
    <m/>
    <x v="0"/>
    <n v="0"/>
    <x v="1"/>
    <n v="0"/>
  </r>
  <r>
    <n v="2"/>
    <n v="4"/>
    <n v="329"/>
    <n v="1"/>
    <x v="1"/>
    <x v="1"/>
    <s v="nontarget"/>
    <s v="Stim8_Set2"/>
    <m/>
    <s v="yes"/>
    <s v="repeat"/>
    <x v="1"/>
    <n v="1"/>
    <x v="0"/>
    <n v="1"/>
  </r>
  <r>
    <n v="2"/>
    <n v="4"/>
    <n v="330"/>
    <n v="1"/>
    <x v="1"/>
    <x v="2"/>
    <s v="repeat"/>
    <s v="Stim8_Set2"/>
    <m/>
    <m/>
    <m/>
    <x v="1"/>
    <n v="0"/>
    <x v="0"/>
    <n v="0"/>
  </r>
  <r>
    <n v="2"/>
    <n v="4"/>
    <n v="331"/>
    <n v="2"/>
    <x v="0"/>
    <x v="0"/>
    <s v="filler"/>
    <s v="Stim1_Set1"/>
    <m/>
    <s v="yes"/>
    <s v="switch"/>
    <x v="0"/>
    <n v="0"/>
    <x v="1"/>
    <n v="0"/>
  </r>
  <r>
    <n v="2"/>
    <n v="4"/>
    <n v="332"/>
    <n v="1"/>
    <x v="1"/>
    <x v="1"/>
    <s v="nontarget"/>
    <s v="Stim4_Set2"/>
    <m/>
    <s v="yes"/>
    <s v="switch"/>
    <x v="0"/>
    <n v="1"/>
    <x v="0"/>
    <n v="1"/>
  </r>
  <r>
    <n v="2"/>
    <n v="4"/>
    <n v="333"/>
    <n v="1"/>
    <x v="1"/>
    <x v="2"/>
    <s v="repeat"/>
    <s v="Stim4_Set2"/>
    <m/>
    <m/>
    <m/>
    <x v="1"/>
    <n v="0"/>
    <x v="0"/>
    <n v="0"/>
  </r>
  <r>
    <n v="2"/>
    <n v="4"/>
    <n v="334"/>
    <n v="1"/>
    <x v="1"/>
    <x v="0"/>
    <s v="filler"/>
    <s v="Stim8_Set1"/>
    <m/>
    <m/>
    <m/>
    <x v="1"/>
    <n v="0"/>
    <x v="1"/>
    <n v="0"/>
  </r>
  <r>
    <n v="2"/>
    <n v="4"/>
    <n v="335"/>
    <n v="2"/>
    <x v="0"/>
    <x v="0"/>
    <s v="filler"/>
    <m/>
    <s v="here"/>
    <m/>
    <m/>
    <x v="0"/>
    <n v="0"/>
    <x v="0"/>
    <n v="1"/>
  </r>
  <r>
    <n v="2"/>
    <n v="4"/>
    <n v="336"/>
    <n v="1"/>
    <x v="1"/>
    <x v="0"/>
    <s v="filler"/>
    <s v="Stim7_Set1"/>
    <m/>
    <s v="yes"/>
    <s v="switch"/>
    <x v="0"/>
    <n v="0"/>
    <x v="0"/>
    <n v="1"/>
  </r>
  <r>
    <n v="2"/>
    <n v="4"/>
    <n v="337"/>
    <n v="1"/>
    <x v="1"/>
    <x v="1"/>
    <s v="nontarget"/>
    <s v="Stim6_Set2"/>
    <m/>
    <s v="yes"/>
    <s v="repeat"/>
    <x v="1"/>
    <n v="1"/>
    <x v="0"/>
    <n v="1"/>
  </r>
  <r>
    <n v="2"/>
    <n v="4"/>
    <n v="338"/>
    <n v="1"/>
    <x v="0"/>
    <x v="2"/>
    <s v="switch"/>
    <s v="Stim6_Set2"/>
    <m/>
    <m/>
    <m/>
    <x v="0"/>
    <n v="0"/>
    <x v="0"/>
    <n v="0"/>
  </r>
  <r>
    <n v="2"/>
    <n v="4"/>
    <n v="339"/>
    <n v="2"/>
    <x v="0"/>
    <x v="0"/>
    <s v="filler"/>
    <s v="Stim3_Set1"/>
    <m/>
    <m/>
    <m/>
    <x v="1"/>
    <n v="0"/>
    <x v="1"/>
    <n v="0"/>
  </r>
  <r>
    <n v="2"/>
    <n v="4"/>
    <n v="340"/>
    <n v="2"/>
    <x v="0"/>
    <x v="1"/>
    <s v="nontarget"/>
    <s v="Stim2_Set2"/>
    <m/>
    <s v="yes"/>
    <s v="repeat"/>
    <x v="1"/>
    <n v="1"/>
    <x v="0"/>
    <n v="1"/>
  </r>
  <r>
    <n v="2"/>
    <n v="4"/>
    <n v="341"/>
    <n v="1"/>
    <x v="1"/>
    <x v="2"/>
    <s v="switch"/>
    <s v="Stim2_Set2"/>
    <m/>
    <m/>
    <m/>
    <x v="0"/>
    <n v="0"/>
    <x v="0"/>
    <n v="0"/>
  </r>
  <r>
    <n v="2"/>
    <n v="4"/>
    <n v="342"/>
    <n v="1"/>
    <x v="1"/>
    <x v="0"/>
    <s v="filler"/>
    <s v="Stim2_Set1"/>
    <m/>
    <m/>
    <m/>
    <x v="1"/>
    <n v="0"/>
    <x v="1"/>
    <n v="0"/>
  </r>
  <r>
    <n v="2"/>
    <n v="4"/>
    <n v="343"/>
    <n v="1"/>
    <x v="1"/>
    <x v="1"/>
    <s v="nontarget"/>
    <s v="Stim7_Set2"/>
    <m/>
    <s v="yes"/>
    <s v="repeat"/>
    <x v="1"/>
    <n v="1"/>
    <x v="0"/>
    <n v="1"/>
  </r>
  <r>
    <n v="2"/>
    <n v="4"/>
    <n v="344"/>
    <n v="2"/>
    <x v="0"/>
    <x v="2"/>
    <s v="switch"/>
    <s v="Stim7_Set2"/>
    <m/>
    <m/>
    <m/>
    <x v="0"/>
    <n v="0"/>
    <x v="0"/>
    <n v="0"/>
  </r>
  <r>
    <n v="2"/>
    <n v="4"/>
    <n v="345"/>
    <n v="2"/>
    <x v="0"/>
    <x v="1"/>
    <s v="nontarget"/>
    <s v="Stim3_Set2"/>
    <m/>
    <m/>
    <m/>
    <x v="1"/>
    <n v="1"/>
    <x v="1"/>
    <n v="0"/>
  </r>
  <r>
    <n v="2"/>
    <n v="4"/>
    <n v="346"/>
    <n v="2"/>
    <x v="0"/>
    <x v="2"/>
    <s v="repeat"/>
    <s v="Stim3_Set2"/>
    <m/>
    <m/>
    <m/>
    <x v="1"/>
    <n v="0"/>
    <x v="0"/>
    <n v="0"/>
  </r>
  <r>
    <n v="2"/>
    <n v="4"/>
    <n v="347"/>
    <n v="1"/>
    <x v="1"/>
    <x v="0"/>
    <s v="filler"/>
    <s v="Stim4_Set1"/>
    <m/>
    <m/>
    <m/>
    <x v="0"/>
    <n v="0"/>
    <x v="1"/>
    <n v="0"/>
  </r>
  <r>
    <n v="2"/>
    <n v="4"/>
    <n v="348"/>
    <n v="2"/>
    <x v="0"/>
    <x v="1"/>
    <s v="nontarget"/>
    <s v="Stim5_Set2"/>
    <m/>
    <s v="yes"/>
    <s v="switch"/>
    <x v="0"/>
    <n v="1"/>
    <x v="0"/>
    <n v="1"/>
  </r>
  <r>
    <n v="2"/>
    <n v="4"/>
    <n v="349"/>
    <n v="2"/>
    <x v="0"/>
    <x v="2"/>
    <s v="repeat"/>
    <s v="Stim5_Set2"/>
    <m/>
    <m/>
    <m/>
    <x v="1"/>
    <n v="0"/>
    <x v="0"/>
    <n v="0"/>
  </r>
  <r>
    <n v="2"/>
    <n v="4"/>
    <n v="350"/>
    <n v="1"/>
    <x v="1"/>
    <x v="0"/>
    <s v="filler"/>
    <m/>
    <s v="here"/>
    <m/>
    <m/>
    <x v="0"/>
    <n v="0"/>
    <x v="1"/>
    <n v="0"/>
  </r>
  <r>
    <n v="2"/>
    <n v="4"/>
    <n v="351"/>
    <n v="2"/>
    <x v="0"/>
    <x v="0"/>
    <s v="filler"/>
    <s v="Stim6_Set1"/>
    <m/>
    <m/>
    <m/>
    <x v="0"/>
    <n v="0"/>
    <x v="0"/>
    <n v="1"/>
  </r>
  <r>
    <n v="2"/>
    <n v="4"/>
    <n v="352"/>
    <n v="2"/>
    <x v="0"/>
    <x v="1"/>
    <s v="nontarget"/>
    <s v="Stim1_Set2"/>
    <m/>
    <s v="yes"/>
    <s v="repeat"/>
    <x v="1"/>
    <n v="1"/>
    <x v="0"/>
    <n v="1"/>
  </r>
  <r>
    <n v="2"/>
    <n v="4"/>
    <n v="353"/>
    <n v="1"/>
    <x v="1"/>
    <x v="2"/>
    <s v="switch"/>
    <s v="Stim1_Set2"/>
    <m/>
    <m/>
    <m/>
    <x v="0"/>
    <n v="0"/>
    <x v="0"/>
    <n v="0"/>
  </r>
  <r>
    <n v="3"/>
    <n v="4"/>
    <n v="354"/>
    <n v="1"/>
    <x v="1"/>
    <x v="1"/>
    <s v="nontarget"/>
    <s v="Stim5_Set3"/>
    <m/>
    <m/>
    <m/>
    <x v="1"/>
    <n v="1"/>
    <x v="1"/>
    <n v="0"/>
  </r>
  <r>
    <n v="3"/>
    <n v="4"/>
    <n v="355"/>
    <n v="2"/>
    <x v="0"/>
    <x v="2"/>
    <s v="switch"/>
    <s v="Stim5_Set3"/>
    <m/>
    <m/>
    <m/>
    <x v="0"/>
    <n v="0"/>
    <x v="0"/>
    <n v="0"/>
  </r>
  <r>
    <n v="3"/>
    <n v="4"/>
    <n v="356"/>
    <n v="2"/>
    <x v="0"/>
    <x v="0"/>
    <s v="filler"/>
    <s v="Stim8_Set2"/>
    <m/>
    <m/>
    <m/>
    <x v="1"/>
    <n v="0"/>
    <x v="1"/>
    <n v="0"/>
  </r>
  <r>
    <n v="3"/>
    <n v="4"/>
    <n v="357"/>
    <n v="2"/>
    <x v="0"/>
    <x v="1"/>
    <s v="nontarget"/>
    <s v="Stim1_Set3"/>
    <m/>
    <s v="yes"/>
    <s v="repeat"/>
    <x v="1"/>
    <n v="1"/>
    <x v="0"/>
    <n v="1"/>
  </r>
  <r>
    <n v="3"/>
    <n v="4"/>
    <n v="358"/>
    <n v="1"/>
    <x v="1"/>
    <x v="2"/>
    <s v="switch"/>
    <s v="Stim1_Set3"/>
    <m/>
    <m/>
    <m/>
    <x v="0"/>
    <n v="0"/>
    <x v="0"/>
    <n v="0"/>
  </r>
  <r>
    <n v="3"/>
    <n v="4"/>
    <n v="359"/>
    <n v="1"/>
    <x v="1"/>
    <x v="0"/>
    <s v="filler"/>
    <s v="Stim4_Set2"/>
    <m/>
    <s v="yes"/>
    <s v="repeat"/>
    <x v="1"/>
    <n v="0"/>
    <x v="1"/>
    <n v="0"/>
  </r>
  <r>
    <n v="3"/>
    <n v="4"/>
    <n v="360"/>
    <n v="1"/>
    <x v="1"/>
    <x v="1"/>
    <s v="nontarget"/>
    <s v="Stim7_Set3"/>
    <m/>
    <s v="yes"/>
    <s v="repeat"/>
    <x v="1"/>
    <n v="1"/>
    <x v="0"/>
    <n v="1"/>
  </r>
  <r>
    <n v="3"/>
    <n v="4"/>
    <n v="361"/>
    <n v="2"/>
    <x v="0"/>
    <x v="2"/>
    <s v="switch"/>
    <s v="Stim7_Set3"/>
    <m/>
    <m/>
    <m/>
    <x v="0"/>
    <n v="0"/>
    <x v="0"/>
    <n v="0"/>
  </r>
  <r>
    <n v="3"/>
    <n v="4"/>
    <n v="362"/>
    <n v="1"/>
    <x v="1"/>
    <x v="0"/>
    <s v="filler"/>
    <s v="Stim6_Set2"/>
    <m/>
    <m/>
    <m/>
    <x v="0"/>
    <n v="0"/>
    <x v="1"/>
    <n v="0"/>
  </r>
  <r>
    <n v="3"/>
    <n v="4"/>
    <n v="363"/>
    <n v="2"/>
    <x v="0"/>
    <x v="1"/>
    <s v="nontarget"/>
    <s v="Stim3_Set3"/>
    <m/>
    <s v="yes"/>
    <s v="switch"/>
    <x v="0"/>
    <n v="1"/>
    <x v="0"/>
    <n v="1"/>
  </r>
  <r>
    <n v="3"/>
    <n v="4"/>
    <n v="364"/>
    <n v="2"/>
    <x v="0"/>
    <x v="2"/>
    <s v="repeat"/>
    <s v="Stim3_Set3"/>
    <m/>
    <m/>
    <m/>
    <x v="1"/>
    <n v="0"/>
    <x v="0"/>
    <n v="0"/>
  </r>
  <r>
    <n v="3"/>
    <n v="4"/>
    <n v="365"/>
    <n v="2"/>
    <x v="0"/>
    <x v="0"/>
    <s v="filler"/>
    <s v="Stim2_Set2"/>
    <m/>
    <m/>
    <m/>
    <x v="1"/>
    <n v="0"/>
    <x v="1"/>
    <n v="0"/>
  </r>
  <r>
    <n v="3"/>
    <n v="4"/>
    <n v="366"/>
    <n v="1"/>
    <x v="1"/>
    <x v="0"/>
    <s v="filler"/>
    <s v="Stim7_Set2"/>
    <m/>
    <s v="yes"/>
    <s v="switch"/>
    <x v="0"/>
    <n v="0"/>
    <x v="0"/>
    <n v="1"/>
  </r>
  <r>
    <n v="3"/>
    <n v="4"/>
    <n v="367"/>
    <n v="2"/>
    <x v="0"/>
    <x v="1"/>
    <s v="nontarget"/>
    <s v="Stim2_Set3"/>
    <m/>
    <s v="yes"/>
    <s v="switch"/>
    <x v="0"/>
    <n v="1"/>
    <x v="0"/>
    <n v="1"/>
  </r>
  <r>
    <n v="3"/>
    <n v="4"/>
    <n v="368"/>
    <n v="2"/>
    <x v="0"/>
    <x v="2"/>
    <s v="repeat"/>
    <s v="Stim2_Set3"/>
    <m/>
    <m/>
    <m/>
    <x v="1"/>
    <n v="0"/>
    <x v="0"/>
    <n v="0"/>
  </r>
  <r>
    <n v="3"/>
    <n v="4"/>
    <n v="369"/>
    <n v="2"/>
    <x v="0"/>
    <x v="1"/>
    <s v="nontarget"/>
    <s v="Stim8_Set3"/>
    <m/>
    <s v="yes"/>
    <s v="repeat"/>
    <x v="1"/>
    <n v="1"/>
    <x v="1"/>
    <n v="0"/>
  </r>
  <r>
    <n v="3"/>
    <n v="4"/>
    <n v="370"/>
    <n v="1"/>
    <x v="1"/>
    <x v="2"/>
    <s v="switch"/>
    <s v="Stim8_Set3"/>
    <m/>
    <m/>
    <m/>
    <x v="0"/>
    <n v="0"/>
    <x v="0"/>
    <n v="0"/>
  </r>
  <r>
    <n v="3"/>
    <n v="4"/>
    <n v="371"/>
    <n v="2"/>
    <x v="0"/>
    <x v="0"/>
    <s v="filler"/>
    <s v="Stim5_Set2"/>
    <m/>
    <m/>
    <m/>
    <x v="0"/>
    <n v="0"/>
    <x v="1"/>
    <n v="0"/>
  </r>
  <r>
    <n v="3"/>
    <n v="4"/>
    <n v="372"/>
    <n v="1"/>
    <x v="1"/>
    <x v="0"/>
    <s v="filler"/>
    <s v="Stim3_Set2"/>
    <m/>
    <m/>
    <m/>
    <x v="0"/>
    <n v="0"/>
    <x v="0"/>
    <n v="1"/>
  </r>
  <r>
    <n v="3"/>
    <n v="4"/>
    <n v="373"/>
    <n v="1"/>
    <x v="1"/>
    <x v="1"/>
    <s v="nontarget"/>
    <s v="Stim6_Set3"/>
    <m/>
    <m/>
    <m/>
    <x v="1"/>
    <n v="1"/>
    <x v="0"/>
    <n v="1"/>
  </r>
  <r>
    <n v="3"/>
    <n v="4"/>
    <n v="374"/>
    <n v="1"/>
    <x v="1"/>
    <x v="2"/>
    <s v="repeat"/>
    <s v="Stim6_Set3"/>
    <m/>
    <m/>
    <m/>
    <x v="1"/>
    <n v="0"/>
    <x v="0"/>
    <n v="0"/>
  </r>
  <r>
    <n v="3"/>
    <n v="4"/>
    <n v="375"/>
    <n v="2"/>
    <x v="0"/>
    <x v="0"/>
    <s v="filler"/>
    <s v="Stim1_Set2"/>
    <m/>
    <m/>
    <m/>
    <x v="0"/>
    <n v="0"/>
    <x v="1"/>
    <n v="0"/>
  </r>
  <r>
    <n v="3"/>
    <n v="4"/>
    <n v="376"/>
    <n v="1"/>
    <x v="1"/>
    <x v="1"/>
    <s v="nontarget"/>
    <s v="Stim4_Set3"/>
    <m/>
    <s v="yes"/>
    <s v="switch"/>
    <x v="0"/>
    <n v="1"/>
    <x v="0"/>
    <n v="1"/>
  </r>
  <r>
    <n v="3"/>
    <n v="4"/>
    <n v="377"/>
    <n v="1"/>
    <x v="1"/>
    <x v="2"/>
    <s v="repeat"/>
    <s v="Stim4_Set3"/>
    <m/>
    <m/>
    <m/>
    <x v="1"/>
    <n v="0"/>
    <x v="0"/>
    <n v="0"/>
  </r>
  <r>
    <n v="4"/>
    <n v="4"/>
    <n v="378"/>
    <n v="1"/>
    <x v="1"/>
    <x v="0"/>
    <s v="filler"/>
    <s v="Stim1_Set3"/>
    <m/>
    <s v="yes"/>
    <s v="repeat"/>
    <x v="1"/>
    <n v="0"/>
    <x v="1"/>
    <n v="0"/>
  </r>
  <r>
    <n v="4"/>
    <n v="4"/>
    <n v="379"/>
    <n v="2"/>
    <x v="0"/>
    <x v="0"/>
    <s v="filler"/>
    <m/>
    <m/>
    <m/>
    <m/>
    <x v="0"/>
    <n v="0"/>
    <x v="0"/>
    <n v="1"/>
  </r>
  <r>
    <n v="4"/>
    <n v="4"/>
    <n v="380"/>
    <n v="2"/>
    <x v="0"/>
    <x v="0"/>
    <s v="filler"/>
    <s v="Stim6_Set3"/>
    <m/>
    <s v="yes"/>
    <s v="repeat"/>
    <x v="1"/>
    <n v="0"/>
    <x v="0"/>
    <n v="1"/>
  </r>
  <r>
    <n v="4"/>
    <n v="4"/>
    <n v="381"/>
    <n v="1"/>
    <x v="1"/>
    <x v="1"/>
    <s v="nontarget"/>
    <s v="Stim6_Set4"/>
    <m/>
    <m/>
    <m/>
    <x v="0"/>
    <n v="1"/>
    <x v="0"/>
    <n v="1"/>
  </r>
  <r>
    <n v="4"/>
    <n v="4"/>
    <n v="382"/>
    <n v="1"/>
    <x v="1"/>
    <x v="2"/>
    <s v="repeat"/>
    <s v="Stim6_Set4"/>
    <m/>
    <m/>
    <m/>
    <x v="1"/>
    <n v="0"/>
    <x v="0"/>
    <n v="0"/>
  </r>
  <r>
    <n v="4"/>
    <n v="4"/>
    <n v="383"/>
    <n v="1"/>
    <x v="1"/>
    <x v="1"/>
    <s v="nontarget"/>
    <s v="Stim3_Set4"/>
    <m/>
    <s v="yes"/>
    <s v="repeat"/>
    <x v="1"/>
    <n v="1"/>
    <x v="1"/>
    <n v="0"/>
  </r>
  <r>
    <n v="4"/>
    <n v="4"/>
    <n v="384"/>
    <n v="2"/>
    <x v="0"/>
    <x v="2"/>
    <s v="switch"/>
    <s v="Stim3_Set4"/>
    <m/>
    <m/>
    <m/>
    <x v="0"/>
    <n v="0"/>
    <x v="0"/>
    <n v="0"/>
  </r>
  <r>
    <n v="4"/>
    <n v="4"/>
    <n v="385"/>
    <n v="1"/>
    <x v="1"/>
    <x v="0"/>
    <s v="filler"/>
    <s v="Stim7_Set3"/>
    <m/>
    <m/>
    <m/>
    <x v="0"/>
    <n v="0"/>
    <x v="1"/>
    <n v="0"/>
  </r>
  <r>
    <n v="4"/>
    <n v="4"/>
    <n v="386"/>
    <n v="2"/>
    <x v="0"/>
    <x v="1"/>
    <s v="nontarget"/>
    <s v="Stim5_Set4"/>
    <m/>
    <s v="yes"/>
    <s v="switch"/>
    <x v="0"/>
    <n v="1"/>
    <x v="0"/>
    <n v="1"/>
  </r>
  <r>
    <n v="4"/>
    <n v="4"/>
    <n v="387"/>
    <n v="2"/>
    <x v="0"/>
    <x v="2"/>
    <s v="repeat"/>
    <s v="Stim5_Set4"/>
    <m/>
    <m/>
    <m/>
    <x v="1"/>
    <n v="0"/>
    <x v="0"/>
    <n v="0"/>
  </r>
  <r>
    <n v="4"/>
    <n v="4"/>
    <n v="388"/>
    <n v="2"/>
    <x v="0"/>
    <x v="1"/>
    <s v="nontarget"/>
    <s v="Stim1_Set4"/>
    <m/>
    <m/>
    <m/>
    <x v="1"/>
    <n v="1"/>
    <x v="1"/>
    <n v="0"/>
  </r>
  <r>
    <n v="4"/>
    <n v="4"/>
    <n v="389"/>
    <n v="1"/>
    <x v="1"/>
    <x v="2"/>
    <s v="switch"/>
    <s v="Stim1_Set4"/>
    <m/>
    <m/>
    <m/>
    <x v="0"/>
    <n v="0"/>
    <x v="0"/>
    <n v="0"/>
  </r>
  <r>
    <n v="4"/>
    <n v="4"/>
    <n v="390"/>
    <n v="2"/>
    <x v="0"/>
    <x v="0"/>
    <s v="filler"/>
    <s v="Stim3_Set3"/>
    <m/>
    <m/>
    <m/>
    <x v="0"/>
    <n v="0"/>
    <x v="1"/>
    <n v="0"/>
  </r>
  <r>
    <n v="4"/>
    <n v="4"/>
    <n v="391"/>
    <n v="1"/>
    <x v="1"/>
    <x v="1"/>
    <s v="nontarget"/>
    <s v="Stim4_Set4"/>
    <m/>
    <s v="yes"/>
    <s v="switch"/>
    <x v="0"/>
    <n v="1"/>
    <x v="0"/>
    <n v="1"/>
  </r>
  <r>
    <n v="4"/>
    <n v="4"/>
    <n v="392"/>
    <n v="2"/>
    <x v="0"/>
    <x v="2"/>
    <s v="switch"/>
    <s v="Stim4_Set4"/>
    <m/>
    <m/>
    <m/>
    <x v="0"/>
    <n v="0"/>
    <x v="0"/>
    <n v="0"/>
  </r>
  <r>
    <n v="4"/>
    <n v="4"/>
    <n v="393"/>
    <n v="1"/>
    <x v="1"/>
    <x v="0"/>
    <s v="filler"/>
    <m/>
    <s v="here"/>
    <m/>
    <m/>
    <x v="0"/>
    <n v="0"/>
    <x v="1"/>
    <n v="0"/>
  </r>
  <r>
    <n v="4"/>
    <n v="4"/>
    <n v="394"/>
    <n v="2"/>
    <x v="0"/>
    <x v="0"/>
    <s v="filler"/>
    <s v="Stim2_Set3"/>
    <m/>
    <m/>
    <m/>
    <x v="0"/>
    <n v="0"/>
    <x v="0"/>
    <n v="1"/>
  </r>
  <r>
    <n v="4"/>
    <n v="4"/>
    <n v="395"/>
    <n v="2"/>
    <x v="0"/>
    <x v="1"/>
    <s v="nontarget"/>
    <s v="Stim7_Set4"/>
    <m/>
    <s v="yes"/>
    <s v="repeat"/>
    <x v="1"/>
    <n v="1"/>
    <x v="0"/>
    <n v="1"/>
  </r>
  <r>
    <n v="4"/>
    <n v="4"/>
    <n v="396"/>
    <n v="2"/>
    <x v="0"/>
    <x v="2"/>
    <s v="repeat"/>
    <s v="Stim7_Set4"/>
    <m/>
    <m/>
    <m/>
    <x v="1"/>
    <n v="0"/>
    <x v="0"/>
    <n v="0"/>
  </r>
  <r>
    <n v="4"/>
    <n v="4"/>
    <n v="397"/>
    <n v="1"/>
    <x v="1"/>
    <x v="0"/>
    <s v="filler"/>
    <s v="Stim8_Set3"/>
    <m/>
    <s v="yes"/>
    <s v="switch"/>
    <x v="0"/>
    <n v="0"/>
    <x v="1"/>
    <n v="0"/>
  </r>
  <r>
    <n v="4"/>
    <n v="4"/>
    <n v="398"/>
    <n v="2"/>
    <x v="0"/>
    <x v="0"/>
    <s v="filler"/>
    <s v="Stim5_Set3"/>
    <m/>
    <m/>
    <m/>
    <x v="0"/>
    <n v="0"/>
    <x v="0"/>
    <n v="1"/>
  </r>
  <r>
    <n v="4"/>
    <n v="4"/>
    <n v="399"/>
    <n v="2"/>
    <x v="0"/>
    <x v="1"/>
    <s v="nontarget"/>
    <s v="Stim8_Set4"/>
    <m/>
    <s v="yes"/>
    <s v="repeat"/>
    <x v="1"/>
    <n v="1"/>
    <x v="0"/>
    <n v="1"/>
  </r>
  <r>
    <n v="4"/>
    <n v="4"/>
    <n v="400"/>
    <n v="1"/>
    <x v="1"/>
    <x v="2"/>
    <s v="switch"/>
    <s v="Stim8_Set4"/>
    <m/>
    <m/>
    <m/>
    <x v="0"/>
    <n v="0"/>
    <x v="0"/>
    <n v="0"/>
  </r>
  <r>
    <n v="4"/>
    <n v="4"/>
    <n v="401"/>
    <n v="2"/>
    <x v="0"/>
    <x v="0"/>
    <s v="filler"/>
    <m/>
    <s v="here"/>
    <m/>
    <m/>
    <x v="0"/>
    <n v="0"/>
    <x v="1"/>
    <n v="0"/>
  </r>
  <r>
    <n v="4"/>
    <n v="4"/>
    <n v="402"/>
    <n v="1"/>
    <x v="1"/>
    <x v="0"/>
    <s v="filler"/>
    <s v="Stim4_Set3"/>
    <m/>
    <m/>
    <m/>
    <x v="0"/>
    <n v="0"/>
    <x v="0"/>
    <n v="1"/>
  </r>
  <r>
    <n v="4"/>
    <n v="4"/>
    <n v="403"/>
    <n v="1"/>
    <x v="1"/>
    <x v="1"/>
    <s v="nontarget"/>
    <s v="Stim2_Set4"/>
    <m/>
    <s v="yes"/>
    <s v="repeat"/>
    <x v="1"/>
    <n v="1"/>
    <x v="0"/>
    <n v="1"/>
  </r>
  <r>
    <n v="4"/>
    <n v="4"/>
    <n v="404"/>
    <n v="1"/>
    <x v="1"/>
    <x v="2"/>
    <s v="repeat"/>
    <s v="Stim2_Set4"/>
    <m/>
    <m/>
    <m/>
    <x v="1"/>
    <n v="0"/>
    <x v="0"/>
    <n v="0"/>
  </r>
  <r>
    <n v="4"/>
    <n v="4"/>
    <n v="405"/>
    <n v="2"/>
    <x v="0"/>
    <x v="0"/>
    <s v="filler"/>
    <m/>
    <s v="here"/>
    <m/>
    <m/>
    <x v="0"/>
    <n v="1"/>
    <x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1"/>
    <n v="1"/>
    <n v="1"/>
    <n v="2"/>
    <x v="0"/>
    <x v="0"/>
    <s v="filler"/>
    <x v="0"/>
    <s v="here"/>
    <m/>
    <m/>
    <n v="0"/>
    <n v="0"/>
    <n v="0"/>
    <n v="0"/>
  </r>
  <r>
    <n v="1"/>
    <n v="1"/>
    <n v="2"/>
    <n v="2"/>
    <x v="0"/>
    <x v="1"/>
    <s v="nontarget"/>
    <x v="1"/>
    <m/>
    <s v="yes"/>
    <s v="repeat"/>
    <n v="1"/>
    <n v="1"/>
    <n v="0"/>
    <n v="1"/>
  </r>
  <r>
    <n v="1"/>
    <n v="1"/>
    <n v="3"/>
    <n v="2"/>
    <x v="0"/>
    <x v="2"/>
    <s v="repeat"/>
    <x v="1"/>
    <m/>
    <m/>
    <m/>
    <n v="1"/>
    <n v="0"/>
    <n v="0"/>
    <n v="0"/>
  </r>
  <r>
    <n v="1"/>
    <n v="1"/>
    <n v="4"/>
    <n v="1"/>
    <x v="1"/>
    <x v="0"/>
    <s v="filler"/>
    <x v="2"/>
    <m/>
    <m/>
    <m/>
    <n v="0"/>
    <n v="0"/>
    <n v="1"/>
    <n v="0"/>
  </r>
  <r>
    <n v="1"/>
    <n v="1"/>
    <n v="5"/>
    <n v="2"/>
    <x v="0"/>
    <x v="1"/>
    <s v="nontarget"/>
    <x v="3"/>
    <m/>
    <s v="yes"/>
    <s v="switch"/>
    <n v="0"/>
    <n v="1"/>
    <n v="0"/>
    <n v="1"/>
  </r>
  <r>
    <n v="1"/>
    <n v="1"/>
    <n v="6"/>
    <n v="2"/>
    <x v="0"/>
    <x v="2"/>
    <s v="repeat"/>
    <x v="3"/>
    <m/>
    <m/>
    <m/>
    <n v="1"/>
    <n v="0"/>
    <n v="0"/>
    <n v="0"/>
  </r>
  <r>
    <n v="1"/>
    <n v="1"/>
    <n v="7"/>
    <n v="1"/>
    <x v="1"/>
    <x v="0"/>
    <s v="filler"/>
    <x v="4"/>
    <m/>
    <s v="yes"/>
    <s v="switch"/>
    <n v="0"/>
    <n v="0"/>
    <n v="1"/>
    <n v="0"/>
  </r>
  <r>
    <n v="1"/>
    <n v="1"/>
    <n v="8"/>
    <n v="2"/>
    <x v="0"/>
    <x v="1"/>
    <s v="nontarget"/>
    <x v="5"/>
    <m/>
    <m/>
    <m/>
    <n v="0"/>
    <n v="1"/>
    <n v="0"/>
    <n v="1"/>
  </r>
  <r>
    <n v="1"/>
    <n v="1"/>
    <n v="9"/>
    <n v="1"/>
    <x v="1"/>
    <x v="2"/>
    <s v="switch"/>
    <x v="5"/>
    <m/>
    <m/>
    <m/>
    <n v="0"/>
    <n v="0"/>
    <n v="0"/>
    <n v="0"/>
  </r>
  <r>
    <n v="1"/>
    <n v="1"/>
    <n v="10"/>
    <n v="2"/>
    <x v="0"/>
    <x v="0"/>
    <s v="filler"/>
    <x v="6"/>
    <m/>
    <m/>
    <m/>
    <n v="0"/>
    <n v="0"/>
    <n v="1"/>
    <n v="0"/>
  </r>
  <r>
    <n v="1"/>
    <n v="1"/>
    <n v="11"/>
    <n v="1"/>
    <x v="1"/>
    <x v="1"/>
    <s v="nontarget"/>
    <x v="7"/>
    <m/>
    <s v="yes"/>
    <s v="switch"/>
    <n v="0"/>
    <n v="1"/>
    <n v="0"/>
    <n v="1"/>
  </r>
  <r>
    <n v="1"/>
    <n v="1"/>
    <n v="12"/>
    <n v="2"/>
    <x v="0"/>
    <x v="2"/>
    <s v="switch"/>
    <x v="7"/>
    <m/>
    <m/>
    <m/>
    <n v="0"/>
    <n v="0"/>
    <n v="0"/>
    <n v="0"/>
  </r>
  <r>
    <n v="1"/>
    <n v="1"/>
    <n v="13"/>
    <n v="2"/>
    <x v="0"/>
    <x v="0"/>
    <s v="filler"/>
    <x v="8"/>
    <m/>
    <m/>
    <m/>
    <n v="1"/>
    <n v="0"/>
    <n v="1"/>
    <n v="0"/>
  </r>
  <r>
    <n v="1"/>
    <n v="1"/>
    <n v="14"/>
    <n v="2"/>
    <x v="0"/>
    <x v="1"/>
    <s v="nontarget"/>
    <x v="9"/>
    <m/>
    <m/>
    <m/>
    <n v="1"/>
    <n v="1"/>
    <n v="0"/>
    <n v="1"/>
  </r>
  <r>
    <n v="1"/>
    <n v="1"/>
    <n v="15"/>
    <n v="1"/>
    <x v="1"/>
    <x v="2"/>
    <s v="switch"/>
    <x v="9"/>
    <m/>
    <m/>
    <m/>
    <n v="0"/>
    <n v="0"/>
    <n v="0"/>
    <n v="0"/>
  </r>
  <r>
    <n v="1"/>
    <n v="1"/>
    <n v="16"/>
    <n v="2"/>
    <x v="0"/>
    <x v="0"/>
    <s v="filler"/>
    <x v="10"/>
    <m/>
    <m/>
    <m/>
    <n v="0"/>
    <n v="0"/>
    <n v="1"/>
    <n v="0"/>
  </r>
  <r>
    <n v="1"/>
    <n v="1"/>
    <n v="17"/>
    <n v="1"/>
    <x v="1"/>
    <x v="1"/>
    <s v="nontarget"/>
    <x v="11"/>
    <m/>
    <s v="yes"/>
    <s v="switch"/>
    <n v="0"/>
    <n v="1"/>
    <n v="0"/>
    <n v="1"/>
  </r>
  <r>
    <n v="1"/>
    <n v="1"/>
    <n v="18"/>
    <n v="1"/>
    <x v="1"/>
    <x v="2"/>
    <s v="repeat"/>
    <x v="11"/>
    <m/>
    <m/>
    <m/>
    <n v="1"/>
    <n v="0"/>
    <n v="0"/>
    <n v="0"/>
  </r>
  <r>
    <n v="1"/>
    <n v="1"/>
    <n v="19"/>
    <n v="1"/>
    <x v="1"/>
    <x v="0"/>
    <s v="filler"/>
    <x v="12"/>
    <m/>
    <m/>
    <m/>
    <n v="1"/>
    <n v="0"/>
    <n v="1"/>
    <n v="0"/>
  </r>
  <r>
    <n v="1"/>
    <n v="1"/>
    <n v="20"/>
    <n v="1"/>
    <x v="1"/>
    <x v="1"/>
    <s v="nontarget"/>
    <x v="13"/>
    <m/>
    <s v="yes"/>
    <s v="repeat"/>
    <n v="1"/>
    <n v="1"/>
    <n v="0"/>
    <n v="1"/>
  </r>
  <r>
    <n v="1"/>
    <n v="1"/>
    <n v="21"/>
    <n v="1"/>
    <x v="1"/>
    <x v="2"/>
    <s v="repeat"/>
    <x v="13"/>
    <m/>
    <m/>
    <m/>
    <n v="1"/>
    <n v="0"/>
    <n v="0"/>
    <n v="0"/>
  </r>
  <r>
    <n v="1"/>
    <n v="1"/>
    <n v="22"/>
    <n v="2"/>
    <x v="0"/>
    <x v="0"/>
    <s v="filler"/>
    <x v="14"/>
    <m/>
    <s v="yes"/>
    <s v="switch"/>
    <n v="0"/>
    <n v="0"/>
    <n v="1"/>
    <n v="0"/>
  </r>
  <r>
    <n v="1"/>
    <n v="1"/>
    <n v="23"/>
    <n v="1"/>
    <x v="1"/>
    <x v="0"/>
    <s v="filler"/>
    <x v="15"/>
    <m/>
    <s v="yes"/>
    <s v="switch"/>
    <n v="0"/>
    <n v="0"/>
    <n v="0"/>
    <n v="1"/>
  </r>
  <r>
    <n v="1"/>
    <n v="1"/>
    <n v="24"/>
    <n v="1"/>
    <x v="1"/>
    <x v="1"/>
    <s v="nontarget"/>
    <x v="16"/>
    <m/>
    <s v="yes"/>
    <s v="repeat"/>
    <n v="1"/>
    <n v="1"/>
    <n v="0"/>
    <n v="1"/>
  </r>
  <r>
    <n v="1"/>
    <n v="1"/>
    <n v="25"/>
    <n v="2"/>
    <x v="0"/>
    <x v="2"/>
    <s v="switch"/>
    <x v="16"/>
    <m/>
    <m/>
    <m/>
    <n v="0"/>
    <n v="0"/>
    <n v="0"/>
    <n v="0"/>
  </r>
  <r>
    <n v="2"/>
    <n v="1"/>
    <n v="26"/>
    <n v="2"/>
    <x v="0"/>
    <x v="0"/>
    <s v="filler"/>
    <x v="1"/>
    <m/>
    <m/>
    <m/>
    <n v="1"/>
    <n v="0"/>
    <n v="1"/>
    <n v="0"/>
  </r>
  <r>
    <n v="2"/>
    <n v="1"/>
    <n v="27"/>
    <n v="1"/>
    <x v="1"/>
    <x v="1"/>
    <s v="nontarget"/>
    <x v="17"/>
    <m/>
    <s v="yes"/>
    <s v="switch"/>
    <n v="0"/>
    <n v="1"/>
    <n v="0"/>
    <n v="1"/>
  </r>
  <r>
    <n v="2"/>
    <n v="1"/>
    <n v="28"/>
    <n v="1"/>
    <x v="1"/>
    <x v="2"/>
    <s v="repeat"/>
    <x v="17"/>
    <m/>
    <m/>
    <m/>
    <n v="1"/>
    <n v="0"/>
    <n v="0"/>
    <n v="0"/>
  </r>
  <r>
    <n v="2"/>
    <n v="1"/>
    <n v="29"/>
    <n v="2"/>
    <x v="0"/>
    <x v="0"/>
    <s v="filler"/>
    <x v="3"/>
    <m/>
    <m/>
    <m/>
    <n v="0"/>
    <n v="0"/>
    <n v="1"/>
    <n v="0"/>
  </r>
  <r>
    <n v="2"/>
    <n v="1"/>
    <n v="30"/>
    <n v="1"/>
    <x v="1"/>
    <x v="1"/>
    <s v="nontarget"/>
    <x v="18"/>
    <m/>
    <s v="yes"/>
    <s v="switch"/>
    <n v="0"/>
    <n v="1"/>
    <n v="0"/>
    <n v="1"/>
  </r>
  <r>
    <n v="2"/>
    <n v="1"/>
    <n v="31"/>
    <n v="1"/>
    <x v="1"/>
    <x v="2"/>
    <s v="repeat"/>
    <x v="18"/>
    <m/>
    <m/>
    <m/>
    <n v="1"/>
    <n v="0"/>
    <n v="0"/>
    <n v="0"/>
  </r>
  <r>
    <n v="2"/>
    <n v="1"/>
    <n v="32"/>
    <n v="2"/>
    <x v="0"/>
    <x v="0"/>
    <s v="filler"/>
    <x v="7"/>
    <m/>
    <m/>
    <m/>
    <n v="0"/>
    <n v="0"/>
    <n v="1"/>
    <n v="0"/>
  </r>
  <r>
    <n v="2"/>
    <n v="1"/>
    <n v="33"/>
    <n v="1"/>
    <x v="1"/>
    <x v="1"/>
    <s v="nontarget"/>
    <x v="19"/>
    <m/>
    <m/>
    <m/>
    <n v="0"/>
    <n v="1"/>
    <n v="0"/>
    <n v="1"/>
  </r>
  <r>
    <n v="2"/>
    <n v="1"/>
    <n v="34"/>
    <n v="2"/>
    <x v="0"/>
    <x v="2"/>
    <s v="switch"/>
    <x v="19"/>
    <m/>
    <m/>
    <m/>
    <n v="0"/>
    <n v="0"/>
    <n v="0"/>
    <n v="0"/>
  </r>
  <r>
    <n v="2"/>
    <n v="1"/>
    <n v="35"/>
    <n v="2"/>
    <x v="0"/>
    <x v="1"/>
    <s v="nontarget"/>
    <x v="20"/>
    <m/>
    <s v="yes"/>
    <s v="repeat"/>
    <n v="1"/>
    <n v="1"/>
    <n v="1"/>
    <n v="0"/>
  </r>
  <r>
    <n v="2"/>
    <n v="1"/>
    <n v="36"/>
    <n v="1"/>
    <x v="1"/>
    <x v="2"/>
    <s v="switch"/>
    <x v="20"/>
    <m/>
    <m/>
    <m/>
    <n v="0"/>
    <n v="0"/>
    <n v="0"/>
    <n v="0"/>
  </r>
  <r>
    <n v="2"/>
    <n v="1"/>
    <n v="37"/>
    <n v="1"/>
    <x v="1"/>
    <x v="0"/>
    <s v="filler"/>
    <x v="5"/>
    <m/>
    <m/>
    <m/>
    <n v="1"/>
    <n v="0"/>
    <n v="1"/>
    <n v="0"/>
  </r>
  <r>
    <n v="2"/>
    <n v="1"/>
    <n v="38"/>
    <n v="1"/>
    <x v="1"/>
    <x v="1"/>
    <s v="nontarget"/>
    <x v="21"/>
    <m/>
    <s v="yes"/>
    <s v="repeat"/>
    <n v="1"/>
    <n v="1"/>
    <n v="0"/>
    <n v="1"/>
  </r>
  <r>
    <n v="2"/>
    <n v="1"/>
    <n v="39"/>
    <n v="2"/>
    <x v="0"/>
    <x v="2"/>
    <s v="switch"/>
    <x v="21"/>
    <m/>
    <m/>
    <m/>
    <n v="0"/>
    <n v="0"/>
    <n v="0"/>
    <n v="0"/>
  </r>
  <r>
    <n v="2"/>
    <n v="1"/>
    <n v="40"/>
    <n v="1"/>
    <x v="1"/>
    <x v="0"/>
    <s v="filler"/>
    <x v="13"/>
    <m/>
    <m/>
    <m/>
    <n v="0"/>
    <n v="0"/>
    <n v="1"/>
    <n v="0"/>
  </r>
  <r>
    <n v="2"/>
    <n v="1"/>
    <n v="41"/>
    <n v="2"/>
    <x v="0"/>
    <x v="0"/>
    <s v="filler"/>
    <x v="9"/>
    <m/>
    <s v="yes"/>
    <s v="switch"/>
    <n v="0"/>
    <n v="0"/>
    <n v="0"/>
    <n v="1"/>
  </r>
  <r>
    <n v="2"/>
    <n v="1"/>
    <n v="42"/>
    <n v="2"/>
    <x v="0"/>
    <x v="1"/>
    <s v="nontarget"/>
    <x v="22"/>
    <m/>
    <s v="yes"/>
    <s v="repeat"/>
    <n v="1"/>
    <n v="1"/>
    <n v="0"/>
    <n v="1"/>
  </r>
  <r>
    <n v="2"/>
    <n v="1"/>
    <n v="43"/>
    <n v="2"/>
    <x v="0"/>
    <x v="2"/>
    <s v="repeat"/>
    <x v="22"/>
    <m/>
    <m/>
    <m/>
    <n v="1"/>
    <n v="0"/>
    <n v="0"/>
    <n v="0"/>
  </r>
  <r>
    <n v="2"/>
    <n v="1"/>
    <n v="44"/>
    <n v="1"/>
    <x v="1"/>
    <x v="0"/>
    <s v="filler"/>
    <x v="11"/>
    <m/>
    <m/>
    <m/>
    <n v="0"/>
    <n v="0"/>
    <n v="1"/>
    <n v="0"/>
  </r>
  <r>
    <n v="2"/>
    <n v="1"/>
    <n v="45"/>
    <n v="2"/>
    <x v="0"/>
    <x v="1"/>
    <s v="nontarget"/>
    <x v="23"/>
    <m/>
    <s v="yes"/>
    <s v="switch"/>
    <n v="0"/>
    <n v="1"/>
    <n v="0"/>
    <n v="1"/>
  </r>
  <r>
    <n v="2"/>
    <n v="1"/>
    <n v="46"/>
    <n v="2"/>
    <x v="0"/>
    <x v="2"/>
    <s v="repeat"/>
    <x v="23"/>
    <m/>
    <m/>
    <m/>
    <n v="1"/>
    <n v="0"/>
    <n v="0"/>
    <n v="0"/>
  </r>
  <r>
    <n v="2"/>
    <n v="1"/>
    <n v="47"/>
    <n v="1"/>
    <x v="1"/>
    <x v="0"/>
    <s v="filler"/>
    <x v="0"/>
    <s v="here"/>
    <m/>
    <m/>
    <n v="0"/>
    <n v="0"/>
    <n v="1"/>
    <n v="0"/>
  </r>
  <r>
    <n v="2"/>
    <n v="1"/>
    <n v="48"/>
    <n v="2"/>
    <x v="0"/>
    <x v="0"/>
    <s v="filler"/>
    <x v="16"/>
    <m/>
    <m/>
    <m/>
    <n v="0"/>
    <n v="0"/>
    <n v="0"/>
    <n v="1"/>
  </r>
  <r>
    <n v="2"/>
    <n v="1"/>
    <n v="49"/>
    <n v="2"/>
    <x v="0"/>
    <x v="1"/>
    <s v="nontarget"/>
    <x v="24"/>
    <m/>
    <s v="yes"/>
    <s v="repeat"/>
    <n v="1"/>
    <n v="1"/>
    <n v="0"/>
    <n v="1"/>
  </r>
  <r>
    <n v="2"/>
    <n v="1"/>
    <n v="50"/>
    <n v="1"/>
    <x v="1"/>
    <x v="2"/>
    <s v="switch"/>
    <x v="24"/>
    <m/>
    <m/>
    <m/>
    <n v="0"/>
    <n v="0"/>
    <n v="0"/>
    <n v="0"/>
  </r>
  <r>
    <n v="3"/>
    <n v="1"/>
    <n v="51"/>
    <n v="1"/>
    <x v="1"/>
    <x v="1"/>
    <s v="nontarget"/>
    <x v="25"/>
    <m/>
    <m/>
    <m/>
    <n v="1"/>
    <n v="1"/>
    <n v="1"/>
    <n v="0"/>
  </r>
  <r>
    <n v="3"/>
    <n v="1"/>
    <n v="52"/>
    <n v="2"/>
    <x v="0"/>
    <x v="2"/>
    <s v="switch"/>
    <x v="25"/>
    <m/>
    <m/>
    <m/>
    <n v="0"/>
    <n v="0"/>
    <n v="0"/>
    <n v="0"/>
  </r>
  <r>
    <n v="3"/>
    <n v="1"/>
    <n v="53"/>
    <n v="2"/>
    <x v="0"/>
    <x v="0"/>
    <s v="filler"/>
    <x v="0"/>
    <s v="here"/>
    <m/>
    <m/>
    <n v="1"/>
    <n v="0"/>
    <n v="1"/>
    <n v="0"/>
  </r>
  <r>
    <n v="3"/>
    <n v="1"/>
    <n v="54"/>
    <n v="2"/>
    <x v="0"/>
    <x v="1"/>
    <s v="nontarget"/>
    <x v="26"/>
    <m/>
    <s v="yes"/>
    <s v="repeat"/>
    <n v="1"/>
    <n v="1"/>
    <n v="0"/>
    <n v="1"/>
  </r>
  <r>
    <n v="3"/>
    <n v="1"/>
    <n v="55"/>
    <n v="1"/>
    <x v="1"/>
    <x v="2"/>
    <s v="switch"/>
    <x v="26"/>
    <m/>
    <m/>
    <m/>
    <n v="0"/>
    <n v="0"/>
    <n v="0"/>
    <n v="0"/>
  </r>
  <r>
    <n v="3"/>
    <n v="1"/>
    <n v="56"/>
    <n v="1"/>
    <x v="1"/>
    <x v="0"/>
    <s v="filler"/>
    <x v="17"/>
    <m/>
    <s v="yes"/>
    <s v="repeat"/>
    <n v="1"/>
    <n v="0"/>
    <n v="1"/>
    <n v="0"/>
  </r>
  <r>
    <n v="3"/>
    <n v="1"/>
    <n v="57"/>
    <n v="1"/>
    <x v="1"/>
    <x v="1"/>
    <s v="nontarget"/>
    <x v="27"/>
    <m/>
    <s v="yes"/>
    <s v="repeat"/>
    <n v="1"/>
    <n v="1"/>
    <n v="0"/>
    <n v="1"/>
  </r>
  <r>
    <n v="3"/>
    <n v="1"/>
    <n v="58"/>
    <n v="2"/>
    <x v="0"/>
    <x v="2"/>
    <s v="switch"/>
    <x v="27"/>
    <m/>
    <m/>
    <m/>
    <n v="0"/>
    <n v="0"/>
    <n v="0"/>
    <n v="0"/>
  </r>
  <r>
    <n v="3"/>
    <n v="1"/>
    <n v="59"/>
    <n v="2"/>
    <x v="0"/>
    <x v="0"/>
    <s v="filler"/>
    <x v="18"/>
    <m/>
    <m/>
    <m/>
    <n v="1"/>
    <n v="0"/>
    <n v="1"/>
    <n v="0"/>
  </r>
  <r>
    <n v="3"/>
    <n v="1"/>
    <n v="60"/>
    <n v="1"/>
    <x v="1"/>
    <x v="0"/>
    <s v="filler"/>
    <x v="20"/>
    <m/>
    <m/>
    <m/>
    <n v="0"/>
    <n v="0"/>
    <n v="0"/>
    <n v="1"/>
  </r>
  <r>
    <n v="3"/>
    <n v="1"/>
    <n v="61"/>
    <n v="2"/>
    <x v="0"/>
    <x v="1"/>
    <s v="nontarget"/>
    <x v="28"/>
    <m/>
    <s v="yes"/>
    <s v="switch"/>
    <n v="0"/>
    <n v="1"/>
    <n v="0"/>
    <n v="1"/>
  </r>
  <r>
    <n v="3"/>
    <n v="1"/>
    <n v="62"/>
    <n v="2"/>
    <x v="0"/>
    <x v="2"/>
    <s v="repeat"/>
    <x v="28"/>
    <m/>
    <m/>
    <m/>
    <n v="1"/>
    <n v="0"/>
    <n v="0"/>
    <n v="0"/>
  </r>
  <r>
    <n v="3"/>
    <n v="1"/>
    <n v="63"/>
    <n v="1"/>
    <x v="1"/>
    <x v="0"/>
    <s v="filler"/>
    <x v="19"/>
    <m/>
    <m/>
    <m/>
    <n v="0"/>
    <n v="0"/>
    <n v="1"/>
    <n v="0"/>
  </r>
  <r>
    <n v="3"/>
    <n v="1"/>
    <n v="64"/>
    <n v="2"/>
    <x v="0"/>
    <x v="0"/>
    <s v="filler"/>
    <x v="21"/>
    <m/>
    <m/>
    <m/>
    <n v="0"/>
    <n v="0"/>
    <n v="0"/>
    <n v="1"/>
  </r>
  <r>
    <n v="3"/>
    <n v="1"/>
    <n v="65"/>
    <n v="2"/>
    <x v="0"/>
    <x v="1"/>
    <s v="nontarget"/>
    <x v="29"/>
    <m/>
    <s v="yes"/>
    <s v="repeat"/>
    <n v="1"/>
    <n v="1"/>
    <n v="0"/>
    <n v="1"/>
  </r>
  <r>
    <n v="3"/>
    <n v="1"/>
    <n v="66"/>
    <n v="2"/>
    <x v="0"/>
    <x v="2"/>
    <s v="repeat"/>
    <x v="29"/>
    <m/>
    <m/>
    <m/>
    <n v="1"/>
    <n v="0"/>
    <n v="0"/>
    <n v="0"/>
  </r>
  <r>
    <n v="3"/>
    <n v="1"/>
    <n v="67"/>
    <n v="1"/>
    <x v="1"/>
    <x v="0"/>
    <s v="filler"/>
    <x v="0"/>
    <s v="here"/>
    <m/>
    <m/>
    <n v="0"/>
    <n v="0"/>
    <n v="1"/>
    <n v="0"/>
  </r>
  <r>
    <n v="3"/>
    <n v="1"/>
    <n v="68"/>
    <n v="2"/>
    <x v="0"/>
    <x v="1"/>
    <s v="nontarget"/>
    <x v="30"/>
    <m/>
    <m/>
    <m/>
    <n v="0"/>
    <n v="1"/>
    <n v="0"/>
    <n v="1"/>
  </r>
  <r>
    <n v="3"/>
    <n v="1"/>
    <n v="69"/>
    <n v="1"/>
    <x v="1"/>
    <x v="2"/>
    <s v="switch"/>
    <x v="30"/>
    <m/>
    <m/>
    <m/>
    <n v="0"/>
    <n v="0"/>
    <n v="0"/>
    <n v="0"/>
  </r>
  <r>
    <n v="3"/>
    <n v="1"/>
    <n v="70"/>
    <n v="2"/>
    <x v="0"/>
    <x v="0"/>
    <s v="filler"/>
    <x v="22"/>
    <m/>
    <s v="yes"/>
    <s v="switch"/>
    <n v="0"/>
    <n v="0"/>
    <n v="1"/>
    <n v="0"/>
  </r>
  <r>
    <n v="3"/>
    <n v="1"/>
    <n v="71"/>
    <n v="1"/>
    <x v="1"/>
    <x v="1"/>
    <s v="nontarget"/>
    <x v="31"/>
    <m/>
    <s v="yes"/>
    <s v="switch"/>
    <n v="0"/>
    <n v="1"/>
    <n v="0"/>
    <n v="1"/>
  </r>
  <r>
    <n v="3"/>
    <n v="1"/>
    <n v="72"/>
    <n v="1"/>
    <x v="1"/>
    <x v="2"/>
    <s v="repeat"/>
    <x v="31"/>
    <m/>
    <m/>
    <m/>
    <n v="1"/>
    <n v="0"/>
    <n v="0"/>
    <n v="0"/>
  </r>
  <r>
    <n v="3"/>
    <n v="1"/>
    <n v="73"/>
    <n v="2"/>
    <x v="0"/>
    <x v="0"/>
    <s v="filler"/>
    <x v="23"/>
    <m/>
    <m/>
    <m/>
    <n v="0"/>
    <n v="0"/>
    <n v="1"/>
    <n v="0"/>
  </r>
  <r>
    <n v="3"/>
    <n v="1"/>
    <n v="74"/>
    <n v="1"/>
    <x v="1"/>
    <x v="0"/>
    <s v="filler"/>
    <x v="24"/>
    <m/>
    <s v="yes"/>
    <s v="switch"/>
    <n v="0"/>
    <n v="0"/>
    <n v="0"/>
    <n v="1"/>
  </r>
  <r>
    <n v="3"/>
    <n v="1"/>
    <n v="75"/>
    <n v="1"/>
    <x v="1"/>
    <x v="1"/>
    <s v="nontarget"/>
    <x v="32"/>
    <m/>
    <s v="yes"/>
    <s v="repeat"/>
    <n v="1"/>
    <n v="1"/>
    <n v="0"/>
    <n v="1"/>
  </r>
  <r>
    <n v="3"/>
    <n v="1"/>
    <n v="76"/>
    <n v="1"/>
    <x v="1"/>
    <x v="2"/>
    <s v="repeat"/>
    <x v="32"/>
    <m/>
    <m/>
    <m/>
    <n v="1"/>
    <n v="0"/>
    <n v="0"/>
    <n v="0"/>
  </r>
  <r>
    <n v="4"/>
    <n v="1"/>
    <n v="77"/>
    <n v="2"/>
    <x v="0"/>
    <x v="0"/>
    <s v="filler"/>
    <x v="25"/>
    <m/>
    <m/>
    <m/>
    <n v="0"/>
    <n v="0"/>
    <n v="1"/>
    <n v="0"/>
  </r>
  <r>
    <n v="4"/>
    <n v="1"/>
    <n v="78"/>
    <n v="1"/>
    <x v="1"/>
    <x v="1"/>
    <s v="nontarget"/>
    <x v="2"/>
    <m/>
    <s v="yes"/>
    <s v="switch"/>
    <n v="0"/>
    <n v="1"/>
    <n v="0"/>
    <n v="1"/>
  </r>
  <r>
    <n v="4"/>
    <n v="1"/>
    <n v="79"/>
    <n v="1"/>
    <x v="1"/>
    <x v="2"/>
    <s v="repeat"/>
    <x v="2"/>
    <m/>
    <m/>
    <m/>
    <n v="1"/>
    <n v="0"/>
    <n v="0"/>
    <n v="0"/>
  </r>
  <r>
    <n v="4"/>
    <n v="1"/>
    <n v="80"/>
    <n v="1"/>
    <x v="1"/>
    <x v="1"/>
    <s v="nontarget"/>
    <x v="4"/>
    <m/>
    <m/>
    <m/>
    <n v="1"/>
    <n v="1"/>
    <n v="1"/>
    <n v="0"/>
  </r>
  <r>
    <n v="4"/>
    <n v="1"/>
    <n v="81"/>
    <n v="2"/>
    <x v="0"/>
    <x v="2"/>
    <s v="switch"/>
    <x v="4"/>
    <m/>
    <m/>
    <m/>
    <n v="0"/>
    <n v="0"/>
    <n v="0"/>
    <n v="0"/>
  </r>
  <r>
    <n v="4"/>
    <n v="1"/>
    <n v="82"/>
    <n v="2"/>
    <x v="0"/>
    <x v="0"/>
    <s v="filler"/>
    <x v="27"/>
    <m/>
    <s v="yes"/>
    <s v="repeat"/>
    <n v="1"/>
    <n v="0"/>
    <n v="1"/>
    <n v="0"/>
  </r>
  <r>
    <n v="4"/>
    <n v="1"/>
    <n v="83"/>
    <n v="1"/>
    <x v="1"/>
    <x v="0"/>
    <s v="filler"/>
    <x v="26"/>
    <m/>
    <m/>
    <m/>
    <n v="0"/>
    <n v="0"/>
    <n v="0"/>
    <n v="1"/>
  </r>
  <r>
    <n v="4"/>
    <n v="1"/>
    <n v="84"/>
    <n v="2"/>
    <x v="0"/>
    <x v="1"/>
    <s v="nontarget"/>
    <x v="8"/>
    <m/>
    <s v="yes"/>
    <s v="switch"/>
    <n v="0"/>
    <n v="1"/>
    <n v="0"/>
    <n v="1"/>
  </r>
  <r>
    <n v="4"/>
    <n v="1"/>
    <n v="85"/>
    <n v="2"/>
    <x v="0"/>
    <x v="2"/>
    <s v="repeat"/>
    <x v="8"/>
    <m/>
    <m/>
    <m/>
    <n v="1"/>
    <n v="0"/>
    <n v="0"/>
    <n v="0"/>
  </r>
  <r>
    <n v="4"/>
    <n v="1"/>
    <n v="86"/>
    <n v="2"/>
    <x v="0"/>
    <x v="1"/>
    <s v="nontarget"/>
    <x v="10"/>
    <m/>
    <s v="yes"/>
    <s v="repeat"/>
    <n v="1"/>
    <n v="1"/>
    <n v="1"/>
    <n v="0"/>
  </r>
  <r>
    <n v="4"/>
    <n v="1"/>
    <n v="87"/>
    <n v="1"/>
    <x v="1"/>
    <x v="2"/>
    <s v="switch"/>
    <x v="10"/>
    <m/>
    <m/>
    <m/>
    <n v="0"/>
    <n v="0"/>
    <n v="0"/>
    <n v="0"/>
  </r>
  <r>
    <n v="4"/>
    <n v="1"/>
    <n v="88"/>
    <n v="2"/>
    <x v="0"/>
    <x v="0"/>
    <s v="filler"/>
    <x v="28"/>
    <m/>
    <m/>
    <m/>
    <n v="0"/>
    <n v="0"/>
    <n v="1"/>
    <n v="0"/>
  </r>
  <r>
    <n v="4"/>
    <n v="1"/>
    <n v="89"/>
    <n v="1"/>
    <x v="1"/>
    <x v="0"/>
    <s v="filler"/>
    <x v="29"/>
    <m/>
    <m/>
    <m/>
    <n v="0"/>
    <n v="0"/>
    <n v="0"/>
    <n v="1"/>
  </r>
  <r>
    <n v="4"/>
    <n v="1"/>
    <n v="90"/>
    <n v="1"/>
    <x v="1"/>
    <x v="1"/>
    <s v="nontarget"/>
    <x v="6"/>
    <m/>
    <s v="yes"/>
    <s v="repeat"/>
    <n v="1"/>
    <n v="1"/>
    <n v="0"/>
    <n v="1"/>
  </r>
  <r>
    <n v="4"/>
    <n v="1"/>
    <n v="91"/>
    <n v="2"/>
    <x v="0"/>
    <x v="2"/>
    <s v="switch"/>
    <x v="6"/>
    <m/>
    <m/>
    <m/>
    <n v="0"/>
    <n v="0"/>
    <n v="0"/>
    <n v="0"/>
  </r>
  <r>
    <n v="4"/>
    <n v="1"/>
    <n v="92"/>
    <n v="2"/>
    <x v="0"/>
    <x v="1"/>
    <s v="nontarget"/>
    <x v="14"/>
    <m/>
    <m/>
    <m/>
    <n v="1"/>
    <n v="1"/>
    <n v="1"/>
    <n v="0"/>
  </r>
  <r>
    <n v="4"/>
    <n v="1"/>
    <n v="93"/>
    <n v="2"/>
    <x v="0"/>
    <x v="2"/>
    <s v="repeat"/>
    <x v="14"/>
    <m/>
    <m/>
    <m/>
    <n v="1"/>
    <n v="0"/>
    <n v="0"/>
    <n v="0"/>
  </r>
  <r>
    <n v="4"/>
    <n v="1"/>
    <n v="94"/>
    <n v="1"/>
    <x v="1"/>
    <x v="0"/>
    <s v="filler"/>
    <x v="0"/>
    <s v="here"/>
    <m/>
    <m/>
    <n v="0"/>
    <n v="0"/>
    <n v="1"/>
    <n v="0"/>
  </r>
  <r>
    <n v="4"/>
    <n v="1"/>
    <n v="95"/>
    <n v="2"/>
    <x v="0"/>
    <x v="0"/>
    <s v="filler"/>
    <x v="31"/>
    <m/>
    <m/>
    <m/>
    <n v="0"/>
    <n v="0"/>
    <n v="0"/>
    <n v="1"/>
  </r>
  <r>
    <n v="4"/>
    <n v="1"/>
    <n v="96"/>
    <n v="2"/>
    <x v="0"/>
    <x v="1"/>
    <s v="nontarget"/>
    <x v="12"/>
    <m/>
    <m/>
    <m/>
    <n v="1"/>
    <n v="1"/>
    <n v="0"/>
    <n v="1"/>
  </r>
  <r>
    <n v="4"/>
    <n v="1"/>
    <n v="97"/>
    <n v="1"/>
    <x v="1"/>
    <x v="2"/>
    <s v="switch"/>
    <x v="12"/>
    <m/>
    <m/>
    <m/>
    <n v="0"/>
    <n v="0"/>
    <n v="0"/>
    <n v="0"/>
  </r>
  <r>
    <n v="4"/>
    <n v="1"/>
    <n v="98"/>
    <n v="1"/>
    <x v="1"/>
    <x v="1"/>
    <s v="nontarget"/>
    <x v="15"/>
    <m/>
    <m/>
    <m/>
    <n v="1"/>
    <n v="1"/>
    <n v="1"/>
    <n v="0"/>
  </r>
  <r>
    <n v="4"/>
    <n v="1"/>
    <n v="99"/>
    <n v="1"/>
    <x v="1"/>
    <x v="2"/>
    <s v="repeat"/>
    <x v="15"/>
    <m/>
    <m/>
    <m/>
    <n v="1"/>
    <n v="0"/>
    <n v="0"/>
    <n v="0"/>
  </r>
  <r>
    <n v="4"/>
    <n v="1"/>
    <n v="100"/>
    <n v="1"/>
    <x v="0"/>
    <x v="0"/>
    <s v="filler"/>
    <x v="32"/>
    <m/>
    <m/>
    <m/>
    <n v="0"/>
    <n v="0"/>
    <n v="1"/>
    <n v="0"/>
  </r>
  <r>
    <n v="4"/>
    <n v="1"/>
    <n v="101"/>
    <n v="1"/>
    <x v="1"/>
    <x v="0"/>
    <s v="filler"/>
    <x v="30"/>
    <m/>
    <m/>
    <m/>
    <n v="0"/>
    <n v="0"/>
    <n v="0"/>
    <n v="1"/>
  </r>
  <r>
    <s v="BREAK"/>
    <m/>
    <n v="102"/>
    <m/>
    <x v="2"/>
    <x v="3"/>
    <m/>
    <x v="0"/>
    <m/>
    <m/>
    <m/>
    <n v="0"/>
    <n v="0"/>
    <n v="0"/>
    <n v="1"/>
  </r>
  <r>
    <n v="1"/>
    <n v="2"/>
    <n v="103"/>
    <n v="2"/>
    <x v="0"/>
    <x v="1"/>
    <s v="nontarget"/>
    <x v="7"/>
    <m/>
    <s v="yes"/>
    <s v="switch"/>
    <n v="0"/>
    <n v="1"/>
    <n v="0"/>
    <n v="0"/>
  </r>
  <r>
    <n v="1"/>
    <n v="2"/>
    <n v="104"/>
    <n v="2"/>
    <x v="0"/>
    <x v="2"/>
    <s v="repeat"/>
    <x v="7"/>
    <m/>
    <m/>
    <m/>
    <n v="1"/>
    <n v="0"/>
    <n v="0"/>
    <n v="0"/>
  </r>
  <r>
    <n v="1"/>
    <n v="2"/>
    <n v="105"/>
    <n v="1"/>
    <x v="1"/>
    <x v="0"/>
    <s v="filler"/>
    <x v="8"/>
    <m/>
    <m/>
    <m/>
    <n v="0"/>
    <n v="0"/>
    <n v="1"/>
    <n v="0"/>
  </r>
  <r>
    <n v="1"/>
    <n v="2"/>
    <n v="106"/>
    <n v="2"/>
    <x v="0"/>
    <x v="1"/>
    <s v="nontarget"/>
    <x v="5"/>
    <m/>
    <s v="yes"/>
    <s v="switch"/>
    <n v="0"/>
    <n v="1"/>
    <n v="0"/>
    <n v="1"/>
  </r>
  <r>
    <n v="1"/>
    <n v="2"/>
    <n v="107"/>
    <n v="2"/>
    <x v="0"/>
    <x v="2"/>
    <s v="repeat"/>
    <x v="5"/>
    <m/>
    <m/>
    <m/>
    <n v="1"/>
    <n v="0"/>
    <n v="0"/>
    <n v="0"/>
  </r>
  <r>
    <n v="1"/>
    <n v="2"/>
    <n v="108"/>
    <n v="1"/>
    <x v="1"/>
    <x v="0"/>
    <s v="filler"/>
    <x v="0"/>
    <s v="here"/>
    <m/>
    <m/>
    <n v="0"/>
    <n v="0"/>
    <n v="1"/>
    <n v="0"/>
  </r>
  <r>
    <n v="1"/>
    <n v="2"/>
    <n v="109"/>
    <n v="2"/>
    <x v="0"/>
    <x v="0"/>
    <s v="filler"/>
    <x v="15"/>
    <m/>
    <m/>
    <m/>
    <n v="0"/>
    <n v="0"/>
    <n v="0"/>
    <n v="1"/>
  </r>
  <r>
    <n v="1"/>
    <n v="2"/>
    <n v="110"/>
    <n v="2"/>
    <x v="0"/>
    <x v="1"/>
    <s v="nontarget"/>
    <x v="11"/>
    <m/>
    <s v="yes"/>
    <s v="repeat"/>
    <n v="1"/>
    <n v="1"/>
    <n v="0"/>
    <n v="1"/>
  </r>
  <r>
    <n v="1"/>
    <n v="2"/>
    <n v="111"/>
    <n v="1"/>
    <x v="1"/>
    <x v="2"/>
    <s v="switch"/>
    <x v="11"/>
    <m/>
    <m/>
    <m/>
    <n v="0"/>
    <n v="0"/>
    <n v="0"/>
    <n v="0"/>
  </r>
  <r>
    <n v="1"/>
    <n v="2"/>
    <n v="112"/>
    <n v="1"/>
    <x v="1"/>
    <x v="0"/>
    <s v="filler"/>
    <x v="10"/>
    <m/>
    <s v="yes"/>
    <s v="repeat"/>
    <n v="1"/>
    <n v="0"/>
    <n v="1"/>
    <n v="0"/>
  </r>
  <r>
    <n v="1"/>
    <n v="2"/>
    <n v="113"/>
    <n v="1"/>
    <x v="1"/>
    <x v="1"/>
    <s v="nontarget"/>
    <x v="3"/>
    <m/>
    <s v="yes"/>
    <s v="repeat"/>
    <n v="1"/>
    <n v="1"/>
    <n v="0"/>
    <n v="1"/>
  </r>
  <r>
    <n v="1"/>
    <n v="2"/>
    <n v="114"/>
    <n v="2"/>
    <x v="0"/>
    <x v="2"/>
    <s v="switch"/>
    <x v="3"/>
    <m/>
    <m/>
    <m/>
    <n v="0"/>
    <n v="0"/>
    <n v="0"/>
    <n v="0"/>
  </r>
  <r>
    <n v="1"/>
    <n v="2"/>
    <n v="115"/>
    <n v="2"/>
    <x v="0"/>
    <x v="1"/>
    <s v="nontarget"/>
    <x v="1"/>
    <m/>
    <m/>
    <m/>
    <n v="1"/>
    <n v="1"/>
    <n v="1"/>
    <n v="0"/>
  </r>
  <r>
    <n v="1"/>
    <n v="2"/>
    <n v="116"/>
    <n v="1"/>
    <x v="1"/>
    <x v="2"/>
    <s v="switch"/>
    <x v="1"/>
    <m/>
    <m/>
    <m/>
    <n v="0"/>
    <n v="0"/>
    <n v="0"/>
    <n v="0"/>
  </r>
  <r>
    <n v="1"/>
    <n v="2"/>
    <n v="117"/>
    <n v="2"/>
    <x v="0"/>
    <x v="0"/>
    <s v="filler"/>
    <x v="4"/>
    <m/>
    <m/>
    <m/>
    <n v="0"/>
    <n v="0"/>
    <n v="1"/>
    <n v="0"/>
  </r>
  <r>
    <n v="1"/>
    <n v="2"/>
    <n v="118"/>
    <n v="1"/>
    <x v="1"/>
    <x v="1"/>
    <s v="nontarget"/>
    <x v="16"/>
    <m/>
    <s v="yes"/>
    <s v="switch"/>
    <n v="0"/>
    <n v="1"/>
    <n v="0"/>
    <n v="1"/>
  </r>
  <r>
    <n v="1"/>
    <n v="2"/>
    <n v="119"/>
    <n v="1"/>
    <x v="1"/>
    <x v="2"/>
    <s v="repeat"/>
    <x v="16"/>
    <m/>
    <m/>
    <m/>
    <n v="1"/>
    <n v="0"/>
    <n v="0"/>
    <n v="0"/>
  </r>
  <r>
    <n v="1"/>
    <n v="2"/>
    <n v="120"/>
    <n v="2"/>
    <x v="0"/>
    <x v="0"/>
    <s v="filler"/>
    <x v="12"/>
    <m/>
    <s v="yes"/>
    <s v="switch"/>
    <n v="0"/>
    <n v="0"/>
    <n v="1"/>
    <n v="0"/>
  </r>
  <r>
    <n v="1"/>
    <n v="2"/>
    <n v="121"/>
    <n v="1"/>
    <x v="1"/>
    <x v="1"/>
    <s v="nontarget"/>
    <x v="9"/>
    <m/>
    <s v="yes"/>
    <s v="switch"/>
    <n v="0"/>
    <n v="1"/>
    <n v="0"/>
    <n v="1"/>
  </r>
  <r>
    <n v="1"/>
    <n v="2"/>
    <n v="122"/>
    <n v="1"/>
    <x v="1"/>
    <x v="2"/>
    <s v="repeat"/>
    <x v="9"/>
    <m/>
    <m/>
    <m/>
    <n v="1"/>
    <n v="0"/>
    <n v="0"/>
    <n v="0"/>
  </r>
  <r>
    <n v="1"/>
    <n v="2"/>
    <n v="123"/>
    <n v="2"/>
    <x v="0"/>
    <x v="0"/>
    <s v="filler"/>
    <x v="2"/>
    <m/>
    <m/>
    <m/>
    <n v="0"/>
    <n v="0"/>
    <n v="1"/>
    <n v="0"/>
  </r>
  <r>
    <n v="1"/>
    <n v="2"/>
    <n v="124"/>
    <n v="1"/>
    <x v="1"/>
    <x v="0"/>
    <s v="filler"/>
    <x v="14"/>
    <m/>
    <m/>
    <m/>
    <n v="0"/>
    <n v="0"/>
    <n v="0"/>
    <n v="1"/>
  </r>
  <r>
    <n v="1"/>
    <n v="2"/>
    <n v="125"/>
    <n v="1"/>
    <x v="1"/>
    <x v="1"/>
    <s v="nontarget"/>
    <x v="13"/>
    <m/>
    <m/>
    <m/>
    <n v="1"/>
    <n v="1"/>
    <n v="0"/>
    <n v="1"/>
  </r>
  <r>
    <n v="1"/>
    <n v="2"/>
    <n v="126"/>
    <n v="2"/>
    <x v="0"/>
    <x v="2"/>
    <s v="switch"/>
    <x v="13"/>
    <m/>
    <m/>
    <m/>
    <n v="0"/>
    <n v="0"/>
    <n v="0"/>
    <n v="0"/>
  </r>
  <r>
    <n v="1"/>
    <n v="2"/>
    <n v="127"/>
    <n v="1"/>
    <x v="1"/>
    <x v="0"/>
    <s v="filler"/>
    <x v="6"/>
    <m/>
    <s v="yes"/>
    <s v="switch"/>
    <n v="0"/>
    <n v="0"/>
    <n v="1"/>
    <n v="0"/>
  </r>
  <r>
    <n v="2"/>
    <n v="2"/>
    <n v="128"/>
    <n v="1"/>
    <x v="1"/>
    <x v="1"/>
    <s v="nontarget"/>
    <x v="21"/>
    <m/>
    <m/>
    <m/>
    <n v="1"/>
    <n v="1"/>
    <n v="0"/>
    <n v="1"/>
  </r>
  <r>
    <n v="2"/>
    <n v="2"/>
    <n v="129"/>
    <n v="1"/>
    <x v="1"/>
    <x v="2"/>
    <s v="repeat"/>
    <x v="21"/>
    <m/>
    <m/>
    <m/>
    <n v="1"/>
    <n v="0"/>
    <n v="0"/>
    <n v="0"/>
  </r>
  <r>
    <n v="2"/>
    <n v="2"/>
    <n v="130"/>
    <n v="2"/>
    <x v="0"/>
    <x v="0"/>
    <s v="filler"/>
    <x v="7"/>
    <m/>
    <m/>
    <m/>
    <n v="0"/>
    <n v="0"/>
    <n v="1"/>
    <n v="0"/>
  </r>
  <r>
    <n v="2"/>
    <n v="2"/>
    <n v="131"/>
    <n v="1"/>
    <x v="1"/>
    <x v="1"/>
    <s v="nontarget"/>
    <x v="19"/>
    <m/>
    <s v="yes"/>
    <s v="switch"/>
    <n v="0"/>
    <n v="1"/>
    <n v="0"/>
    <n v="1"/>
  </r>
  <r>
    <n v="2"/>
    <n v="2"/>
    <n v="132"/>
    <n v="1"/>
    <x v="1"/>
    <x v="2"/>
    <s v="repeat"/>
    <x v="19"/>
    <m/>
    <m/>
    <m/>
    <n v="1"/>
    <n v="0"/>
    <n v="0"/>
    <n v="0"/>
  </r>
  <r>
    <n v="2"/>
    <n v="2"/>
    <n v="133"/>
    <n v="1"/>
    <x v="1"/>
    <x v="1"/>
    <s v="nontarget"/>
    <x v="17"/>
    <m/>
    <m/>
    <m/>
    <n v="1"/>
    <n v="1"/>
    <n v="1"/>
    <n v="0"/>
  </r>
  <r>
    <n v="2"/>
    <n v="2"/>
    <n v="134"/>
    <n v="2"/>
    <x v="0"/>
    <x v="2"/>
    <s v="switch"/>
    <x v="17"/>
    <m/>
    <m/>
    <m/>
    <n v="0"/>
    <n v="0"/>
    <n v="0"/>
    <n v="0"/>
  </r>
  <r>
    <n v="2"/>
    <n v="2"/>
    <n v="135"/>
    <n v="2"/>
    <x v="0"/>
    <x v="0"/>
    <s v="filler"/>
    <x v="5"/>
    <m/>
    <s v="yes"/>
    <s v="repeat"/>
    <n v="1"/>
    <n v="0"/>
    <n v="1"/>
    <n v="0"/>
  </r>
  <r>
    <n v="2"/>
    <n v="2"/>
    <n v="136"/>
    <n v="2"/>
    <x v="0"/>
    <x v="1"/>
    <s v="nontarget"/>
    <x v="23"/>
    <m/>
    <s v="yes"/>
    <s v="repeat"/>
    <n v="1"/>
    <n v="1"/>
    <n v="0"/>
    <n v="1"/>
  </r>
  <r>
    <n v="2"/>
    <n v="2"/>
    <n v="137"/>
    <n v="1"/>
    <x v="1"/>
    <x v="2"/>
    <s v="switch"/>
    <x v="23"/>
    <m/>
    <m/>
    <m/>
    <n v="0"/>
    <n v="0"/>
    <n v="0"/>
    <n v="0"/>
  </r>
  <r>
    <n v="2"/>
    <n v="2"/>
    <n v="138"/>
    <n v="1"/>
    <x v="1"/>
    <x v="1"/>
    <s v="nontarget"/>
    <x v="18"/>
    <m/>
    <s v="yes"/>
    <s v="repeat"/>
    <n v="1"/>
    <n v="1"/>
    <n v="1"/>
    <n v="0"/>
  </r>
  <r>
    <n v="2"/>
    <n v="2"/>
    <n v="139"/>
    <n v="2"/>
    <x v="0"/>
    <x v="2"/>
    <s v="switch"/>
    <x v="18"/>
    <m/>
    <m/>
    <m/>
    <n v="0"/>
    <n v="0"/>
    <n v="0"/>
    <n v="0"/>
  </r>
  <r>
    <n v="2"/>
    <n v="2"/>
    <n v="140"/>
    <n v="1"/>
    <x v="1"/>
    <x v="0"/>
    <s v="filler"/>
    <x v="11"/>
    <m/>
    <m/>
    <m/>
    <n v="0"/>
    <n v="0"/>
    <n v="1"/>
    <n v="0"/>
  </r>
  <r>
    <n v="2"/>
    <n v="2"/>
    <n v="141"/>
    <n v="2"/>
    <x v="0"/>
    <x v="0"/>
    <s v="filler"/>
    <x v="3"/>
    <m/>
    <m/>
    <m/>
    <n v="0"/>
    <n v="0"/>
    <n v="0"/>
    <n v="1"/>
  </r>
  <r>
    <n v="2"/>
    <n v="2"/>
    <n v="142"/>
    <n v="1"/>
    <x v="1"/>
    <x v="0"/>
    <s v="filler"/>
    <x v="9"/>
    <m/>
    <m/>
    <m/>
    <n v="0"/>
    <n v="0"/>
    <n v="0"/>
    <n v="1"/>
  </r>
  <r>
    <n v="2"/>
    <n v="2"/>
    <n v="143"/>
    <n v="2"/>
    <x v="0"/>
    <x v="1"/>
    <s v="nontarget"/>
    <x v="20"/>
    <m/>
    <s v="yes"/>
    <s v="switch"/>
    <n v="0"/>
    <n v="1"/>
    <n v="0"/>
    <n v="1"/>
  </r>
  <r>
    <n v="2"/>
    <n v="2"/>
    <n v="144"/>
    <n v="2"/>
    <x v="0"/>
    <x v="2"/>
    <s v="repeat"/>
    <x v="20"/>
    <m/>
    <m/>
    <m/>
    <n v="1"/>
    <n v="0"/>
    <n v="0"/>
    <n v="0"/>
  </r>
  <r>
    <n v="2"/>
    <n v="2"/>
    <n v="145"/>
    <n v="1"/>
    <x v="1"/>
    <x v="0"/>
    <s v="filler"/>
    <x v="1"/>
    <m/>
    <m/>
    <m/>
    <n v="0"/>
    <n v="0"/>
    <n v="1"/>
    <n v="0"/>
  </r>
  <r>
    <n v="2"/>
    <n v="2"/>
    <n v="146"/>
    <n v="2"/>
    <x v="0"/>
    <x v="1"/>
    <s v="nontarget"/>
    <x v="24"/>
    <m/>
    <s v="yes"/>
    <s v="switch"/>
    <n v="0"/>
    <n v="1"/>
    <n v="0"/>
    <n v="1"/>
  </r>
  <r>
    <n v="2"/>
    <n v="2"/>
    <n v="147"/>
    <n v="2"/>
    <x v="0"/>
    <x v="2"/>
    <s v="repeat"/>
    <x v="24"/>
    <m/>
    <m/>
    <m/>
    <n v="1"/>
    <n v="0"/>
    <n v="0"/>
    <n v="0"/>
  </r>
  <r>
    <n v="2"/>
    <n v="2"/>
    <n v="148"/>
    <n v="1"/>
    <x v="1"/>
    <x v="0"/>
    <s v="filler"/>
    <x v="16"/>
    <m/>
    <m/>
    <m/>
    <n v="0"/>
    <n v="0"/>
    <n v="1"/>
    <n v="0"/>
  </r>
  <r>
    <n v="2"/>
    <n v="2"/>
    <n v="149"/>
    <n v="2"/>
    <x v="0"/>
    <x v="0"/>
    <s v="filler"/>
    <x v="13"/>
    <m/>
    <m/>
    <m/>
    <n v="0"/>
    <n v="0"/>
    <n v="0"/>
    <n v="1"/>
  </r>
  <r>
    <n v="2"/>
    <n v="2"/>
    <n v="150"/>
    <n v="2"/>
    <x v="0"/>
    <x v="1"/>
    <s v="nontarget"/>
    <x v="22"/>
    <m/>
    <m/>
    <m/>
    <n v="1"/>
    <n v="1"/>
    <n v="0"/>
    <n v="1"/>
  </r>
  <r>
    <n v="2"/>
    <n v="2"/>
    <n v="151"/>
    <n v="1"/>
    <x v="1"/>
    <x v="2"/>
    <s v="switch"/>
    <x v="22"/>
    <m/>
    <m/>
    <m/>
    <n v="0"/>
    <n v="0"/>
    <n v="0"/>
    <n v="0"/>
  </r>
  <r>
    <n v="3"/>
    <n v="2"/>
    <n v="152"/>
    <n v="1"/>
    <x v="1"/>
    <x v="0"/>
    <s v="filler"/>
    <x v="21"/>
    <m/>
    <m/>
    <m/>
    <n v="1"/>
    <n v="0"/>
    <n v="1"/>
    <n v="0"/>
  </r>
  <r>
    <n v="3"/>
    <n v="2"/>
    <n v="153"/>
    <n v="1"/>
    <x v="1"/>
    <x v="1"/>
    <s v="nontarget"/>
    <x v="30"/>
    <m/>
    <s v="yes"/>
    <s v="repeat"/>
    <n v="1"/>
    <n v="1"/>
    <n v="0"/>
    <n v="1"/>
  </r>
  <r>
    <n v="3"/>
    <n v="2"/>
    <n v="154"/>
    <n v="2"/>
    <x v="0"/>
    <x v="2"/>
    <s v="switch"/>
    <x v="30"/>
    <m/>
    <m/>
    <m/>
    <n v="0"/>
    <n v="0"/>
    <n v="0"/>
    <n v="0"/>
  </r>
  <r>
    <n v="3"/>
    <n v="2"/>
    <n v="155"/>
    <n v="2"/>
    <x v="0"/>
    <x v="0"/>
    <s v="filler"/>
    <x v="22"/>
    <m/>
    <m/>
    <m/>
    <n v="1"/>
    <n v="0"/>
    <n v="1"/>
    <n v="0"/>
  </r>
  <r>
    <n v="3"/>
    <n v="2"/>
    <n v="156"/>
    <n v="2"/>
    <x v="0"/>
    <x v="1"/>
    <s v="nontarget"/>
    <x v="28"/>
    <m/>
    <s v="yes"/>
    <s v="repeat"/>
    <n v="1"/>
    <n v="1"/>
    <n v="0"/>
    <n v="1"/>
  </r>
  <r>
    <n v="3"/>
    <n v="2"/>
    <n v="157"/>
    <n v="1"/>
    <x v="1"/>
    <x v="2"/>
    <s v="switch"/>
    <x v="28"/>
    <m/>
    <m/>
    <m/>
    <n v="0"/>
    <n v="0"/>
    <n v="0"/>
    <n v="0"/>
  </r>
  <r>
    <n v="3"/>
    <n v="2"/>
    <n v="158"/>
    <n v="1"/>
    <x v="1"/>
    <x v="0"/>
    <s v="filler"/>
    <x v="0"/>
    <s v="here"/>
    <m/>
    <m/>
    <n v="1"/>
    <n v="0"/>
    <n v="1"/>
    <n v="0"/>
  </r>
  <r>
    <n v="3"/>
    <n v="2"/>
    <n v="159"/>
    <n v="1"/>
    <x v="1"/>
    <x v="1"/>
    <s v="nontarget"/>
    <x v="32"/>
    <m/>
    <m/>
    <m/>
    <n v="1"/>
    <n v="1"/>
    <n v="0"/>
    <n v="1"/>
  </r>
  <r>
    <n v="3"/>
    <n v="2"/>
    <n v="160"/>
    <n v="2"/>
    <x v="0"/>
    <x v="2"/>
    <s v="switch"/>
    <x v="32"/>
    <m/>
    <m/>
    <m/>
    <n v="0"/>
    <n v="0"/>
    <n v="0"/>
    <n v="0"/>
  </r>
  <r>
    <n v="3"/>
    <n v="2"/>
    <n v="161"/>
    <n v="1"/>
    <x v="1"/>
    <x v="0"/>
    <s v="filler"/>
    <x v="17"/>
    <m/>
    <m/>
    <m/>
    <n v="0"/>
    <n v="0"/>
    <n v="1"/>
    <n v="0"/>
  </r>
  <r>
    <n v="3"/>
    <n v="2"/>
    <n v="162"/>
    <n v="2"/>
    <x v="0"/>
    <x v="1"/>
    <s v="nontarget"/>
    <x v="31"/>
    <m/>
    <s v="yes"/>
    <s v="switch"/>
    <n v="0"/>
    <n v="1"/>
    <n v="0"/>
    <n v="1"/>
  </r>
  <r>
    <n v="3"/>
    <n v="2"/>
    <n v="163"/>
    <n v="2"/>
    <x v="0"/>
    <x v="2"/>
    <s v="repeat"/>
    <x v="31"/>
    <m/>
    <m/>
    <m/>
    <n v="1"/>
    <n v="0"/>
    <n v="0"/>
    <n v="0"/>
  </r>
  <r>
    <n v="3"/>
    <n v="2"/>
    <n v="164"/>
    <n v="2"/>
    <x v="0"/>
    <x v="0"/>
    <s v="filler"/>
    <x v="23"/>
    <m/>
    <m/>
    <m/>
    <n v="1"/>
    <n v="0"/>
    <n v="1"/>
    <n v="0"/>
  </r>
  <r>
    <n v="3"/>
    <n v="2"/>
    <n v="165"/>
    <n v="1"/>
    <x v="1"/>
    <x v="0"/>
    <s v="filler"/>
    <x v="18"/>
    <m/>
    <m/>
    <m/>
    <n v="0"/>
    <n v="0"/>
    <n v="0"/>
    <n v="1"/>
  </r>
  <r>
    <n v="3"/>
    <n v="2"/>
    <n v="166"/>
    <n v="2"/>
    <x v="0"/>
    <x v="1"/>
    <s v="nontarget"/>
    <x v="25"/>
    <m/>
    <s v="yes"/>
    <s v="switch"/>
    <n v="0"/>
    <n v="1"/>
    <n v="0"/>
    <n v="1"/>
  </r>
  <r>
    <n v="3"/>
    <n v="2"/>
    <n v="167"/>
    <n v="2"/>
    <x v="0"/>
    <x v="2"/>
    <s v="repeat"/>
    <x v="25"/>
    <m/>
    <m/>
    <m/>
    <n v="1"/>
    <n v="0"/>
    <n v="0"/>
    <n v="0"/>
  </r>
  <r>
    <n v="3"/>
    <n v="2"/>
    <n v="168"/>
    <n v="2"/>
    <x v="0"/>
    <x v="1"/>
    <s v="nontarget"/>
    <x v="27"/>
    <m/>
    <m/>
    <m/>
    <n v="1"/>
    <n v="1"/>
    <n v="1"/>
    <n v="0"/>
  </r>
  <r>
    <n v="3"/>
    <n v="2"/>
    <n v="169"/>
    <n v="1"/>
    <x v="1"/>
    <x v="2"/>
    <s v="switch"/>
    <x v="27"/>
    <m/>
    <m/>
    <m/>
    <n v="0"/>
    <n v="0"/>
    <n v="0"/>
    <n v="0"/>
  </r>
  <r>
    <n v="3"/>
    <n v="2"/>
    <n v="170"/>
    <n v="2"/>
    <x v="0"/>
    <x v="0"/>
    <s v="filler"/>
    <x v="20"/>
    <m/>
    <m/>
    <m/>
    <n v="0"/>
    <n v="0"/>
    <n v="1"/>
    <n v="0"/>
  </r>
  <r>
    <n v="3"/>
    <n v="2"/>
    <n v="171"/>
    <n v="1"/>
    <x v="1"/>
    <x v="0"/>
    <s v="filler"/>
    <x v="0"/>
    <s v="here"/>
    <m/>
    <m/>
    <n v="0"/>
    <n v="0"/>
    <n v="0"/>
    <n v="1"/>
  </r>
  <r>
    <n v="3"/>
    <n v="2"/>
    <n v="172"/>
    <n v="1"/>
    <x v="1"/>
    <x v="1"/>
    <s v="nontarget"/>
    <x v="29"/>
    <m/>
    <s v="yes"/>
    <s v="repeat"/>
    <n v="1"/>
    <n v="1"/>
    <n v="0"/>
    <n v="1"/>
  </r>
  <r>
    <n v="3"/>
    <n v="2"/>
    <n v="173"/>
    <n v="1"/>
    <x v="1"/>
    <x v="2"/>
    <s v="repeat"/>
    <x v="29"/>
    <m/>
    <m/>
    <m/>
    <n v="1"/>
    <n v="0"/>
    <n v="0"/>
    <n v="0"/>
  </r>
  <r>
    <n v="3"/>
    <n v="2"/>
    <n v="174"/>
    <n v="2"/>
    <x v="0"/>
    <x v="0"/>
    <s v="filler"/>
    <x v="24"/>
    <m/>
    <m/>
    <m/>
    <n v="0"/>
    <n v="0"/>
    <n v="1"/>
    <n v="0"/>
  </r>
  <r>
    <n v="3"/>
    <n v="2"/>
    <n v="175"/>
    <n v="1"/>
    <x v="1"/>
    <x v="1"/>
    <s v="nontarget"/>
    <x v="26"/>
    <m/>
    <s v="yes"/>
    <s v="switch"/>
    <n v="0"/>
    <n v="1"/>
    <n v="0"/>
    <n v="1"/>
  </r>
  <r>
    <n v="3"/>
    <n v="2"/>
    <n v="176"/>
    <n v="1"/>
    <x v="1"/>
    <x v="2"/>
    <s v="repeat"/>
    <x v="26"/>
    <m/>
    <m/>
    <m/>
    <n v="1"/>
    <n v="0"/>
    <n v="0"/>
    <n v="0"/>
  </r>
  <r>
    <n v="3"/>
    <n v="2"/>
    <n v="177"/>
    <n v="1"/>
    <x v="1"/>
    <x v="0"/>
    <s v="filler"/>
    <x v="19"/>
    <m/>
    <s v="yes"/>
    <s v="repeat"/>
    <n v="1"/>
    <n v="0"/>
    <n v="1"/>
    <n v="0"/>
  </r>
  <r>
    <n v="4"/>
    <n v="2"/>
    <n v="178"/>
    <n v="2"/>
    <x v="0"/>
    <x v="0"/>
    <s v="filler"/>
    <x v="30"/>
    <m/>
    <m/>
    <m/>
    <n v="0"/>
    <n v="0"/>
    <n v="0"/>
    <n v="1"/>
  </r>
  <r>
    <n v="4"/>
    <n v="2"/>
    <n v="179"/>
    <n v="1"/>
    <x v="1"/>
    <x v="1"/>
    <s v="nontarget"/>
    <x v="8"/>
    <m/>
    <s v="yes"/>
    <s v="switch"/>
    <n v="0"/>
    <n v="1"/>
    <n v="0"/>
    <n v="1"/>
  </r>
  <r>
    <n v="4"/>
    <n v="2"/>
    <n v="180"/>
    <n v="1"/>
    <x v="1"/>
    <x v="2"/>
    <s v="repeat"/>
    <x v="8"/>
    <m/>
    <m/>
    <m/>
    <n v="1"/>
    <n v="0"/>
    <n v="0"/>
    <n v="0"/>
  </r>
  <r>
    <n v="4"/>
    <n v="2"/>
    <n v="181"/>
    <n v="1"/>
    <x v="1"/>
    <x v="1"/>
    <s v="nontarget"/>
    <x v="15"/>
    <m/>
    <s v="yes"/>
    <s v="repeat"/>
    <n v="1"/>
    <n v="1"/>
    <n v="1"/>
    <n v="0"/>
  </r>
  <r>
    <n v="4"/>
    <n v="2"/>
    <n v="182"/>
    <n v="2"/>
    <x v="0"/>
    <x v="2"/>
    <s v="switch"/>
    <x v="15"/>
    <m/>
    <m/>
    <m/>
    <n v="0"/>
    <n v="0"/>
    <n v="0"/>
    <n v="0"/>
  </r>
  <r>
    <n v="4"/>
    <n v="2"/>
    <n v="183"/>
    <n v="1"/>
    <x v="1"/>
    <x v="0"/>
    <s v="filler"/>
    <x v="28"/>
    <m/>
    <m/>
    <m/>
    <n v="0"/>
    <n v="0"/>
    <n v="1"/>
    <n v="0"/>
  </r>
  <r>
    <n v="4"/>
    <n v="2"/>
    <n v="184"/>
    <n v="2"/>
    <x v="0"/>
    <x v="1"/>
    <s v="nontarget"/>
    <x v="10"/>
    <m/>
    <s v="yes"/>
    <s v="switch"/>
    <n v="0"/>
    <n v="1"/>
    <n v="0"/>
    <n v="1"/>
  </r>
  <r>
    <n v="4"/>
    <n v="2"/>
    <n v="185"/>
    <n v="2"/>
    <x v="0"/>
    <x v="2"/>
    <s v="repeat"/>
    <x v="10"/>
    <m/>
    <m/>
    <m/>
    <n v="1"/>
    <n v="0"/>
    <n v="0"/>
    <n v="0"/>
  </r>
  <r>
    <n v="4"/>
    <n v="2"/>
    <n v="186"/>
    <n v="2"/>
    <x v="0"/>
    <x v="1"/>
    <s v="nontarget"/>
    <x v="4"/>
    <m/>
    <m/>
    <m/>
    <n v="1"/>
    <n v="1"/>
    <n v="1"/>
    <n v="0"/>
  </r>
  <r>
    <n v="4"/>
    <n v="2"/>
    <n v="187"/>
    <n v="1"/>
    <x v="1"/>
    <x v="2"/>
    <s v="switch"/>
    <x v="4"/>
    <m/>
    <m/>
    <m/>
    <n v="0"/>
    <n v="0"/>
    <n v="0"/>
    <n v="0"/>
  </r>
  <r>
    <n v="4"/>
    <n v="2"/>
    <n v="188"/>
    <n v="2"/>
    <x v="0"/>
    <x v="0"/>
    <s v="filler"/>
    <x v="32"/>
    <m/>
    <m/>
    <m/>
    <n v="0"/>
    <n v="0"/>
    <n v="1"/>
    <n v="0"/>
  </r>
  <r>
    <n v="4"/>
    <n v="2"/>
    <n v="189"/>
    <n v="1"/>
    <x v="1"/>
    <x v="1"/>
    <s v="nontarget"/>
    <x v="12"/>
    <m/>
    <s v="yes"/>
    <s v="switch"/>
    <n v="0"/>
    <n v="1"/>
    <n v="0"/>
    <n v="1"/>
  </r>
  <r>
    <n v="4"/>
    <n v="2"/>
    <n v="190"/>
    <n v="2"/>
    <x v="0"/>
    <x v="2"/>
    <s v="switch"/>
    <x v="12"/>
    <m/>
    <m/>
    <m/>
    <n v="0"/>
    <n v="0"/>
    <n v="0"/>
    <n v="0"/>
  </r>
  <r>
    <n v="4"/>
    <n v="2"/>
    <n v="191"/>
    <n v="1"/>
    <x v="1"/>
    <x v="0"/>
    <s v="filler"/>
    <x v="25"/>
    <m/>
    <m/>
    <m/>
    <n v="0"/>
    <n v="0"/>
    <n v="1"/>
    <n v="0"/>
  </r>
  <r>
    <n v="4"/>
    <n v="2"/>
    <n v="192"/>
    <n v="2"/>
    <x v="0"/>
    <x v="0"/>
    <s v="filler"/>
    <x v="31"/>
    <m/>
    <m/>
    <m/>
    <n v="0"/>
    <n v="0"/>
    <n v="0"/>
    <n v="1"/>
  </r>
  <r>
    <n v="4"/>
    <n v="2"/>
    <n v="193"/>
    <n v="2"/>
    <x v="0"/>
    <x v="1"/>
    <s v="nontarget"/>
    <x v="2"/>
    <m/>
    <s v="yes"/>
    <s v="repeat"/>
    <n v="1"/>
    <n v="1"/>
    <n v="0"/>
    <n v="1"/>
  </r>
  <r>
    <n v="4"/>
    <n v="2"/>
    <n v="194"/>
    <n v="2"/>
    <x v="0"/>
    <x v="2"/>
    <s v="repeat"/>
    <x v="2"/>
    <m/>
    <m/>
    <m/>
    <n v="1"/>
    <n v="0"/>
    <n v="0"/>
    <n v="0"/>
  </r>
  <r>
    <n v="4"/>
    <n v="2"/>
    <n v="195"/>
    <n v="1"/>
    <x v="1"/>
    <x v="0"/>
    <s v="filler"/>
    <x v="27"/>
    <m/>
    <m/>
    <m/>
    <n v="0"/>
    <n v="0"/>
    <n v="1"/>
    <n v="0"/>
  </r>
  <r>
    <n v="4"/>
    <n v="2"/>
    <n v="196"/>
    <n v="2"/>
    <x v="0"/>
    <x v="0"/>
    <s v="filler"/>
    <x v="29"/>
    <m/>
    <s v="yes"/>
    <s v="switch"/>
    <n v="0"/>
    <n v="0"/>
    <n v="0"/>
    <n v="1"/>
  </r>
  <r>
    <n v="4"/>
    <n v="2"/>
    <n v="197"/>
    <n v="2"/>
    <x v="0"/>
    <x v="1"/>
    <s v="nontarget"/>
    <x v="14"/>
    <m/>
    <s v="yes"/>
    <s v="repeat"/>
    <n v="1"/>
    <n v="1"/>
    <n v="0"/>
    <n v="1"/>
  </r>
  <r>
    <n v="4"/>
    <n v="2"/>
    <n v="198"/>
    <n v="1"/>
    <x v="1"/>
    <x v="2"/>
    <s v="switch"/>
    <x v="14"/>
    <m/>
    <m/>
    <m/>
    <n v="0"/>
    <n v="0"/>
    <n v="0"/>
    <n v="0"/>
  </r>
  <r>
    <n v="4"/>
    <n v="2"/>
    <n v="199"/>
    <n v="1"/>
    <x v="1"/>
    <x v="1"/>
    <s v="nontarget"/>
    <x v="6"/>
    <m/>
    <m/>
    <m/>
    <n v="1"/>
    <n v="1"/>
    <n v="1"/>
    <n v="0"/>
  </r>
  <r>
    <n v="4"/>
    <n v="2"/>
    <n v="200"/>
    <n v="1"/>
    <x v="1"/>
    <x v="2"/>
    <s v="repeat"/>
    <x v="6"/>
    <m/>
    <m/>
    <m/>
    <n v="1"/>
    <n v="0"/>
    <n v="0"/>
    <n v="0"/>
  </r>
  <r>
    <n v="4"/>
    <n v="2"/>
    <n v="201"/>
    <n v="2"/>
    <x v="0"/>
    <x v="0"/>
    <s v="filler"/>
    <x v="0"/>
    <s v="here"/>
    <m/>
    <m/>
    <n v="0"/>
    <n v="0"/>
    <n v="1"/>
    <n v="0"/>
  </r>
  <r>
    <n v="4"/>
    <n v="2"/>
    <n v="202"/>
    <n v="1"/>
    <x v="1"/>
    <x v="0"/>
    <s v="filler"/>
    <x v="26"/>
    <m/>
    <m/>
    <m/>
    <n v="0"/>
    <n v="0"/>
    <n v="0"/>
    <n v="1"/>
  </r>
  <r>
    <s v="BREAK"/>
    <m/>
    <n v="203"/>
    <m/>
    <x v="2"/>
    <x v="3"/>
    <m/>
    <x v="0"/>
    <m/>
    <m/>
    <m/>
    <n v="0"/>
    <n v="0"/>
    <n v="0"/>
    <n v="1"/>
  </r>
  <r>
    <n v="1"/>
    <n v="3"/>
    <n v="204"/>
    <n v="2"/>
    <x v="0"/>
    <x v="0"/>
    <s v="filler"/>
    <x v="10"/>
    <m/>
    <m/>
    <m/>
    <n v="0"/>
    <n v="0"/>
    <n v="0"/>
    <n v="0"/>
  </r>
  <r>
    <n v="1"/>
    <n v="3"/>
    <n v="205"/>
    <n v="2"/>
    <x v="0"/>
    <x v="1"/>
    <s v="nontarget"/>
    <x v="13"/>
    <m/>
    <s v="yes"/>
    <s v="repeat"/>
    <n v="1"/>
    <n v="1"/>
    <n v="0"/>
    <n v="1"/>
  </r>
  <r>
    <n v="1"/>
    <n v="3"/>
    <n v="206"/>
    <n v="2"/>
    <x v="0"/>
    <x v="2"/>
    <s v="repeat"/>
    <x v="13"/>
    <m/>
    <m/>
    <m/>
    <n v="1"/>
    <n v="0"/>
    <n v="0"/>
    <n v="0"/>
  </r>
  <r>
    <n v="1"/>
    <n v="3"/>
    <n v="207"/>
    <n v="1"/>
    <x v="1"/>
    <x v="0"/>
    <s v="filler"/>
    <x v="14"/>
    <m/>
    <m/>
    <m/>
    <n v="0"/>
    <n v="0"/>
    <n v="1"/>
    <n v="0"/>
  </r>
  <r>
    <n v="1"/>
    <n v="3"/>
    <n v="208"/>
    <n v="1"/>
    <x v="1"/>
    <x v="0"/>
    <s v="filler"/>
    <x v="4"/>
    <m/>
    <m/>
    <m/>
    <n v="1"/>
    <n v="0"/>
    <n v="0"/>
    <n v="1"/>
  </r>
  <r>
    <n v="1"/>
    <n v="3"/>
    <n v="209"/>
    <n v="2"/>
    <x v="0"/>
    <x v="1"/>
    <s v="nontarget"/>
    <x v="11"/>
    <m/>
    <s v="yes"/>
    <s v="switch"/>
    <n v="0"/>
    <n v="1"/>
    <n v="0"/>
    <n v="1"/>
  </r>
  <r>
    <n v="1"/>
    <n v="3"/>
    <n v="210"/>
    <n v="2"/>
    <x v="0"/>
    <x v="2"/>
    <s v="repeat"/>
    <x v="11"/>
    <m/>
    <m/>
    <m/>
    <n v="1"/>
    <n v="0"/>
    <n v="0"/>
    <n v="0"/>
  </r>
  <r>
    <n v="1"/>
    <n v="3"/>
    <n v="211"/>
    <n v="2"/>
    <x v="0"/>
    <x v="1"/>
    <s v="nontarget"/>
    <x v="16"/>
    <m/>
    <m/>
    <m/>
    <n v="1"/>
    <n v="1"/>
    <n v="1"/>
    <n v="0"/>
  </r>
  <r>
    <n v="1"/>
    <n v="3"/>
    <n v="212"/>
    <n v="1"/>
    <x v="1"/>
    <x v="2"/>
    <s v="switch"/>
    <x v="16"/>
    <m/>
    <m/>
    <m/>
    <n v="0"/>
    <n v="0"/>
    <n v="0"/>
    <n v="0"/>
  </r>
  <r>
    <n v="1"/>
    <n v="3"/>
    <n v="213"/>
    <n v="1"/>
    <x v="1"/>
    <x v="0"/>
    <s v="filler"/>
    <x v="6"/>
    <m/>
    <m/>
    <m/>
    <n v="1"/>
    <n v="0"/>
    <n v="1"/>
    <n v="0"/>
  </r>
  <r>
    <n v="1"/>
    <n v="3"/>
    <n v="214"/>
    <n v="1"/>
    <x v="1"/>
    <x v="1"/>
    <s v="nontarget"/>
    <x v="1"/>
    <m/>
    <s v="yes"/>
    <s v="repeat"/>
    <n v="1"/>
    <n v="1"/>
    <n v="0"/>
    <n v="1"/>
  </r>
  <r>
    <n v="1"/>
    <n v="3"/>
    <n v="215"/>
    <n v="2"/>
    <x v="0"/>
    <x v="2"/>
    <s v="switch"/>
    <x v="1"/>
    <m/>
    <m/>
    <m/>
    <n v="0"/>
    <n v="0"/>
    <n v="0"/>
    <n v="0"/>
  </r>
  <r>
    <n v="1"/>
    <n v="3"/>
    <n v="216"/>
    <n v="2"/>
    <x v="0"/>
    <x v="1"/>
    <s v="nontarget"/>
    <x v="7"/>
    <m/>
    <s v="yes"/>
    <s v="repeat"/>
    <n v="1"/>
    <n v="1"/>
    <n v="1"/>
    <n v="0"/>
  </r>
  <r>
    <n v="1"/>
    <n v="3"/>
    <n v="217"/>
    <n v="1"/>
    <x v="1"/>
    <x v="2"/>
    <s v="switch"/>
    <x v="7"/>
    <m/>
    <m/>
    <m/>
    <n v="0"/>
    <n v="0"/>
    <n v="0"/>
    <n v="0"/>
  </r>
  <r>
    <n v="1"/>
    <n v="3"/>
    <n v="218"/>
    <n v="2"/>
    <x v="0"/>
    <x v="0"/>
    <s v="filler"/>
    <x v="2"/>
    <m/>
    <s v="yes"/>
    <s v="switch"/>
    <n v="0"/>
    <n v="0"/>
    <n v="1"/>
    <n v="0"/>
  </r>
  <r>
    <n v="1"/>
    <n v="3"/>
    <n v="219"/>
    <n v="2"/>
    <x v="0"/>
    <x v="0"/>
    <s v="filler"/>
    <x v="15"/>
    <m/>
    <m/>
    <m/>
    <n v="1"/>
    <n v="0"/>
    <n v="0"/>
    <n v="1"/>
  </r>
  <r>
    <n v="1"/>
    <n v="3"/>
    <n v="220"/>
    <n v="1"/>
    <x v="1"/>
    <x v="1"/>
    <s v="nontarget"/>
    <x v="3"/>
    <m/>
    <s v="yes"/>
    <s v="switch"/>
    <n v="0"/>
    <n v="1"/>
    <n v="0"/>
    <n v="1"/>
  </r>
  <r>
    <n v="1"/>
    <n v="3"/>
    <n v="221"/>
    <n v="1"/>
    <x v="1"/>
    <x v="2"/>
    <s v="repeat"/>
    <x v="3"/>
    <m/>
    <m/>
    <m/>
    <n v="1"/>
    <n v="0"/>
    <n v="0"/>
    <n v="0"/>
  </r>
  <r>
    <n v="1"/>
    <n v="3"/>
    <n v="222"/>
    <n v="2"/>
    <x v="0"/>
    <x v="0"/>
    <s v="filler"/>
    <x v="8"/>
    <m/>
    <m/>
    <m/>
    <n v="0"/>
    <n v="0"/>
    <n v="1"/>
    <n v="0"/>
  </r>
  <r>
    <n v="1"/>
    <n v="3"/>
    <n v="223"/>
    <n v="2"/>
    <x v="0"/>
    <x v="0"/>
    <s v="filler"/>
    <x v="12"/>
    <m/>
    <m/>
    <m/>
    <n v="1"/>
    <n v="0"/>
    <n v="0"/>
    <n v="1"/>
  </r>
  <r>
    <n v="1"/>
    <n v="3"/>
    <n v="224"/>
    <n v="1"/>
    <x v="1"/>
    <x v="1"/>
    <s v="nontarget"/>
    <x v="5"/>
    <m/>
    <s v="yes"/>
    <s v="switch"/>
    <n v="0"/>
    <n v="1"/>
    <n v="0"/>
    <n v="1"/>
  </r>
  <r>
    <n v="1"/>
    <n v="3"/>
    <n v="225"/>
    <n v="1"/>
    <x v="1"/>
    <x v="2"/>
    <s v="repeat"/>
    <x v="5"/>
    <m/>
    <m/>
    <m/>
    <n v="1"/>
    <n v="0"/>
    <n v="0"/>
    <n v="0"/>
  </r>
  <r>
    <n v="1"/>
    <n v="3"/>
    <n v="226"/>
    <n v="1"/>
    <x v="1"/>
    <x v="1"/>
    <s v="nontarget"/>
    <x v="9"/>
    <m/>
    <s v="yes"/>
    <s v="repeat"/>
    <n v="1"/>
    <n v="1"/>
    <n v="1"/>
    <n v="0"/>
  </r>
  <r>
    <n v="1"/>
    <n v="3"/>
    <n v="227"/>
    <n v="2"/>
    <x v="0"/>
    <x v="2"/>
    <s v="switch"/>
    <x v="9"/>
    <m/>
    <m/>
    <m/>
    <n v="0"/>
    <n v="0"/>
    <n v="0"/>
    <n v="0"/>
  </r>
  <r>
    <n v="2"/>
    <n v="3"/>
    <n v="228"/>
    <n v="2"/>
    <x v="0"/>
    <x v="0"/>
    <s v="filler"/>
    <x v="13"/>
    <m/>
    <m/>
    <m/>
    <n v="1"/>
    <n v="0"/>
    <n v="1"/>
    <n v="0"/>
  </r>
  <r>
    <n v="2"/>
    <n v="3"/>
    <n v="229"/>
    <n v="1"/>
    <x v="1"/>
    <x v="0"/>
    <s v="filler"/>
    <x v="5"/>
    <m/>
    <m/>
    <m/>
    <n v="0"/>
    <n v="0"/>
    <n v="0"/>
    <n v="1"/>
  </r>
  <r>
    <n v="2"/>
    <n v="3"/>
    <n v="230"/>
    <n v="1"/>
    <x v="1"/>
    <x v="1"/>
    <s v="nontarget"/>
    <x v="23"/>
    <m/>
    <m/>
    <m/>
    <n v="1"/>
    <n v="1"/>
    <n v="0"/>
    <n v="1"/>
  </r>
  <r>
    <n v="2"/>
    <n v="3"/>
    <n v="231"/>
    <n v="1"/>
    <x v="1"/>
    <x v="2"/>
    <s v="repeat"/>
    <x v="23"/>
    <m/>
    <m/>
    <m/>
    <n v="1"/>
    <n v="0"/>
    <n v="0"/>
    <n v="0"/>
  </r>
  <r>
    <n v="2"/>
    <n v="3"/>
    <n v="232"/>
    <n v="2"/>
    <x v="0"/>
    <x v="0"/>
    <s v="filler"/>
    <x v="11"/>
    <m/>
    <m/>
    <m/>
    <n v="0"/>
    <n v="0"/>
    <n v="1"/>
    <n v="0"/>
  </r>
  <r>
    <n v="2"/>
    <n v="3"/>
    <n v="233"/>
    <n v="1"/>
    <x v="1"/>
    <x v="1"/>
    <s v="nontarget"/>
    <x v="22"/>
    <m/>
    <s v="yes"/>
    <s v="switch"/>
    <n v="0"/>
    <n v="1"/>
    <n v="0"/>
    <n v="1"/>
  </r>
  <r>
    <n v="2"/>
    <n v="3"/>
    <n v="234"/>
    <n v="1"/>
    <x v="1"/>
    <x v="2"/>
    <s v="repeat"/>
    <x v="22"/>
    <m/>
    <m/>
    <m/>
    <n v="1"/>
    <n v="0"/>
    <n v="0"/>
    <n v="0"/>
  </r>
  <r>
    <n v="2"/>
    <n v="3"/>
    <n v="235"/>
    <n v="1"/>
    <x v="1"/>
    <x v="1"/>
    <s v="nontarget"/>
    <x v="20"/>
    <m/>
    <m/>
    <m/>
    <n v="1"/>
    <n v="1"/>
    <n v="1"/>
    <n v="0"/>
  </r>
  <r>
    <n v="2"/>
    <n v="3"/>
    <n v="236"/>
    <n v="2"/>
    <x v="0"/>
    <x v="2"/>
    <s v="switch"/>
    <x v="20"/>
    <m/>
    <m/>
    <m/>
    <n v="0"/>
    <n v="0"/>
    <n v="0"/>
    <n v="0"/>
  </r>
  <r>
    <n v="2"/>
    <n v="3"/>
    <n v="237"/>
    <n v="2"/>
    <x v="0"/>
    <x v="0"/>
    <s v="filler"/>
    <x v="16"/>
    <m/>
    <s v="yes"/>
    <s v="repeat"/>
    <n v="1"/>
    <n v="0"/>
    <n v="1"/>
    <n v="0"/>
  </r>
  <r>
    <n v="2"/>
    <n v="3"/>
    <n v="238"/>
    <n v="2"/>
    <x v="0"/>
    <x v="1"/>
    <s v="nontarget"/>
    <x v="21"/>
    <m/>
    <s v="yes"/>
    <s v="repeat"/>
    <n v="1"/>
    <n v="1"/>
    <n v="0"/>
    <n v="1"/>
  </r>
  <r>
    <n v="2"/>
    <n v="3"/>
    <n v="239"/>
    <n v="1"/>
    <x v="1"/>
    <x v="2"/>
    <s v="switch"/>
    <x v="21"/>
    <m/>
    <m/>
    <m/>
    <n v="0"/>
    <n v="0"/>
    <n v="0"/>
    <n v="0"/>
  </r>
  <r>
    <n v="2"/>
    <n v="3"/>
    <n v="240"/>
    <n v="1"/>
    <x v="1"/>
    <x v="0"/>
    <s v="filler"/>
    <x v="7"/>
    <m/>
    <s v="yes"/>
    <s v="repeat"/>
    <n v="1"/>
    <n v="0"/>
    <n v="1"/>
    <n v="0"/>
  </r>
  <r>
    <n v="2"/>
    <n v="3"/>
    <n v="241"/>
    <n v="1"/>
    <x v="1"/>
    <x v="1"/>
    <s v="nontarget"/>
    <x v="24"/>
    <m/>
    <m/>
    <m/>
    <n v="1"/>
    <n v="1"/>
    <n v="0"/>
    <n v="1"/>
  </r>
  <r>
    <n v="2"/>
    <n v="3"/>
    <n v="242"/>
    <n v="2"/>
    <x v="0"/>
    <x v="2"/>
    <s v="switch"/>
    <x v="24"/>
    <m/>
    <m/>
    <m/>
    <n v="0"/>
    <n v="0"/>
    <n v="0"/>
    <n v="0"/>
  </r>
  <r>
    <n v="2"/>
    <n v="3"/>
    <n v="243"/>
    <n v="1"/>
    <x v="1"/>
    <x v="0"/>
    <s v="filler"/>
    <x v="1"/>
    <m/>
    <m/>
    <m/>
    <n v="0"/>
    <n v="0"/>
    <n v="1"/>
    <n v="0"/>
  </r>
  <r>
    <n v="2"/>
    <n v="3"/>
    <n v="244"/>
    <n v="2"/>
    <x v="0"/>
    <x v="1"/>
    <s v="nontarget"/>
    <x v="18"/>
    <m/>
    <s v="yes"/>
    <s v="switch"/>
    <n v="0"/>
    <n v="1"/>
    <n v="0"/>
    <n v="1"/>
  </r>
  <r>
    <n v="2"/>
    <n v="3"/>
    <n v="245"/>
    <n v="2"/>
    <x v="0"/>
    <x v="2"/>
    <s v="repeat"/>
    <x v="18"/>
    <m/>
    <m/>
    <m/>
    <n v="1"/>
    <n v="0"/>
    <n v="0"/>
    <n v="0"/>
  </r>
  <r>
    <n v="2"/>
    <n v="3"/>
    <n v="246"/>
    <n v="1"/>
    <x v="1"/>
    <x v="0"/>
    <s v="filler"/>
    <x v="3"/>
    <m/>
    <m/>
    <m/>
    <n v="0"/>
    <n v="0"/>
    <n v="1"/>
    <n v="0"/>
  </r>
  <r>
    <n v="2"/>
    <n v="3"/>
    <n v="247"/>
    <n v="2"/>
    <x v="0"/>
    <x v="1"/>
    <s v="nontarget"/>
    <x v="17"/>
    <m/>
    <s v="yes"/>
    <s v="switch"/>
    <n v="0"/>
    <n v="1"/>
    <n v="0"/>
    <n v="1"/>
  </r>
  <r>
    <n v="2"/>
    <n v="3"/>
    <n v="248"/>
    <n v="2"/>
    <x v="0"/>
    <x v="2"/>
    <s v="repeat"/>
    <x v="17"/>
    <m/>
    <m/>
    <m/>
    <n v="1"/>
    <n v="0"/>
    <n v="0"/>
    <n v="0"/>
  </r>
  <r>
    <n v="2"/>
    <n v="3"/>
    <n v="249"/>
    <n v="2"/>
    <x v="0"/>
    <x v="0"/>
    <s v="filler"/>
    <x v="9"/>
    <m/>
    <m/>
    <m/>
    <n v="1"/>
    <n v="0"/>
    <n v="1"/>
    <n v="0"/>
  </r>
  <r>
    <n v="2"/>
    <n v="3"/>
    <n v="250"/>
    <n v="2"/>
    <x v="0"/>
    <x v="1"/>
    <s v="nontarget"/>
    <x v="19"/>
    <m/>
    <s v="yes"/>
    <s v="repeat"/>
    <n v="1"/>
    <n v="1"/>
    <n v="0"/>
    <n v="1"/>
  </r>
  <r>
    <n v="2"/>
    <n v="3"/>
    <n v="251"/>
    <n v="1"/>
    <x v="1"/>
    <x v="2"/>
    <s v="switch"/>
    <x v="19"/>
    <m/>
    <m/>
    <m/>
    <n v="0"/>
    <n v="0"/>
    <n v="0"/>
    <n v="0"/>
  </r>
  <r>
    <n v="3"/>
    <n v="3"/>
    <n v="252"/>
    <n v="1"/>
    <x v="1"/>
    <x v="0"/>
    <s v="filler"/>
    <x v="23"/>
    <m/>
    <m/>
    <m/>
    <n v="1"/>
    <n v="0"/>
    <n v="1"/>
    <n v="0"/>
  </r>
  <r>
    <n v="3"/>
    <n v="3"/>
    <n v="253"/>
    <n v="1"/>
    <x v="1"/>
    <x v="1"/>
    <s v="nontarget"/>
    <x v="28"/>
    <m/>
    <s v="yes"/>
    <s v="repeat"/>
    <n v="1"/>
    <n v="1"/>
    <n v="0"/>
    <n v="1"/>
  </r>
  <r>
    <n v="3"/>
    <n v="3"/>
    <n v="254"/>
    <n v="2"/>
    <x v="0"/>
    <x v="2"/>
    <s v="switch"/>
    <x v="28"/>
    <m/>
    <m/>
    <m/>
    <n v="0"/>
    <n v="0"/>
    <n v="0"/>
    <n v="0"/>
  </r>
  <r>
    <n v="3"/>
    <n v="3"/>
    <n v="255"/>
    <n v="2"/>
    <x v="0"/>
    <x v="0"/>
    <s v="filler"/>
    <x v="22"/>
    <m/>
    <m/>
    <m/>
    <n v="1"/>
    <n v="0"/>
    <n v="1"/>
    <n v="0"/>
  </r>
  <r>
    <n v="3"/>
    <n v="3"/>
    <n v="256"/>
    <n v="2"/>
    <x v="0"/>
    <x v="1"/>
    <s v="nontarget"/>
    <x v="31"/>
    <m/>
    <s v="yes"/>
    <s v="repeat"/>
    <n v="1"/>
    <n v="1"/>
    <n v="0"/>
    <n v="1"/>
  </r>
  <r>
    <n v="3"/>
    <n v="3"/>
    <n v="257"/>
    <n v="1"/>
    <x v="1"/>
    <x v="2"/>
    <s v="switch"/>
    <x v="31"/>
    <m/>
    <m/>
    <m/>
    <n v="0"/>
    <n v="0"/>
    <n v="0"/>
    <n v="0"/>
  </r>
  <r>
    <n v="3"/>
    <n v="3"/>
    <n v="258"/>
    <n v="1"/>
    <x v="1"/>
    <x v="1"/>
    <s v="nontarget"/>
    <x v="26"/>
    <m/>
    <s v="yes"/>
    <s v="repeat"/>
    <n v="1"/>
    <n v="1"/>
    <n v="1"/>
    <n v="0"/>
  </r>
  <r>
    <n v="3"/>
    <n v="3"/>
    <n v="259"/>
    <n v="2"/>
    <x v="0"/>
    <x v="2"/>
    <s v="switch"/>
    <x v="26"/>
    <m/>
    <m/>
    <m/>
    <n v="0"/>
    <n v="0"/>
    <n v="0"/>
    <n v="0"/>
  </r>
  <r>
    <n v="3"/>
    <n v="3"/>
    <n v="260"/>
    <n v="1"/>
    <x v="1"/>
    <x v="0"/>
    <s v="filler"/>
    <x v="24"/>
    <m/>
    <m/>
    <m/>
    <n v="0"/>
    <n v="0"/>
    <n v="1"/>
    <n v="0"/>
  </r>
  <r>
    <n v="3"/>
    <n v="3"/>
    <n v="261"/>
    <n v="2"/>
    <x v="0"/>
    <x v="1"/>
    <s v="nontarget"/>
    <x v="30"/>
    <m/>
    <s v="yes"/>
    <s v="switch"/>
    <n v="0"/>
    <n v="1"/>
    <n v="0"/>
    <n v="1"/>
  </r>
  <r>
    <n v="3"/>
    <n v="3"/>
    <n v="262"/>
    <n v="2"/>
    <x v="0"/>
    <x v="2"/>
    <s v="repeat"/>
    <x v="30"/>
    <m/>
    <m/>
    <m/>
    <n v="1"/>
    <n v="0"/>
    <n v="0"/>
    <n v="0"/>
  </r>
  <r>
    <n v="3"/>
    <n v="3"/>
    <n v="263"/>
    <n v="1"/>
    <x v="1"/>
    <x v="0"/>
    <s v="filler"/>
    <x v="18"/>
    <m/>
    <m/>
    <m/>
    <n v="0"/>
    <n v="0"/>
    <n v="1"/>
    <n v="0"/>
  </r>
  <r>
    <n v="3"/>
    <n v="3"/>
    <n v="264"/>
    <n v="2"/>
    <x v="0"/>
    <x v="1"/>
    <s v="nontarget"/>
    <x v="32"/>
    <m/>
    <s v="yes"/>
    <s v="switch"/>
    <n v="0"/>
    <n v="1"/>
    <n v="0"/>
    <n v="1"/>
  </r>
  <r>
    <n v="3"/>
    <n v="3"/>
    <n v="265"/>
    <n v="2"/>
    <x v="0"/>
    <x v="2"/>
    <s v="repeat"/>
    <x v="32"/>
    <m/>
    <m/>
    <m/>
    <n v="1"/>
    <n v="0"/>
    <n v="0"/>
    <n v="0"/>
  </r>
  <r>
    <n v="3"/>
    <n v="3"/>
    <n v="266"/>
    <n v="2"/>
    <x v="0"/>
    <x v="1"/>
    <s v="nontarget"/>
    <x v="29"/>
    <m/>
    <m/>
    <m/>
    <n v="1"/>
    <n v="1"/>
    <n v="1"/>
    <n v="0"/>
  </r>
  <r>
    <n v="3"/>
    <n v="3"/>
    <n v="267"/>
    <n v="1"/>
    <x v="1"/>
    <x v="2"/>
    <s v="switch"/>
    <x v="29"/>
    <m/>
    <m/>
    <m/>
    <n v="0"/>
    <n v="0"/>
    <n v="0"/>
    <n v="0"/>
  </r>
  <r>
    <n v="3"/>
    <n v="3"/>
    <n v="268"/>
    <n v="2"/>
    <x v="0"/>
    <x v="0"/>
    <s v="filler"/>
    <x v="20"/>
    <m/>
    <m/>
    <m/>
    <n v="0"/>
    <n v="0"/>
    <n v="1"/>
    <n v="0"/>
  </r>
  <r>
    <n v="3"/>
    <n v="3"/>
    <n v="269"/>
    <n v="1"/>
    <x v="1"/>
    <x v="0"/>
    <s v="filler"/>
    <x v="21"/>
    <m/>
    <s v="yes"/>
    <s v="switch"/>
    <n v="0"/>
    <n v="0"/>
    <n v="0"/>
    <n v="1"/>
  </r>
  <r>
    <n v="3"/>
    <n v="3"/>
    <n v="270"/>
    <n v="1"/>
    <x v="1"/>
    <x v="1"/>
    <s v="nontarget"/>
    <x v="27"/>
    <m/>
    <m/>
    <m/>
    <n v="1"/>
    <n v="1"/>
    <n v="0"/>
    <n v="1"/>
  </r>
  <r>
    <n v="3"/>
    <n v="3"/>
    <n v="271"/>
    <n v="1"/>
    <x v="1"/>
    <x v="2"/>
    <s v="repeat"/>
    <x v="27"/>
    <m/>
    <m/>
    <m/>
    <n v="1"/>
    <n v="0"/>
    <n v="0"/>
    <n v="0"/>
  </r>
  <r>
    <n v="3"/>
    <n v="3"/>
    <n v="272"/>
    <n v="2"/>
    <x v="0"/>
    <x v="0"/>
    <s v="filler"/>
    <x v="19"/>
    <m/>
    <s v="yes"/>
    <s v="switch"/>
    <n v="0"/>
    <n v="0"/>
    <n v="1"/>
    <n v="0"/>
  </r>
  <r>
    <n v="3"/>
    <n v="3"/>
    <n v="273"/>
    <n v="1"/>
    <x v="1"/>
    <x v="1"/>
    <s v="nontarget"/>
    <x v="25"/>
    <m/>
    <s v="yes"/>
    <s v="switch"/>
    <n v="0"/>
    <n v="1"/>
    <n v="0"/>
    <n v="1"/>
  </r>
  <r>
    <n v="3"/>
    <n v="3"/>
    <n v="274"/>
    <n v="1"/>
    <x v="1"/>
    <x v="2"/>
    <s v="repeat"/>
    <x v="25"/>
    <m/>
    <m/>
    <m/>
    <n v="1"/>
    <n v="0"/>
    <n v="0"/>
    <n v="0"/>
  </r>
  <r>
    <n v="3"/>
    <n v="3"/>
    <n v="275"/>
    <n v="2"/>
    <x v="0"/>
    <x v="0"/>
    <s v="filler"/>
    <x v="17"/>
    <m/>
    <m/>
    <m/>
    <n v="0"/>
    <n v="0"/>
    <n v="1"/>
    <n v="0"/>
  </r>
  <r>
    <n v="4"/>
    <n v="3"/>
    <n v="276"/>
    <n v="1"/>
    <x v="1"/>
    <x v="1"/>
    <s v="nontarget"/>
    <x v="10"/>
    <m/>
    <m/>
    <m/>
    <n v="0"/>
    <n v="1"/>
    <n v="0"/>
    <n v="1"/>
  </r>
  <r>
    <n v="4"/>
    <n v="3"/>
    <n v="277"/>
    <n v="1"/>
    <x v="1"/>
    <x v="2"/>
    <s v="repeat"/>
    <x v="10"/>
    <m/>
    <m/>
    <m/>
    <n v="1"/>
    <n v="0"/>
    <n v="0"/>
    <n v="0"/>
  </r>
  <r>
    <n v="4"/>
    <n v="3"/>
    <n v="278"/>
    <n v="2"/>
    <x v="0"/>
    <x v="0"/>
    <s v="filler"/>
    <x v="28"/>
    <m/>
    <m/>
    <m/>
    <n v="0"/>
    <n v="0"/>
    <n v="1"/>
    <n v="0"/>
  </r>
  <r>
    <n v="4"/>
    <n v="3"/>
    <n v="279"/>
    <n v="1"/>
    <x v="1"/>
    <x v="1"/>
    <s v="nontarget"/>
    <x v="14"/>
    <m/>
    <s v="yes"/>
    <s v="switch"/>
    <n v="0"/>
    <n v="1"/>
    <n v="0"/>
    <n v="1"/>
  </r>
  <r>
    <n v="4"/>
    <n v="3"/>
    <n v="280"/>
    <n v="2"/>
    <x v="0"/>
    <x v="2"/>
    <s v="switch"/>
    <x v="14"/>
    <m/>
    <m/>
    <m/>
    <n v="0"/>
    <n v="0"/>
    <n v="0"/>
    <n v="0"/>
  </r>
  <r>
    <n v="4"/>
    <n v="3"/>
    <n v="281"/>
    <n v="2"/>
    <x v="0"/>
    <x v="1"/>
    <s v="nontarget"/>
    <x v="4"/>
    <m/>
    <s v="yes"/>
    <s v="repeat"/>
    <n v="1"/>
    <n v="1"/>
    <n v="1"/>
    <n v="0"/>
  </r>
  <r>
    <n v="4"/>
    <n v="3"/>
    <n v="282"/>
    <n v="2"/>
    <x v="0"/>
    <x v="2"/>
    <s v="repeat"/>
    <x v="4"/>
    <m/>
    <m/>
    <m/>
    <n v="1"/>
    <n v="0"/>
    <n v="0"/>
    <n v="0"/>
  </r>
  <r>
    <n v="4"/>
    <n v="3"/>
    <n v="283"/>
    <n v="1"/>
    <x v="1"/>
    <x v="0"/>
    <s v="filler"/>
    <x v="31"/>
    <m/>
    <m/>
    <m/>
    <n v="0"/>
    <n v="0"/>
    <n v="1"/>
    <n v="0"/>
  </r>
  <r>
    <n v="4"/>
    <n v="3"/>
    <n v="284"/>
    <n v="2"/>
    <x v="0"/>
    <x v="0"/>
    <s v="filler"/>
    <x v="26"/>
    <m/>
    <m/>
    <m/>
    <n v="0"/>
    <n v="0"/>
    <n v="0"/>
    <n v="1"/>
  </r>
  <r>
    <n v="4"/>
    <n v="3"/>
    <n v="285"/>
    <n v="2"/>
    <x v="0"/>
    <x v="1"/>
    <s v="nontarget"/>
    <x v="6"/>
    <m/>
    <s v="yes"/>
    <s v="repeat"/>
    <n v="1"/>
    <n v="1"/>
    <n v="0"/>
    <n v="1"/>
  </r>
  <r>
    <n v="4"/>
    <n v="3"/>
    <n v="286"/>
    <n v="1"/>
    <x v="1"/>
    <x v="2"/>
    <s v="switch"/>
    <x v="6"/>
    <m/>
    <m/>
    <m/>
    <n v="0"/>
    <n v="0"/>
    <n v="0"/>
    <n v="0"/>
  </r>
  <r>
    <n v="4"/>
    <n v="3"/>
    <n v="287"/>
    <n v="1"/>
    <x v="1"/>
    <x v="1"/>
    <s v="nontarget"/>
    <x v="2"/>
    <m/>
    <m/>
    <m/>
    <n v="1"/>
    <n v="1"/>
    <n v="1"/>
    <n v="0"/>
  </r>
  <r>
    <n v="4"/>
    <n v="3"/>
    <n v="288"/>
    <n v="2"/>
    <x v="0"/>
    <x v="2"/>
    <s v="switch"/>
    <x v="2"/>
    <m/>
    <m/>
    <m/>
    <n v="0"/>
    <n v="0"/>
    <n v="0"/>
    <n v="0"/>
  </r>
  <r>
    <n v="4"/>
    <n v="3"/>
    <n v="289"/>
    <n v="1"/>
    <x v="1"/>
    <x v="0"/>
    <s v="filler"/>
    <x v="30"/>
    <m/>
    <s v="yes"/>
    <s v="switch"/>
    <n v="0"/>
    <n v="0"/>
    <n v="1"/>
    <n v="0"/>
  </r>
  <r>
    <n v="4"/>
    <n v="3"/>
    <n v="290"/>
    <n v="2"/>
    <x v="0"/>
    <x v="1"/>
    <s v="nontarget"/>
    <x v="15"/>
    <m/>
    <s v="yes"/>
    <s v="switch"/>
    <n v="0"/>
    <n v="1"/>
    <n v="0"/>
    <n v="1"/>
  </r>
  <r>
    <n v="4"/>
    <n v="3"/>
    <n v="291"/>
    <n v="2"/>
    <x v="0"/>
    <x v="2"/>
    <s v="repeat"/>
    <x v="15"/>
    <m/>
    <m/>
    <m/>
    <n v="1"/>
    <n v="0"/>
    <n v="0"/>
    <n v="0"/>
  </r>
  <r>
    <n v="4"/>
    <n v="3"/>
    <n v="292"/>
    <n v="1"/>
    <x v="1"/>
    <x v="0"/>
    <s v="filler"/>
    <x v="32"/>
    <m/>
    <m/>
    <m/>
    <n v="0"/>
    <n v="0"/>
    <n v="1"/>
    <n v="0"/>
  </r>
  <r>
    <n v="4"/>
    <n v="3"/>
    <n v="293"/>
    <n v="2"/>
    <x v="0"/>
    <x v="0"/>
    <s v="filler"/>
    <x v="25"/>
    <m/>
    <m/>
    <m/>
    <n v="0"/>
    <n v="0"/>
    <n v="0"/>
    <n v="1"/>
  </r>
  <r>
    <n v="4"/>
    <n v="3"/>
    <n v="294"/>
    <n v="2"/>
    <x v="0"/>
    <x v="1"/>
    <s v="nontarget"/>
    <x v="8"/>
    <m/>
    <s v="yes"/>
    <s v="repeat"/>
    <n v="1"/>
    <n v="1"/>
    <n v="0"/>
    <n v="1"/>
  </r>
  <r>
    <n v="4"/>
    <n v="3"/>
    <n v="295"/>
    <n v="1"/>
    <x v="1"/>
    <x v="2"/>
    <s v="switch"/>
    <x v="8"/>
    <m/>
    <m/>
    <m/>
    <n v="0"/>
    <n v="0"/>
    <n v="0"/>
    <n v="0"/>
  </r>
  <r>
    <n v="4"/>
    <n v="3"/>
    <n v="296"/>
    <n v="2"/>
    <x v="0"/>
    <x v="0"/>
    <s v="filler"/>
    <x v="0"/>
    <s v="here"/>
    <m/>
    <m/>
    <n v="0"/>
    <n v="0"/>
    <n v="1"/>
    <n v="0"/>
  </r>
  <r>
    <n v="4"/>
    <n v="3"/>
    <n v="297"/>
    <n v="1"/>
    <x v="1"/>
    <x v="0"/>
    <s v="filler"/>
    <x v="29"/>
    <m/>
    <s v="yes"/>
    <s v="switch"/>
    <n v="0"/>
    <n v="0"/>
    <n v="0"/>
    <n v="1"/>
  </r>
  <r>
    <n v="4"/>
    <n v="3"/>
    <n v="298"/>
    <n v="2"/>
    <x v="0"/>
    <x v="0"/>
    <s v="filler"/>
    <x v="0"/>
    <s v="here"/>
    <m/>
    <m/>
    <n v="0"/>
    <n v="0"/>
    <n v="0"/>
    <n v="1"/>
  </r>
  <r>
    <n v="4"/>
    <n v="3"/>
    <n v="299"/>
    <n v="1"/>
    <x v="1"/>
    <x v="0"/>
    <s v="filler"/>
    <x v="27"/>
    <m/>
    <s v="yes"/>
    <s v="switch"/>
    <n v="0"/>
    <n v="0"/>
    <n v="0"/>
    <n v="1"/>
  </r>
  <r>
    <n v="4"/>
    <n v="3"/>
    <n v="300"/>
    <n v="1"/>
    <x v="1"/>
    <x v="1"/>
    <s v="nontarget"/>
    <x v="12"/>
    <m/>
    <s v="yes"/>
    <s v="repeat"/>
    <n v="1"/>
    <n v="1"/>
    <n v="0"/>
    <n v="1"/>
  </r>
  <r>
    <n v="4"/>
    <n v="3"/>
    <n v="301"/>
    <n v="1"/>
    <x v="1"/>
    <x v="2"/>
    <s v="repeat"/>
    <x v="12"/>
    <m/>
    <m/>
    <m/>
    <n v="1"/>
    <n v="0"/>
    <n v="0"/>
    <n v="0"/>
  </r>
  <r>
    <n v="4"/>
    <n v="3"/>
    <n v="302"/>
    <n v="2"/>
    <x v="0"/>
    <x v="0"/>
    <s v="filler"/>
    <x v="0"/>
    <s v="here"/>
    <m/>
    <m/>
    <n v="0"/>
    <n v="1"/>
    <n v="1"/>
    <n v="0"/>
  </r>
  <r>
    <s v="BREAK"/>
    <m/>
    <n v="303"/>
    <m/>
    <x v="2"/>
    <x v="3"/>
    <m/>
    <x v="0"/>
    <m/>
    <m/>
    <m/>
    <n v="0"/>
    <n v="0"/>
    <n v="0"/>
    <n v="1"/>
  </r>
  <r>
    <n v="1"/>
    <n v="4"/>
    <n v="304"/>
    <n v="2"/>
    <x v="0"/>
    <x v="0"/>
    <s v="filler"/>
    <x v="10"/>
    <m/>
    <m/>
    <m/>
    <n v="0"/>
    <n v="0"/>
    <n v="0"/>
    <n v="0"/>
  </r>
  <r>
    <n v="1"/>
    <n v="4"/>
    <n v="305"/>
    <n v="2"/>
    <x v="0"/>
    <x v="1"/>
    <s v="nontarget"/>
    <x v="9"/>
    <m/>
    <s v="yes"/>
    <s v="repeat"/>
    <n v="1"/>
    <n v="1"/>
    <n v="0"/>
    <n v="1"/>
  </r>
  <r>
    <n v="1"/>
    <n v="4"/>
    <n v="306"/>
    <n v="2"/>
    <x v="0"/>
    <x v="2"/>
    <s v="repeat"/>
    <x v="9"/>
    <m/>
    <m/>
    <m/>
    <n v="1"/>
    <n v="0"/>
    <n v="0"/>
    <n v="0"/>
  </r>
  <r>
    <n v="1"/>
    <n v="4"/>
    <n v="307"/>
    <n v="1"/>
    <x v="1"/>
    <x v="0"/>
    <s v="filler"/>
    <x v="8"/>
    <m/>
    <m/>
    <m/>
    <n v="0"/>
    <n v="0"/>
    <n v="1"/>
    <n v="0"/>
  </r>
  <r>
    <n v="1"/>
    <n v="4"/>
    <n v="308"/>
    <n v="1"/>
    <x v="1"/>
    <x v="0"/>
    <s v="filler"/>
    <x v="2"/>
    <m/>
    <s v="yes"/>
    <s v="repeat"/>
    <n v="1"/>
    <n v="0"/>
    <n v="0"/>
    <n v="1"/>
  </r>
  <r>
    <n v="1"/>
    <n v="4"/>
    <n v="309"/>
    <n v="2"/>
    <x v="0"/>
    <x v="1"/>
    <s v="nontarget"/>
    <x v="16"/>
    <m/>
    <s v="yes"/>
    <s v="switch"/>
    <n v="0"/>
    <n v="1"/>
    <n v="0"/>
    <n v="1"/>
  </r>
  <r>
    <n v="1"/>
    <n v="4"/>
    <n v="310"/>
    <n v="2"/>
    <x v="0"/>
    <x v="2"/>
    <s v="repeat"/>
    <x v="16"/>
    <m/>
    <m/>
    <m/>
    <n v="1"/>
    <n v="0"/>
    <n v="0"/>
    <n v="0"/>
  </r>
  <r>
    <n v="1"/>
    <n v="4"/>
    <n v="311"/>
    <n v="1"/>
    <x v="1"/>
    <x v="0"/>
    <s v="filler"/>
    <x v="15"/>
    <m/>
    <m/>
    <m/>
    <n v="0"/>
    <n v="0"/>
    <n v="1"/>
    <n v="0"/>
  </r>
  <r>
    <n v="1"/>
    <n v="4"/>
    <n v="312"/>
    <n v="2"/>
    <x v="0"/>
    <x v="1"/>
    <s v="nontarget"/>
    <x v="13"/>
    <m/>
    <s v="yes"/>
    <s v="switch"/>
    <n v="0"/>
    <n v="1"/>
    <n v="0"/>
    <n v="1"/>
  </r>
  <r>
    <n v="1"/>
    <n v="4"/>
    <n v="313"/>
    <n v="1"/>
    <x v="1"/>
    <x v="2"/>
    <s v="switch"/>
    <x v="13"/>
    <m/>
    <m/>
    <m/>
    <n v="0"/>
    <n v="0"/>
    <n v="0"/>
    <n v="0"/>
  </r>
  <r>
    <n v="1"/>
    <n v="4"/>
    <n v="314"/>
    <n v="1"/>
    <x v="1"/>
    <x v="0"/>
    <s v="filler"/>
    <x v="14"/>
    <m/>
    <s v="yes"/>
    <s v="repeat"/>
    <n v="1"/>
    <n v="0"/>
    <n v="1"/>
    <n v="0"/>
  </r>
  <r>
    <n v="1"/>
    <n v="4"/>
    <n v="315"/>
    <n v="1"/>
    <x v="1"/>
    <x v="1"/>
    <s v="nontarget"/>
    <x v="5"/>
    <m/>
    <s v="yes"/>
    <s v="repeat"/>
    <n v="1"/>
    <n v="1"/>
    <n v="0"/>
    <n v="1"/>
  </r>
  <r>
    <n v="1"/>
    <n v="4"/>
    <n v="316"/>
    <n v="2"/>
    <x v="0"/>
    <x v="2"/>
    <s v="switch"/>
    <x v="5"/>
    <m/>
    <m/>
    <m/>
    <n v="0"/>
    <n v="0"/>
    <n v="0"/>
    <n v="0"/>
  </r>
  <r>
    <n v="1"/>
    <n v="4"/>
    <n v="317"/>
    <n v="2"/>
    <x v="0"/>
    <x v="1"/>
    <s v="nontarget"/>
    <x v="3"/>
    <m/>
    <s v="yes"/>
    <s v="repeat"/>
    <n v="1"/>
    <n v="1"/>
    <n v="1"/>
    <n v="0"/>
  </r>
  <r>
    <n v="1"/>
    <n v="4"/>
    <n v="318"/>
    <n v="1"/>
    <x v="1"/>
    <x v="2"/>
    <s v="switch"/>
    <x v="3"/>
    <m/>
    <m/>
    <m/>
    <n v="0"/>
    <n v="0"/>
    <n v="0"/>
    <n v="0"/>
  </r>
  <r>
    <n v="1"/>
    <n v="4"/>
    <n v="319"/>
    <n v="1"/>
    <x v="1"/>
    <x v="0"/>
    <s v="filler"/>
    <x v="12"/>
    <m/>
    <m/>
    <m/>
    <n v="1"/>
    <n v="0"/>
    <n v="1"/>
    <n v="0"/>
  </r>
  <r>
    <n v="1"/>
    <n v="4"/>
    <n v="320"/>
    <n v="2"/>
    <x v="0"/>
    <x v="0"/>
    <s v="filler"/>
    <x v="6"/>
    <m/>
    <m/>
    <m/>
    <n v="0"/>
    <n v="0"/>
    <n v="0"/>
    <n v="1"/>
  </r>
  <r>
    <n v="1"/>
    <n v="4"/>
    <n v="321"/>
    <n v="1"/>
    <x v="1"/>
    <x v="1"/>
    <s v="nontarget"/>
    <x v="7"/>
    <m/>
    <m/>
    <m/>
    <n v="0"/>
    <n v="1"/>
    <n v="0"/>
    <n v="1"/>
  </r>
  <r>
    <n v="1"/>
    <n v="4"/>
    <n v="322"/>
    <n v="1"/>
    <x v="1"/>
    <x v="2"/>
    <s v="repeat"/>
    <x v="7"/>
    <m/>
    <m/>
    <m/>
    <n v="1"/>
    <n v="0"/>
    <n v="0"/>
    <n v="0"/>
  </r>
  <r>
    <n v="1"/>
    <n v="4"/>
    <n v="323"/>
    <n v="2"/>
    <x v="0"/>
    <x v="0"/>
    <s v="filler"/>
    <x v="4"/>
    <m/>
    <s v="yes"/>
    <s v="switch"/>
    <n v="0"/>
    <n v="0"/>
    <n v="1"/>
    <n v="0"/>
  </r>
  <r>
    <n v="1"/>
    <n v="4"/>
    <n v="324"/>
    <n v="1"/>
    <x v="1"/>
    <x v="1"/>
    <s v="nontarget"/>
    <x v="1"/>
    <m/>
    <s v="yes"/>
    <s v="switch"/>
    <n v="0"/>
    <n v="1"/>
    <n v="0"/>
    <n v="1"/>
  </r>
  <r>
    <n v="1"/>
    <n v="4"/>
    <n v="325"/>
    <n v="1"/>
    <x v="1"/>
    <x v="2"/>
    <s v="repeat"/>
    <x v="1"/>
    <m/>
    <m/>
    <m/>
    <n v="1"/>
    <n v="0"/>
    <n v="0"/>
    <n v="0"/>
  </r>
  <r>
    <n v="1"/>
    <n v="4"/>
    <n v="326"/>
    <n v="1"/>
    <x v="1"/>
    <x v="1"/>
    <s v="nontarget"/>
    <x v="11"/>
    <m/>
    <s v="yes"/>
    <s v="repeat"/>
    <n v="1"/>
    <n v="1"/>
    <n v="1"/>
    <n v="0"/>
  </r>
  <r>
    <n v="1"/>
    <n v="4"/>
    <n v="327"/>
    <n v="2"/>
    <x v="0"/>
    <x v="2"/>
    <s v="switch"/>
    <x v="11"/>
    <m/>
    <m/>
    <m/>
    <n v="0"/>
    <n v="0"/>
    <n v="0"/>
    <n v="0"/>
  </r>
  <r>
    <n v="2"/>
    <n v="4"/>
    <n v="328"/>
    <n v="1"/>
    <x v="1"/>
    <x v="0"/>
    <s v="filler"/>
    <x v="9"/>
    <m/>
    <m/>
    <m/>
    <n v="0"/>
    <n v="0"/>
    <n v="1"/>
    <n v="0"/>
  </r>
  <r>
    <n v="2"/>
    <n v="4"/>
    <n v="329"/>
    <n v="1"/>
    <x v="1"/>
    <x v="1"/>
    <s v="nontarget"/>
    <x v="24"/>
    <m/>
    <s v="yes"/>
    <s v="repeat"/>
    <n v="1"/>
    <n v="1"/>
    <n v="0"/>
    <n v="1"/>
  </r>
  <r>
    <n v="2"/>
    <n v="4"/>
    <n v="330"/>
    <n v="1"/>
    <x v="1"/>
    <x v="2"/>
    <s v="repeat"/>
    <x v="24"/>
    <m/>
    <m/>
    <m/>
    <n v="1"/>
    <n v="0"/>
    <n v="0"/>
    <n v="0"/>
  </r>
  <r>
    <n v="2"/>
    <n v="4"/>
    <n v="331"/>
    <n v="2"/>
    <x v="0"/>
    <x v="0"/>
    <s v="filler"/>
    <x v="1"/>
    <m/>
    <s v="yes"/>
    <s v="switch"/>
    <n v="0"/>
    <n v="0"/>
    <n v="1"/>
    <n v="0"/>
  </r>
  <r>
    <n v="2"/>
    <n v="4"/>
    <n v="332"/>
    <n v="1"/>
    <x v="1"/>
    <x v="1"/>
    <s v="nontarget"/>
    <x v="20"/>
    <m/>
    <s v="yes"/>
    <s v="switch"/>
    <n v="0"/>
    <n v="1"/>
    <n v="0"/>
    <n v="1"/>
  </r>
  <r>
    <n v="2"/>
    <n v="4"/>
    <n v="333"/>
    <n v="1"/>
    <x v="1"/>
    <x v="2"/>
    <s v="repeat"/>
    <x v="20"/>
    <m/>
    <m/>
    <m/>
    <n v="1"/>
    <n v="0"/>
    <n v="0"/>
    <n v="0"/>
  </r>
  <r>
    <n v="2"/>
    <n v="4"/>
    <n v="334"/>
    <n v="1"/>
    <x v="1"/>
    <x v="0"/>
    <s v="filler"/>
    <x v="16"/>
    <m/>
    <m/>
    <m/>
    <n v="1"/>
    <n v="0"/>
    <n v="1"/>
    <n v="0"/>
  </r>
  <r>
    <n v="2"/>
    <n v="4"/>
    <n v="335"/>
    <n v="2"/>
    <x v="0"/>
    <x v="0"/>
    <s v="filler"/>
    <x v="0"/>
    <s v="here"/>
    <m/>
    <m/>
    <n v="0"/>
    <n v="0"/>
    <n v="0"/>
    <n v="1"/>
  </r>
  <r>
    <n v="2"/>
    <n v="4"/>
    <n v="336"/>
    <n v="1"/>
    <x v="1"/>
    <x v="0"/>
    <s v="filler"/>
    <x v="13"/>
    <m/>
    <s v="yes"/>
    <s v="switch"/>
    <n v="0"/>
    <n v="0"/>
    <n v="0"/>
    <n v="1"/>
  </r>
  <r>
    <n v="2"/>
    <n v="4"/>
    <n v="337"/>
    <n v="1"/>
    <x v="1"/>
    <x v="1"/>
    <s v="nontarget"/>
    <x v="22"/>
    <m/>
    <s v="yes"/>
    <s v="repeat"/>
    <n v="1"/>
    <n v="1"/>
    <n v="0"/>
    <n v="1"/>
  </r>
  <r>
    <n v="2"/>
    <n v="4"/>
    <n v="338"/>
    <n v="1"/>
    <x v="0"/>
    <x v="2"/>
    <s v="switch"/>
    <x v="22"/>
    <m/>
    <m/>
    <m/>
    <n v="0"/>
    <n v="0"/>
    <n v="0"/>
    <n v="0"/>
  </r>
  <r>
    <n v="2"/>
    <n v="4"/>
    <n v="339"/>
    <n v="2"/>
    <x v="0"/>
    <x v="0"/>
    <s v="filler"/>
    <x v="5"/>
    <m/>
    <m/>
    <m/>
    <n v="1"/>
    <n v="0"/>
    <n v="1"/>
    <n v="0"/>
  </r>
  <r>
    <n v="2"/>
    <n v="4"/>
    <n v="340"/>
    <n v="2"/>
    <x v="0"/>
    <x v="1"/>
    <s v="nontarget"/>
    <x v="18"/>
    <m/>
    <s v="yes"/>
    <s v="repeat"/>
    <n v="1"/>
    <n v="1"/>
    <n v="0"/>
    <n v="1"/>
  </r>
  <r>
    <n v="2"/>
    <n v="4"/>
    <n v="341"/>
    <n v="1"/>
    <x v="1"/>
    <x v="2"/>
    <s v="switch"/>
    <x v="18"/>
    <m/>
    <m/>
    <m/>
    <n v="0"/>
    <n v="0"/>
    <n v="0"/>
    <n v="0"/>
  </r>
  <r>
    <n v="2"/>
    <n v="4"/>
    <n v="342"/>
    <n v="1"/>
    <x v="1"/>
    <x v="0"/>
    <s v="filler"/>
    <x v="3"/>
    <m/>
    <m/>
    <m/>
    <n v="1"/>
    <n v="0"/>
    <n v="1"/>
    <n v="0"/>
  </r>
  <r>
    <n v="2"/>
    <n v="4"/>
    <n v="343"/>
    <n v="1"/>
    <x v="1"/>
    <x v="1"/>
    <s v="nontarget"/>
    <x v="23"/>
    <m/>
    <s v="yes"/>
    <s v="repeat"/>
    <n v="1"/>
    <n v="1"/>
    <n v="0"/>
    <n v="1"/>
  </r>
  <r>
    <n v="2"/>
    <n v="4"/>
    <n v="344"/>
    <n v="2"/>
    <x v="0"/>
    <x v="2"/>
    <s v="switch"/>
    <x v="23"/>
    <m/>
    <m/>
    <m/>
    <n v="0"/>
    <n v="0"/>
    <n v="0"/>
    <n v="0"/>
  </r>
  <r>
    <n v="2"/>
    <n v="4"/>
    <n v="345"/>
    <n v="2"/>
    <x v="0"/>
    <x v="1"/>
    <s v="nontarget"/>
    <x v="19"/>
    <m/>
    <m/>
    <m/>
    <n v="1"/>
    <n v="1"/>
    <n v="1"/>
    <n v="0"/>
  </r>
  <r>
    <n v="2"/>
    <n v="4"/>
    <n v="346"/>
    <n v="2"/>
    <x v="0"/>
    <x v="2"/>
    <s v="repeat"/>
    <x v="19"/>
    <m/>
    <m/>
    <m/>
    <n v="1"/>
    <n v="0"/>
    <n v="0"/>
    <n v="0"/>
  </r>
  <r>
    <n v="2"/>
    <n v="4"/>
    <n v="347"/>
    <n v="1"/>
    <x v="1"/>
    <x v="0"/>
    <s v="filler"/>
    <x v="7"/>
    <m/>
    <m/>
    <m/>
    <n v="0"/>
    <n v="0"/>
    <n v="1"/>
    <n v="0"/>
  </r>
  <r>
    <n v="2"/>
    <n v="4"/>
    <n v="348"/>
    <n v="2"/>
    <x v="0"/>
    <x v="1"/>
    <s v="nontarget"/>
    <x v="21"/>
    <m/>
    <s v="yes"/>
    <s v="switch"/>
    <n v="0"/>
    <n v="1"/>
    <n v="0"/>
    <n v="1"/>
  </r>
  <r>
    <n v="2"/>
    <n v="4"/>
    <n v="349"/>
    <n v="2"/>
    <x v="0"/>
    <x v="2"/>
    <s v="repeat"/>
    <x v="21"/>
    <m/>
    <m/>
    <m/>
    <n v="1"/>
    <n v="0"/>
    <n v="0"/>
    <n v="0"/>
  </r>
  <r>
    <n v="2"/>
    <n v="4"/>
    <n v="350"/>
    <n v="1"/>
    <x v="1"/>
    <x v="0"/>
    <s v="filler"/>
    <x v="0"/>
    <s v="here"/>
    <m/>
    <m/>
    <n v="0"/>
    <n v="0"/>
    <n v="1"/>
    <n v="0"/>
  </r>
  <r>
    <n v="2"/>
    <n v="4"/>
    <n v="351"/>
    <n v="2"/>
    <x v="0"/>
    <x v="0"/>
    <s v="filler"/>
    <x v="11"/>
    <m/>
    <m/>
    <m/>
    <n v="0"/>
    <n v="0"/>
    <n v="0"/>
    <n v="1"/>
  </r>
  <r>
    <n v="2"/>
    <n v="4"/>
    <n v="352"/>
    <n v="2"/>
    <x v="0"/>
    <x v="1"/>
    <s v="nontarget"/>
    <x v="17"/>
    <m/>
    <s v="yes"/>
    <s v="repeat"/>
    <n v="1"/>
    <n v="1"/>
    <n v="0"/>
    <n v="1"/>
  </r>
  <r>
    <n v="2"/>
    <n v="4"/>
    <n v="353"/>
    <n v="1"/>
    <x v="1"/>
    <x v="2"/>
    <s v="switch"/>
    <x v="17"/>
    <m/>
    <m/>
    <m/>
    <n v="0"/>
    <n v="0"/>
    <n v="0"/>
    <n v="0"/>
  </r>
  <r>
    <n v="3"/>
    <n v="4"/>
    <n v="354"/>
    <n v="1"/>
    <x v="1"/>
    <x v="1"/>
    <s v="nontarget"/>
    <x v="29"/>
    <m/>
    <m/>
    <m/>
    <n v="1"/>
    <n v="1"/>
    <n v="1"/>
    <n v="0"/>
  </r>
  <r>
    <n v="3"/>
    <n v="4"/>
    <n v="355"/>
    <n v="2"/>
    <x v="0"/>
    <x v="2"/>
    <s v="switch"/>
    <x v="29"/>
    <m/>
    <m/>
    <m/>
    <n v="0"/>
    <n v="0"/>
    <n v="0"/>
    <n v="0"/>
  </r>
  <r>
    <n v="3"/>
    <n v="4"/>
    <n v="356"/>
    <n v="2"/>
    <x v="0"/>
    <x v="0"/>
    <s v="filler"/>
    <x v="24"/>
    <m/>
    <m/>
    <m/>
    <n v="1"/>
    <n v="0"/>
    <n v="1"/>
    <n v="0"/>
  </r>
  <r>
    <n v="3"/>
    <n v="4"/>
    <n v="357"/>
    <n v="2"/>
    <x v="0"/>
    <x v="1"/>
    <s v="nontarget"/>
    <x v="25"/>
    <m/>
    <s v="yes"/>
    <s v="repeat"/>
    <n v="1"/>
    <n v="1"/>
    <n v="0"/>
    <n v="1"/>
  </r>
  <r>
    <n v="3"/>
    <n v="4"/>
    <n v="358"/>
    <n v="1"/>
    <x v="1"/>
    <x v="2"/>
    <s v="switch"/>
    <x v="25"/>
    <m/>
    <m/>
    <m/>
    <n v="0"/>
    <n v="0"/>
    <n v="0"/>
    <n v="0"/>
  </r>
  <r>
    <n v="3"/>
    <n v="4"/>
    <n v="359"/>
    <n v="1"/>
    <x v="1"/>
    <x v="0"/>
    <s v="filler"/>
    <x v="20"/>
    <m/>
    <s v="yes"/>
    <s v="repeat"/>
    <n v="1"/>
    <n v="0"/>
    <n v="1"/>
    <n v="0"/>
  </r>
  <r>
    <n v="3"/>
    <n v="4"/>
    <n v="360"/>
    <n v="1"/>
    <x v="1"/>
    <x v="1"/>
    <s v="nontarget"/>
    <x v="31"/>
    <m/>
    <s v="yes"/>
    <s v="repeat"/>
    <n v="1"/>
    <n v="1"/>
    <n v="0"/>
    <n v="1"/>
  </r>
  <r>
    <n v="3"/>
    <n v="4"/>
    <n v="361"/>
    <n v="2"/>
    <x v="0"/>
    <x v="2"/>
    <s v="switch"/>
    <x v="31"/>
    <m/>
    <m/>
    <m/>
    <n v="0"/>
    <n v="0"/>
    <n v="0"/>
    <n v="0"/>
  </r>
  <r>
    <n v="3"/>
    <n v="4"/>
    <n v="362"/>
    <n v="1"/>
    <x v="1"/>
    <x v="0"/>
    <s v="filler"/>
    <x v="22"/>
    <m/>
    <m/>
    <m/>
    <n v="0"/>
    <n v="0"/>
    <n v="1"/>
    <n v="0"/>
  </r>
  <r>
    <n v="3"/>
    <n v="4"/>
    <n v="363"/>
    <n v="2"/>
    <x v="0"/>
    <x v="1"/>
    <s v="nontarget"/>
    <x v="27"/>
    <m/>
    <s v="yes"/>
    <s v="switch"/>
    <n v="0"/>
    <n v="1"/>
    <n v="0"/>
    <n v="1"/>
  </r>
  <r>
    <n v="3"/>
    <n v="4"/>
    <n v="364"/>
    <n v="2"/>
    <x v="0"/>
    <x v="2"/>
    <s v="repeat"/>
    <x v="27"/>
    <m/>
    <m/>
    <m/>
    <n v="1"/>
    <n v="0"/>
    <n v="0"/>
    <n v="0"/>
  </r>
  <r>
    <n v="3"/>
    <n v="4"/>
    <n v="365"/>
    <n v="2"/>
    <x v="0"/>
    <x v="0"/>
    <s v="filler"/>
    <x v="18"/>
    <m/>
    <m/>
    <m/>
    <n v="1"/>
    <n v="0"/>
    <n v="1"/>
    <n v="0"/>
  </r>
  <r>
    <n v="3"/>
    <n v="4"/>
    <n v="366"/>
    <n v="1"/>
    <x v="1"/>
    <x v="0"/>
    <s v="filler"/>
    <x v="23"/>
    <m/>
    <s v="yes"/>
    <s v="switch"/>
    <n v="0"/>
    <n v="0"/>
    <n v="0"/>
    <n v="1"/>
  </r>
  <r>
    <n v="3"/>
    <n v="4"/>
    <n v="367"/>
    <n v="2"/>
    <x v="0"/>
    <x v="1"/>
    <s v="nontarget"/>
    <x v="26"/>
    <m/>
    <s v="yes"/>
    <s v="switch"/>
    <n v="0"/>
    <n v="1"/>
    <n v="0"/>
    <n v="1"/>
  </r>
  <r>
    <n v="3"/>
    <n v="4"/>
    <n v="368"/>
    <n v="2"/>
    <x v="0"/>
    <x v="2"/>
    <s v="repeat"/>
    <x v="26"/>
    <m/>
    <m/>
    <m/>
    <n v="1"/>
    <n v="0"/>
    <n v="0"/>
    <n v="0"/>
  </r>
  <r>
    <n v="3"/>
    <n v="4"/>
    <n v="369"/>
    <n v="2"/>
    <x v="0"/>
    <x v="1"/>
    <s v="nontarget"/>
    <x v="32"/>
    <m/>
    <s v="yes"/>
    <s v="repeat"/>
    <n v="1"/>
    <n v="1"/>
    <n v="1"/>
    <n v="0"/>
  </r>
  <r>
    <n v="3"/>
    <n v="4"/>
    <n v="370"/>
    <n v="1"/>
    <x v="1"/>
    <x v="2"/>
    <s v="switch"/>
    <x v="32"/>
    <m/>
    <m/>
    <m/>
    <n v="0"/>
    <n v="0"/>
    <n v="0"/>
    <n v="0"/>
  </r>
  <r>
    <n v="3"/>
    <n v="4"/>
    <n v="371"/>
    <n v="2"/>
    <x v="0"/>
    <x v="0"/>
    <s v="filler"/>
    <x v="21"/>
    <m/>
    <m/>
    <m/>
    <n v="0"/>
    <n v="0"/>
    <n v="1"/>
    <n v="0"/>
  </r>
  <r>
    <n v="3"/>
    <n v="4"/>
    <n v="372"/>
    <n v="1"/>
    <x v="1"/>
    <x v="0"/>
    <s v="filler"/>
    <x v="19"/>
    <m/>
    <m/>
    <m/>
    <n v="0"/>
    <n v="0"/>
    <n v="0"/>
    <n v="1"/>
  </r>
  <r>
    <n v="3"/>
    <n v="4"/>
    <n v="373"/>
    <n v="1"/>
    <x v="1"/>
    <x v="1"/>
    <s v="nontarget"/>
    <x v="30"/>
    <m/>
    <m/>
    <m/>
    <n v="1"/>
    <n v="1"/>
    <n v="0"/>
    <n v="1"/>
  </r>
  <r>
    <n v="3"/>
    <n v="4"/>
    <n v="374"/>
    <n v="1"/>
    <x v="1"/>
    <x v="2"/>
    <s v="repeat"/>
    <x v="30"/>
    <m/>
    <m/>
    <m/>
    <n v="1"/>
    <n v="0"/>
    <n v="0"/>
    <n v="0"/>
  </r>
  <r>
    <n v="3"/>
    <n v="4"/>
    <n v="375"/>
    <n v="2"/>
    <x v="0"/>
    <x v="0"/>
    <s v="filler"/>
    <x v="17"/>
    <m/>
    <m/>
    <m/>
    <n v="0"/>
    <n v="0"/>
    <n v="1"/>
    <n v="0"/>
  </r>
  <r>
    <n v="3"/>
    <n v="4"/>
    <n v="376"/>
    <n v="1"/>
    <x v="1"/>
    <x v="1"/>
    <s v="nontarget"/>
    <x v="28"/>
    <m/>
    <s v="yes"/>
    <s v="switch"/>
    <n v="0"/>
    <n v="1"/>
    <n v="0"/>
    <n v="1"/>
  </r>
  <r>
    <n v="3"/>
    <n v="4"/>
    <n v="377"/>
    <n v="1"/>
    <x v="1"/>
    <x v="2"/>
    <s v="repeat"/>
    <x v="28"/>
    <m/>
    <m/>
    <m/>
    <n v="1"/>
    <n v="0"/>
    <n v="0"/>
    <n v="0"/>
  </r>
  <r>
    <n v="4"/>
    <n v="4"/>
    <n v="378"/>
    <n v="1"/>
    <x v="1"/>
    <x v="0"/>
    <s v="filler"/>
    <x v="25"/>
    <m/>
    <s v="yes"/>
    <s v="repeat"/>
    <n v="1"/>
    <n v="0"/>
    <n v="1"/>
    <n v="0"/>
  </r>
  <r>
    <n v="4"/>
    <n v="4"/>
    <n v="379"/>
    <n v="2"/>
    <x v="0"/>
    <x v="0"/>
    <s v="filler"/>
    <x v="0"/>
    <m/>
    <m/>
    <m/>
    <n v="0"/>
    <n v="0"/>
    <n v="0"/>
    <n v="1"/>
  </r>
  <r>
    <n v="4"/>
    <n v="4"/>
    <n v="380"/>
    <n v="2"/>
    <x v="0"/>
    <x v="0"/>
    <s v="filler"/>
    <x v="30"/>
    <m/>
    <s v="yes"/>
    <s v="repeat"/>
    <n v="1"/>
    <n v="0"/>
    <n v="0"/>
    <n v="1"/>
  </r>
  <r>
    <n v="4"/>
    <n v="4"/>
    <n v="381"/>
    <n v="1"/>
    <x v="1"/>
    <x v="1"/>
    <s v="nontarget"/>
    <x v="14"/>
    <m/>
    <m/>
    <m/>
    <n v="0"/>
    <n v="1"/>
    <n v="0"/>
    <n v="1"/>
  </r>
  <r>
    <n v="4"/>
    <n v="4"/>
    <n v="382"/>
    <n v="1"/>
    <x v="1"/>
    <x v="2"/>
    <s v="repeat"/>
    <x v="14"/>
    <m/>
    <m/>
    <m/>
    <n v="1"/>
    <n v="0"/>
    <n v="0"/>
    <n v="0"/>
  </r>
  <r>
    <n v="4"/>
    <n v="4"/>
    <n v="383"/>
    <n v="1"/>
    <x v="1"/>
    <x v="1"/>
    <s v="nontarget"/>
    <x v="8"/>
    <m/>
    <s v="yes"/>
    <s v="repeat"/>
    <n v="1"/>
    <n v="1"/>
    <n v="1"/>
    <n v="0"/>
  </r>
  <r>
    <n v="4"/>
    <n v="4"/>
    <n v="384"/>
    <n v="2"/>
    <x v="0"/>
    <x v="2"/>
    <s v="switch"/>
    <x v="8"/>
    <m/>
    <m/>
    <m/>
    <n v="0"/>
    <n v="0"/>
    <n v="0"/>
    <n v="0"/>
  </r>
  <r>
    <n v="4"/>
    <n v="4"/>
    <n v="385"/>
    <n v="1"/>
    <x v="1"/>
    <x v="0"/>
    <s v="filler"/>
    <x v="31"/>
    <m/>
    <m/>
    <m/>
    <n v="0"/>
    <n v="0"/>
    <n v="1"/>
    <n v="0"/>
  </r>
  <r>
    <n v="4"/>
    <n v="4"/>
    <n v="386"/>
    <n v="2"/>
    <x v="0"/>
    <x v="1"/>
    <s v="nontarget"/>
    <x v="6"/>
    <m/>
    <s v="yes"/>
    <s v="switch"/>
    <n v="0"/>
    <n v="1"/>
    <n v="0"/>
    <n v="1"/>
  </r>
  <r>
    <n v="4"/>
    <n v="4"/>
    <n v="387"/>
    <n v="2"/>
    <x v="0"/>
    <x v="2"/>
    <s v="repeat"/>
    <x v="6"/>
    <m/>
    <m/>
    <m/>
    <n v="1"/>
    <n v="0"/>
    <n v="0"/>
    <n v="0"/>
  </r>
  <r>
    <n v="4"/>
    <n v="4"/>
    <n v="388"/>
    <n v="2"/>
    <x v="0"/>
    <x v="1"/>
    <s v="nontarget"/>
    <x v="2"/>
    <m/>
    <m/>
    <m/>
    <n v="1"/>
    <n v="1"/>
    <n v="1"/>
    <n v="0"/>
  </r>
  <r>
    <n v="4"/>
    <n v="4"/>
    <n v="389"/>
    <n v="1"/>
    <x v="1"/>
    <x v="2"/>
    <s v="switch"/>
    <x v="2"/>
    <m/>
    <m/>
    <m/>
    <n v="0"/>
    <n v="0"/>
    <n v="0"/>
    <n v="0"/>
  </r>
  <r>
    <n v="4"/>
    <n v="4"/>
    <n v="390"/>
    <n v="2"/>
    <x v="0"/>
    <x v="0"/>
    <s v="filler"/>
    <x v="27"/>
    <m/>
    <m/>
    <m/>
    <n v="0"/>
    <n v="0"/>
    <n v="1"/>
    <n v="0"/>
  </r>
  <r>
    <n v="4"/>
    <n v="4"/>
    <n v="391"/>
    <n v="1"/>
    <x v="1"/>
    <x v="1"/>
    <s v="nontarget"/>
    <x v="10"/>
    <m/>
    <s v="yes"/>
    <s v="switch"/>
    <n v="0"/>
    <n v="1"/>
    <n v="0"/>
    <n v="1"/>
  </r>
  <r>
    <n v="4"/>
    <n v="4"/>
    <n v="392"/>
    <n v="2"/>
    <x v="0"/>
    <x v="2"/>
    <s v="switch"/>
    <x v="10"/>
    <m/>
    <m/>
    <m/>
    <n v="0"/>
    <n v="0"/>
    <n v="0"/>
    <n v="0"/>
  </r>
  <r>
    <n v="4"/>
    <n v="4"/>
    <n v="393"/>
    <n v="1"/>
    <x v="1"/>
    <x v="0"/>
    <s v="filler"/>
    <x v="0"/>
    <s v="here"/>
    <m/>
    <m/>
    <n v="0"/>
    <n v="0"/>
    <n v="1"/>
    <n v="0"/>
  </r>
  <r>
    <n v="4"/>
    <n v="4"/>
    <n v="394"/>
    <n v="2"/>
    <x v="0"/>
    <x v="0"/>
    <s v="filler"/>
    <x v="26"/>
    <m/>
    <m/>
    <m/>
    <n v="0"/>
    <n v="0"/>
    <n v="0"/>
    <n v="1"/>
  </r>
  <r>
    <n v="4"/>
    <n v="4"/>
    <n v="395"/>
    <n v="2"/>
    <x v="0"/>
    <x v="1"/>
    <s v="nontarget"/>
    <x v="12"/>
    <m/>
    <s v="yes"/>
    <s v="repeat"/>
    <n v="1"/>
    <n v="1"/>
    <n v="0"/>
    <n v="1"/>
  </r>
  <r>
    <n v="4"/>
    <n v="4"/>
    <n v="396"/>
    <n v="2"/>
    <x v="0"/>
    <x v="2"/>
    <s v="repeat"/>
    <x v="12"/>
    <m/>
    <m/>
    <m/>
    <n v="1"/>
    <n v="0"/>
    <n v="0"/>
    <n v="0"/>
  </r>
  <r>
    <n v="4"/>
    <n v="4"/>
    <n v="397"/>
    <n v="1"/>
    <x v="1"/>
    <x v="0"/>
    <s v="filler"/>
    <x v="32"/>
    <m/>
    <s v="yes"/>
    <s v="switch"/>
    <n v="0"/>
    <n v="0"/>
    <n v="1"/>
    <n v="0"/>
  </r>
  <r>
    <n v="4"/>
    <n v="4"/>
    <n v="398"/>
    <n v="2"/>
    <x v="0"/>
    <x v="0"/>
    <s v="filler"/>
    <x v="29"/>
    <m/>
    <m/>
    <m/>
    <n v="0"/>
    <n v="0"/>
    <n v="0"/>
    <n v="1"/>
  </r>
  <r>
    <n v="4"/>
    <n v="4"/>
    <n v="399"/>
    <n v="2"/>
    <x v="0"/>
    <x v="1"/>
    <s v="nontarget"/>
    <x v="15"/>
    <m/>
    <s v="yes"/>
    <s v="repeat"/>
    <n v="1"/>
    <n v="1"/>
    <n v="0"/>
    <n v="1"/>
  </r>
  <r>
    <n v="4"/>
    <n v="4"/>
    <n v="400"/>
    <n v="1"/>
    <x v="1"/>
    <x v="2"/>
    <s v="switch"/>
    <x v="15"/>
    <m/>
    <m/>
    <m/>
    <n v="0"/>
    <n v="0"/>
    <n v="0"/>
    <n v="0"/>
  </r>
  <r>
    <n v="4"/>
    <n v="4"/>
    <n v="401"/>
    <n v="2"/>
    <x v="0"/>
    <x v="0"/>
    <s v="filler"/>
    <x v="0"/>
    <s v="here"/>
    <m/>
    <m/>
    <n v="0"/>
    <n v="0"/>
    <n v="1"/>
    <n v="0"/>
  </r>
  <r>
    <n v="4"/>
    <n v="4"/>
    <n v="402"/>
    <n v="1"/>
    <x v="1"/>
    <x v="0"/>
    <s v="filler"/>
    <x v="28"/>
    <m/>
    <m/>
    <m/>
    <n v="0"/>
    <n v="0"/>
    <n v="0"/>
    <n v="1"/>
  </r>
  <r>
    <n v="4"/>
    <n v="4"/>
    <n v="403"/>
    <n v="1"/>
    <x v="1"/>
    <x v="1"/>
    <s v="nontarget"/>
    <x v="4"/>
    <m/>
    <s v="yes"/>
    <s v="repeat"/>
    <n v="1"/>
    <n v="1"/>
    <n v="0"/>
    <n v="1"/>
  </r>
  <r>
    <n v="4"/>
    <n v="4"/>
    <n v="404"/>
    <n v="1"/>
    <x v="1"/>
    <x v="2"/>
    <s v="repeat"/>
    <x v="4"/>
    <m/>
    <m/>
    <m/>
    <n v="1"/>
    <n v="0"/>
    <n v="0"/>
    <n v="0"/>
  </r>
  <r>
    <n v="4"/>
    <n v="4"/>
    <n v="405"/>
    <n v="2"/>
    <x v="0"/>
    <x v="0"/>
    <s v="filler"/>
    <x v="0"/>
    <s v="here"/>
    <m/>
    <m/>
    <n v="0"/>
    <n v="1"/>
    <n v="1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x v="0"/>
    <x v="0"/>
    <n v="1"/>
    <n v="2"/>
    <s v="speak"/>
    <s v="F"/>
    <s v="filler"/>
    <m/>
    <s v="here"/>
    <m/>
    <m/>
    <n v="0"/>
    <n v="0"/>
    <n v="0"/>
    <n v="0"/>
  </r>
  <r>
    <x v="0"/>
    <x v="0"/>
    <n v="2"/>
    <n v="2"/>
    <s v="speak"/>
    <s v="NT"/>
    <s v="nontarget"/>
    <s v="Stim1_Set1"/>
    <m/>
    <s v="yes"/>
    <s v="repeat"/>
    <n v="1"/>
    <n v="1"/>
    <n v="0"/>
    <n v="1"/>
  </r>
  <r>
    <x v="0"/>
    <x v="0"/>
    <n v="3"/>
    <n v="2"/>
    <s v="speak"/>
    <s v="T"/>
    <s v="repeat"/>
    <s v="Stim1_Set1"/>
    <m/>
    <m/>
    <m/>
    <n v="1"/>
    <n v="0"/>
    <n v="0"/>
    <n v="0"/>
  </r>
  <r>
    <x v="0"/>
    <x v="0"/>
    <n v="4"/>
    <n v="1"/>
    <s v="type"/>
    <s v="F"/>
    <s v="filler"/>
    <s v="Stim1_Set4"/>
    <m/>
    <m/>
    <m/>
    <n v="0"/>
    <n v="0"/>
    <n v="1"/>
    <n v="0"/>
  </r>
  <r>
    <x v="0"/>
    <x v="0"/>
    <n v="5"/>
    <n v="2"/>
    <s v="speak"/>
    <s v="NT"/>
    <s v="nontarget"/>
    <s v="Stim2_Set1"/>
    <m/>
    <s v="yes"/>
    <s v="switch"/>
    <n v="0"/>
    <n v="1"/>
    <n v="0"/>
    <n v="1"/>
  </r>
  <r>
    <x v="0"/>
    <x v="0"/>
    <n v="6"/>
    <n v="2"/>
    <s v="speak"/>
    <s v="T"/>
    <s v="repeat"/>
    <s v="Stim2_Set1"/>
    <m/>
    <m/>
    <m/>
    <n v="1"/>
    <n v="0"/>
    <n v="0"/>
    <n v="0"/>
  </r>
  <r>
    <x v="0"/>
    <x v="0"/>
    <n v="7"/>
    <n v="1"/>
    <s v="type"/>
    <s v="F"/>
    <s v="filler"/>
    <s v="Stim2_Set4"/>
    <m/>
    <s v="yes"/>
    <s v="switch"/>
    <n v="0"/>
    <n v="0"/>
    <n v="1"/>
    <n v="0"/>
  </r>
  <r>
    <x v="0"/>
    <x v="0"/>
    <n v="8"/>
    <n v="2"/>
    <s v="speak"/>
    <s v="NT"/>
    <s v="nontarget"/>
    <s v="Stim3_Set1"/>
    <m/>
    <m/>
    <m/>
    <n v="0"/>
    <n v="1"/>
    <n v="0"/>
    <n v="1"/>
  </r>
  <r>
    <x v="0"/>
    <x v="0"/>
    <n v="9"/>
    <n v="1"/>
    <s v="type"/>
    <s v="T"/>
    <s v="switch"/>
    <s v="Stim3_Set1"/>
    <m/>
    <m/>
    <m/>
    <n v="0"/>
    <n v="0"/>
    <n v="0"/>
    <n v="0"/>
  </r>
  <r>
    <x v="0"/>
    <x v="0"/>
    <n v="10"/>
    <n v="2"/>
    <s v="speak"/>
    <s v="F"/>
    <s v="filler"/>
    <s v="Stim5_Set4"/>
    <m/>
    <m/>
    <m/>
    <n v="0"/>
    <n v="0"/>
    <n v="1"/>
    <n v="0"/>
  </r>
  <r>
    <x v="0"/>
    <x v="0"/>
    <n v="11"/>
    <n v="1"/>
    <s v="type"/>
    <s v="NT"/>
    <s v="nontarget"/>
    <s v="Stim4_Set1"/>
    <m/>
    <s v="yes"/>
    <s v="switch"/>
    <n v="0"/>
    <n v="1"/>
    <n v="0"/>
    <n v="1"/>
  </r>
  <r>
    <x v="0"/>
    <x v="0"/>
    <n v="12"/>
    <n v="2"/>
    <s v="speak"/>
    <s v="T"/>
    <s v="switch"/>
    <s v="Stim4_Set1"/>
    <m/>
    <m/>
    <m/>
    <n v="0"/>
    <n v="0"/>
    <n v="0"/>
    <n v="0"/>
  </r>
  <r>
    <x v="0"/>
    <x v="0"/>
    <n v="13"/>
    <n v="2"/>
    <s v="speak"/>
    <s v="F"/>
    <s v="filler"/>
    <s v="Stim3_Set4"/>
    <m/>
    <m/>
    <m/>
    <n v="1"/>
    <n v="0"/>
    <n v="1"/>
    <n v="0"/>
  </r>
  <r>
    <x v="0"/>
    <x v="0"/>
    <n v="14"/>
    <n v="2"/>
    <s v="speak"/>
    <s v="NT"/>
    <s v="nontarget"/>
    <s v="Stim5_Set1"/>
    <m/>
    <m/>
    <m/>
    <n v="1"/>
    <n v="1"/>
    <n v="0"/>
    <n v="1"/>
  </r>
  <r>
    <x v="0"/>
    <x v="0"/>
    <n v="15"/>
    <n v="1"/>
    <s v="type"/>
    <s v="T"/>
    <s v="switch"/>
    <s v="Stim5_Set1"/>
    <m/>
    <m/>
    <m/>
    <n v="0"/>
    <n v="0"/>
    <n v="0"/>
    <n v="0"/>
  </r>
  <r>
    <x v="0"/>
    <x v="0"/>
    <n v="16"/>
    <n v="2"/>
    <s v="speak"/>
    <s v="F"/>
    <s v="filler"/>
    <s v="Stim4_Set4"/>
    <m/>
    <m/>
    <m/>
    <n v="0"/>
    <n v="0"/>
    <n v="1"/>
    <n v="0"/>
  </r>
  <r>
    <x v="0"/>
    <x v="0"/>
    <n v="17"/>
    <n v="1"/>
    <s v="type"/>
    <s v="NT"/>
    <s v="nontarget"/>
    <s v="Stim6_Set1"/>
    <m/>
    <s v="yes"/>
    <s v="switch"/>
    <n v="0"/>
    <n v="1"/>
    <n v="0"/>
    <n v="1"/>
  </r>
  <r>
    <x v="0"/>
    <x v="0"/>
    <n v="18"/>
    <n v="1"/>
    <s v="type"/>
    <s v="T"/>
    <s v="repeat"/>
    <s v="Stim6_Set1"/>
    <m/>
    <m/>
    <m/>
    <n v="1"/>
    <n v="0"/>
    <n v="0"/>
    <n v="0"/>
  </r>
  <r>
    <x v="0"/>
    <x v="0"/>
    <n v="19"/>
    <n v="1"/>
    <s v="type"/>
    <s v="F"/>
    <s v="filler"/>
    <s v="Stim7_Set4"/>
    <m/>
    <m/>
    <m/>
    <n v="1"/>
    <n v="0"/>
    <n v="1"/>
    <n v="0"/>
  </r>
  <r>
    <x v="0"/>
    <x v="0"/>
    <n v="20"/>
    <n v="1"/>
    <s v="type"/>
    <s v="NT"/>
    <s v="nontarget"/>
    <s v="Stim7_Set1"/>
    <m/>
    <s v="yes"/>
    <s v="repeat"/>
    <n v="1"/>
    <n v="1"/>
    <n v="0"/>
    <n v="1"/>
  </r>
  <r>
    <x v="0"/>
    <x v="0"/>
    <n v="21"/>
    <n v="1"/>
    <s v="type"/>
    <s v="T"/>
    <s v="repeat"/>
    <s v="Stim7_Set1"/>
    <m/>
    <m/>
    <m/>
    <n v="1"/>
    <n v="0"/>
    <n v="0"/>
    <n v="0"/>
  </r>
  <r>
    <x v="0"/>
    <x v="0"/>
    <n v="22"/>
    <n v="2"/>
    <s v="speak"/>
    <s v="F"/>
    <s v="filler"/>
    <s v="Stim6_Set4"/>
    <m/>
    <s v="yes"/>
    <s v="switch"/>
    <n v="0"/>
    <n v="0"/>
    <n v="1"/>
    <n v="0"/>
  </r>
  <r>
    <x v="0"/>
    <x v="0"/>
    <n v="23"/>
    <n v="1"/>
    <s v="type"/>
    <s v="F"/>
    <s v="filler"/>
    <s v="Stim8_Set4"/>
    <m/>
    <s v="yes"/>
    <s v="switch"/>
    <n v="0"/>
    <n v="0"/>
    <n v="0"/>
    <n v="1"/>
  </r>
  <r>
    <x v="0"/>
    <x v="0"/>
    <n v="24"/>
    <n v="1"/>
    <s v="type"/>
    <s v="NT"/>
    <s v="nontarget"/>
    <s v="Stim8_Set1"/>
    <m/>
    <s v="yes"/>
    <s v="repeat"/>
    <n v="1"/>
    <n v="1"/>
    <n v="0"/>
    <n v="1"/>
  </r>
  <r>
    <x v="0"/>
    <x v="0"/>
    <n v="25"/>
    <n v="2"/>
    <s v="speak"/>
    <s v="T"/>
    <s v="switch"/>
    <s v="Stim8_Set1"/>
    <m/>
    <m/>
    <m/>
    <n v="0"/>
    <n v="0"/>
    <n v="0"/>
    <n v="0"/>
  </r>
  <r>
    <x v="1"/>
    <x v="0"/>
    <n v="26"/>
    <n v="2"/>
    <s v="speak"/>
    <s v="F"/>
    <s v="filler"/>
    <s v="Stim1_Set1"/>
    <m/>
    <m/>
    <m/>
    <n v="1"/>
    <n v="0"/>
    <n v="1"/>
    <n v="0"/>
  </r>
  <r>
    <x v="1"/>
    <x v="0"/>
    <n v="27"/>
    <n v="1"/>
    <s v="type"/>
    <s v="NT"/>
    <s v="nontarget"/>
    <s v="Stim1_Set2"/>
    <m/>
    <s v="yes"/>
    <s v="switch"/>
    <n v="0"/>
    <n v="1"/>
    <n v="0"/>
    <n v="1"/>
  </r>
  <r>
    <x v="1"/>
    <x v="0"/>
    <n v="28"/>
    <n v="1"/>
    <s v="type"/>
    <s v="T"/>
    <s v="repeat"/>
    <s v="Stim1_Set2"/>
    <m/>
    <m/>
    <m/>
    <n v="1"/>
    <n v="0"/>
    <n v="0"/>
    <n v="0"/>
  </r>
  <r>
    <x v="1"/>
    <x v="0"/>
    <n v="29"/>
    <n v="2"/>
    <s v="speak"/>
    <s v="F"/>
    <s v="filler"/>
    <s v="Stim2_Set1"/>
    <m/>
    <m/>
    <m/>
    <n v="0"/>
    <n v="0"/>
    <n v="1"/>
    <n v="0"/>
  </r>
  <r>
    <x v="1"/>
    <x v="0"/>
    <n v="30"/>
    <n v="1"/>
    <s v="type"/>
    <s v="NT"/>
    <s v="nontarget"/>
    <s v="Stim2_Set2"/>
    <m/>
    <s v="yes"/>
    <s v="switch"/>
    <n v="0"/>
    <n v="1"/>
    <n v="0"/>
    <n v="1"/>
  </r>
  <r>
    <x v="1"/>
    <x v="0"/>
    <n v="31"/>
    <n v="1"/>
    <s v="type"/>
    <s v="T"/>
    <s v="repeat"/>
    <s v="Stim2_Set2"/>
    <m/>
    <m/>
    <m/>
    <n v="1"/>
    <n v="0"/>
    <n v="0"/>
    <n v="0"/>
  </r>
  <r>
    <x v="1"/>
    <x v="0"/>
    <n v="32"/>
    <n v="2"/>
    <s v="speak"/>
    <s v="F"/>
    <s v="filler"/>
    <s v="Stim4_Set1"/>
    <m/>
    <m/>
    <m/>
    <n v="0"/>
    <n v="0"/>
    <n v="1"/>
    <n v="0"/>
  </r>
  <r>
    <x v="1"/>
    <x v="0"/>
    <n v="33"/>
    <n v="1"/>
    <s v="type"/>
    <s v="NT"/>
    <s v="nontarget"/>
    <s v="Stim3_Set2"/>
    <m/>
    <m/>
    <m/>
    <n v="0"/>
    <n v="1"/>
    <n v="0"/>
    <n v="1"/>
  </r>
  <r>
    <x v="1"/>
    <x v="0"/>
    <n v="34"/>
    <n v="2"/>
    <s v="speak"/>
    <s v="T"/>
    <s v="switch"/>
    <s v="Stim3_Set2"/>
    <m/>
    <m/>
    <m/>
    <n v="0"/>
    <n v="0"/>
    <n v="0"/>
    <n v="0"/>
  </r>
  <r>
    <x v="1"/>
    <x v="0"/>
    <n v="35"/>
    <n v="2"/>
    <s v="speak"/>
    <s v="NT"/>
    <s v="nontarget"/>
    <s v="Stim4_Set2"/>
    <m/>
    <s v="yes"/>
    <s v="repeat"/>
    <n v="1"/>
    <n v="1"/>
    <n v="1"/>
    <n v="0"/>
  </r>
  <r>
    <x v="1"/>
    <x v="0"/>
    <n v="36"/>
    <n v="1"/>
    <s v="type"/>
    <s v="T"/>
    <s v="switch"/>
    <s v="Stim4_Set2"/>
    <m/>
    <m/>
    <m/>
    <n v="0"/>
    <n v="0"/>
    <n v="0"/>
    <n v="0"/>
  </r>
  <r>
    <x v="1"/>
    <x v="0"/>
    <n v="37"/>
    <n v="1"/>
    <s v="type"/>
    <s v="F"/>
    <s v="filler"/>
    <s v="Stim3_Set1"/>
    <m/>
    <m/>
    <m/>
    <n v="1"/>
    <n v="0"/>
    <n v="1"/>
    <n v="0"/>
  </r>
  <r>
    <x v="1"/>
    <x v="0"/>
    <n v="38"/>
    <n v="1"/>
    <s v="type"/>
    <s v="NT"/>
    <s v="nontarget"/>
    <s v="Stim5_Set2"/>
    <m/>
    <s v="yes"/>
    <s v="repeat"/>
    <n v="1"/>
    <n v="1"/>
    <n v="0"/>
    <n v="1"/>
  </r>
  <r>
    <x v="1"/>
    <x v="0"/>
    <n v="39"/>
    <n v="2"/>
    <s v="speak"/>
    <s v="T"/>
    <s v="switch"/>
    <s v="Stim5_Set2"/>
    <m/>
    <m/>
    <m/>
    <n v="0"/>
    <n v="0"/>
    <n v="0"/>
    <n v="0"/>
  </r>
  <r>
    <x v="1"/>
    <x v="0"/>
    <n v="40"/>
    <n v="1"/>
    <s v="type"/>
    <s v="F"/>
    <s v="filler"/>
    <s v="Stim7_Set1"/>
    <m/>
    <m/>
    <m/>
    <n v="0"/>
    <n v="0"/>
    <n v="1"/>
    <n v="0"/>
  </r>
  <r>
    <x v="1"/>
    <x v="0"/>
    <n v="41"/>
    <n v="2"/>
    <s v="speak"/>
    <s v="F"/>
    <s v="filler"/>
    <s v="Stim5_Set1"/>
    <m/>
    <s v="yes"/>
    <s v="switch"/>
    <n v="0"/>
    <n v="0"/>
    <n v="0"/>
    <n v="1"/>
  </r>
  <r>
    <x v="1"/>
    <x v="0"/>
    <n v="42"/>
    <n v="2"/>
    <s v="speak"/>
    <s v="NT"/>
    <s v="nontarget"/>
    <s v="Stim6_Set2"/>
    <m/>
    <s v="yes"/>
    <s v="repeat"/>
    <n v="1"/>
    <n v="1"/>
    <n v="0"/>
    <n v="1"/>
  </r>
  <r>
    <x v="1"/>
    <x v="0"/>
    <n v="43"/>
    <n v="2"/>
    <s v="speak"/>
    <s v="T"/>
    <s v="repeat"/>
    <s v="Stim6_Set2"/>
    <m/>
    <m/>
    <m/>
    <n v="1"/>
    <n v="0"/>
    <n v="0"/>
    <n v="0"/>
  </r>
  <r>
    <x v="1"/>
    <x v="0"/>
    <n v="44"/>
    <n v="1"/>
    <s v="type"/>
    <s v="F"/>
    <s v="filler"/>
    <s v="Stim6_Set1"/>
    <m/>
    <m/>
    <m/>
    <n v="0"/>
    <n v="0"/>
    <n v="1"/>
    <n v="0"/>
  </r>
  <r>
    <x v="1"/>
    <x v="0"/>
    <n v="45"/>
    <n v="2"/>
    <s v="speak"/>
    <s v="NT"/>
    <s v="nontarget"/>
    <s v="Stim7_Set2"/>
    <m/>
    <s v="yes"/>
    <s v="switch"/>
    <n v="0"/>
    <n v="1"/>
    <n v="0"/>
    <n v="1"/>
  </r>
  <r>
    <x v="1"/>
    <x v="0"/>
    <n v="46"/>
    <n v="2"/>
    <s v="speak"/>
    <s v="T"/>
    <s v="repeat"/>
    <s v="Stim7_Set2"/>
    <m/>
    <m/>
    <m/>
    <n v="1"/>
    <n v="0"/>
    <n v="0"/>
    <n v="0"/>
  </r>
  <r>
    <x v="1"/>
    <x v="0"/>
    <n v="47"/>
    <n v="1"/>
    <s v="type"/>
    <s v="F"/>
    <s v="filler"/>
    <m/>
    <s v="here"/>
    <m/>
    <m/>
    <n v="0"/>
    <n v="0"/>
    <n v="1"/>
    <n v="0"/>
  </r>
  <r>
    <x v="1"/>
    <x v="0"/>
    <n v="48"/>
    <n v="2"/>
    <s v="speak"/>
    <s v="F"/>
    <s v="filler"/>
    <s v="Stim8_Set1"/>
    <m/>
    <m/>
    <m/>
    <n v="0"/>
    <n v="0"/>
    <n v="0"/>
    <n v="1"/>
  </r>
  <r>
    <x v="1"/>
    <x v="0"/>
    <n v="49"/>
    <n v="2"/>
    <s v="speak"/>
    <s v="NT"/>
    <s v="nontarget"/>
    <s v="Stim8_Set2"/>
    <m/>
    <s v="yes"/>
    <s v="repeat"/>
    <n v="1"/>
    <n v="1"/>
    <n v="0"/>
    <n v="1"/>
  </r>
  <r>
    <x v="1"/>
    <x v="0"/>
    <n v="50"/>
    <n v="1"/>
    <s v="type"/>
    <s v="T"/>
    <s v="switch"/>
    <s v="Stim8_Set2"/>
    <m/>
    <m/>
    <m/>
    <n v="0"/>
    <n v="0"/>
    <n v="0"/>
    <n v="0"/>
  </r>
  <r>
    <x v="2"/>
    <x v="0"/>
    <n v="51"/>
    <n v="1"/>
    <s v="type"/>
    <s v="NT"/>
    <s v="nontarget"/>
    <s v="Stim1_Set3"/>
    <m/>
    <m/>
    <m/>
    <n v="1"/>
    <n v="1"/>
    <n v="1"/>
    <n v="0"/>
  </r>
  <r>
    <x v="2"/>
    <x v="0"/>
    <n v="52"/>
    <n v="2"/>
    <s v="speak"/>
    <s v="T"/>
    <s v="switch"/>
    <s v="Stim1_Set3"/>
    <m/>
    <m/>
    <m/>
    <n v="0"/>
    <n v="0"/>
    <n v="0"/>
    <n v="0"/>
  </r>
  <r>
    <x v="2"/>
    <x v="0"/>
    <n v="53"/>
    <n v="2"/>
    <s v="speak"/>
    <s v="F"/>
    <s v="filler"/>
    <m/>
    <s v="here"/>
    <m/>
    <m/>
    <n v="1"/>
    <n v="0"/>
    <n v="1"/>
    <n v="0"/>
  </r>
  <r>
    <x v="2"/>
    <x v="0"/>
    <n v="54"/>
    <n v="2"/>
    <s v="speak"/>
    <s v="NT"/>
    <s v="nontarget"/>
    <s v="Stim2_Set3"/>
    <m/>
    <s v="yes"/>
    <s v="repeat"/>
    <n v="1"/>
    <n v="1"/>
    <n v="0"/>
    <n v="1"/>
  </r>
  <r>
    <x v="2"/>
    <x v="0"/>
    <n v="55"/>
    <n v="1"/>
    <s v="type"/>
    <s v="T"/>
    <s v="switch"/>
    <s v="Stim2_Set3"/>
    <m/>
    <m/>
    <m/>
    <n v="0"/>
    <n v="0"/>
    <n v="0"/>
    <n v="0"/>
  </r>
  <r>
    <x v="2"/>
    <x v="0"/>
    <n v="56"/>
    <n v="1"/>
    <s v="type"/>
    <s v="F"/>
    <s v="filler"/>
    <s v="Stim1_Set2"/>
    <m/>
    <s v="yes"/>
    <s v="repeat"/>
    <n v="1"/>
    <n v="0"/>
    <n v="1"/>
    <n v="0"/>
  </r>
  <r>
    <x v="2"/>
    <x v="0"/>
    <n v="57"/>
    <n v="1"/>
    <s v="type"/>
    <s v="NT"/>
    <s v="nontarget"/>
    <s v="Stim3_Set3"/>
    <m/>
    <s v="yes"/>
    <s v="repeat"/>
    <n v="1"/>
    <n v="1"/>
    <n v="0"/>
    <n v="1"/>
  </r>
  <r>
    <x v="2"/>
    <x v="0"/>
    <n v="58"/>
    <n v="2"/>
    <s v="speak"/>
    <s v="T"/>
    <s v="switch"/>
    <s v="Stim3_Set3"/>
    <m/>
    <m/>
    <m/>
    <n v="0"/>
    <n v="0"/>
    <n v="0"/>
    <n v="0"/>
  </r>
  <r>
    <x v="2"/>
    <x v="0"/>
    <n v="59"/>
    <n v="2"/>
    <s v="speak"/>
    <s v="F"/>
    <s v="filler"/>
    <s v="Stim2_Set2"/>
    <m/>
    <m/>
    <m/>
    <n v="1"/>
    <n v="0"/>
    <n v="1"/>
    <n v="0"/>
  </r>
  <r>
    <x v="2"/>
    <x v="0"/>
    <n v="60"/>
    <n v="1"/>
    <s v="type"/>
    <s v="F"/>
    <s v="filler"/>
    <s v="Stim4_Set2"/>
    <m/>
    <m/>
    <m/>
    <n v="0"/>
    <n v="0"/>
    <n v="0"/>
    <n v="1"/>
  </r>
  <r>
    <x v="2"/>
    <x v="0"/>
    <n v="61"/>
    <n v="2"/>
    <s v="speak"/>
    <s v="NT"/>
    <s v="nontarget"/>
    <s v="Stim4_Set3"/>
    <m/>
    <s v="yes"/>
    <s v="switch"/>
    <n v="0"/>
    <n v="1"/>
    <n v="0"/>
    <n v="1"/>
  </r>
  <r>
    <x v="2"/>
    <x v="0"/>
    <n v="62"/>
    <n v="2"/>
    <s v="speak"/>
    <s v="T"/>
    <s v="repeat"/>
    <s v="Stim4_Set3"/>
    <m/>
    <m/>
    <m/>
    <n v="1"/>
    <n v="0"/>
    <n v="0"/>
    <n v="0"/>
  </r>
  <r>
    <x v="2"/>
    <x v="0"/>
    <n v="63"/>
    <n v="1"/>
    <s v="type"/>
    <s v="F"/>
    <s v="filler"/>
    <s v="Stim3_Set2"/>
    <m/>
    <m/>
    <m/>
    <n v="0"/>
    <n v="0"/>
    <n v="1"/>
    <n v="0"/>
  </r>
  <r>
    <x v="2"/>
    <x v="0"/>
    <n v="64"/>
    <n v="2"/>
    <s v="speak"/>
    <s v="F"/>
    <s v="filler"/>
    <s v="Stim5_Set2"/>
    <m/>
    <m/>
    <m/>
    <n v="0"/>
    <n v="0"/>
    <n v="0"/>
    <n v="1"/>
  </r>
  <r>
    <x v="2"/>
    <x v="0"/>
    <n v="65"/>
    <n v="2"/>
    <s v="speak"/>
    <s v="NT"/>
    <s v="nontarget"/>
    <s v="Stim5_Set3"/>
    <m/>
    <s v="yes"/>
    <s v="repeat"/>
    <n v="1"/>
    <n v="1"/>
    <n v="0"/>
    <n v="1"/>
  </r>
  <r>
    <x v="2"/>
    <x v="0"/>
    <n v="66"/>
    <n v="2"/>
    <s v="speak"/>
    <s v="T"/>
    <s v="repeat"/>
    <s v="Stim5_Set3"/>
    <m/>
    <m/>
    <m/>
    <n v="1"/>
    <n v="0"/>
    <n v="0"/>
    <n v="0"/>
  </r>
  <r>
    <x v="2"/>
    <x v="0"/>
    <n v="67"/>
    <n v="1"/>
    <s v="type"/>
    <s v="F"/>
    <s v="filler"/>
    <m/>
    <s v="here"/>
    <m/>
    <m/>
    <n v="0"/>
    <n v="0"/>
    <n v="1"/>
    <n v="0"/>
  </r>
  <r>
    <x v="2"/>
    <x v="0"/>
    <n v="68"/>
    <n v="2"/>
    <s v="speak"/>
    <s v="NT"/>
    <s v="nontarget"/>
    <s v="Stim6_Set3"/>
    <m/>
    <m/>
    <m/>
    <n v="0"/>
    <n v="1"/>
    <n v="0"/>
    <n v="1"/>
  </r>
  <r>
    <x v="2"/>
    <x v="0"/>
    <n v="69"/>
    <n v="1"/>
    <s v="type"/>
    <s v="T"/>
    <s v="switch"/>
    <s v="Stim6_Set3"/>
    <m/>
    <m/>
    <m/>
    <n v="0"/>
    <n v="0"/>
    <n v="0"/>
    <n v="0"/>
  </r>
  <r>
    <x v="2"/>
    <x v="0"/>
    <n v="70"/>
    <n v="2"/>
    <s v="speak"/>
    <s v="F"/>
    <s v="filler"/>
    <s v="Stim6_Set2"/>
    <m/>
    <s v="yes"/>
    <s v="switch"/>
    <n v="0"/>
    <n v="0"/>
    <n v="1"/>
    <n v="0"/>
  </r>
  <r>
    <x v="2"/>
    <x v="0"/>
    <n v="71"/>
    <n v="1"/>
    <s v="type"/>
    <s v="NT"/>
    <s v="nontarget"/>
    <s v="Stim7_Set3"/>
    <m/>
    <s v="yes"/>
    <s v="switch"/>
    <n v="0"/>
    <n v="1"/>
    <n v="0"/>
    <n v="1"/>
  </r>
  <r>
    <x v="2"/>
    <x v="0"/>
    <n v="72"/>
    <n v="1"/>
    <s v="type"/>
    <s v="T"/>
    <s v="repeat"/>
    <s v="Stim7_Set3"/>
    <m/>
    <m/>
    <m/>
    <n v="1"/>
    <n v="0"/>
    <n v="0"/>
    <n v="0"/>
  </r>
  <r>
    <x v="2"/>
    <x v="0"/>
    <n v="73"/>
    <n v="2"/>
    <s v="speak"/>
    <s v="F"/>
    <s v="filler"/>
    <s v="Stim7_Set2"/>
    <m/>
    <m/>
    <m/>
    <n v="0"/>
    <n v="0"/>
    <n v="1"/>
    <n v="0"/>
  </r>
  <r>
    <x v="2"/>
    <x v="0"/>
    <n v="74"/>
    <n v="1"/>
    <s v="type"/>
    <s v="F"/>
    <s v="filler"/>
    <s v="Stim8_Set2"/>
    <m/>
    <s v="yes"/>
    <s v="switch"/>
    <n v="0"/>
    <n v="0"/>
    <n v="0"/>
    <n v="1"/>
  </r>
  <r>
    <x v="2"/>
    <x v="0"/>
    <n v="75"/>
    <n v="1"/>
    <s v="type"/>
    <s v="NT"/>
    <s v="nontarget"/>
    <s v="Stim8_Set3"/>
    <m/>
    <s v="yes"/>
    <s v="repeat"/>
    <n v="1"/>
    <n v="1"/>
    <n v="0"/>
    <n v="1"/>
  </r>
  <r>
    <x v="2"/>
    <x v="0"/>
    <n v="76"/>
    <n v="1"/>
    <s v="type"/>
    <s v="T"/>
    <s v="repeat"/>
    <s v="Stim8_Set3"/>
    <m/>
    <m/>
    <m/>
    <n v="1"/>
    <n v="0"/>
    <n v="0"/>
    <n v="0"/>
  </r>
  <r>
    <x v="3"/>
    <x v="0"/>
    <n v="77"/>
    <n v="2"/>
    <s v="speak"/>
    <s v="F"/>
    <s v="filler"/>
    <s v="Stim1_Set3"/>
    <m/>
    <m/>
    <m/>
    <n v="0"/>
    <n v="0"/>
    <n v="1"/>
    <n v="0"/>
  </r>
  <r>
    <x v="3"/>
    <x v="0"/>
    <n v="78"/>
    <n v="1"/>
    <s v="type"/>
    <s v="NT"/>
    <s v="nontarget"/>
    <s v="Stim1_Set4"/>
    <m/>
    <s v="yes"/>
    <s v="switch"/>
    <n v="0"/>
    <n v="1"/>
    <n v="0"/>
    <n v="1"/>
  </r>
  <r>
    <x v="3"/>
    <x v="0"/>
    <n v="79"/>
    <n v="1"/>
    <s v="type"/>
    <s v="T"/>
    <s v="repeat"/>
    <s v="Stim1_Set4"/>
    <m/>
    <m/>
    <m/>
    <n v="1"/>
    <n v="0"/>
    <n v="0"/>
    <n v="0"/>
  </r>
  <r>
    <x v="3"/>
    <x v="0"/>
    <n v="80"/>
    <n v="1"/>
    <s v="type"/>
    <s v="NT"/>
    <s v="nontarget"/>
    <s v="Stim2_Set4"/>
    <m/>
    <m/>
    <m/>
    <n v="1"/>
    <n v="1"/>
    <n v="1"/>
    <n v="0"/>
  </r>
  <r>
    <x v="3"/>
    <x v="0"/>
    <n v="81"/>
    <n v="2"/>
    <s v="speak"/>
    <s v="T"/>
    <s v="switch"/>
    <s v="Stim2_Set4"/>
    <m/>
    <m/>
    <m/>
    <n v="0"/>
    <n v="0"/>
    <n v="0"/>
    <n v="0"/>
  </r>
  <r>
    <x v="3"/>
    <x v="0"/>
    <n v="82"/>
    <n v="2"/>
    <s v="speak"/>
    <s v="F"/>
    <s v="filler"/>
    <s v="Stim3_Set3"/>
    <m/>
    <s v="yes"/>
    <s v="repeat"/>
    <n v="1"/>
    <n v="0"/>
    <n v="1"/>
    <n v="0"/>
  </r>
  <r>
    <x v="3"/>
    <x v="0"/>
    <n v="83"/>
    <n v="1"/>
    <s v="type"/>
    <s v="F"/>
    <s v="filler"/>
    <s v="Stim2_Set3"/>
    <m/>
    <m/>
    <m/>
    <n v="0"/>
    <n v="0"/>
    <n v="0"/>
    <n v="1"/>
  </r>
  <r>
    <x v="3"/>
    <x v="0"/>
    <n v="84"/>
    <n v="2"/>
    <s v="speak"/>
    <s v="NT"/>
    <s v="nontarget"/>
    <s v="Stim3_Set4"/>
    <m/>
    <s v="yes"/>
    <s v="switch"/>
    <n v="0"/>
    <n v="1"/>
    <n v="0"/>
    <n v="1"/>
  </r>
  <r>
    <x v="3"/>
    <x v="0"/>
    <n v="85"/>
    <n v="2"/>
    <s v="speak"/>
    <s v="T"/>
    <s v="repeat"/>
    <s v="Stim3_Set4"/>
    <m/>
    <m/>
    <m/>
    <n v="1"/>
    <n v="0"/>
    <n v="0"/>
    <n v="0"/>
  </r>
  <r>
    <x v="3"/>
    <x v="0"/>
    <n v="86"/>
    <n v="2"/>
    <s v="speak"/>
    <s v="NT"/>
    <s v="nontarget"/>
    <s v="Stim4_Set4"/>
    <m/>
    <s v="yes"/>
    <s v="repeat"/>
    <n v="1"/>
    <n v="1"/>
    <n v="1"/>
    <n v="0"/>
  </r>
  <r>
    <x v="3"/>
    <x v="0"/>
    <n v="87"/>
    <n v="1"/>
    <s v="type"/>
    <s v="T"/>
    <s v="switch"/>
    <s v="Stim4_Set4"/>
    <m/>
    <m/>
    <m/>
    <n v="0"/>
    <n v="0"/>
    <n v="0"/>
    <n v="0"/>
  </r>
  <r>
    <x v="3"/>
    <x v="0"/>
    <n v="88"/>
    <n v="2"/>
    <s v="speak"/>
    <s v="F"/>
    <s v="filler"/>
    <s v="Stim4_Set3"/>
    <m/>
    <m/>
    <m/>
    <n v="0"/>
    <n v="0"/>
    <n v="1"/>
    <n v="0"/>
  </r>
  <r>
    <x v="3"/>
    <x v="0"/>
    <n v="89"/>
    <n v="1"/>
    <s v="type"/>
    <s v="F"/>
    <s v="filler"/>
    <s v="Stim5_Set3"/>
    <m/>
    <m/>
    <m/>
    <n v="0"/>
    <n v="0"/>
    <n v="0"/>
    <n v="1"/>
  </r>
  <r>
    <x v="3"/>
    <x v="0"/>
    <n v="90"/>
    <n v="1"/>
    <s v="type"/>
    <s v="NT"/>
    <s v="nontarget"/>
    <s v="Stim5_Set4"/>
    <m/>
    <s v="yes"/>
    <s v="repeat"/>
    <n v="1"/>
    <n v="1"/>
    <n v="0"/>
    <n v="1"/>
  </r>
  <r>
    <x v="3"/>
    <x v="0"/>
    <n v="91"/>
    <n v="2"/>
    <s v="speak"/>
    <s v="T"/>
    <s v="switch"/>
    <s v="Stim5_Set4"/>
    <m/>
    <m/>
    <m/>
    <n v="0"/>
    <n v="0"/>
    <n v="0"/>
    <n v="0"/>
  </r>
  <r>
    <x v="3"/>
    <x v="0"/>
    <n v="92"/>
    <n v="2"/>
    <s v="speak"/>
    <s v="NT"/>
    <s v="nontarget"/>
    <s v="Stim6_Set4"/>
    <m/>
    <m/>
    <m/>
    <n v="1"/>
    <n v="1"/>
    <n v="1"/>
    <n v="0"/>
  </r>
  <r>
    <x v="3"/>
    <x v="0"/>
    <n v="93"/>
    <n v="2"/>
    <s v="speak"/>
    <s v="T"/>
    <s v="repeat"/>
    <s v="Stim6_Set4"/>
    <m/>
    <m/>
    <m/>
    <n v="1"/>
    <n v="0"/>
    <n v="0"/>
    <n v="0"/>
  </r>
  <r>
    <x v="3"/>
    <x v="0"/>
    <n v="94"/>
    <n v="1"/>
    <s v="type"/>
    <s v="F"/>
    <s v="filler"/>
    <m/>
    <s v="here"/>
    <m/>
    <m/>
    <n v="0"/>
    <n v="0"/>
    <n v="1"/>
    <n v="0"/>
  </r>
  <r>
    <x v="3"/>
    <x v="0"/>
    <n v="95"/>
    <n v="2"/>
    <s v="speak"/>
    <s v="F"/>
    <s v="filler"/>
    <s v="Stim7_Set3"/>
    <m/>
    <m/>
    <m/>
    <n v="0"/>
    <n v="0"/>
    <n v="0"/>
    <n v="1"/>
  </r>
  <r>
    <x v="3"/>
    <x v="0"/>
    <n v="96"/>
    <n v="2"/>
    <s v="speak"/>
    <s v="NT"/>
    <s v="nontarget"/>
    <s v="Stim7_Set4"/>
    <m/>
    <m/>
    <m/>
    <n v="1"/>
    <n v="1"/>
    <n v="0"/>
    <n v="1"/>
  </r>
  <r>
    <x v="3"/>
    <x v="0"/>
    <n v="97"/>
    <n v="1"/>
    <s v="type"/>
    <s v="T"/>
    <s v="switch"/>
    <s v="Stim7_Set4"/>
    <m/>
    <m/>
    <m/>
    <n v="0"/>
    <n v="0"/>
    <n v="0"/>
    <n v="0"/>
  </r>
  <r>
    <x v="3"/>
    <x v="0"/>
    <n v="98"/>
    <n v="1"/>
    <s v="type"/>
    <s v="NT"/>
    <s v="nontarget"/>
    <s v="Stim8_Set4"/>
    <m/>
    <m/>
    <m/>
    <n v="1"/>
    <n v="1"/>
    <n v="1"/>
    <n v="0"/>
  </r>
  <r>
    <x v="3"/>
    <x v="0"/>
    <n v="99"/>
    <n v="1"/>
    <s v="type"/>
    <s v="T"/>
    <s v="repeat"/>
    <s v="Stim8_Set4"/>
    <m/>
    <m/>
    <m/>
    <n v="1"/>
    <n v="0"/>
    <n v="0"/>
    <n v="0"/>
  </r>
  <r>
    <x v="3"/>
    <x v="0"/>
    <n v="100"/>
    <n v="1"/>
    <s v="speak"/>
    <s v="F"/>
    <s v="filler"/>
    <s v="Stim8_Set3"/>
    <m/>
    <m/>
    <m/>
    <n v="0"/>
    <n v="0"/>
    <n v="1"/>
    <n v="0"/>
  </r>
  <r>
    <x v="3"/>
    <x v="0"/>
    <n v="101"/>
    <n v="1"/>
    <s v="type"/>
    <s v="F"/>
    <s v="filler"/>
    <s v="Stim6_Set3"/>
    <m/>
    <m/>
    <m/>
    <n v="0"/>
    <n v="0"/>
    <n v="0"/>
    <n v="1"/>
  </r>
  <r>
    <x v="4"/>
    <x v="1"/>
    <n v="102"/>
    <m/>
    <s v="break"/>
    <s v="break"/>
    <m/>
    <m/>
    <m/>
    <m/>
    <m/>
    <n v="0"/>
    <n v="0"/>
    <n v="0"/>
    <n v="1"/>
  </r>
  <r>
    <x v="0"/>
    <x v="2"/>
    <n v="103"/>
    <n v="2"/>
    <s v="speak"/>
    <s v="NT"/>
    <s v="nontarget"/>
    <s v="Stim4_Set1"/>
    <m/>
    <s v="yes"/>
    <s v="switch"/>
    <n v="0"/>
    <n v="1"/>
    <n v="0"/>
    <n v="0"/>
  </r>
  <r>
    <x v="0"/>
    <x v="2"/>
    <n v="104"/>
    <n v="2"/>
    <s v="speak"/>
    <s v="T"/>
    <s v="repeat"/>
    <s v="Stim4_Set1"/>
    <m/>
    <m/>
    <m/>
    <n v="1"/>
    <n v="0"/>
    <n v="0"/>
    <n v="0"/>
  </r>
  <r>
    <x v="0"/>
    <x v="2"/>
    <n v="105"/>
    <n v="1"/>
    <s v="type"/>
    <s v="F"/>
    <s v="filler"/>
    <s v="Stim3_Set4"/>
    <m/>
    <m/>
    <m/>
    <n v="0"/>
    <n v="0"/>
    <n v="1"/>
    <n v="0"/>
  </r>
  <r>
    <x v="0"/>
    <x v="2"/>
    <n v="106"/>
    <n v="2"/>
    <s v="speak"/>
    <s v="NT"/>
    <s v="nontarget"/>
    <s v="Stim3_Set1"/>
    <m/>
    <s v="yes"/>
    <s v="switch"/>
    <n v="0"/>
    <n v="1"/>
    <n v="0"/>
    <n v="1"/>
  </r>
  <r>
    <x v="0"/>
    <x v="2"/>
    <n v="107"/>
    <n v="2"/>
    <s v="speak"/>
    <s v="T"/>
    <s v="repeat"/>
    <s v="Stim3_Set1"/>
    <m/>
    <m/>
    <m/>
    <n v="1"/>
    <n v="0"/>
    <n v="0"/>
    <n v="0"/>
  </r>
  <r>
    <x v="0"/>
    <x v="2"/>
    <n v="108"/>
    <n v="1"/>
    <s v="type"/>
    <s v="F"/>
    <s v="filler"/>
    <m/>
    <s v="here"/>
    <m/>
    <m/>
    <n v="0"/>
    <n v="0"/>
    <n v="1"/>
    <n v="0"/>
  </r>
  <r>
    <x v="0"/>
    <x v="2"/>
    <n v="109"/>
    <n v="2"/>
    <s v="speak"/>
    <s v="F"/>
    <s v="filler"/>
    <s v="Stim8_Set4"/>
    <m/>
    <m/>
    <m/>
    <n v="0"/>
    <n v="0"/>
    <n v="0"/>
    <n v="1"/>
  </r>
  <r>
    <x v="0"/>
    <x v="2"/>
    <n v="110"/>
    <n v="2"/>
    <s v="speak"/>
    <s v="NT"/>
    <s v="nontarget"/>
    <s v="Stim6_Set1"/>
    <m/>
    <s v="yes"/>
    <s v="repeat"/>
    <n v="1"/>
    <n v="1"/>
    <n v="0"/>
    <n v="1"/>
  </r>
  <r>
    <x v="0"/>
    <x v="2"/>
    <n v="111"/>
    <n v="1"/>
    <s v="type"/>
    <s v="T"/>
    <s v="switch"/>
    <s v="Stim6_Set1"/>
    <m/>
    <m/>
    <m/>
    <n v="0"/>
    <n v="0"/>
    <n v="0"/>
    <n v="0"/>
  </r>
  <r>
    <x v="0"/>
    <x v="2"/>
    <n v="112"/>
    <n v="1"/>
    <s v="type"/>
    <s v="F"/>
    <s v="filler"/>
    <s v="Stim4_Set4"/>
    <m/>
    <s v="yes"/>
    <s v="repeat"/>
    <n v="1"/>
    <n v="0"/>
    <n v="1"/>
    <n v="0"/>
  </r>
  <r>
    <x v="0"/>
    <x v="2"/>
    <n v="113"/>
    <n v="1"/>
    <s v="type"/>
    <s v="NT"/>
    <s v="nontarget"/>
    <s v="Stim2_Set1"/>
    <m/>
    <s v="yes"/>
    <s v="repeat"/>
    <n v="1"/>
    <n v="1"/>
    <n v="0"/>
    <n v="1"/>
  </r>
  <r>
    <x v="0"/>
    <x v="2"/>
    <n v="114"/>
    <n v="2"/>
    <s v="speak"/>
    <s v="T"/>
    <s v="switch"/>
    <s v="Stim2_Set1"/>
    <m/>
    <m/>
    <m/>
    <n v="0"/>
    <n v="0"/>
    <n v="0"/>
    <n v="0"/>
  </r>
  <r>
    <x v="0"/>
    <x v="2"/>
    <n v="115"/>
    <n v="2"/>
    <s v="speak"/>
    <s v="NT"/>
    <s v="nontarget"/>
    <s v="Stim1_Set1"/>
    <m/>
    <m/>
    <m/>
    <n v="1"/>
    <n v="1"/>
    <n v="1"/>
    <n v="0"/>
  </r>
  <r>
    <x v="0"/>
    <x v="2"/>
    <n v="116"/>
    <n v="1"/>
    <s v="type"/>
    <s v="T"/>
    <s v="switch"/>
    <s v="Stim1_Set1"/>
    <m/>
    <m/>
    <m/>
    <n v="0"/>
    <n v="0"/>
    <n v="0"/>
    <n v="0"/>
  </r>
  <r>
    <x v="0"/>
    <x v="2"/>
    <n v="117"/>
    <n v="2"/>
    <s v="speak"/>
    <s v="F"/>
    <s v="filler"/>
    <s v="Stim2_Set4"/>
    <m/>
    <m/>
    <m/>
    <n v="0"/>
    <n v="0"/>
    <n v="1"/>
    <n v="0"/>
  </r>
  <r>
    <x v="0"/>
    <x v="2"/>
    <n v="118"/>
    <n v="1"/>
    <s v="type"/>
    <s v="NT"/>
    <s v="nontarget"/>
    <s v="Stim8_Set1"/>
    <m/>
    <s v="yes"/>
    <s v="switch"/>
    <n v="0"/>
    <n v="1"/>
    <n v="0"/>
    <n v="1"/>
  </r>
  <r>
    <x v="0"/>
    <x v="2"/>
    <n v="119"/>
    <n v="1"/>
    <s v="type"/>
    <s v="T"/>
    <s v="repeat"/>
    <s v="Stim8_Set1"/>
    <m/>
    <m/>
    <m/>
    <n v="1"/>
    <n v="0"/>
    <n v="0"/>
    <n v="0"/>
  </r>
  <r>
    <x v="0"/>
    <x v="2"/>
    <n v="120"/>
    <n v="2"/>
    <s v="speak"/>
    <s v="F"/>
    <s v="filler"/>
    <s v="Stim7_Set4"/>
    <m/>
    <s v="yes"/>
    <s v="switch"/>
    <n v="0"/>
    <n v="0"/>
    <n v="1"/>
    <n v="0"/>
  </r>
  <r>
    <x v="0"/>
    <x v="2"/>
    <n v="121"/>
    <n v="1"/>
    <s v="type"/>
    <s v="NT"/>
    <s v="nontarget"/>
    <s v="Stim5_Set1"/>
    <m/>
    <s v="yes"/>
    <s v="switch"/>
    <n v="0"/>
    <n v="1"/>
    <n v="0"/>
    <n v="1"/>
  </r>
  <r>
    <x v="0"/>
    <x v="2"/>
    <n v="122"/>
    <n v="1"/>
    <s v="type"/>
    <s v="T"/>
    <s v="repeat"/>
    <s v="Stim5_Set1"/>
    <m/>
    <m/>
    <m/>
    <n v="1"/>
    <n v="0"/>
    <n v="0"/>
    <n v="0"/>
  </r>
  <r>
    <x v="0"/>
    <x v="2"/>
    <n v="123"/>
    <n v="2"/>
    <s v="speak"/>
    <s v="F"/>
    <s v="filler"/>
    <s v="Stim1_Set4"/>
    <m/>
    <m/>
    <m/>
    <n v="0"/>
    <n v="0"/>
    <n v="1"/>
    <n v="0"/>
  </r>
  <r>
    <x v="0"/>
    <x v="2"/>
    <n v="124"/>
    <n v="1"/>
    <s v="type"/>
    <s v="F"/>
    <s v="filler"/>
    <s v="Stim6_Set4"/>
    <m/>
    <m/>
    <m/>
    <n v="0"/>
    <n v="0"/>
    <n v="0"/>
    <n v="1"/>
  </r>
  <r>
    <x v="0"/>
    <x v="2"/>
    <n v="125"/>
    <n v="1"/>
    <s v="type"/>
    <s v="NT"/>
    <s v="nontarget"/>
    <s v="Stim7_Set1"/>
    <m/>
    <m/>
    <m/>
    <n v="1"/>
    <n v="1"/>
    <n v="0"/>
    <n v="1"/>
  </r>
  <r>
    <x v="0"/>
    <x v="2"/>
    <n v="126"/>
    <n v="2"/>
    <s v="speak"/>
    <s v="T"/>
    <s v="switch"/>
    <s v="Stim7_Set1"/>
    <m/>
    <m/>
    <m/>
    <n v="0"/>
    <n v="0"/>
    <n v="0"/>
    <n v="0"/>
  </r>
  <r>
    <x v="0"/>
    <x v="2"/>
    <n v="127"/>
    <n v="1"/>
    <s v="type"/>
    <s v="F"/>
    <s v="filler"/>
    <s v="Stim5_Set4"/>
    <m/>
    <s v="yes"/>
    <s v="switch"/>
    <n v="0"/>
    <n v="0"/>
    <n v="1"/>
    <n v="0"/>
  </r>
  <r>
    <x v="1"/>
    <x v="2"/>
    <n v="128"/>
    <n v="1"/>
    <s v="type"/>
    <s v="NT"/>
    <s v="nontarget"/>
    <s v="Stim5_Set2"/>
    <m/>
    <m/>
    <m/>
    <n v="1"/>
    <n v="1"/>
    <n v="0"/>
    <n v="1"/>
  </r>
  <r>
    <x v="1"/>
    <x v="2"/>
    <n v="129"/>
    <n v="1"/>
    <s v="type"/>
    <s v="T"/>
    <s v="repeat"/>
    <s v="Stim5_Set2"/>
    <m/>
    <m/>
    <m/>
    <n v="1"/>
    <n v="0"/>
    <n v="0"/>
    <n v="0"/>
  </r>
  <r>
    <x v="1"/>
    <x v="2"/>
    <n v="130"/>
    <n v="2"/>
    <s v="speak"/>
    <s v="F"/>
    <s v="filler"/>
    <s v="Stim4_Set1"/>
    <m/>
    <m/>
    <m/>
    <n v="0"/>
    <n v="0"/>
    <n v="1"/>
    <n v="0"/>
  </r>
  <r>
    <x v="1"/>
    <x v="2"/>
    <n v="131"/>
    <n v="1"/>
    <s v="type"/>
    <s v="NT"/>
    <s v="nontarget"/>
    <s v="Stim3_Set2"/>
    <m/>
    <s v="yes"/>
    <s v="switch"/>
    <n v="0"/>
    <n v="1"/>
    <n v="0"/>
    <n v="1"/>
  </r>
  <r>
    <x v="1"/>
    <x v="2"/>
    <n v="132"/>
    <n v="1"/>
    <s v="type"/>
    <s v="T"/>
    <s v="repeat"/>
    <s v="Stim3_Set2"/>
    <m/>
    <m/>
    <m/>
    <n v="1"/>
    <n v="0"/>
    <n v="0"/>
    <n v="0"/>
  </r>
  <r>
    <x v="1"/>
    <x v="2"/>
    <n v="133"/>
    <n v="1"/>
    <s v="type"/>
    <s v="NT"/>
    <s v="nontarget"/>
    <s v="Stim1_Set2"/>
    <m/>
    <m/>
    <m/>
    <n v="1"/>
    <n v="1"/>
    <n v="1"/>
    <n v="0"/>
  </r>
  <r>
    <x v="1"/>
    <x v="2"/>
    <n v="134"/>
    <n v="2"/>
    <s v="speak"/>
    <s v="T"/>
    <s v="switch"/>
    <s v="Stim1_Set2"/>
    <m/>
    <m/>
    <m/>
    <n v="0"/>
    <n v="0"/>
    <n v="0"/>
    <n v="0"/>
  </r>
  <r>
    <x v="1"/>
    <x v="2"/>
    <n v="135"/>
    <n v="2"/>
    <s v="speak"/>
    <s v="F"/>
    <s v="filler"/>
    <s v="Stim3_Set1"/>
    <m/>
    <s v="yes"/>
    <s v="repeat"/>
    <n v="1"/>
    <n v="0"/>
    <n v="1"/>
    <n v="0"/>
  </r>
  <r>
    <x v="1"/>
    <x v="2"/>
    <n v="136"/>
    <n v="2"/>
    <s v="speak"/>
    <s v="NT"/>
    <s v="nontarget"/>
    <s v="Stim7_Set2"/>
    <m/>
    <s v="yes"/>
    <s v="repeat"/>
    <n v="1"/>
    <n v="1"/>
    <n v="0"/>
    <n v="1"/>
  </r>
  <r>
    <x v="1"/>
    <x v="2"/>
    <n v="137"/>
    <n v="1"/>
    <s v="type"/>
    <s v="T"/>
    <s v="switch"/>
    <s v="Stim7_Set2"/>
    <m/>
    <m/>
    <m/>
    <n v="0"/>
    <n v="0"/>
    <n v="0"/>
    <n v="0"/>
  </r>
  <r>
    <x v="1"/>
    <x v="2"/>
    <n v="138"/>
    <n v="1"/>
    <s v="type"/>
    <s v="NT"/>
    <s v="nontarget"/>
    <s v="Stim2_Set2"/>
    <m/>
    <s v="yes"/>
    <s v="repeat"/>
    <n v="1"/>
    <n v="1"/>
    <n v="1"/>
    <n v="0"/>
  </r>
  <r>
    <x v="1"/>
    <x v="2"/>
    <n v="139"/>
    <n v="2"/>
    <s v="speak"/>
    <s v="T"/>
    <s v="switch"/>
    <s v="Stim2_Set2"/>
    <m/>
    <m/>
    <m/>
    <n v="0"/>
    <n v="0"/>
    <n v="0"/>
    <n v="0"/>
  </r>
  <r>
    <x v="1"/>
    <x v="2"/>
    <n v="140"/>
    <n v="1"/>
    <s v="type"/>
    <s v="F"/>
    <s v="filler"/>
    <s v="Stim6_Set1"/>
    <m/>
    <m/>
    <m/>
    <n v="0"/>
    <n v="0"/>
    <n v="1"/>
    <n v="0"/>
  </r>
  <r>
    <x v="1"/>
    <x v="2"/>
    <n v="141"/>
    <n v="2"/>
    <s v="speak"/>
    <s v="F"/>
    <s v="filler"/>
    <s v="Stim2_Set1"/>
    <m/>
    <m/>
    <m/>
    <n v="0"/>
    <n v="0"/>
    <n v="0"/>
    <n v="1"/>
  </r>
  <r>
    <x v="1"/>
    <x v="2"/>
    <n v="142"/>
    <n v="1"/>
    <s v="type"/>
    <s v="F"/>
    <s v="filler"/>
    <s v="Stim5_Set1"/>
    <m/>
    <m/>
    <m/>
    <n v="0"/>
    <n v="0"/>
    <n v="0"/>
    <n v="1"/>
  </r>
  <r>
    <x v="1"/>
    <x v="2"/>
    <n v="143"/>
    <n v="2"/>
    <s v="speak"/>
    <s v="NT"/>
    <s v="nontarget"/>
    <s v="Stim4_Set2"/>
    <m/>
    <s v="yes"/>
    <s v="switch"/>
    <n v="0"/>
    <n v="1"/>
    <n v="0"/>
    <n v="1"/>
  </r>
  <r>
    <x v="1"/>
    <x v="2"/>
    <n v="144"/>
    <n v="2"/>
    <s v="speak"/>
    <s v="T"/>
    <s v="repeat"/>
    <s v="Stim4_Set2"/>
    <m/>
    <m/>
    <m/>
    <n v="1"/>
    <n v="0"/>
    <n v="0"/>
    <n v="0"/>
  </r>
  <r>
    <x v="1"/>
    <x v="2"/>
    <n v="145"/>
    <n v="1"/>
    <s v="type"/>
    <s v="F"/>
    <s v="filler"/>
    <s v="Stim1_Set1"/>
    <m/>
    <m/>
    <m/>
    <n v="0"/>
    <n v="0"/>
    <n v="1"/>
    <n v="0"/>
  </r>
  <r>
    <x v="1"/>
    <x v="2"/>
    <n v="146"/>
    <n v="2"/>
    <s v="speak"/>
    <s v="NT"/>
    <s v="nontarget"/>
    <s v="Stim8_Set2"/>
    <m/>
    <s v="yes"/>
    <s v="switch"/>
    <n v="0"/>
    <n v="1"/>
    <n v="0"/>
    <n v="1"/>
  </r>
  <r>
    <x v="1"/>
    <x v="2"/>
    <n v="147"/>
    <n v="2"/>
    <s v="speak"/>
    <s v="T"/>
    <s v="repeat"/>
    <s v="Stim8_Set2"/>
    <m/>
    <m/>
    <m/>
    <n v="1"/>
    <n v="0"/>
    <n v="0"/>
    <n v="0"/>
  </r>
  <r>
    <x v="1"/>
    <x v="2"/>
    <n v="148"/>
    <n v="1"/>
    <s v="type"/>
    <s v="F"/>
    <s v="filler"/>
    <s v="Stim8_Set1"/>
    <m/>
    <m/>
    <m/>
    <n v="0"/>
    <n v="0"/>
    <n v="1"/>
    <n v="0"/>
  </r>
  <r>
    <x v="1"/>
    <x v="2"/>
    <n v="149"/>
    <n v="2"/>
    <s v="speak"/>
    <s v="F"/>
    <s v="filler"/>
    <s v="Stim7_Set1"/>
    <m/>
    <m/>
    <m/>
    <n v="0"/>
    <n v="0"/>
    <n v="0"/>
    <n v="1"/>
  </r>
  <r>
    <x v="1"/>
    <x v="2"/>
    <n v="150"/>
    <n v="2"/>
    <s v="speak"/>
    <s v="NT"/>
    <s v="nontarget"/>
    <s v="Stim6_Set2"/>
    <m/>
    <m/>
    <m/>
    <n v="1"/>
    <n v="1"/>
    <n v="0"/>
    <n v="1"/>
  </r>
  <r>
    <x v="1"/>
    <x v="2"/>
    <n v="151"/>
    <n v="1"/>
    <s v="type"/>
    <s v="T"/>
    <s v="switch"/>
    <s v="Stim6_Set2"/>
    <m/>
    <m/>
    <m/>
    <n v="0"/>
    <n v="0"/>
    <n v="0"/>
    <n v="0"/>
  </r>
  <r>
    <x v="2"/>
    <x v="2"/>
    <n v="152"/>
    <n v="1"/>
    <s v="type"/>
    <s v="F"/>
    <s v="filler"/>
    <s v="Stim5_Set2"/>
    <m/>
    <m/>
    <m/>
    <n v="1"/>
    <n v="0"/>
    <n v="1"/>
    <n v="0"/>
  </r>
  <r>
    <x v="2"/>
    <x v="2"/>
    <n v="153"/>
    <n v="1"/>
    <s v="type"/>
    <s v="NT"/>
    <s v="nontarget"/>
    <s v="Stim6_Set3"/>
    <m/>
    <s v="yes"/>
    <s v="repeat"/>
    <n v="1"/>
    <n v="1"/>
    <n v="0"/>
    <n v="1"/>
  </r>
  <r>
    <x v="2"/>
    <x v="2"/>
    <n v="154"/>
    <n v="2"/>
    <s v="speak"/>
    <s v="T"/>
    <s v="switch"/>
    <s v="Stim6_Set3"/>
    <m/>
    <m/>
    <m/>
    <n v="0"/>
    <n v="0"/>
    <n v="0"/>
    <n v="0"/>
  </r>
  <r>
    <x v="2"/>
    <x v="2"/>
    <n v="155"/>
    <n v="2"/>
    <s v="speak"/>
    <s v="F"/>
    <s v="filler"/>
    <s v="Stim6_Set2"/>
    <m/>
    <m/>
    <m/>
    <n v="1"/>
    <n v="0"/>
    <n v="1"/>
    <n v="0"/>
  </r>
  <r>
    <x v="2"/>
    <x v="2"/>
    <n v="156"/>
    <n v="2"/>
    <s v="speak"/>
    <s v="NT"/>
    <s v="nontarget"/>
    <s v="Stim4_Set3"/>
    <m/>
    <s v="yes"/>
    <s v="repeat"/>
    <n v="1"/>
    <n v="1"/>
    <n v="0"/>
    <n v="1"/>
  </r>
  <r>
    <x v="2"/>
    <x v="2"/>
    <n v="157"/>
    <n v="1"/>
    <s v="type"/>
    <s v="T"/>
    <s v="switch"/>
    <s v="Stim4_Set3"/>
    <m/>
    <m/>
    <m/>
    <n v="0"/>
    <n v="0"/>
    <n v="0"/>
    <n v="0"/>
  </r>
  <r>
    <x v="2"/>
    <x v="2"/>
    <n v="158"/>
    <n v="1"/>
    <s v="type"/>
    <s v="F"/>
    <s v="filler"/>
    <m/>
    <s v="here"/>
    <m/>
    <m/>
    <n v="1"/>
    <n v="0"/>
    <n v="1"/>
    <n v="0"/>
  </r>
  <r>
    <x v="2"/>
    <x v="2"/>
    <n v="159"/>
    <n v="1"/>
    <s v="type"/>
    <s v="NT"/>
    <s v="nontarget"/>
    <s v="Stim8_Set3"/>
    <m/>
    <m/>
    <m/>
    <n v="1"/>
    <n v="1"/>
    <n v="0"/>
    <n v="1"/>
  </r>
  <r>
    <x v="2"/>
    <x v="2"/>
    <n v="160"/>
    <n v="2"/>
    <s v="speak"/>
    <s v="T"/>
    <s v="switch"/>
    <s v="Stim8_Set3"/>
    <m/>
    <m/>
    <m/>
    <n v="0"/>
    <n v="0"/>
    <n v="0"/>
    <n v="0"/>
  </r>
  <r>
    <x v="2"/>
    <x v="2"/>
    <n v="161"/>
    <n v="1"/>
    <s v="type"/>
    <s v="F"/>
    <s v="filler"/>
    <s v="Stim1_Set2"/>
    <m/>
    <m/>
    <m/>
    <n v="0"/>
    <n v="0"/>
    <n v="1"/>
    <n v="0"/>
  </r>
  <r>
    <x v="2"/>
    <x v="2"/>
    <n v="162"/>
    <n v="2"/>
    <s v="speak"/>
    <s v="NT"/>
    <s v="nontarget"/>
    <s v="Stim7_Set3"/>
    <m/>
    <s v="yes"/>
    <s v="switch"/>
    <n v="0"/>
    <n v="1"/>
    <n v="0"/>
    <n v="1"/>
  </r>
  <r>
    <x v="2"/>
    <x v="2"/>
    <n v="163"/>
    <n v="2"/>
    <s v="speak"/>
    <s v="T"/>
    <s v="repeat"/>
    <s v="Stim7_Set3"/>
    <m/>
    <m/>
    <m/>
    <n v="1"/>
    <n v="0"/>
    <n v="0"/>
    <n v="0"/>
  </r>
  <r>
    <x v="2"/>
    <x v="2"/>
    <n v="164"/>
    <n v="2"/>
    <s v="speak"/>
    <s v="F"/>
    <s v="filler"/>
    <s v="Stim7_Set2"/>
    <m/>
    <m/>
    <m/>
    <n v="1"/>
    <n v="0"/>
    <n v="1"/>
    <n v="0"/>
  </r>
  <r>
    <x v="2"/>
    <x v="2"/>
    <n v="165"/>
    <n v="1"/>
    <s v="type"/>
    <s v="F"/>
    <s v="filler"/>
    <s v="Stim2_Set2"/>
    <m/>
    <m/>
    <m/>
    <n v="0"/>
    <n v="0"/>
    <n v="0"/>
    <n v="1"/>
  </r>
  <r>
    <x v="2"/>
    <x v="2"/>
    <n v="166"/>
    <n v="2"/>
    <s v="speak"/>
    <s v="NT"/>
    <s v="nontarget"/>
    <s v="Stim1_Set3"/>
    <m/>
    <s v="yes"/>
    <s v="switch"/>
    <n v="0"/>
    <n v="1"/>
    <n v="0"/>
    <n v="1"/>
  </r>
  <r>
    <x v="2"/>
    <x v="2"/>
    <n v="167"/>
    <n v="2"/>
    <s v="speak"/>
    <s v="T"/>
    <s v="repeat"/>
    <s v="Stim1_Set3"/>
    <m/>
    <m/>
    <m/>
    <n v="1"/>
    <n v="0"/>
    <n v="0"/>
    <n v="0"/>
  </r>
  <r>
    <x v="2"/>
    <x v="2"/>
    <n v="168"/>
    <n v="2"/>
    <s v="speak"/>
    <s v="NT"/>
    <s v="nontarget"/>
    <s v="Stim3_Set3"/>
    <m/>
    <m/>
    <m/>
    <n v="1"/>
    <n v="1"/>
    <n v="1"/>
    <n v="0"/>
  </r>
  <r>
    <x v="2"/>
    <x v="2"/>
    <n v="169"/>
    <n v="1"/>
    <s v="type"/>
    <s v="T"/>
    <s v="switch"/>
    <s v="Stim3_Set3"/>
    <m/>
    <m/>
    <m/>
    <n v="0"/>
    <n v="0"/>
    <n v="0"/>
    <n v="0"/>
  </r>
  <r>
    <x v="2"/>
    <x v="2"/>
    <n v="170"/>
    <n v="2"/>
    <s v="speak"/>
    <s v="F"/>
    <s v="filler"/>
    <s v="Stim4_Set2"/>
    <m/>
    <m/>
    <m/>
    <n v="0"/>
    <n v="0"/>
    <n v="1"/>
    <n v="0"/>
  </r>
  <r>
    <x v="2"/>
    <x v="2"/>
    <n v="171"/>
    <n v="1"/>
    <s v="type"/>
    <s v="F"/>
    <s v="filler"/>
    <m/>
    <s v="here"/>
    <m/>
    <m/>
    <n v="0"/>
    <n v="0"/>
    <n v="0"/>
    <n v="1"/>
  </r>
  <r>
    <x v="2"/>
    <x v="2"/>
    <n v="172"/>
    <n v="1"/>
    <s v="type"/>
    <s v="NT"/>
    <s v="nontarget"/>
    <s v="Stim5_Set3"/>
    <m/>
    <s v="yes"/>
    <s v="repeat"/>
    <n v="1"/>
    <n v="1"/>
    <n v="0"/>
    <n v="1"/>
  </r>
  <r>
    <x v="2"/>
    <x v="2"/>
    <n v="173"/>
    <n v="1"/>
    <s v="type"/>
    <s v="T"/>
    <s v="repeat"/>
    <s v="Stim5_Set3"/>
    <m/>
    <m/>
    <m/>
    <n v="1"/>
    <n v="0"/>
    <n v="0"/>
    <n v="0"/>
  </r>
  <r>
    <x v="2"/>
    <x v="2"/>
    <n v="174"/>
    <n v="2"/>
    <s v="speak"/>
    <s v="F"/>
    <s v="filler"/>
    <s v="Stim8_Set2"/>
    <m/>
    <m/>
    <m/>
    <n v="0"/>
    <n v="0"/>
    <n v="1"/>
    <n v="0"/>
  </r>
  <r>
    <x v="2"/>
    <x v="2"/>
    <n v="175"/>
    <n v="1"/>
    <s v="type"/>
    <s v="NT"/>
    <s v="nontarget"/>
    <s v="Stim2_Set3"/>
    <m/>
    <s v="yes"/>
    <s v="switch"/>
    <n v="0"/>
    <n v="1"/>
    <n v="0"/>
    <n v="1"/>
  </r>
  <r>
    <x v="2"/>
    <x v="2"/>
    <n v="176"/>
    <n v="1"/>
    <s v="type"/>
    <s v="T"/>
    <s v="repeat"/>
    <s v="Stim2_Set3"/>
    <m/>
    <m/>
    <m/>
    <n v="1"/>
    <n v="0"/>
    <n v="0"/>
    <n v="0"/>
  </r>
  <r>
    <x v="2"/>
    <x v="2"/>
    <n v="177"/>
    <n v="1"/>
    <s v="type"/>
    <s v="F"/>
    <s v="filler"/>
    <s v="Stim3_Set2"/>
    <m/>
    <s v="yes"/>
    <s v="repeat"/>
    <n v="1"/>
    <n v="0"/>
    <n v="1"/>
    <n v="0"/>
  </r>
  <r>
    <x v="3"/>
    <x v="2"/>
    <n v="178"/>
    <n v="2"/>
    <s v="speak"/>
    <s v="F"/>
    <s v="filler"/>
    <s v="Stim6_Set3"/>
    <m/>
    <m/>
    <m/>
    <n v="0"/>
    <n v="0"/>
    <n v="0"/>
    <n v="1"/>
  </r>
  <r>
    <x v="3"/>
    <x v="2"/>
    <n v="179"/>
    <n v="1"/>
    <s v="type"/>
    <s v="NT"/>
    <s v="nontarget"/>
    <s v="Stim3_Set4"/>
    <m/>
    <s v="yes"/>
    <s v="switch"/>
    <n v="0"/>
    <n v="1"/>
    <n v="0"/>
    <n v="1"/>
  </r>
  <r>
    <x v="3"/>
    <x v="2"/>
    <n v="180"/>
    <n v="1"/>
    <s v="type"/>
    <s v="T"/>
    <s v="repeat"/>
    <s v="Stim3_Set4"/>
    <m/>
    <m/>
    <m/>
    <n v="1"/>
    <n v="0"/>
    <n v="0"/>
    <n v="0"/>
  </r>
  <r>
    <x v="3"/>
    <x v="2"/>
    <n v="181"/>
    <n v="1"/>
    <s v="type"/>
    <s v="NT"/>
    <s v="nontarget"/>
    <s v="Stim8_Set4"/>
    <m/>
    <s v="yes"/>
    <s v="repeat"/>
    <n v="1"/>
    <n v="1"/>
    <n v="1"/>
    <n v="0"/>
  </r>
  <r>
    <x v="3"/>
    <x v="2"/>
    <n v="182"/>
    <n v="2"/>
    <s v="speak"/>
    <s v="T"/>
    <s v="switch"/>
    <s v="Stim8_Set4"/>
    <m/>
    <m/>
    <m/>
    <n v="0"/>
    <n v="0"/>
    <n v="0"/>
    <n v="0"/>
  </r>
  <r>
    <x v="3"/>
    <x v="2"/>
    <n v="183"/>
    <n v="1"/>
    <s v="type"/>
    <s v="F"/>
    <s v="filler"/>
    <s v="Stim4_Set3"/>
    <m/>
    <m/>
    <m/>
    <n v="0"/>
    <n v="0"/>
    <n v="1"/>
    <n v="0"/>
  </r>
  <r>
    <x v="3"/>
    <x v="2"/>
    <n v="184"/>
    <n v="2"/>
    <s v="speak"/>
    <s v="NT"/>
    <s v="nontarget"/>
    <s v="Stim4_Set4"/>
    <m/>
    <s v="yes"/>
    <s v="switch"/>
    <n v="0"/>
    <n v="1"/>
    <n v="0"/>
    <n v="1"/>
  </r>
  <r>
    <x v="3"/>
    <x v="2"/>
    <n v="185"/>
    <n v="2"/>
    <s v="speak"/>
    <s v="T"/>
    <s v="repeat"/>
    <s v="Stim4_Set4"/>
    <m/>
    <m/>
    <m/>
    <n v="1"/>
    <n v="0"/>
    <n v="0"/>
    <n v="0"/>
  </r>
  <r>
    <x v="3"/>
    <x v="2"/>
    <n v="186"/>
    <n v="2"/>
    <s v="speak"/>
    <s v="NT"/>
    <s v="nontarget"/>
    <s v="Stim2_Set4"/>
    <m/>
    <m/>
    <m/>
    <n v="1"/>
    <n v="1"/>
    <n v="1"/>
    <n v="0"/>
  </r>
  <r>
    <x v="3"/>
    <x v="2"/>
    <n v="187"/>
    <n v="1"/>
    <s v="type"/>
    <s v="T"/>
    <s v="switch"/>
    <s v="Stim2_Set4"/>
    <m/>
    <m/>
    <m/>
    <n v="0"/>
    <n v="0"/>
    <n v="0"/>
    <n v="0"/>
  </r>
  <r>
    <x v="3"/>
    <x v="2"/>
    <n v="188"/>
    <n v="2"/>
    <s v="speak"/>
    <s v="F"/>
    <s v="filler"/>
    <s v="Stim8_Set3"/>
    <m/>
    <m/>
    <m/>
    <n v="0"/>
    <n v="0"/>
    <n v="1"/>
    <n v="0"/>
  </r>
  <r>
    <x v="3"/>
    <x v="2"/>
    <n v="189"/>
    <n v="1"/>
    <s v="type"/>
    <s v="NT"/>
    <s v="nontarget"/>
    <s v="Stim7_Set4"/>
    <m/>
    <s v="yes"/>
    <s v="switch"/>
    <n v="0"/>
    <n v="1"/>
    <n v="0"/>
    <n v="1"/>
  </r>
  <r>
    <x v="3"/>
    <x v="2"/>
    <n v="190"/>
    <n v="2"/>
    <s v="speak"/>
    <s v="T"/>
    <s v="switch"/>
    <s v="Stim7_Set4"/>
    <m/>
    <m/>
    <m/>
    <n v="0"/>
    <n v="0"/>
    <n v="0"/>
    <n v="0"/>
  </r>
  <r>
    <x v="3"/>
    <x v="2"/>
    <n v="191"/>
    <n v="1"/>
    <s v="type"/>
    <s v="F"/>
    <s v="filler"/>
    <s v="Stim1_Set3"/>
    <m/>
    <m/>
    <m/>
    <n v="0"/>
    <n v="0"/>
    <n v="1"/>
    <n v="0"/>
  </r>
  <r>
    <x v="3"/>
    <x v="2"/>
    <n v="192"/>
    <n v="2"/>
    <s v="speak"/>
    <s v="F"/>
    <s v="filler"/>
    <s v="Stim7_Set3"/>
    <m/>
    <m/>
    <m/>
    <n v="0"/>
    <n v="0"/>
    <n v="0"/>
    <n v="1"/>
  </r>
  <r>
    <x v="3"/>
    <x v="2"/>
    <n v="193"/>
    <n v="2"/>
    <s v="speak"/>
    <s v="NT"/>
    <s v="nontarget"/>
    <s v="Stim1_Set4"/>
    <m/>
    <s v="yes"/>
    <s v="repeat"/>
    <n v="1"/>
    <n v="1"/>
    <n v="0"/>
    <n v="1"/>
  </r>
  <r>
    <x v="3"/>
    <x v="2"/>
    <n v="194"/>
    <n v="2"/>
    <s v="speak"/>
    <s v="T"/>
    <s v="repeat"/>
    <s v="Stim1_Set4"/>
    <m/>
    <m/>
    <m/>
    <n v="1"/>
    <n v="0"/>
    <n v="0"/>
    <n v="0"/>
  </r>
  <r>
    <x v="3"/>
    <x v="2"/>
    <n v="195"/>
    <n v="1"/>
    <s v="type"/>
    <s v="F"/>
    <s v="filler"/>
    <s v="Stim3_Set3"/>
    <m/>
    <m/>
    <m/>
    <n v="0"/>
    <n v="0"/>
    <n v="1"/>
    <n v="0"/>
  </r>
  <r>
    <x v="3"/>
    <x v="2"/>
    <n v="196"/>
    <n v="2"/>
    <s v="speak"/>
    <s v="F"/>
    <s v="filler"/>
    <s v="Stim5_Set3"/>
    <m/>
    <s v="yes"/>
    <s v="switch"/>
    <n v="0"/>
    <n v="0"/>
    <n v="0"/>
    <n v="1"/>
  </r>
  <r>
    <x v="3"/>
    <x v="2"/>
    <n v="197"/>
    <n v="2"/>
    <s v="speak"/>
    <s v="NT"/>
    <s v="nontarget"/>
    <s v="Stim6_Set4"/>
    <m/>
    <s v="yes"/>
    <s v="repeat"/>
    <n v="1"/>
    <n v="1"/>
    <n v="0"/>
    <n v="1"/>
  </r>
  <r>
    <x v="3"/>
    <x v="2"/>
    <n v="198"/>
    <n v="1"/>
    <s v="type"/>
    <s v="T"/>
    <s v="switch"/>
    <s v="Stim6_Set4"/>
    <m/>
    <m/>
    <m/>
    <n v="0"/>
    <n v="0"/>
    <n v="0"/>
    <n v="0"/>
  </r>
  <r>
    <x v="3"/>
    <x v="2"/>
    <n v="199"/>
    <n v="1"/>
    <s v="type"/>
    <s v="NT"/>
    <s v="nontarget"/>
    <s v="Stim5_Set4"/>
    <m/>
    <m/>
    <m/>
    <n v="1"/>
    <n v="1"/>
    <n v="1"/>
    <n v="0"/>
  </r>
  <r>
    <x v="3"/>
    <x v="2"/>
    <n v="200"/>
    <n v="1"/>
    <s v="type"/>
    <s v="T"/>
    <s v="repeat"/>
    <s v="Stim5_Set4"/>
    <m/>
    <m/>
    <m/>
    <n v="1"/>
    <n v="0"/>
    <n v="0"/>
    <n v="0"/>
  </r>
  <r>
    <x v="3"/>
    <x v="2"/>
    <n v="201"/>
    <n v="2"/>
    <s v="speak"/>
    <s v="F"/>
    <s v="filler"/>
    <m/>
    <s v="here"/>
    <m/>
    <m/>
    <n v="0"/>
    <n v="0"/>
    <n v="1"/>
    <n v="0"/>
  </r>
  <r>
    <x v="3"/>
    <x v="2"/>
    <n v="202"/>
    <n v="1"/>
    <s v="type"/>
    <s v="F"/>
    <s v="filler"/>
    <s v="Stim2_Set3"/>
    <m/>
    <m/>
    <m/>
    <n v="0"/>
    <n v="0"/>
    <n v="0"/>
    <n v="1"/>
  </r>
  <r>
    <x v="4"/>
    <x v="1"/>
    <n v="203"/>
    <m/>
    <s v="break"/>
    <s v="break"/>
    <m/>
    <m/>
    <m/>
    <m/>
    <m/>
    <n v="0"/>
    <n v="0"/>
    <n v="0"/>
    <n v="1"/>
  </r>
  <r>
    <x v="0"/>
    <x v="3"/>
    <n v="204"/>
    <n v="2"/>
    <s v="speak"/>
    <s v="F"/>
    <s v="filler"/>
    <s v="Stim4_Set4"/>
    <m/>
    <m/>
    <m/>
    <n v="0"/>
    <n v="0"/>
    <n v="0"/>
    <n v="0"/>
  </r>
  <r>
    <x v="0"/>
    <x v="3"/>
    <n v="205"/>
    <n v="2"/>
    <s v="speak"/>
    <s v="NT"/>
    <s v="nontarget"/>
    <s v="Stim7_Set1"/>
    <m/>
    <s v="yes"/>
    <s v="repeat"/>
    <n v="1"/>
    <n v="1"/>
    <n v="0"/>
    <n v="1"/>
  </r>
  <r>
    <x v="0"/>
    <x v="3"/>
    <n v="206"/>
    <n v="2"/>
    <s v="speak"/>
    <s v="T"/>
    <s v="repeat"/>
    <s v="Stim7_Set1"/>
    <m/>
    <m/>
    <m/>
    <n v="1"/>
    <n v="0"/>
    <n v="0"/>
    <n v="0"/>
  </r>
  <r>
    <x v="0"/>
    <x v="3"/>
    <n v="207"/>
    <n v="1"/>
    <s v="type"/>
    <s v="F"/>
    <s v="filler"/>
    <s v="Stim6_Set4"/>
    <m/>
    <m/>
    <m/>
    <n v="0"/>
    <n v="0"/>
    <n v="1"/>
    <n v="0"/>
  </r>
  <r>
    <x v="0"/>
    <x v="3"/>
    <n v="208"/>
    <n v="1"/>
    <s v="type"/>
    <s v="F"/>
    <s v="filler"/>
    <s v="Stim2_Set4"/>
    <m/>
    <m/>
    <m/>
    <n v="1"/>
    <n v="0"/>
    <n v="0"/>
    <n v="1"/>
  </r>
  <r>
    <x v="0"/>
    <x v="3"/>
    <n v="209"/>
    <n v="2"/>
    <s v="speak"/>
    <s v="NT"/>
    <s v="nontarget"/>
    <s v="Stim6_Set1"/>
    <m/>
    <s v="yes"/>
    <s v="switch"/>
    <n v="0"/>
    <n v="1"/>
    <n v="0"/>
    <n v="1"/>
  </r>
  <r>
    <x v="0"/>
    <x v="3"/>
    <n v="210"/>
    <n v="2"/>
    <s v="speak"/>
    <s v="T"/>
    <s v="repeat"/>
    <s v="Stim6_Set1"/>
    <m/>
    <m/>
    <m/>
    <n v="1"/>
    <n v="0"/>
    <n v="0"/>
    <n v="0"/>
  </r>
  <r>
    <x v="0"/>
    <x v="3"/>
    <n v="211"/>
    <n v="2"/>
    <s v="speak"/>
    <s v="NT"/>
    <s v="nontarget"/>
    <s v="Stim8_Set1"/>
    <m/>
    <m/>
    <m/>
    <n v="1"/>
    <n v="1"/>
    <n v="1"/>
    <n v="0"/>
  </r>
  <r>
    <x v="0"/>
    <x v="3"/>
    <n v="212"/>
    <n v="1"/>
    <s v="type"/>
    <s v="T"/>
    <s v="switch"/>
    <s v="Stim8_Set1"/>
    <m/>
    <m/>
    <m/>
    <n v="0"/>
    <n v="0"/>
    <n v="0"/>
    <n v="0"/>
  </r>
  <r>
    <x v="0"/>
    <x v="3"/>
    <n v="213"/>
    <n v="1"/>
    <s v="type"/>
    <s v="F"/>
    <s v="filler"/>
    <s v="Stim5_Set4"/>
    <m/>
    <m/>
    <m/>
    <n v="1"/>
    <n v="0"/>
    <n v="1"/>
    <n v="0"/>
  </r>
  <r>
    <x v="0"/>
    <x v="3"/>
    <n v="214"/>
    <n v="1"/>
    <s v="type"/>
    <s v="NT"/>
    <s v="nontarget"/>
    <s v="Stim1_Set1"/>
    <m/>
    <s v="yes"/>
    <s v="repeat"/>
    <n v="1"/>
    <n v="1"/>
    <n v="0"/>
    <n v="1"/>
  </r>
  <r>
    <x v="0"/>
    <x v="3"/>
    <n v="215"/>
    <n v="2"/>
    <s v="speak"/>
    <s v="T"/>
    <s v="switch"/>
    <s v="Stim1_Set1"/>
    <m/>
    <m/>
    <m/>
    <n v="0"/>
    <n v="0"/>
    <n v="0"/>
    <n v="0"/>
  </r>
  <r>
    <x v="0"/>
    <x v="3"/>
    <n v="216"/>
    <n v="2"/>
    <s v="speak"/>
    <s v="NT"/>
    <s v="nontarget"/>
    <s v="Stim4_Set1"/>
    <m/>
    <s v="yes"/>
    <s v="repeat"/>
    <n v="1"/>
    <n v="1"/>
    <n v="1"/>
    <n v="0"/>
  </r>
  <r>
    <x v="0"/>
    <x v="3"/>
    <n v="217"/>
    <n v="1"/>
    <s v="type"/>
    <s v="T"/>
    <s v="switch"/>
    <s v="Stim4_Set1"/>
    <m/>
    <m/>
    <m/>
    <n v="0"/>
    <n v="0"/>
    <n v="0"/>
    <n v="0"/>
  </r>
  <r>
    <x v="0"/>
    <x v="3"/>
    <n v="218"/>
    <n v="2"/>
    <s v="speak"/>
    <s v="F"/>
    <s v="filler"/>
    <s v="Stim1_Set4"/>
    <m/>
    <s v="yes"/>
    <s v="switch"/>
    <n v="0"/>
    <n v="0"/>
    <n v="1"/>
    <n v="0"/>
  </r>
  <r>
    <x v="0"/>
    <x v="3"/>
    <n v="219"/>
    <n v="2"/>
    <s v="speak"/>
    <s v="F"/>
    <s v="filler"/>
    <s v="Stim8_Set4"/>
    <m/>
    <m/>
    <m/>
    <n v="1"/>
    <n v="0"/>
    <n v="0"/>
    <n v="1"/>
  </r>
  <r>
    <x v="0"/>
    <x v="3"/>
    <n v="220"/>
    <n v="1"/>
    <s v="type"/>
    <s v="NT"/>
    <s v="nontarget"/>
    <s v="Stim2_Set1"/>
    <m/>
    <s v="yes"/>
    <s v="switch"/>
    <n v="0"/>
    <n v="1"/>
    <n v="0"/>
    <n v="1"/>
  </r>
  <r>
    <x v="0"/>
    <x v="3"/>
    <n v="221"/>
    <n v="1"/>
    <s v="type"/>
    <s v="T"/>
    <s v="repeat"/>
    <s v="Stim2_Set1"/>
    <m/>
    <m/>
    <m/>
    <n v="1"/>
    <n v="0"/>
    <n v="0"/>
    <n v="0"/>
  </r>
  <r>
    <x v="0"/>
    <x v="3"/>
    <n v="222"/>
    <n v="2"/>
    <s v="speak"/>
    <s v="F"/>
    <s v="filler"/>
    <s v="Stim3_Set4"/>
    <m/>
    <m/>
    <m/>
    <n v="0"/>
    <n v="0"/>
    <n v="1"/>
    <n v="0"/>
  </r>
  <r>
    <x v="0"/>
    <x v="3"/>
    <n v="223"/>
    <n v="2"/>
    <s v="speak"/>
    <s v="F"/>
    <s v="filler"/>
    <s v="Stim7_Set4"/>
    <m/>
    <m/>
    <m/>
    <n v="1"/>
    <n v="0"/>
    <n v="0"/>
    <n v="1"/>
  </r>
  <r>
    <x v="0"/>
    <x v="3"/>
    <n v="224"/>
    <n v="1"/>
    <s v="type"/>
    <s v="NT"/>
    <s v="nontarget"/>
    <s v="Stim3_Set1"/>
    <m/>
    <s v="yes"/>
    <s v="switch"/>
    <n v="0"/>
    <n v="1"/>
    <n v="0"/>
    <n v="1"/>
  </r>
  <r>
    <x v="0"/>
    <x v="3"/>
    <n v="225"/>
    <n v="1"/>
    <s v="type"/>
    <s v="T"/>
    <s v="repeat"/>
    <s v="Stim3_Set1"/>
    <m/>
    <m/>
    <m/>
    <n v="1"/>
    <n v="0"/>
    <n v="0"/>
    <n v="0"/>
  </r>
  <r>
    <x v="0"/>
    <x v="3"/>
    <n v="226"/>
    <n v="1"/>
    <s v="type"/>
    <s v="NT"/>
    <s v="nontarget"/>
    <s v="Stim5_Set1"/>
    <m/>
    <s v="yes"/>
    <s v="repeat"/>
    <n v="1"/>
    <n v="1"/>
    <n v="1"/>
    <n v="0"/>
  </r>
  <r>
    <x v="0"/>
    <x v="3"/>
    <n v="227"/>
    <n v="2"/>
    <s v="speak"/>
    <s v="T"/>
    <s v="switch"/>
    <s v="Stim5_Set1"/>
    <m/>
    <m/>
    <m/>
    <n v="0"/>
    <n v="0"/>
    <n v="0"/>
    <n v="0"/>
  </r>
  <r>
    <x v="1"/>
    <x v="3"/>
    <n v="228"/>
    <n v="2"/>
    <s v="speak"/>
    <s v="F"/>
    <s v="filler"/>
    <s v="Stim7_Set1"/>
    <m/>
    <m/>
    <m/>
    <n v="1"/>
    <n v="0"/>
    <n v="1"/>
    <n v="0"/>
  </r>
  <r>
    <x v="1"/>
    <x v="3"/>
    <n v="229"/>
    <n v="1"/>
    <s v="type"/>
    <s v="F"/>
    <s v="filler"/>
    <s v="Stim3_Set1"/>
    <m/>
    <m/>
    <m/>
    <n v="0"/>
    <n v="0"/>
    <n v="0"/>
    <n v="1"/>
  </r>
  <r>
    <x v="1"/>
    <x v="3"/>
    <n v="230"/>
    <n v="1"/>
    <s v="type"/>
    <s v="NT"/>
    <s v="nontarget"/>
    <s v="Stim7_Set2"/>
    <m/>
    <m/>
    <m/>
    <n v="1"/>
    <n v="1"/>
    <n v="0"/>
    <n v="1"/>
  </r>
  <r>
    <x v="1"/>
    <x v="3"/>
    <n v="231"/>
    <n v="1"/>
    <s v="type"/>
    <s v="T"/>
    <s v="repeat"/>
    <s v="Stim7_Set2"/>
    <m/>
    <m/>
    <m/>
    <n v="1"/>
    <n v="0"/>
    <n v="0"/>
    <n v="0"/>
  </r>
  <r>
    <x v="1"/>
    <x v="3"/>
    <n v="232"/>
    <n v="2"/>
    <s v="speak"/>
    <s v="F"/>
    <s v="filler"/>
    <s v="Stim6_Set1"/>
    <m/>
    <m/>
    <m/>
    <n v="0"/>
    <n v="0"/>
    <n v="1"/>
    <n v="0"/>
  </r>
  <r>
    <x v="1"/>
    <x v="3"/>
    <n v="233"/>
    <n v="1"/>
    <s v="type"/>
    <s v="NT"/>
    <s v="nontarget"/>
    <s v="Stim6_Set2"/>
    <m/>
    <s v="yes"/>
    <s v="switch"/>
    <n v="0"/>
    <n v="1"/>
    <n v="0"/>
    <n v="1"/>
  </r>
  <r>
    <x v="1"/>
    <x v="3"/>
    <n v="234"/>
    <n v="1"/>
    <s v="type"/>
    <s v="T"/>
    <s v="repeat"/>
    <s v="Stim6_Set2"/>
    <m/>
    <m/>
    <m/>
    <n v="1"/>
    <n v="0"/>
    <n v="0"/>
    <n v="0"/>
  </r>
  <r>
    <x v="1"/>
    <x v="3"/>
    <n v="235"/>
    <n v="1"/>
    <s v="type"/>
    <s v="NT"/>
    <s v="nontarget"/>
    <s v="Stim4_Set2"/>
    <m/>
    <m/>
    <m/>
    <n v="1"/>
    <n v="1"/>
    <n v="1"/>
    <n v="0"/>
  </r>
  <r>
    <x v="1"/>
    <x v="3"/>
    <n v="236"/>
    <n v="2"/>
    <s v="speak"/>
    <s v="T"/>
    <s v="switch"/>
    <s v="Stim4_Set2"/>
    <m/>
    <m/>
    <m/>
    <n v="0"/>
    <n v="0"/>
    <n v="0"/>
    <n v="0"/>
  </r>
  <r>
    <x v="1"/>
    <x v="3"/>
    <n v="237"/>
    <n v="2"/>
    <s v="speak"/>
    <s v="F"/>
    <s v="filler"/>
    <s v="Stim8_Set1"/>
    <m/>
    <s v="yes"/>
    <s v="repeat"/>
    <n v="1"/>
    <n v="0"/>
    <n v="1"/>
    <n v="0"/>
  </r>
  <r>
    <x v="1"/>
    <x v="3"/>
    <n v="238"/>
    <n v="2"/>
    <s v="speak"/>
    <s v="NT"/>
    <s v="nontarget"/>
    <s v="Stim5_Set2"/>
    <m/>
    <s v="yes"/>
    <s v="repeat"/>
    <n v="1"/>
    <n v="1"/>
    <n v="0"/>
    <n v="1"/>
  </r>
  <r>
    <x v="1"/>
    <x v="3"/>
    <n v="239"/>
    <n v="1"/>
    <s v="type"/>
    <s v="T"/>
    <s v="switch"/>
    <s v="Stim5_Set2"/>
    <m/>
    <m/>
    <m/>
    <n v="0"/>
    <n v="0"/>
    <n v="0"/>
    <n v="0"/>
  </r>
  <r>
    <x v="1"/>
    <x v="3"/>
    <n v="240"/>
    <n v="1"/>
    <s v="type"/>
    <s v="F"/>
    <s v="filler"/>
    <s v="Stim4_Set1"/>
    <m/>
    <s v="yes"/>
    <s v="repeat"/>
    <n v="1"/>
    <n v="0"/>
    <n v="1"/>
    <n v="0"/>
  </r>
  <r>
    <x v="1"/>
    <x v="3"/>
    <n v="241"/>
    <n v="1"/>
    <s v="type"/>
    <s v="NT"/>
    <s v="nontarget"/>
    <s v="Stim8_Set2"/>
    <m/>
    <m/>
    <m/>
    <n v="1"/>
    <n v="1"/>
    <n v="0"/>
    <n v="1"/>
  </r>
  <r>
    <x v="1"/>
    <x v="3"/>
    <n v="242"/>
    <n v="2"/>
    <s v="speak"/>
    <s v="T"/>
    <s v="switch"/>
    <s v="Stim8_Set2"/>
    <m/>
    <m/>
    <m/>
    <n v="0"/>
    <n v="0"/>
    <n v="0"/>
    <n v="0"/>
  </r>
  <r>
    <x v="1"/>
    <x v="3"/>
    <n v="243"/>
    <n v="1"/>
    <s v="type"/>
    <s v="F"/>
    <s v="filler"/>
    <s v="Stim1_Set1"/>
    <m/>
    <m/>
    <m/>
    <n v="0"/>
    <n v="0"/>
    <n v="1"/>
    <n v="0"/>
  </r>
  <r>
    <x v="1"/>
    <x v="3"/>
    <n v="244"/>
    <n v="2"/>
    <s v="speak"/>
    <s v="NT"/>
    <s v="nontarget"/>
    <s v="Stim2_Set2"/>
    <m/>
    <s v="yes"/>
    <s v="switch"/>
    <n v="0"/>
    <n v="1"/>
    <n v="0"/>
    <n v="1"/>
  </r>
  <r>
    <x v="1"/>
    <x v="3"/>
    <n v="245"/>
    <n v="2"/>
    <s v="speak"/>
    <s v="T"/>
    <s v="repeat"/>
    <s v="Stim2_Set2"/>
    <m/>
    <m/>
    <m/>
    <n v="1"/>
    <n v="0"/>
    <n v="0"/>
    <n v="0"/>
  </r>
  <r>
    <x v="1"/>
    <x v="3"/>
    <n v="246"/>
    <n v="1"/>
    <s v="type"/>
    <s v="F"/>
    <s v="filler"/>
    <s v="Stim2_Set1"/>
    <m/>
    <m/>
    <m/>
    <n v="0"/>
    <n v="0"/>
    <n v="1"/>
    <n v="0"/>
  </r>
  <r>
    <x v="1"/>
    <x v="3"/>
    <n v="247"/>
    <n v="2"/>
    <s v="speak"/>
    <s v="NT"/>
    <s v="nontarget"/>
    <s v="Stim1_Set2"/>
    <m/>
    <s v="yes"/>
    <s v="switch"/>
    <n v="0"/>
    <n v="1"/>
    <n v="0"/>
    <n v="1"/>
  </r>
  <r>
    <x v="1"/>
    <x v="3"/>
    <n v="248"/>
    <n v="2"/>
    <s v="speak"/>
    <s v="T"/>
    <s v="repeat"/>
    <s v="Stim1_Set2"/>
    <m/>
    <m/>
    <m/>
    <n v="1"/>
    <n v="0"/>
    <n v="0"/>
    <n v="0"/>
  </r>
  <r>
    <x v="1"/>
    <x v="3"/>
    <n v="249"/>
    <n v="2"/>
    <s v="speak"/>
    <s v="F"/>
    <s v="filler"/>
    <s v="Stim5_Set1"/>
    <m/>
    <m/>
    <m/>
    <n v="1"/>
    <n v="0"/>
    <n v="1"/>
    <n v="0"/>
  </r>
  <r>
    <x v="1"/>
    <x v="3"/>
    <n v="250"/>
    <n v="2"/>
    <s v="speak"/>
    <s v="NT"/>
    <s v="nontarget"/>
    <s v="Stim3_Set2"/>
    <m/>
    <s v="yes"/>
    <s v="repeat"/>
    <n v="1"/>
    <n v="1"/>
    <n v="0"/>
    <n v="1"/>
  </r>
  <r>
    <x v="1"/>
    <x v="3"/>
    <n v="251"/>
    <n v="1"/>
    <s v="type"/>
    <s v="T"/>
    <s v="switch"/>
    <s v="Stim3_Set2"/>
    <m/>
    <m/>
    <m/>
    <n v="0"/>
    <n v="0"/>
    <n v="0"/>
    <n v="0"/>
  </r>
  <r>
    <x v="2"/>
    <x v="3"/>
    <n v="252"/>
    <n v="1"/>
    <s v="type"/>
    <s v="F"/>
    <s v="filler"/>
    <s v="Stim7_Set2"/>
    <m/>
    <m/>
    <m/>
    <n v="1"/>
    <n v="0"/>
    <n v="1"/>
    <n v="0"/>
  </r>
  <r>
    <x v="2"/>
    <x v="3"/>
    <n v="253"/>
    <n v="1"/>
    <s v="type"/>
    <s v="NT"/>
    <s v="nontarget"/>
    <s v="Stim4_Set3"/>
    <m/>
    <s v="yes"/>
    <s v="repeat"/>
    <n v="1"/>
    <n v="1"/>
    <n v="0"/>
    <n v="1"/>
  </r>
  <r>
    <x v="2"/>
    <x v="3"/>
    <n v="254"/>
    <n v="2"/>
    <s v="speak"/>
    <s v="T"/>
    <s v="switch"/>
    <s v="Stim4_Set3"/>
    <m/>
    <m/>
    <m/>
    <n v="0"/>
    <n v="0"/>
    <n v="0"/>
    <n v="0"/>
  </r>
  <r>
    <x v="2"/>
    <x v="3"/>
    <n v="255"/>
    <n v="2"/>
    <s v="speak"/>
    <s v="F"/>
    <s v="filler"/>
    <s v="Stim6_Set2"/>
    <m/>
    <m/>
    <m/>
    <n v="1"/>
    <n v="0"/>
    <n v="1"/>
    <n v="0"/>
  </r>
  <r>
    <x v="2"/>
    <x v="3"/>
    <n v="256"/>
    <n v="2"/>
    <s v="speak"/>
    <s v="NT"/>
    <s v="nontarget"/>
    <s v="Stim7_Set3"/>
    <m/>
    <s v="yes"/>
    <s v="repeat"/>
    <n v="1"/>
    <n v="1"/>
    <n v="0"/>
    <n v="1"/>
  </r>
  <r>
    <x v="2"/>
    <x v="3"/>
    <n v="257"/>
    <n v="1"/>
    <s v="type"/>
    <s v="T"/>
    <s v="switch"/>
    <s v="Stim7_Set3"/>
    <m/>
    <m/>
    <m/>
    <n v="0"/>
    <n v="0"/>
    <n v="0"/>
    <n v="0"/>
  </r>
  <r>
    <x v="2"/>
    <x v="3"/>
    <n v="258"/>
    <n v="1"/>
    <s v="type"/>
    <s v="NT"/>
    <s v="nontarget"/>
    <s v="Stim2_Set3"/>
    <m/>
    <s v="yes"/>
    <s v="repeat"/>
    <n v="1"/>
    <n v="1"/>
    <n v="1"/>
    <n v="0"/>
  </r>
  <r>
    <x v="2"/>
    <x v="3"/>
    <n v="259"/>
    <n v="2"/>
    <s v="speak"/>
    <s v="T"/>
    <s v="switch"/>
    <s v="Stim2_Set3"/>
    <m/>
    <m/>
    <m/>
    <n v="0"/>
    <n v="0"/>
    <n v="0"/>
    <n v="0"/>
  </r>
  <r>
    <x v="2"/>
    <x v="3"/>
    <n v="260"/>
    <n v="1"/>
    <s v="type"/>
    <s v="F"/>
    <s v="filler"/>
    <s v="Stim8_Set2"/>
    <m/>
    <m/>
    <m/>
    <n v="0"/>
    <n v="0"/>
    <n v="1"/>
    <n v="0"/>
  </r>
  <r>
    <x v="2"/>
    <x v="3"/>
    <n v="261"/>
    <n v="2"/>
    <s v="speak"/>
    <s v="NT"/>
    <s v="nontarget"/>
    <s v="Stim6_Set3"/>
    <m/>
    <s v="yes"/>
    <s v="switch"/>
    <n v="0"/>
    <n v="1"/>
    <n v="0"/>
    <n v="1"/>
  </r>
  <r>
    <x v="2"/>
    <x v="3"/>
    <n v="262"/>
    <n v="2"/>
    <s v="speak"/>
    <s v="T"/>
    <s v="repeat"/>
    <s v="Stim6_Set3"/>
    <m/>
    <m/>
    <m/>
    <n v="1"/>
    <n v="0"/>
    <n v="0"/>
    <n v="0"/>
  </r>
  <r>
    <x v="2"/>
    <x v="3"/>
    <n v="263"/>
    <n v="1"/>
    <s v="type"/>
    <s v="F"/>
    <s v="filler"/>
    <s v="Stim2_Set2"/>
    <m/>
    <m/>
    <m/>
    <n v="0"/>
    <n v="0"/>
    <n v="1"/>
    <n v="0"/>
  </r>
  <r>
    <x v="2"/>
    <x v="3"/>
    <n v="264"/>
    <n v="2"/>
    <s v="speak"/>
    <s v="NT"/>
    <s v="nontarget"/>
    <s v="Stim8_Set3"/>
    <m/>
    <s v="yes"/>
    <s v="switch"/>
    <n v="0"/>
    <n v="1"/>
    <n v="0"/>
    <n v="1"/>
  </r>
  <r>
    <x v="2"/>
    <x v="3"/>
    <n v="265"/>
    <n v="2"/>
    <s v="speak"/>
    <s v="T"/>
    <s v="repeat"/>
    <s v="Stim8_Set3"/>
    <m/>
    <m/>
    <m/>
    <n v="1"/>
    <n v="0"/>
    <n v="0"/>
    <n v="0"/>
  </r>
  <r>
    <x v="2"/>
    <x v="3"/>
    <n v="266"/>
    <n v="2"/>
    <s v="speak"/>
    <s v="NT"/>
    <s v="nontarget"/>
    <s v="Stim5_Set3"/>
    <m/>
    <m/>
    <m/>
    <n v="1"/>
    <n v="1"/>
    <n v="1"/>
    <n v="0"/>
  </r>
  <r>
    <x v="2"/>
    <x v="3"/>
    <n v="267"/>
    <n v="1"/>
    <s v="type"/>
    <s v="T"/>
    <s v="switch"/>
    <s v="Stim5_Set3"/>
    <m/>
    <m/>
    <m/>
    <n v="0"/>
    <n v="0"/>
    <n v="0"/>
    <n v="0"/>
  </r>
  <r>
    <x v="2"/>
    <x v="3"/>
    <n v="268"/>
    <n v="2"/>
    <s v="speak"/>
    <s v="F"/>
    <s v="filler"/>
    <s v="Stim4_Set2"/>
    <m/>
    <m/>
    <m/>
    <n v="0"/>
    <n v="0"/>
    <n v="1"/>
    <n v="0"/>
  </r>
  <r>
    <x v="2"/>
    <x v="3"/>
    <n v="269"/>
    <n v="1"/>
    <s v="type"/>
    <s v="F"/>
    <s v="filler"/>
    <s v="Stim5_Set2"/>
    <m/>
    <s v="yes"/>
    <s v="switch"/>
    <n v="0"/>
    <n v="0"/>
    <n v="0"/>
    <n v="1"/>
  </r>
  <r>
    <x v="2"/>
    <x v="3"/>
    <n v="270"/>
    <n v="1"/>
    <s v="type"/>
    <s v="NT"/>
    <s v="nontarget"/>
    <s v="Stim3_Set3"/>
    <m/>
    <m/>
    <m/>
    <n v="1"/>
    <n v="1"/>
    <n v="0"/>
    <n v="1"/>
  </r>
  <r>
    <x v="2"/>
    <x v="3"/>
    <n v="271"/>
    <n v="1"/>
    <s v="type"/>
    <s v="T"/>
    <s v="repeat"/>
    <s v="Stim3_Set3"/>
    <m/>
    <m/>
    <m/>
    <n v="1"/>
    <n v="0"/>
    <n v="0"/>
    <n v="0"/>
  </r>
  <r>
    <x v="2"/>
    <x v="3"/>
    <n v="272"/>
    <n v="2"/>
    <s v="speak"/>
    <s v="F"/>
    <s v="filler"/>
    <s v="Stim3_Set2"/>
    <m/>
    <s v="yes"/>
    <s v="switch"/>
    <n v="0"/>
    <n v="0"/>
    <n v="1"/>
    <n v="0"/>
  </r>
  <r>
    <x v="2"/>
    <x v="3"/>
    <n v="273"/>
    <n v="1"/>
    <s v="type"/>
    <s v="NT"/>
    <s v="nontarget"/>
    <s v="Stim1_Set3"/>
    <m/>
    <s v="yes"/>
    <s v="switch"/>
    <n v="0"/>
    <n v="1"/>
    <n v="0"/>
    <n v="1"/>
  </r>
  <r>
    <x v="2"/>
    <x v="3"/>
    <n v="274"/>
    <n v="1"/>
    <s v="type"/>
    <s v="T"/>
    <s v="repeat"/>
    <s v="Stim1_Set3"/>
    <m/>
    <m/>
    <m/>
    <n v="1"/>
    <n v="0"/>
    <n v="0"/>
    <n v="0"/>
  </r>
  <r>
    <x v="2"/>
    <x v="3"/>
    <n v="275"/>
    <n v="2"/>
    <s v="speak"/>
    <s v="F"/>
    <s v="filler"/>
    <s v="Stim1_Set2"/>
    <m/>
    <m/>
    <m/>
    <n v="0"/>
    <n v="0"/>
    <n v="1"/>
    <n v="0"/>
  </r>
  <r>
    <x v="3"/>
    <x v="3"/>
    <n v="276"/>
    <n v="1"/>
    <s v="type"/>
    <s v="NT"/>
    <s v="nontarget"/>
    <s v="Stim4_Set4"/>
    <m/>
    <m/>
    <m/>
    <n v="0"/>
    <n v="1"/>
    <n v="0"/>
    <n v="1"/>
  </r>
  <r>
    <x v="3"/>
    <x v="3"/>
    <n v="277"/>
    <n v="1"/>
    <s v="type"/>
    <s v="T"/>
    <s v="repeat"/>
    <s v="Stim4_Set4"/>
    <m/>
    <m/>
    <m/>
    <n v="1"/>
    <n v="0"/>
    <n v="0"/>
    <n v="0"/>
  </r>
  <r>
    <x v="3"/>
    <x v="3"/>
    <n v="278"/>
    <n v="2"/>
    <s v="speak"/>
    <s v="F"/>
    <s v="filler"/>
    <s v="Stim4_Set3"/>
    <m/>
    <m/>
    <m/>
    <n v="0"/>
    <n v="0"/>
    <n v="1"/>
    <n v="0"/>
  </r>
  <r>
    <x v="3"/>
    <x v="3"/>
    <n v="279"/>
    <n v="1"/>
    <s v="type"/>
    <s v="NT"/>
    <s v="nontarget"/>
    <s v="Stim6_Set4"/>
    <m/>
    <s v="yes"/>
    <s v="switch"/>
    <n v="0"/>
    <n v="1"/>
    <n v="0"/>
    <n v="1"/>
  </r>
  <r>
    <x v="3"/>
    <x v="3"/>
    <n v="280"/>
    <n v="2"/>
    <s v="speak"/>
    <s v="T"/>
    <s v="switch"/>
    <s v="Stim6_Set4"/>
    <m/>
    <m/>
    <m/>
    <n v="0"/>
    <n v="0"/>
    <n v="0"/>
    <n v="0"/>
  </r>
  <r>
    <x v="3"/>
    <x v="3"/>
    <n v="281"/>
    <n v="2"/>
    <s v="speak"/>
    <s v="NT"/>
    <s v="nontarget"/>
    <s v="Stim2_Set4"/>
    <m/>
    <s v="yes"/>
    <s v="repeat"/>
    <n v="1"/>
    <n v="1"/>
    <n v="1"/>
    <n v="0"/>
  </r>
  <r>
    <x v="3"/>
    <x v="3"/>
    <n v="282"/>
    <n v="2"/>
    <s v="speak"/>
    <s v="T"/>
    <s v="repeat"/>
    <s v="Stim2_Set4"/>
    <m/>
    <m/>
    <m/>
    <n v="1"/>
    <n v="0"/>
    <n v="0"/>
    <n v="0"/>
  </r>
  <r>
    <x v="3"/>
    <x v="3"/>
    <n v="283"/>
    <n v="1"/>
    <s v="type"/>
    <s v="F"/>
    <s v="filler"/>
    <s v="Stim7_Set3"/>
    <m/>
    <m/>
    <m/>
    <n v="0"/>
    <n v="0"/>
    <n v="1"/>
    <n v="0"/>
  </r>
  <r>
    <x v="3"/>
    <x v="3"/>
    <n v="284"/>
    <n v="2"/>
    <s v="speak"/>
    <s v="F"/>
    <s v="filler"/>
    <s v="Stim2_Set3"/>
    <m/>
    <m/>
    <m/>
    <n v="0"/>
    <n v="0"/>
    <n v="0"/>
    <n v="1"/>
  </r>
  <r>
    <x v="3"/>
    <x v="3"/>
    <n v="285"/>
    <n v="2"/>
    <s v="speak"/>
    <s v="NT"/>
    <s v="nontarget"/>
    <s v="Stim5_Set4"/>
    <m/>
    <s v="yes"/>
    <s v="repeat"/>
    <n v="1"/>
    <n v="1"/>
    <n v="0"/>
    <n v="1"/>
  </r>
  <r>
    <x v="3"/>
    <x v="3"/>
    <n v="286"/>
    <n v="1"/>
    <s v="type"/>
    <s v="T"/>
    <s v="switch"/>
    <s v="Stim5_Set4"/>
    <m/>
    <m/>
    <m/>
    <n v="0"/>
    <n v="0"/>
    <n v="0"/>
    <n v="0"/>
  </r>
  <r>
    <x v="3"/>
    <x v="3"/>
    <n v="287"/>
    <n v="1"/>
    <s v="type"/>
    <s v="NT"/>
    <s v="nontarget"/>
    <s v="Stim1_Set4"/>
    <m/>
    <m/>
    <m/>
    <n v="1"/>
    <n v="1"/>
    <n v="1"/>
    <n v="0"/>
  </r>
  <r>
    <x v="3"/>
    <x v="3"/>
    <n v="288"/>
    <n v="2"/>
    <s v="speak"/>
    <s v="T"/>
    <s v="switch"/>
    <s v="Stim1_Set4"/>
    <m/>
    <m/>
    <m/>
    <n v="0"/>
    <n v="0"/>
    <n v="0"/>
    <n v="0"/>
  </r>
  <r>
    <x v="3"/>
    <x v="3"/>
    <n v="289"/>
    <n v="1"/>
    <s v="type"/>
    <s v="F"/>
    <s v="filler"/>
    <s v="Stim6_Set3"/>
    <m/>
    <s v="yes"/>
    <s v="switch"/>
    <n v="0"/>
    <n v="0"/>
    <n v="1"/>
    <n v="0"/>
  </r>
  <r>
    <x v="3"/>
    <x v="3"/>
    <n v="290"/>
    <n v="2"/>
    <s v="speak"/>
    <s v="NT"/>
    <s v="nontarget"/>
    <s v="Stim8_Set4"/>
    <m/>
    <s v="yes"/>
    <s v="switch"/>
    <n v="0"/>
    <n v="1"/>
    <n v="0"/>
    <n v="1"/>
  </r>
  <r>
    <x v="3"/>
    <x v="3"/>
    <n v="291"/>
    <n v="2"/>
    <s v="speak"/>
    <s v="T"/>
    <s v="repeat"/>
    <s v="Stim8_Set4"/>
    <m/>
    <m/>
    <m/>
    <n v="1"/>
    <n v="0"/>
    <n v="0"/>
    <n v="0"/>
  </r>
  <r>
    <x v="3"/>
    <x v="3"/>
    <n v="292"/>
    <n v="1"/>
    <s v="type"/>
    <s v="F"/>
    <s v="filler"/>
    <s v="Stim8_Set3"/>
    <m/>
    <m/>
    <m/>
    <n v="0"/>
    <n v="0"/>
    <n v="1"/>
    <n v="0"/>
  </r>
  <r>
    <x v="3"/>
    <x v="3"/>
    <n v="293"/>
    <n v="2"/>
    <s v="speak"/>
    <s v="F"/>
    <s v="filler"/>
    <s v="Stim1_Set3"/>
    <m/>
    <m/>
    <m/>
    <n v="0"/>
    <n v="0"/>
    <n v="0"/>
    <n v="1"/>
  </r>
  <r>
    <x v="3"/>
    <x v="3"/>
    <n v="294"/>
    <n v="2"/>
    <s v="speak"/>
    <s v="NT"/>
    <s v="nontarget"/>
    <s v="Stim3_Set4"/>
    <m/>
    <s v="yes"/>
    <s v="repeat"/>
    <n v="1"/>
    <n v="1"/>
    <n v="0"/>
    <n v="1"/>
  </r>
  <r>
    <x v="3"/>
    <x v="3"/>
    <n v="295"/>
    <n v="1"/>
    <s v="type"/>
    <s v="T"/>
    <s v="switch"/>
    <s v="Stim3_Set4"/>
    <m/>
    <m/>
    <m/>
    <n v="0"/>
    <n v="0"/>
    <n v="0"/>
    <n v="0"/>
  </r>
  <r>
    <x v="3"/>
    <x v="3"/>
    <n v="296"/>
    <n v="2"/>
    <s v="speak"/>
    <s v="F"/>
    <s v="filler"/>
    <m/>
    <s v="here"/>
    <m/>
    <m/>
    <n v="0"/>
    <n v="0"/>
    <n v="1"/>
    <n v="0"/>
  </r>
  <r>
    <x v="3"/>
    <x v="3"/>
    <n v="297"/>
    <n v="1"/>
    <s v="type"/>
    <s v="F"/>
    <s v="filler"/>
    <s v="Stim5_Set3"/>
    <m/>
    <s v="yes"/>
    <s v="switch"/>
    <n v="0"/>
    <n v="0"/>
    <n v="0"/>
    <n v="1"/>
  </r>
  <r>
    <x v="3"/>
    <x v="3"/>
    <n v="298"/>
    <n v="2"/>
    <s v="speak"/>
    <s v="F"/>
    <s v="filler"/>
    <m/>
    <s v="here"/>
    <m/>
    <m/>
    <n v="0"/>
    <n v="0"/>
    <n v="0"/>
    <n v="1"/>
  </r>
  <r>
    <x v="3"/>
    <x v="3"/>
    <n v="299"/>
    <n v="1"/>
    <s v="type"/>
    <s v="F"/>
    <s v="filler"/>
    <s v="Stim3_Set3"/>
    <m/>
    <s v="yes"/>
    <s v="switch"/>
    <n v="0"/>
    <n v="0"/>
    <n v="0"/>
    <n v="1"/>
  </r>
  <r>
    <x v="3"/>
    <x v="3"/>
    <n v="300"/>
    <n v="1"/>
    <s v="type"/>
    <s v="NT"/>
    <s v="nontarget"/>
    <s v="Stim7_Set4"/>
    <m/>
    <s v="yes"/>
    <s v="repeat"/>
    <n v="1"/>
    <n v="1"/>
    <n v="0"/>
    <n v="1"/>
  </r>
  <r>
    <x v="3"/>
    <x v="3"/>
    <n v="301"/>
    <n v="1"/>
    <s v="type"/>
    <s v="T"/>
    <s v="repeat"/>
    <s v="Stim7_Set4"/>
    <m/>
    <m/>
    <m/>
    <n v="1"/>
    <n v="0"/>
    <n v="0"/>
    <n v="0"/>
  </r>
  <r>
    <x v="3"/>
    <x v="3"/>
    <n v="302"/>
    <n v="2"/>
    <s v="speak"/>
    <s v="F"/>
    <s v="filler"/>
    <m/>
    <s v="here"/>
    <m/>
    <m/>
    <n v="0"/>
    <n v="1"/>
    <n v="1"/>
    <n v="0"/>
  </r>
  <r>
    <x v="4"/>
    <x v="1"/>
    <n v="303"/>
    <m/>
    <s v="break"/>
    <s v="break"/>
    <m/>
    <m/>
    <m/>
    <m/>
    <m/>
    <n v="0"/>
    <n v="0"/>
    <n v="0"/>
    <n v="1"/>
  </r>
  <r>
    <x v="0"/>
    <x v="4"/>
    <n v="304"/>
    <n v="2"/>
    <s v="speak"/>
    <s v="F"/>
    <s v="filler"/>
    <s v="Stim4_Set4"/>
    <m/>
    <m/>
    <m/>
    <n v="0"/>
    <n v="0"/>
    <n v="0"/>
    <n v="0"/>
  </r>
  <r>
    <x v="0"/>
    <x v="4"/>
    <n v="305"/>
    <n v="2"/>
    <s v="speak"/>
    <s v="NT"/>
    <s v="nontarget"/>
    <s v="Stim5_Set1"/>
    <m/>
    <s v="yes"/>
    <s v="repeat"/>
    <n v="1"/>
    <n v="1"/>
    <n v="0"/>
    <n v="1"/>
  </r>
  <r>
    <x v="0"/>
    <x v="4"/>
    <n v="306"/>
    <n v="2"/>
    <s v="speak"/>
    <s v="T"/>
    <s v="repeat"/>
    <s v="Stim5_Set1"/>
    <m/>
    <m/>
    <m/>
    <n v="1"/>
    <n v="0"/>
    <n v="0"/>
    <n v="0"/>
  </r>
  <r>
    <x v="0"/>
    <x v="4"/>
    <n v="307"/>
    <n v="1"/>
    <s v="type"/>
    <s v="F"/>
    <s v="filler"/>
    <s v="Stim3_Set4"/>
    <m/>
    <m/>
    <m/>
    <n v="0"/>
    <n v="0"/>
    <n v="1"/>
    <n v="0"/>
  </r>
  <r>
    <x v="0"/>
    <x v="4"/>
    <n v="308"/>
    <n v="1"/>
    <s v="type"/>
    <s v="F"/>
    <s v="filler"/>
    <s v="Stim1_Set4"/>
    <m/>
    <s v="yes"/>
    <s v="repeat"/>
    <n v="1"/>
    <n v="0"/>
    <n v="0"/>
    <n v="1"/>
  </r>
  <r>
    <x v="0"/>
    <x v="4"/>
    <n v="309"/>
    <n v="2"/>
    <s v="speak"/>
    <s v="NT"/>
    <s v="nontarget"/>
    <s v="Stim8_Set1"/>
    <m/>
    <s v="yes"/>
    <s v="switch"/>
    <n v="0"/>
    <n v="1"/>
    <n v="0"/>
    <n v="1"/>
  </r>
  <r>
    <x v="0"/>
    <x v="4"/>
    <n v="310"/>
    <n v="2"/>
    <s v="speak"/>
    <s v="T"/>
    <s v="repeat"/>
    <s v="Stim8_Set1"/>
    <m/>
    <m/>
    <m/>
    <n v="1"/>
    <n v="0"/>
    <n v="0"/>
    <n v="0"/>
  </r>
  <r>
    <x v="0"/>
    <x v="4"/>
    <n v="311"/>
    <n v="1"/>
    <s v="type"/>
    <s v="F"/>
    <s v="filler"/>
    <s v="Stim8_Set4"/>
    <m/>
    <m/>
    <m/>
    <n v="0"/>
    <n v="0"/>
    <n v="1"/>
    <n v="0"/>
  </r>
  <r>
    <x v="0"/>
    <x v="4"/>
    <n v="312"/>
    <n v="2"/>
    <s v="speak"/>
    <s v="NT"/>
    <s v="nontarget"/>
    <s v="Stim7_Set1"/>
    <m/>
    <s v="yes"/>
    <s v="switch"/>
    <n v="0"/>
    <n v="1"/>
    <n v="0"/>
    <n v="1"/>
  </r>
  <r>
    <x v="0"/>
    <x v="4"/>
    <n v="313"/>
    <n v="1"/>
    <s v="type"/>
    <s v="T"/>
    <s v="switch"/>
    <s v="Stim7_Set1"/>
    <m/>
    <m/>
    <m/>
    <n v="0"/>
    <n v="0"/>
    <n v="0"/>
    <n v="0"/>
  </r>
  <r>
    <x v="0"/>
    <x v="4"/>
    <n v="314"/>
    <n v="1"/>
    <s v="type"/>
    <s v="F"/>
    <s v="filler"/>
    <s v="Stim6_Set4"/>
    <m/>
    <s v="yes"/>
    <s v="repeat"/>
    <n v="1"/>
    <n v="0"/>
    <n v="1"/>
    <n v="0"/>
  </r>
  <r>
    <x v="0"/>
    <x v="4"/>
    <n v="315"/>
    <n v="1"/>
    <s v="type"/>
    <s v="NT"/>
    <s v="nontarget"/>
    <s v="Stim3_Set1"/>
    <m/>
    <s v="yes"/>
    <s v="repeat"/>
    <n v="1"/>
    <n v="1"/>
    <n v="0"/>
    <n v="1"/>
  </r>
  <r>
    <x v="0"/>
    <x v="4"/>
    <n v="316"/>
    <n v="2"/>
    <s v="speak"/>
    <s v="T"/>
    <s v="switch"/>
    <s v="Stim3_Set1"/>
    <m/>
    <m/>
    <m/>
    <n v="0"/>
    <n v="0"/>
    <n v="0"/>
    <n v="0"/>
  </r>
  <r>
    <x v="0"/>
    <x v="4"/>
    <n v="317"/>
    <n v="2"/>
    <s v="speak"/>
    <s v="NT"/>
    <s v="nontarget"/>
    <s v="Stim2_Set1"/>
    <m/>
    <s v="yes"/>
    <s v="repeat"/>
    <n v="1"/>
    <n v="1"/>
    <n v="1"/>
    <n v="0"/>
  </r>
  <r>
    <x v="0"/>
    <x v="4"/>
    <n v="318"/>
    <n v="1"/>
    <s v="type"/>
    <s v="T"/>
    <s v="switch"/>
    <s v="Stim2_Set1"/>
    <m/>
    <m/>
    <m/>
    <n v="0"/>
    <n v="0"/>
    <n v="0"/>
    <n v="0"/>
  </r>
  <r>
    <x v="0"/>
    <x v="4"/>
    <n v="319"/>
    <n v="1"/>
    <s v="type"/>
    <s v="F"/>
    <s v="filler"/>
    <s v="Stim7_Set4"/>
    <m/>
    <m/>
    <m/>
    <n v="1"/>
    <n v="0"/>
    <n v="1"/>
    <n v="0"/>
  </r>
  <r>
    <x v="0"/>
    <x v="4"/>
    <n v="320"/>
    <n v="2"/>
    <s v="speak"/>
    <s v="F"/>
    <s v="filler"/>
    <s v="Stim5_Set4"/>
    <m/>
    <m/>
    <m/>
    <n v="0"/>
    <n v="0"/>
    <n v="0"/>
    <n v="1"/>
  </r>
  <r>
    <x v="0"/>
    <x v="4"/>
    <n v="321"/>
    <n v="1"/>
    <s v="type"/>
    <s v="NT"/>
    <s v="nontarget"/>
    <s v="Stim4_Set1"/>
    <m/>
    <m/>
    <m/>
    <n v="0"/>
    <n v="1"/>
    <n v="0"/>
    <n v="1"/>
  </r>
  <r>
    <x v="0"/>
    <x v="4"/>
    <n v="322"/>
    <n v="1"/>
    <s v="type"/>
    <s v="T"/>
    <s v="repeat"/>
    <s v="Stim4_Set1"/>
    <m/>
    <m/>
    <m/>
    <n v="1"/>
    <n v="0"/>
    <n v="0"/>
    <n v="0"/>
  </r>
  <r>
    <x v="0"/>
    <x v="4"/>
    <n v="323"/>
    <n v="2"/>
    <s v="speak"/>
    <s v="F"/>
    <s v="filler"/>
    <s v="Stim2_Set4"/>
    <m/>
    <s v="yes"/>
    <s v="switch"/>
    <n v="0"/>
    <n v="0"/>
    <n v="1"/>
    <n v="0"/>
  </r>
  <r>
    <x v="0"/>
    <x v="4"/>
    <n v="324"/>
    <n v="1"/>
    <s v="type"/>
    <s v="NT"/>
    <s v="nontarget"/>
    <s v="Stim1_Set1"/>
    <m/>
    <s v="yes"/>
    <s v="switch"/>
    <n v="0"/>
    <n v="1"/>
    <n v="0"/>
    <n v="1"/>
  </r>
  <r>
    <x v="0"/>
    <x v="4"/>
    <n v="325"/>
    <n v="1"/>
    <s v="type"/>
    <s v="T"/>
    <s v="repeat"/>
    <s v="Stim1_Set1"/>
    <m/>
    <m/>
    <m/>
    <n v="1"/>
    <n v="0"/>
    <n v="0"/>
    <n v="0"/>
  </r>
  <r>
    <x v="0"/>
    <x v="4"/>
    <n v="326"/>
    <n v="1"/>
    <s v="type"/>
    <s v="NT"/>
    <s v="nontarget"/>
    <s v="Stim6_Set1"/>
    <m/>
    <s v="yes"/>
    <s v="repeat"/>
    <n v="1"/>
    <n v="1"/>
    <n v="1"/>
    <n v="0"/>
  </r>
  <r>
    <x v="0"/>
    <x v="4"/>
    <n v="327"/>
    <n v="2"/>
    <s v="speak"/>
    <s v="T"/>
    <s v="switch"/>
    <s v="Stim6_Set1"/>
    <m/>
    <m/>
    <m/>
    <n v="0"/>
    <n v="0"/>
    <n v="0"/>
    <n v="0"/>
  </r>
  <r>
    <x v="1"/>
    <x v="4"/>
    <n v="328"/>
    <n v="1"/>
    <s v="type"/>
    <s v="F"/>
    <s v="filler"/>
    <s v="Stim5_Set1"/>
    <m/>
    <m/>
    <m/>
    <n v="0"/>
    <n v="0"/>
    <n v="1"/>
    <n v="0"/>
  </r>
  <r>
    <x v="1"/>
    <x v="4"/>
    <n v="329"/>
    <n v="1"/>
    <s v="type"/>
    <s v="NT"/>
    <s v="nontarget"/>
    <s v="Stim8_Set2"/>
    <m/>
    <s v="yes"/>
    <s v="repeat"/>
    <n v="1"/>
    <n v="1"/>
    <n v="0"/>
    <n v="1"/>
  </r>
  <r>
    <x v="1"/>
    <x v="4"/>
    <n v="330"/>
    <n v="1"/>
    <s v="type"/>
    <s v="T"/>
    <s v="repeat"/>
    <s v="Stim8_Set2"/>
    <m/>
    <m/>
    <m/>
    <n v="1"/>
    <n v="0"/>
    <n v="0"/>
    <n v="0"/>
  </r>
  <r>
    <x v="1"/>
    <x v="4"/>
    <n v="331"/>
    <n v="2"/>
    <s v="speak"/>
    <s v="F"/>
    <s v="filler"/>
    <s v="Stim1_Set1"/>
    <m/>
    <s v="yes"/>
    <s v="switch"/>
    <n v="0"/>
    <n v="0"/>
    <n v="1"/>
    <n v="0"/>
  </r>
  <r>
    <x v="1"/>
    <x v="4"/>
    <n v="332"/>
    <n v="1"/>
    <s v="type"/>
    <s v="NT"/>
    <s v="nontarget"/>
    <s v="Stim4_Set2"/>
    <m/>
    <s v="yes"/>
    <s v="switch"/>
    <n v="0"/>
    <n v="1"/>
    <n v="0"/>
    <n v="1"/>
  </r>
  <r>
    <x v="1"/>
    <x v="4"/>
    <n v="333"/>
    <n v="1"/>
    <s v="type"/>
    <s v="T"/>
    <s v="repeat"/>
    <s v="Stim4_Set2"/>
    <m/>
    <m/>
    <m/>
    <n v="1"/>
    <n v="0"/>
    <n v="0"/>
    <n v="0"/>
  </r>
  <r>
    <x v="1"/>
    <x v="4"/>
    <n v="334"/>
    <n v="1"/>
    <s v="type"/>
    <s v="F"/>
    <s v="filler"/>
    <s v="Stim8_Set1"/>
    <m/>
    <m/>
    <m/>
    <n v="1"/>
    <n v="0"/>
    <n v="1"/>
    <n v="0"/>
  </r>
  <r>
    <x v="1"/>
    <x v="4"/>
    <n v="335"/>
    <n v="2"/>
    <s v="speak"/>
    <s v="F"/>
    <s v="filler"/>
    <m/>
    <s v="here"/>
    <m/>
    <m/>
    <n v="0"/>
    <n v="0"/>
    <n v="0"/>
    <n v="1"/>
  </r>
  <r>
    <x v="1"/>
    <x v="4"/>
    <n v="336"/>
    <n v="1"/>
    <s v="type"/>
    <s v="F"/>
    <s v="filler"/>
    <s v="Stim7_Set1"/>
    <m/>
    <s v="yes"/>
    <s v="switch"/>
    <n v="0"/>
    <n v="0"/>
    <n v="0"/>
    <n v="1"/>
  </r>
  <r>
    <x v="1"/>
    <x v="4"/>
    <n v="337"/>
    <n v="1"/>
    <s v="type"/>
    <s v="NT"/>
    <s v="nontarget"/>
    <s v="Stim6_Set2"/>
    <m/>
    <s v="yes"/>
    <s v="repeat"/>
    <n v="1"/>
    <n v="1"/>
    <n v="0"/>
    <n v="1"/>
  </r>
  <r>
    <x v="1"/>
    <x v="4"/>
    <n v="338"/>
    <n v="1"/>
    <s v="speak"/>
    <s v="T"/>
    <s v="switch"/>
    <s v="Stim6_Set2"/>
    <m/>
    <m/>
    <m/>
    <n v="0"/>
    <n v="0"/>
    <n v="0"/>
    <n v="0"/>
  </r>
  <r>
    <x v="1"/>
    <x v="4"/>
    <n v="339"/>
    <n v="2"/>
    <s v="speak"/>
    <s v="F"/>
    <s v="filler"/>
    <s v="Stim3_Set1"/>
    <m/>
    <m/>
    <m/>
    <n v="1"/>
    <n v="0"/>
    <n v="1"/>
    <n v="0"/>
  </r>
  <r>
    <x v="1"/>
    <x v="4"/>
    <n v="340"/>
    <n v="2"/>
    <s v="speak"/>
    <s v="NT"/>
    <s v="nontarget"/>
    <s v="Stim2_Set2"/>
    <m/>
    <s v="yes"/>
    <s v="repeat"/>
    <n v="1"/>
    <n v="1"/>
    <n v="0"/>
    <n v="1"/>
  </r>
  <r>
    <x v="1"/>
    <x v="4"/>
    <n v="341"/>
    <n v="1"/>
    <s v="type"/>
    <s v="T"/>
    <s v="switch"/>
    <s v="Stim2_Set2"/>
    <m/>
    <m/>
    <m/>
    <n v="0"/>
    <n v="0"/>
    <n v="0"/>
    <n v="0"/>
  </r>
  <r>
    <x v="1"/>
    <x v="4"/>
    <n v="342"/>
    <n v="1"/>
    <s v="type"/>
    <s v="F"/>
    <s v="filler"/>
    <s v="Stim2_Set1"/>
    <m/>
    <m/>
    <m/>
    <n v="1"/>
    <n v="0"/>
    <n v="1"/>
    <n v="0"/>
  </r>
  <r>
    <x v="1"/>
    <x v="4"/>
    <n v="343"/>
    <n v="1"/>
    <s v="type"/>
    <s v="NT"/>
    <s v="nontarget"/>
    <s v="Stim7_Set2"/>
    <m/>
    <s v="yes"/>
    <s v="repeat"/>
    <n v="1"/>
    <n v="1"/>
    <n v="0"/>
    <n v="1"/>
  </r>
  <r>
    <x v="1"/>
    <x v="4"/>
    <n v="344"/>
    <n v="2"/>
    <s v="speak"/>
    <s v="T"/>
    <s v="switch"/>
    <s v="Stim7_Set2"/>
    <m/>
    <m/>
    <m/>
    <n v="0"/>
    <n v="0"/>
    <n v="0"/>
    <n v="0"/>
  </r>
  <r>
    <x v="1"/>
    <x v="4"/>
    <n v="345"/>
    <n v="2"/>
    <s v="speak"/>
    <s v="NT"/>
    <s v="nontarget"/>
    <s v="Stim3_Set2"/>
    <m/>
    <m/>
    <m/>
    <n v="1"/>
    <n v="1"/>
    <n v="1"/>
    <n v="0"/>
  </r>
  <r>
    <x v="1"/>
    <x v="4"/>
    <n v="346"/>
    <n v="2"/>
    <s v="speak"/>
    <s v="T"/>
    <s v="repeat"/>
    <s v="Stim3_Set2"/>
    <m/>
    <m/>
    <m/>
    <n v="1"/>
    <n v="0"/>
    <n v="0"/>
    <n v="0"/>
  </r>
  <r>
    <x v="1"/>
    <x v="4"/>
    <n v="347"/>
    <n v="1"/>
    <s v="type"/>
    <s v="F"/>
    <s v="filler"/>
    <s v="Stim4_Set1"/>
    <m/>
    <m/>
    <m/>
    <n v="0"/>
    <n v="0"/>
    <n v="1"/>
    <n v="0"/>
  </r>
  <r>
    <x v="1"/>
    <x v="4"/>
    <n v="348"/>
    <n v="2"/>
    <s v="speak"/>
    <s v="NT"/>
    <s v="nontarget"/>
    <s v="Stim5_Set2"/>
    <m/>
    <s v="yes"/>
    <s v="switch"/>
    <n v="0"/>
    <n v="1"/>
    <n v="0"/>
    <n v="1"/>
  </r>
  <r>
    <x v="1"/>
    <x v="4"/>
    <n v="349"/>
    <n v="2"/>
    <s v="speak"/>
    <s v="T"/>
    <s v="repeat"/>
    <s v="Stim5_Set2"/>
    <m/>
    <m/>
    <m/>
    <n v="1"/>
    <n v="0"/>
    <n v="0"/>
    <n v="0"/>
  </r>
  <r>
    <x v="1"/>
    <x v="4"/>
    <n v="350"/>
    <n v="1"/>
    <s v="type"/>
    <s v="F"/>
    <s v="filler"/>
    <m/>
    <s v="here"/>
    <m/>
    <m/>
    <n v="0"/>
    <n v="0"/>
    <n v="1"/>
    <n v="0"/>
  </r>
  <r>
    <x v="1"/>
    <x v="4"/>
    <n v="351"/>
    <n v="2"/>
    <s v="speak"/>
    <s v="F"/>
    <s v="filler"/>
    <s v="Stim6_Set1"/>
    <m/>
    <m/>
    <m/>
    <n v="0"/>
    <n v="0"/>
    <n v="0"/>
    <n v="1"/>
  </r>
  <r>
    <x v="1"/>
    <x v="4"/>
    <n v="352"/>
    <n v="2"/>
    <s v="speak"/>
    <s v="NT"/>
    <s v="nontarget"/>
    <s v="Stim1_Set2"/>
    <m/>
    <s v="yes"/>
    <s v="repeat"/>
    <n v="1"/>
    <n v="1"/>
    <n v="0"/>
    <n v="1"/>
  </r>
  <r>
    <x v="1"/>
    <x v="4"/>
    <n v="353"/>
    <n v="1"/>
    <s v="type"/>
    <s v="T"/>
    <s v="switch"/>
    <s v="Stim1_Set2"/>
    <m/>
    <m/>
    <m/>
    <n v="0"/>
    <n v="0"/>
    <n v="0"/>
    <n v="0"/>
  </r>
  <r>
    <x v="2"/>
    <x v="4"/>
    <n v="354"/>
    <n v="1"/>
    <s v="type"/>
    <s v="NT"/>
    <s v="nontarget"/>
    <s v="Stim5_Set3"/>
    <m/>
    <m/>
    <m/>
    <n v="1"/>
    <n v="1"/>
    <n v="1"/>
    <n v="0"/>
  </r>
  <r>
    <x v="2"/>
    <x v="4"/>
    <n v="355"/>
    <n v="2"/>
    <s v="speak"/>
    <s v="T"/>
    <s v="switch"/>
    <s v="Stim5_Set3"/>
    <m/>
    <m/>
    <m/>
    <n v="0"/>
    <n v="0"/>
    <n v="0"/>
    <n v="0"/>
  </r>
  <r>
    <x v="2"/>
    <x v="4"/>
    <n v="356"/>
    <n v="2"/>
    <s v="speak"/>
    <s v="F"/>
    <s v="filler"/>
    <s v="Stim8_Set2"/>
    <m/>
    <m/>
    <m/>
    <n v="1"/>
    <n v="0"/>
    <n v="1"/>
    <n v="0"/>
  </r>
  <r>
    <x v="2"/>
    <x v="4"/>
    <n v="357"/>
    <n v="2"/>
    <s v="speak"/>
    <s v="NT"/>
    <s v="nontarget"/>
    <s v="Stim1_Set3"/>
    <m/>
    <s v="yes"/>
    <s v="repeat"/>
    <n v="1"/>
    <n v="1"/>
    <n v="0"/>
    <n v="1"/>
  </r>
  <r>
    <x v="2"/>
    <x v="4"/>
    <n v="358"/>
    <n v="1"/>
    <s v="type"/>
    <s v="T"/>
    <s v="switch"/>
    <s v="Stim1_Set3"/>
    <m/>
    <m/>
    <m/>
    <n v="0"/>
    <n v="0"/>
    <n v="0"/>
    <n v="0"/>
  </r>
  <r>
    <x v="2"/>
    <x v="4"/>
    <n v="359"/>
    <n v="1"/>
    <s v="type"/>
    <s v="F"/>
    <s v="filler"/>
    <s v="Stim4_Set2"/>
    <m/>
    <s v="yes"/>
    <s v="repeat"/>
    <n v="1"/>
    <n v="0"/>
    <n v="1"/>
    <n v="0"/>
  </r>
  <r>
    <x v="2"/>
    <x v="4"/>
    <n v="360"/>
    <n v="1"/>
    <s v="type"/>
    <s v="NT"/>
    <s v="nontarget"/>
    <s v="Stim7_Set3"/>
    <m/>
    <s v="yes"/>
    <s v="repeat"/>
    <n v="1"/>
    <n v="1"/>
    <n v="0"/>
    <n v="1"/>
  </r>
  <r>
    <x v="2"/>
    <x v="4"/>
    <n v="361"/>
    <n v="2"/>
    <s v="speak"/>
    <s v="T"/>
    <s v="switch"/>
    <s v="Stim7_Set3"/>
    <m/>
    <m/>
    <m/>
    <n v="0"/>
    <n v="0"/>
    <n v="0"/>
    <n v="0"/>
  </r>
  <r>
    <x v="2"/>
    <x v="4"/>
    <n v="362"/>
    <n v="1"/>
    <s v="type"/>
    <s v="F"/>
    <s v="filler"/>
    <s v="Stim6_Set2"/>
    <m/>
    <m/>
    <m/>
    <n v="0"/>
    <n v="0"/>
    <n v="1"/>
    <n v="0"/>
  </r>
  <r>
    <x v="2"/>
    <x v="4"/>
    <n v="363"/>
    <n v="2"/>
    <s v="speak"/>
    <s v="NT"/>
    <s v="nontarget"/>
    <s v="Stim3_Set3"/>
    <m/>
    <s v="yes"/>
    <s v="switch"/>
    <n v="0"/>
    <n v="1"/>
    <n v="0"/>
    <n v="1"/>
  </r>
  <r>
    <x v="2"/>
    <x v="4"/>
    <n v="364"/>
    <n v="2"/>
    <s v="speak"/>
    <s v="T"/>
    <s v="repeat"/>
    <s v="Stim3_Set3"/>
    <m/>
    <m/>
    <m/>
    <n v="1"/>
    <n v="0"/>
    <n v="0"/>
    <n v="0"/>
  </r>
  <r>
    <x v="2"/>
    <x v="4"/>
    <n v="365"/>
    <n v="2"/>
    <s v="speak"/>
    <s v="F"/>
    <s v="filler"/>
    <s v="Stim2_Set2"/>
    <m/>
    <m/>
    <m/>
    <n v="1"/>
    <n v="0"/>
    <n v="1"/>
    <n v="0"/>
  </r>
  <r>
    <x v="2"/>
    <x v="4"/>
    <n v="366"/>
    <n v="1"/>
    <s v="type"/>
    <s v="F"/>
    <s v="filler"/>
    <s v="Stim7_Set2"/>
    <m/>
    <s v="yes"/>
    <s v="switch"/>
    <n v="0"/>
    <n v="0"/>
    <n v="0"/>
    <n v="1"/>
  </r>
  <r>
    <x v="2"/>
    <x v="4"/>
    <n v="367"/>
    <n v="2"/>
    <s v="speak"/>
    <s v="NT"/>
    <s v="nontarget"/>
    <s v="Stim2_Set3"/>
    <m/>
    <s v="yes"/>
    <s v="switch"/>
    <n v="0"/>
    <n v="1"/>
    <n v="0"/>
    <n v="1"/>
  </r>
  <r>
    <x v="2"/>
    <x v="4"/>
    <n v="368"/>
    <n v="2"/>
    <s v="speak"/>
    <s v="T"/>
    <s v="repeat"/>
    <s v="Stim2_Set3"/>
    <m/>
    <m/>
    <m/>
    <n v="1"/>
    <n v="0"/>
    <n v="0"/>
    <n v="0"/>
  </r>
  <r>
    <x v="2"/>
    <x v="4"/>
    <n v="369"/>
    <n v="2"/>
    <s v="speak"/>
    <s v="NT"/>
    <s v="nontarget"/>
    <s v="Stim8_Set3"/>
    <m/>
    <s v="yes"/>
    <s v="repeat"/>
    <n v="1"/>
    <n v="1"/>
    <n v="1"/>
    <n v="0"/>
  </r>
  <r>
    <x v="2"/>
    <x v="4"/>
    <n v="370"/>
    <n v="1"/>
    <s v="type"/>
    <s v="T"/>
    <s v="switch"/>
    <s v="Stim8_Set3"/>
    <m/>
    <m/>
    <m/>
    <n v="0"/>
    <n v="0"/>
    <n v="0"/>
    <n v="0"/>
  </r>
  <r>
    <x v="2"/>
    <x v="4"/>
    <n v="371"/>
    <n v="2"/>
    <s v="speak"/>
    <s v="F"/>
    <s v="filler"/>
    <s v="Stim5_Set2"/>
    <m/>
    <m/>
    <m/>
    <n v="0"/>
    <n v="0"/>
    <n v="1"/>
    <n v="0"/>
  </r>
  <r>
    <x v="2"/>
    <x v="4"/>
    <n v="372"/>
    <n v="1"/>
    <s v="type"/>
    <s v="F"/>
    <s v="filler"/>
    <s v="Stim3_Set2"/>
    <m/>
    <m/>
    <m/>
    <n v="0"/>
    <n v="0"/>
    <n v="0"/>
    <n v="1"/>
  </r>
  <r>
    <x v="2"/>
    <x v="4"/>
    <n v="373"/>
    <n v="1"/>
    <s v="type"/>
    <s v="NT"/>
    <s v="nontarget"/>
    <s v="Stim6_Set3"/>
    <m/>
    <m/>
    <m/>
    <n v="1"/>
    <n v="1"/>
    <n v="0"/>
    <n v="1"/>
  </r>
  <r>
    <x v="2"/>
    <x v="4"/>
    <n v="374"/>
    <n v="1"/>
    <s v="type"/>
    <s v="T"/>
    <s v="repeat"/>
    <s v="Stim6_Set3"/>
    <m/>
    <m/>
    <m/>
    <n v="1"/>
    <n v="0"/>
    <n v="0"/>
    <n v="0"/>
  </r>
  <r>
    <x v="2"/>
    <x v="4"/>
    <n v="375"/>
    <n v="2"/>
    <s v="speak"/>
    <s v="F"/>
    <s v="filler"/>
    <s v="Stim1_Set2"/>
    <m/>
    <m/>
    <m/>
    <n v="0"/>
    <n v="0"/>
    <n v="1"/>
    <n v="0"/>
  </r>
  <r>
    <x v="2"/>
    <x v="4"/>
    <n v="376"/>
    <n v="1"/>
    <s v="type"/>
    <s v="NT"/>
    <s v="nontarget"/>
    <s v="Stim4_Set3"/>
    <m/>
    <s v="yes"/>
    <s v="switch"/>
    <n v="0"/>
    <n v="1"/>
    <n v="0"/>
    <n v="1"/>
  </r>
  <r>
    <x v="2"/>
    <x v="4"/>
    <n v="377"/>
    <n v="1"/>
    <s v="type"/>
    <s v="T"/>
    <s v="repeat"/>
    <s v="Stim4_Set3"/>
    <m/>
    <m/>
    <m/>
    <n v="1"/>
    <n v="0"/>
    <n v="0"/>
    <n v="0"/>
  </r>
  <r>
    <x v="3"/>
    <x v="4"/>
    <n v="378"/>
    <n v="1"/>
    <s v="type"/>
    <s v="F"/>
    <s v="filler"/>
    <s v="Stim1_Set3"/>
    <m/>
    <s v="yes"/>
    <s v="repeat"/>
    <n v="1"/>
    <n v="0"/>
    <n v="1"/>
    <n v="0"/>
  </r>
  <r>
    <x v="3"/>
    <x v="4"/>
    <n v="379"/>
    <n v="2"/>
    <s v="speak"/>
    <s v="F"/>
    <s v="filler"/>
    <m/>
    <m/>
    <m/>
    <m/>
    <n v="0"/>
    <n v="0"/>
    <n v="0"/>
    <n v="1"/>
  </r>
  <r>
    <x v="3"/>
    <x v="4"/>
    <n v="380"/>
    <n v="2"/>
    <s v="speak"/>
    <s v="F"/>
    <s v="filler"/>
    <s v="Stim6_Set3"/>
    <m/>
    <s v="yes"/>
    <s v="repeat"/>
    <n v="1"/>
    <n v="0"/>
    <n v="0"/>
    <n v="1"/>
  </r>
  <r>
    <x v="3"/>
    <x v="4"/>
    <n v="381"/>
    <n v="1"/>
    <s v="type"/>
    <s v="NT"/>
    <s v="nontarget"/>
    <s v="Stim6_Set4"/>
    <m/>
    <m/>
    <m/>
    <n v="0"/>
    <n v="1"/>
    <n v="0"/>
    <n v="1"/>
  </r>
  <r>
    <x v="3"/>
    <x v="4"/>
    <n v="382"/>
    <n v="1"/>
    <s v="type"/>
    <s v="T"/>
    <s v="repeat"/>
    <s v="Stim6_Set4"/>
    <m/>
    <m/>
    <m/>
    <n v="1"/>
    <n v="0"/>
    <n v="0"/>
    <n v="0"/>
  </r>
  <r>
    <x v="3"/>
    <x v="4"/>
    <n v="383"/>
    <n v="1"/>
    <s v="type"/>
    <s v="NT"/>
    <s v="nontarget"/>
    <s v="Stim3_Set4"/>
    <m/>
    <s v="yes"/>
    <s v="repeat"/>
    <n v="1"/>
    <n v="1"/>
    <n v="1"/>
    <n v="0"/>
  </r>
  <r>
    <x v="3"/>
    <x v="4"/>
    <n v="384"/>
    <n v="2"/>
    <s v="speak"/>
    <s v="T"/>
    <s v="switch"/>
    <s v="Stim3_Set4"/>
    <m/>
    <m/>
    <m/>
    <n v="0"/>
    <n v="0"/>
    <n v="0"/>
    <n v="0"/>
  </r>
  <r>
    <x v="3"/>
    <x v="4"/>
    <n v="385"/>
    <n v="1"/>
    <s v="type"/>
    <s v="F"/>
    <s v="filler"/>
    <s v="Stim7_Set3"/>
    <m/>
    <m/>
    <m/>
    <n v="0"/>
    <n v="0"/>
    <n v="1"/>
    <n v="0"/>
  </r>
  <r>
    <x v="3"/>
    <x v="4"/>
    <n v="386"/>
    <n v="2"/>
    <s v="speak"/>
    <s v="NT"/>
    <s v="nontarget"/>
    <s v="Stim5_Set4"/>
    <m/>
    <s v="yes"/>
    <s v="switch"/>
    <n v="0"/>
    <n v="1"/>
    <n v="0"/>
    <n v="1"/>
  </r>
  <r>
    <x v="3"/>
    <x v="4"/>
    <n v="387"/>
    <n v="2"/>
    <s v="speak"/>
    <s v="T"/>
    <s v="repeat"/>
    <s v="Stim5_Set4"/>
    <m/>
    <m/>
    <m/>
    <n v="1"/>
    <n v="0"/>
    <n v="0"/>
    <n v="0"/>
  </r>
  <r>
    <x v="3"/>
    <x v="4"/>
    <n v="388"/>
    <n v="2"/>
    <s v="speak"/>
    <s v="NT"/>
    <s v="nontarget"/>
    <s v="Stim1_Set4"/>
    <m/>
    <m/>
    <m/>
    <n v="1"/>
    <n v="1"/>
    <n v="1"/>
    <n v="0"/>
  </r>
  <r>
    <x v="3"/>
    <x v="4"/>
    <n v="389"/>
    <n v="1"/>
    <s v="type"/>
    <s v="T"/>
    <s v="switch"/>
    <s v="Stim1_Set4"/>
    <m/>
    <m/>
    <m/>
    <n v="0"/>
    <n v="0"/>
    <n v="0"/>
    <n v="0"/>
  </r>
  <r>
    <x v="3"/>
    <x v="4"/>
    <n v="390"/>
    <n v="2"/>
    <s v="speak"/>
    <s v="F"/>
    <s v="filler"/>
    <s v="Stim3_Set3"/>
    <m/>
    <m/>
    <m/>
    <n v="0"/>
    <n v="0"/>
    <n v="1"/>
    <n v="0"/>
  </r>
  <r>
    <x v="3"/>
    <x v="4"/>
    <n v="391"/>
    <n v="1"/>
    <s v="type"/>
    <s v="NT"/>
    <s v="nontarget"/>
    <s v="Stim4_Set4"/>
    <m/>
    <s v="yes"/>
    <s v="switch"/>
    <n v="0"/>
    <n v="1"/>
    <n v="0"/>
    <n v="1"/>
  </r>
  <r>
    <x v="3"/>
    <x v="4"/>
    <n v="392"/>
    <n v="2"/>
    <s v="speak"/>
    <s v="T"/>
    <s v="switch"/>
    <s v="Stim4_Set4"/>
    <m/>
    <m/>
    <m/>
    <n v="0"/>
    <n v="0"/>
    <n v="0"/>
    <n v="0"/>
  </r>
  <r>
    <x v="3"/>
    <x v="4"/>
    <n v="393"/>
    <n v="1"/>
    <s v="type"/>
    <s v="F"/>
    <s v="filler"/>
    <m/>
    <s v="here"/>
    <m/>
    <m/>
    <n v="0"/>
    <n v="0"/>
    <n v="1"/>
    <n v="0"/>
  </r>
  <r>
    <x v="3"/>
    <x v="4"/>
    <n v="394"/>
    <n v="2"/>
    <s v="speak"/>
    <s v="F"/>
    <s v="filler"/>
    <s v="Stim2_Set3"/>
    <m/>
    <m/>
    <m/>
    <n v="0"/>
    <n v="0"/>
    <n v="0"/>
    <n v="1"/>
  </r>
  <r>
    <x v="3"/>
    <x v="4"/>
    <n v="395"/>
    <n v="2"/>
    <s v="speak"/>
    <s v="NT"/>
    <s v="nontarget"/>
    <s v="Stim7_Set4"/>
    <m/>
    <s v="yes"/>
    <s v="repeat"/>
    <n v="1"/>
    <n v="1"/>
    <n v="0"/>
    <n v="1"/>
  </r>
  <r>
    <x v="3"/>
    <x v="4"/>
    <n v="396"/>
    <n v="2"/>
    <s v="speak"/>
    <s v="T"/>
    <s v="repeat"/>
    <s v="Stim7_Set4"/>
    <m/>
    <m/>
    <m/>
    <n v="1"/>
    <n v="0"/>
    <n v="0"/>
    <n v="0"/>
  </r>
  <r>
    <x v="3"/>
    <x v="4"/>
    <n v="397"/>
    <n v="1"/>
    <s v="type"/>
    <s v="F"/>
    <s v="filler"/>
    <s v="Stim8_Set3"/>
    <m/>
    <s v="yes"/>
    <s v="switch"/>
    <n v="0"/>
    <n v="0"/>
    <n v="1"/>
    <n v="0"/>
  </r>
  <r>
    <x v="3"/>
    <x v="4"/>
    <n v="398"/>
    <n v="2"/>
    <s v="speak"/>
    <s v="F"/>
    <s v="filler"/>
    <s v="Stim5_Set3"/>
    <m/>
    <m/>
    <m/>
    <n v="0"/>
    <n v="0"/>
    <n v="0"/>
    <n v="1"/>
  </r>
  <r>
    <x v="3"/>
    <x v="4"/>
    <n v="399"/>
    <n v="2"/>
    <s v="speak"/>
    <s v="NT"/>
    <s v="nontarget"/>
    <s v="Stim8_Set4"/>
    <m/>
    <s v="yes"/>
    <s v="repeat"/>
    <n v="1"/>
    <n v="1"/>
    <n v="0"/>
    <n v="1"/>
  </r>
  <r>
    <x v="3"/>
    <x v="4"/>
    <n v="400"/>
    <n v="1"/>
    <s v="type"/>
    <s v="T"/>
    <s v="switch"/>
    <s v="Stim8_Set4"/>
    <m/>
    <m/>
    <m/>
    <n v="0"/>
    <n v="0"/>
    <n v="0"/>
    <n v="0"/>
  </r>
  <r>
    <x v="3"/>
    <x v="4"/>
    <n v="401"/>
    <n v="2"/>
    <s v="speak"/>
    <s v="F"/>
    <s v="filler"/>
    <m/>
    <s v="here"/>
    <m/>
    <m/>
    <n v="0"/>
    <n v="0"/>
    <n v="1"/>
    <n v="0"/>
  </r>
  <r>
    <x v="3"/>
    <x v="4"/>
    <n v="402"/>
    <n v="1"/>
    <s v="type"/>
    <s v="F"/>
    <s v="filler"/>
    <s v="Stim4_Set3"/>
    <m/>
    <m/>
    <m/>
    <n v="0"/>
    <n v="0"/>
    <n v="0"/>
    <n v="1"/>
  </r>
  <r>
    <x v="3"/>
    <x v="4"/>
    <n v="403"/>
    <n v="1"/>
    <s v="type"/>
    <s v="NT"/>
    <s v="nontarget"/>
    <s v="Stim2_Set4"/>
    <m/>
    <s v="yes"/>
    <s v="repeat"/>
    <n v="1"/>
    <n v="1"/>
    <n v="0"/>
    <n v="1"/>
  </r>
  <r>
    <x v="3"/>
    <x v="4"/>
    <n v="404"/>
    <n v="1"/>
    <s v="type"/>
    <s v="T"/>
    <s v="repeat"/>
    <s v="Stim2_Set4"/>
    <m/>
    <m/>
    <m/>
    <n v="1"/>
    <n v="0"/>
    <n v="0"/>
    <n v="0"/>
  </r>
  <r>
    <x v="3"/>
    <x v="4"/>
    <n v="405"/>
    <n v="2"/>
    <s v="speak"/>
    <s v="F"/>
    <s v="filler"/>
    <m/>
    <s v="here"/>
    <m/>
    <m/>
    <n v="0"/>
    <n v="1"/>
    <n v="1"/>
    <n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n v="1"/>
    <n v="1"/>
    <n v="1"/>
    <n v="2"/>
    <x v="0"/>
    <x v="0"/>
    <s v="filler"/>
    <m/>
    <s v="here"/>
    <x v="0"/>
    <x v="0"/>
    <n v="0"/>
    <n v="0"/>
    <n v="0"/>
    <n v="0"/>
  </r>
  <r>
    <n v="1"/>
    <n v="1"/>
    <n v="2"/>
    <n v="2"/>
    <x v="0"/>
    <x v="1"/>
    <s v="nontarget"/>
    <s v="Stim1_Set1"/>
    <m/>
    <x v="1"/>
    <x v="1"/>
    <n v="1"/>
    <n v="1"/>
    <n v="0"/>
    <n v="1"/>
  </r>
  <r>
    <n v="1"/>
    <n v="1"/>
    <n v="3"/>
    <n v="2"/>
    <x v="0"/>
    <x v="2"/>
    <s v="repeat"/>
    <s v="Stim1_Set1"/>
    <m/>
    <x v="0"/>
    <x v="0"/>
    <n v="1"/>
    <n v="0"/>
    <n v="0"/>
    <n v="0"/>
  </r>
  <r>
    <n v="1"/>
    <n v="1"/>
    <n v="4"/>
    <n v="1"/>
    <x v="1"/>
    <x v="0"/>
    <s v="filler"/>
    <s v="Stim1_Set4"/>
    <m/>
    <x v="0"/>
    <x v="0"/>
    <n v="0"/>
    <n v="0"/>
    <n v="1"/>
    <n v="0"/>
  </r>
  <r>
    <n v="1"/>
    <n v="1"/>
    <n v="5"/>
    <n v="2"/>
    <x v="0"/>
    <x v="1"/>
    <s v="nontarget"/>
    <s v="Stim2_Set1"/>
    <m/>
    <x v="1"/>
    <x v="2"/>
    <n v="0"/>
    <n v="1"/>
    <n v="0"/>
    <n v="1"/>
  </r>
  <r>
    <n v="1"/>
    <n v="1"/>
    <n v="6"/>
    <n v="2"/>
    <x v="0"/>
    <x v="2"/>
    <s v="repeat"/>
    <s v="Stim2_Set1"/>
    <m/>
    <x v="0"/>
    <x v="0"/>
    <n v="1"/>
    <n v="0"/>
    <n v="0"/>
    <n v="0"/>
  </r>
  <r>
    <n v="1"/>
    <n v="1"/>
    <n v="7"/>
    <n v="1"/>
    <x v="1"/>
    <x v="0"/>
    <s v="filler"/>
    <s v="Stim2_Set4"/>
    <m/>
    <x v="1"/>
    <x v="2"/>
    <n v="0"/>
    <n v="0"/>
    <n v="1"/>
    <n v="0"/>
  </r>
  <r>
    <n v="1"/>
    <n v="1"/>
    <n v="8"/>
    <n v="2"/>
    <x v="0"/>
    <x v="1"/>
    <s v="nontarget"/>
    <s v="Stim3_Set1"/>
    <m/>
    <x v="0"/>
    <x v="0"/>
    <n v="0"/>
    <n v="1"/>
    <n v="0"/>
    <n v="1"/>
  </r>
  <r>
    <n v="1"/>
    <n v="1"/>
    <n v="9"/>
    <n v="1"/>
    <x v="1"/>
    <x v="2"/>
    <s v="switch"/>
    <s v="Stim3_Set1"/>
    <m/>
    <x v="0"/>
    <x v="0"/>
    <n v="0"/>
    <n v="0"/>
    <n v="0"/>
    <n v="0"/>
  </r>
  <r>
    <n v="1"/>
    <n v="1"/>
    <n v="10"/>
    <n v="2"/>
    <x v="0"/>
    <x v="0"/>
    <s v="filler"/>
    <s v="Stim5_Set4"/>
    <m/>
    <x v="0"/>
    <x v="0"/>
    <n v="0"/>
    <n v="0"/>
    <n v="1"/>
    <n v="0"/>
  </r>
  <r>
    <n v="1"/>
    <n v="1"/>
    <n v="11"/>
    <n v="1"/>
    <x v="1"/>
    <x v="1"/>
    <s v="nontarget"/>
    <s v="Stim4_Set1"/>
    <m/>
    <x v="1"/>
    <x v="2"/>
    <n v="0"/>
    <n v="1"/>
    <n v="0"/>
    <n v="1"/>
  </r>
  <r>
    <n v="1"/>
    <n v="1"/>
    <n v="12"/>
    <n v="2"/>
    <x v="0"/>
    <x v="2"/>
    <s v="switch"/>
    <s v="Stim4_Set1"/>
    <m/>
    <x v="0"/>
    <x v="0"/>
    <n v="0"/>
    <n v="0"/>
    <n v="0"/>
    <n v="0"/>
  </r>
  <r>
    <n v="1"/>
    <n v="1"/>
    <n v="13"/>
    <n v="2"/>
    <x v="0"/>
    <x v="0"/>
    <s v="filler"/>
    <s v="Stim3_Set4"/>
    <m/>
    <x v="0"/>
    <x v="0"/>
    <n v="1"/>
    <n v="0"/>
    <n v="1"/>
    <n v="0"/>
  </r>
  <r>
    <n v="1"/>
    <n v="1"/>
    <n v="14"/>
    <n v="2"/>
    <x v="0"/>
    <x v="1"/>
    <s v="nontarget"/>
    <s v="Stim5_Set1"/>
    <m/>
    <x v="0"/>
    <x v="0"/>
    <n v="1"/>
    <n v="1"/>
    <n v="0"/>
    <n v="1"/>
  </r>
  <r>
    <n v="1"/>
    <n v="1"/>
    <n v="15"/>
    <n v="1"/>
    <x v="1"/>
    <x v="2"/>
    <s v="switch"/>
    <s v="Stim5_Set1"/>
    <m/>
    <x v="0"/>
    <x v="0"/>
    <n v="0"/>
    <n v="0"/>
    <n v="0"/>
    <n v="0"/>
  </r>
  <r>
    <n v="1"/>
    <n v="1"/>
    <n v="16"/>
    <n v="2"/>
    <x v="0"/>
    <x v="0"/>
    <s v="filler"/>
    <s v="Stim4_Set4"/>
    <m/>
    <x v="0"/>
    <x v="0"/>
    <n v="0"/>
    <n v="0"/>
    <n v="1"/>
    <n v="0"/>
  </r>
  <r>
    <n v="1"/>
    <n v="1"/>
    <n v="17"/>
    <n v="1"/>
    <x v="1"/>
    <x v="1"/>
    <s v="nontarget"/>
    <s v="Stim6_Set1"/>
    <m/>
    <x v="1"/>
    <x v="2"/>
    <n v="0"/>
    <n v="1"/>
    <n v="0"/>
    <n v="1"/>
  </r>
  <r>
    <n v="1"/>
    <n v="1"/>
    <n v="18"/>
    <n v="1"/>
    <x v="1"/>
    <x v="2"/>
    <s v="repeat"/>
    <s v="Stim6_Set1"/>
    <m/>
    <x v="0"/>
    <x v="0"/>
    <n v="1"/>
    <n v="0"/>
    <n v="0"/>
    <n v="0"/>
  </r>
  <r>
    <n v="1"/>
    <n v="1"/>
    <n v="19"/>
    <n v="1"/>
    <x v="1"/>
    <x v="0"/>
    <s v="filler"/>
    <s v="Stim7_Set4"/>
    <m/>
    <x v="0"/>
    <x v="0"/>
    <n v="1"/>
    <n v="0"/>
    <n v="1"/>
    <n v="0"/>
  </r>
  <r>
    <n v="1"/>
    <n v="1"/>
    <n v="20"/>
    <n v="1"/>
    <x v="1"/>
    <x v="1"/>
    <s v="nontarget"/>
    <s v="Stim7_Set1"/>
    <m/>
    <x v="1"/>
    <x v="1"/>
    <n v="1"/>
    <n v="1"/>
    <n v="0"/>
    <n v="1"/>
  </r>
  <r>
    <n v="1"/>
    <n v="1"/>
    <n v="21"/>
    <n v="1"/>
    <x v="1"/>
    <x v="2"/>
    <s v="repeat"/>
    <s v="Stim7_Set1"/>
    <m/>
    <x v="0"/>
    <x v="0"/>
    <n v="1"/>
    <n v="0"/>
    <n v="0"/>
    <n v="0"/>
  </r>
  <r>
    <n v="1"/>
    <n v="1"/>
    <n v="22"/>
    <n v="2"/>
    <x v="0"/>
    <x v="0"/>
    <s v="filler"/>
    <s v="Stim6_Set4"/>
    <m/>
    <x v="1"/>
    <x v="2"/>
    <n v="0"/>
    <n v="0"/>
    <n v="1"/>
    <n v="0"/>
  </r>
  <r>
    <n v="1"/>
    <n v="1"/>
    <n v="23"/>
    <n v="1"/>
    <x v="1"/>
    <x v="0"/>
    <s v="filler"/>
    <s v="Stim8_Set4"/>
    <m/>
    <x v="1"/>
    <x v="2"/>
    <n v="0"/>
    <n v="0"/>
    <n v="0"/>
    <n v="1"/>
  </r>
  <r>
    <n v="1"/>
    <n v="1"/>
    <n v="24"/>
    <n v="1"/>
    <x v="1"/>
    <x v="1"/>
    <s v="nontarget"/>
    <s v="Stim8_Set1"/>
    <m/>
    <x v="1"/>
    <x v="1"/>
    <n v="1"/>
    <n v="1"/>
    <n v="0"/>
    <n v="1"/>
  </r>
  <r>
    <n v="1"/>
    <n v="1"/>
    <n v="25"/>
    <n v="2"/>
    <x v="0"/>
    <x v="2"/>
    <s v="switch"/>
    <s v="Stim8_Set1"/>
    <m/>
    <x v="0"/>
    <x v="0"/>
    <n v="0"/>
    <n v="0"/>
    <n v="0"/>
    <n v="0"/>
  </r>
  <r>
    <n v="2"/>
    <n v="1"/>
    <n v="26"/>
    <n v="2"/>
    <x v="0"/>
    <x v="0"/>
    <s v="filler"/>
    <s v="Stim1_Set1"/>
    <m/>
    <x v="0"/>
    <x v="0"/>
    <n v="1"/>
    <n v="0"/>
    <n v="1"/>
    <n v="0"/>
  </r>
  <r>
    <n v="2"/>
    <n v="1"/>
    <n v="27"/>
    <n v="1"/>
    <x v="1"/>
    <x v="1"/>
    <s v="nontarget"/>
    <s v="Stim1_Set2"/>
    <m/>
    <x v="1"/>
    <x v="2"/>
    <n v="0"/>
    <n v="1"/>
    <n v="0"/>
    <n v="1"/>
  </r>
  <r>
    <n v="2"/>
    <n v="1"/>
    <n v="28"/>
    <n v="1"/>
    <x v="1"/>
    <x v="2"/>
    <s v="repeat"/>
    <s v="Stim1_Set2"/>
    <m/>
    <x v="0"/>
    <x v="0"/>
    <n v="1"/>
    <n v="0"/>
    <n v="0"/>
    <n v="0"/>
  </r>
  <r>
    <n v="2"/>
    <n v="1"/>
    <n v="29"/>
    <n v="2"/>
    <x v="0"/>
    <x v="0"/>
    <s v="filler"/>
    <s v="Stim2_Set1"/>
    <m/>
    <x v="0"/>
    <x v="0"/>
    <n v="0"/>
    <n v="0"/>
    <n v="1"/>
    <n v="0"/>
  </r>
  <r>
    <n v="2"/>
    <n v="1"/>
    <n v="30"/>
    <n v="1"/>
    <x v="1"/>
    <x v="1"/>
    <s v="nontarget"/>
    <s v="Stim2_Set2"/>
    <m/>
    <x v="1"/>
    <x v="2"/>
    <n v="0"/>
    <n v="1"/>
    <n v="0"/>
    <n v="1"/>
  </r>
  <r>
    <n v="2"/>
    <n v="1"/>
    <n v="31"/>
    <n v="1"/>
    <x v="1"/>
    <x v="2"/>
    <s v="repeat"/>
    <s v="Stim2_Set2"/>
    <m/>
    <x v="0"/>
    <x v="0"/>
    <n v="1"/>
    <n v="0"/>
    <n v="0"/>
    <n v="0"/>
  </r>
  <r>
    <n v="2"/>
    <n v="1"/>
    <n v="32"/>
    <n v="2"/>
    <x v="0"/>
    <x v="0"/>
    <s v="filler"/>
    <s v="Stim4_Set1"/>
    <m/>
    <x v="0"/>
    <x v="0"/>
    <n v="0"/>
    <n v="0"/>
    <n v="1"/>
    <n v="0"/>
  </r>
  <r>
    <n v="2"/>
    <n v="1"/>
    <n v="33"/>
    <n v="1"/>
    <x v="1"/>
    <x v="1"/>
    <s v="nontarget"/>
    <s v="Stim3_Set2"/>
    <m/>
    <x v="0"/>
    <x v="0"/>
    <n v="0"/>
    <n v="1"/>
    <n v="0"/>
    <n v="1"/>
  </r>
  <r>
    <n v="2"/>
    <n v="1"/>
    <n v="34"/>
    <n v="2"/>
    <x v="0"/>
    <x v="2"/>
    <s v="switch"/>
    <s v="Stim3_Set2"/>
    <m/>
    <x v="0"/>
    <x v="0"/>
    <n v="0"/>
    <n v="0"/>
    <n v="0"/>
    <n v="0"/>
  </r>
  <r>
    <n v="2"/>
    <n v="1"/>
    <n v="35"/>
    <n v="2"/>
    <x v="0"/>
    <x v="1"/>
    <s v="nontarget"/>
    <s v="Stim4_Set2"/>
    <m/>
    <x v="1"/>
    <x v="1"/>
    <n v="1"/>
    <n v="1"/>
    <n v="1"/>
    <n v="0"/>
  </r>
  <r>
    <n v="2"/>
    <n v="1"/>
    <n v="36"/>
    <n v="1"/>
    <x v="1"/>
    <x v="2"/>
    <s v="switch"/>
    <s v="Stim4_Set2"/>
    <m/>
    <x v="0"/>
    <x v="0"/>
    <n v="0"/>
    <n v="0"/>
    <n v="0"/>
    <n v="0"/>
  </r>
  <r>
    <n v="2"/>
    <n v="1"/>
    <n v="37"/>
    <n v="1"/>
    <x v="1"/>
    <x v="0"/>
    <s v="filler"/>
    <s v="Stim3_Set1"/>
    <m/>
    <x v="0"/>
    <x v="0"/>
    <n v="1"/>
    <n v="0"/>
    <n v="1"/>
    <n v="0"/>
  </r>
  <r>
    <n v="2"/>
    <n v="1"/>
    <n v="38"/>
    <n v="1"/>
    <x v="1"/>
    <x v="1"/>
    <s v="nontarget"/>
    <s v="Stim5_Set2"/>
    <m/>
    <x v="1"/>
    <x v="1"/>
    <n v="1"/>
    <n v="1"/>
    <n v="0"/>
    <n v="1"/>
  </r>
  <r>
    <n v="2"/>
    <n v="1"/>
    <n v="39"/>
    <n v="2"/>
    <x v="0"/>
    <x v="2"/>
    <s v="switch"/>
    <s v="Stim5_Set2"/>
    <m/>
    <x v="0"/>
    <x v="0"/>
    <n v="0"/>
    <n v="0"/>
    <n v="0"/>
    <n v="0"/>
  </r>
  <r>
    <n v="2"/>
    <n v="1"/>
    <n v="40"/>
    <n v="1"/>
    <x v="1"/>
    <x v="0"/>
    <s v="filler"/>
    <s v="Stim7_Set1"/>
    <m/>
    <x v="0"/>
    <x v="0"/>
    <n v="0"/>
    <n v="0"/>
    <n v="1"/>
    <n v="0"/>
  </r>
  <r>
    <n v="2"/>
    <n v="1"/>
    <n v="41"/>
    <n v="2"/>
    <x v="0"/>
    <x v="0"/>
    <s v="filler"/>
    <s v="Stim5_Set1"/>
    <m/>
    <x v="1"/>
    <x v="2"/>
    <n v="0"/>
    <n v="0"/>
    <n v="0"/>
    <n v="1"/>
  </r>
  <r>
    <n v="2"/>
    <n v="1"/>
    <n v="42"/>
    <n v="2"/>
    <x v="0"/>
    <x v="1"/>
    <s v="nontarget"/>
    <s v="Stim6_Set2"/>
    <m/>
    <x v="1"/>
    <x v="1"/>
    <n v="1"/>
    <n v="1"/>
    <n v="0"/>
    <n v="1"/>
  </r>
  <r>
    <n v="2"/>
    <n v="1"/>
    <n v="43"/>
    <n v="2"/>
    <x v="0"/>
    <x v="2"/>
    <s v="repeat"/>
    <s v="Stim6_Set2"/>
    <m/>
    <x v="0"/>
    <x v="0"/>
    <n v="1"/>
    <n v="0"/>
    <n v="0"/>
    <n v="0"/>
  </r>
  <r>
    <n v="2"/>
    <n v="1"/>
    <n v="44"/>
    <n v="1"/>
    <x v="1"/>
    <x v="0"/>
    <s v="filler"/>
    <s v="Stim6_Set1"/>
    <m/>
    <x v="0"/>
    <x v="0"/>
    <n v="0"/>
    <n v="0"/>
    <n v="1"/>
    <n v="0"/>
  </r>
  <r>
    <n v="2"/>
    <n v="1"/>
    <n v="45"/>
    <n v="2"/>
    <x v="0"/>
    <x v="1"/>
    <s v="nontarget"/>
    <s v="Stim7_Set2"/>
    <m/>
    <x v="1"/>
    <x v="2"/>
    <n v="0"/>
    <n v="1"/>
    <n v="0"/>
    <n v="1"/>
  </r>
  <r>
    <n v="2"/>
    <n v="1"/>
    <n v="46"/>
    <n v="2"/>
    <x v="0"/>
    <x v="2"/>
    <s v="repeat"/>
    <s v="Stim7_Set2"/>
    <m/>
    <x v="0"/>
    <x v="0"/>
    <n v="1"/>
    <n v="0"/>
    <n v="0"/>
    <n v="0"/>
  </r>
  <r>
    <n v="2"/>
    <n v="1"/>
    <n v="47"/>
    <n v="1"/>
    <x v="1"/>
    <x v="0"/>
    <s v="filler"/>
    <m/>
    <s v="here"/>
    <x v="0"/>
    <x v="0"/>
    <n v="0"/>
    <n v="0"/>
    <n v="1"/>
    <n v="0"/>
  </r>
  <r>
    <n v="2"/>
    <n v="1"/>
    <n v="48"/>
    <n v="2"/>
    <x v="0"/>
    <x v="0"/>
    <s v="filler"/>
    <s v="Stim8_Set1"/>
    <m/>
    <x v="0"/>
    <x v="0"/>
    <n v="0"/>
    <n v="0"/>
    <n v="0"/>
    <n v="1"/>
  </r>
  <r>
    <n v="2"/>
    <n v="1"/>
    <n v="49"/>
    <n v="2"/>
    <x v="0"/>
    <x v="1"/>
    <s v="nontarget"/>
    <s v="Stim8_Set2"/>
    <m/>
    <x v="1"/>
    <x v="1"/>
    <n v="1"/>
    <n v="1"/>
    <n v="0"/>
    <n v="1"/>
  </r>
  <r>
    <n v="2"/>
    <n v="1"/>
    <n v="50"/>
    <n v="1"/>
    <x v="1"/>
    <x v="2"/>
    <s v="switch"/>
    <s v="Stim8_Set2"/>
    <m/>
    <x v="0"/>
    <x v="0"/>
    <n v="0"/>
    <n v="0"/>
    <n v="0"/>
    <n v="0"/>
  </r>
  <r>
    <n v="3"/>
    <n v="1"/>
    <n v="51"/>
    <n v="1"/>
    <x v="1"/>
    <x v="1"/>
    <s v="nontarget"/>
    <s v="Stim1_Set3"/>
    <m/>
    <x v="0"/>
    <x v="0"/>
    <n v="1"/>
    <n v="1"/>
    <n v="1"/>
    <n v="0"/>
  </r>
  <r>
    <n v="3"/>
    <n v="1"/>
    <n v="52"/>
    <n v="2"/>
    <x v="0"/>
    <x v="2"/>
    <s v="switch"/>
    <s v="Stim1_Set3"/>
    <m/>
    <x v="0"/>
    <x v="0"/>
    <n v="0"/>
    <n v="0"/>
    <n v="0"/>
    <n v="0"/>
  </r>
  <r>
    <n v="3"/>
    <n v="1"/>
    <n v="53"/>
    <n v="2"/>
    <x v="0"/>
    <x v="0"/>
    <s v="filler"/>
    <m/>
    <s v="here"/>
    <x v="0"/>
    <x v="0"/>
    <n v="1"/>
    <n v="0"/>
    <n v="1"/>
    <n v="0"/>
  </r>
  <r>
    <n v="3"/>
    <n v="1"/>
    <n v="54"/>
    <n v="2"/>
    <x v="0"/>
    <x v="1"/>
    <s v="nontarget"/>
    <s v="Stim2_Set3"/>
    <m/>
    <x v="1"/>
    <x v="1"/>
    <n v="1"/>
    <n v="1"/>
    <n v="0"/>
    <n v="1"/>
  </r>
  <r>
    <n v="3"/>
    <n v="1"/>
    <n v="55"/>
    <n v="1"/>
    <x v="1"/>
    <x v="2"/>
    <s v="switch"/>
    <s v="Stim2_Set3"/>
    <m/>
    <x v="0"/>
    <x v="0"/>
    <n v="0"/>
    <n v="0"/>
    <n v="0"/>
    <n v="0"/>
  </r>
  <r>
    <n v="3"/>
    <n v="1"/>
    <n v="56"/>
    <n v="1"/>
    <x v="1"/>
    <x v="0"/>
    <s v="filler"/>
    <s v="Stim1_Set2"/>
    <m/>
    <x v="1"/>
    <x v="1"/>
    <n v="1"/>
    <n v="0"/>
    <n v="1"/>
    <n v="0"/>
  </r>
  <r>
    <n v="3"/>
    <n v="1"/>
    <n v="57"/>
    <n v="1"/>
    <x v="1"/>
    <x v="1"/>
    <s v="nontarget"/>
    <s v="Stim3_Set3"/>
    <m/>
    <x v="1"/>
    <x v="1"/>
    <n v="1"/>
    <n v="1"/>
    <n v="0"/>
    <n v="1"/>
  </r>
  <r>
    <n v="3"/>
    <n v="1"/>
    <n v="58"/>
    <n v="2"/>
    <x v="0"/>
    <x v="2"/>
    <s v="switch"/>
    <s v="Stim3_Set3"/>
    <m/>
    <x v="0"/>
    <x v="0"/>
    <n v="0"/>
    <n v="0"/>
    <n v="0"/>
    <n v="0"/>
  </r>
  <r>
    <n v="3"/>
    <n v="1"/>
    <n v="59"/>
    <n v="2"/>
    <x v="0"/>
    <x v="0"/>
    <s v="filler"/>
    <s v="Stim2_Set2"/>
    <m/>
    <x v="0"/>
    <x v="0"/>
    <n v="1"/>
    <n v="0"/>
    <n v="1"/>
    <n v="0"/>
  </r>
  <r>
    <n v="3"/>
    <n v="1"/>
    <n v="60"/>
    <n v="1"/>
    <x v="1"/>
    <x v="0"/>
    <s v="filler"/>
    <s v="Stim4_Set2"/>
    <m/>
    <x v="0"/>
    <x v="0"/>
    <n v="0"/>
    <n v="0"/>
    <n v="0"/>
    <n v="1"/>
  </r>
  <r>
    <n v="3"/>
    <n v="1"/>
    <n v="61"/>
    <n v="2"/>
    <x v="0"/>
    <x v="1"/>
    <s v="nontarget"/>
    <s v="Stim4_Set3"/>
    <m/>
    <x v="1"/>
    <x v="2"/>
    <n v="0"/>
    <n v="1"/>
    <n v="0"/>
    <n v="1"/>
  </r>
  <r>
    <n v="3"/>
    <n v="1"/>
    <n v="62"/>
    <n v="2"/>
    <x v="0"/>
    <x v="2"/>
    <s v="repeat"/>
    <s v="Stim4_Set3"/>
    <m/>
    <x v="0"/>
    <x v="0"/>
    <n v="1"/>
    <n v="0"/>
    <n v="0"/>
    <n v="0"/>
  </r>
  <r>
    <n v="3"/>
    <n v="1"/>
    <n v="63"/>
    <n v="1"/>
    <x v="1"/>
    <x v="0"/>
    <s v="filler"/>
    <s v="Stim3_Set2"/>
    <m/>
    <x v="0"/>
    <x v="0"/>
    <n v="0"/>
    <n v="0"/>
    <n v="1"/>
    <n v="0"/>
  </r>
  <r>
    <n v="3"/>
    <n v="1"/>
    <n v="64"/>
    <n v="2"/>
    <x v="0"/>
    <x v="0"/>
    <s v="filler"/>
    <s v="Stim5_Set2"/>
    <m/>
    <x v="0"/>
    <x v="0"/>
    <n v="0"/>
    <n v="0"/>
    <n v="0"/>
    <n v="1"/>
  </r>
  <r>
    <n v="3"/>
    <n v="1"/>
    <n v="65"/>
    <n v="2"/>
    <x v="0"/>
    <x v="1"/>
    <s v="nontarget"/>
    <s v="Stim5_Set3"/>
    <m/>
    <x v="1"/>
    <x v="1"/>
    <n v="1"/>
    <n v="1"/>
    <n v="0"/>
    <n v="1"/>
  </r>
  <r>
    <n v="3"/>
    <n v="1"/>
    <n v="66"/>
    <n v="2"/>
    <x v="0"/>
    <x v="2"/>
    <s v="repeat"/>
    <s v="Stim5_Set3"/>
    <m/>
    <x v="0"/>
    <x v="0"/>
    <n v="1"/>
    <n v="0"/>
    <n v="0"/>
    <n v="0"/>
  </r>
  <r>
    <n v="3"/>
    <n v="1"/>
    <n v="67"/>
    <n v="1"/>
    <x v="1"/>
    <x v="0"/>
    <s v="filler"/>
    <m/>
    <s v="here"/>
    <x v="0"/>
    <x v="0"/>
    <n v="0"/>
    <n v="0"/>
    <n v="1"/>
    <n v="0"/>
  </r>
  <r>
    <n v="3"/>
    <n v="1"/>
    <n v="68"/>
    <n v="2"/>
    <x v="0"/>
    <x v="1"/>
    <s v="nontarget"/>
    <s v="Stim6_Set3"/>
    <m/>
    <x v="0"/>
    <x v="0"/>
    <n v="0"/>
    <n v="1"/>
    <n v="0"/>
    <n v="1"/>
  </r>
  <r>
    <n v="3"/>
    <n v="1"/>
    <n v="69"/>
    <n v="1"/>
    <x v="1"/>
    <x v="2"/>
    <s v="switch"/>
    <s v="Stim6_Set3"/>
    <m/>
    <x v="0"/>
    <x v="0"/>
    <n v="0"/>
    <n v="0"/>
    <n v="0"/>
    <n v="0"/>
  </r>
  <r>
    <n v="3"/>
    <n v="1"/>
    <n v="70"/>
    <n v="2"/>
    <x v="0"/>
    <x v="0"/>
    <s v="filler"/>
    <s v="Stim6_Set2"/>
    <m/>
    <x v="1"/>
    <x v="2"/>
    <n v="0"/>
    <n v="0"/>
    <n v="1"/>
    <n v="0"/>
  </r>
  <r>
    <n v="3"/>
    <n v="1"/>
    <n v="71"/>
    <n v="1"/>
    <x v="1"/>
    <x v="1"/>
    <s v="nontarget"/>
    <s v="Stim7_Set3"/>
    <m/>
    <x v="1"/>
    <x v="2"/>
    <n v="0"/>
    <n v="1"/>
    <n v="0"/>
    <n v="1"/>
  </r>
  <r>
    <n v="3"/>
    <n v="1"/>
    <n v="72"/>
    <n v="1"/>
    <x v="1"/>
    <x v="2"/>
    <s v="repeat"/>
    <s v="Stim7_Set3"/>
    <m/>
    <x v="0"/>
    <x v="0"/>
    <n v="1"/>
    <n v="0"/>
    <n v="0"/>
    <n v="0"/>
  </r>
  <r>
    <n v="3"/>
    <n v="1"/>
    <n v="73"/>
    <n v="2"/>
    <x v="0"/>
    <x v="0"/>
    <s v="filler"/>
    <s v="Stim7_Set2"/>
    <m/>
    <x v="0"/>
    <x v="0"/>
    <n v="0"/>
    <n v="0"/>
    <n v="1"/>
    <n v="0"/>
  </r>
  <r>
    <n v="3"/>
    <n v="1"/>
    <n v="74"/>
    <n v="1"/>
    <x v="1"/>
    <x v="0"/>
    <s v="filler"/>
    <s v="Stim8_Set2"/>
    <m/>
    <x v="1"/>
    <x v="2"/>
    <n v="0"/>
    <n v="0"/>
    <n v="0"/>
    <n v="1"/>
  </r>
  <r>
    <n v="3"/>
    <n v="1"/>
    <n v="75"/>
    <n v="1"/>
    <x v="1"/>
    <x v="1"/>
    <s v="nontarget"/>
    <s v="Stim8_Set3"/>
    <m/>
    <x v="1"/>
    <x v="1"/>
    <n v="1"/>
    <n v="1"/>
    <n v="0"/>
    <n v="1"/>
  </r>
  <r>
    <n v="3"/>
    <n v="1"/>
    <n v="76"/>
    <n v="1"/>
    <x v="1"/>
    <x v="2"/>
    <s v="repeat"/>
    <s v="Stim8_Set3"/>
    <m/>
    <x v="0"/>
    <x v="0"/>
    <n v="1"/>
    <n v="0"/>
    <n v="0"/>
    <n v="0"/>
  </r>
  <r>
    <n v="4"/>
    <n v="1"/>
    <n v="77"/>
    <n v="2"/>
    <x v="0"/>
    <x v="0"/>
    <s v="filler"/>
    <s v="Stim1_Set3"/>
    <m/>
    <x v="0"/>
    <x v="0"/>
    <n v="0"/>
    <n v="0"/>
    <n v="1"/>
    <n v="0"/>
  </r>
  <r>
    <n v="4"/>
    <n v="1"/>
    <n v="78"/>
    <n v="1"/>
    <x v="1"/>
    <x v="1"/>
    <s v="nontarget"/>
    <s v="Stim1_Set4"/>
    <m/>
    <x v="1"/>
    <x v="2"/>
    <n v="0"/>
    <n v="1"/>
    <n v="0"/>
    <n v="1"/>
  </r>
  <r>
    <n v="4"/>
    <n v="1"/>
    <n v="79"/>
    <n v="1"/>
    <x v="1"/>
    <x v="2"/>
    <s v="repeat"/>
    <s v="Stim1_Set4"/>
    <m/>
    <x v="0"/>
    <x v="0"/>
    <n v="1"/>
    <n v="0"/>
    <n v="0"/>
    <n v="0"/>
  </r>
  <r>
    <n v="4"/>
    <n v="1"/>
    <n v="80"/>
    <n v="1"/>
    <x v="1"/>
    <x v="1"/>
    <s v="nontarget"/>
    <s v="Stim2_Set4"/>
    <m/>
    <x v="0"/>
    <x v="0"/>
    <n v="1"/>
    <n v="1"/>
    <n v="1"/>
    <n v="0"/>
  </r>
  <r>
    <n v="4"/>
    <n v="1"/>
    <n v="81"/>
    <n v="2"/>
    <x v="0"/>
    <x v="2"/>
    <s v="switch"/>
    <s v="Stim2_Set4"/>
    <m/>
    <x v="0"/>
    <x v="0"/>
    <n v="0"/>
    <n v="0"/>
    <n v="0"/>
    <n v="0"/>
  </r>
  <r>
    <n v="4"/>
    <n v="1"/>
    <n v="82"/>
    <n v="2"/>
    <x v="0"/>
    <x v="0"/>
    <s v="filler"/>
    <s v="Stim3_Set3"/>
    <m/>
    <x v="1"/>
    <x v="1"/>
    <n v="1"/>
    <n v="0"/>
    <n v="1"/>
    <n v="0"/>
  </r>
  <r>
    <n v="4"/>
    <n v="1"/>
    <n v="83"/>
    <n v="1"/>
    <x v="1"/>
    <x v="0"/>
    <s v="filler"/>
    <s v="Stim2_Set3"/>
    <m/>
    <x v="0"/>
    <x v="0"/>
    <n v="0"/>
    <n v="0"/>
    <n v="0"/>
    <n v="1"/>
  </r>
  <r>
    <n v="4"/>
    <n v="1"/>
    <n v="84"/>
    <n v="2"/>
    <x v="0"/>
    <x v="1"/>
    <s v="nontarget"/>
    <s v="Stim3_Set4"/>
    <m/>
    <x v="1"/>
    <x v="2"/>
    <n v="0"/>
    <n v="1"/>
    <n v="0"/>
    <n v="1"/>
  </r>
  <r>
    <n v="4"/>
    <n v="1"/>
    <n v="85"/>
    <n v="2"/>
    <x v="0"/>
    <x v="2"/>
    <s v="repeat"/>
    <s v="Stim3_Set4"/>
    <m/>
    <x v="0"/>
    <x v="0"/>
    <n v="1"/>
    <n v="0"/>
    <n v="0"/>
    <n v="0"/>
  </r>
  <r>
    <n v="4"/>
    <n v="1"/>
    <n v="86"/>
    <n v="2"/>
    <x v="0"/>
    <x v="1"/>
    <s v="nontarget"/>
    <s v="Stim4_Set4"/>
    <m/>
    <x v="1"/>
    <x v="1"/>
    <n v="1"/>
    <n v="1"/>
    <n v="1"/>
    <n v="0"/>
  </r>
  <r>
    <n v="4"/>
    <n v="1"/>
    <n v="87"/>
    <n v="1"/>
    <x v="1"/>
    <x v="2"/>
    <s v="switch"/>
    <s v="Stim4_Set4"/>
    <m/>
    <x v="0"/>
    <x v="0"/>
    <n v="0"/>
    <n v="0"/>
    <n v="0"/>
    <n v="0"/>
  </r>
  <r>
    <n v="4"/>
    <n v="1"/>
    <n v="88"/>
    <n v="2"/>
    <x v="0"/>
    <x v="0"/>
    <s v="filler"/>
    <s v="Stim4_Set3"/>
    <m/>
    <x v="0"/>
    <x v="0"/>
    <n v="0"/>
    <n v="0"/>
    <n v="1"/>
    <n v="0"/>
  </r>
  <r>
    <n v="4"/>
    <n v="1"/>
    <n v="89"/>
    <n v="1"/>
    <x v="1"/>
    <x v="0"/>
    <s v="filler"/>
    <s v="Stim5_Set3"/>
    <m/>
    <x v="0"/>
    <x v="0"/>
    <n v="0"/>
    <n v="0"/>
    <n v="0"/>
    <n v="1"/>
  </r>
  <r>
    <n v="4"/>
    <n v="1"/>
    <n v="90"/>
    <n v="1"/>
    <x v="1"/>
    <x v="1"/>
    <s v="nontarget"/>
    <s v="Stim5_Set4"/>
    <m/>
    <x v="1"/>
    <x v="1"/>
    <n v="1"/>
    <n v="1"/>
    <n v="0"/>
    <n v="1"/>
  </r>
  <r>
    <n v="4"/>
    <n v="1"/>
    <n v="91"/>
    <n v="2"/>
    <x v="0"/>
    <x v="2"/>
    <s v="switch"/>
    <s v="Stim5_Set4"/>
    <m/>
    <x v="0"/>
    <x v="0"/>
    <n v="0"/>
    <n v="0"/>
    <n v="0"/>
    <n v="0"/>
  </r>
  <r>
    <n v="4"/>
    <n v="1"/>
    <n v="92"/>
    <n v="2"/>
    <x v="0"/>
    <x v="1"/>
    <s v="nontarget"/>
    <s v="Stim6_Set4"/>
    <m/>
    <x v="0"/>
    <x v="0"/>
    <n v="1"/>
    <n v="1"/>
    <n v="1"/>
    <n v="0"/>
  </r>
  <r>
    <n v="4"/>
    <n v="1"/>
    <n v="93"/>
    <n v="2"/>
    <x v="0"/>
    <x v="2"/>
    <s v="repeat"/>
    <s v="Stim6_Set4"/>
    <m/>
    <x v="0"/>
    <x v="0"/>
    <n v="1"/>
    <n v="0"/>
    <n v="0"/>
    <n v="0"/>
  </r>
  <r>
    <n v="4"/>
    <n v="1"/>
    <n v="94"/>
    <n v="1"/>
    <x v="1"/>
    <x v="0"/>
    <s v="filler"/>
    <m/>
    <s v="here"/>
    <x v="0"/>
    <x v="0"/>
    <n v="0"/>
    <n v="0"/>
    <n v="1"/>
    <n v="0"/>
  </r>
  <r>
    <n v="4"/>
    <n v="1"/>
    <n v="95"/>
    <n v="2"/>
    <x v="0"/>
    <x v="0"/>
    <s v="filler"/>
    <s v="Stim7_Set3"/>
    <m/>
    <x v="0"/>
    <x v="0"/>
    <n v="0"/>
    <n v="0"/>
    <n v="0"/>
    <n v="1"/>
  </r>
  <r>
    <n v="4"/>
    <n v="1"/>
    <n v="96"/>
    <n v="2"/>
    <x v="0"/>
    <x v="1"/>
    <s v="nontarget"/>
    <s v="Stim7_Set4"/>
    <m/>
    <x v="0"/>
    <x v="0"/>
    <n v="1"/>
    <n v="1"/>
    <n v="0"/>
    <n v="1"/>
  </r>
  <r>
    <n v="4"/>
    <n v="1"/>
    <n v="97"/>
    <n v="1"/>
    <x v="1"/>
    <x v="2"/>
    <s v="switch"/>
    <s v="Stim7_Set4"/>
    <m/>
    <x v="0"/>
    <x v="0"/>
    <n v="0"/>
    <n v="0"/>
    <n v="0"/>
    <n v="0"/>
  </r>
  <r>
    <n v="4"/>
    <n v="1"/>
    <n v="98"/>
    <n v="1"/>
    <x v="1"/>
    <x v="1"/>
    <s v="nontarget"/>
    <s v="Stim8_Set4"/>
    <m/>
    <x v="0"/>
    <x v="0"/>
    <n v="1"/>
    <n v="1"/>
    <n v="1"/>
    <n v="0"/>
  </r>
  <r>
    <n v="4"/>
    <n v="1"/>
    <n v="99"/>
    <n v="1"/>
    <x v="1"/>
    <x v="2"/>
    <s v="repeat"/>
    <s v="Stim8_Set4"/>
    <m/>
    <x v="0"/>
    <x v="0"/>
    <n v="1"/>
    <n v="0"/>
    <n v="0"/>
    <n v="0"/>
  </r>
  <r>
    <n v="4"/>
    <n v="1"/>
    <n v="100"/>
    <n v="1"/>
    <x v="0"/>
    <x v="0"/>
    <s v="filler"/>
    <s v="Stim8_Set3"/>
    <m/>
    <x v="0"/>
    <x v="0"/>
    <n v="0"/>
    <n v="0"/>
    <n v="1"/>
    <n v="0"/>
  </r>
  <r>
    <n v="4"/>
    <n v="1"/>
    <n v="101"/>
    <n v="1"/>
    <x v="1"/>
    <x v="0"/>
    <s v="filler"/>
    <s v="Stim6_Set3"/>
    <m/>
    <x v="0"/>
    <x v="0"/>
    <n v="0"/>
    <n v="0"/>
    <n v="0"/>
    <n v="1"/>
  </r>
  <r>
    <s v="BREAK"/>
    <m/>
    <n v="102"/>
    <m/>
    <x v="2"/>
    <x v="3"/>
    <m/>
    <m/>
    <m/>
    <x v="0"/>
    <x v="0"/>
    <n v="0"/>
    <n v="0"/>
    <n v="0"/>
    <n v="1"/>
  </r>
  <r>
    <n v="1"/>
    <n v="2"/>
    <n v="103"/>
    <n v="2"/>
    <x v="0"/>
    <x v="1"/>
    <s v="nontarget"/>
    <s v="Stim4_Set1"/>
    <m/>
    <x v="1"/>
    <x v="2"/>
    <n v="0"/>
    <n v="1"/>
    <n v="0"/>
    <n v="0"/>
  </r>
  <r>
    <n v="1"/>
    <n v="2"/>
    <n v="104"/>
    <n v="2"/>
    <x v="0"/>
    <x v="2"/>
    <s v="repeat"/>
    <s v="Stim4_Set1"/>
    <m/>
    <x v="0"/>
    <x v="0"/>
    <n v="1"/>
    <n v="0"/>
    <n v="0"/>
    <n v="0"/>
  </r>
  <r>
    <n v="1"/>
    <n v="2"/>
    <n v="105"/>
    <n v="1"/>
    <x v="1"/>
    <x v="0"/>
    <s v="filler"/>
    <s v="Stim3_Set4"/>
    <m/>
    <x v="0"/>
    <x v="0"/>
    <n v="0"/>
    <n v="0"/>
    <n v="1"/>
    <n v="0"/>
  </r>
  <r>
    <n v="1"/>
    <n v="2"/>
    <n v="106"/>
    <n v="2"/>
    <x v="0"/>
    <x v="1"/>
    <s v="nontarget"/>
    <s v="Stim3_Set1"/>
    <m/>
    <x v="1"/>
    <x v="2"/>
    <n v="0"/>
    <n v="1"/>
    <n v="0"/>
    <n v="1"/>
  </r>
  <r>
    <n v="1"/>
    <n v="2"/>
    <n v="107"/>
    <n v="2"/>
    <x v="0"/>
    <x v="2"/>
    <s v="repeat"/>
    <s v="Stim3_Set1"/>
    <m/>
    <x v="0"/>
    <x v="0"/>
    <n v="1"/>
    <n v="0"/>
    <n v="0"/>
    <n v="0"/>
  </r>
  <r>
    <n v="1"/>
    <n v="2"/>
    <n v="108"/>
    <n v="1"/>
    <x v="1"/>
    <x v="0"/>
    <s v="filler"/>
    <m/>
    <s v="here"/>
    <x v="0"/>
    <x v="0"/>
    <n v="0"/>
    <n v="0"/>
    <n v="1"/>
    <n v="0"/>
  </r>
  <r>
    <n v="1"/>
    <n v="2"/>
    <n v="109"/>
    <n v="2"/>
    <x v="0"/>
    <x v="0"/>
    <s v="filler"/>
    <s v="Stim8_Set4"/>
    <m/>
    <x v="0"/>
    <x v="0"/>
    <n v="0"/>
    <n v="0"/>
    <n v="0"/>
    <n v="1"/>
  </r>
  <r>
    <n v="1"/>
    <n v="2"/>
    <n v="110"/>
    <n v="2"/>
    <x v="0"/>
    <x v="1"/>
    <s v="nontarget"/>
    <s v="Stim6_Set1"/>
    <m/>
    <x v="1"/>
    <x v="1"/>
    <n v="1"/>
    <n v="1"/>
    <n v="0"/>
    <n v="1"/>
  </r>
  <r>
    <n v="1"/>
    <n v="2"/>
    <n v="111"/>
    <n v="1"/>
    <x v="1"/>
    <x v="2"/>
    <s v="switch"/>
    <s v="Stim6_Set1"/>
    <m/>
    <x v="0"/>
    <x v="0"/>
    <n v="0"/>
    <n v="0"/>
    <n v="0"/>
    <n v="0"/>
  </r>
  <r>
    <n v="1"/>
    <n v="2"/>
    <n v="112"/>
    <n v="1"/>
    <x v="1"/>
    <x v="0"/>
    <s v="filler"/>
    <s v="Stim4_Set4"/>
    <m/>
    <x v="1"/>
    <x v="1"/>
    <n v="1"/>
    <n v="0"/>
    <n v="1"/>
    <n v="0"/>
  </r>
  <r>
    <n v="1"/>
    <n v="2"/>
    <n v="113"/>
    <n v="1"/>
    <x v="1"/>
    <x v="1"/>
    <s v="nontarget"/>
    <s v="Stim2_Set1"/>
    <m/>
    <x v="1"/>
    <x v="1"/>
    <n v="1"/>
    <n v="1"/>
    <n v="0"/>
    <n v="1"/>
  </r>
  <r>
    <n v="1"/>
    <n v="2"/>
    <n v="114"/>
    <n v="2"/>
    <x v="0"/>
    <x v="2"/>
    <s v="switch"/>
    <s v="Stim2_Set1"/>
    <m/>
    <x v="0"/>
    <x v="0"/>
    <n v="0"/>
    <n v="0"/>
    <n v="0"/>
    <n v="0"/>
  </r>
  <r>
    <n v="1"/>
    <n v="2"/>
    <n v="115"/>
    <n v="2"/>
    <x v="0"/>
    <x v="1"/>
    <s v="nontarget"/>
    <s v="Stim1_Set1"/>
    <m/>
    <x v="0"/>
    <x v="0"/>
    <n v="1"/>
    <n v="1"/>
    <n v="1"/>
    <n v="0"/>
  </r>
  <r>
    <n v="1"/>
    <n v="2"/>
    <n v="116"/>
    <n v="1"/>
    <x v="1"/>
    <x v="2"/>
    <s v="switch"/>
    <s v="Stim1_Set1"/>
    <m/>
    <x v="0"/>
    <x v="0"/>
    <n v="0"/>
    <n v="0"/>
    <n v="0"/>
    <n v="0"/>
  </r>
  <r>
    <n v="1"/>
    <n v="2"/>
    <n v="117"/>
    <n v="2"/>
    <x v="0"/>
    <x v="0"/>
    <s v="filler"/>
    <s v="Stim2_Set4"/>
    <m/>
    <x v="0"/>
    <x v="0"/>
    <n v="0"/>
    <n v="0"/>
    <n v="1"/>
    <n v="0"/>
  </r>
  <r>
    <n v="1"/>
    <n v="2"/>
    <n v="118"/>
    <n v="1"/>
    <x v="1"/>
    <x v="1"/>
    <s v="nontarget"/>
    <s v="Stim8_Set1"/>
    <m/>
    <x v="1"/>
    <x v="2"/>
    <n v="0"/>
    <n v="1"/>
    <n v="0"/>
    <n v="1"/>
  </r>
  <r>
    <n v="1"/>
    <n v="2"/>
    <n v="119"/>
    <n v="1"/>
    <x v="1"/>
    <x v="2"/>
    <s v="repeat"/>
    <s v="Stim8_Set1"/>
    <m/>
    <x v="0"/>
    <x v="0"/>
    <n v="1"/>
    <n v="0"/>
    <n v="0"/>
    <n v="0"/>
  </r>
  <r>
    <n v="1"/>
    <n v="2"/>
    <n v="120"/>
    <n v="2"/>
    <x v="0"/>
    <x v="0"/>
    <s v="filler"/>
    <s v="Stim7_Set4"/>
    <m/>
    <x v="1"/>
    <x v="2"/>
    <n v="0"/>
    <n v="0"/>
    <n v="1"/>
    <n v="0"/>
  </r>
  <r>
    <n v="1"/>
    <n v="2"/>
    <n v="121"/>
    <n v="1"/>
    <x v="1"/>
    <x v="1"/>
    <s v="nontarget"/>
    <s v="Stim5_Set1"/>
    <m/>
    <x v="1"/>
    <x v="2"/>
    <n v="0"/>
    <n v="1"/>
    <n v="0"/>
    <n v="1"/>
  </r>
  <r>
    <n v="1"/>
    <n v="2"/>
    <n v="122"/>
    <n v="1"/>
    <x v="1"/>
    <x v="2"/>
    <s v="repeat"/>
    <s v="Stim5_Set1"/>
    <m/>
    <x v="0"/>
    <x v="0"/>
    <n v="1"/>
    <n v="0"/>
    <n v="0"/>
    <n v="0"/>
  </r>
  <r>
    <n v="1"/>
    <n v="2"/>
    <n v="123"/>
    <n v="2"/>
    <x v="0"/>
    <x v="0"/>
    <s v="filler"/>
    <s v="Stim1_Set4"/>
    <m/>
    <x v="0"/>
    <x v="0"/>
    <n v="0"/>
    <n v="0"/>
    <n v="1"/>
    <n v="0"/>
  </r>
  <r>
    <n v="1"/>
    <n v="2"/>
    <n v="124"/>
    <n v="1"/>
    <x v="1"/>
    <x v="0"/>
    <s v="filler"/>
    <s v="Stim6_Set4"/>
    <m/>
    <x v="0"/>
    <x v="0"/>
    <n v="0"/>
    <n v="0"/>
    <n v="0"/>
    <n v="1"/>
  </r>
  <r>
    <n v="1"/>
    <n v="2"/>
    <n v="125"/>
    <n v="1"/>
    <x v="1"/>
    <x v="1"/>
    <s v="nontarget"/>
    <s v="Stim7_Set1"/>
    <m/>
    <x v="0"/>
    <x v="0"/>
    <n v="1"/>
    <n v="1"/>
    <n v="0"/>
    <n v="1"/>
  </r>
  <r>
    <n v="1"/>
    <n v="2"/>
    <n v="126"/>
    <n v="2"/>
    <x v="0"/>
    <x v="2"/>
    <s v="switch"/>
    <s v="Stim7_Set1"/>
    <m/>
    <x v="0"/>
    <x v="0"/>
    <n v="0"/>
    <n v="0"/>
    <n v="0"/>
    <n v="0"/>
  </r>
  <r>
    <n v="1"/>
    <n v="2"/>
    <n v="127"/>
    <n v="1"/>
    <x v="1"/>
    <x v="0"/>
    <s v="filler"/>
    <s v="Stim5_Set4"/>
    <m/>
    <x v="1"/>
    <x v="2"/>
    <n v="0"/>
    <n v="0"/>
    <n v="1"/>
    <n v="0"/>
  </r>
  <r>
    <n v="2"/>
    <n v="2"/>
    <n v="128"/>
    <n v="1"/>
    <x v="1"/>
    <x v="1"/>
    <s v="nontarget"/>
    <s v="Stim5_Set2"/>
    <m/>
    <x v="0"/>
    <x v="0"/>
    <n v="1"/>
    <n v="1"/>
    <n v="0"/>
    <n v="1"/>
  </r>
  <r>
    <n v="2"/>
    <n v="2"/>
    <n v="129"/>
    <n v="1"/>
    <x v="1"/>
    <x v="2"/>
    <s v="repeat"/>
    <s v="Stim5_Set2"/>
    <m/>
    <x v="0"/>
    <x v="0"/>
    <n v="1"/>
    <n v="0"/>
    <n v="0"/>
    <n v="0"/>
  </r>
  <r>
    <n v="2"/>
    <n v="2"/>
    <n v="130"/>
    <n v="2"/>
    <x v="0"/>
    <x v="0"/>
    <s v="filler"/>
    <s v="Stim4_Set1"/>
    <m/>
    <x v="0"/>
    <x v="0"/>
    <n v="0"/>
    <n v="0"/>
    <n v="1"/>
    <n v="0"/>
  </r>
  <r>
    <n v="2"/>
    <n v="2"/>
    <n v="131"/>
    <n v="1"/>
    <x v="1"/>
    <x v="1"/>
    <s v="nontarget"/>
    <s v="Stim3_Set2"/>
    <m/>
    <x v="1"/>
    <x v="2"/>
    <n v="0"/>
    <n v="1"/>
    <n v="0"/>
    <n v="1"/>
  </r>
  <r>
    <n v="2"/>
    <n v="2"/>
    <n v="132"/>
    <n v="1"/>
    <x v="1"/>
    <x v="2"/>
    <s v="repeat"/>
    <s v="Stim3_Set2"/>
    <m/>
    <x v="0"/>
    <x v="0"/>
    <n v="1"/>
    <n v="0"/>
    <n v="0"/>
    <n v="0"/>
  </r>
  <r>
    <n v="2"/>
    <n v="2"/>
    <n v="133"/>
    <n v="1"/>
    <x v="1"/>
    <x v="1"/>
    <s v="nontarget"/>
    <s v="Stim1_Set2"/>
    <m/>
    <x v="0"/>
    <x v="0"/>
    <n v="1"/>
    <n v="1"/>
    <n v="1"/>
    <n v="0"/>
  </r>
  <r>
    <n v="2"/>
    <n v="2"/>
    <n v="134"/>
    <n v="2"/>
    <x v="0"/>
    <x v="2"/>
    <s v="switch"/>
    <s v="Stim1_Set2"/>
    <m/>
    <x v="0"/>
    <x v="0"/>
    <n v="0"/>
    <n v="0"/>
    <n v="0"/>
    <n v="0"/>
  </r>
  <r>
    <n v="2"/>
    <n v="2"/>
    <n v="135"/>
    <n v="2"/>
    <x v="0"/>
    <x v="0"/>
    <s v="filler"/>
    <s v="Stim3_Set1"/>
    <m/>
    <x v="1"/>
    <x v="1"/>
    <n v="1"/>
    <n v="0"/>
    <n v="1"/>
    <n v="0"/>
  </r>
  <r>
    <n v="2"/>
    <n v="2"/>
    <n v="136"/>
    <n v="2"/>
    <x v="0"/>
    <x v="1"/>
    <s v="nontarget"/>
    <s v="Stim7_Set2"/>
    <m/>
    <x v="1"/>
    <x v="1"/>
    <n v="1"/>
    <n v="1"/>
    <n v="0"/>
    <n v="1"/>
  </r>
  <r>
    <n v="2"/>
    <n v="2"/>
    <n v="137"/>
    <n v="1"/>
    <x v="1"/>
    <x v="2"/>
    <s v="switch"/>
    <s v="Stim7_Set2"/>
    <m/>
    <x v="0"/>
    <x v="0"/>
    <n v="0"/>
    <n v="0"/>
    <n v="0"/>
    <n v="0"/>
  </r>
  <r>
    <n v="2"/>
    <n v="2"/>
    <n v="138"/>
    <n v="1"/>
    <x v="1"/>
    <x v="1"/>
    <s v="nontarget"/>
    <s v="Stim2_Set2"/>
    <m/>
    <x v="1"/>
    <x v="1"/>
    <n v="1"/>
    <n v="1"/>
    <n v="1"/>
    <n v="0"/>
  </r>
  <r>
    <n v="2"/>
    <n v="2"/>
    <n v="139"/>
    <n v="2"/>
    <x v="0"/>
    <x v="2"/>
    <s v="switch"/>
    <s v="Stim2_Set2"/>
    <m/>
    <x v="0"/>
    <x v="0"/>
    <n v="0"/>
    <n v="0"/>
    <n v="0"/>
    <n v="0"/>
  </r>
  <r>
    <n v="2"/>
    <n v="2"/>
    <n v="140"/>
    <n v="1"/>
    <x v="1"/>
    <x v="0"/>
    <s v="filler"/>
    <s v="Stim6_Set1"/>
    <m/>
    <x v="0"/>
    <x v="0"/>
    <n v="0"/>
    <n v="0"/>
    <n v="1"/>
    <n v="0"/>
  </r>
  <r>
    <n v="2"/>
    <n v="2"/>
    <n v="141"/>
    <n v="2"/>
    <x v="0"/>
    <x v="0"/>
    <s v="filler"/>
    <s v="Stim2_Set1"/>
    <m/>
    <x v="0"/>
    <x v="0"/>
    <n v="0"/>
    <n v="0"/>
    <n v="0"/>
    <n v="1"/>
  </r>
  <r>
    <n v="2"/>
    <n v="2"/>
    <n v="142"/>
    <n v="1"/>
    <x v="1"/>
    <x v="0"/>
    <s v="filler"/>
    <s v="Stim5_Set1"/>
    <m/>
    <x v="0"/>
    <x v="0"/>
    <n v="0"/>
    <n v="0"/>
    <n v="0"/>
    <n v="1"/>
  </r>
  <r>
    <n v="2"/>
    <n v="2"/>
    <n v="143"/>
    <n v="2"/>
    <x v="0"/>
    <x v="1"/>
    <s v="nontarget"/>
    <s v="Stim4_Set2"/>
    <m/>
    <x v="1"/>
    <x v="2"/>
    <n v="0"/>
    <n v="1"/>
    <n v="0"/>
    <n v="1"/>
  </r>
  <r>
    <n v="2"/>
    <n v="2"/>
    <n v="144"/>
    <n v="2"/>
    <x v="0"/>
    <x v="2"/>
    <s v="repeat"/>
    <s v="Stim4_Set2"/>
    <m/>
    <x v="0"/>
    <x v="0"/>
    <n v="1"/>
    <n v="0"/>
    <n v="0"/>
    <n v="0"/>
  </r>
  <r>
    <n v="2"/>
    <n v="2"/>
    <n v="145"/>
    <n v="1"/>
    <x v="1"/>
    <x v="0"/>
    <s v="filler"/>
    <s v="Stim1_Set1"/>
    <m/>
    <x v="0"/>
    <x v="0"/>
    <n v="0"/>
    <n v="0"/>
    <n v="1"/>
    <n v="0"/>
  </r>
  <r>
    <n v="2"/>
    <n v="2"/>
    <n v="146"/>
    <n v="2"/>
    <x v="0"/>
    <x v="1"/>
    <s v="nontarget"/>
    <s v="Stim8_Set2"/>
    <m/>
    <x v="1"/>
    <x v="2"/>
    <n v="0"/>
    <n v="1"/>
    <n v="0"/>
    <n v="1"/>
  </r>
  <r>
    <n v="2"/>
    <n v="2"/>
    <n v="147"/>
    <n v="2"/>
    <x v="0"/>
    <x v="2"/>
    <s v="repeat"/>
    <s v="Stim8_Set2"/>
    <m/>
    <x v="0"/>
    <x v="0"/>
    <n v="1"/>
    <n v="0"/>
    <n v="0"/>
    <n v="0"/>
  </r>
  <r>
    <n v="2"/>
    <n v="2"/>
    <n v="148"/>
    <n v="1"/>
    <x v="1"/>
    <x v="0"/>
    <s v="filler"/>
    <s v="Stim8_Set1"/>
    <m/>
    <x v="0"/>
    <x v="0"/>
    <n v="0"/>
    <n v="0"/>
    <n v="1"/>
    <n v="0"/>
  </r>
  <r>
    <n v="2"/>
    <n v="2"/>
    <n v="149"/>
    <n v="2"/>
    <x v="0"/>
    <x v="0"/>
    <s v="filler"/>
    <s v="Stim7_Set1"/>
    <m/>
    <x v="0"/>
    <x v="0"/>
    <n v="0"/>
    <n v="0"/>
    <n v="0"/>
    <n v="1"/>
  </r>
  <r>
    <n v="2"/>
    <n v="2"/>
    <n v="150"/>
    <n v="2"/>
    <x v="0"/>
    <x v="1"/>
    <s v="nontarget"/>
    <s v="Stim6_Set2"/>
    <m/>
    <x v="0"/>
    <x v="0"/>
    <n v="1"/>
    <n v="1"/>
    <n v="0"/>
    <n v="1"/>
  </r>
  <r>
    <n v="2"/>
    <n v="2"/>
    <n v="151"/>
    <n v="1"/>
    <x v="1"/>
    <x v="2"/>
    <s v="switch"/>
    <s v="Stim6_Set2"/>
    <m/>
    <x v="0"/>
    <x v="0"/>
    <n v="0"/>
    <n v="0"/>
    <n v="0"/>
    <n v="0"/>
  </r>
  <r>
    <n v="3"/>
    <n v="2"/>
    <n v="152"/>
    <n v="1"/>
    <x v="1"/>
    <x v="0"/>
    <s v="filler"/>
    <s v="Stim5_Set2"/>
    <m/>
    <x v="0"/>
    <x v="0"/>
    <n v="1"/>
    <n v="0"/>
    <n v="1"/>
    <n v="0"/>
  </r>
  <r>
    <n v="3"/>
    <n v="2"/>
    <n v="153"/>
    <n v="1"/>
    <x v="1"/>
    <x v="1"/>
    <s v="nontarget"/>
    <s v="Stim6_Set3"/>
    <m/>
    <x v="1"/>
    <x v="1"/>
    <n v="1"/>
    <n v="1"/>
    <n v="0"/>
    <n v="1"/>
  </r>
  <r>
    <n v="3"/>
    <n v="2"/>
    <n v="154"/>
    <n v="2"/>
    <x v="0"/>
    <x v="2"/>
    <s v="switch"/>
    <s v="Stim6_Set3"/>
    <m/>
    <x v="0"/>
    <x v="0"/>
    <n v="0"/>
    <n v="0"/>
    <n v="0"/>
    <n v="0"/>
  </r>
  <r>
    <n v="3"/>
    <n v="2"/>
    <n v="155"/>
    <n v="2"/>
    <x v="0"/>
    <x v="0"/>
    <s v="filler"/>
    <s v="Stim6_Set2"/>
    <m/>
    <x v="0"/>
    <x v="0"/>
    <n v="1"/>
    <n v="0"/>
    <n v="1"/>
    <n v="0"/>
  </r>
  <r>
    <n v="3"/>
    <n v="2"/>
    <n v="156"/>
    <n v="2"/>
    <x v="0"/>
    <x v="1"/>
    <s v="nontarget"/>
    <s v="Stim4_Set3"/>
    <m/>
    <x v="1"/>
    <x v="1"/>
    <n v="1"/>
    <n v="1"/>
    <n v="0"/>
    <n v="1"/>
  </r>
  <r>
    <n v="3"/>
    <n v="2"/>
    <n v="157"/>
    <n v="1"/>
    <x v="1"/>
    <x v="2"/>
    <s v="switch"/>
    <s v="Stim4_Set3"/>
    <m/>
    <x v="0"/>
    <x v="0"/>
    <n v="0"/>
    <n v="0"/>
    <n v="0"/>
    <n v="0"/>
  </r>
  <r>
    <n v="3"/>
    <n v="2"/>
    <n v="158"/>
    <n v="1"/>
    <x v="1"/>
    <x v="0"/>
    <s v="filler"/>
    <m/>
    <s v="here"/>
    <x v="0"/>
    <x v="0"/>
    <n v="1"/>
    <n v="0"/>
    <n v="1"/>
    <n v="0"/>
  </r>
  <r>
    <n v="3"/>
    <n v="2"/>
    <n v="159"/>
    <n v="1"/>
    <x v="1"/>
    <x v="1"/>
    <s v="nontarget"/>
    <s v="Stim8_Set3"/>
    <m/>
    <x v="0"/>
    <x v="0"/>
    <n v="1"/>
    <n v="1"/>
    <n v="0"/>
    <n v="1"/>
  </r>
  <r>
    <n v="3"/>
    <n v="2"/>
    <n v="160"/>
    <n v="2"/>
    <x v="0"/>
    <x v="2"/>
    <s v="switch"/>
    <s v="Stim8_Set3"/>
    <m/>
    <x v="0"/>
    <x v="0"/>
    <n v="0"/>
    <n v="0"/>
    <n v="0"/>
    <n v="0"/>
  </r>
  <r>
    <n v="3"/>
    <n v="2"/>
    <n v="161"/>
    <n v="1"/>
    <x v="1"/>
    <x v="0"/>
    <s v="filler"/>
    <s v="Stim1_Set2"/>
    <m/>
    <x v="0"/>
    <x v="0"/>
    <n v="0"/>
    <n v="0"/>
    <n v="1"/>
    <n v="0"/>
  </r>
  <r>
    <n v="3"/>
    <n v="2"/>
    <n v="162"/>
    <n v="2"/>
    <x v="0"/>
    <x v="1"/>
    <s v="nontarget"/>
    <s v="Stim7_Set3"/>
    <m/>
    <x v="1"/>
    <x v="2"/>
    <n v="0"/>
    <n v="1"/>
    <n v="0"/>
    <n v="1"/>
  </r>
  <r>
    <n v="3"/>
    <n v="2"/>
    <n v="163"/>
    <n v="2"/>
    <x v="0"/>
    <x v="2"/>
    <s v="repeat"/>
    <s v="Stim7_Set3"/>
    <m/>
    <x v="0"/>
    <x v="0"/>
    <n v="1"/>
    <n v="0"/>
    <n v="0"/>
    <n v="0"/>
  </r>
  <r>
    <n v="3"/>
    <n v="2"/>
    <n v="164"/>
    <n v="2"/>
    <x v="0"/>
    <x v="0"/>
    <s v="filler"/>
    <s v="Stim7_Set2"/>
    <m/>
    <x v="0"/>
    <x v="0"/>
    <n v="1"/>
    <n v="0"/>
    <n v="1"/>
    <n v="0"/>
  </r>
  <r>
    <n v="3"/>
    <n v="2"/>
    <n v="165"/>
    <n v="1"/>
    <x v="1"/>
    <x v="0"/>
    <s v="filler"/>
    <s v="Stim2_Set2"/>
    <m/>
    <x v="0"/>
    <x v="0"/>
    <n v="0"/>
    <n v="0"/>
    <n v="0"/>
    <n v="1"/>
  </r>
  <r>
    <n v="3"/>
    <n v="2"/>
    <n v="166"/>
    <n v="2"/>
    <x v="0"/>
    <x v="1"/>
    <s v="nontarget"/>
    <s v="Stim1_Set3"/>
    <m/>
    <x v="1"/>
    <x v="2"/>
    <n v="0"/>
    <n v="1"/>
    <n v="0"/>
    <n v="1"/>
  </r>
  <r>
    <n v="3"/>
    <n v="2"/>
    <n v="167"/>
    <n v="2"/>
    <x v="0"/>
    <x v="2"/>
    <s v="repeat"/>
    <s v="Stim1_Set3"/>
    <m/>
    <x v="0"/>
    <x v="0"/>
    <n v="1"/>
    <n v="0"/>
    <n v="0"/>
    <n v="0"/>
  </r>
  <r>
    <n v="3"/>
    <n v="2"/>
    <n v="168"/>
    <n v="2"/>
    <x v="0"/>
    <x v="1"/>
    <s v="nontarget"/>
    <s v="Stim3_Set3"/>
    <m/>
    <x v="0"/>
    <x v="0"/>
    <n v="1"/>
    <n v="1"/>
    <n v="1"/>
    <n v="0"/>
  </r>
  <r>
    <n v="3"/>
    <n v="2"/>
    <n v="169"/>
    <n v="1"/>
    <x v="1"/>
    <x v="2"/>
    <s v="switch"/>
    <s v="Stim3_Set3"/>
    <m/>
    <x v="0"/>
    <x v="0"/>
    <n v="0"/>
    <n v="0"/>
    <n v="0"/>
    <n v="0"/>
  </r>
  <r>
    <n v="3"/>
    <n v="2"/>
    <n v="170"/>
    <n v="2"/>
    <x v="0"/>
    <x v="0"/>
    <s v="filler"/>
    <s v="Stim4_Set2"/>
    <m/>
    <x v="0"/>
    <x v="0"/>
    <n v="0"/>
    <n v="0"/>
    <n v="1"/>
    <n v="0"/>
  </r>
  <r>
    <n v="3"/>
    <n v="2"/>
    <n v="171"/>
    <n v="1"/>
    <x v="1"/>
    <x v="0"/>
    <s v="filler"/>
    <m/>
    <s v="here"/>
    <x v="0"/>
    <x v="0"/>
    <n v="0"/>
    <n v="0"/>
    <n v="0"/>
    <n v="1"/>
  </r>
  <r>
    <n v="3"/>
    <n v="2"/>
    <n v="172"/>
    <n v="1"/>
    <x v="1"/>
    <x v="1"/>
    <s v="nontarget"/>
    <s v="Stim5_Set3"/>
    <m/>
    <x v="1"/>
    <x v="1"/>
    <n v="1"/>
    <n v="1"/>
    <n v="0"/>
    <n v="1"/>
  </r>
  <r>
    <n v="3"/>
    <n v="2"/>
    <n v="173"/>
    <n v="1"/>
    <x v="1"/>
    <x v="2"/>
    <s v="repeat"/>
    <s v="Stim5_Set3"/>
    <m/>
    <x v="0"/>
    <x v="0"/>
    <n v="1"/>
    <n v="0"/>
    <n v="0"/>
    <n v="0"/>
  </r>
  <r>
    <n v="3"/>
    <n v="2"/>
    <n v="174"/>
    <n v="2"/>
    <x v="0"/>
    <x v="0"/>
    <s v="filler"/>
    <s v="Stim8_Set2"/>
    <m/>
    <x v="0"/>
    <x v="0"/>
    <n v="0"/>
    <n v="0"/>
    <n v="1"/>
    <n v="0"/>
  </r>
  <r>
    <n v="3"/>
    <n v="2"/>
    <n v="175"/>
    <n v="1"/>
    <x v="1"/>
    <x v="1"/>
    <s v="nontarget"/>
    <s v="Stim2_Set3"/>
    <m/>
    <x v="1"/>
    <x v="2"/>
    <n v="0"/>
    <n v="1"/>
    <n v="0"/>
    <n v="1"/>
  </r>
  <r>
    <n v="3"/>
    <n v="2"/>
    <n v="176"/>
    <n v="1"/>
    <x v="1"/>
    <x v="2"/>
    <s v="repeat"/>
    <s v="Stim2_Set3"/>
    <m/>
    <x v="0"/>
    <x v="0"/>
    <n v="1"/>
    <n v="0"/>
    <n v="0"/>
    <n v="0"/>
  </r>
  <r>
    <n v="3"/>
    <n v="2"/>
    <n v="177"/>
    <n v="1"/>
    <x v="1"/>
    <x v="0"/>
    <s v="filler"/>
    <s v="Stim3_Set2"/>
    <m/>
    <x v="1"/>
    <x v="1"/>
    <n v="1"/>
    <n v="0"/>
    <n v="1"/>
    <n v="0"/>
  </r>
  <r>
    <n v="4"/>
    <n v="2"/>
    <n v="178"/>
    <n v="2"/>
    <x v="0"/>
    <x v="0"/>
    <s v="filler"/>
    <s v="Stim6_Set3"/>
    <m/>
    <x v="0"/>
    <x v="0"/>
    <n v="0"/>
    <n v="0"/>
    <n v="0"/>
    <n v="1"/>
  </r>
  <r>
    <n v="4"/>
    <n v="2"/>
    <n v="179"/>
    <n v="1"/>
    <x v="1"/>
    <x v="1"/>
    <s v="nontarget"/>
    <s v="Stim3_Set4"/>
    <m/>
    <x v="1"/>
    <x v="2"/>
    <n v="0"/>
    <n v="1"/>
    <n v="0"/>
    <n v="1"/>
  </r>
  <r>
    <n v="4"/>
    <n v="2"/>
    <n v="180"/>
    <n v="1"/>
    <x v="1"/>
    <x v="2"/>
    <s v="repeat"/>
    <s v="Stim3_Set4"/>
    <m/>
    <x v="0"/>
    <x v="0"/>
    <n v="1"/>
    <n v="0"/>
    <n v="0"/>
    <n v="0"/>
  </r>
  <r>
    <n v="4"/>
    <n v="2"/>
    <n v="181"/>
    <n v="1"/>
    <x v="1"/>
    <x v="1"/>
    <s v="nontarget"/>
    <s v="Stim8_Set4"/>
    <m/>
    <x v="1"/>
    <x v="1"/>
    <n v="1"/>
    <n v="1"/>
    <n v="1"/>
    <n v="0"/>
  </r>
  <r>
    <n v="4"/>
    <n v="2"/>
    <n v="182"/>
    <n v="2"/>
    <x v="0"/>
    <x v="2"/>
    <s v="switch"/>
    <s v="Stim8_Set4"/>
    <m/>
    <x v="0"/>
    <x v="0"/>
    <n v="0"/>
    <n v="0"/>
    <n v="0"/>
    <n v="0"/>
  </r>
  <r>
    <n v="4"/>
    <n v="2"/>
    <n v="183"/>
    <n v="1"/>
    <x v="1"/>
    <x v="0"/>
    <s v="filler"/>
    <s v="Stim4_Set3"/>
    <m/>
    <x v="0"/>
    <x v="0"/>
    <n v="0"/>
    <n v="0"/>
    <n v="1"/>
    <n v="0"/>
  </r>
  <r>
    <n v="4"/>
    <n v="2"/>
    <n v="184"/>
    <n v="2"/>
    <x v="0"/>
    <x v="1"/>
    <s v="nontarget"/>
    <s v="Stim4_Set4"/>
    <m/>
    <x v="1"/>
    <x v="2"/>
    <n v="0"/>
    <n v="1"/>
    <n v="0"/>
    <n v="1"/>
  </r>
  <r>
    <n v="4"/>
    <n v="2"/>
    <n v="185"/>
    <n v="2"/>
    <x v="0"/>
    <x v="2"/>
    <s v="repeat"/>
    <s v="Stim4_Set4"/>
    <m/>
    <x v="0"/>
    <x v="0"/>
    <n v="1"/>
    <n v="0"/>
    <n v="0"/>
    <n v="0"/>
  </r>
  <r>
    <n v="4"/>
    <n v="2"/>
    <n v="186"/>
    <n v="2"/>
    <x v="0"/>
    <x v="1"/>
    <s v="nontarget"/>
    <s v="Stim2_Set4"/>
    <m/>
    <x v="0"/>
    <x v="0"/>
    <n v="1"/>
    <n v="1"/>
    <n v="1"/>
    <n v="0"/>
  </r>
  <r>
    <n v="4"/>
    <n v="2"/>
    <n v="187"/>
    <n v="1"/>
    <x v="1"/>
    <x v="2"/>
    <s v="switch"/>
    <s v="Stim2_Set4"/>
    <m/>
    <x v="0"/>
    <x v="0"/>
    <n v="0"/>
    <n v="0"/>
    <n v="0"/>
    <n v="0"/>
  </r>
  <r>
    <n v="4"/>
    <n v="2"/>
    <n v="188"/>
    <n v="2"/>
    <x v="0"/>
    <x v="0"/>
    <s v="filler"/>
    <s v="Stim8_Set3"/>
    <m/>
    <x v="0"/>
    <x v="0"/>
    <n v="0"/>
    <n v="0"/>
    <n v="1"/>
    <n v="0"/>
  </r>
  <r>
    <n v="4"/>
    <n v="2"/>
    <n v="189"/>
    <n v="1"/>
    <x v="1"/>
    <x v="1"/>
    <s v="nontarget"/>
    <s v="Stim7_Set4"/>
    <m/>
    <x v="1"/>
    <x v="2"/>
    <n v="0"/>
    <n v="1"/>
    <n v="0"/>
    <n v="1"/>
  </r>
  <r>
    <n v="4"/>
    <n v="2"/>
    <n v="190"/>
    <n v="2"/>
    <x v="0"/>
    <x v="2"/>
    <s v="switch"/>
    <s v="Stim7_Set4"/>
    <m/>
    <x v="0"/>
    <x v="0"/>
    <n v="0"/>
    <n v="0"/>
    <n v="0"/>
    <n v="0"/>
  </r>
  <r>
    <n v="4"/>
    <n v="2"/>
    <n v="191"/>
    <n v="1"/>
    <x v="1"/>
    <x v="0"/>
    <s v="filler"/>
    <s v="Stim1_Set3"/>
    <m/>
    <x v="0"/>
    <x v="0"/>
    <n v="0"/>
    <n v="0"/>
    <n v="1"/>
    <n v="0"/>
  </r>
  <r>
    <n v="4"/>
    <n v="2"/>
    <n v="192"/>
    <n v="2"/>
    <x v="0"/>
    <x v="0"/>
    <s v="filler"/>
    <s v="Stim7_Set3"/>
    <m/>
    <x v="0"/>
    <x v="0"/>
    <n v="0"/>
    <n v="0"/>
    <n v="0"/>
    <n v="1"/>
  </r>
  <r>
    <n v="4"/>
    <n v="2"/>
    <n v="193"/>
    <n v="2"/>
    <x v="0"/>
    <x v="1"/>
    <s v="nontarget"/>
    <s v="Stim1_Set4"/>
    <m/>
    <x v="1"/>
    <x v="1"/>
    <n v="1"/>
    <n v="1"/>
    <n v="0"/>
    <n v="1"/>
  </r>
  <r>
    <n v="4"/>
    <n v="2"/>
    <n v="194"/>
    <n v="2"/>
    <x v="0"/>
    <x v="2"/>
    <s v="repeat"/>
    <s v="Stim1_Set4"/>
    <m/>
    <x v="0"/>
    <x v="0"/>
    <n v="1"/>
    <n v="0"/>
    <n v="0"/>
    <n v="0"/>
  </r>
  <r>
    <n v="4"/>
    <n v="2"/>
    <n v="195"/>
    <n v="1"/>
    <x v="1"/>
    <x v="0"/>
    <s v="filler"/>
    <s v="Stim3_Set3"/>
    <m/>
    <x v="0"/>
    <x v="0"/>
    <n v="0"/>
    <n v="0"/>
    <n v="1"/>
    <n v="0"/>
  </r>
  <r>
    <n v="4"/>
    <n v="2"/>
    <n v="196"/>
    <n v="2"/>
    <x v="0"/>
    <x v="0"/>
    <s v="filler"/>
    <s v="Stim5_Set3"/>
    <m/>
    <x v="1"/>
    <x v="2"/>
    <n v="0"/>
    <n v="0"/>
    <n v="0"/>
    <n v="1"/>
  </r>
  <r>
    <n v="4"/>
    <n v="2"/>
    <n v="197"/>
    <n v="2"/>
    <x v="0"/>
    <x v="1"/>
    <s v="nontarget"/>
    <s v="Stim6_Set4"/>
    <m/>
    <x v="1"/>
    <x v="1"/>
    <n v="1"/>
    <n v="1"/>
    <n v="0"/>
    <n v="1"/>
  </r>
  <r>
    <n v="4"/>
    <n v="2"/>
    <n v="198"/>
    <n v="1"/>
    <x v="1"/>
    <x v="2"/>
    <s v="switch"/>
    <s v="Stim6_Set4"/>
    <m/>
    <x v="0"/>
    <x v="0"/>
    <n v="0"/>
    <n v="0"/>
    <n v="0"/>
    <n v="0"/>
  </r>
  <r>
    <n v="4"/>
    <n v="2"/>
    <n v="199"/>
    <n v="1"/>
    <x v="1"/>
    <x v="1"/>
    <s v="nontarget"/>
    <s v="Stim5_Set4"/>
    <m/>
    <x v="0"/>
    <x v="0"/>
    <n v="1"/>
    <n v="1"/>
    <n v="1"/>
    <n v="0"/>
  </r>
  <r>
    <n v="4"/>
    <n v="2"/>
    <n v="200"/>
    <n v="1"/>
    <x v="1"/>
    <x v="2"/>
    <s v="repeat"/>
    <s v="Stim5_Set4"/>
    <m/>
    <x v="0"/>
    <x v="0"/>
    <n v="1"/>
    <n v="0"/>
    <n v="0"/>
    <n v="0"/>
  </r>
  <r>
    <n v="4"/>
    <n v="2"/>
    <n v="201"/>
    <n v="2"/>
    <x v="0"/>
    <x v="0"/>
    <s v="filler"/>
    <m/>
    <s v="here"/>
    <x v="0"/>
    <x v="0"/>
    <n v="0"/>
    <n v="0"/>
    <n v="1"/>
    <n v="0"/>
  </r>
  <r>
    <n v="4"/>
    <n v="2"/>
    <n v="202"/>
    <n v="1"/>
    <x v="1"/>
    <x v="0"/>
    <s v="filler"/>
    <s v="Stim2_Set3"/>
    <m/>
    <x v="0"/>
    <x v="0"/>
    <n v="0"/>
    <n v="0"/>
    <n v="0"/>
    <n v="1"/>
  </r>
  <r>
    <s v="BREAK"/>
    <m/>
    <n v="203"/>
    <m/>
    <x v="2"/>
    <x v="3"/>
    <m/>
    <m/>
    <m/>
    <x v="0"/>
    <x v="0"/>
    <n v="0"/>
    <n v="0"/>
    <n v="0"/>
    <n v="1"/>
  </r>
  <r>
    <n v="1"/>
    <n v="3"/>
    <n v="204"/>
    <n v="2"/>
    <x v="0"/>
    <x v="0"/>
    <s v="filler"/>
    <s v="Stim4_Set4"/>
    <m/>
    <x v="0"/>
    <x v="0"/>
    <n v="0"/>
    <n v="0"/>
    <n v="0"/>
    <n v="0"/>
  </r>
  <r>
    <n v="1"/>
    <n v="3"/>
    <n v="205"/>
    <n v="2"/>
    <x v="0"/>
    <x v="1"/>
    <s v="nontarget"/>
    <s v="Stim7_Set1"/>
    <m/>
    <x v="1"/>
    <x v="1"/>
    <n v="1"/>
    <n v="1"/>
    <n v="0"/>
    <n v="1"/>
  </r>
  <r>
    <n v="1"/>
    <n v="3"/>
    <n v="206"/>
    <n v="2"/>
    <x v="0"/>
    <x v="2"/>
    <s v="repeat"/>
    <s v="Stim7_Set1"/>
    <m/>
    <x v="0"/>
    <x v="0"/>
    <n v="1"/>
    <n v="0"/>
    <n v="0"/>
    <n v="0"/>
  </r>
  <r>
    <n v="1"/>
    <n v="3"/>
    <n v="207"/>
    <n v="1"/>
    <x v="1"/>
    <x v="0"/>
    <s v="filler"/>
    <s v="Stim6_Set4"/>
    <m/>
    <x v="0"/>
    <x v="0"/>
    <n v="0"/>
    <n v="0"/>
    <n v="1"/>
    <n v="0"/>
  </r>
  <r>
    <n v="1"/>
    <n v="3"/>
    <n v="208"/>
    <n v="1"/>
    <x v="1"/>
    <x v="0"/>
    <s v="filler"/>
    <s v="Stim2_Set4"/>
    <m/>
    <x v="0"/>
    <x v="0"/>
    <n v="1"/>
    <n v="0"/>
    <n v="0"/>
    <n v="1"/>
  </r>
  <r>
    <n v="1"/>
    <n v="3"/>
    <n v="209"/>
    <n v="2"/>
    <x v="0"/>
    <x v="1"/>
    <s v="nontarget"/>
    <s v="Stim6_Set1"/>
    <m/>
    <x v="1"/>
    <x v="2"/>
    <n v="0"/>
    <n v="1"/>
    <n v="0"/>
    <n v="1"/>
  </r>
  <r>
    <n v="1"/>
    <n v="3"/>
    <n v="210"/>
    <n v="2"/>
    <x v="0"/>
    <x v="2"/>
    <s v="repeat"/>
    <s v="Stim6_Set1"/>
    <m/>
    <x v="0"/>
    <x v="0"/>
    <n v="1"/>
    <n v="0"/>
    <n v="0"/>
    <n v="0"/>
  </r>
  <r>
    <n v="1"/>
    <n v="3"/>
    <n v="211"/>
    <n v="2"/>
    <x v="0"/>
    <x v="1"/>
    <s v="nontarget"/>
    <s v="Stim8_Set1"/>
    <m/>
    <x v="0"/>
    <x v="0"/>
    <n v="1"/>
    <n v="1"/>
    <n v="1"/>
    <n v="0"/>
  </r>
  <r>
    <n v="1"/>
    <n v="3"/>
    <n v="212"/>
    <n v="1"/>
    <x v="1"/>
    <x v="2"/>
    <s v="switch"/>
    <s v="Stim8_Set1"/>
    <m/>
    <x v="0"/>
    <x v="0"/>
    <n v="0"/>
    <n v="0"/>
    <n v="0"/>
    <n v="0"/>
  </r>
  <r>
    <n v="1"/>
    <n v="3"/>
    <n v="213"/>
    <n v="1"/>
    <x v="1"/>
    <x v="0"/>
    <s v="filler"/>
    <s v="Stim5_Set4"/>
    <m/>
    <x v="0"/>
    <x v="0"/>
    <n v="1"/>
    <n v="0"/>
    <n v="1"/>
    <n v="0"/>
  </r>
  <r>
    <n v="1"/>
    <n v="3"/>
    <n v="214"/>
    <n v="1"/>
    <x v="1"/>
    <x v="1"/>
    <s v="nontarget"/>
    <s v="Stim1_Set1"/>
    <m/>
    <x v="1"/>
    <x v="1"/>
    <n v="1"/>
    <n v="1"/>
    <n v="0"/>
    <n v="1"/>
  </r>
  <r>
    <n v="1"/>
    <n v="3"/>
    <n v="215"/>
    <n v="2"/>
    <x v="0"/>
    <x v="2"/>
    <s v="switch"/>
    <s v="Stim1_Set1"/>
    <m/>
    <x v="0"/>
    <x v="0"/>
    <n v="0"/>
    <n v="0"/>
    <n v="0"/>
    <n v="0"/>
  </r>
  <r>
    <n v="1"/>
    <n v="3"/>
    <n v="216"/>
    <n v="2"/>
    <x v="0"/>
    <x v="1"/>
    <s v="nontarget"/>
    <s v="Stim4_Set1"/>
    <m/>
    <x v="1"/>
    <x v="1"/>
    <n v="1"/>
    <n v="1"/>
    <n v="1"/>
    <n v="0"/>
  </r>
  <r>
    <n v="1"/>
    <n v="3"/>
    <n v="217"/>
    <n v="1"/>
    <x v="1"/>
    <x v="2"/>
    <s v="switch"/>
    <s v="Stim4_Set1"/>
    <m/>
    <x v="0"/>
    <x v="0"/>
    <n v="0"/>
    <n v="0"/>
    <n v="0"/>
    <n v="0"/>
  </r>
  <r>
    <n v="1"/>
    <n v="3"/>
    <n v="218"/>
    <n v="2"/>
    <x v="0"/>
    <x v="0"/>
    <s v="filler"/>
    <s v="Stim1_Set4"/>
    <m/>
    <x v="1"/>
    <x v="2"/>
    <n v="0"/>
    <n v="0"/>
    <n v="1"/>
    <n v="0"/>
  </r>
  <r>
    <n v="1"/>
    <n v="3"/>
    <n v="219"/>
    <n v="2"/>
    <x v="0"/>
    <x v="0"/>
    <s v="filler"/>
    <s v="Stim8_Set4"/>
    <m/>
    <x v="0"/>
    <x v="0"/>
    <n v="1"/>
    <n v="0"/>
    <n v="0"/>
    <n v="1"/>
  </r>
  <r>
    <n v="1"/>
    <n v="3"/>
    <n v="220"/>
    <n v="1"/>
    <x v="1"/>
    <x v="1"/>
    <s v="nontarget"/>
    <s v="Stim2_Set1"/>
    <m/>
    <x v="1"/>
    <x v="2"/>
    <n v="0"/>
    <n v="1"/>
    <n v="0"/>
    <n v="1"/>
  </r>
  <r>
    <n v="1"/>
    <n v="3"/>
    <n v="221"/>
    <n v="1"/>
    <x v="1"/>
    <x v="2"/>
    <s v="repeat"/>
    <s v="Stim2_Set1"/>
    <m/>
    <x v="0"/>
    <x v="0"/>
    <n v="1"/>
    <n v="0"/>
    <n v="0"/>
    <n v="0"/>
  </r>
  <r>
    <n v="1"/>
    <n v="3"/>
    <n v="222"/>
    <n v="2"/>
    <x v="0"/>
    <x v="0"/>
    <s v="filler"/>
    <s v="Stim3_Set4"/>
    <m/>
    <x v="0"/>
    <x v="0"/>
    <n v="0"/>
    <n v="0"/>
    <n v="1"/>
    <n v="0"/>
  </r>
  <r>
    <n v="1"/>
    <n v="3"/>
    <n v="223"/>
    <n v="2"/>
    <x v="0"/>
    <x v="0"/>
    <s v="filler"/>
    <s v="Stim7_Set4"/>
    <m/>
    <x v="0"/>
    <x v="0"/>
    <n v="1"/>
    <n v="0"/>
    <n v="0"/>
    <n v="1"/>
  </r>
  <r>
    <n v="1"/>
    <n v="3"/>
    <n v="224"/>
    <n v="1"/>
    <x v="1"/>
    <x v="1"/>
    <s v="nontarget"/>
    <s v="Stim3_Set1"/>
    <m/>
    <x v="1"/>
    <x v="2"/>
    <n v="0"/>
    <n v="1"/>
    <n v="0"/>
    <n v="1"/>
  </r>
  <r>
    <n v="1"/>
    <n v="3"/>
    <n v="225"/>
    <n v="1"/>
    <x v="1"/>
    <x v="2"/>
    <s v="repeat"/>
    <s v="Stim3_Set1"/>
    <m/>
    <x v="0"/>
    <x v="0"/>
    <n v="1"/>
    <n v="0"/>
    <n v="0"/>
    <n v="0"/>
  </r>
  <r>
    <n v="1"/>
    <n v="3"/>
    <n v="226"/>
    <n v="1"/>
    <x v="1"/>
    <x v="1"/>
    <s v="nontarget"/>
    <s v="Stim5_Set1"/>
    <m/>
    <x v="1"/>
    <x v="1"/>
    <n v="1"/>
    <n v="1"/>
    <n v="1"/>
    <n v="0"/>
  </r>
  <r>
    <n v="1"/>
    <n v="3"/>
    <n v="227"/>
    <n v="2"/>
    <x v="0"/>
    <x v="2"/>
    <s v="switch"/>
    <s v="Stim5_Set1"/>
    <m/>
    <x v="0"/>
    <x v="0"/>
    <n v="0"/>
    <n v="0"/>
    <n v="0"/>
    <n v="0"/>
  </r>
  <r>
    <n v="2"/>
    <n v="3"/>
    <n v="228"/>
    <n v="2"/>
    <x v="0"/>
    <x v="0"/>
    <s v="filler"/>
    <s v="Stim7_Set1"/>
    <m/>
    <x v="0"/>
    <x v="0"/>
    <n v="1"/>
    <n v="0"/>
    <n v="1"/>
    <n v="0"/>
  </r>
  <r>
    <n v="2"/>
    <n v="3"/>
    <n v="229"/>
    <n v="1"/>
    <x v="1"/>
    <x v="0"/>
    <s v="filler"/>
    <s v="Stim3_Set1"/>
    <m/>
    <x v="0"/>
    <x v="0"/>
    <n v="0"/>
    <n v="0"/>
    <n v="0"/>
    <n v="1"/>
  </r>
  <r>
    <n v="2"/>
    <n v="3"/>
    <n v="230"/>
    <n v="1"/>
    <x v="1"/>
    <x v="1"/>
    <s v="nontarget"/>
    <s v="Stim7_Set2"/>
    <m/>
    <x v="0"/>
    <x v="0"/>
    <n v="1"/>
    <n v="1"/>
    <n v="0"/>
    <n v="1"/>
  </r>
  <r>
    <n v="2"/>
    <n v="3"/>
    <n v="231"/>
    <n v="1"/>
    <x v="1"/>
    <x v="2"/>
    <s v="repeat"/>
    <s v="Stim7_Set2"/>
    <m/>
    <x v="0"/>
    <x v="0"/>
    <n v="1"/>
    <n v="0"/>
    <n v="0"/>
    <n v="0"/>
  </r>
  <r>
    <n v="2"/>
    <n v="3"/>
    <n v="232"/>
    <n v="2"/>
    <x v="0"/>
    <x v="0"/>
    <s v="filler"/>
    <s v="Stim6_Set1"/>
    <m/>
    <x v="0"/>
    <x v="0"/>
    <n v="0"/>
    <n v="0"/>
    <n v="1"/>
    <n v="0"/>
  </r>
  <r>
    <n v="2"/>
    <n v="3"/>
    <n v="233"/>
    <n v="1"/>
    <x v="1"/>
    <x v="1"/>
    <s v="nontarget"/>
    <s v="Stim6_Set2"/>
    <m/>
    <x v="1"/>
    <x v="2"/>
    <n v="0"/>
    <n v="1"/>
    <n v="0"/>
    <n v="1"/>
  </r>
  <r>
    <n v="2"/>
    <n v="3"/>
    <n v="234"/>
    <n v="1"/>
    <x v="1"/>
    <x v="2"/>
    <s v="repeat"/>
    <s v="Stim6_Set2"/>
    <m/>
    <x v="0"/>
    <x v="0"/>
    <n v="1"/>
    <n v="0"/>
    <n v="0"/>
    <n v="0"/>
  </r>
  <r>
    <n v="2"/>
    <n v="3"/>
    <n v="235"/>
    <n v="1"/>
    <x v="1"/>
    <x v="1"/>
    <s v="nontarget"/>
    <s v="Stim4_Set2"/>
    <m/>
    <x v="0"/>
    <x v="0"/>
    <n v="1"/>
    <n v="1"/>
    <n v="1"/>
    <n v="0"/>
  </r>
  <r>
    <n v="2"/>
    <n v="3"/>
    <n v="236"/>
    <n v="2"/>
    <x v="0"/>
    <x v="2"/>
    <s v="switch"/>
    <s v="Stim4_Set2"/>
    <m/>
    <x v="0"/>
    <x v="0"/>
    <n v="0"/>
    <n v="0"/>
    <n v="0"/>
    <n v="0"/>
  </r>
  <r>
    <n v="2"/>
    <n v="3"/>
    <n v="237"/>
    <n v="2"/>
    <x v="0"/>
    <x v="0"/>
    <s v="filler"/>
    <s v="Stim8_Set1"/>
    <m/>
    <x v="1"/>
    <x v="1"/>
    <n v="1"/>
    <n v="0"/>
    <n v="1"/>
    <n v="0"/>
  </r>
  <r>
    <n v="2"/>
    <n v="3"/>
    <n v="238"/>
    <n v="2"/>
    <x v="0"/>
    <x v="1"/>
    <s v="nontarget"/>
    <s v="Stim5_Set2"/>
    <m/>
    <x v="1"/>
    <x v="1"/>
    <n v="1"/>
    <n v="1"/>
    <n v="0"/>
    <n v="1"/>
  </r>
  <r>
    <n v="2"/>
    <n v="3"/>
    <n v="239"/>
    <n v="1"/>
    <x v="1"/>
    <x v="2"/>
    <s v="switch"/>
    <s v="Stim5_Set2"/>
    <m/>
    <x v="0"/>
    <x v="0"/>
    <n v="0"/>
    <n v="0"/>
    <n v="0"/>
    <n v="0"/>
  </r>
  <r>
    <n v="2"/>
    <n v="3"/>
    <n v="240"/>
    <n v="1"/>
    <x v="1"/>
    <x v="0"/>
    <s v="filler"/>
    <s v="Stim4_Set1"/>
    <m/>
    <x v="1"/>
    <x v="1"/>
    <n v="1"/>
    <n v="0"/>
    <n v="1"/>
    <n v="0"/>
  </r>
  <r>
    <n v="2"/>
    <n v="3"/>
    <n v="241"/>
    <n v="1"/>
    <x v="1"/>
    <x v="1"/>
    <s v="nontarget"/>
    <s v="Stim8_Set2"/>
    <m/>
    <x v="0"/>
    <x v="0"/>
    <n v="1"/>
    <n v="1"/>
    <n v="0"/>
    <n v="1"/>
  </r>
  <r>
    <n v="2"/>
    <n v="3"/>
    <n v="242"/>
    <n v="2"/>
    <x v="0"/>
    <x v="2"/>
    <s v="switch"/>
    <s v="Stim8_Set2"/>
    <m/>
    <x v="0"/>
    <x v="0"/>
    <n v="0"/>
    <n v="0"/>
    <n v="0"/>
    <n v="0"/>
  </r>
  <r>
    <n v="2"/>
    <n v="3"/>
    <n v="243"/>
    <n v="1"/>
    <x v="1"/>
    <x v="0"/>
    <s v="filler"/>
    <s v="Stim1_Set1"/>
    <m/>
    <x v="0"/>
    <x v="0"/>
    <n v="0"/>
    <n v="0"/>
    <n v="1"/>
    <n v="0"/>
  </r>
  <r>
    <n v="2"/>
    <n v="3"/>
    <n v="244"/>
    <n v="2"/>
    <x v="0"/>
    <x v="1"/>
    <s v="nontarget"/>
    <s v="Stim2_Set2"/>
    <m/>
    <x v="1"/>
    <x v="2"/>
    <n v="0"/>
    <n v="1"/>
    <n v="0"/>
    <n v="1"/>
  </r>
  <r>
    <n v="2"/>
    <n v="3"/>
    <n v="245"/>
    <n v="2"/>
    <x v="0"/>
    <x v="2"/>
    <s v="repeat"/>
    <s v="Stim2_Set2"/>
    <m/>
    <x v="0"/>
    <x v="0"/>
    <n v="1"/>
    <n v="0"/>
    <n v="0"/>
    <n v="0"/>
  </r>
  <r>
    <n v="2"/>
    <n v="3"/>
    <n v="246"/>
    <n v="1"/>
    <x v="1"/>
    <x v="0"/>
    <s v="filler"/>
    <s v="Stim2_Set1"/>
    <m/>
    <x v="0"/>
    <x v="0"/>
    <n v="0"/>
    <n v="0"/>
    <n v="1"/>
    <n v="0"/>
  </r>
  <r>
    <n v="2"/>
    <n v="3"/>
    <n v="247"/>
    <n v="2"/>
    <x v="0"/>
    <x v="1"/>
    <s v="nontarget"/>
    <s v="Stim1_Set2"/>
    <m/>
    <x v="1"/>
    <x v="2"/>
    <n v="0"/>
    <n v="1"/>
    <n v="0"/>
    <n v="1"/>
  </r>
  <r>
    <n v="2"/>
    <n v="3"/>
    <n v="248"/>
    <n v="2"/>
    <x v="0"/>
    <x v="2"/>
    <s v="repeat"/>
    <s v="Stim1_Set2"/>
    <m/>
    <x v="0"/>
    <x v="0"/>
    <n v="1"/>
    <n v="0"/>
    <n v="0"/>
    <n v="0"/>
  </r>
  <r>
    <n v="2"/>
    <n v="3"/>
    <n v="249"/>
    <n v="2"/>
    <x v="0"/>
    <x v="0"/>
    <s v="filler"/>
    <s v="Stim5_Set1"/>
    <m/>
    <x v="0"/>
    <x v="0"/>
    <n v="1"/>
    <n v="0"/>
    <n v="1"/>
    <n v="0"/>
  </r>
  <r>
    <n v="2"/>
    <n v="3"/>
    <n v="250"/>
    <n v="2"/>
    <x v="0"/>
    <x v="1"/>
    <s v="nontarget"/>
    <s v="Stim3_Set2"/>
    <m/>
    <x v="1"/>
    <x v="1"/>
    <n v="1"/>
    <n v="1"/>
    <n v="0"/>
    <n v="1"/>
  </r>
  <r>
    <n v="2"/>
    <n v="3"/>
    <n v="251"/>
    <n v="1"/>
    <x v="1"/>
    <x v="2"/>
    <s v="switch"/>
    <s v="Stim3_Set2"/>
    <m/>
    <x v="0"/>
    <x v="0"/>
    <n v="0"/>
    <n v="0"/>
    <n v="0"/>
    <n v="0"/>
  </r>
  <r>
    <n v="3"/>
    <n v="3"/>
    <n v="252"/>
    <n v="1"/>
    <x v="1"/>
    <x v="0"/>
    <s v="filler"/>
    <s v="Stim7_Set2"/>
    <m/>
    <x v="0"/>
    <x v="0"/>
    <n v="1"/>
    <n v="0"/>
    <n v="1"/>
    <n v="0"/>
  </r>
  <r>
    <n v="3"/>
    <n v="3"/>
    <n v="253"/>
    <n v="1"/>
    <x v="1"/>
    <x v="1"/>
    <s v="nontarget"/>
    <s v="Stim4_Set3"/>
    <m/>
    <x v="1"/>
    <x v="1"/>
    <n v="1"/>
    <n v="1"/>
    <n v="0"/>
    <n v="1"/>
  </r>
  <r>
    <n v="3"/>
    <n v="3"/>
    <n v="254"/>
    <n v="2"/>
    <x v="0"/>
    <x v="2"/>
    <s v="switch"/>
    <s v="Stim4_Set3"/>
    <m/>
    <x v="0"/>
    <x v="0"/>
    <n v="0"/>
    <n v="0"/>
    <n v="0"/>
    <n v="0"/>
  </r>
  <r>
    <n v="3"/>
    <n v="3"/>
    <n v="255"/>
    <n v="2"/>
    <x v="0"/>
    <x v="0"/>
    <s v="filler"/>
    <s v="Stim6_Set2"/>
    <m/>
    <x v="0"/>
    <x v="0"/>
    <n v="1"/>
    <n v="0"/>
    <n v="1"/>
    <n v="0"/>
  </r>
  <r>
    <n v="3"/>
    <n v="3"/>
    <n v="256"/>
    <n v="2"/>
    <x v="0"/>
    <x v="1"/>
    <s v="nontarget"/>
    <s v="Stim7_Set3"/>
    <m/>
    <x v="1"/>
    <x v="1"/>
    <n v="1"/>
    <n v="1"/>
    <n v="0"/>
    <n v="1"/>
  </r>
  <r>
    <n v="3"/>
    <n v="3"/>
    <n v="257"/>
    <n v="1"/>
    <x v="1"/>
    <x v="2"/>
    <s v="switch"/>
    <s v="Stim7_Set3"/>
    <m/>
    <x v="0"/>
    <x v="0"/>
    <n v="0"/>
    <n v="0"/>
    <n v="0"/>
    <n v="0"/>
  </r>
  <r>
    <n v="3"/>
    <n v="3"/>
    <n v="258"/>
    <n v="1"/>
    <x v="1"/>
    <x v="1"/>
    <s v="nontarget"/>
    <s v="Stim2_Set3"/>
    <m/>
    <x v="1"/>
    <x v="1"/>
    <n v="1"/>
    <n v="1"/>
    <n v="1"/>
    <n v="0"/>
  </r>
  <r>
    <n v="3"/>
    <n v="3"/>
    <n v="259"/>
    <n v="2"/>
    <x v="0"/>
    <x v="2"/>
    <s v="switch"/>
    <s v="Stim2_Set3"/>
    <m/>
    <x v="0"/>
    <x v="0"/>
    <n v="0"/>
    <n v="0"/>
    <n v="0"/>
    <n v="0"/>
  </r>
  <r>
    <n v="3"/>
    <n v="3"/>
    <n v="260"/>
    <n v="1"/>
    <x v="1"/>
    <x v="0"/>
    <s v="filler"/>
    <s v="Stim8_Set2"/>
    <m/>
    <x v="0"/>
    <x v="0"/>
    <n v="0"/>
    <n v="0"/>
    <n v="1"/>
    <n v="0"/>
  </r>
  <r>
    <n v="3"/>
    <n v="3"/>
    <n v="261"/>
    <n v="2"/>
    <x v="0"/>
    <x v="1"/>
    <s v="nontarget"/>
    <s v="Stim6_Set3"/>
    <m/>
    <x v="1"/>
    <x v="2"/>
    <n v="0"/>
    <n v="1"/>
    <n v="0"/>
    <n v="1"/>
  </r>
  <r>
    <n v="3"/>
    <n v="3"/>
    <n v="262"/>
    <n v="2"/>
    <x v="0"/>
    <x v="2"/>
    <s v="repeat"/>
    <s v="Stim6_Set3"/>
    <m/>
    <x v="0"/>
    <x v="0"/>
    <n v="1"/>
    <n v="0"/>
    <n v="0"/>
    <n v="0"/>
  </r>
  <r>
    <n v="3"/>
    <n v="3"/>
    <n v="263"/>
    <n v="1"/>
    <x v="1"/>
    <x v="0"/>
    <s v="filler"/>
    <s v="Stim2_Set2"/>
    <m/>
    <x v="0"/>
    <x v="0"/>
    <n v="0"/>
    <n v="0"/>
    <n v="1"/>
    <n v="0"/>
  </r>
  <r>
    <n v="3"/>
    <n v="3"/>
    <n v="264"/>
    <n v="2"/>
    <x v="0"/>
    <x v="1"/>
    <s v="nontarget"/>
    <s v="Stim8_Set3"/>
    <m/>
    <x v="1"/>
    <x v="2"/>
    <n v="0"/>
    <n v="1"/>
    <n v="0"/>
    <n v="1"/>
  </r>
  <r>
    <n v="3"/>
    <n v="3"/>
    <n v="265"/>
    <n v="2"/>
    <x v="0"/>
    <x v="2"/>
    <s v="repeat"/>
    <s v="Stim8_Set3"/>
    <m/>
    <x v="0"/>
    <x v="0"/>
    <n v="1"/>
    <n v="0"/>
    <n v="0"/>
    <n v="0"/>
  </r>
  <r>
    <n v="3"/>
    <n v="3"/>
    <n v="266"/>
    <n v="2"/>
    <x v="0"/>
    <x v="1"/>
    <s v="nontarget"/>
    <s v="Stim5_Set3"/>
    <m/>
    <x v="0"/>
    <x v="0"/>
    <n v="1"/>
    <n v="1"/>
    <n v="1"/>
    <n v="0"/>
  </r>
  <r>
    <n v="3"/>
    <n v="3"/>
    <n v="267"/>
    <n v="1"/>
    <x v="1"/>
    <x v="2"/>
    <s v="switch"/>
    <s v="Stim5_Set3"/>
    <m/>
    <x v="0"/>
    <x v="0"/>
    <n v="0"/>
    <n v="0"/>
    <n v="0"/>
    <n v="0"/>
  </r>
  <r>
    <n v="3"/>
    <n v="3"/>
    <n v="268"/>
    <n v="2"/>
    <x v="0"/>
    <x v="0"/>
    <s v="filler"/>
    <s v="Stim4_Set2"/>
    <m/>
    <x v="0"/>
    <x v="0"/>
    <n v="0"/>
    <n v="0"/>
    <n v="1"/>
    <n v="0"/>
  </r>
  <r>
    <n v="3"/>
    <n v="3"/>
    <n v="269"/>
    <n v="1"/>
    <x v="1"/>
    <x v="0"/>
    <s v="filler"/>
    <s v="Stim5_Set2"/>
    <m/>
    <x v="1"/>
    <x v="2"/>
    <n v="0"/>
    <n v="0"/>
    <n v="0"/>
    <n v="1"/>
  </r>
  <r>
    <n v="3"/>
    <n v="3"/>
    <n v="270"/>
    <n v="1"/>
    <x v="1"/>
    <x v="1"/>
    <s v="nontarget"/>
    <s v="Stim3_Set3"/>
    <m/>
    <x v="0"/>
    <x v="0"/>
    <n v="1"/>
    <n v="1"/>
    <n v="0"/>
    <n v="1"/>
  </r>
  <r>
    <n v="3"/>
    <n v="3"/>
    <n v="271"/>
    <n v="1"/>
    <x v="1"/>
    <x v="2"/>
    <s v="repeat"/>
    <s v="Stim3_Set3"/>
    <m/>
    <x v="0"/>
    <x v="0"/>
    <n v="1"/>
    <n v="0"/>
    <n v="0"/>
    <n v="0"/>
  </r>
  <r>
    <n v="3"/>
    <n v="3"/>
    <n v="272"/>
    <n v="2"/>
    <x v="0"/>
    <x v="0"/>
    <s v="filler"/>
    <s v="Stim3_Set2"/>
    <m/>
    <x v="1"/>
    <x v="2"/>
    <n v="0"/>
    <n v="0"/>
    <n v="1"/>
    <n v="0"/>
  </r>
  <r>
    <n v="3"/>
    <n v="3"/>
    <n v="273"/>
    <n v="1"/>
    <x v="1"/>
    <x v="1"/>
    <s v="nontarget"/>
    <s v="Stim1_Set3"/>
    <m/>
    <x v="1"/>
    <x v="2"/>
    <n v="0"/>
    <n v="1"/>
    <n v="0"/>
    <n v="1"/>
  </r>
  <r>
    <n v="3"/>
    <n v="3"/>
    <n v="274"/>
    <n v="1"/>
    <x v="1"/>
    <x v="2"/>
    <s v="repeat"/>
    <s v="Stim1_Set3"/>
    <m/>
    <x v="0"/>
    <x v="0"/>
    <n v="1"/>
    <n v="0"/>
    <n v="0"/>
    <n v="0"/>
  </r>
  <r>
    <n v="3"/>
    <n v="3"/>
    <n v="275"/>
    <n v="2"/>
    <x v="0"/>
    <x v="0"/>
    <s v="filler"/>
    <s v="Stim1_Set2"/>
    <m/>
    <x v="0"/>
    <x v="0"/>
    <n v="0"/>
    <n v="0"/>
    <n v="1"/>
    <n v="0"/>
  </r>
  <r>
    <n v="4"/>
    <n v="3"/>
    <n v="276"/>
    <n v="1"/>
    <x v="1"/>
    <x v="1"/>
    <s v="nontarget"/>
    <s v="Stim4_Set4"/>
    <m/>
    <x v="0"/>
    <x v="0"/>
    <n v="0"/>
    <n v="1"/>
    <n v="0"/>
    <n v="1"/>
  </r>
  <r>
    <n v="4"/>
    <n v="3"/>
    <n v="277"/>
    <n v="1"/>
    <x v="1"/>
    <x v="2"/>
    <s v="repeat"/>
    <s v="Stim4_Set4"/>
    <m/>
    <x v="0"/>
    <x v="0"/>
    <n v="1"/>
    <n v="0"/>
    <n v="0"/>
    <n v="0"/>
  </r>
  <r>
    <n v="4"/>
    <n v="3"/>
    <n v="278"/>
    <n v="2"/>
    <x v="0"/>
    <x v="0"/>
    <s v="filler"/>
    <s v="Stim4_Set3"/>
    <m/>
    <x v="0"/>
    <x v="0"/>
    <n v="0"/>
    <n v="0"/>
    <n v="1"/>
    <n v="0"/>
  </r>
  <r>
    <n v="4"/>
    <n v="3"/>
    <n v="279"/>
    <n v="1"/>
    <x v="1"/>
    <x v="1"/>
    <s v="nontarget"/>
    <s v="Stim6_Set4"/>
    <m/>
    <x v="1"/>
    <x v="2"/>
    <n v="0"/>
    <n v="1"/>
    <n v="0"/>
    <n v="1"/>
  </r>
  <r>
    <n v="4"/>
    <n v="3"/>
    <n v="280"/>
    <n v="2"/>
    <x v="0"/>
    <x v="2"/>
    <s v="switch"/>
    <s v="Stim6_Set4"/>
    <m/>
    <x v="0"/>
    <x v="0"/>
    <n v="0"/>
    <n v="0"/>
    <n v="0"/>
    <n v="0"/>
  </r>
  <r>
    <n v="4"/>
    <n v="3"/>
    <n v="281"/>
    <n v="2"/>
    <x v="0"/>
    <x v="1"/>
    <s v="nontarget"/>
    <s v="Stim2_Set4"/>
    <m/>
    <x v="1"/>
    <x v="1"/>
    <n v="1"/>
    <n v="1"/>
    <n v="1"/>
    <n v="0"/>
  </r>
  <r>
    <n v="4"/>
    <n v="3"/>
    <n v="282"/>
    <n v="2"/>
    <x v="0"/>
    <x v="2"/>
    <s v="repeat"/>
    <s v="Stim2_Set4"/>
    <m/>
    <x v="0"/>
    <x v="0"/>
    <n v="1"/>
    <n v="0"/>
    <n v="0"/>
    <n v="0"/>
  </r>
  <r>
    <n v="4"/>
    <n v="3"/>
    <n v="283"/>
    <n v="1"/>
    <x v="1"/>
    <x v="0"/>
    <s v="filler"/>
    <s v="Stim7_Set3"/>
    <m/>
    <x v="0"/>
    <x v="0"/>
    <n v="0"/>
    <n v="0"/>
    <n v="1"/>
    <n v="0"/>
  </r>
  <r>
    <n v="4"/>
    <n v="3"/>
    <n v="284"/>
    <n v="2"/>
    <x v="0"/>
    <x v="0"/>
    <s v="filler"/>
    <s v="Stim2_Set3"/>
    <m/>
    <x v="0"/>
    <x v="0"/>
    <n v="0"/>
    <n v="0"/>
    <n v="0"/>
    <n v="1"/>
  </r>
  <r>
    <n v="4"/>
    <n v="3"/>
    <n v="285"/>
    <n v="2"/>
    <x v="0"/>
    <x v="1"/>
    <s v="nontarget"/>
    <s v="Stim5_Set4"/>
    <m/>
    <x v="1"/>
    <x v="1"/>
    <n v="1"/>
    <n v="1"/>
    <n v="0"/>
    <n v="1"/>
  </r>
  <r>
    <n v="4"/>
    <n v="3"/>
    <n v="286"/>
    <n v="1"/>
    <x v="1"/>
    <x v="2"/>
    <s v="switch"/>
    <s v="Stim5_Set4"/>
    <m/>
    <x v="0"/>
    <x v="0"/>
    <n v="0"/>
    <n v="0"/>
    <n v="0"/>
    <n v="0"/>
  </r>
  <r>
    <n v="4"/>
    <n v="3"/>
    <n v="287"/>
    <n v="1"/>
    <x v="1"/>
    <x v="1"/>
    <s v="nontarget"/>
    <s v="Stim1_Set4"/>
    <m/>
    <x v="0"/>
    <x v="0"/>
    <n v="1"/>
    <n v="1"/>
    <n v="1"/>
    <n v="0"/>
  </r>
  <r>
    <n v="4"/>
    <n v="3"/>
    <n v="288"/>
    <n v="2"/>
    <x v="0"/>
    <x v="2"/>
    <s v="switch"/>
    <s v="Stim1_Set4"/>
    <m/>
    <x v="0"/>
    <x v="0"/>
    <n v="0"/>
    <n v="0"/>
    <n v="0"/>
    <n v="0"/>
  </r>
  <r>
    <n v="4"/>
    <n v="3"/>
    <n v="289"/>
    <n v="1"/>
    <x v="1"/>
    <x v="0"/>
    <s v="filler"/>
    <s v="Stim6_Set3"/>
    <m/>
    <x v="1"/>
    <x v="2"/>
    <n v="0"/>
    <n v="0"/>
    <n v="1"/>
    <n v="0"/>
  </r>
  <r>
    <n v="4"/>
    <n v="3"/>
    <n v="290"/>
    <n v="2"/>
    <x v="0"/>
    <x v="1"/>
    <s v="nontarget"/>
    <s v="Stim8_Set4"/>
    <m/>
    <x v="1"/>
    <x v="2"/>
    <n v="0"/>
    <n v="1"/>
    <n v="0"/>
    <n v="1"/>
  </r>
  <r>
    <n v="4"/>
    <n v="3"/>
    <n v="291"/>
    <n v="2"/>
    <x v="0"/>
    <x v="2"/>
    <s v="repeat"/>
    <s v="Stim8_Set4"/>
    <m/>
    <x v="0"/>
    <x v="0"/>
    <n v="1"/>
    <n v="0"/>
    <n v="0"/>
    <n v="0"/>
  </r>
  <r>
    <n v="4"/>
    <n v="3"/>
    <n v="292"/>
    <n v="1"/>
    <x v="1"/>
    <x v="0"/>
    <s v="filler"/>
    <s v="Stim8_Set3"/>
    <m/>
    <x v="0"/>
    <x v="0"/>
    <n v="0"/>
    <n v="0"/>
    <n v="1"/>
    <n v="0"/>
  </r>
  <r>
    <n v="4"/>
    <n v="3"/>
    <n v="293"/>
    <n v="2"/>
    <x v="0"/>
    <x v="0"/>
    <s v="filler"/>
    <s v="Stim1_Set3"/>
    <m/>
    <x v="0"/>
    <x v="0"/>
    <n v="0"/>
    <n v="0"/>
    <n v="0"/>
    <n v="1"/>
  </r>
  <r>
    <n v="4"/>
    <n v="3"/>
    <n v="294"/>
    <n v="2"/>
    <x v="0"/>
    <x v="1"/>
    <s v="nontarget"/>
    <s v="Stim3_Set4"/>
    <m/>
    <x v="1"/>
    <x v="1"/>
    <n v="1"/>
    <n v="1"/>
    <n v="0"/>
    <n v="1"/>
  </r>
  <r>
    <n v="4"/>
    <n v="3"/>
    <n v="295"/>
    <n v="1"/>
    <x v="1"/>
    <x v="2"/>
    <s v="switch"/>
    <s v="Stim3_Set4"/>
    <m/>
    <x v="0"/>
    <x v="0"/>
    <n v="0"/>
    <n v="0"/>
    <n v="0"/>
    <n v="0"/>
  </r>
  <r>
    <n v="4"/>
    <n v="3"/>
    <n v="296"/>
    <n v="2"/>
    <x v="0"/>
    <x v="0"/>
    <s v="filler"/>
    <m/>
    <s v="here"/>
    <x v="0"/>
    <x v="0"/>
    <n v="0"/>
    <n v="0"/>
    <n v="1"/>
    <n v="0"/>
  </r>
  <r>
    <n v="4"/>
    <n v="3"/>
    <n v="297"/>
    <n v="1"/>
    <x v="1"/>
    <x v="0"/>
    <s v="filler"/>
    <s v="Stim5_Set3"/>
    <m/>
    <x v="1"/>
    <x v="2"/>
    <n v="0"/>
    <n v="0"/>
    <n v="0"/>
    <n v="1"/>
  </r>
  <r>
    <n v="4"/>
    <n v="3"/>
    <n v="298"/>
    <n v="2"/>
    <x v="0"/>
    <x v="0"/>
    <s v="filler"/>
    <m/>
    <s v="here"/>
    <x v="0"/>
    <x v="0"/>
    <n v="0"/>
    <n v="0"/>
    <n v="0"/>
    <n v="1"/>
  </r>
  <r>
    <n v="4"/>
    <n v="3"/>
    <n v="299"/>
    <n v="1"/>
    <x v="1"/>
    <x v="0"/>
    <s v="filler"/>
    <s v="Stim3_Set3"/>
    <m/>
    <x v="1"/>
    <x v="2"/>
    <n v="0"/>
    <n v="0"/>
    <n v="0"/>
    <n v="1"/>
  </r>
  <r>
    <n v="4"/>
    <n v="3"/>
    <n v="300"/>
    <n v="1"/>
    <x v="1"/>
    <x v="1"/>
    <s v="nontarget"/>
    <s v="Stim7_Set4"/>
    <m/>
    <x v="1"/>
    <x v="1"/>
    <n v="1"/>
    <n v="1"/>
    <n v="0"/>
    <n v="1"/>
  </r>
  <r>
    <n v="4"/>
    <n v="3"/>
    <n v="301"/>
    <n v="1"/>
    <x v="1"/>
    <x v="2"/>
    <s v="repeat"/>
    <s v="Stim7_Set4"/>
    <m/>
    <x v="0"/>
    <x v="0"/>
    <n v="1"/>
    <n v="0"/>
    <n v="0"/>
    <n v="0"/>
  </r>
  <r>
    <n v="4"/>
    <n v="3"/>
    <n v="302"/>
    <n v="2"/>
    <x v="0"/>
    <x v="0"/>
    <s v="filler"/>
    <m/>
    <s v="here"/>
    <x v="0"/>
    <x v="0"/>
    <n v="0"/>
    <n v="1"/>
    <n v="1"/>
    <n v="0"/>
  </r>
  <r>
    <s v="BREAK"/>
    <m/>
    <n v="303"/>
    <m/>
    <x v="2"/>
    <x v="3"/>
    <m/>
    <m/>
    <m/>
    <x v="0"/>
    <x v="0"/>
    <n v="0"/>
    <n v="0"/>
    <n v="0"/>
    <n v="1"/>
  </r>
  <r>
    <n v="1"/>
    <n v="4"/>
    <n v="304"/>
    <n v="2"/>
    <x v="0"/>
    <x v="0"/>
    <s v="filler"/>
    <s v="Stim4_Set4"/>
    <m/>
    <x v="0"/>
    <x v="0"/>
    <n v="0"/>
    <n v="0"/>
    <n v="0"/>
    <n v="0"/>
  </r>
  <r>
    <n v="1"/>
    <n v="4"/>
    <n v="305"/>
    <n v="2"/>
    <x v="0"/>
    <x v="1"/>
    <s v="nontarget"/>
    <s v="Stim5_Set1"/>
    <m/>
    <x v="1"/>
    <x v="1"/>
    <n v="1"/>
    <n v="1"/>
    <n v="0"/>
    <n v="1"/>
  </r>
  <r>
    <n v="1"/>
    <n v="4"/>
    <n v="306"/>
    <n v="2"/>
    <x v="0"/>
    <x v="2"/>
    <s v="repeat"/>
    <s v="Stim5_Set1"/>
    <m/>
    <x v="0"/>
    <x v="0"/>
    <n v="1"/>
    <n v="0"/>
    <n v="0"/>
    <n v="0"/>
  </r>
  <r>
    <n v="1"/>
    <n v="4"/>
    <n v="307"/>
    <n v="1"/>
    <x v="1"/>
    <x v="0"/>
    <s v="filler"/>
    <s v="Stim3_Set4"/>
    <m/>
    <x v="0"/>
    <x v="0"/>
    <n v="0"/>
    <n v="0"/>
    <n v="1"/>
    <n v="0"/>
  </r>
  <r>
    <n v="1"/>
    <n v="4"/>
    <n v="308"/>
    <n v="1"/>
    <x v="1"/>
    <x v="0"/>
    <s v="filler"/>
    <s v="Stim1_Set4"/>
    <m/>
    <x v="1"/>
    <x v="1"/>
    <n v="1"/>
    <n v="0"/>
    <n v="0"/>
    <n v="1"/>
  </r>
  <r>
    <n v="1"/>
    <n v="4"/>
    <n v="309"/>
    <n v="2"/>
    <x v="0"/>
    <x v="1"/>
    <s v="nontarget"/>
    <s v="Stim8_Set1"/>
    <m/>
    <x v="1"/>
    <x v="2"/>
    <n v="0"/>
    <n v="1"/>
    <n v="0"/>
    <n v="1"/>
  </r>
  <r>
    <n v="1"/>
    <n v="4"/>
    <n v="310"/>
    <n v="2"/>
    <x v="0"/>
    <x v="2"/>
    <s v="repeat"/>
    <s v="Stim8_Set1"/>
    <m/>
    <x v="0"/>
    <x v="0"/>
    <n v="1"/>
    <n v="0"/>
    <n v="0"/>
    <n v="0"/>
  </r>
  <r>
    <n v="1"/>
    <n v="4"/>
    <n v="311"/>
    <n v="1"/>
    <x v="1"/>
    <x v="0"/>
    <s v="filler"/>
    <s v="Stim8_Set4"/>
    <m/>
    <x v="0"/>
    <x v="0"/>
    <n v="0"/>
    <n v="0"/>
    <n v="1"/>
    <n v="0"/>
  </r>
  <r>
    <n v="1"/>
    <n v="4"/>
    <n v="312"/>
    <n v="2"/>
    <x v="0"/>
    <x v="1"/>
    <s v="nontarget"/>
    <s v="Stim7_Set1"/>
    <m/>
    <x v="1"/>
    <x v="2"/>
    <n v="0"/>
    <n v="1"/>
    <n v="0"/>
    <n v="1"/>
  </r>
  <r>
    <n v="1"/>
    <n v="4"/>
    <n v="313"/>
    <n v="1"/>
    <x v="1"/>
    <x v="2"/>
    <s v="switch"/>
    <s v="Stim7_Set1"/>
    <m/>
    <x v="0"/>
    <x v="0"/>
    <n v="0"/>
    <n v="0"/>
    <n v="0"/>
    <n v="0"/>
  </r>
  <r>
    <n v="1"/>
    <n v="4"/>
    <n v="314"/>
    <n v="1"/>
    <x v="1"/>
    <x v="0"/>
    <s v="filler"/>
    <s v="Stim6_Set4"/>
    <m/>
    <x v="1"/>
    <x v="1"/>
    <n v="1"/>
    <n v="0"/>
    <n v="1"/>
    <n v="0"/>
  </r>
  <r>
    <n v="1"/>
    <n v="4"/>
    <n v="315"/>
    <n v="1"/>
    <x v="1"/>
    <x v="1"/>
    <s v="nontarget"/>
    <s v="Stim3_Set1"/>
    <m/>
    <x v="1"/>
    <x v="1"/>
    <n v="1"/>
    <n v="1"/>
    <n v="0"/>
    <n v="1"/>
  </r>
  <r>
    <n v="1"/>
    <n v="4"/>
    <n v="316"/>
    <n v="2"/>
    <x v="0"/>
    <x v="2"/>
    <s v="switch"/>
    <s v="Stim3_Set1"/>
    <m/>
    <x v="0"/>
    <x v="0"/>
    <n v="0"/>
    <n v="0"/>
    <n v="0"/>
    <n v="0"/>
  </r>
  <r>
    <n v="1"/>
    <n v="4"/>
    <n v="317"/>
    <n v="2"/>
    <x v="0"/>
    <x v="1"/>
    <s v="nontarget"/>
    <s v="Stim2_Set1"/>
    <m/>
    <x v="1"/>
    <x v="1"/>
    <n v="1"/>
    <n v="1"/>
    <n v="1"/>
    <n v="0"/>
  </r>
  <r>
    <n v="1"/>
    <n v="4"/>
    <n v="318"/>
    <n v="1"/>
    <x v="1"/>
    <x v="2"/>
    <s v="switch"/>
    <s v="Stim2_Set1"/>
    <m/>
    <x v="0"/>
    <x v="0"/>
    <n v="0"/>
    <n v="0"/>
    <n v="0"/>
    <n v="0"/>
  </r>
  <r>
    <n v="1"/>
    <n v="4"/>
    <n v="319"/>
    <n v="1"/>
    <x v="1"/>
    <x v="0"/>
    <s v="filler"/>
    <s v="Stim7_Set4"/>
    <m/>
    <x v="0"/>
    <x v="0"/>
    <n v="1"/>
    <n v="0"/>
    <n v="1"/>
    <n v="0"/>
  </r>
  <r>
    <n v="1"/>
    <n v="4"/>
    <n v="320"/>
    <n v="2"/>
    <x v="0"/>
    <x v="0"/>
    <s v="filler"/>
    <s v="Stim5_Set4"/>
    <m/>
    <x v="0"/>
    <x v="0"/>
    <n v="0"/>
    <n v="0"/>
    <n v="0"/>
    <n v="1"/>
  </r>
  <r>
    <n v="1"/>
    <n v="4"/>
    <n v="321"/>
    <n v="1"/>
    <x v="1"/>
    <x v="1"/>
    <s v="nontarget"/>
    <s v="Stim4_Set1"/>
    <m/>
    <x v="0"/>
    <x v="0"/>
    <n v="0"/>
    <n v="1"/>
    <n v="0"/>
    <n v="1"/>
  </r>
  <r>
    <n v="1"/>
    <n v="4"/>
    <n v="322"/>
    <n v="1"/>
    <x v="1"/>
    <x v="2"/>
    <s v="repeat"/>
    <s v="Stim4_Set1"/>
    <m/>
    <x v="0"/>
    <x v="0"/>
    <n v="1"/>
    <n v="0"/>
    <n v="0"/>
    <n v="0"/>
  </r>
  <r>
    <n v="1"/>
    <n v="4"/>
    <n v="323"/>
    <n v="2"/>
    <x v="0"/>
    <x v="0"/>
    <s v="filler"/>
    <s v="Stim2_Set4"/>
    <m/>
    <x v="1"/>
    <x v="2"/>
    <n v="0"/>
    <n v="0"/>
    <n v="1"/>
    <n v="0"/>
  </r>
  <r>
    <n v="1"/>
    <n v="4"/>
    <n v="324"/>
    <n v="1"/>
    <x v="1"/>
    <x v="1"/>
    <s v="nontarget"/>
    <s v="Stim1_Set1"/>
    <m/>
    <x v="1"/>
    <x v="2"/>
    <n v="0"/>
    <n v="1"/>
    <n v="0"/>
    <n v="1"/>
  </r>
  <r>
    <n v="1"/>
    <n v="4"/>
    <n v="325"/>
    <n v="1"/>
    <x v="1"/>
    <x v="2"/>
    <s v="repeat"/>
    <s v="Stim1_Set1"/>
    <m/>
    <x v="0"/>
    <x v="0"/>
    <n v="1"/>
    <n v="0"/>
    <n v="0"/>
    <n v="0"/>
  </r>
  <r>
    <n v="1"/>
    <n v="4"/>
    <n v="326"/>
    <n v="1"/>
    <x v="1"/>
    <x v="1"/>
    <s v="nontarget"/>
    <s v="Stim6_Set1"/>
    <m/>
    <x v="1"/>
    <x v="1"/>
    <n v="1"/>
    <n v="1"/>
    <n v="1"/>
    <n v="0"/>
  </r>
  <r>
    <n v="1"/>
    <n v="4"/>
    <n v="327"/>
    <n v="2"/>
    <x v="0"/>
    <x v="2"/>
    <s v="switch"/>
    <s v="Stim6_Set1"/>
    <m/>
    <x v="0"/>
    <x v="0"/>
    <n v="0"/>
    <n v="0"/>
    <n v="0"/>
    <n v="0"/>
  </r>
  <r>
    <n v="2"/>
    <n v="4"/>
    <n v="328"/>
    <n v="1"/>
    <x v="1"/>
    <x v="0"/>
    <s v="filler"/>
    <s v="Stim5_Set1"/>
    <m/>
    <x v="0"/>
    <x v="0"/>
    <n v="0"/>
    <n v="0"/>
    <n v="1"/>
    <n v="0"/>
  </r>
  <r>
    <n v="2"/>
    <n v="4"/>
    <n v="329"/>
    <n v="1"/>
    <x v="1"/>
    <x v="1"/>
    <s v="nontarget"/>
    <s v="Stim8_Set2"/>
    <m/>
    <x v="1"/>
    <x v="1"/>
    <n v="1"/>
    <n v="1"/>
    <n v="0"/>
    <n v="1"/>
  </r>
  <r>
    <n v="2"/>
    <n v="4"/>
    <n v="330"/>
    <n v="1"/>
    <x v="1"/>
    <x v="2"/>
    <s v="repeat"/>
    <s v="Stim8_Set2"/>
    <m/>
    <x v="0"/>
    <x v="0"/>
    <n v="1"/>
    <n v="0"/>
    <n v="0"/>
    <n v="0"/>
  </r>
  <r>
    <n v="2"/>
    <n v="4"/>
    <n v="331"/>
    <n v="2"/>
    <x v="0"/>
    <x v="0"/>
    <s v="filler"/>
    <s v="Stim1_Set1"/>
    <m/>
    <x v="1"/>
    <x v="2"/>
    <n v="0"/>
    <n v="0"/>
    <n v="1"/>
    <n v="0"/>
  </r>
  <r>
    <n v="2"/>
    <n v="4"/>
    <n v="332"/>
    <n v="1"/>
    <x v="1"/>
    <x v="1"/>
    <s v="nontarget"/>
    <s v="Stim4_Set2"/>
    <m/>
    <x v="1"/>
    <x v="2"/>
    <n v="0"/>
    <n v="1"/>
    <n v="0"/>
    <n v="1"/>
  </r>
  <r>
    <n v="2"/>
    <n v="4"/>
    <n v="333"/>
    <n v="1"/>
    <x v="1"/>
    <x v="2"/>
    <s v="repeat"/>
    <s v="Stim4_Set2"/>
    <m/>
    <x v="0"/>
    <x v="0"/>
    <n v="1"/>
    <n v="0"/>
    <n v="0"/>
    <n v="0"/>
  </r>
  <r>
    <n v="2"/>
    <n v="4"/>
    <n v="334"/>
    <n v="1"/>
    <x v="1"/>
    <x v="0"/>
    <s v="filler"/>
    <s v="Stim8_Set1"/>
    <m/>
    <x v="0"/>
    <x v="0"/>
    <n v="1"/>
    <n v="0"/>
    <n v="1"/>
    <n v="0"/>
  </r>
  <r>
    <n v="2"/>
    <n v="4"/>
    <n v="335"/>
    <n v="2"/>
    <x v="0"/>
    <x v="0"/>
    <s v="filler"/>
    <m/>
    <s v="here"/>
    <x v="0"/>
    <x v="0"/>
    <n v="0"/>
    <n v="0"/>
    <n v="0"/>
    <n v="1"/>
  </r>
  <r>
    <n v="2"/>
    <n v="4"/>
    <n v="336"/>
    <n v="1"/>
    <x v="1"/>
    <x v="0"/>
    <s v="filler"/>
    <s v="Stim7_Set1"/>
    <m/>
    <x v="1"/>
    <x v="2"/>
    <n v="0"/>
    <n v="0"/>
    <n v="0"/>
    <n v="1"/>
  </r>
  <r>
    <n v="2"/>
    <n v="4"/>
    <n v="337"/>
    <n v="1"/>
    <x v="1"/>
    <x v="1"/>
    <s v="nontarget"/>
    <s v="Stim6_Set2"/>
    <m/>
    <x v="1"/>
    <x v="1"/>
    <n v="1"/>
    <n v="1"/>
    <n v="0"/>
    <n v="1"/>
  </r>
  <r>
    <n v="2"/>
    <n v="4"/>
    <n v="338"/>
    <n v="1"/>
    <x v="0"/>
    <x v="2"/>
    <s v="switch"/>
    <s v="Stim6_Set2"/>
    <m/>
    <x v="0"/>
    <x v="0"/>
    <n v="0"/>
    <n v="0"/>
    <n v="0"/>
    <n v="0"/>
  </r>
  <r>
    <n v="2"/>
    <n v="4"/>
    <n v="339"/>
    <n v="2"/>
    <x v="0"/>
    <x v="0"/>
    <s v="filler"/>
    <s v="Stim3_Set1"/>
    <m/>
    <x v="0"/>
    <x v="0"/>
    <n v="1"/>
    <n v="0"/>
    <n v="1"/>
    <n v="0"/>
  </r>
  <r>
    <n v="2"/>
    <n v="4"/>
    <n v="340"/>
    <n v="2"/>
    <x v="0"/>
    <x v="1"/>
    <s v="nontarget"/>
    <s v="Stim2_Set2"/>
    <m/>
    <x v="1"/>
    <x v="1"/>
    <n v="1"/>
    <n v="1"/>
    <n v="0"/>
    <n v="1"/>
  </r>
  <r>
    <n v="2"/>
    <n v="4"/>
    <n v="341"/>
    <n v="1"/>
    <x v="1"/>
    <x v="2"/>
    <s v="switch"/>
    <s v="Stim2_Set2"/>
    <m/>
    <x v="0"/>
    <x v="0"/>
    <n v="0"/>
    <n v="0"/>
    <n v="0"/>
    <n v="0"/>
  </r>
  <r>
    <n v="2"/>
    <n v="4"/>
    <n v="342"/>
    <n v="1"/>
    <x v="1"/>
    <x v="0"/>
    <s v="filler"/>
    <s v="Stim2_Set1"/>
    <m/>
    <x v="0"/>
    <x v="0"/>
    <n v="1"/>
    <n v="0"/>
    <n v="1"/>
    <n v="0"/>
  </r>
  <r>
    <n v="2"/>
    <n v="4"/>
    <n v="343"/>
    <n v="1"/>
    <x v="1"/>
    <x v="1"/>
    <s v="nontarget"/>
    <s v="Stim7_Set2"/>
    <m/>
    <x v="1"/>
    <x v="1"/>
    <n v="1"/>
    <n v="1"/>
    <n v="0"/>
    <n v="1"/>
  </r>
  <r>
    <n v="2"/>
    <n v="4"/>
    <n v="344"/>
    <n v="2"/>
    <x v="0"/>
    <x v="2"/>
    <s v="switch"/>
    <s v="Stim7_Set2"/>
    <m/>
    <x v="0"/>
    <x v="0"/>
    <n v="0"/>
    <n v="0"/>
    <n v="0"/>
    <n v="0"/>
  </r>
  <r>
    <n v="2"/>
    <n v="4"/>
    <n v="345"/>
    <n v="2"/>
    <x v="0"/>
    <x v="1"/>
    <s v="nontarget"/>
    <s v="Stim3_Set2"/>
    <m/>
    <x v="0"/>
    <x v="0"/>
    <n v="1"/>
    <n v="1"/>
    <n v="1"/>
    <n v="0"/>
  </r>
  <r>
    <n v="2"/>
    <n v="4"/>
    <n v="346"/>
    <n v="2"/>
    <x v="0"/>
    <x v="2"/>
    <s v="repeat"/>
    <s v="Stim3_Set2"/>
    <m/>
    <x v="0"/>
    <x v="0"/>
    <n v="1"/>
    <n v="0"/>
    <n v="0"/>
    <n v="0"/>
  </r>
  <r>
    <n v="2"/>
    <n v="4"/>
    <n v="347"/>
    <n v="1"/>
    <x v="1"/>
    <x v="0"/>
    <s v="filler"/>
    <s v="Stim4_Set1"/>
    <m/>
    <x v="0"/>
    <x v="0"/>
    <n v="0"/>
    <n v="0"/>
    <n v="1"/>
    <n v="0"/>
  </r>
  <r>
    <n v="2"/>
    <n v="4"/>
    <n v="348"/>
    <n v="2"/>
    <x v="0"/>
    <x v="1"/>
    <s v="nontarget"/>
    <s v="Stim5_Set2"/>
    <m/>
    <x v="1"/>
    <x v="2"/>
    <n v="0"/>
    <n v="1"/>
    <n v="0"/>
    <n v="1"/>
  </r>
  <r>
    <n v="2"/>
    <n v="4"/>
    <n v="349"/>
    <n v="2"/>
    <x v="0"/>
    <x v="2"/>
    <s v="repeat"/>
    <s v="Stim5_Set2"/>
    <m/>
    <x v="0"/>
    <x v="0"/>
    <n v="1"/>
    <n v="0"/>
    <n v="0"/>
    <n v="0"/>
  </r>
  <r>
    <n v="2"/>
    <n v="4"/>
    <n v="350"/>
    <n v="1"/>
    <x v="1"/>
    <x v="0"/>
    <s v="filler"/>
    <m/>
    <s v="here"/>
    <x v="0"/>
    <x v="0"/>
    <n v="0"/>
    <n v="0"/>
    <n v="1"/>
    <n v="0"/>
  </r>
  <r>
    <n v="2"/>
    <n v="4"/>
    <n v="351"/>
    <n v="2"/>
    <x v="0"/>
    <x v="0"/>
    <s v="filler"/>
    <s v="Stim6_Set1"/>
    <m/>
    <x v="0"/>
    <x v="0"/>
    <n v="0"/>
    <n v="0"/>
    <n v="0"/>
    <n v="1"/>
  </r>
  <r>
    <n v="2"/>
    <n v="4"/>
    <n v="352"/>
    <n v="2"/>
    <x v="0"/>
    <x v="1"/>
    <s v="nontarget"/>
    <s v="Stim1_Set2"/>
    <m/>
    <x v="1"/>
    <x v="1"/>
    <n v="1"/>
    <n v="1"/>
    <n v="0"/>
    <n v="1"/>
  </r>
  <r>
    <n v="2"/>
    <n v="4"/>
    <n v="353"/>
    <n v="1"/>
    <x v="1"/>
    <x v="2"/>
    <s v="switch"/>
    <s v="Stim1_Set2"/>
    <m/>
    <x v="0"/>
    <x v="0"/>
    <n v="0"/>
    <n v="0"/>
    <n v="0"/>
    <n v="0"/>
  </r>
  <r>
    <n v="3"/>
    <n v="4"/>
    <n v="354"/>
    <n v="1"/>
    <x v="1"/>
    <x v="1"/>
    <s v="nontarget"/>
    <s v="Stim5_Set3"/>
    <m/>
    <x v="0"/>
    <x v="0"/>
    <n v="1"/>
    <n v="1"/>
    <n v="1"/>
    <n v="0"/>
  </r>
  <r>
    <n v="3"/>
    <n v="4"/>
    <n v="355"/>
    <n v="2"/>
    <x v="0"/>
    <x v="2"/>
    <s v="switch"/>
    <s v="Stim5_Set3"/>
    <m/>
    <x v="0"/>
    <x v="0"/>
    <n v="0"/>
    <n v="0"/>
    <n v="0"/>
    <n v="0"/>
  </r>
  <r>
    <n v="3"/>
    <n v="4"/>
    <n v="356"/>
    <n v="2"/>
    <x v="0"/>
    <x v="0"/>
    <s v="filler"/>
    <s v="Stim8_Set2"/>
    <m/>
    <x v="0"/>
    <x v="0"/>
    <n v="1"/>
    <n v="0"/>
    <n v="1"/>
    <n v="0"/>
  </r>
  <r>
    <n v="3"/>
    <n v="4"/>
    <n v="357"/>
    <n v="2"/>
    <x v="0"/>
    <x v="1"/>
    <s v="nontarget"/>
    <s v="Stim1_Set3"/>
    <m/>
    <x v="1"/>
    <x v="1"/>
    <n v="1"/>
    <n v="1"/>
    <n v="0"/>
    <n v="1"/>
  </r>
  <r>
    <n v="3"/>
    <n v="4"/>
    <n v="358"/>
    <n v="1"/>
    <x v="1"/>
    <x v="2"/>
    <s v="switch"/>
    <s v="Stim1_Set3"/>
    <m/>
    <x v="0"/>
    <x v="0"/>
    <n v="0"/>
    <n v="0"/>
    <n v="0"/>
    <n v="0"/>
  </r>
  <r>
    <n v="3"/>
    <n v="4"/>
    <n v="359"/>
    <n v="1"/>
    <x v="1"/>
    <x v="0"/>
    <s v="filler"/>
    <s v="Stim4_Set2"/>
    <m/>
    <x v="1"/>
    <x v="1"/>
    <n v="1"/>
    <n v="0"/>
    <n v="1"/>
    <n v="0"/>
  </r>
  <r>
    <n v="3"/>
    <n v="4"/>
    <n v="360"/>
    <n v="1"/>
    <x v="1"/>
    <x v="1"/>
    <s v="nontarget"/>
    <s v="Stim7_Set3"/>
    <m/>
    <x v="1"/>
    <x v="1"/>
    <n v="1"/>
    <n v="1"/>
    <n v="0"/>
    <n v="1"/>
  </r>
  <r>
    <n v="3"/>
    <n v="4"/>
    <n v="361"/>
    <n v="2"/>
    <x v="0"/>
    <x v="2"/>
    <s v="switch"/>
    <s v="Stim7_Set3"/>
    <m/>
    <x v="0"/>
    <x v="0"/>
    <n v="0"/>
    <n v="0"/>
    <n v="0"/>
    <n v="0"/>
  </r>
  <r>
    <n v="3"/>
    <n v="4"/>
    <n v="362"/>
    <n v="1"/>
    <x v="1"/>
    <x v="0"/>
    <s v="filler"/>
    <s v="Stim6_Set2"/>
    <m/>
    <x v="0"/>
    <x v="0"/>
    <n v="0"/>
    <n v="0"/>
    <n v="1"/>
    <n v="0"/>
  </r>
  <r>
    <n v="3"/>
    <n v="4"/>
    <n v="363"/>
    <n v="2"/>
    <x v="0"/>
    <x v="1"/>
    <s v="nontarget"/>
    <s v="Stim3_Set3"/>
    <m/>
    <x v="1"/>
    <x v="2"/>
    <n v="0"/>
    <n v="1"/>
    <n v="0"/>
    <n v="1"/>
  </r>
  <r>
    <n v="3"/>
    <n v="4"/>
    <n v="364"/>
    <n v="2"/>
    <x v="0"/>
    <x v="2"/>
    <s v="repeat"/>
    <s v="Stim3_Set3"/>
    <m/>
    <x v="0"/>
    <x v="0"/>
    <n v="1"/>
    <n v="0"/>
    <n v="0"/>
    <n v="0"/>
  </r>
  <r>
    <n v="3"/>
    <n v="4"/>
    <n v="365"/>
    <n v="2"/>
    <x v="0"/>
    <x v="0"/>
    <s v="filler"/>
    <s v="Stim2_Set2"/>
    <m/>
    <x v="0"/>
    <x v="0"/>
    <n v="1"/>
    <n v="0"/>
    <n v="1"/>
    <n v="0"/>
  </r>
  <r>
    <n v="3"/>
    <n v="4"/>
    <n v="366"/>
    <n v="1"/>
    <x v="1"/>
    <x v="0"/>
    <s v="filler"/>
    <s v="Stim7_Set2"/>
    <m/>
    <x v="1"/>
    <x v="2"/>
    <n v="0"/>
    <n v="0"/>
    <n v="0"/>
    <n v="1"/>
  </r>
  <r>
    <n v="3"/>
    <n v="4"/>
    <n v="367"/>
    <n v="2"/>
    <x v="0"/>
    <x v="1"/>
    <s v="nontarget"/>
    <s v="Stim2_Set3"/>
    <m/>
    <x v="1"/>
    <x v="2"/>
    <n v="0"/>
    <n v="1"/>
    <n v="0"/>
    <n v="1"/>
  </r>
  <r>
    <n v="3"/>
    <n v="4"/>
    <n v="368"/>
    <n v="2"/>
    <x v="0"/>
    <x v="2"/>
    <s v="repeat"/>
    <s v="Stim2_Set3"/>
    <m/>
    <x v="0"/>
    <x v="0"/>
    <n v="1"/>
    <n v="0"/>
    <n v="0"/>
    <n v="0"/>
  </r>
  <r>
    <n v="3"/>
    <n v="4"/>
    <n v="369"/>
    <n v="2"/>
    <x v="0"/>
    <x v="1"/>
    <s v="nontarget"/>
    <s v="Stim8_Set3"/>
    <m/>
    <x v="1"/>
    <x v="1"/>
    <n v="1"/>
    <n v="1"/>
    <n v="1"/>
    <n v="0"/>
  </r>
  <r>
    <n v="3"/>
    <n v="4"/>
    <n v="370"/>
    <n v="1"/>
    <x v="1"/>
    <x v="2"/>
    <s v="switch"/>
    <s v="Stim8_Set3"/>
    <m/>
    <x v="0"/>
    <x v="0"/>
    <n v="0"/>
    <n v="0"/>
    <n v="0"/>
    <n v="0"/>
  </r>
  <r>
    <n v="3"/>
    <n v="4"/>
    <n v="371"/>
    <n v="2"/>
    <x v="0"/>
    <x v="0"/>
    <s v="filler"/>
    <s v="Stim5_Set2"/>
    <m/>
    <x v="0"/>
    <x v="0"/>
    <n v="0"/>
    <n v="0"/>
    <n v="1"/>
    <n v="0"/>
  </r>
  <r>
    <n v="3"/>
    <n v="4"/>
    <n v="372"/>
    <n v="1"/>
    <x v="1"/>
    <x v="0"/>
    <s v="filler"/>
    <s v="Stim3_Set2"/>
    <m/>
    <x v="0"/>
    <x v="0"/>
    <n v="0"/>
    <n v="0"/>
    <n v="0"/>
    <n v="1"/>
  </r>
  <r>
    <n v="3"/>
    <n v="4"/>
    <n v="373"/>
    <n v="1"/>
    <x v="1"/>
    <x v="1"/>
    <s v="nontarget"/>
    <s v="Stim6_Set3"/>
    <m/>
    <x v="0"/>
    <x v="0"/>
    <n v="1"/>
    <n v="1"/>
    <n v="0"/>
    <n v="1"/>
  </r>
  <r>
    <n v="3"/>
    <n v="4"/>
    <n v="374"/>
    <n v="1"/>
    <x v="1"/>
    <x v="2"/>
    <s v="repeat"/>
    <s v="Stim6_Set3"/>
    <m/>
    <x v="0"/>
    <x v="0"/>
    <n v="1"/>
    <n v="0"/>
    <n v="0"/>
    <n v="0"/>
  </r>
  <r>
    <n v="3"/>
    <n v="4"/>
    <n v="375"/>
    <n v="2"/>
    <x v="0"/>
    <x v="0"/>
    <s v="filler"/>
    <s v="Stim1_Set2"/>
    <m/>
    <x v="0"/>
    <x v="0"/>
    <n v="0"/>
    <n v="0"/>
    <n v="1"/>
    <n v="0"/>
  </r>
  <r>
    <n v="3"/>
    <n v="4"/>
    <n v="376"/>
    <n v="1"/>
    <x v="1"/>
    <x v="1"/>
    <s v="nontarget"/>
    <s v="Stim4_Set3"/>
    <m/>
    <x v="1"/>
    <x v="2"/>
    <n v="0"/>
    <n v="1"/>
    <n v="0"/>
    <n v="1"/>
  </r>
  <r>
    <n v="3"/>
    <n v="4"/>
    <n v="377"/>
    <n v="1"/>
    <x v="1"/>
    <x v="2"/>
    <s v="repeat"/>
    <s v="Stim4_Set3"/>
    <m/>
    <x v="0"/>
    <x v="0"/>
    <n v="1"/>
    <n v="0"/>
    <n v="0"/>
    <n v="0"/>
  </r>
  <r>
    <n v="4"/>
    <n v="4"/>
    <n v="378"/>
    <n v="1"/>
    <x v="1"/>
    <x v="0"/>
    <s v="filler"/>
    <s v="Stim1_Set3"/>
    <m/>
    <x v="1"/>
    <x v="1"/>
    <n v="1"/>
    <n v="0"/>
    <n v="1"/>
    <n v="0"/>
  </r>
  <r>
    <n v="4"/>
    <n v="4"/>
    <n v="379"/>
    <n v="2"/>
    <x v="0"/>
    <x v="0"/>
    <s v="filler"/>
    <m/>
    <m/>
    <x v="0"/>
    <x v="0"/>
    <n v="0"/>
    <n v="0"/>
    <n v="0"/>
    <n v="1"/>
  </r>
  <r>
    <n v="4"/>
    <n v="4"/>
    <n v="380"/>
    <n v="2"/>
    <x v="0"/>
    <x v="0"/>
    <s v="filler"/>
    <s v="Stim6_Set3"/>
    <m/>
    <x v="1"/>
    <x v="1"/>
    <n v="1"/>
    <n v="0"/>
    <n v="0"/>
    <n v="1"/>
  </r>
  <r>
    <n v="4"/>
    <n v="4"/>
    <n v="381"/>
    <n v="1"/>
    <x v="1"/>
    <x v="1"/>
    <s v="nontarget"/>
    <s v="Stim6_Set4"/>
    <m/>
    <x v="0"/>
    <x v="0"/>
    <n v="0"/>
    <n v="1"/>
    <n v="0"/>
    <n v="1"/>
  </r>
  <r>
    <n v="4"/>
    <n v="4"/>
    <n v="382"/>
    <n v="1"/>
    <x v="1"/>
    <x v="2"/>
    <s v="repeat"/>
    <s v="Stim6_Set4"/>
    <m/>
    <x v="0"/>
    <x v="0"/>
    <n v="1"/>
    <n v="0"/>
    <n v="0"/>
    <n v="0"/>
  </r>
  <r>
    <n v="4"/>
    <n v="4"/>
    <n v="383"/>
    <n v="1"/>
    <x v="1"/>
    <x v="1"/>
    <s v="nontarget"/>
    <s v="Stim3_Set4"/>
    <m/>
    <x v="1"/>
    <x v="1"/>
    <n v="1"/>
    <n v="1"/>
    <n v="1"/>
    <n v="0"/>
  </r>
  <r>
    <n v="4"/>
    <n v="4"/>
    <n v="384"/>
    <n v="2"/>
    <x v="0"/>
    <x v="2"/>
    <s v="switch"/>
    <s v="Stim3_Set4"/>
    <m/>
    <x v="0"/>
    <x v="0"/>
    <n v="0"/>
    <n v="0"/>
    <n v="0"/>
    <n v="0"/>
  </r>
  <r>
    <n v="4"/>
    <n v="4"/>
    <n v="385"/>
    <n v="1"/>
    <x v="1"/>
    <x v="0"/>
    <s v="filler"/>
    <s v="Stim7_Set3"/>
    <m/>
    <x v="0"/>
    <x v="0"/>
    <n v="0"/>
    <n v="0"/>
    <n v="1"/>
    <n v="0"/>
  </r>
  <r>
    <n v="4"/>
    <n v="4"/>
    <n v="386"/>
    <n v="2"/>
    <x v="0"/>
    <x v="1"/>
    <s v="nontarget"/>
    <s v="Stim5_Set4"/>
    <m/>
    <x v="1"/>
    <x v="2"/>
    <n v="0"/>
    <n v="1"/>
    <n v="0"/>
    <n v="1"/>
  </r>
  <r>
    <n v="4"/>
    <n v="4"/>
    <n v="387"/>
    <n v="2"/>
    <x v="0"/>
    <x v="2"/>
    <s v="repeat"/>
    <s v="Stim5_Set4"/>
    <m/>
    <x v="0"/>
    <x v="0"/>
    <n v="1"/>
    <n v="0"/>
    <n v="0"/>
    <n v="0"/>
  </r>
  <r>
    <n v="4"/>
    <n v="4"/>
    <n v="388"/>
    <n v="2"/>
    <x v="0"/>
    <x v="1"/>
    <s v="nontarget"/>
    <s v="Stim1_Set4"/>
    <m/>
    <x v="0"/>
    <x v="0"/>
    <n v="1"/>
    <n v="1"/>
    <n v="1"/>
    <n v="0"/>
  </r>
  <r>
    <n v="4"/>
    <n v="4"/>
    <n v="389"/>
    <n v="1"/>
    <x v="1"/>
    <x v="2"/>
    <s v="switch"/>
    <s v="Stim1_Set4"/>
    <m/>
    <x v="0"/>
    <x v="0"/>
    <n v="0"/>
    <n v="0"/>
    <n v="0"/>
    <n v="0"/>
  </r>
  <r>
    <n v="4"/>
    <n v="4"/>
    <n v="390"/>
    <n v="2"/>
    <x v="0"/>
    <x v="0"/>
    <s v="filler"/>
    <s v="Stim3_Set3"/>
    <m/>
    <x v="0"/>
    <x v="0"/>
    <n v="0"/>
    <n v="0"/>
    <n v="1"/>
    <n v="0"/>
  </r>
  <r>
    <n v="4"/>
    <n v="4"/>
    <n v="391"/>
    <n v="1"/>
    <x v="1"/>
    <x v="1"/>
    <s v="nontarget"/>
    <s v="Stim4_Set4"/>
    <m/>
    <x v="1"/>
    <x v="2"/>
    <n v="0"/>
    <n v="1"/>
    <n v="0"/>
    <n v="1"/>
  </r>
  <r>
    <n v="4"/>
    <n v="4"/>
    <n v="392"/>
    <n v="2"/>
    <x v="0"/>
    <x v="2"/>
    <s v="switch"/>
    <s v="Stim4_Set4"/>
    <m/>
    <x v="0"/>
    <x v="0"/>
    <n v="0"/>
    <n v="0"/>
    <n v="0"/>
    <n v="0"/>
  </r>
  <r>
    <n v="4"/>
    <n v="4"/>
    <n v="393"/>
    <n v="1"/>
    <x v="1"/>
    <x v="0"/>
    <s v="filler"/>
    <m/>
    <s v="here"/>
    <x v="0"/>
    <x v="0"/>
    <n v="0"/>
    <n v="0"/>
    <n v="1"/>
    <n v="0"/>
  </r>
  <r>
    <n v="4"/>
    <n v="4"/>
    <n v="394"/>
    <n v="2"/>
    <x v="0"/>
    <x v="0"/>
    <s v="filler"/>
    <s v="Stim2_Set3"/>
    <m/>
    <x v="0"/>
    <x v="0"/>
    <n v="0"/>
    <n v="0"/>
    <n v="0"/>
    <n v="1"/>
  </r>
  <r>
    <n v="4"/>
    <n v="4"/>
    <n v="395"/>
    <n v="2"/>
    <x v="0"/>
    <x v="1"/>
    <s v="nontarget"/>
    <s v="Stim7_Set4"/>
    <m/>
    <x v="1"/>
    <x v="1"/>
    <n v="1"/>
    <n v="1"/>
    <n v="0"/>
    <n v="1"/>
  </r>
  <r>
    <n v="4"/>
    <n v="4"/>
    <n v="396"/>
    <n v="2"/>
    <x v="0"/>
    <x v="2"/>
    <s v="repeat"/>
    <s v="Stim7_Set4"/>
    <m/>
    <x v="0"/>
    <x v="0"/>
    <n v="1"/>
    <n v="0"/>
    <n v="0"/>
    <n v="0"/>
  </r>
  <r>
    <n v="4"/>
    <n v="4"/>
    <n v="397"/>
    <n v="1"/>
    <x v="1"/>
    <x v="0"/>
    <s v="filler"/>
    <s v="Stim8_Set3"/>
    <m/>
    <x v="1"/>
    <x v="2"/>
    <n v="0"/>
    <n v="0"/>
    <n v="1"/>
    <n v="0"/>
  </r>
  <r>
    <n v="4"/>
    <n v="4"/>
    <n v="398"/>
    <n v="2"/>
    <x v="0"/>
    <x v="0"/>
    <s v="filler"/>
    <s v="Stim5_Set3"/>
    <m/>
    <x v="0"/>
    <x v="0"/>
    <n v="0"/>
    <n v="0"/>
    <n v="0"/>
    <n v="1"/>
  </r>
  <r>
    <n v="4"/>
    <n v="4"/>
    <n v="399"/>
    <n v="2"/>
    <x v="0"/>
    <x v="1"/>
    <s v="nontarget"/>
    <s v="Stim8_Set4"/>
    <m/>
    <x v="1"/>
    <x v="1"/>
    <n v="1"/>
    <n v="1"/>
    <n v="0"/>
    <n v="1"/>
  </r>
  <r>
    <n v="4"/>
    <n v="4"/>
    <n v="400"/>
    <n v="1"/>
    <x v="1"/>
    <x v="2"/>
    <s v="switch"/>
    <s v="Stim8_Set4"/>
    <m/>
    <x v="0"/>
    <x v="0"/>
    <n v="0"/>
    <n v="0"/>
    <n v="0"/>
    <n v="0"/>
  </r>
  <r>
    <n v="4"/>
    <n v="4"/>
    <n v="401"/>
    <n v="2"/>
    <x v="0"/>
    <x v="0"/>
    <s v="filler"/>
    <m/>
    <s v="here"/>
    <x v="0"/>
    <x v="0"/>
    <n v="0"/>
    <n v="0"/>
    <n v="1"/>
    <n v="0"/>
  </r>
  <r>
    <n v="4"/>
    <n v="4"/>
    <n v="402"/>
    <n v="1"/>
    <x v="1"/>
    <x v="0"/>
    <s v="filler"/>
    <s v="Stim4_Set3"/>
    <m/>
    <x v="0"/>
    <x v="0"/>
    <n v="0"/>
    <n v="0"/>
    <n v="0"/>
    <n v="1"/>
  </r>
  <r>
    <n v="4"/>
    <n v="4"/>
    <n v="403"/>
    <n v="1"/>
    <x v="1"/>
    <x v="1"/>
    <s v="nontarget"/>
    <s v="Stim2_Set4"/>
    <m/>
    <x v="1"/>
    <x v="1"/>
    <n v="1"/>
    <n v="1"/>
    <n v="0"/>
    <n v="1"/>
  </r>
  <r>
    <n v="4"/>
    <n v="4"/>
    <n v="404"/>
    <n v="1"/>
    <x v="1"/>
    <x v="2"/>
    <s v="repeat"/>
    <s v="Stim2_Set4"/>
    <m/>
    <x v="0"/>
    <x v="0"/>
    <n v="1"/>
    <n v="0"/>
    <n v="0"/>
    <n v="0"/>
  </r>
  <r>
    <n v="4"/>
    <n v="4"/>
    <n v="405"/>
    <n v="2"/>
    <x v="0"/>
    <x v="0"/>
    <s v="filler"/>
    <m/>
    <s v="here"/>
    <x v="0"/>
    <x v="0"/>
    <n v="0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36AF35-2736-42CD-9ED7-CADBD338B48E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AI46" firstHeaderRow="1" firstDataRow="2" firstDataCol="1"/>
  <pivotFields count="15">
    <pivotField showAll="0"/>
    <pivotField showAll="0"/>
    <pivotField showAll="0"/>
    <pivotField showAll="0"/>
    <pivotField axis="axisRow" showAll="0">
      <items count="4">
        <item h="1" x="2"/>
        <item x="0"/>
        <item x="1"/>
        <item t="default"/>
      </items>
    </pivotField>
    <pivotField axis="axisRow" showAll="0">
      <items count="5">
        <item h="1" x="3"/>
        <item x="0"/>
        <item x="1"/>
        <item x="2"/>
        <item t="default"/>
      </items>
    </pivotField>
    <pivotField showAll="0"/>
    <pivotField axis="axisCol" dataField="1" showAll="0">
      <items count="34">
        <item x="1"/>
        <item x="17"/>
        <item x="25"/>
        <item x="2"/>
        <item x="3"/>
        <item x="18"/>
        <item x="26"/>
        <item x="4"/>
        <item x="5"/>
        <item x="19"/>
        <item x="27"/>
        <item x="8"/>
        <item x="7"/>
        <item x="20"/>
        <item x="28"/>
        <item x="10"/>
        <item x="9"/>
        <item x="21"/>
        <item x="29"/>
        <item x="6"/>
        <item x="11"/>
        <item x="22"/>
        <item x="30"/>
        <item x="14"/>
        <item x="13"/>
        <item x="23"/>
        <item x="31"/>
        <item x="12"/>
        <item x="16"/>
        <item x="24"/>
        <item x="32"/>
        <item x="1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10"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 t="grand">
      <x/>
    </i>
  </rowItems>
  <colFields count="1">
    <field x="7"/>
  </colFields>
  <col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Count of stimulu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1B35D-6398-4155-8987-86EB70C98A9F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9:E68" firstHeaderRow="1" firstDataRow="3" firstDataCol="1"/>
  <pivotFields count="15">
    <pivotField showAll="0"/>
    <pivotField showAll="0"/>
    <pivotField dataField="1" showAll="0"/>
    <pivotField showAll="0"/>
    <pivotField axis="axisRow" showAll="0">
      <items count="4">
        <item h="1" x="2"/>
        <item x="0"/>
        <item x="1"/>
        <item t="default"/>
      </items>
    </pivotField>
    <pivotField axis="axisRow" showAll="0">
      <items count="5">
        <item h="1" sd="0" x="3"/>
        <item x="0"/>
        <item x="1"/>
        <item h="1" sd="0" x="2"/>
        <item t="default" sd="0"/>
      </items>
    </pivotField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2">
    <field x="4"/>
    <field x="5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9"/>
    <field x="10"/>
  </colFields>
  <colItems count="4">
    <i>
      <x v="1"/>
      <x/>
    </i>
    <i r="1">
      <x v="1"/>
    </i>
    <i t="default">
      <x v="1"/>
    </i>
    <i t="grand">
      <x/>
    </i>
  </colItems>
  <dataFields count="1">
    <dataField name="Count of trial" fld="2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998668-D11C-4F71-B09D-59EFCB538C5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5" firstHeaderRow="1" firstDataRow="1" firstDataCol="1"/>
  <pivotFields count="14">
    <pivotField showAll="0"/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dality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E4FE5-2F40-4628-BF15-2FA5D607F1F9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F56" firstHeaderRow="1" firstDataRow="2" firstDataCol="1"/>
  <pivotFields count="15">
    <pivotField axis="axisRow" showAll="0">
      <items count="6">
        <item x="0"/>
        <item x="1"/>
        <item x="2"/>
        <item x="3"/>
        <item h="1" x="4"/>
        <item t="default"/>
      </items>
    </pivotField>
    <pivotField axis="axisCol" showAll="0">
      <items count="6">
        <item x="0"/>
        <item x="2"/>
        <item x="3"/>
        <item x="4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ial" fld="2" subtotal="count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73660-6690-43EF-B61D-E402C9C1CAB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G19" firstHeaderRow="1" firstDataRow="3" firstDataCol="1" rowPageCount="1" colPageCount="1"/>
  <pivotFields count="14">
    <pivotField showAll="0"/>
    <pivotField showAll="0"/>
    <pivotField showAll="0"/>
    <pivotField showAll="0"/>
    <pivotField axis="axisRow" showAll="0">
      <items count="4">
        <item h="1" x="2"/>
        <item x="0"/>
        <item x="1"/>
        <item t="default"/>
      </items>
    </pivotField>
    <pivotField axis="axisRow" showAll="0">
      <items count="5">
        <item h="1" x="3"/>
        <item x="0"/>
        <item x="1"/>
        <item h="1" x="2"/>
        <item t="default" sd="0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0"/>
    <field x="13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pageFields count="1">
    <pageField fld="12" item="0" hier="-1"/>
  </pageFields>
  <dataFields count="1">
    <dataField name="Count of Previous_modality_same" fld="1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35B4B-9A98-4B11-8A65-F0DEB0AE9AF4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H32" firstHeaderRow="1" firstDataRow="3" firstDataCol="1"/>
  <pivotFields count="15"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5">
        <item h="1" x="3"/>
        <item x="0"/>
        <item x="1"/>
        <item h="1" sd="0" x="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2">
    <field x="5"/>
    <field x="4"/>
  </rowFields>
  <rowItems count="7"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Fields count="2">
    <field x="11"/>
    <field x="1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Count of Previous_modality_same" fld="11" subtotal="count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K1:P33" totalsRowShown="0" headerRowDxfId="107">
  <autoFilter ref="K1:P33" xr:uid="{00000000-0009-0000-0100-000002000000}"/>
  <tableColumns count="6">
    <tableColumn id="1" xr3:uid="{00000000-0010-0000-0000-000001000000}" name="Set"/>
    <tableColumn id="2" xr3:uid="{00000000-0010-0000-0000-000002000000}" name="Stimulus"/>
    <tableColumn id="3" xr3:uid="{00000000-0010-0000-0000-000003000000}" name="(1 1)"/>
    <tableColumn id="4" xr3:uid="{00000000-0010-0000-0000-000004000000}" name="(2 2)"/>
    <tableColumn id="5" xr3:uid="{00000000-0010-0000-0000-000005000000}" name="(1 2)"/>
    <tableColumn id="6" xr3:uid="{00000000-0010-0000-0000-000006000000}" name="(2 1)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I65" totalsRowShown="0" dataDxfId="106">
  <autoFilter ref="A1:I65" xr:uid="{00000000-0009-0000-0100-000009000000}"/>
  <tableColumns count="9">
    <tableColumn id="1" xr3:uid="{00000000-0010-0000-0100-000001000000}" name="Set" dataDxfId="105"/>
    <tableColumn id="2" xr3:uid="{00000000-0010-0000-0100-000002000000}" name="Sequence" dataDxfId="104"/>
    <tableColumn id="3" xr3:uid="{00000000-0010-0000-0100-000003000000}" name="Modality" dataDxfId="103"/>
    <tableColumn id="4" xr3:uid="{00000000-0010-0000-0100-000004000000}" name="Target" dataDxfId="102"/>
    <tableColumn id="5" xr3:uid="{00000000-0010-0000-0100-000005000000}" name="Rep_Sw" dataDxfId="101"/>
    <tableColumn id="6" xr3:uid="{00000000-0010-0000-0100-000006000000}" name="order1" dataDxfId="100"/>
    <tableColumn id="7" xr3:uid="{00000000-0010-0000-0100-000007000000}" name="order2" dataDxfId="99"/>
    <tableColumn id="8" xr3:uid="{00000000-0010-0000-0100-000008000000}" name="order3" dataDxfId="98"/>
    <tableColumn id="9" xr3:uid="{00000000-0010-0000-0100-000009000000}" name="order4" dataDxfId="9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42B03D-9800-4155-9AB2-207F02603594}" name="Table10" displayName="Table10" ref="R5:Z13" totalsRowShown="0" dataDxfId="96">
  <autoFilter ref="R5:Z13" xr:uid="{0342B03D-9800-4155-9AB2-207F02603594}"/>
  <tableColumns count="9">
    <tableColumn id="1" xr3:uid="{DB4DEAC2-3090-40A6-8F4C-92211C3D84A8}" name="Stimulus" dataDxfId="95"/>
    <tableColumn id="2" xr3:uid="{EF2FF2D3-C010-4F29-AF8D-731E64A8F902}" name="Set1" dataDxfId="94"/>
    <tableColumn id="3" xr3:uid="{79C1E502-34EB-4E23-9572-39232AD68EDE}" name="Picture" dataDxfId="93"/>
    <tableColumn id="4" xr3:uid="{A23A4A74-066A-4E8B-B60B-A90654CC4DFA}" name="Set2" dataDxfId="92"/>
    <tableColumn id="5" xr3:uid="{418E56E4-D8A4-4E23-8F37-E2F993EF1BC1}" name="Picture2" dataDxfId="91"/>
    <tableColumn id="6" xr3:uid="{2D9A1D69-4EFB-4017-A040-C2A98A18BE34}" name="Set3" dataDxfId="90"/>
    <tableColumn id="7" xr3:uid="{D8184C92-4570-409F-94AD-EE34EA151BA1}" name="Picture3" dataDxfId="89"/>
    <tableColumn id="8" xr3:uid="{0701D4BF-39BB-4826-9563-AFBA2353E562}" name="Set4" dataDxfId="88"/>
    <tableColumn id="9" xr3:uid="{71DE23C9-5199-4910-8FA2-9EAF93B98B45}" name="Picture4" dataDxfId="87"/>
  </tableColumns>
  <tableStyleInfo name="TableStyleMedium2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F388" totalsRowShown="0" headerRowDxfId="86" dataDxfId="85">
  <autoFilter ref="A1:F388" xr:uid="{00000000-0009-0000-0100-000001000000}"/>
  <tableColumns count="6">
    <tableColumn id="6" xr3:uid="{00000000-0010-0000-0200-000006000000}" name="set" dataDxfId="84"/>
    <tableColumn id="1" xr3:uid="{00000000-0010-0000-0200-000001000000}" name="sequence" dataDxfId="83"/>
    <tableColumn id="5" xr3:uid="{00000000-0010-0000-0200-000005000000}" name="modality" dataDxfId="82"/>
    <tableColumn id="2" xr3:uid="{00000000-0010-0000-0200-000002000000}" name="target" dataDxfId="81"/>
    <tableColumn id="3" xr3:uid="{00000000-0010-0000-0200-000003000000}" name="repSwitch" dataDxfId="80"/>
    <tableColumn id="4" xr3:uid="{00000000-0010-0000-0200-000004000000}" name="stimulus" dataDxfId="79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39" displayName="Table39" ref="A1:F260" totalsRowShown="0" headerRowDxfId="78" headerRowBorderDxfId="77" tableBorderDxfId="76">
  <autoFilter ref="A1:F260" xr:uid="{00000000-0009-0000-0100-000008000000}"/>
  <tableColumns count="6">
    <tableColumn id="1" xr3:uid="{00000000-0010-0000-0300-000001000000}" name="set" dataDxfId="75"/>
    <tableColumn id="2" xr3:uid="{00000000-0010-0000-0300-000002000000}" name="sequence"/>
    <tableColumn id="3" xr3:uid="{00000000-0010-0000-0300-000003000000}" name="modality"/>
    <tableColumn id="4" xr3:uid="{00000000-0010-0000-0300-000004000000}" name="target"/>
    <tableColumn id="5" xr3:uid="{00000000-0010-0000-0300-000005000000}" name="repSwitch" dataDxfId="74"/>
    <tableColumn id="6" xr3:uid="{00000000-0010-0000-0300-000006000000}" name="stimulus" dataDxfId="73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A1:F388" totalsRowShown="0" headerRowDxfId="72" headerRowBorderDxfId="71" tableBorderDxfId="70">
  <autoFilter ref="A1:F388" xr:uid="{00000000-0009-0000-0100-000003000000}"/>
  <tableColumns count="6">
    <tableColumn id="1" xr3:uid="{00000000-0010-0000-0400-000001000000}" name="set" dataDxfId="69"/>
    <tableColumn id="2" xr3:uid="{00000000-0010-0000-0400-000002000000}" name="sequence"/>
    <tableColumn id="3" xr3:uid="{00000000-0010-0000-0400-000003000000}" name="modality"/>
    <tableColumn id="4" xr3:uid="{00000000-0010-0000-0400-000004000000}" name="target"/>
    <tableColumn id="5" xr3:uid="{00000000-0010-0000-0400-000005000000}" name="repSwitch" dataDxfId="68"/>
    <tableColumn id="6" xr3:uid="{00000000-0010-0000-0400-000006000000}" name="stimulus" dataDxfId="67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A1:F388" totalsRowShown="0" headerRowDxfId="66" headerRowBorderDxfId="65" tableBorderDxfId="64">
  <autoFilter ref="A1:F388" xr:uid="{00000000-0009-0000-0100-000004000000}"/>
  <tableColumns count="6">
    <tableColumn id="1" xr3:uid="{00000000-0010-0000-0500-000001000000}" name="set" dataDxfId="63"/>
    <tableColumn id="2" xr3:uid="{00000000-0010-0000-0500-000002000000}" name="sequence"/>
    <tableColumn id="3" xr3:uid="{00000000-0010-0000-0500-000003000000}" name="modality"/>
    <tableColumn id="4" xr3:uid="{00000000-0010-0000-0500-000004000000}" name="target"/>
    <tableColumn id="5" xr3:uid="{00000000-0010-0000-0500-000005000000}" name="repSwitch" dataDxfId="62"/>
    <tableColumn id="6" xr3:uid="{00000000-0010-0000-0500-000006000000}" name="stimulus" dataDxfId="6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1:F388" totalsRowShown="0" headerRowDxfId="60" dataDxfId="58" headerRowBorderDxfId="59" tableBorderDxfId="57">
  <autoFilter ref="A1:F388" xr:uid="{00000000-0009-0000-0100-000005000000}"/>
  <tableColumns count="6">
    <tableColumn id="1" xr3:uid="{00000000-0010-0000-0600-000001000000}" name="set" dataDxfId="56"/>
    <tableColumn id="2" xr3:uid="{00000000-0010-0000-0600-000002000000}" name="sequence" dataDxfId="55"/>
    <tableColumn id="3" xr3:uid="{00000000-0010-0000-0600-000003000000}" name="modality" dataDxfId="54"/>
    <tableColumn id="4" xr3:uid="{00000000-0010-0000-0600-000004000000}" name="target" dataDxfId="53"/>
    <tableColumn id="5" xr3:uid="{00000000-0010-0000-0600-000005000000}" name="repSwitch" dataDxfId="52"/>
    <tableColumn id="6" xr3:uid="{00000000-0010-0000-0600-000006000000}" name="stimulus" dataDxfId="5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A1:F388" totalsRowShown="0" headerRowDxfId="50" headerRowBorderDxfId="49" tableBorderDxfId="48">
  <autoFilter ref="A1:F388" xr:uid="{00000000-0009-0000-0100-000006000000}"/>
  <tableColumns count="6">
    <tableColumn id="1" xr3:uid="{00000000-0010-0000-0700-000001000000}" name="set" dataDxfId="47"/>
    <tableColumn id="2" xr3:uid="{00000000-0010-0000-0700-000002000000}" name="sequence"/>
    <tableColumn id="3" xr3:uid="{00000000-0010-0000-0700-000003000000}" name="modality"/>
    <tableColumn id="4" xr3:uid="{00000000-0010-0000-0700-000004000000}" name="target"/>
    <tableColumn id="5" xr3:uid="{00000000-0010-0000-0700-000005000000}" name="repSwitch" dataDxfId="46"/>
    <tableColumn id="6" xr3:uid="{00000000-0010-0000-0700-000006000000}" name="stimulus" dataDxfId="45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D6C257-174C-4A82-ABA2-779C0EA5FD4F}" name="Table38" displayName="Table38" ref="A1:G394" totalsRowShown="0" headerRowDxfId="44" headerRowBorderDxfId="43" tableBorderDxfId="42">
  <autoFilter ref="A1:G394" xr:uid="{23D6C257-174C-4A82-ABA2-779C0EA5FD4F}"/>
  <tableColumns count="7">
    <tableColumn id="1" xr3:uid="{B01BA1CF-5811-4B7C-90CE-5D71D381F3BE}" name="set" dataDxfId="41"/>
    <tableColumn id="2" xr3:uid="{C37ECE79-97C7-409C-B2AE-53C6180B8462}" name="sequence" dataDxfId="40"/>
    <tableColumn id="3" xr3:uid="{75C3C6C2-919B-4EF1-AAB2-020882C302CF}" name="modality" dataDxfId="39"/>
    <tableColumn id="4" xr3:uid="{CE346D21-E43D-4E7D-A07F-997633A91B51}" name="target" dataDxfId="38"/>
    <tableColumn id="5" xr3:uid="{4E9319E5-B481-4C82-B2FC-A0185DE7BCE2}" name="repSwitch" dataDxfId="37"/>
    <tableColumn id="6" xr3:uid="{AF4A6853-5AC1-4845-BF15-2BBB85A8C289}" name="stimulus" dataDxfId="36"/>
    <tableColumn id="7" xr3:uid="{80A66996-87AA-4D87-9EC0-AF15741078B8}" name="Additions" dataDxfId="35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A93271-1679-4F03-A577-C3CA96325421}" name="Table121413" displayName="Table121413" ref="A1:N436" totalsRowShown="0" headerRowDxfId="34" dataDxfId="33" tableBorderDxfId="32">
  <autoFilter ref="A1:N436" xr:uid="{D2552FFF-BDC0-4E2B-A417-A168567DDF3D}"/>
  <sortState xmlns:xlrd2="http://schemas.microsoft.com/office/spreadsheetml/2017/richdata2" ref="A2:N436">
    <sortCondition ref="F1:F436"/>
  </sortState>
  <tableColumns count="14">
    <tableColumn id="1" xr3:uid="{1B7BFAEB-9CA9-4B7C-8B75-FCB21385F55F}" name="set" dataDxfId="31"/>
    <tableColumn id="14" xr3:uid="{2453B120-7802-4867-9170-606EC13F5E18}" name="block" dataDxfId="30"/>
    <tableColumn id="2" xr3:uid="{AA18A62A-EF7F-4E50-AC15-ACE98E54EAFF}" name="trial" dataDxfId="29"/>
    <tableColumn id="3" xr3:uid="{BA01C578-D552-4454-B58B-0A9AF1318A44}" name="sequence" dataDxfId="28"/>
    <tableColumn id="4" xr3:uid="{6B254096-6D1C-476E-A2A5-7CE1BB2AC8F8}" name="modality" dataDxfId="27"/>
    <tableColumn id="5" xr3:uid="{45DC30B5-95A4-4E03-B308-714ED415CBD5}" name="target" dataDxfId="26"/>
    <tableColumn id="6" xr3:uid="{49E123C1-DDF7-4ABE-8CDE-C8499833A92B}" name="repSwitch" dataDxfId="25"/>
    <tableColumn id="7" xr3:uid="{F00CF350-FE50-43DD-BF40-675F522F87FF}" name="stimulus" dataDxfId="24"/>
    <tableColumn id="8" xr3:uid="{2B82C824-0188-43FB-B1E2-203D70AC9870}" name="Additions" dataDxfId="23"/>
    <tableColumn id="9" xr3:uid="{0D9CBCA0-96C9-4BA6-A520-C96FD35BF88D}" name="baseline" dataDxfId="22"/>
    <tableColumn id="10" xr3:uid="{3E6A3CBB-61B8-45C3-A602-64209B670FB7}" name="Previous_modality_same" dataDxfId="21">
      <calculatedColumnFormula>IF(Table121413[[#This Row],[modality]]=E1,1,0)</calculatedColumnFormula>
    </tableColumn>
    <tableColumn id="11" xr3:uid="{72BBB8A2-FDE1-4818-816B-3A2C78A224C2}" name="Next_item_same_item" dataDxfId="20">
      <calculatedColumnFormula>IF(Table121413[[#This Row],[stimulus]]=H3, 1, 0)</calculatedColumnFormula>
    </tableColumn>
    <tableColumn id="12" xr3:uid="{FA2A8DEF-F76A-4B16-8C55-C4BEEBB77EED}" name="Previous_is_target" dataDxfId="19">
      <calculatedColumnFormula>IF(F1="T",1,0)</calculatedColumnFormula>
    </tableColumn>
    <tableColumn id="13" xr3:uid="{99FF23FE-EDE8-443A-9AD7-1669E1D83EDD}" name="Previous_is_filler" dataDxfId="18">
      <calculatedColumnFormula>IF(F1="F",1,0)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78B8533-75C2-4BC4-8AD8-6184BF2449B7}" name="Table24" displayName="Table24" ref="A1:O26" totalsRowShown="0">
  <autoFilter ref="A1:O26" xr:uid="{F78B8533-75C2-4BC4-8AD8-6184BF2449B7}"/>
  <sortState xmlns:xlrd2="http://schemas.microsoft.com/office/spreadsheetml/2017/richdata2" ref="A2:N26">
    <sortCondition ref="H1:H26"/>
  </sortState>
  <tableColumns count="15">
    <tableColumn id="1" xr3:uid="{3694CEBD-93FE-4AA5-B5E1-BBFE6C86B7FD}" name="set"/>
    <tableColumn id="2" xr3:uid="{4C92CA01-9F0C-495F-994B-1F1C47176960}" name="block"/>
    <tableColumn id="3" xr3:uid="{D88CADF8-E36C-40CE-A8CD-DD1D1A881920}" name="trial"/>
    <tableColumn id="4" xr3:uid="{ED2E4707-CF4B-4498-8C6C-55815D3DA2A2}" name="sequence"/>
    <tableColumn id="5" xr3:uid="{16DE386B-2424-4236-AEA8-6A8F8808D55B}" name="modality"/>
    <tableColumn id="6" xr3:uid="{0C5C3689-4F02-4657-9134-7E75E5C3FA20}" name="target"/>
    <tableColumn id="7" xr3:uid="{78F74628-1160-42FB-9621-729A164020C2}" name="repSwitch"/>
    <tableColumn id="8" xr3:uid="{3546EBA1-E6B5-4AF7-9E55-EC7AFDC5227B}" name="stimulus"/>
    <tableColumn id="9" xr3:uid="{FC367545-00BC-4EBE-925D-F6AB3DA71215}" name="Additions"/>
    <tableColumn id="10" xr3:uid="{E484D20B-3559-4690-8201-B0111B7F9C41}" name="baseline"/>
    <tableColumn id="11" xr3:uid="{54EBA2E2-8225-477F-B5B5-A9853458386A}" name="Previous_modality_same"/>
    <tableColumn id="12" xr3:uid="{E06D382D-AA81-413F-81E8-D82D419CCA31}" name="Next_item_same_item"/>
    <tableColumn id="13" xr3:uid="{EBEC9DBD-66A8-409F-86E6-B220143DE691}" name="Previous_is_target"/>
    <tableColumn id="14" xr3:uid="{DEDFCE8F-538C-4A92-8E30-957555559457}" name="Previous_is_filler"/>
    <tableColumn id="15" xr3:uid="{1F2ACC3C-4CCD-4858-AD72-B29B4E2F2529}" name="Missing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A906BC8-447D-4FE0-BE1D-2A526289ECFC}" name="Table25" displayName="Table25" ref="A1:N20" totalsRowShown="0">
  <autoFilter ref="A1:N20" xr:uid="{1A906BC8-447D-4FE0-BE1D-2A526289ECFC}"/>
  <sortState xmlns:xlrd2="http://schemas.microsoft.com/office/spreadsheetml/2017/richdata2" ref="A2:N20">
    <sortCondition ref="H1:H20"/>
  </sortState>
  <tableColumns count="14">
    <tableColumn id="1" xr3:uid="{B4FB6068-3316-491D-BE03-E33A7D496810}" name="set"/>
    <tableColumn id="2" xr3:uid="{6AAB386A-BB9E-453F-9AD0-53B1B900A10B}" name="block"/>
    <tableColumn id="3" xr3:uid="{2FA8F549-3F6C-4CBA-9EA6-93ED4F7CE69D}" name="trial"/>
    <tableColumn id="4" xr3:uid="{21A76FAA-81F0-44D6-B6CB-7BFC3D5DFD20}" name="sequence"/>
    <tableColumn id="5" xr3:uid="{72DD86AC-A663-430C-978A-492156248518}" name="modality"/>
    <tableColumn id="6" xr3:uid="{7CD17934-E6B5-4415-955F-638820CD32A1}" name="target"/>
    <tableColumn id="7" xr3:uid="{377DB05F-4243-4201-808E-D29AD94BB7B0}" name="repSwitch"/>
    <tableColumn id="8" xr3:uid="{4285DEEB-6303-4AAD-AD95-6D94044A9DC7}" name="stimulus"/>
    <tableColumn id="9" xr3:uid="{50D54A6E-AFE5-4580-B743-54803701CC5D}" name="Additions"/>
    <tableColumn id="10" xr3:uid="{6A3A35FE-E186-4AEF-A342-0E4D00C1B25D}" name="baseline"/>
    <tableColumn id="11" xr3:uid="{F1B1C229-8447-4A10-9C2B-0AB2C705E8F8}" name="Previous_modality_same"/>
    <tableColumn id="12" xr3:uid="{5CE654A3-4E51-44FE-86D8-335010CC5020}" name="Next_item_same_item"/>
    <tableColumn id="13" xr3:uid="{C0B92A3D-B11E-4445-8937-385228C59B38}" name="Previous_is_target"/>
    <tableColumn id="14" xr3:uid="{241485C5-1764-4D51-89EA-8DAFB437FDDA}" name="Previous_is_fille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E1B99E-6A66-4FDA-B74A-00F395EDBA29}" name="Table11" displayName="Table11" ref="A1:N36" totalsRowShown="0">
  <autoFilter ref="A1:N36" xr:uid="{93E1B99E-6A66-4FDA-B74A-00F395EDBA29}"/>
  <sortState xmlns:xlrd2="http://schemas.microsoft.com/office/spreadsheetml/2017/richdata2" ref="A2:N36">
    <sortCondition ref="H1:H36"/>
  </sortState>
  <tableColumns count="14">
    <tableColumn id="1" xr3:uid="{4EED6928-9E14-4559-A95E-95242DD4BA3C}" name="set"/>
    <tableColumn id="2" xr3:uid="{E3A5097B-B474-43DE-A57A-9AADCFB1059E}" name="block"/>
    <tableColumn id="3" xr3:uid="{3F4CD928-6213-47B3-B858-18DBBE08631D}" name="trial"/>
    <tableColumn id="4" xr3:uid="{0826775B-648F-49D9-B3E8-D3552E3F3ED6}" name="sequence"/>
    <tableColumn id="5" xr3:uid="{9B41F2B4-B64F-4F20-9989-365AC9D0463A}" name="modality"/>
    <tableColumn id="6" xr3:uid="{B8F849CF-0BBE-47A1-8AB6-8DCA4D72D70B}" name="target"/>
    <tableColumn id="7" xr3:uid="{2C0238D0-AE84-4C50-9FDF-AA09E811762F}" name="repSwitch"/>
    <tableColumn id="8" xr3:uid="{BD0BC91F-0520-4245-9111-412A9271A374}" name="stimulus"/>
    <tableColumn id="9" xr3:uid="{ADFF70E7-3050-48B4-AC1D-DCF1F93FE33B}" name="Additions"/>
    <tableColumn id="10" xr3:uid="{358FCA62-2C79-4400-88E9-2EB392534148}" name="baseline"/>
    <tableColumn id="11" xr3:uid="{6669A515-4F96-4726-939C-F2D5882B02F2}" name="Previous_modality_same"/>
    <tableColumn id="12" xr3:uid="{FBF86BF6-43A3-4CF0-A048-2AA590408025}" name="Next_item_same_item"/>
    <tableColumn id="13" xr3:uid="{63CE0A1E-8864-49AD-B03D-0C15B0C071A8}" name="Previous_is_target"/>
    <tableColumn id="14" xr3:uid="{BD8F61B1-438A-4A5E-9BD1-726829F5FD3B}" name="Previous_is_filler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C0DE895-C60C-49A3-ADCD-0BB638C21F06}" name="Table26" displayName="Table26" ref="A1:O26" totalsRowShown="0">
  <autoFilter ref="A1:O26" xr:uid="{BC0DE895-C60C-49A3-ADCD-0BB638C21F06}"/>
  <sortState xmlns:xlrd2="http://schemas.microsoft.com/office/spreadsheetml/2017/richdata2" ref="A2:N26">
    <sortCondition ref="H1:H26"/>
  </sortState>
  <tableColumns count="15">
    <tableColumn id="1" xr3:uid="{EEF4AD00-1445-4044-BD3E-DCDF9BF9CE15}" name="set"/>
    <tableColumn id="2" xr3:uid="{2AA4A134-9296-4B0A-BEAC-F43C973D446C}" name="block"/>
    <tableColumn id="3" xr3:uid="{63CED508-1819-4D34-BFFF-8FA19686D541}" name="trial"/>
    <tableColumn id="4" xr3:uid="{3A495DA8-C5A7-44AF-A0B4-F1E6B1F265F7}" name="sequence"/>
    <tableColumn id="5" xr3:uid="{81147402-B0EB-4EEF-A188-ADA1D4341633}" name="modality"/>
    <tableColumn id="6" xr3:uid="{1CC9C25B-F06C-4712-9EA9-CE99C8F34B0B}" name="target"/>
    <tableColumn id="7" xr3:uid="{473A942C-F8CC-4B1C-BD27-D6AF3778E7D7}" name="repSwitch"/>
    <tableColumn id="8" xr3:uid="{1BEE06AB-4057-40EC-BF8F-0A41CE01C14B}" name="stimulus"/>
    <tableColumn id="9" xr3:uid="{D2491702-442E-42B1-9D35-EBE03AF79962}" name="Additions"/>
    <tableColumn id="10" xr3:uid="{1BCDCF25-C634-4789-A09B-14A313969868}" name="baseline"/>
    <tableColumn id="11" xr3:uid="{87F8C061-F617-467C-9DDF-5F7AF3099EA7}" name="Previous_modality_same"/>
    <tableColumn id="12" xr3:uid="{68214BDD-FD18-450E-AB06-07A2F069B356}" name="Next_item_same_item"/>
    <tableColumn id="13" xr3:uid="{00BE76BC-0332-4E57-8E5E-C5E7D7EC2F26}" name="Previous_is_target"/>
    <tableColumn id="14" xr3:uid="{4F224462-EDA5-4CC8-9944-94C72232F7ED}" name="Previous_is_filler"/>
    <tableColumn id="15" xr3:uid="{6DA2989D-1827-404F-80F7-F26C75BB6545}" name="Missing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71C8F99-863A-4B4D-9272-4863DC7881F2}" name="Table27" displayName="Table27" ref="A1:N23" totalsRowShown="0">
  <autoFilter ref="A1:N23" xr:uid="{A71C8F99-863A-4B4D-9272-4863DC7881F2}"/>
  <sortState xmlns:xlrd2="http://schemas.microsoft.com/office/spreadsheetml/2017/richdata2" ref="A2:N23">
    <sortCondition ref="H1:H23"/>
  </sortState>
  <tableColumns count="14">
    <tableColumn id="1" xr3:uid="{29289CE4-0D46-4E79-9F0E-348AB7398952}" name="set"/>
    <tableColumn id="2" xr3:uid="{CB511370-4038-421B-AF9D-78BA73670D9B}" name="block"/>
    <tableColumn id="3" xr3:uid="{9E7AB32C-FC08-4E5C-B307-32548F3AAF0B}" name="trial"/>
    <tableColumn id="4" xr3:uid="{A60B0EE5-0209-4836-AFFE-A7622BE2AD72}" name="sequence"/>
    <tableColumn id="5" xr3:uid="{B6E44172-9B39-4B8A-B8FA-EC21C395CC6E}" name="modality"/>
    <tableColumn id="6" xr3:uid="{03D7EC33-432F-472B-9032-B3A50133D7B3}" name="target"/>
    <tableColumn id="7" xr3:uid="{3D24D8B0-E579-4A4D-811B-F9E480EDBC83}" name="repSwitch"/>
    <tableColumn id="8" xr3:uid="{2758F539-90E5-43FC-AA1C-C65F5F295A00}" name="stimulus"/>
    <tableColumn id="9" xr3:uid="{E750EDE4-BE71-4AC8-B4D6-8212E44D1690}" name="Additions"/>
    <tableColumn id="10" xr3:uid="{B50F346B-88EC-4A19-A211-D48D826BB81C}" name="baseline"/>
    <tableColumn id="11" xr3:uid="{8937D1FB-CA7D-42BA-AB95-B515BD485513}" name="Previous_modality_same"/>
    <tableColumn id="12" xr3:uid="{85140EBB-B120-4033-8FBF-F62246196C80}" name="Next_item_same_item"/>
    <tableColumn id="13" xr3:uid="{F5CD731A-ED8D-4661-96C8-4142A5081FBA}" name="Previous_is_target"/>
    <tableColumn id="14" xr3:uid="{B25898C4-5955-4988-B6F4-73BE3FD118A2}" name="Previous_is_filler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1BE068B-E623-4345-9CD2-2735114C5DCE}" name="Table14" displayName="Table14" ref="A1:N35" totalsRowShown="0">
  <autoFilter ref="A1:N35" xr:uid="{71BE068B-E623-4345-9CD2-2735114C5DCE}"/>
  <sortState xmlns:xlrd2="http://schemas.microsoft.com/office/spreadsheetml/2017/richdata2" ref="A2:N35">
    <sortCondition ref="H1:H35"/>
  </sortState>
  <tableColumns count="14">
    <tableColumn id="1" xr3:uid="{D2508249-FD51-4F7A-B128-FD6F6E7C5DB9}" name="set"/>
    <tableColumn id="2" xr3:uid="{75842584-90B0-49C6-9630-E182B326238C}" name="block"/>
    <tableColumn id="3" xr3:uid="{3DEF492B-930F-4557-8DB6-E9BC490217AC}" name="trial"/>
    <tableColumn id="4" xr3:uid="{0A8602A4-681F-415B-92A2-35BD2039F250}" name="sequence"/>
    <tableColumn id="5" xr3:uid="{77B928A2-12B2-4E57-AFCC-5D7A51F6CF3D}" name="modality"/>
    <tableColumn id="6" xr3:uid="{58B9FF0D-0BB7-4A50-AACC-5DB1975C1BAD}" name="target"/>
    <tableColumn id="7" xr3:uid="{5C32C0D2-C263-4288-95C8-884E830AF2CD}" name="repSwitch"/>
    <tableColumn id="8" xr3:uid="{4C6C1AD4-3D6C-43D8-9492-DB2010C9A7DE}" name="stimulus"/>
    <tableColumn id="9" xr3:uid="{93BC74AD-20CE-4C99-A269-B45784D77BFD}" name="Additions"/>
    <tableColumn id="10" xr3:uid="{5F32C84C-CF95-4054-881F-9B9AB4DDB3C9}" name="baseline"/>
    <tableColumn id="11" xr3:uid="{9DAFF605-2FBF-4880-80CC-30977F62D658}" name="Previous_modality_same"/>
    <tableColumn id="12" xr3:uid="{071ABC7A-7F6D-4F92-A338-850C00408BB8}" name="Next_item_same_item"/>
    <tableColumn id="13" xr3:uid="{1F4D29AC-21F7-4F2D-9463-33D9A7B6D1D2}" name="Previous_is_target"/>
    <tableColumn id="14" xr3:uid="{ADDB3298-D9D5-48A0-BA7D-549813137176}" name="Previous_is_fille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552FFF-BDC0-4E2B-A417-A168567DDF3D}" name="Table1214" displayName="Table1214" ref="A1:O406" totalsRowShown="0" headerRowDxfId="17" dataDxfId="16" tableBorderDxfId="15">
  <autoFilter ref="A1:O406" xr:uid="{D2552FFF-BDC0-4E2B-A417-A168567DDF3D}"/>
  <sortState xmlns:xlrd2="http://schemas.microsoft.com/office/spreadsheetml/2017/richdata2" ref="A2:O406">
    <sortCondition ref="F1:F406"/>
  </sortState>
  <tableColumns count="15">
    <tableColumn id="1" xr3:uid="{F7D7950F-B836-4F76-8498-13902C716179}" name="set" dataDxfId="14"/>
    <tableColumn id="14" xr3:uid="{EAABB95E-54E6-42F6-AE55-5FCED6E2AA90}" name="block" dataDxfId="13"/>
    <tableColumn id="2" xr3:uid="{CE14AF19-6C14-427F-90ED-47B2C5D81D54}" name="trial" dataDxfId="12"/>
    <tableColumn id="3" xr3:uid="{4DF0C9A4-F7D8-45CC-A955-11CEB6BD2D75}" name="sequence" dataDxfId="11"/>
    <tableColumn id="4" xr3:uid="{C0DF72F4-DB15-4892-9DD3-01CFBC5D73F7}" name="modality" dataDxfId="10"/>
    <tableColumn id="5" xr3:uid="{13DFA0FD-B367-45A2-8268-FF88F02F858D}" name="target" dataDxfId="9"/>
    <tableColumn id="6" xr3:uid="{AA44344C-F33A-497C-81FD-D344BE763B6E}" name="repSwitch" dataDxfId="8"/>
    <tableColumn id="7" xr3:uid="{A5A983B3-1228-4C07-AB0D-CC075E393E87}" name="stimulus" dataDxfId="7"/>
    <tableColumn id="8" xr3:uid="{911A8212-5B88-4449-9140-3FBAC4A8EFAE}" name="Additions" dataDxfId="6"/>
    <tableColumn id="9" xr3:uid="{DE315630-84DC-446D-A37F-339904FDB5DE}" name="baseline" dataDxfId="5"/>
    <tableColumn id="15" xr3:uid="{A60465C8-29D7-4BF0-8803-43F7BDBB0C00}" name="baseline_condition" dataDxfId="4"/>
    <tableColumn id="10" xr3:uid="{E2DA50CD-35F5-4708-A878-4725A3FADCED}" name="Previous_modality_same" dataDxfId="3">
      <calculatedColumnFormula>IF(Table1214[[#This Row],[modality]]=E1,1,0)</calculatedColumnFormula>
    </tableColumn>
    <tableColumn id="11" xr3:uid="{0A43332C-8ACB-4A60-B951-83AB20C513D2}" name="Next_item_same_item" dataDxfId="2">
      <calculatedColumnFormula>IF(Table1214[[#This Row],[stimulus]]=H3, 1, 0)</calculatedColumnFormula>
    </tableColumn>
    <tableColumn id="12" xr3:uid="{F2157C8B-4EF3-46AD-B939-7FF3AB891663}" name="Previous_is_target" dataDxfId="1">
      <calculatedColumnFormula>IF(F1="T",1,0)</calculatedColumnFormula>
    </tableColumn>
    <tableColumn id="13" xr3:uid="{418BD6B8-D8BC-4C0F-A670-C61CB801DACE}" name="Previous_is_filler" dataDxfId="0">
      <calculatedColumnFormula>IF(F1="F",1,0)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C08688E-A684-499B-BBE0-2A2E2E737B33}" name="Table28" displayName="Table28" ref="A1:O26" totalsRowShown="0">
  <autoFilter ref="A1:O26" xr:uid="{5C08688E-A684-499B-BBE0-2A2E2E737B33}"/>
  <sortState xmlns:xlrd2="http://schemas.microsoft.com/office/spreadsheetml/2017/richdata2" ref="A2:N26">
    <sortCondition ref="H1:H26"/>
  </sortState>
  <tableColumns count="15">
    <tableColumn id="1" xr3:uid="{D07C5B1D-D1B5-4639-8EFC-F657E5780BC7}" name="set"/>
    <tableColumn id="2" xr3:uid="{9B2C9E16-52FE-43BA-A31F-7CE922D7C398}" name="block"/>
    <tableColumn id="3" xr3:uid="{1A96890F-F662-4D3E-A9EF-420111C7CDB6}" name="trial"/>
    <tableColumn id="4" xr3:uid="{57969701-A1B7-4B5E-A323-B5CAC8CC08C1}" name="sequence"/>
    <tableColumn id="5" xr3:uid="{A6EE7261-A1EA-40D5-9280-3E6B2C35D531}" name="modality"/>
    <tableColumn id="6" xr3:uid="{624B25F3-181A-4D3A-B015-AD23A27794AC}" name="target"/>
    <tableColumn id="7" xr3:uid="{A426108F-FD03-497E-8F29-E0448BA4030A}" name="repSwitch"/>
    <tableColumn id="8" xr3:uid="{40FADD30-BA65-4248-B501-9D1E183246E8}" name="stimulus"/>
    <tableColumn id="9" xr3:uid="{E3047DA6-3DF4-4D83-A19C-39EDAA6659E2}" name="Additions"/>
    <tableColumn id="10" xr3:uid="{04B3FEC1-DD0C-41CE-9A16-FFB70B15B4D6}" name="baseline"/>
    <tableColumn id="11" xr3:uid="{CE9B90E6-A359-44C8-BDFA-F9660D7B8FC0}" name="Previous_modality_same"/>
    <tableColumn id="12" xr3:uid="{764ECFA8-DDF4-452F-B503-EE9898B1BC18}" name="Next_item_same_item"/>
    <tableColumn id="13" xr3:uid="{E8934FE6-D854-440A-930C-61147AEE75DA}" name="Previous_is_target"/>
    <tableColumn id="14" xr3:uid="{D638AA57-0E71-4E42-AD7D-A0097C00F1A0}" name="Previous_is_filler"/>
    <tableColumn id="15" xr3:uid="{DFD31AAE-4D43-4110-9D92-8FB0668A67F2}" name="Missing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79236C1-BEBA-4E17-A4F2-7C8DC8C85B25}" name="Table17" displayName="Table17" ref="A1:N15" totalsRowShown="0">
  <autoFilter ref="A1:N15" xr:uid="{A79236C1-BEBA-4E17-A4F2-7C8DC8C85B25}"/>
  <sortState xmlns:xlrd2="http://schemas.microsoft.com/office/spreadsheetml/2017/richdata2" ref="A2:N15">
    <sortCondition ref="H1:H15"/>
  </sortState>
  <tableColumns count="14">
    <tableColumn id="1" xr3:uid="{F5270176-1BA2-497F-8FCA-67177BF5A754}" name="set"/>
    <tableColumn id="2" xr3:uid="{AEE32B58-0A0E-40EF-B186-4194503647ED}" name="block"/>
    <tableColumn id="3" xr3:uid="{291EB307-2927-4477-9AF3-774C97245AE1}" name="trial"/>
    <tableColumn id="4" xr3:uid="{CB09395A-2048-4AEA-A138-5351E5BA3A41}" name="sequence"/>
    <tableColumn id="5" xr3:uid="{4566ADD0-6C74-40D0-B7E8-9A35BD10A4FA}" name="modality"/>
    <tableColumn id="6" xr3:uid="{8F114A14-537C-4A11-822E-C0E041190892}" name="target"/>
    <tableColumn id="7" xr3:uid="{C8255F31-9CDA-4268-835B-E33ECEFBA4E5}" name="repSwitch"/>
    <tableColumn id="8" xr3:uid="{0B77BDC2-B92E-4F3F-952D-A6C37150FCB8}" name="stimulus"/>
    <tableColumn id="9" xr3:uid="{58DD4789-2C09-4388-8334-3CC141808F62}" name="Additions"/>
    <tableColumn id="10" xr3:uid="{61A14A14-DAD1-4E0A-AA3C-F556F7A0C72D}" name="baseline"/>
    <tableColumn id="11" xr3:uid="{FEB10660-5075-4E43-BCE5-216CA0635488}" name="Previous_modality_same"/>
    <tableColumn id="12" xr3:uid="{89288883-C038-487B-999E-BDA453B20283}" name="Next_item_same_item"/>
    <tableColumn id="13" xr3:uid="{EF3C5770-238B-40AB-A7AE-75F6724FA0F2}" name="Previous_is_target"/>
    <tableColumn id="14" xr3:uid="{EE8CEBAE-7A09-4EEC-8713-48E2203DF00C}" name="Previous_is_fille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8AD272B-8929-4455-A262-75632065E8B5}" name="Table29" displayName="Table29" ref="A1:N3" totalsRowShown="0">
  <autoFilter ref="A1:N3" xr:uid="{98AD272B-8929-4455-A262-75632065E8B5}"/>
  <tableColumns count="14">
    <tableColumn id="1" xr3:uid="{1923F845-A21B-4726-8067-7C169E6CB38D}" name="set"/>
    <tableColumn id="2" xr3:uid="{E1AD5E9A-1616-4B62-9B9A-AFB416010498}" name="block"/>
    <tableColumn id="3" xr3:uid="{E3187820-933F-4DAA-852B-EF62F118E303}" name="trial"/>
    <tableColumn id="4" xr3:uid="{B8171113-C1D8-448D-8CDA-82325AF27B41}" name="sequence"/>
    <tableColumn id="5" xr3:uid="{6CF0B960-2A63-4B8F-840C-758F8999A3B6}" name="modality"/>
    <tableColumn id="6" xr3:uid="{35BD7735-CDC2-4919-B5BE-DD1F8042A0FB}" name="target"/>
    <tableColumn id="7" xr3:uid="{619DE55D-921A-4291-BBDB-B508E65BE065}" name="repSwitch"/>
    <tableColumn id="8" xr3:uid="{A52AF2E9-3037-4B0D-9149-CFE1F3AB72C4}" name="stimulus"/>
    <tableColumn id="9" xr3:uid="{45E03E89-67CB-466B-8E2E-2062A10F6A05}" name="Additions"/>
    <tableColumn id="10" xr3:uid="{2A21F51A-2C87-4A0E-80B7-9AB785CE36FF}" name="baseline"/>
    <tableColumn id="11" xr3:uid="{6CC4DEC3-B65C-4A4D-83DD-C20ADDE7883B}" name="Previous_modality_same"/>
    <tableColumn id="12" xr3:uid="{FC787A26-D7F5-47CA-B673-65702D0E964B}" name="Next_item_same_item"/>
    <tableColumn id="13" xr3:uid="{09225985-7A16-465A-A20E-D2C5554D6981}" name="Previous_is_target"/>
    <tableColumn id="14" xr3:uid="{BF4DFEAC-2633-4B5D-A2FD-05ED137F366F}" name="Previous_is_filler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6B3CD5-FEE5-4FE3-9DE1-808DEE3BA05C}" name="Table31" displayName="Table31" ref="A1:O17" totalsRowShown="0">
  <autoFilter ref="A1:O17" xr:uid="{576B3CD5-FEE5-4FE3-9DE1-808DEE3BA05C}"/>
  <sortState xmlns:xlrd2="http://schemas.microsoft.com/office/spreadsheetml/2017/richdata2" ref="A2:O17">
    <sortCondition ref="H1:H17"/>
  </sortState>
  <tableColumns count="15">
    <tableColumn id="1" xr3:uid="{E094C28D-5A80-49B5-B76F-53A89ABE5252}" name="set"/>
    <tableColumn id="2" xr3:uid="{6CD1F4AD-7E5E-4EAB-909A-4DF46DE5841E}" name="block"/>
    <tableColumn id="3" xr3:uid="{45BB3538-5424-43BC-9252-58427AD138A8}" name="trial"/>
    <tableColumn id="4" xr3:uid="{18EE8154-634C-4AD3-BBCE-6AF1B7C3911C}" name="sequence"/>
    <tableColumn id="5" xr3:uid="{E88E4DB7-03ED-427F-9D06-7C729EF6894F}" name="modality"/>
    <tableColumn id="6" xr3:uid="{8B505DE0-08E9-48FD-823D-F45C304DF7EB}" name="target"/>
    <tableColumn id="7" xr3:uid="{EFE53A45-256E-473C-810E-38CCB9962BC3}" name="repSwitch"/>
    <tableColumn id="8" xr3:uid="{FED552B7-E22C-411B-9048-18C145B337A2}" name="stimulus"/>
    <tableColumn id="9" xr3:uid="{3A14B301-F7A2-4E0D-AA44-6A3ABEA7F2AE}" name="Additions"/>
    <tableColumn id="10" xr3:uid="{F8C7CFFB-EA0F-4F40-87FF-F499093B718D}" name="baseline"/>
    <tableColumn id="11" xr3:uid="{4C16EA5F-C4A1-4F09-8411-6F69F102EFAA}" name="baseline_condition"/>
    <tableColumn id="12" xr3:uid="{CDFD36AF-4FC8-4493-8BF4-3865AFE5FEE5}" name="Previous_modality_same"/>
    <tableColumn id="13" xr3:uid="{50D51EAC-EC76-4DCF-B029-0B2DDF390558}" name="Next_item_same_item"/>
    <tableColumn id="14" xr3:uid="{7FBF33B8-1C50-45F0-8CCB-4700D2E88A1F}" name="Previous_is_target"/>
    <tableColumn id="15" xr3:uid="{E8C48649-6DC5-41BB-B748-C58AFB2B4A9B}" name="Previous_is_fill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1AA30FD-BF2E-47BA-82F4-8B2B99607389}" name="Table15" displayName="Table15" ref="A1:N17" totalsRowShown="0">
  <autoFilter ref="A1:N17" xr:uid="{A1AA30FD-BF2E-47BA-82F4-8B2B99607389}"/>
  <sortState xmlns:xlrd2="http://schemas.microsoft.com/office/spreadsheetml/2017/richdata2" ref="A2:N17">
    <sortCondition ref="H1:H17"/>
  </sortState>
  <tableColumns count="14">
    <tableColumn id="1" xr3:uid="{7D7CD676-2EEC-4AB6-972A-F1D83C7F8F06}" name="set"/>
    <tableColumn id="2" xr3:uid="{AD82F3AC-4386-42D1-B66B-0DD6ADA103C5}" name="block"/>
    <tableColumn id="3" xr3:uid="{EAC93BF9-74D9-4C29-AE50-63520D42E54C}" name="trial"/>
    <tableColumn id="4" xr3:uid="{FBF93DC5-0CB4-4C38-B714-96EFCE4344CC}" name="sequence"/>
    <tableColumn id="5" xr3:uid="{13D9C495-B942-439F-A7C0-E41907626E74}" name="modality"/>
    <tableColumn id="6" xr3:uid="{D59E4510-D177-4A99-81FA-3A719D6F3C29}" name="target"/>
    <tableColumn id="7" xr3:uid="{D480D79B-4364-472A-B520-0E89B26E8912}" name="repSwitch"/>
    <tableColumn id="8" xr3:uid="{EBF4D5D8-A88D-468F-9746-530FB69937E0}" name="stimulus"/>
    <tableColumn id="9" xr3:uid="{BE976607-502B-43B5-9FD5-6605C1A4AF60}" name="Additions"/>
    <tableColumn id="10" xr3:uid="{4572C931-997D-4213-9B04-FC9BDC13879B}" name="baseline"/>
    <tableColumn id="11" xr3:uid="{E7EC5FA8-AA03-4C67-A0BE-68792F80D510}" name="Previous_modality_same"/>
    <tableColumn id="12" xr3:uid="{239B30FB-3B62-4D02-BE24-8239B37380F2}" name="Next_item_same_item"/>
    <tableColumn id="13" xr3:uid="{CE2BD842-5197-403D-8E25-477DFE3B67B6}" name="Previous_is_target"/>
    <tableColumn id="14" xr3:uid="{F3B2CAF3-6FB4-4434-A6D6-2ECA79D7F6DA}" name="Previous_is_filler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F19C652-7F45-41A7-BEB1-5E3581BB6C22}" name="Table30" displayName="Table30" ref="A1:O26" totalsRowShown="0">
  <autoFilter ref="A1:O26" xr:uid="{4F19C652-7F45-41A7-BEB1-5E3581BB6C22}"/>
  <sortState xmlns:xlrd2="http://schemas.microsoft.com/office/spreadsheetml/2017/richdata2" ref="A2:N26">
    <sortCondition ref="H1:H26"/>
  </sortState>
  <tableColumns count="15">
    <tableColumn id="1" xr3:uid="{534D7FF7-D7A3-4D89-BC20-6DFA02429809}" name="set"/>
    <tableColumn id="2" xr3:uid="{F161EC60-3E25-4D36-AD61-78D1251E55E8}" name="block"/>
    <tableColumn id="3" xr3:uid="{6F3873B4-309B-4A77-A06B-C54287BCC0C6}" name="trial"/>
    <tableColumn id="4" xr3:uid="{349FEFD8-0398-46A7-877E-2A5538A439EA}" name="sequence"/>
    <tableColumn id="5" xr3:uid="{2E6F75F0-C1B7-4A57-B09B-F9D50EE76EDD}" name="modality"/>
    <tableColumn id="6" xr3:uid="{50AD6DB8-9585-4B42-8A2F-A9D5ED456514}" name="target"/>
    <tableColumn id="7" xr3:uid="{76017231-40AA-456F-94E8-16B7565424B0}" name="repSwitch"/>
    <tableColumn id="8" xr3:uid="{3E4D047E-D47B-46F2-819D-A00792791948}" name="stimulus"/>
    <tableColumn id="9" xr3:uid="{25FFE2E5-6FF8-4C0C-87AF-C7FF9F0C8D0A}" name="Additions"/>
    <tableColumn id="10" xr3:uid="{C9F26CB4-C32A-441B-BA51-D2EE7348B7A7}" name="baseline"/>
    <tableColumn id="11" xr3:uid="{11752381-5411-4B10-A18A-AE1CE8ED8320}" name="Previous_modality_same"/>
    <tableColumn id="12" xr3:uid="{FB1117DB-33E0-4A09-B17A-BA59B4EC0168}" name="Next_item_same_item"/>
    <tableColumn id="13" xr3:uid="{0E792CF1-BCB9-4C58-A039-F9D3F6406A23}" name="Previous_is_target"/>
    <tableColumn id="14" xr3:uid="{305D1E5B-DD84-4658-9624-D7AF112EE858}" name="Previous_is_filler"/>
    <tableColumn id="15" xr3:uid="{7EE8A29F-3027-4F82-BA67-6C1A1C1BA90A}" name="Missing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F91B09E-47EF-4281-803A-4D5B71F02702}" name="Table18" displayName="Table18" ref="A1:N15" totalsRowShown="0">
  <autoFilter ref="A1:N15" xr:uid="{EF91B09E-47EF-4281-803A-4D5B71F02702}"/>
  <sortState xmlns:xlrd2="http://schemas.microsoft.com/office/spreadsheetml/2017/richdata2" ref="A2:N15">
    <sortCondition ref="H1:H15"/>
  </sortState>
  <tableColumns count="14">
    <tableColumn id="1" xr3:uid="{5FA1FDBA-757D-40E3-975D-ECEAFA2C0FAC}" name="set"/>
    <tableColumn id="2" xr3:uid="{0869D731-E8AB-46FA-8A09-4CD067312A41}" name="block"/>
    <tableColumn id="3" xr3:uid="{23ADD527-59B8-497B-AC7D-30D18FAA4418}" name="trial"/>
    <tableColumn id="4" xr3:uid="{33490297-B43B-40BD-9250-8BD97F379F06}" name="sequence"/>
    <tableColumn id="5" xr3:uid="{76230965-6613-49B1-94C1-1779B504E08F}" name="modality"/>
    <tableColumn id="6" xr3:uid="{B288DADE-A169-4E22-A9AC-20BF1CB856E2}" name="target"/>
    <tableColumn id="7" xr3:uid="{C8E21679-94E6-42B3-80D4-5A7EEA7C8D8F}" name="repSwitch"/>
    <tableColumn id="8" xr3:uid="{403732BD-472D-48F5-ABFB-7E20D9FCF2AA}" name="stimulus"/>
    <tableColumn id="9" xr3:uid="{D2E16FAF-B8BA-481F-A7DF-ED7BD03F6084}" name="Additions"/>
    <tableColumn id="10" xr3:uid="{8FE8A168-4F9C-4817-B3C2-1D5E883C78A3}" name="baseline"/>
    <tableColumn id="11" xr3:uid="{5F575D84-3658-4422-A023-C30D0C83EF1B}" name="Previous_modality_same"/>
    <tableColumn id="12" xr3:uid="{62FBAC14-1A31-4EF7-B2DB-A6F5230E7ECD}" name="Next_item_same_item"/>
    <tableColumn id="13" xr3:uid="{6218452A-3894-4180-B1F5-FE75C27056F6}" name="Previous_is_target"/>
    <tableColumn id="14" xr3:uid="{2CA94830-E948-43BA-8CC9-35B5CF52B289}" name="Previous_is_filler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F7F5BC7-9ED2-44B3-A3E0-C18792375008}" name="Table20" displayName="Table20" ref="A1:O4" totalsRowShown="0">
  <autoFilter ref="A1:O4" xr:uid="{6F7F5BC7-9ED2-44B3-A3E0-C18792375008}"/>
  <tableColumns count="15">
    <tableColumn id="1" xr3:uid="{073131BB-C6B7-42D9-9F94-B7B15CC782D3}" name="set"/>
    <tableColumn id="2" xr3:uid="{06B7D4B0-F227-41AB-B7EB-445A2C5BF2B2}" name="block"/>
    <tableColumn id="3" xr3:uid="{5AAE7BC6-047B-4807-98BF-E7F1CEEDDEDF}" name="trial"/>
    <tableColumn id="4" xr3:uid="{D3642EEE-9365-47FE-85FF-96AAC73D4F64}" name="sequence"/>
    <tableColumn id="5" xr3:uid="{710014FB-B70F-47F4-AF21-9F7002B2441B}" name="modality"/>
    <tableColumn id="6" xr3:uid="{4A8A6F40-8FCD-4F82-932A-EC8458E99D9E}" name="target"/>
    <tableColumn id="7" xr3:uid="{98F12E13-21D0-41FC-800A-D097C921344E}" name="repSwitch"/>
    <tableColumn id="8" xr3:uid="{0C6C2AF7-61F0-4C8E-A38A-DD585AD9E78B}" name="stimulus"/>
    <tableColumn id="9" xr3:uid="{BA16833C-1B00-4C44-B65C-7000CC4B3232}" name="Additions"/>
    <tableColumn id="10" xr3:uid="{0143E91C-DD4B-4BC0-B881-C5F5589A8245}" name="baseline"/>
    <tableColumn id="11" xr3:uid="{EFC1DD7A-D173-4E78-9315-7A140B2311C0}" name="baseline_condition"/>
    <tableColumn id="12" xr3:uid="{4E120F9E-4FF8-4593-ABCD-787F898B5938}" name="Previous_modality_same"/>
    <tableColumn id="13" xr3:uid="{359791CF-8F4D-4C8A-8920-751B3FEA205F}" name="Next_item_same_item"/>
    <tableColumn id="14" xr3:uid="{5BF66672-637F-4998-A019-D829E249E5FF}" name="Previous_is_target"/>
    <tableColumn id="15" xr3:uid="{95093D23-264B-4647-8038-F2C7B674B579}" name="Previous_is_filler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B77DA8E-D177-42B5-97DC-316F77F40103}" name="Table16" displayName="Table16" ref="A1:N16" totalsRowShown="0">
  <autoFilter ref="A1:N16" xr:uid="{9B77DA8E-D177-42B5-97DC-316F77F40103}"/>
  <sortState xmlns:xlrd2="http://schemas.microsoft.com/office/spreadsheetml/2017/richdata2" ref="A2:N16">
    <sortCondition ref="H1:H16"/>
  </sortState>
  <tableColumns count="14">
    <tableColumn id="1" xr3:uid="{4180C7F5-7D81-4BE0-B8D3-B61DD80ED9A1}" name="set"/>
    <tableColumn id="2" xr3:uid="{C6C4355B-CCC8-43A5-B88D-B9EDEA557BF6}" name="block"/>
    <tableColumn id="3" xr3:uid="{D0105063-C21F-4490-9B43-3DBDB218D201}" name="trial"/>
    <tableColumn id="4" xr3:uid="{B0BDE022-C26B-4C34-BBD3-6E149544A124}" name="sequence"/>
    <tableColumn id="5" xr3:uid="{30FD046D-3988-4CE8-B3BD-70074CD973B0}" name="modality"/>
    <tableColumn id="6" xr3:uid="{2EFABDF8-1B6C-48A1-BCEA-34A60D4529FC}" name="target"/>
    <tableColumn id="7" xr3:uid="{8248F905-90FA-4B22-97F8-AAF9AED905E3}" name="repSwitch"/>
    <tableColumn id="8" xr3:uid="{9DAE78BC-BFFC-4299-9376-BCD655D0F077}" name="stimulus"/>
    <tableColumn id="9" xr3:uid="{983FE1D9-817E-4E46-AB07-1FA631A52027}" name="Additions"/>
    <tableColumn id="10" xr3:uid="{984D4539-1064-4489-9738-2E0D7866CFB1}" name="baseline"/>
    <tableColumn id="11" xr3:uid="{585FBCDB-EDBA-436D-933F-8B3CD78E806B}" name="Previous_modality_same"/>
    <tableColumn id="12" xr3:uid="{37BC6D34-69C8-4957-AC73-18ED351133F7}" name="Next_item_same_item"/>
    <tableColumn id="13" xr3:uid="{E8C1D24D-4065-4AA1-9F0D-AAC0D0080E68}" name="Previous_is_target"/>
    <tableColumn id="14" xr3:uid="{95AB9FC5-F7EC-4188-BC51-4913992F867C}" name="Previous_is_fi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5"/>
  <sheetViews>
    <sheetView tabSelected="1" topLeftCell="I1" zoomScale="83" zoomScaleNormal="100" workbookViewId="0">
      <selection activeCell="AB4" sqref="AB4"/>
    </sheetView>
  </sheetViews>
  <sheetFormatPr defaultRowHeight="14.4" x14ac:dyDescent="0.3"/>
  <cols>
    <col min="1" max="1" width="8.88671875" style="5"/>
    <col min="2" max="2" width="11.44140625" style="5" customWidth="1"/>
    <col min="3" max="3" width="10.6640625" style="5" customWidth="1"/>
    <col min="4" max="4" width="8.88671875" style="5"/>
    <col min="5" max="5" width="10" style="5" customWidth="1"/>
    <col min="6" max="9" width="8.88671875" style="5"/>
    <col min="12" max="12" width="16" bestFit="1" customWidth="1"/>
    <col min="13" max="16" width="8.33203125" bestFit="1" customWidth="1"/>
    <col min="17" max="17" width="21.5546875" customWidth="1"/>
    <col min="18" max="18" width="10.33203125" customWidth="1"/>
    <col min="22" max="22" width="9.77734375" customWidth="1"/>
    <col min="24" max="24" width="9.77734375" customWidth="1"/>
    <col min="26" max="26" width="9.77734375" customWidth="1"/>
    <col min="28" max="28" width="9" bestFit="1" customWidth="1"/>
  </cols>
  <sheetData>
    <row r="1" spans="1:32" x14ac:dyDescent="0.3">
      <c r="A1" s="5" t="s">
        <v>20</v>
      </c>
      <c r="B1" s="5" t="s">
        <v>101</v>
      </c>
      <c r="C1" s="5" t="s">
        <v>23</v>
      </c>
      <c r="D1" s="5" t="s">
        <v>22</v>
      </c>
      <c r="E1" s="5" t="s">
        <v>24</v>
      </c>
      <c r="F1" s="5" t="s">
        <v>95</v>
      </c>
      <c r="G1" s="5" t="s">
        <v>96</v>
      </c>
      <c r="H1" s="5" t="s">
        <v>97</v>
      </c>
      <c r="I1" s="5" t="s">
        <v>98</v>
      </c>
      <c r="K1" s="3" t="s">
        <v>20</v>
      </c>
      <c r="L1" s="3" t="s">
        <v>28</v>
      </c>
      <c r="M1" s="3" t="s">
        <v>86</v>
      </c>
      <c r="N1" s="3" t="s">
        <v>87</v>
      </c>
      <c r="O1" s="3" t="s">
        <v>88</v>
      </c>
      <c r="P1" s="3" t="s">
        <v>89</v>
      </c>
      <c r="Q1" s="3"/>
    </row>
    <row r="2" spans="1:32" x14ac:dyDescent="0.3">
      <c r="A2" s="6">
        <v>1</v>
      </c>
      <c r="B2" s="107">
        <v>2</v>
      </c>
      <c r="C2" s="107" t="str">
        <f>IF(B2, "speak", "type")</f>
        <v>speak</v>
      </c>
      <c r="D2" s="5" t="s">
        <v>0</v>
      </c>
      <c r="F2" s="107" t="s">
        <v>1</v>
      </c>
      <c r="G2" s="107" t="s">
        <v>4</v>
      </c>
      <c r="H2" s="107" t="s">
        <v>7</v>
      </c>
      <c r="I2" s="107" t="s">
        <v>5</v>
      </c>
      <c r="J2" s="2"/>
      <c r="K2">
        <v>1</v>
      </c>
      <c r="L2">
        <v>1</v>
      </c>
      <c r="M2" s="16"/>
      <c r="N2" s="14"/>
      <c r="O2" s="16"/>
      <c r="P2" s="16"/>
    </row>
    <row r="3" spans="1:32" x14ac:dyDescent="0.3">
      <c r="A3" s="6">
        <v>1</v>
      </c>
      <c r="B3" s="107">
        <v>2</v>
      </c>
      <c r="C3" s="107" t="str">
        <f t="shared" ref="C3:C17" si="0">IF(B3, "speak", "type")</f>
        <v>speak</v>
      </c>
      <c r="D3" s="5" t="s">
        <v>40</v>
      </c>
      <c r="E3" s="5" t="s">
        <v>9</v>
      </c>
      <c r="F3" s="108" t="s">
        <v>1</v>
      </c>
      <c r="G3" s="107" t="s">
        <v>4</v>
      </c>
      <c r="H3" s="107" t="s">
        <v>7</v>
      </c>
      <c r="I3" s="107" t="s">
        <v>5</v>
      </c>
      <c r="J3" s="2"/>
      <c r="K3">
        <v>1</v>
      </c>
      <c r="L3">
        <v>2</v>
      </c>
      <c r="M3" s="16"/>
      <c r="N3" s="14"/>
      <c r="O3" s="16"/>
      <c r="P3" s="16"/>
      <c r="R3" t="s">
        <v>21</v>
      </c>
      <c r="AB3" t="s">
        <v>185</v>
      </c>
    </row>
    <row r="4" spans="1:32" x14ac:dyDescent="0.3">
      <c r="A4" s="6">
        <v>1</v>
      </c>
      <c r="B4" s="107">
        <v>2</v>
      </c>
      <c r="C4" s="107" t="str">
        <f t="shared" si="0"/>
        <v>speak</v>
      </c>
      <c r="D4" s="5" t="s">
        <v>0</v>
      </c>
      <c r="F4" s="107" t="s">
        <v>2</v>
      </c>
      <c r="G4" s="107" t="s">
        <v>3</v>
      </c>
      <c r="H4" s="107" t="s">
        <v>6</v>
      </c>
      <c r="I4" s="107" t="s">
        <v>8</v>
      </c>
      <c r="J4" s="2"/>
      <c r="K4">
        <v>1</v>
      </c>
      <c r="L4">
        <v>3</v>
      </c>
      <c r="M4" s="16"/>
      <c r="N4" s="14"/>
      <c r="O4" s="16"/>
      <c r="P4" s="16"/>
      <c r="AB4" t="s">
        <v>84</v>
      </c>
    </row>
    <row r="5" spans="1:32" x14ac:dyDescent="0.3">
      <c r="A5" s="6">
        <v>1</v>
      </c>
      <c r="B5" s="107">
        <v>2</v>
      </c>
      <c r="C5" s="107" t="str">
        <f t="shared" si="0"/>
        <v>speak</v>
      </c>
      <c r="D5" s="5" t="s">
        <v>40</v>
      </c>
      <c r="E5" s="5" t="s">
        <v>9</v>
      </c>
      <c r="F5" s="107" t="s">
        <v>2</v>
      </c>
      <c r="G5" s="107" t="s">
        <v>3</v>
      </c>
      <c r="H5" s="107" t="s">
        <v>6</v>
      </c>
      <c r="I5" s="107" t="s">
        <v>8</v>
      </c>
      <c r="J5" s="2"/>
      <c r="K5">
        <v>1</v>
      </c>
      <c r="L5">
        <v>4</v>
      </c>
      <c r="M5" s="16"/>
      <c r="N5" s="16"/>
      <c r="O5" s="16"/>
      <c r="P5" s="16"/>
      <c r="R5" t="s">
        <v>28</v>
      </c>
      <c r="S5" s="1" t="s">
        <v>14</v>
      </c>
      <c r="T5" t="s">
        <v>120</v>
      </c>
      <c r="U5" s="1" t="s">
        <v>15</v>
      </c>
      <c r="V5" t="s">
        <v>129</v>
      </c>
      <c r="W5" s="1" t="s">
        <v>16</v>
      </c>
      <c r="X5" t="s">
        <v>130</v>
      </c>
      <c r="Y5" s="1" t="s">
        <v>17</v>
      </c>
      <c r="Z5" t="s">
        <v>131</v>
      </c>
      <c r="AB5" t="s">
        <v>27</v>
      </c>
    </row>
    <row r="6" spans="1:32" x14ac:dyDescent="0.3">
      <c r="A6" s="6">
        <v>1</v>
      </c>
      <c r="B6" s="107">
        <v>2</v>
      </c>
      <c r="C6" s="107" t="str">
        <f t="shared" si="0"/>
        <v>speak</v>
      </c>
      <c r="D6" s="5" t="s">
        <v>0</v>
      </c>
      <c r="F6" s="107" t="s">
        <v>3</v>
      </c>
      <c r="G6" s="107" t="s">
        <v>6</v>
      </c>
      <c r="H6" s="107" t="s">
        <v>8</v>
      </c>
      <c r="I6" s="107" t="s">
        <v>7</v>
      </c>
      <c r="J6" s="2"/>
      <c r="K6">
        <v>1</v>
      </c>
      <c r="L6">
        <v>5</v>
      </c>
      <c r="M6" s="16"/>
      <c r="N6" s="16"/>
      <c r="O6" s="16"/>
      <c r="P6" s="16"/>
      <c r="R6" s="4" t="s">
        <v>1</v>
      </c>
      <c r="S6" s="4" t="s">
        <v>105</v>
      </c>
      <c r="T6" s="50">
        <v>178</v>
      </c>
      <c r="U6" s="4" t="s">
        <v>104</v>
      </c>
      <c r="V6" s="42">
        <v>175</v>
      </c>
      <c r="W6" s="4" t="s">
        <v>115</v>
      </c>
      <c r="X6" s="42">
        <v>576</v>
      </c>
      <c r="Y6" s="4" t="s">
        <v>109</v>
      </c>
      <c r="Z6" s="4">
        <v>319</v>
      </c>
      <c r="AB6" t="s">
        <v>85</v>
      </c>
    </row>
    <row r="7" spans="1:32" x14ac:dyDescent="0.3">
      <c r="A7" s="6">
        <v>1</v>
      </c>
      <c r="B7" s="107">
        <v>1</v>
      </c>
      <c r="C7" s="107" t="s">
        <v>81</v>
      </c>
      <c r="D7" s="5" t="s">
        <v>40</v>
      </c>
      <c r="E7" s="5" t="s">
        <v>10</v>
      </c>
      <c r="F7" s="107" t="s">
        <v>3</v>
      </c>
      <c r="G7" s="107" t="s">
        <v>6</v>
      </c>
      <c r="H7" s="107" t="s">
        <v>8</v>
      </c>
      <c r="I7" s="107" t="s">
        <v>7</v>
      </c>
      <c r="J7" s="2"/>
      <c r="K7">
        <v>1</v>
      </c>
      <c r="L7">
        <v>6</v>
      </c>
      <c r="M7" s="16"/>
      <c r="N7" s="16"/>
      <c r="O7" s="16"/>
      <c r="P7" s="16"/>
      <c r="R7" s="7" t="s">
        <v>2</v>
      </c>
      <c r="S7" s="7" t="s">
        <v>111</v>
      </c>
      <c r="T7" s="51">
        <v>381</v>
      </c>
      <c r="U7" s="7" t="s">
        <v>103</v>
      </c>
      <c r="V7" s="36">
        <v>152</v>
      </c>
      <c r="W7" s="7" t="s">
        <v>38</v>
      </c>
      <c r="X7" s="36">
        <v>610</v>
      </c>
      <c r="Y7" s="7" t="s">
        <v>117</v>
      </c>
      <c r="Z7" s="7">
        <v>719</v>
      </c>
    </row>
    <row r="8" spans="1:32" x14ac:dyDescent="0.3">
      <c r="A8" s="6">
        <v>1</v>
      </c>
      <c r="B8" s="107">
        <v>1</v>
      </c>
      <c r="C8" s="107" t="s">
        <v>81</v>
      </c>
      <c r="D8" s="5" t="s">
        <v>0</v>
      </c>
      <c r="F8" s="107" t="s">
        <v>4</v>
      </c>
      <c r="G8" s="107" t="s">
        <v>2</v>
      </c>
      <c r="H8" s="107" t="s">
        <v>1</v>
      </c>
      <c r="I8" s="107" t="s">
        <v>3</v>
      </c>
      <c r="J8" s="2"/>
      <c r="K8">
        <v>1</v>
      </c>
      <c r="L8">
        <v>7</v>
      </c>
      <c r="M8" s="16"/>
      <c r="N8" s="16"/>
      <c r="O8" s="16"/>
      <c r="P8" s="16"/>
      <c r="R8" s="4" t="s">
        <v>3</v>
      </c>
      <c r="S8" s="4" t="s">
        <v>123</v>
      </c>
      <c r="T8" s="50">
        <v>135</v>
      </c>
      <c r="U8" s="4" t="s">
        <v>36</v>
      </c>
      <c r="V8" s="42">
        <v>264</v>
      </c>
      <c r="W8" s="4" t="s">
        <v>35</v>
      </c>
      <c r="X8" s="42">
        <v>242</v>
      </c>
      <c r="Y8" s="4" t="s">
        <v>118</v>
      </c>
      <c r="Z8" s="4">
        <v>8</v>
      </c>
      <c r="AF8" t="s">
        <v>18</v>
      </c>
    </row>
    <row r="9" spans="1:32" x14ac:dyDescent="0.3">
      <c r="A9" s="6">
        <v>1</v>
      </c>
      <c r="B9" s="107">
        <v>2</v>
      </c>
      <c r="C9" s="107" t="str">
        <f t="shared" si="0"/>
        <v>speak</v>
      </c>
      <c r="D9" s="5" t="s">
        <v>40</v>
      </c>
      <c r="E9" s="5" t="s">
        <v>10</v>
      </c>
      <c r="F9" s="107" t="s">
        <v>4</v>
      </c>
      <c r="G9" s="107" t="s">
        <v>2</v>
      </c>
      <c r="H9" s="108" t="s">
        <v>1</v>
      </c>
      <c r="I9" s="107" t="s">
        <v>3</v>
      </c>
      <c r="J9" s="2"/>
      <c r="K9">
        <v>1</v>
      </c>
      <c r="L9">
        <v>8</v>
      </c>
      <c r="M9" s="16"/>
      <c r="N9" s="16"/>
      <c r="O9" s="16"/>
      <c r="P9" s="16"/>
      <c r="R9" s="7" t="s">
        <v>4</v>
      </c>
      <c r="S9" s="7" t="s">
        <v>32</v>
      </c>
      <c r="T9" s="51">
        <v>128</v>
      </c>
      <c r="U9" s="7" t="s">
        <v>113</v>
      </c>
      <c r="V9" s="36">
        <v>517</v>
      </c>
      <c r="W9" s="7" t="s">
        <v>107</v>
      </c>
      <c r="X9" s="36">
        <v>235</v>
      </c>
      <c r="Y9" s="7" t="s">
        <v>135</v>
      </c>
      <c r="Z9" s="7">
        <v>498</v>
      </c>
      <c r="AB9" t="s">
        <v>11</v>
      </c>
      <c r="AF9">
        <f>8*4*4</f>
        <v>128</v>
      </c>
    </row>
    <row r="10" spans="1:32" x14ac:dyDescent="0.3">
      <c r="A10" s="6">
        <v>1</v>
      </c>
      <c r="B10" s="107">
        <v>2</v>
      </c>
      <c r="C10" s="107" t="str">
        <f t="shared" si="0"/>
        <v>speak</v>
      </c>
      <c r="D10" s="5" t="s">
        <v>0</v>
      </c>
      <c r="F10" s="107" t="s">
        <v>5</v>
      </c>
      <c r="G10" s="107" t="s">
        <v>1</v>
      </c>
      <c r="H10" s="107" t="s">
        <v>4</v>
      </c>
      <c r="I10" s="107" t="s">
        <v>2</v>
      </c>
      <c r="J10" s="2"/>
      <c r="K10">
        <v>2</v>
      </c>
      <c r="L10">
        <v>1</v>
      </c>
      <c r="M10" s="17"/>
      <c r="N10" s="17"/>
      <c r="O10" s="17"/>
      <c r="P10" s="17"/>
      <c r="R10" s="4" t="s">
        <v>5</v>
      </c>
      <c r="S10" s="4" t="s">
        <v>106</v>
      </c>
      <c r="T10" s="50">
        <v>19</v>
      </c>
      <c r="U10" s="4" t="s">
        <v>108</v>
      </c>
      <c r="V10" s="42">
        <v>30</v>
      </c>
      <c r="W10" s="4" t="s">
        <v>121</v>
      </c>
      <c r="X10" s="42">
        <v>35</v>
      </c>
      <c r="Y10" s="4" t="s">
        <v>39</v>
      </c>
      <c r="Z10" s="4">
        <v>687</v>
      </c>
      <c r="AB10">
        <v>32</v>
      </c>
      <c r="AC10">
        <f>32/4</f>
        <v>8</v>
      </c>
      <c r="AD10" t="s">
        <v>12</v>
      </c>
    </row>
    <row r="11" spans="1:32" x14ac:dyDescent="0.3">
      <c r="A11" s="6">
        <v>1</v>
      </c>
      <c r="B11" s="107">
        <v>1</v>
      </c>
      <c r="C11" s="107" t="s">
        <v>81</v>
      </c>
      <c r="D11" s="5" t="s">
        <v>40</v>
      </c>
      <c r="E11" s="5" t="s">
        <v>10</v>
      </c>
      <c r="F11" s="107" t="s">
        <v>5</v>
      </c>
      <c r="G11" s="108" t="s">
        <v>1</v>
      </c>
      <c r="H11" s="107" t="s">
        <v>4</v>
      </c>
      <c r="I11" s="107" t="s">
        <v>2</v>
      </c>
      <c r="J11" s="2"/>
      <c r="K11">
        <v>2</v>
      </c>
      <c r="L11">
        <v>2</v>
      </c>
      <c r="M11" s="17"/>
      <c r="N11" s="17"/>
      <c r="O11" s="17"/>
      <c r="P11" s="17"/>
      <c r="R11" s="7" t="s">
        <v>6</v>
      </c>
      <c r="S11" s="7" t="s">
        <v>33</v>
      </c>
      <c r="T11" s="51">
        <v>16</v>
      </c>
      <c r="U11" s="7" t="s">
        <v>114</v>
      </c>
      <c r="V11" s="36">
        <v>552</v>
      </c>
      <c r="W11" s="7" t="s">
        <v>124</v>
      </c>
      <c r="X11" s="36">
        <v>464</v>
      </c>
      <c r="Y11" s="7" t="s">
        <v>134</v>
      </c>
      <c r="Z11" s="7">
        <v>338</v>
      </c>
      <c r="AB11">
        <f>64*4</f>
        <v>256</v>
      </c>
      <c r="AC11" s="1">
        <v>32</v>
      </c>
      <c r="AD11" s="1" t="s">
        <v>12</v>
      </c>
    </row>
    <row r="12" spans="1:32" x14ac:dyDescent="0.3">
      <c r="A12" s="6">
        <v>1</v>
      </c>
      <c r="B12" s="107">
        <v>1</v>
      </c>
      <c r="C12" s="107" t="s">
        <v>81</v>
      </c>
      <c r="D12" s="5" t="s">
        <v>0</v>
      </c>
      <c r="F12" s="107" t="s">
        <v>6</v>
      </c>
      <c r="G12" s="107" t="s">
        <v>8</v>
      </c>
      <c r="H12" s="107" t="s">
        <v>2</v>
      </c>
      <c r="I12" s="107" t="s">
        <v>4</v>
      </c>
      <c r="J12" s="2"/>
      <c r="K12">
        <v>2</v>
      </c>
      <c r="L12">
        <v>3</v>
      </c>
      <c r="M12" s="17"/>
      <c r="N12" s="17"/>
      <c r="O12" s="17"/>
      <c r="P12" s="17"/>
      <c r="R12" s="4" t="s">
        <v>7</v>
      </c>
      <c r="S12" s="4" t="s">
        <v>102</v>
      </c>
      <c r="T12" s="50">
        <v>142</v>
      </c>
      <c r="U12" s="4" t="s">
        <v>133</v>
      </c>
      <c r="V12" s="42">
        <v>446</v>
      </c>
      <c r="W12" s="4" t="s">
        <v>37</v>
      </c>
      <c r="X12" s="42">
        <v>271</v>
      </c>
      <c r="Y12" s="4" t="s">
        <v>112</v>
      </c>
      <c r="Z12" s="4">
        <v>48</v>
      </c>
      <c r="AB12" t="s">
        <v>13</v>
      </c>
    </row>
    <row r="13" spans="1:32" x14ac:dyDescent="0.3">
      <c r="A13" s="6">
        <v>1</v>
      </c>
      <c r="B13" s="107">
        <v>1</v>
      </c>
      <c r="C13" s="107" t="s">
        <v>81</v>
      </c>
      <c r="D13" s="5" t="s">
        <v>40</v>
      </c>
      <c r="E13" s="5" t="s">
        <v>9</v>
      </c>
      <c r="F13" s="107" t="s">
        <v>6</v>
      </c>
      <c r="G13" s="107" t="s">
        <v>8</v>
      </c>
      <c r="H13" s="107" t="s">
        <v>2</v>
      </c>
      <c r="I13" s="107" t="s">
        <v>4</v>
      </c>
      <c r="J13" s="2"/>
      <c r="K13">
        <v>2</v>
      </c>
      <c r="L13">
        <v>4</v>
      </c>
      <c r="M13" s="18"/>
      <c r="N13" s="18"/>
      <c r="O13" s="18"/>
      <c r="P13" s="18"/>
      <c r="R13" s="7" t="s">
        <v>8</v>
      </c>
      <c r="S13" s="7" t="s">
        <v>132</v>
      </c>
      <c r="T13" s="51">
        <v>169</v>
      </c>
      <c r="U13" s="7" t="s">
        <v>34</v>
      </c>
      <c r="V13" s="36">
        <v>199</v>
      </c>
      <c r="W13" s="7" t="s">
        <v>110</v>
      </c>
      <c r="X13" s="36">
        <v>320</v>
      </c>
      <c r="Y13" s="7" t="s">
        <v>122</v>
      </c>
      <c r="Z13" s="7">
        <v>728</v>
      </c>
    </row>
    <row r="14" spans="1:32" x14ac:dyDescent="0.3">
      <c r="A14" s="6">
        <v>1</v>
      </c>
      <c r="B14" s="107">
        <v>1</v>
      </c>
      <c r="C14" s="107" t="s">
        <v>81</v>
      </c>
      <c r="D14" s="5" t="s">
        <v>0</v>
      </c>
      <c r="F14" s="107" t="s">
        <v>7</v>
      </c>
      <c r="G14" s="107" t="s">
        <v>5</v>
      </c>
      <c r="H14" s="107" t="s">
        <v>3</v>
      </c>
      <c r="I14" s="107" t="s">
        <v>1</v>
      </c>
      <c r="J14" s="2"/>
      <c r="K14">
        <v>2</v>
      </c>
      <c r="L14">
        <v>5</v>
      </c>
      <c r="M14" s="18"/>
      <c r="N14" s="18"/>
      <c r="O14" s="18"/>
      <c r="P14" s="18"/>
      <c r="AB14">
        <f>24*4</f>
        <v>96</v>
      </c>
    </row>
    <row r="15" spans="1:32" x14ac:dyDescent="0.3">
      <c r="A15" s="6">
        <v>1</v>
      </c>
      <c r="B15" s="107">
        <v>1</v>
      </c>
      <c r="C15" s="107" t="s">
        <v>81</v>
      </c>
      <c r="D15" s="5" t="s">
        <v>40</v>
      </c>
      <c r="E15" s="5" t="s">
        <v>9</v>
      </c>
      <c r="F15" s="107" t="s">
        <v>7</v>
      </c>
      <c r="G15" s="107" t="s">
        <v>5</v>
      </c>
      <c r="H15" s="107" t="s">
        <v>3</v>
      </c>
      <c r="I15" s="108" t="s">
        <v>1</v>
      </c>
      <c r="J15" s="2"/>
      <c r="K15">
        <v>2</v>
      </c>
      <c r="L15">
        <v>6</v>
      </c>
      <c r="M15" s="17"/>
      <c r="N15" s="17"/>
      <c r="O15" s="17"/>
      <c r="P15" s="17"/>
      <c r="AB15">
        <f>96/2</f>
        <v>48</v>
      </c>
      <c r="AC15">
        <f>AB15/4</f>
        <v>12</v>
      </c>
      <c r="AD15" t="s">
        <v>12</v>
      </c>
    </row>
    <row r="16" spans="1:32" x14ac:dyDescent="0.3">
      <c r="A16" s="6">
        <v>1</v>
      </c>
      <c r="B16" s="107">
        <v>1</v>
      </c>
      <c r="C16" s="107" t="s">
        <v>81</v>
      </c>
      <c r="D16" s="5" t="s">
        <v>0</v>
      </c>
      <c r="F16" s="107" t="s">
        <v>8</v>
      </c>
      <c r="G16" s="107" t="s">
        <v>7</v>
      </c>
      <c r="H16" s="107" t="s">
        <v>5</v>
      </c>
      <c r="I16" s="107" t="s">
        <v>6</v>
      </c>
      <c r="J16" s="2"/>
      <c r="K16">
        <v>2</v>
      </c>
      <c r="L16">
        <v>7</v>
      </c>
      <c r="M16" s="17"/>
      <c r="N16" s="17"/>
      <c r="O16" s="17"/>
      <c r="P16" s="17"/>
      <c r="R16" s="2"/>
      <c r="S16" s="2"/>
      <c r="T16" s="2"/>
      <c r="AB16">
        <f>AB14*2</f>
        <v>192</v>
      </c>
      <c r="AC16">
        <v>24</v>
      </c>
    </row>
    <row r="17" spans="1:33" x14ac:dyDescent="0.3">
      <c r="A17" s="6">
        <v>1</v>
      </c>
      <c r="B17" s="107">
        <v>2</v>
      </c>
      <c r="C17" s="107" t="str">
        <f t="shared" si="0"/>
        <v>speak</v>
      </c>
      <c r="D17" s="5" t="s">
        <v>40</v>
      </c>
      <c r="E17" s="5" t="s">
        <v>10</v>
      </c>
      <c r="F17" s="107" t="s">
        <v>8</v>
      </c>
      <c r="G17" s="107" t="s">
        <v>7</v>
      </c>
      <c r="H17" s="107" t="s">
        <v>5</v>
      </c>
      <c r="I17" s="107" t="s">
        <v>6</v>
      </c>
      <c r="J17" s="2"/>
      <c r="K17">
        <v>2</v>
      </c>
      <c r="L17">
        <v>8</v>
      </c>
      <c r="M17" s="17"/>
      <c r="N17" s="17"/>
      <c r="O17" s="17"/>
      <c r="P17" s="17"/>
      <c r="AB17">
        <f>96*4</f>
        <v>384</v>
      </c>
      <c r="AC17">
        <f>12*4</f>
        <v>48</v>
      </c>
    </row>
    <row r="18" spans="1:33" x14ac:dyDescent="0.3">
      <c r="A18" s="5">
        <v>2</v>
      </c>
      <c r="B18" s="42">
        <v>1</v>
      </c>
      <c r="C18" s="42" t="s">
        <v>81</v>
      </c>
      <c r="D18" s="5" t="s">
        <v>0</v>
      </c>
      <c r="F18" s="107" t="s">
        <v>1</v>
      </c>
      <c r="G18" s="107" t="s">
        <v>5</v>
      </c>
      <c r="H18" s="107" t="s">
        <v>7</v>
      </c>
      <c r="I18" s="107" t="s">
        <v>8</v>
      </c>
      <c r="J18" s="2"/>
      <c r="K18">
        <v>3</v>
      </c>
      <c r="L18">
        <v>1</v>
      </c>
      <c r="M18" s="19"/>
      <c r="N18" s="19"/>
      <c r="O18" s="19"/>
      <c r="P18" s="19"/>
    </row>
    <row r="19" spans="1:33" x14ac:dyDescent="0.3">
      <c r="A19" s="5">
        <v>2</v>
      </c>
      <c r="B19" s="42">
        <v>1</v>
      </c>
      <c r="C19" s="42" t="s">
        <v>81</v>
      </c>
      <c r="D19" s="5" t="s">
        <v>40</v>
      </c>
      <c r="E19" s="5" t="s">
        <v>9</v>
      </c>
      <c r="F19" s="108" t="s">
        <v>1</v>
      </c>
      <c r="G19" s="107" t="s">
        <v>5</v>
      </c>
      <c r="H19" s="107" t="s">
        <v>7</v>
      </c>
      <c r="I19" s="107" t="s">
        <v>8</v>
      </c>
      <c r="J19" s="2"/>
      <c r="K19">
        <v>3</v>
      </c>
      <c r="L19">
        <v>2</v>
      </c>
      <c r="M19" s="19"/>
      <c r="N19" s="19"/>
      <c r="O19" s="19"/>
      <c r="P19" s="19"/>
      <c r="AB19" t="s">
        <v>90</v>
      </c>
    </row>
    <row r="20" spans="1:33" x14ac:dyDescent="0.3">
      <c r="A20" s="5">
        <v>2</v>
      </c>
      <c r="B20" s="42">
        <v>1</v>
      </c>
      <c r="C20" s="42" t="s">
        <v>81</v>
      </c>
      <c r="D20" s="5" t="s">
        <v>0</v>
      </c>
      <c r="F20" s="107" t="s">
        <v>2</v>
      </c>
      <c r="G20" s="107" t="s">
        <v>3</v>
      </c>
      <c r="H20" s="107" t="s">
        <v>6</v>
      </c>
      <c r="I20" s="107" t="s">
        <v>4</v>
      </c>
      <c r="J20" s="2"/>
      <c r="K20">
        <v>3</v>
      </c>
      <c r="L20">
        <v>3</v>
      </c>
      <c r="M20" s="19"/>
      <c r="N20" s="19"/>
      <c r="O20" s="19"/>
      <c r="P20" s="19"/>
      <c r="AB20" t="s">
        <v>91</v>
      </c>
    </row>
    <row r="21" spans="1:33" x14ac:dyDescent="0.3">
      <c r="A21" s="5">
        <v>2</v>
      </c>
      <c r="B21" s="42">
        <v>1</v>
      </c>
      <c r="C21" s="42" t="s">
        <v>81</v>
      </c>
      <c r="D21" s="5" t="s">
        <v>40</v>
      </c>
      <c r="E21" s="5" t="s">
        <v>9</v>
      </c>
      <c r="F21" s="107" t="s">
        <v>2</v>
      </c>
      <c r="G21" s="107" t="s">
        <v>3</v>
      </c>
      <c r="H21" s="107" t="s">
        <v>6</v>
      </c>
      <c r="I21" s="107" t="s">
        <v>4</v>
      </c>
      <c r="J21" s="2"/>
      <c r="K21">
        <v>3</v>
      </c>
      <c r="L21">
        <v>4</v>
      </c>
      <c r="M21" s="19"/>
      <c r="N21" s="19"/>
      <c r="O21" s="19"/>
      <c r="P21" s="19"/>
      <c r="AB21" t="s">
        <v>92</v>
      </c>
    </row>
    <row r="22" spans="1:33" x14ac:dyDescent="0.3">
      <c r="A22" s="5">
        <v>2</v>
      </c>
      <c r="B22" s="42">
        <v>1</v>
      </c>
      <c r="C22" s="42" t="s">
        <v>81</v>
      </c>
      <c r="D22" s="5" t="s">
        <v>0</v>
      </c>
      <c r="F22" s="107" t="s">
        <v>3</v>
      </c>
      <c r="G22" s="107" t="s">
        <v>1</v>
      </c>
      <c r="H22" s="106" t="s">
        <v>4</v>
      </c>
      <c r="I22" s="107" t="s">
        <v>6</v>
      </c>
      <c r="J22" s="2"/>
      <c r="K22">
        <v>3</v>
      </c>
      <c r="L22">
        <v>5</v>
      </c>
      <c r="M22" s="19"/>
      <c r="N22" s="19"/>
      <c r="O22" s="19"/>
      <c r="P22" s="19"/>
      <c r="AB22" t="s">
        <v>93</v>
      </c>
    </row>
    <row r="23" spans="1:33" x14ac:dyDescent="0.3">
      <c r="A23" s="5">
        <v>2</v>
      </c>
      <c r="B23" s="42">
        <v>2</v>
      </c>
      <c r="C23" s="107" t="str">
        <f t="shared" ref="C23:C24" si="1">IF(B23, "speak", "type")</f>
        <v>speak</v>
      </c>
      <c r="D23" s="5" t="s">
        <v>40</v>
      </c>
      <c r="E23" s="5" t="s">
        <v>10</v>
      </c>
      <c r="F23" s="107" t="s">
        <v>3</v>
      </c>
      <c r="G23" s="108" t="s">
        <v>1</v>
      </c>
      <c r="H23" s="106" t="s">
        <v>4</v>
      </c>
      <c r="I23" s="107" t="s">
        <v>6</v>
      </c>
      <c r="J23" s="2"/>
      <c r="K23">
        <v>3</v>
      </c>
      <c r="L23">
        <v>6</v>
      </c>
      <c r="M23" s="19"/>
      <c r="N23" s="19"/>
      <c r="O23" s="19"/>
      <c r="P23" s="19"/>
      <c r="AG23" t="s">
        <v>19</v>
      </c>
    </row>
    <row r="24" spans="1:33" x14ac:dyDescent="0.3">
      <c r="A24" s="5">
        <v>2</v>
      </c>
      <c r="B24" s="42">
        <v>2</v>
      </c>
      <c r="C24" s="107" t="str">
        <f t="shared" si="1"/>
        <v>speak</v>
      </c>
      <c r="D24" s="5" t="s">
        <v>0</v>
      </c>
      <c r="F24" s="106" t="s">
        <v>4</v>
      </c>
      <c r="G24" s="107" t="s">
        <v>7</v>
      </c>
      <c r="H24" s="106" t="s">
        <v>5</v>
      </c>
      <c r="I24" s="107" t="s">
        <v>2</v>
      </c>
      <c r="J24" s="2"/>
      <c r="K24">
        <v>3</v>
      </c>
      <c r="L24">
        <v>7</v>
      </c>
      <c r="M24" s="19"/>
      <c r="N24" s="19"/>
      <c r="O24" s="19"/>
      <c r="P24" s="19"/>
    </row>
    <row r="25" spans="1:33" x14ac:dyDescent="0.3">
      <c r="A25" s="5">
        <v>2</v>
      </c>
      <c r="B25" s="42">
        <v>1</v>
      </c>
      <c r="C25" s="42" t="s">
        <v>81</v>
      </c>
      <c r="D25" s="5" t="s">
        <v>40</v>
      </c>
      <c r="E25" s="5" t="s">
        <v>10</v>
      </c>
      <c r="F25" s="106" t="s">
        <v>4</v>
      </c>
      <c r="G25" s="107" t="s">
        <v>7</v>
      </c>
      <c r="H25" s="106" t="s">
        <v>5</v>
      </c>
      <c r="I25" s="107" t="s">
        <v>2</v>
      </c>
      <c r="J25" s="2"/>
      <c r="K25">
        <v>3</v>
      </c>
      <c r="L25">
        <v>8</v>
      </c>
      <c r="M25" s="19"/>
      <c r="N25" s="19"/>
      <c r="O25" s="19"/>
      <c r="P25" s="19"/>
    </row>
    <row r="26" spans="1:33" x14ac:dyDescent="0.3">
      <c r="A26" s="5">
        <v>2</v>
      </c>
      <c r="B26" s="42">
        <v>1</v>
      </c>
      <c r="C26" s="42" t="s">
        <v>81</v>
      </c>
      <c r="D26" s="5" t="s">
        <v>0</v>
      </c>
      <c r="F26" s="106" t="s">
        <v>5</v>
      </c>
      <c r="G26" s="107" t="s">
        <v>2</v>
      </c>
      <c r="H26" s="107" t="s">
        <v>8</v>
      </c>
      <c r="I26" s="107" t="s">
        <v>7</v>
      </c>
      <c r="J26" s="2"/>
      <c r="K26">
        <v>4</v>
      </c>
      <c r="L26">
        <v>1</v>
      </c>
      <c r="M26" s="20"/>
      <c r="N26" s="20"/>
      <c r="O26" s="20"/>
      <c r="P26" s="20"/>
    </row>
    <row r="27" spans="1:33" x14ac:dyDescent="0.3">
      <c r="A27" s="5">
        <v>2</v>
      </c>
      <c r="B27" s="42">
        <v>2</v>
      </c>
      <c r="C27" s="107" t="str">
        <f t="shared" ref="C27:C32" si="2">IF(B27, "speak", "type")</f>
        <v>speak</v>
      </c>
      <c r="D27" s="5" t="s">
        <v>40</v>
      </c>
      <c r="E27" s="5" t="s">
        <v>10</v>
      </c>
      <c r="F27" s="106" t="s">
        <v>5</v>
      </c>
      <c r="G27" s="107" t="s">
        <v>2</v>
      </c>
      <c r="H27" s="107" t="s">
        <v>8</v>
      </c>
      <c r="I27" s="107" t="s">
        <v>7</v>
      </c>
      <c r="J27" s="2"/>
      <c r="K27">
        <v>4</v>
      </c>
      <c r="L27">
        <v>2</v>
      </c>
      <c r="M27" s="20"/>
      <c r="N27" s="20"/>
      <c r="O27" s="20"/>
      <c r="P27" s="20"/>
    </row>
    <row r="28" spans="1:33" x14ac:dyDescent="0.3">
      <c r="A28" s="5">
        <v>2</v>
      </c>
      <c r="B28" s="42">
        <v>2</v>
      </c>
      <c r="C28" s="107" t="str">
        <f t="shared" si="2"/>
        <v>speak</v>
      </c>
      <c r="D28" s="5" t="s">
        <v>0</v>
      </c>
      <c r="F28" s="107" t="s">
        <v>6</v>
      </c>
      <c r="G28" s="107" t="s">
        <v>4</v>
      </c>
      <c r="H28" s="107" t="s">
        <v>2</v>
      </c>
      <c r="I28" s="107" t="s">
        <v>3</v>
      </c>
      <c r="J28" s="2"/>
      <c r="K28">
        <v>4</v>
      </c>
      <c r="L28">
        <v>3</v>
      </c>
      <c r="M28" s="20"/>
      <c r="N28" s="20"/>
      <c r="O28" s="20"/>
      <c r="P28" s="20"/>
    </row>
    <row r="29" spans="1:33" x14ac:dyDescent="0.3">
      <c r="A29" s="5">
        <v>2</v>
      </c>
      <c r="B29" s="42">
        <v>2</v>
      </c>
      <c r="C29" s="107" t="str">
        <f t="shared" si="2"/>
        <v>speak</v>
      </c>
      <c r="D29" s="5" t="s">
        <v>40</v>
      </c>
      <c r="E29" s="5" t="s">
        <v>9</v>
      </c>
      <c r="F29" s="107" t="s">
        <v>6</v>
      </c>
      <c r="G29" s="107" t="s">
        <v>4</v>
      </c>
      <c r="H29" s="107" t="s">
        <v>2</v>
      </c>
      <c r="I29" s="107" t="s">
        <v>3</v>
      </c>
      <c r="J29" s="2"/>
      <c r="K29">
        <v>4</v>
      </c>
      <c r="L29">
        <v>4</v>
      </c>
      <c r="M29" s="20"/>
      <c r="N29" s="20"/>
      <c r="O29" s="20"/>
      <c r="P29" s="20"/>
    </row>
    <row r="30" spans="1:33" x14ac:dyDescent="0.3">
      <c r="A30" s="5">
        <v>2</v>
      </c>
      <c r="B30" s="42">
        <v>2</v>
      </c>
      <c r="C30" s="107" t="str">
        <f t="shared" si="2"/>
        <v>speak</v>
      </c>
      <c r="D30" s="5" t="s">
        <v>0</v>
      </c>
      <c r="F30" s="107" t="s">
        <v>7</v>
      </c>
      <c r="G30" s="107" t="s">
        <v>8</v>
      </c>
      <c r="H30" s="107" t="s">
        <v>1</v>
      </c>
      <c r="I30" s="107" t="s">
        <v>5</v>
      </c>
      <c r="J30" s="2"/>
      <c r="K30">
        <v>4</v>
      </c>
      <c r="L30">
        <v>5</v>
      </c>
      <c r="M30" s="20"/>
      <c r="N30" s="20"/>
      <c r="O30" s="20"/>
      <c r="P30" s="20"/>
    </row>
    <row r="31" spans="1:33" x14ac:dyDescent="0.3">
      <c r="A31" s="5">
        <v>2</v>
      </c>
      <c r="B31" s="42">
        <v>2</v>
      </c>
      <c r="C31" s="107" t="str">
        <f t="shared" si="2"/>
        <v>speak</v>
      </c>
      <c r="D31" s="5" t="s">
        <v>40</v>
      </c>
      <c r="E31" s="5" t="s">
        <v>9</v>
      </c>
      <c r="F31" s="107" t="s">
        <v>7</v>
      </c>
      <c r="G31" s="107" t="s">
        <v>8</v>
      </c>
      <c r="H31" s="108" t="s">
        <v>1</v>
      </c>
      <c r="I31" s="107" t="s">
        <v>5</v>
      </c>
      <c r="J31" s="2"/>
      <c r="K31">
        <v>4</v>
      </c>
      <c r="L31">
        <v>6</v>
      </c>
      <c r="M31" s="20"/>
      <c r="N31" s="20"/>
      <c r="O31" s="20"/>
      <c r="P31" s="20"/>
    </row>
    <row r="32" spans="1:33" x14ac:dyDescent="0.3">
      <c r="A32" s="5">
        <v>2</v>
      </c>
      <c r="B32" s="42">
        <v>2</v>
      </c>
      <c r="C32" s="107" t="str">
        <f t="shared" si="2"/>
        <v>speak</v>
      </c>
      <c r="D32" s="5" t="s">
        <v>0</v>
      </c>
      <c r="F32" s="107" t="s">
        <v>8</v>
      </c>
      <c r="G32" s="107" t="s">
        <v>6</v>
      </c>
      <c r="H32" s="107" t="s">
        <v>3</v>
      </c>
      <c r="I32" s="107" t="s">
        <v>1</v>
      </c>
      <c r="J32" s="2"/>
      <c r="K32">
        <v>4</v>
      </c>
      <c r="L32">
        <v>7</v>
      </c>
      <c r="M32" s="20"/>
      <c r="N32" s="20"/>
      <c r="O32" s="20"/>
      <c r="P32" s="20"/>
    </row>
    <row r="33" spans="1:16" x14ac:dyDescent="0.3">
      <c r="A33" s="5">
        <v>2</v>
      </c>
      <c r="B33" s="42">
        <v>1</v>
      </c>
      <c r="C33" s="42" t="s">
        <v>81</v>
      </c>
      <c r="D33" s="5" t="s">
        <v>40</v>
      </c>
      <c r="E33" s="5" t="s">
        <v>10</v>
      </c>
      <c r="F33" s="107" t="s">
        <v>8</v>
      </c>
      <c r="G33" s="107" t="s">
        <v>6</v>
      </c>
      <c r="H33" s="107" t="s">
        <v>3</v>
      </c>
      <c r="I33" s="108" t="s">
        <v>1</v>
      </c>
      <c r="J33" s="2"/>
      <c r="K33">
        <v>4</v>
      </c>
      <c r="L33">
        <v>8</v>
      </c>
      <c r="M33" s="20"/>
      <c r="N33" s="20"/>
      <c r="O33" s="20"/>
      <c r="P33" s="20"/>
    </row>
    <row r="34" spans="1:16" x14ac:dyDescent="0.3">
      <c r="A34" s="6">
        <v>3</v>
      </c>
      <c r="B34" s="42">
        <v>1</v>
      </c>
      <c r="C34" s="42" t="s">
        <v>81</v>
      </c>
      <c r="D34" s="5" t="s">
        <v>0</v>
      </c>
      <c r="F34" s="107" t="s">
        <v>1</v>
      </c>
      <c r="G34" s="107" t="s">
        <v>6</v>
      </c>
      <c r="H34" s="107" t="s">
        <v>4</v>
      </c>
      <c r="I34" s="107" t="s">
        <v>5</v>
      </c>
      <c r="J34" s="2"/>
    </row>
    <row r="35" spans="1:16" x14ac:dyDescent="0.3">
      <c r="A35" s="6">
        <v>3</v>
      </c>
      <c r="B35" s="42">
        <v>2</v>
      </c>
      <c r="C35" s="107" t="str">
        <f t="shared" ref="C35:C36" si="3">IF(B35, "speak", "type")</f>
        <v>speak</v>
      </c>
      <c r="D35" s="5" t="s">
        <v>40</v>
      </c>
      <c r="E35" s="5" t="s">
        <v>10</v>
      </c>
      <c r="F35" s="108" t="s">
        <v>1</v>
      </c>
      <c r="G35" s="107" t="s">
        <v>6</v>
      </c>
      <c r="H35" s="107" t="s">
        <v>4</v>
      </c>
      <c r="I35" s="107" t="s">
        <v>5</v>
      </c>
      <c r="J35" s="2"/>
    </row>
    <row r="36" spans="1:16" x14ac:dyDescent="0.3">
      <c r="A36" s="6">
        <v>3</v>
      </c>
      <c r="B36" s="42">
        <v>2</v>
      </c>
      <c r="C36" s="107" t="str">
        <f t="shared" si="3"/>
        <v>speak</v>
      </c>
      <c r="D36" s="5" t="s">
        <v>0</v>
      </c>
      <c r="F36" s="107" t="s">
        <v>2</v>
      </c>
      <c r="G36" s="107" t="s">
        <v>4</v>
      </c>
      <c r="H36" s="107" t="s">
        <v>7</v>
      </c>
      <c r="I36" s="107" t="s">
        <v>1</v>
      </c>
      <c r="J36" s="2"/>
    </row>
    <row r="37" spans="1:16" x14ac:dyDescent="0.3">
      <c r="A37" s="6">
        <v>3</v>
      </c>
      <c r="B37" s="42">
        <v>1</v>
      </c>
      <c r="C37" s="42" t="s">
        <v>81</v>
      </c>
      <c r="D37" s="5" t="s">
        <v>40</v>
      </c>
      <c r="E37" s="5" t="s">
        <v>10</v>
      </c>
      <c r="F37" s="107" t="s">
        <v>2</v>
      </c>
      <c r="G37" s="107" t="s">
        <v>4</v>
      </c>
      <c r="H37" s="107" t="s">
        <v>7</v>
      </c>
      <c r="I37" s="108" t="s">
        <v>1</v>
      </c>
      <c r="J37" s="2"/>
    </row>
    <row r="38" spans="1:16" x14ac:dyDescent="0.3">
      <c r="A38" s="6">
        <v>3</v>
      </c>
      <c r="B38" s="42">
        <v>1</v>
      </c>
      <c r="C38" s="42" t="s">
        <v>81</v>
      </c>
      <c r="D38" s="5" t="s">
        <v>0</v>
      </c>
      <c r="F38" s="107" t="s">
        <v>3</v>
      </c>
      <c r="G38" s="107" t="s">
        <v>8</v>
      </c>
      <c r="H38" s="107" t="s">
        <v>2</v>
      </c>
      <c r="I38" s="107" t="s">
        <v>7</v>
      </c>
      <c r="J38" s="2"/>
    </row>
    <row r="39" spans="1:16" x14ac:dyDescent="0.3">
      <c r="A39" s="6">
        <v>3</v>
      </c>
      <c r="B39" s="42">
        <v>2</v>
      </c>
      <c r="C39" s="107" t="str">
        <f t="shared" ref="C39:C44" si="4">IF(B39, "speak", "type")</f>
        <v>speak</v>
      </c>
      <c r="D39" s="5" t="s">
        <v>40</v>
      </c>
      <c r="E39" s="5" t="s">
        <v>10</v>
      </c>
      <c r="F39" s="107" t="s">
        <v>3</v>
      </c>
      <c r="G39" s="107" t="s">
        <v>8</v>
      </c>
      <c r="H39" s="107" t="s">
        <v>2</v>
      </c>
      <c r="I39" s="107" t="s">
        <v>7</v>
      </c>
      <c r="J39" s="2"/>
    </row>
    <row r="40" spans="1:16" x14ac:dyDescent="0.3">
      <c r="A40" s="6">
        <v>3</v>
      </c>
      <c r="B40" s="42">
        <v>2</v>
      </c>
      <c r="C40" s="107" t="str">
        <f t="shared" si="4"/>
        <v>speak</v>
      </c>
      <c r="D40" s="5" t="s">
        <v>0</v>
      </c>
      <c r="F40" s="107" t="s">
        <v>4</v>
      </c>
      <c r="G40" s="107" t="s">
        <v>7</v>
      </c>
      <c r="H40" s="107" t="s">
        <v>6</v>
      </c>
      <c r="I40" s="107" t="s">
        <v>3</v>
      </c>
      <c r="J40" s="2"/>
    </row>
    <row r="41" spans="1:16" x14ac:dyDescent="0.3">
      <c r="A41" s="6">
        <v>3</v>
      </c>
      <c r="B41" s="42">
        <v>2</v>
      </c>
      <c r="C41" s="107" t="str">
        <f t="shared" si="4"/>
        <v>speak</v>
      </c>
      <c r="D41" s="5" t="s">
        <v>40</v>
      </c>
      <c r="E41" s="5" t="s">
        <v>9</v>
      </c>
      <c r="F41" s="107" t="s">
        <v>4</v>
      </c>
      <c r="G41" s="107" t="s">
        <v>7</v>
      </c>
      <c r="H41" s="107" t="s">
        <v>6</v>
      </c>
      <c r="I41" s="107" t="s">
        <v>3</v>
      </c>
      <c r="J41" s="2"/>
    </row>
    <row r="42" spans="1:16" x14ac:dyDescent="0.3">
      <c r="A42" s="6">
        <v>3</v>
      </c>
      <c r="B42" s="42">
        <v>2</v>
      </c>
      <c r="C42" s="107" t="str">
        <f t="shared" si="4"/>
        <v>speak</v>
      </c>
      <c r="D42" s="5" t="s">
        <v>0</v>
      </c>
      <c r="F42" s="107" t="s">
        <v>5</v>
      </c>
      <c r="G42" s="107" t="s">
        <v>1</v>
      </c>
      <c r="H42" s="107" t="s">
        <v>8</v>
      </c>
      <c r="I42" s="107" t="s">
        <v>2</v>
      </c>
      <c r="J42" s="2"/>
    </row>
    <row r="43" spans="1:16" x14ac:dyDescent="0.3">
      <c r="A43" s="6">
        <v>3</v>
      </c>
      <c r="B43" s="42">
        <v>2</v>
      </c>
      <c r="C43" s="107" t="str">
        <f t="shared" si="4"/>
        <v>speak</v>
      </c>
      <c r="D43" s="5" t="s">
        <v>40</v>
      </c>
      <c r="E43" s="5" t="s">
        <v>9</v>
      </c>
      <c r="F43" s="107" t="s">
        <v>5</v>
      </c>
      <c r="G43" s="108" t="s">
        <v>1</v>
      </c>
      <c r="H43" s="107" t="s">
        <v>8</v>
      </c>
      <c r="I43" s="107" t="s">
        <v>2</v>
      </c>
      <c r="J43" s="2"/>
    </row>
    <row r="44" spans="1:16" x14ac:dyDescent="0.3">
      <c r="A44" s="6">
        <v>3</v>
      </c>
      <c r="B44" s="42">
        <v>2</v>
      </c>
      <c r="C44" s="107" t="str">
        <f t="shared" si="4"/>
        <v>speak</v>
      </c>
      <c r="D44" s="5" t="s">
        <v>0</v>
      </c>
      <c r="F44" s="107" t="s">
        <v>6</v>
      </c>
      <c r="G44" s="107" t="s">
        <v>3</v>
      </c>
      <c r="H44" s="107" t="s">
        <v>5</v>
      </c>
      <c r="I44" s="107" t="s">
        <v>8</v>
      </c>
      <c r="J44" s="2"/>
    </row>
    <row r="45" spans="1:16" x14ac:dyDescent="0.3">
      <c r="A45" s="6">
        <v>3</v>
      </c>
      <c r="B45" s="42">
        <v>1</v>
      </c>
      <c r="C45" s="42" t="s">
        <v>81</v>
      </c>
      <c r="D45" s="5" t="s">
        <v>40</v>
      </c>
      <c r="E45" s="5" t="s">
        <v>10</v>
      </c>
      <c r="F45" s="107" t="s">
        <v>6</v>
      </c>
      <c r="G45" s="107" t="s">
        <v>3</v>
      </c>
      <c r="H45" s="107" t="s">
        <v>5</v>
      </c>
      <c r="I45" s="107" t="s">
        <v>8</v>
      </c>
      <c r="J45" s="2"/>
    </row>
    <row r="46" spans="1:16" x14ac:dyDescent="0.3">
      <c r="A46" s="6">
        <v>3</v>
      </c>
      <c r="B46" s="42">
        <v>1</v>
      </c>
      <c r="C46" s="42" t="s">
        <v>81</v>
      </c>
      <c r="D46" s="5" t="s">
        <v>0</v>
      </c>
      <c r="F46" s="107" t="s">
        <v>7</v>
      </c>
      <c r="G46" s="107" t="s">
        <v>5</v>
      </c>
      <c r="H46" s="107" t="s">
        <v>3</v>
      </c>
      <c r="I46" s="107" t="s">
        <v>6</v>
      </c>
      <c r="J46" s="2"/>
    </row>
    <row r="47" spans="1:16" x14ac:dyDescent="0.3">
      <c r="A47" s="6">
        <v>3</v>
      </c>
      <c r="B47" s="42">
        <v>1</v>
      </c>
      <c r="C47" s="42" t="s">
        <v>81</v>
      </c>
      <c r="D47" s="5" t="s">
        <v>40</v>
      </c>
      <c r="E47" s="5" t="s">
        <v>9</v>
      </c>
      <c r="F47" s="107" t="s">
        <v>7</v>
      </c>
      <c r="G47" s="107" t="s">
        <v>5</v>
      </c>
      <c r="H47" s="107" t="s">
        <v>3</v>
      </c>
      <c r="I47" s="107" t="s">
        <v>6</v>
      </c>
      <c r="J47" s="2"/>
    </row>
    <row r="48" spans="1:16" x14ac:dyDescent="0.3">
      <c r="A48" s="6">
        <v>3</v>
      </c>
      <c r="B48" s="42">
        <v>1</v>
      </c>
      <c r="C48" s="42" t="s">
        <v>81</v>
      </c>
      <c r="D48" s="5" t="s">
        <v>0</v>
      </c>
      <c r="F48" s="107" t="s">
        <v>8</v>
      </c>
      <c r="G48" s="107" t="s">
        <v>2</v>
      </c>
      <c r="H48" s="107" t="s">
        <v>1</v>
      </c>
      <c r="I48" s="107" t="s">
        <v>4</v>
      </c>
      <c r="J48" s="2"/>
    </row>
    <row r="49" spans="1:14" x14ac:dyDescent="0.3">
      <c r="A49" s="6">
        <v>3</v>
      </c>
      <c r="B49" s="42">
        <v>1</v>
      </c>
      <c r="C49" s="42" t="s">
        <v>81</v>
      </c>
      <c r="D49" s="5" t="s">
        <v>40</v>
      </c>
      <c r="E49" s="5" t="s">
        <v>9</v>
      </c>
      <c r="F49" s="107" t="s">
        <v>8</v>
      </c>
      <c r="G49" s="107" t="s">
        <v>2</v>
      </c>
      <c r="H49" s="108" t="s">
        <v>1</v>
      </c>
      <c r="I49" s="107" t="s">
        <v>4</v>
      </c>
      <c r="J49" s="2"/>
    </row>
    <row r="50" spans="1:14" x14ac:dyDescent="0.3">
      <c r="A50" s="5">
        <v>4</v>
      </c>
      <c r="B50" s="42">
        <v>1</v>
      </c>
      <c r="C50" s="42" t="s">
        <v>81</v>
      </c>
      <c r="D50" s="5" t="s">
        <v>0</v>
      </c>
      <c r="F50" s="107" t="s">
        <v>1</v>
      </c>
      <c r="G50" s="107" t="s">
        <v>3</v>
      </c>
      <c r="H50" s="107" t="s">
        <v>4</v>
      </c>
      <c r="I50" s="107" t="s">
        <v>6</v>
      </c>
      <c r="J50" s="2"/>
    </row>
    <row r="51" spans="1:14" x14ac:dyDescent="0.3">
      <c r="A51" s="5">
        <v>4</v>
      </c>
      <c r="B51" s="42">
        <v>1</v>
      </c>
      <c r="C51" s="42" t="s">
        <v>81</v>
      </c>
      <c r="D51" s="5" t="s">
        <v>40</v>
      </c>
      <c r="E51" s="5" t="s">
        <v>9</v>
      </c>
      <c r="F51" s="108" t="s">
        <v>1</v>
      </c>
      <c r="G51" s="107" t="s">
        <v>3</v>
      </c>
      <c r="H51" s="107" t="s">
        <v>4</v>
      </c>
      <c r="I51" s="107" t="s">
        <v>6</v>
      </c>
      <c r="J51" s="2"/>
    </row>
    <row r="52" spans="1:14" x14ac:dyDescent="0.3">
      <c r="A52" s="5">
        <v>4</v>
      </c>
      <c r="B52" s="42">
        <v>1</v>
      </c>
      <c r="C52" s="42" t="s">
        <v>81</v>
      </c>
      <c r="D52" s="5" t="s">
        <v>0</v>
      </c>
      <c r="F52" s="107" t="s">
        <v>2</v>
      </c>
      <c r="G52" s="107" t="s">
        <v>8</v>
      </c>
      <c r="H52" s="107" t="s">
        <v>6</v>
      </c>
      <c r="I52" s="107" t="s">
        <v>3</v>
      </c>
      <c r="J52" s="2"/>
      <c r="N52" t="s">
        <v>19</v>
      </c>
    </row>
    <row r="53" spans="1:14" x14ac:dyDescent="0.3">
      <c r="A53" s="5">
        <v>4</v>
      </c>
      <c r="B53" s="42">
        <v>2</v>
      </c>
      <c r="C53" s="107" t="str">
        <f t="shared" ref="C53:C56" si="5">IF(B53, "speak", "type")</f>
        <v>speak</v>
      </c>
      <c r="D53" s="5" t="s">
        <v>40</v>
      </c>
      <c r="E53" s="5" t="s">
        <v>10</v>
      </c>
      <c r="F53" s="107" t="s">
        <v>2</v>
      </c>
      <c r="G53" s="107" t="s">
        <v>8</v>
      </c>
      <c r="H53" s="107" t="s">
        <v>6</v>
      </c>
      <c r="I53" s="107" t="s">
        <v>3</v>
      </c>
      <c r="J53" s="2"/>
    </row>
    <row r="54" spans="1:14" x14ac:dyDescent="0.3">
      <c r="A54" s="5">
        <v>4</v>
      </c>
      <c r="B54" s="42">
        <v>2</v>
      </c>
      <c r="C54" s="107" t="str">
        <f t="shared" si="5"/>
        <v>speak</v>
      </c>
      <c r="D54" s="5" t="s">
        <v>0</v>
      </c>
      <c r="F54" s="107" t="s">
        <v>3</v>
      </c>
      <c r="G54" s="107" t="s">
        <v>4</v>
      </c>
      <c r="H54" s="107" t="s">
        <v>2</v>
      </c>
      <c r="I54" s="107" t="s">
        <v>5</v>
      </c>
      <c r="J54" s="2"/>
    </row>
    <row r="55" spans="1:14" x14ac:dyDescent="0.3">
      <c r="A55" s="5">
        <v>4</v>
      </c>
      <c r="B55" s="42">
        <v>2</v>
      </c>
      <c r="C55" s="107" t="str">
        <f t="shared" si="5"/>
        <v>speak</v>
      </c>
      <c r="D55" s="5" t="s">
        <v>40</v>
      </c>
      <c r="E55" s="5" t="s">
        <v>9</v>
      </c>
      <c r="F55" s="107" t="s">
        <v>3</v>
      </c>
      <c r="G55" s="107" t="s">
        <v>4</v>
      </c>
      <c r="H55" s="107" t="s">
        <v>2</v>
      </c>
      <c r="I55" s="107" t="s">
        <v>5</v>
      </c>
      <c r="J55" s="2"/>
    </row>
    <row r="56" spans="1:14" x14ac:dyDescent="0.3">
      <c r="A56" s="5">
        <v>4</v>
      </c>
      <c r="B56" s="42">
        <v>2</v>
      </c>
      <c r="C56" s="107" t="str">
        <f t="shared" si="5"/>
        <v>speak</v>
      </c>
      <c r="D56" s="5" t="s">
        <v>0</v>
      </c>
      <c r="F56" s="107" t="s">
        <v>4</v>
      </c>
      <c r="G56" s="107" t="s">
        <v>2</v>
      </c>
      <c r="H56" s="107" t="s">
        <v>5</v>
      </c>
      <c r="I56" s="107" t="s">
        <v>1</v>
      </c>
      <c r="J56" s="2"/>
    </row>
    <row r="57" spans="1:14" x14ac:dyDescent="0.3">
      <c r="A57" s="5">
        <v>4</v>
      </c>
      <c r="B57" s="42">
        <v>1</v>
      </c>
      <c r="C57" s="42" t="s">
        <v>81</v>
      </c>
      <c r="D57" s="5" t="s">
        <v>40</v>
      </c>
      <c r="E57" s="5" t="s">
        <v>10</v>
      </c>
      <c r="F57" s="107" t="s">
        <v>4</v>
      </c>
      <c r="G57" s="107" t="s">
        <v>2</v>
      </c>
      <c r="H57" s="107" t="s">
        <v>5</v>
      </c>
      <c r="I57" s="108" t="s">
        <v>1</v>
      </c>
      <c r="J57" s="2"/>
    </row>
    <row r="58" spans="1:14" x14ac:dyDescent="0.3">
      <c r="A58" s="5">
        <v>4</v>
      </c>
      <c r="B58" s="42">
        <v>1</v>
      </c>
      <c r="C58" s="42" t="s">
        <v>81</v>
      </c>
      <c r="D58" s="5" t="s">
        <v>0</v>
      </c>
      <c r="F58" s="107" t="s">
        <v>5</v>
      </c>
      <c r="G58" s="107" t="s">
        <v>7</v>
      </c>
      <c r="H58" s="107" t="s">
        <v>1</v>
      </c>
      <c r="I58" s="107" t="s">
        <v>4</v>
      </c>
      <c r="J58" s="2"/>
    </row>
    <row r="59" spans="1:14" x14ac:dyDescent="0.3">
      <c r="A59" s="5">
        <v>4</v>
      </c>
      <c r="B59" s="42">
        <v>2</v>
      </c>
      <c r="C59" s="107" t="str">
        <f t="shared" ref="C59:C62" si="6">IF(B59, "speak", "type")</f>
        <v>speak</v>
      </c>
      <c r="D59" s="5" t="s">
        <v>40</v>
      </c>
      <c r="E59" s="5" t="s">
        <v>10</v>
      </c>
      <c r="F59" s="107" t="s">
        <v>5</v>
      </c>
      <c r="G59" s="107" t="s">
        <v>7</v>
      </c>
      <c r="H59" s="108" t="s">
        <v>1</v>
      </c>
      <c r="I59" s="107" t="s">
        <v>4</v>
      </c>
      <c r="J59" s="2"/>
    </row>
    <row r="60" spans="1:14" x14ac:dyDescent="0.3">
      <c r="A60" s="5">
        <v>4</v>
      </c>
      <c r="B60" s="42">
        <v>2</v>
      </c>
      <c r="C60" s="107" t="str">
        <f t="shared" si="6"/>
        <v>speak</v>
      </c>
      <c r="D60" s="5" t="s">
        <v>0</v>
      </c>
      <c r="F60" s="107" t="s">
        <v>6</v>
      </c>
      <c r="G60" s="107" t="s">
        <v>1</v>
      </c>
      <c r="H60" s="107" t="s">
        <v>8</v>
      </c>
      <c r="I60" s="107" t="s">
        <v>7</v>
      </c>
      <c r="J60" s="2"/>
    </row>
    <row r="61" spans="1:14" x14ac:dyDescent="0.3">
      <c r="A61" s="5">
        <v>4</v>
      </c>
      <c r="B61" s="42">
        <v>2</v>
      </c>
      <c r="C61" s="107" t="str">
        <f t="shared" si="6"/>
        <v>speak</v>
      </c>
      <c r="D61" s="5" t="s">
        <v>40</v>
      </c>
      <c r="E61" s="5" t="s">
        <v>9</v>
      </c>
      <c r="F61" s="107" t="s">
        <v>6</v>
      </c>
      <c r="G61" s="108" t="s">
        <v>1</v>
      </c>
      <c r="H61" s="107" t="s">
        <v>8</v>
      </c>
      <c r="I61" s="107" t="s">
        <v>7</v>
      </c>
      <c r="J61" s="2"/>
    </row>
    <row r="62" spans="1:14" x14ac:dyDescent="0.3">
      <c r="A62" s="5">
        <v>4</v>
      </c>
      <c r="B62" s="42">
        <v>2</v>
      </c>
      <c r="C62" s="107" t="str">
        <f t="shared" si="6"/>
        <v>speak</v>
      </c>
      <c r="D62" s="5" t="s">
        <v>0</v>
      </c>
      <c r="F62" s="107" t="s">
        <v>7</v>
      </c>
      <c r="G62" s="107" t="s">
        <v>6</v>
      </c>
      <c r="H62" s="107" t="s">
        <v>3</v>
      </c>
      <c r="I62" s="107" t="s">
        <v>8</v>
      </c>
      <c r="J62" s="2"/>
    </row>
    <row r="63" spans="1:14" x14ac:dyDescent="0.3">
      <c r="A63" s="5">
        <v>4</v>
      </c>
      <c r="B63" s="42">
        <v>1</v>
      </c>
      <c r="C63" s="42" t="s">
        <v>81</v>
      </c>
      <c r="D63" s="5" t="s">
        <v>40</v>
      </c>
      <c r="E63" s="5" t="s">
        <v>10</v>
      </c>
      <c r="F63" s="107" t="s">
        <v>7</v>
      </c>
      <c r="G63" s="107" t="s">
        <v>6</v>
      </c>
      <c r="H63" s="107" t="s">
        <v>3</v>
      </c>
      <c r="I63" s="107" t="s">
        <v>8</v>
      </c>
      <c r="J63" s="2"/>
    </row>
    <row r="64" spans="1:14" x14ac:dyDescent="0.3">
      <c r="A64" s="5">
        <v>4</v>
      </c>
      <c r="B64" s="42">
        <v>1</v>
      </c>
      <c r="C64" s="42" t="s">
        <v>81</v>
      </c>
      <c r="D64" s="5" t="s">
        <v>0</v>
      </c>
      <c r="F64" s="107" t="s">
        <v>8</v>
      </c>
      <c r="G64" s="107" t="s">
        <v>5</v>
      </c>
      <c r="H64" s="107" t="s">
        <v>7</v>
      </c>
      <c r="I64" s="107" t="s">
        <v>2</v>
      </c>
      <c r="J64" s="2"/>
    </row>
    <row r="65" spans="1:10" x14ac:dyDescent="0.3">
      <c r="A65" s="5">
        <v>4</v>
      </c>
      <c r="B65" s="42">
        <v>1</v>
      </c>
      <c r="C65" s="42" t="s">
        <v>81</v>
      </c>
      <c r="D65" s="5" t="s">
        <v>40</v>
      </c>
      <c r="E65" s="5" t="s">
        <v>9</v>
      </c>
      <c r="F65" s="107" t="s">
        <v>8</v>
      </c>
      <c r="G65" s="107" t="s">
        <v>5</v>
      </c>
      <c r="H65" s="107" t="s">
        <v>7</v>
      </c>
      <c r="I65" s="107" t="s">
        <v>2</v>
      </c>
      <c r="J65" s="2"/>
    </row>
  </sheetData>
  <phoneticPr fontId="2" type="noConversion"/>
  <pageMargins left="0.7" right="0.7" top="0.75" bottom="0.75" header="0.3" footer="0.3"/>
  <pageSetup paperSize="9" orientation="portrait" horizontalDpi="360" verticalDpi="36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50E9-2F6C-4086-A0D9-3FE629B4A7B1}">
  <dimension ref="A1:I15"/>
  <sheetViews>
    <sheetView workbookViewId="0">
      <selection activeCell="E19" sqref="E19"/>
    </sheetView>
  </sheetViews>
  <sheetFormatPr defaultRowHeight="14.4" x14ac:dyDescent="0.3"/>
  <sheetData>
    <row r="1" spans="1:9" x14ac:dyDescent="0.3">
      <c r="B1" t="s">
        <v>14</v>
      </c>
      <c r="C1" t="s">
        <v>120</v>
      </c>
      <c r="D1" t="s">
        <v>15</v>
      </c>
      <c r="E1" t="s">
        <v>120</v>
      </c>
      <c r="F1" t="s">
        <v>16</v>
      </c>
      <c r="G1" t="s">
        <v>120</v>
      </c>
      <c r="H1" t="s">
        <v>17</v>
      </c>
      <c r="I1" t="s">
        <v>120</v>
      </c>
    </row>
    <row r="2" spans="1:9" x14ac:dyDescent="0.3">
      <c r="A2" t="s">
        <v>1</v>
      </c>
      <c r="B2" t="s">
        <v>32</v>
      </c>
      <c r="C2" s="33">
        <v>128</v>
      </c>
      <c r="D2" t="s">
        <v>33</v>
      </c>
      <c r="E2" s="5">
        <v>16</v>
      </c>
      <c r="F2" t="s">
        <v>105</v>
      </c>
      <c r="G2" s="5">
        <v>178</v>
      </c>
      <c r="H2" s="25" t="s">
        <v>123</v>
      </c>
      <c r="I2">
        <v>354</v>
      </c>
    </row>
    <row r="3" spans="1:9" x14ac:dyDescent="0.3">
      <c r="A3" t="s">
        <v>2</v>
      </c>
      <c r="B3" t="s">
        <v>102</v>
      </c>
      <c r="C3" s="33">
        <v>142</v>
      </c>
      <c r="D3" t="s">
        <v>104</v>
      </c>
      <c r="E3" s="5">
        <v>175</v>
      </c>
      <c r="F3" t="s">
        <v>35</v>
      </c>
      <c r="G3" s="5">
        <v>242</v>
      </c>
      <c r="H3" s="25" t="s">
        <v>124</v>
      </c>
      <c r="I3">
        <v>377</v>
      </c>
    </row>
    <row r="4" spans="1:9" x14ac:dyDescent="0.3">
      <c r="A4" t="s">
        <v>3</v>
      </c>
      <c r="B4" t="s">
        <v>103</v>
      </c>
      <c r="C4" s="33">
        <v>152</v>
      </c>
      <c r="D4" t="s">
        <v>108</v>
      </c>
      <c r="E4" s="5">
        <v>30</v>
      </c>
      <c r="F4" t="s">
        <v>112</v>
      </c>
      <c r="G4" s="5">
        <v>48</v>
      </c>
      <c r="H4" t="s">
        <v>111</v>
      </c>
      <c r="I4">
        <v>381</v>
      </c>
    </row>
    <row r="5" spans="1:9" x14ac:dyDescent="0.3">
      <c r="A5" t="s">
        <v>4</v>
      </c>
      <c r="B5" t="s">
        <v>106</v>
      </c>
      <c r="C5" s="33">
        <v>19</v>
      </c>
      <c r="D5" t="s">
        <v>109</v>
      </c>
      <c r="E5" s="5">
        <v>319</v>
      </c>
      <c r="F5" s="25" t="s">
        <v>122</v>
      </c>
      <c r="G5" s="5">
        <v>487</v>
      </c>
      <c r="H5" s="25" t="s">
        <v>126</v>
      </c>
      <c r="I5">
        <v>411</v>
      </c>
    </row>
    <row r="6" spans="1:9" x14ac:dyDescent="0.3">
      <c r="A6" t="s">
        <v>5</v>
      </c>
      <c r="B6" s="25" t="s">
        <v>34</v>
      </c>
      <c r="C6" s="33">
        <v>199</v>
      </c>
      <c r="D6" t="s">
        <v>110</v>
      </c>
      <c r="E6" s="5">
        <v>320</v>
      </c>
      <c r="F6" t="s">
        <v>114</v>
      </c>
      <c r="G6" s="5">
        <v>552</v>
      </c>
      <c r="H6" t="s">
        <v>116</v>
      </c>
      <c r="I6">
        <v>636</v>
      </c>
    </row>
    <row r="7" spans="1:9" x14ac:dyDescent="0.3">
      <c r="A7" t="s">
        <v>6</v>
      </c>
      <c r="B7" t="s">
        <v>107</v>
      </c>
      <c r="C7" s="33">
        <v>235</v>
      </c>
      <c r="D7" t="s">
        <v>113</v>
      </c>
      <c r="E7" s="5">
        <v>517</v>
      </c>
      <c r="F7" t="s">
        <v>115</v>
      </c>
      <c r="G7" s="5">
        <v>576</v>
      </c>
      <c r="H7" s="25" t="s">
        <v>125</v>
      </c>
      <c r="I7">
        <v>664</v>
      </c>
    </row>
    <row r="8" spans="1:9" x14ac:dyDescent="0.3">
      <c r="A8" t="s">
        <v>7</v>
      </c>
      <c r="B8" t="s">
        <v>36</v>
      </c>
      <c r="C8" s="33">
        <v>264</v>
      </c>
      <c r="D8" t="s">
        <v>38</v>
      </c>
      <c r="E8" s="5">
        <v>610</v>
      </c>
      <c r="F8" t="s">
        <v>39</v>
      </c>
      <c r="G8" s="5">
        <v>687</v>
      </c>
      <c r="H8" t="s">
        <v>118</v>
      </c>
      <c r="I8">
        <v>8</v>
      </c>
    </row>
    <row r="9" spans="1:9" x14ac:dyDescent="0.3">
      <c r="A9" t="s">
        <v>8</v>
      </c>
      <c r="B9" t="s">
        <v>37</v>
      </c>
      <c r="C9" s="33">
        <v>271</v>
      </c>
      <c r="D9" s="25" t="s">
        <v>121</v>
      </c>
      <c r="E9" s="5">
        <v>622</v>
      </c>
      <c r="F9" t="s">
        <v>117</v>
      </c>
      <c r="G9" s="5">
        <v>719</v>
      </c>
      <c r="H9" t="s">
        <v>119</v>
      </c>
      <c r="I9">
        <v>91</v>
      </c>
    </row>
    <row r="11" spans="1:9" x14ac:dyDescent="0.3"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x14ac:dyDescent="0.3">
      <c r="A12" s="1" t="s">
        <v>14</v>
      </c>
      <c r="B12" t="s">
        <v>32</v>
      </c>
      <c r="C12" t="s">
        <v>102</v>
      </c>
      <c r="D12" t="s">
        <v>103</v>
      </c>
      <c r="E12" t="s">
        <v>106</v>
      </c>
      <c r="F12" t="s">
        <v>34</v>
      </c>
      <c r="G12" t="s">
        <v>107</v>
      </c>
      <c r="H12" t="s">
        <v>36</v>
      </c>
      <c r="I12" t="s">
        <v>37</v>
      </c>
    </row>
    <row r="13" spans="1:9" x14ac:dyDescent="0.3">
      <c r="A13" s="1" t="s">
        <v>15</v>
      </c>
      <c r="B13" t="s">
        <v>33</v>
      </c>
      <c r="C13" t="s">
        <v>104</v>
      </c>
      <c r="D13" t="s">
        <v>108</v>
      </c>
      <c r="E13" t="s">
        <v>109</v>
      </c>
      <c r="F13" t="s">
        <v>110</v>
      </c>
      <c r="G13" t="s">
        <v>113</v>
      </c>
      <c r="H13" t="s">
        <v>38</v>
      </c>
      <c r="I13" t="s">
        <v>121</v>
      </c>
    </row>
    <row r="14" spans="1:9" x14ac:dyDescent="0.3">
      <c r="A14" s="1" t="s">
        <v>16</v>
      </c>
      <c r="B14" t="s">
        <v>105</v>
      </c>
      <c r="C14" t="s">
        <v>35</v>
      </c>
      <c r="D14" t="s">
        <v>112</v>
      </c>
      <c r="E14" t="s">
        <v>122</v>
      </c>
      <c r="F14" t="s">
        <v>114</v>
      </c>
      <c r="G14" t="s">
        <v>115</v>
      </c>
      <c r="H14" t="s">
        <v>39</v>
      </c>
      <c r="I14" t="s">
        <v>117</v>
      </c>
    </row>
    <row r="15" spans="1:9" x14ac:dyDescent="0.3">
      <c r="A15" s="1" t="s">
        <v>17</v>
      </c>
      <c r="B15" t="s">
        <v>123</v>
      </c>
      <c r="C15" t="s">
        <v>124</v>
      </c>
      <c r="D15" t="s">
        <v>111</v>
      </c>
      <c r="E15" t="s">
        <v>126</v>
      </c>
      <c r="F15" t="s">
        <v>116</v>
      </c>
      <c r="G15" s="18" t="s">
        <v>125</v>
      </c>
      <c r="H15" t="s">
        <v>118</v>
      </c>
      <c r="I15" t="s">
        <v>119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8"/>
  <sheetViews>
    <sheetView zoomScale="85" zoomScaleNormal="85" workbookViewId="0">
      <selection activeCell="H23" sqref="H23"/>
    </sheetView>
  </sheetViews>
  <sheetFormatPr defaultRowHeight="14.4" x14ac:dyDescent="0.3"/>
  <cols>
    <col min="1" max="2" width="19.5546875" customWidth="1"/>
    <col min="4" max="4" width="19.5546875" customWidth="1"/>
    <col min="6" max="6" width="12.6640625" customWidth="1"/>
    <col min="7" max="7" width="11" bestFit="1" customWidth="1"/>
  </cols>
  <sheetData>
    <row r="1" spans="1:9" x14ac:dyDescent="0.3">
      <c r="A1" s="4" t="s">
        <v>83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</row>
    <row r="2" spans="1:9" x14ac:dyDescent="0.3">
      <c r="A2" s="7">
        <v>1</v>
      </c>
      <c r="B2" s="7">
        <v>2</v>
      </c>
      <c r="C2" s="12" t="s">
        <v>80</v>
      </c>
      <c r="D2" s="4" t="s">
        <v>0</v>
      </c>
      <c r="E2" s="4" t="s">
        <v>41</v>
      </c>
      <c r="F2" s="4" t="s">
        <v>43</v>
      </c>
    </row>
    <row r="3" spans="1:9" x14ac:dyDescent="0.3">
      <c r="A3" s="7">
        <v>1</v>
      </c>
      <c r="B3" s="7">
        <v>2</v>
      </c>
      <c r="C3" s="7" t="s">
        <v>80</v>
      </c>
      <c r="D3" s="4" t="s">
        <v>40</v>
      </c>
      <c r="E3" s="4" t="s">
        <v>9</v>
      </c>
      <c r="F3" s="4" t="s">
        <v>43</v>
      </c>
    </row>
    <row r="4" spans="1:9" x14ac:dyDescent="0.3">
      <c r="A4" s="7">
        <v>1</v>
      </c>
      <c r="B4" s="14">
        <v>1</v>
      </c>
      <c r="C4" s="13" t="s">
        <v>81</v>
      </c>
      <c r="D4" s="8" t="s">
        <v>29</v>
      </c>
      <c r="E4" s="4" t="s">
        <v>42</v>
      </c>
      <c r="F4" s="4" t="s">
        <v>74</v>
      </c>
      <c r="I4" t="s">
        <v>30</v>
      </c>
    </row>
    <row r="5" spans="1:9" x14ac:dyDescent="0.3">
      <c r="A5" s="7">
        <v>1</v>
      </c>
      <c r="B5" s="7">
        <v>2</v>
      </c>
      <c r="C5" s="7" t="s">
        <v>80</v>
      </c>
      <c r="D5" s="4" t="s">
        <v>0</v>
      </c>
      <c r="E5" s="4" t="s">
        <v>41</v>
      </c>
      <c r="F5" s="4" t="s">
        <v>44</v>
      </c>
      <c r="I5" t="s">
        <v>31</v>
      </c>
    </row>
    <row r="6" spans="1:9" x14ac:dyDescent="0.3">
      <c r="A6" s="7">
        <v>1</v>
      </c>
      <c r="B6" s="7">
        <v>2</v>
      </c>
      <c r="C6" s="12" t="s">
        <v>80</v>
      </c>
      <c r="D6" s="4" t="s">
        <v>40</v>
      </c>
      <c r="E6" s="4" t="s">
        <v>9</v>
      </c>
      <c r="F6" s="4" t="s">
        <v>44</v>
      </c>
    </row>
    <row r="7" spans="1:9" x14ac:dyDescent="0.3">
      <c r="A7" s="7">
        <v>1</v>
      </c>
      <c r="B7" s="14">
        <v>1</v>
      </c>
      <c r="C7" s="14" t="s">
        <v>81</v>
      </c>
      <c r="D7" s="8" t="s">
        <v>29</v>
      </c>
      <c r="E7" s="4" t="s">
        <v>42</v>
      </c>
      <c r="F7" s="4" t="s">
        <v>73</v>
      </c>
      <c r="I7" s="2" t="s">
        <v>82</v>
      </c>
    </row>
    <row r="8" spans="1:9" x14ac:dyDescent="0.3">
      <c r="A8" s="7">
        <v>1</v>
      </c>
      <c r="B8" s="7">
        <v>2</v>
      </c>
      <c r="C8" s="12" t="s">
        <v>80</v>
      </c>
      <c r="D8" s="4" t="s">
        <v>0</v>
      </c>
      <c r="E8" s="4" t="s">
        <v>41</v>
      </c>
      <c r="F8" s="4" t="s">
        <v>45</v>
      </c>
      <c r="I8" s="2"/>
    </row>
    <row r="9" spans="1:9" x14ac:dyDescent="0.3">
      <c r="A9" s="7">
        <v>1</v>
      </c>
      <c r="B9" s="7">
        <v>1</v>
      </c>
      <c r="C9" s="7" t="s">
        <v>81</v>
      </c>
      <c r="D9" s="4" t="s">
        <v>40</v>
      </c>
      <c r="E9" s="4" t="s">
        <v>10</v>
      </c>
      <c r="F9" s="4" t="s">
        <v>45</v>
      </c>
      <c r="I9" t="s">
        <v>26</v>
      </c>
    </row>
    <row r="10" spans="1:9" x14ac:dyDescent="0.3">
      <c r="A10" s="7">
        <v>1</v>
      </c>
      <c r="B10" s="7">
        <v>1</v>
      </c>
      <c r="C10" s="12" t="s">
        <v>81</v>
      </c>
      <c r="D10" s="4" t="s">
        <v>0</v>
      </c>
      <c r="E10" s="4" t="s">
        <v>41</v>
      </c>
      <c r="F10" s="4" t="s">
        <v>46</v>
      </c>
      <c r="I10" t="s">
        <v>84</v>
      </c>
    </row>
    <row r="11" spans="1:9" x14ac:dyDescent="0.3">
      <c r="A11" s="7">
        <v>1</v>
      </c>
      <c r="B11" s="7">
        <v>2</v>
      </c>
      <c r="C11" s="7" t="s">
        <v>80</v>
      </c>
      <c r="D11" s="4" t="s">
        <v>40</v>
      </c>
      <c r="E11" s="4" t="s">
        <v>10</v>
      </c>
      <c r="F11" s="4" t="s">
        <v>46</v>
      </c>
      <c r="I11" t="s">
        <v>27</v>
      </c>
    </row>
    <row r="12" spans="1:9" x14ac:dyDescent="0.3">
      <c r="A12" s="7">
        <v>1</v>
      </c>
      <c r="B12" s="14">
        <v>2</v>
      </c>
      <c r="C12" s="13" t="s">
        <v>80</v>
      </c>
      <c r="D12" s="8" t="s">
        <v>29</v>
      </c>
      <c r="E12" s="4" t="s">
        <v>42</v>
      </c>
      <c r="F12" s="4" t="s">
        <v>72</v>
      </c>
      <c r="I12" t="s">
        <v>85</v>
      </c>
    </row>
    <row r="13" spans="1:9" x14ac:dyDescent="0.3">
      <c r="A13" s="7">
        <v>1</v>
      </c>
      <c r="B13" s="7">
        <v>2</v>
      </c>
      <c r="C13" s="7" t="s">
        <v>80</v>
      </c>
      <c r="D13" s="4" t="s">
        <v>0</v>
      </c>
      <c r="E13" s="4" t="s">
        <v>41</v>
      </c>
      <c r="F13" s="4" t="s">
        <v>47</v>
      </c>
      <c r="I13" s="2"/>
    </row>
    <row r="14" spans="1:9" x14ac:dyDescent="0.3">
      <c r="A14" s="7">
        <v>1</v>
      </c>
      <c r="B14" s="7">
        <v>1</v>
      </c>
      <c r="C14" s="12" t="s">
        <v>81</v>
      </c>
      <c r="D14" s="4" t="s">
        <v>40</v>
      </c>
      <c r="E14" s="4" t="s">
        <v>10</v>
      </c>
      <c r="F14" s="4" t="s">
        <v>47</v>
      </c>
      <c r="I14" s="2"/>
    </row>
    <row r="15" spans="1:9" x14ac:dyDescent="0.3">
      <c r="A15" s="7">
        <v>1</v>
      </c>
      <c r="B15" s="14">
        <v>2</v>
      </c>
      <c r="C15" s="14" t="s">
        <v>80</v>
      </c>
      <c r="D15" s="8" t="s">
        <v>29</v>
      </c>
      <c r="E15" s="4" t="s">
        <v>42</v>
      </c>
      <c r="F15" s="4" t="s">
        <v>71</v>
      </c>
    </row>
    <row r="16" spans="1:9" x14ac:dyDescent="0.3">
      <c r="A16" s="7">
        <v>1</v>
      </c>
      <c r="B16" s="7">
        <v>1</v>
      </c>
      <c r="C16" s="12" t="s">
        <v>81</v>
      </c>
      <c r="D16" s="4" t="s">
        <v>0</v>
      </c>
      <c r="E16" s="4" t="s">
        <v>41</v>
      </c>
      <c r="F16" s="4" t="s">
        <v>48</v>
      </c>
    </row>
    <row r="17" spans="1:10" x14ac:dyDescent="0.3">
      <c r="A17" s="7">
        <v>1</v>
      </c>
      <c r="B17" s="7">
        <v>1</v>
      </c>
      <c r="C17" s="7" t="s">
        <v>81</v>
      </c>
      <c r="D17" s="4" t="s">
        <v>40</v>
      </c>
      <c r="E17" s="4" t="s">
        <v>9</v>
      </c>
      <c r="F17" s="4" t="s">
        <v>48</v>
      </c>
    </row>
    <row r="18" spans="1:10" x14ac:dyDescent="0.3">
      <c r="A18" s="7">
        <v>1</v>
      </c>
      <c r="B18" s="14">
        <v>2</v>
      </c>
      <c r="C18" s="13" t="s">
        <v>80</v>
      </c>
      <c r="D18" s="8" t="s">
        <v>29</v>
      </c>
      <c r="E18" s="4" t="s">
        <v>42</v>
      </c>
      <c r="F18" s="4" t="s">
        <v>94</v>
      </c>
    </row>
    <row r="19" spans="1:10" x14ac:dyDescent="0.3">
      <c r="A19" s="7">
        <v>1</v>
      </c>
      <c r="B19" s="7">
        <v>1</v>
      </c>
      <c r="C19" s="7" t="s">
        <v>81</v>
      </c>
      <c r="D19" s="4" t="s">
        <v>0</v>
      </c>
      <c r="E19" s="4" t="s">
        <v>41</v>
      </c>
      <c r="F19" s="4" t="s">
        <v>49</v>
      </c>
    </row>
    <row r="20" spans="1:10" x14ac:dyDescent="0.3">
      <c r="A20" s="7">
        <v>1</v>
      </c>
      <c r="B20" s="7">
        <v>1</v>
      </c>
      <c r="C20" s="12" t="s">
        <v>81</v>
      </c>
      <c r="D20" s="4" t="s">
        <v>40</v>
      </c>
      <c r="E20" s="4" t="s">
        <v>9</v>
      </c>
      <c r="F20" s="4" t="s">
        <v>49</v>
      </c>
    </row>
    <row r="21" spans="1:10" x14ac:dyDescent="0.3">
      <c r="A21" s="7">
        <v>1</v>
      </c>
      <c r="B21" s="14">
        <v>2</v>
      </c>
      <c r="C21" s="14" t="s">
        <v>80</v>
      </c>
      <c r="D21" s="8" t="s">
        <v>29</v>
      </c>
      <c r="E21" s="4" t="s">
        <v>42</v>
      </c>
      <c r="F21" s="4" t="s">
        <v>69</v>
      </c>
    </row>
    <row r="22" spans="1:10" x14ac:dyDescent="0.3">
      <c r="A22" s="7">
        <v>1</v>
      </c>
      <c r="B22" s="7">
        <v>1</v>
      </c>
      <c r="C22" s="12" t="s">
        <v>81</v>
      </c>
      <c r="D22" s="4" t="s">
        <v>0</v>
      </c>
      <c r="E22" s="4" t="s">
        <v>41</v>
      </c>
      <c r="F22" s="4" t="s">
        <v>50</v>
      </c>
    </row>
    <row r="23" spans="1:10" x14ac:dyDescent="0.3">
      <c r="A23" s="7">
        <v>1</v>
      </c>
      <c r="B23" s="7">
        <v>2</v>
      </c>
      <c r="C23" s="7" t="s">
        <v>80</v>
      </c>
      <c r="D23" s="4" t="s">
        <v>40</v>
      </c>
      <c r="E23" s="4" t="s">
        <v>10</v>
      </c>
      <c r="F23" s="4" t="s">
        <v>50</v>
      </c>
    </row>
    <row r="24" spans="1:10" x14ac:dyDescent="0.3">
      <c r="A24" s="7">
        <v>1</v>
      </c>
      <c r="B24" s="14">
        <v>1</v>
      </c>
      <c r="C24" s="13" t="s">
        <v>81</v>
      </c>
      <c r="D24" s="8" t="s">
        <v>29</v>
      </c>
      <c r="E24" s="4" t="s">
        <v>42</v>
      </c>
      <c r="F24" s="4" t="s">
        <v>68</v>
      </c>
    </row>
    <row r="25" spans="1:10" x14ac:dyDescent="0.3">
      <c r="A25" s="7">
        <v>1</v>
      </c>
      <c r="B25" s="14">
        <v>1</v>
      </c>
      <c r="C25" s="14" t="s">
        <v>81</v>
      </c>
      <c r="D25" s="8" t="s">
        <v>29</v>
      </c>
      <c r="E25" s="4" t="s">
        <v>42</v>
      </c>
      <c r="F25" s="4" t="s">
        <v>67</v>
      </c>
    </row>
    <row r="26" spans="1:10" x14ac:dyDescent="0.3">
      <c r="A26" s="7">
        <v>1</v>
      </c>
      <c r="B26" s="4">
        <v>2</v>
      </c>
      <c r="C26" s="22" t="s">
        <v>80</v>
      </c>
      <c r="D26" s="4" t="s">
        <v>0</v>
      </c>
      <c r="E26" s="4" t="s">
        <v>41</v>
      </c>
      <c r="F26" s="4" t="s">
        <v>46</v>
      </c>
    </row>
    <row r="27" spans="1:10" x14ac:dyDescent="0.3">
      <c r="A27" s="7">
        <v>1</v>
      </c>
      <c r="B27" s="4">
        <v>2</v>
      </c>
      <c r="C27" s="22" t="s">
        <v>80</v>
      </c>
      <c r="D27" s="4" t="s">
        <v>40</v>
      </c>
      <c r="E27" s="4" t="s">
        <v>9</v>
      </c>
      <c r="F27" s="4" t="s">
        <v>46</v>
      </c>
    </row>
    <row r="28" spans="1:10" x14ac:dyDescent="0.3">
      <c r="A28" s="7">
        <v>1</v>
      </c>
      <c r="B28" s="4">
        <v>2</v>
      </c>
      <c r="C28" s="22" t="s">
        <v>80</v>
      </c>
      <c r="D28" s="4" t="s">
        <v>0</v>
      </c>
      <c r="E28" s="4" t="s">
        <v>41</v>
      </c>
      <c r="F28" s="4" t="s">
        <v>45</v>
      </c>
    </row>
    <row r="29" spans="1:10" x14ac:dyDescent="0.3">
      <c r="A29" s="7">
        <v>1</v>
      </c>
      <c r="B29" s="4">
        <v>2</v>
      </c>
      <c r="C29" s="22" t="s">
        <v>80</v>
      </c>
      <c r="D29" s="4" t="s">
        <v>40</v>
      </c>
      <c r="E29" s="4" t="s">
        <v>9</v>
      </c>
      <c r="F29" s="4" t="s">
        <v>45</v>
      </c>
    </row>
    <row r="30" spans="1:10" x14ac:dyDescent="0.3">
      <c r="A30" s="7">
        <v>1</v>
      </c>
      <c r="B30" s="14">
        <v>1</v>
      </c>
      <c r="C30" s="13" t="s">
        <v>81</v>
      </c>
      <c r="D30" s="8" t="s">
        <v>29</v>
      </c>
      <c r="E30" s="4" t="s">
        <v>42</v>
      </c>
      <c r="F30" s="4" t="s">
        <v>72</v>
      </c>
    </row>
    <row r="31" spans="1:10" x14ac:dyDescent="0.3">
      <c r="A31" s="7">
        <v>1</v>
      </c>
      <c r="B31" s="14">
        <v>1</v>
      </c>
      <c r="C31" s="14" t="s">
        <v>81</v>
      </c>
      <c r="D31" s="8" t="s">
        <v>29</v>
      </c>
      <c r="E31" s="4" t="s">
        <v>42</v>
      </c>
      <c r="F31" s="4" t="s">
        <v>67</v>
      </c>
      <c r="J31" s="2"/>
    </row>
    <row r="32" spans="1:10" x14ac:dyDescent="0.3">
      <c r="A32" s="7">
        <v>1</v>
      </c>
      <c r="B32" s="4">
        <v>2</v>
      </c>
      <c r="C32" s="15" t="s">
        <v>80</v>
      </c>
      <c r="D32" s="4" t="s">
        <v>0</v>
      </c>
      <c r="E32" s="4" t="s">
        <v>41</v>
      </c>
      <c r="F32" s="4" t="s">
        <v>48</v>
      </c>
      <c r="J32" s="2"/>
    </row>
    <row r="33" spans="1:11" x14ac:dyDescent="0.3">
      <c r="A33" s="7">
        <v>1</v>
      </c>
      <c r="B33" s="4">
        <v>1</v>
      </c>
      <c r="C33" s="4" t="s">
        <v>81</v>
      </c>
      <c r="D33" s="4" t="s">
        <v>40</v>
      </c>
      <c r="E33" s="4" t="s">
        <v>10</v>
      </c>
      <c r="F33" s="4" t="s">
        <v>48</v>
      </c>
      <c r="J33" s="2"/>
    </row>
    <row r="34" spans="1:11" x14ac:dyDescent="0.3">
      <c r="A34" s="7">
        <v>1</v>
      </c>
      <c r="B34" s="14">
        <v>2</v>
      </c>
      <c r="C34" s="13" t="s">
        <v>80</v>
      </c>
      <c r="D34" s="8" t="s">
        <v>29</v>
      </c>
      <c r="E34" s="4" t="s">
        <v>42</v>
      </c>
      <c r="F34" s="4" t="s">
        <v>71</v>
      </c>
      <c r="J34" s="2"/>
    </row>
    <row r="35" spans="1:11" x14ac:dyDescent="0.3">
      <c r="A35" s="7">
        <v>1</v>
      </c>
      <c r="B35" s="4">
        <v>1</v>
      </c>
      <c r="C35" s="4" t="s">
        <v>81</v>
      </c>
      <c r="D35" s="4" t="s">
        <v>0</v>
      </c>
      <c r="E35" s="4" t="s">
        <v>41</v>
      </c>
      <c r="F35" s="4" t="s">
        <v>44</v>
      </c>
      <c r="J35" s="2"/>
    </row>
    <row r="36" spans="1:11" x14ac:dyDescent="0.3">
      <c r="A36" s="7">
        <v>1</v>
      </c>
      <c r="B36" s="4">
        <v>2</v>
      </c>
      <c r="C36" s="15" t="s">
        <v>80</v>
      </c>
      <c r="D36" s="4" t="s">
        <v>40</v>
      </c>
      <c r="E36" s="4" t="s">
        <v>10</v>
      </c>
      <c r="F36" s="4" t="s">
        <v>44</v>
      </c>
      <c r="J36" s="2"/>
      <c r="K36" s="2"/>
    </row>
    <row r="37" spans="1:11" x14ac:dyDescent="0.3">
      <c r="A37" s="7">
        <v>1</v>
      </c>
      <c r="B37" s="4">
        <v>2</v>
      </c>
      <c r="C37" s="4" t="s">
        <v>80</v>
      </c>
      <c r="D37" s="4" t="s">
        <v>0</v>
      </c>
      <c r="E37" s="4" t="s">
        <v>41</v>
      </c>
      <c r="F37" s="4" t="s">
        <v>43</v>
      </c>
      <c r="J37" s="2"/>
      <c r="K37" s="2"/>
    </row>
    <row r="38" spans="1:11" x14ac:dyDescent="0.3">
      <c r="A38" s="7">
        <v>1</v>
      </c>
      <c r="B38" s="4">
        <v>1</v>
      </c>
      <c r="C38" s="15" t="s">
        <v>81</v>
      </c>
      <c r="D38" s="4" t="s">
        <v>40</v>
      </c>
      <c r="E38" s="4" t="s">
        <v>10</v>
      </c>
      <c r="F38" s="4" t="s">
        <v>43</v>
      </c>
      <c r="J38" s="2"/>
      <c r="K38" s="2"/>
    </row>
    <row r="39" spans="1:11" x14ac:dyDescent="0.3">
      <c r="A39" s="7">
        <v>1</v>
      </c>
      <c r="B39" s="14">
        <v>2</v>
      </c>
      <c r="C39" s="14" t="s">
        <v>80</v>
      </c>
      <c r="D39" s="8" t="s">
        <v>29</v>
      </c>
      <c r="E39" s="4" t="s">
        <v>42</v>
      </c>
      <c r="F39" s="4" t="s">
        <v>73</v>
      </c>
      <c r="J39" s="2"/>
      <c r="K39" s="2"/>
    </row>
    <row r="40" spans="1:11" x14ac:dyDescent="0.3">
      <c r="A40" s="7">
        <v>1</v>
      </c>
      <c r="B40" s="4">
        <v>1</v>
      </c>
      <c r="C40" s="15" t="s">
        <v>81</v>
      </c>
      <c r="D40" s="4" t="s">
        <v>0</v>
      </c>
      <c r="E40" s="4" t="s">
        <v>41</v>
      </c>
      <c r="F40" s="4" t="s">
        <v>50</v>
      </c>
      <c r="J40" s="2"/>
      <c r="K40" s="2"/>
    </row>
    <row r="41" spans="1:11" x14ac:dyDescent="0.3">
      <c r="A41" s="7">
        <v>1</v>
      </c>
      <c r="B41" s="4">
        <v>1</v>
      </c>
      <c r="C41" s="15" t="s">
        <v>81</v>
      </c>
      <c r="D41" s="4" t="s">
        <v>40</v>
      </c>
      <c r="E41" s="4" t="s">
        <v>9</v>
      </c>
      <c r="F41" s="4" t="s">
        <v>50</v>
      </c>
      <c r="J41" s="2"/>
      <c r="K41" s="2"/>
    </row>
    <row r="42" spans="1:11" x14ac:dyDescent="0.3">
      <c r="A42" s="7">
        <v>1</v>
      </c>
      <c r="B42" s="14">
        <v>2</v>
      </c>
      <c r="C42" s="13" t="s">
        <v>80</v>
      </c>
      <c r="D42" s="8" t="s">
        <v>29</v>
      </c>
      <c r="E42" s="4" t="s">
        <v>42</v>
      </c>
      <c r="F42" s="4" t="s">
        <v>68</v>
      </c>
      <c r="J42" s="2"/>
      <c r="K42" s="2"/>
    </row>
    <row r="43" spans="1:11" x14ac:dyDescent="0.3">
      <c r="A43" s="7">
        <v>1</v>
      </c>
      <c r="B43" s="4">
        <v>1</v>
      </c>
      <c r="C43" s="4" t="s">
        <v>81</v>
      </c>
      <c r="D43" s="4" t="s">
        <v>0</v>
      </c>
      <c r="E43" s="4" t="s">
        <v>41</v>
      </c>
      <c r="F43" s="4" t="s">
        <v>47</v>
      </c>
      <c r="J43" s="2"/>
      <c r="K43" s="2"/>
    </row>
    <row r="44" spans="1:11" x14ac:dyDescent="0.3">
      <c r="A44" s="7">
        <v>1</v>
      </c>
      <c r="B44" s="4">
        <v>1</v>
      </c>
      <c r="C44" s="4" t="s">
        <v>81</v>
      </c>
      <c r="D44" s="4" t="s">
        <v>40</v>
      </c>
      <c r="E44" s="4" t="s">
        <v>9</v>
      </c>
      <c r="F44" s="4" t="s">
        <v>47</v>
      </c>
      <c r="J44" s="2"/>
      <c r="K44" s="2"/>
    </row>
    <row r="45" spans="1:11" x14ac:dyDescent="0.3">
      <c r="A45" s="7">
        <v>1</v>
      </c>
      <c r="B45" s="14">
        <v>1</v>
      </c>
      <c r="C45" s="14" t="s">
        <v>81</v>
      </c>
      <c r="D45" s="8" t="s">
        <v>29</v>
      </c>
      <c r="E45" s="4" t="s">
        <v>42</v>
      </c>
      <c r="F45" s="4" t="s">
        <v>74</v>
      </c>
      <c r="J45" s="2"/>
      <c r="K45" s="2"/>
    </row>
    <row r="46" spans="1:11" x14ac:dyDescent="0.3">
      <c r="A46" s="7">
        <v>1</v>
      </c>
      <c r="B46" s="14">
        <v>2</v>
      </c>
      <c r="C46" s="13" t="s">
        <v>80</v>
      </c>
      <c r="D46" s="8" t="s">
        <v>29</v>
      </c>
      <c r="E46" s="4" t="s">
        <v>42</v>
      </c>
      <c r="F46" s="4" t="s">
        <v>69</v>
      </c>
      <c r="J46" s="2"/>
      <c r="K46" s="2"/>
    </row>
    <row r="47" spans="1:11" x14ac:dyDescent="0.3">
      <c r="A47" s="7">
        <v>1</v>
      </c>
      <c r="B47" s="4">
        <v>1</v>
      </c>
      <c r="C47" s="4" t="s">
        <v>81</v>
      </c>
      <c r="D47" s="4" t="s">
        <v>0</v>
      </c>
      <c r="E47" s="4" t="s">
        <v>41</v>
      </c>
      <c r="F47" s="4" t="s">
        <v>49</v>
      </c>
      <c r="J47" s="2"/>
      <c r="K47" s="2"/>
    </row>
    <row r="48" spans="1:11" x14ac:dyDescent="0.3">
      <c r="A48" s="7">
        <v>1</v>
      </c>
      <c r="B48" s="4">
        <v>2</v>
      </c>
      <c r="C48" s="15" t="s">
        <v>80</v>
      </c>
      <c r="D48" s="4" t="s">
        <v>40</v>
      </c>
      <c r="E48" s="4" t="s">
        <v>10</v>
      </c>
      <c r="F48" s="4" t="s">
        <v>49</v>
      </c>
      <c r="J48" s="2"/>
      <c r="K48" s="2"/>
    </row>
    <row r="49" spans="1:11" x14ac:dyDescent="0.3">
      <c r="A49" s="7">
        <v>1</v>
      </c>
      <c r="B49" s="14">
        <v>1</v>
      </c>
      <c r="C49" s="14" t="s">
        <v>81</v>
      </c>
      <c r="D49" s="8" t="s">
        <v>29</v>
      </c>
      <c r="E49" s="4" t="s">
        <v>42</v>
      </c>
      <c r="F49" s="4" t="s">
        <v>70</v>
      </c>
      <c r="J49" s="2"/>
      <c r="K49" s="2"/>
    </row>
    <row r="50" spans="1:11" x14ac:dyDescent="0.3">
      <c r="A50" s="7">
        <v>1</v>
      </c>
      <c r="B50" s="14">
        <v>2</v>
      </c>
      <c r="C50" s="13" t="s">
        <v>80</v>
      </c>
      <c r="D50" s="8" t="s">
        <v>29</v>
      </c>
      <c r="E50" s="4" t="s">
        <v>42</v>
      </c>
      <c r="F50" s="4" t="s">
        <v>71</v>
      </c>
      <c r="J50" s="2"/>
      <c r="K50" s="2"/>
    </row>
    <row r="51" spans="1:11" x14ac:dyDescent="0.3">
      <c r="A51" s="7">
        <v>1</v>
      </c>
      <c r="B51" s="7">
        <v>2</v>
      </c>
      <c r="C51" s="7" t="s">
        <v>80</v>
      </c>
      <c r="D51" s="4" t="s">
        <v>0</v>
      </c>
      <c r="E51" s="4" t="s">
        <v>41</v>
      </c>
      <c r="F51" s="4" t="s">
        <v>49</v>
      </c>
      <c r="J51" s="2"/>
      <c r="K51" s="2"/>
    </row>
    <row r="52" spans="1:11" x14ac:dyDescent="0.3">
      <c r="A52" s="7">
        <v>1</v>
      </c>
      <c r="B52" s="7">
        <v>2</v>
      </c>
      <c r="C52" s="7" t="s">
        <v>80</v>
      </c>
      <c r="D52" s="4" t="s">
        <v>40</v>
      </c>
      <c r="E52" s="4" t="s">
        <v>9</v>
      </c>
      <c r="F52" s="4" t="s">
        <v>49</v>
      </c>
      <c r="K52" s="2"/>
    </row>
    <row r="53" spans="1:11" x14ac:dyDescent="0.3">
      <c r="A53" s="7">
        <v>1</v>
      </c>
      <c r="B53" s="14">
        <v>1</v>
      </c>
      <c r="C53" s="14" t="s">
        <v>81</v>
      </c>
      <c r="D53" s="8" t="s">
        <v>29</v>
      </c>
      <c r="E53" s="4" t="s">
        <v>42</v>
      </c>
      <c r="F53" s="4" t="s">
        <v>69</v>
      </c>
      <c r="K53" s="2"/>
    </row>
    <row r="54" spans="1:11" x14ac:dyDescent="0.3">
      <c r="A54" s="7">
        <v>1</v>
      </c>
      <c r="B54" s="14">
        <v>1</v>
      </c>
      <c r="C54" s="14" t="s">
        <v>81</v>
      </c>
      <c r="D54" s="8" t="s">
        <v>29</v>
      </c>
      <c r="E54" s="4" t="s">
        <v>42</v>
      </c>
      <c r="F54" s="4" t="s">
        <v>73</v>
      </c>
      <c r="K54" s="2"/>
    </row>
    <row r="55" spans="1:11" x14ac:dyDescent="0.3">
      <c r="A55" s="7">
        <v>1</v>
      </c>
      <c r="B55" s="7">
        <v>2</v>
      </c>
      <c r="C55" s="7" t="s">
        <v>80</v>
      </c>
      <c r="D55" s="4" t="s">
        <v>0</v>
      </c>
      <c r="E55" s="4" t="s">
        <v>41</v>
      </c>
      <c r="F55" s="4" t="s">
        <v>48</v>
      </c>
      <c r="K55" s="2"/>
    </row>
    <row r="56" spans="1:11" x14ac:dyDescent="0.3">
      <c r="A56" s="7">
        <v>1</v>
      </c>
      <c r="B56" s="7">
        <v>2</v>
      </c>
      <c r="C56" s="7" t="s">
        <v>80</v>
      </c>
      <c r="D56" s="4" t="s">
        <v>40</v>
      </c>
      <c r="E56" s="4" t="s">
        <v>9</v>
      </c>
      <c r="F56" s="4" t="s">
        <v>48</v>
      </c>
      <c r="K56" s="2"/>
    </row>
    <row r="57" spans="1:11" x14ac:dyDescent="0.3">
      <c r="A57" s="7">
        <v>1</v>
      </c>
      <c r="B57" s="7">
        <v>2</v>
      </c>
      <c r="C57" s="7" t="s">
        <v>80</v>
      </c>
      <c r="D57" s="4" t="s">
        <v>0</v>
      </c>
      <c r="E57" s="4" t="s">
        <v>41</v>
      </c>
      <c r="F57" s="4" t="s">
        <v>50</v>
      </c>
      <c r="K57" s="2"/>
    </row>
    <row r="58" spans="1:11" x14ac:dyDescent="0.3">
      <c r="A58" s="7">
        <v>1</v>
      </c>
      <c r="B58" s="7">
        <v>1</v>
      </c>
      <c r="C58" s="12" t="s">
        <v>81</v>
      </c>
      <c r="D58" s="4" t="s">
        <v>40</v>
      </c>
      <c r="E58" s="4" t="s">
        <v>10</v>
      </c>
      <c r="F58" s="4" t="s">
        <v>50</v>
      </c>
      <c r="K58" s="2"/>
    </row>
    <row r="59" spans="1:11" x14ac:dyDescent="0.3">
      <c r="A59" s="7">
        <v>1</v>
      </c>
      <c r="B59" s="14">
        <v>2</v>
      </c>
      <c r="C59" s="14" t="s">
        <v>80</v>
      </c>
      <c r="D59" s="8" t="s">
        <v>29</v>
      </c>
      <c r="E59" s="4" t="s">
        <v>42</v>
      </c>
      <c r="F59" s="4" t="s">
        <v>70</v>
      </c>
      <c r="K59" s="2"/>
    </row>
    <row r="60" spans="1:11" x14ac:dyDescent="0.3">
      <c r="A60" s="7">
        <v>1</v>
      </c>
      <c r="B60" s="7">
        <v>1</v>
      </c>
      <c r="C60" s="12" t="s">
        <v>81</v>
      </c>
      <c r="D60" s="4" t="s">
        <v>0</v>
      </c>
      <c r="E60" s="4" t="s">
        <v>41</v>
      </c>
      <c r="F60" s="4" t="s">
        <v>43</v>
      </c>
      <c r="K60" s="2"/>
    </row>
    <row r="61" spans="1:11" x14ac:dyDescent="0.3">
      <c r="A61" s="7">
        <v>1</v>
      </c>
      <c r="B61" s="7">
        <v>2</v>
      </c>
      <c r="C61" s="7" t="s">
        <v>80</v>
      </c>
      <c r="D61" s="4" t="s">
        <v>40</v>
      </c>
      <c r="E61" s="4" t="s">
        <v>10</v>
      </c>
      <c r="F61" s="4" t="s">
        <v>43</v>
      </c>
      <c r="K61" s="2"/>
    </row>
    <row r="62" spans="1:11" x14ac:dyDescent="0.3">
      <c r="A62" s="7">
        <v>1</v>
      </c>
      <c r="B62" s="7">
        <v>2</v>
      </c>
      <c r="C62" s="12" t="s">
        <v>80</v>
      </c>
      <c r="D62" s="4" t="s">
        <v>0</v>
      </c>
      <c r="E62" s="4" t="s">
        <v>41</v>
      </c>
      <c r="F62" s="4" t="s">
        <v>46</v>
      </c>
      <c r="K62" s="2"/>
    </row>
    <row r="63" spans="1:11" x14ac:dyDescent="0.3">
      <c r="A63" s="7">
        <v>1</v>
      </c>
      <c r="B63" s="7">
        <v>1</v>
      </c>
      <c r="C63" s="7" t="s">
        <v>81</v>
      </c>
      <c r="D63" s="4" t="s">
        <v>40</v>
      </c>
      <c r="E63" s="4" t="s">
        <v>10</v>
      </c>
      <c r="F63" s="4" t="s">
        <v>46</v>
      </c>
      <c r="K63" s="2"/>
    </row>
    <row r="64" spans="1:11" x14ac:dyDescent="0.3">
      <c r="A64" s="7">
        <v>1</v>
      </c>
      <c r="B64" s="14">
        <v>1</v>
      </c>
      <c r="C64" s="13" t="s">
        <v>81</v>
      </c>
      <c r="D64" s="8" t="s">
        <v>29</v>
      </c>
      <c r="E64" s="4" t="s">
        <v>42</v>
      </c>
      <c r="F64" s="4" t="s">
        <v>74</v>
      </c>
      <c r="K64" s="2"/>
    </row>
    <row r="65" spans="1:11" x14ac:dyDescent="0.3">
      <c r="A65" s="7">
        <v>1</v>
      </c>
      <c r="B65" s="14">
        <v>2</v>
      </c>
      <c r="C65" s="14" t="s">
        <v>80</v>
      </c>
      <c r="D65" s="8" t="s">
        <v>29</v>
      </c>
      <c r="E65" s="4" t="s">
        <v>42</v>
      </c>
      <c r="F65" s="4" t="s">
        <v>67</v>
      </c>
      <c r="K65" s="2"/>
    </row>
    <row r="66" spans="1:11" x14ac:dyDescent="0.3">
      <c r="A66" s="7">
        <v>1</v>
      </c>
      <c r="B66" s="7">
        <v>1</v>
      </c>
      <c r="C66" s="12" t="s">
        <v>81</v>
      </c>
      <c r="D66" s="4" t="s">
        <v>0</v>
      </c>
      <c r="E66" s="4" t="s">
        <v>41</v>
      </c>
      <c r="F66" s="4" t="s">
        <v>44</v>
      </c>
      <c r="K66" s="2"/>
    </row>
    <row r="67" spans="1:11" x14ac:dyDescent="0.3">
      <c r="A67" s="7">
        <v>1</v>
      </c>
      <c r="B67" s="7">
        <v>1</v>
      </c>
      <c r="C67" s="12" t="s">
        <v>81</v>
      </c>
      <c r="D67" s="4" t="s">
        <v>40</v>
      </c>
      <c r="E67" s="4" t="s">
        <v>9</v>
      </c>
      <c r="F67" s="4" t="s">
        <v>44</v>
      </c>
    </row>
    <row r="68" spans="1:11" x14ac:dyDescent="0.3">
      <c r="A68" s="7">
        <v>1</v>
      </c>
      <c r="B68" s="14">
        <v>1</v>
      </c>
      <c r="C68" s="13" t="s">
        <v>81</v>
      </c>
      <c r="D68" s="8" t="s">
        <v>29</v>
      </c>
      <c r="E68" s="4" t="s">
        <v>42</v>
      </c>
      <c r="F68" s="4" t="s">
        <v>72</v>
      </c>
    </row>
    <row r="69" spans="1:11" x14ac:dyDescent="0.3">
      <c r="A69" s="7">
        <v>1</v>
      </c>
      <c r="B69" s="14">
        <v>2</v>
      </c>
      <c r="C69" s="14" t="s">
        <v>80</v>
      </c>
      <c r="D69" s="8" t="s">
        <v>29</v>
      </c>
      <c r="E69" s="4" t="s">
        <v>42</v>
      </c>
      <c r="F69" s="4" t="s">
        <v>68</v>
      </c>
    </row>
    <row r="70" spans="1:11" x14ac:dyDescent="0.3">
      <c r="A70" s="7">
        <v>1</v>
      </c>
      <c r="B70" s="7">
        <v>1</v>
      </c>
      <c r="C70" s="12" t="s">
        <v>81</v>
      </c>
      <c r="D70" s="4" t="s">
        <v>0</v>
      </c>
      <c r="E70" s="4" t="s">
        <v>41</v>
      </c>
      <c r="F70" s="4" t="s">
        <v>45</v>
      </c>
    </row>
    <row r="71" spans="1:11" x14ac:dyDescent="0.3">
      <c r="A71" s="7">
        <v>1</v>
      </c>
      <c r="B71" s="7">
        <v>1</v>
      </c>
      <c r="C71" s="12" t="s">
        <v>81</v>
      </c>
      <c r="D71" s="4" t="s">
        <v>40</v>
      </c>
      <c r="E71" s="4" t="s">
        <v>9</v>
      </c>
      <c r="F71" s="4" t="s">
        <v>45</v>
      </c>
    </row>
    <row r="72" spans="1:11" x14ac:dyDescent="0.3">
      <c r="A72" s="7">
        <v>1</v>
      </c>
      <c r="B72" s="7">
        <v>1</v>
      </c>
      <c r="C72" s="12" t="s">
        <v>81</v>
      </c>
      <c r="D72" s="4" t="s">
        <v>0</v>
      </c>
      <c r="E72" s="4" t="s">
        <v>41</v>
      </c>
      <c r="F72" s="4" t="s">
        <v>47</v>
      </c>
    </row>
    <row r="73" spans="1:11" x14ac:dyDescent="0.3">
      <c r="A73" s="7">
        <v>1</v>
      </c>
      <c r="B73" s="7">
        <v>2</v>
      </c>
      <c r="C73" s="23" t="s">
        <v>80</v>
      </c>
      <c r="D73" s="4" t="s">
        <v>40</v>
      </c>
      <c r="E73" s="4" t="s">
        <v>10</v>
      </c>
      <c r="F73" s="4" t="s">
        <v>47</v>
      </c>
    </row>
    <row r="74" spans="1:11" x14ac:dyDescent="0.3">
      <c r="A74" s="7">
        <v>1</v>
      </c>
      <c r="B74" s="14">
        <v>2</v>
      </c>
      <c r="C74" s="24" t="s">
        <v>80</v>
      </c>
      <c r="D74" s="8" t="s">
        <v>29</v>
      </c>
      <c r="E74" s="4" t="s">
        <v>42</v>
      </c>
      <c r="F74" s="4" t="s">
        <v>69</v>
      </c>
    </row>
    <row r="75" spans="1:11" x14ac:dyDescent="0.3">
      <c r="A75" s="7">
        <v>1</v>
      </c>
      <c r="B75" s="4">
        <v>2</v>
      </c>
      <c r="C75" s="25" t="s">
        <v>80</v>
      </c>
      <c r="D75" s="4" t="s">
        <v>0</v>
      </c>
      <c r="E75" s="4" t="s">
        <v>41</v>
      </c>
      <c r="F75" s="4" t="s">
        <v>47</v>
      </c>
    </row>
    <row r="76" spans="1:11" x14ac:dyDescent="0.3">
      <c r="A76" s="7">
        <v>1</v>
      </c>
      <c r="B76" s="4">
        <v>2</v>
      </c>
      <c r="C76" s="22" t="s">
        <v>80</v>
      </c>
      <c r="D76" s="4" t="s">
        <v>40</v>
      </c>
      <c r="E76" s="4" t="s">
        <v>9</v>
      </c>
      <c r="F76" s="4" t="s">
        <v>47</v>
      </c>
      <c r="K76" s="2"/>
    </row>
    <row r="77" spans="1:11" x14ac:dyDescent="0.3">
      <c r="A77" s="7">
        <v>1</v>
      </c>
      <c r="B77" s="14">
        <v>1</v>
      </c>
      <c r="C77" s="14" t="s">
        <v>81</v>
      </c>
      <c r="D77" s="8" t="s">
        <v>29</v>
      </c>
      <c r="E77" s="4" t="s">
        <v>42</v>
      </c>
      <c r="F77" s="4" t="s">
        <v>72</v>
      </c>
      <c r="K77" s="2"/>
    </row>
    <row r="78" spans="1:11" x14ac:dyDescent="0.3">
      <c r="A78" s="7">
        <v>1</v>
      </c>
      <c r="B78" s="14">
        <v>2</v>
      </c>
      <c r="C78" s="13" t="s">
        <v>80</v>
      </c>
      <c r="D78" s="8" t="s">
        <v>29</v>
      </c>
      <c r="E78" s="4" t="s">
        <v>42</v>
      </c>
      <c r="F78" s="4" t="s">
        <v>70</v>
      </c>
      <c r="K78" s="2"/>
    </row>
    <row r="79" spans="1:11" x14ac:dyDescent="0.3">
      <c r="A79" s="7">
        <v>1</v>
      </c>
      <c r="B79" s="14">
        <v>1</v>
      </c>
      <c r="C79" s="14" t="s">
        <v>81</v>
      </c>
      <c r="D79" s="8" t="s">
        <v>29</v>
      </c>
      <c r="E79" s="4" t="s">
        <v>42</v>
      </c>
      <c r="F79" s="4" t="s">
        <v>74</v>
      </c>
      <c r="K79" s="2"/>
    </row>
    <row r="80" spans="1:11" x14ac:dyDescent="0.3">
      <c r="A80" s="7">
        <v>1</v>
      </c>
      <c r="B80" s="4">
        <v>2</v>
      </c>
      <c r="C80" s="15" t="s">
        <v>80</v>
      </c>
      <c r="D80" s="4" t="s">
        <v>0</v>
      </c>
      <c r="E80" s="4" t="s">
        <v>41</v>
      </c>
      <c r="F80" s="4" t="s">
        <v>50</v>
      </c>
      <c r="J80" s="2"/>
      <c r="K80" s="2"/>
    </row>
    <row r="81" spans="1:11" x14ac:dyDescent="0.3">
      <c r="A81" s="7">
        <v>1</v>
      </c>
      <c r="B81" s="4">
        <v>2</v>
      </c>
      <c r="C81" s="15" t="s">
        <v>80</v>
      </c>
      <c r="D81" s="4" t="s">
        <v>40</v>
      </c>
      <c r="E81" s="4" t="s">
        <v>9</v>
      </c>
      <c r="F81" s="4" t="s">
        <v>50</v>
      </c>
      <c r="J81" s="2"/>
      <c r="K81" s="2"/>
    </row>
    <row r="82" spans="1:11" x14ac:dyDescent="0.3">
      <c r="A82" s="7">
        <v>1</v>
      </c>
      <c r="B82" s="4">
        <v>2</v>
      </c>
      <c r="C82" s="15" t="s">
        <v>80</v>
      </c>
      <c r="D82" s="4" t="s">
        <v>0</v>
      </c>
      <c r="E82" s="4" t="s">
        <v>41</v>
      </c>
      <c r="F82" s="4" t="s">
        <v>49</v>
      </c>
      <c r="J82" s="2"/>
      <c r="K82" s="2"/>
    </row>
    <row r="83" spans="1:11" x14ac:dyDescent="0.3">
      <c r="A83" s="7">
        <v>1</v>
      </c>
      <c r="B83" s="4">
        <v>1</v>
      </c>
      <c r="C83" s="4" t="s">
        <v>81</v>
      </c>
      <c r="D83" s="4" t="s">
        <v>40</v>
      </c>
      <c r="E83" s="4" t="s">
        <v>10</v>
      </c>
      <c r="F83" s="4" t="s">
        <v>49</v>
      </c>
      <c r="J83" s="2"/>
      <c r="K83" s="2"/>
    </row>
    <row r="84" spans="1:11" x14ac:dyDescent="0.3">
      <c r="A84" s="7">
        <v>1</v>
      </c>
      <c r="B84" s="14">
        <v>1</v>
      </c>
      <c r="C84" s="13" t="s">
        <v>81</v>
      </c>
      <c r="D84" s="8" t="s">
        <v>29</v>
      </c>
      <c r="E84" s="4" t="s">
        <v>42</v>
      </c>
      <c r="F84" s="4" t="s">
        <v>71</v>
      </c>
      <c r="J84" s="2"/>
      <c r="K84" s="2"/>
    </row>
    <row r="85" spans="1:11" x14ac:dyDescent="0.3">
      <c r="A85" s="7">
        <v>1</v>
      </c>
      <c r="B85" s="4">
        <v>1</v>
      </c>
      <c r="C85" s="4" t="s">
        <v>81</v>
      </c>
      <c r="D85" s="4" t="s">
        <v>0</v>
      </c>
      <c r="E85" s="4" t="s">
        <v>41</v>
      </c>
      <c r="F85" s="4" t="s">
        <v>45</v>
      </c>
      <c r="J85" s="2"/>
      <c r="K85" s="2"/>
    </row>
    <row r="86" spans="1:11" x14ac:dyDescent="0.3">
      <c r="A86" s="7">
        <v>1</v>
      </c>
      <c r="B86" s="4">
        <v>2</v>
      </c>
      <c r="C86" s="15" t="s">
        <v>80</v>
      </c>
      <c r="D86" s="4" t="s">
        <v>40</v>
      </c>
      <c r="E86" s="4" t="s">
        <v>10</v>
      </c>
      <c r="F86" s="4" t="s">
        <v>45</v>
      </c>
      <c r="J86" s="2"/>
      <c r="K86" s="2"/>
    </row>
    <row r="87" spans="1:11" x14ac:dyDescent="0.3">
      <c r="A87" s="7">
        <v>1</v>
      </c>
      <c r="B87" s="4">
        <v>2</v>
      </c>
      <c r="C87" s="4" t="s">
        <v>80</v>
      </c>
      <c r="D87" s="4" t="s">
        <v>0</v>
      </c>
      <c r="E87" s="4" t="s">
        <v>41</v>
      </c>
      <c r="F87" s="4" t="s">
        <v>44</v>
      </c>
      <c r="J87" s="2"/>
      <c r="K87" s="2"/>
    </row>
    <row r="88" spans="1:11" x14ac:dyDescent="0.3">
      <c r="A88" s="7">
        <v>1</v>
      </c>
      <c r="B88" s="4">
        <v>1</v>
      </c>
      <c r="C88" s="15" t="s">
        <v>81</v>
      </c>
      <c r="D88" s="4" t="s">
        <v>40</v>
      </c>
      <c r="E88" s="4" t="s">
        <v>10</v>
      </c>
      <c r="F88" s="4" t="s">
        <v>44</v>
      </c>
      <c r="J88" s="2"/>
      <c r="K88" s="2"/>
    </row>
    <row r="89" spans="1:11" x14ac:dyDescent="0.3">
      <c r="A89" s="7">
        <v>1</v>
      </c>
      <c r="B89" s="14">
        <v>2</v>
      </c>
      <c r="C89" s="14" t="s">
        <v>80</v>
      </c>
      <c r="D89" s="8" t="s">
        <v>29</v>
      </c>
      <c r="E89" s="4" t="s">
        <v>42</v>
      </c>
      <c r="F89" s="4" t="s">
        <v>68</v>
      </c>
      <c r="J89" s="2"/>
      <c r="K89" s="2"/>
    </row>
    <row r="90" spans="1:11" x14ac:dyDescent="0.3">
      <c r="A90" s="7">
        <v>1</v>
      </c>
      <c r="B90" s="4">
        <v>1</v>
      </c>
      <c r="C90" s="15" t="s">
        <v>81</v>
      </c>
      <c r="D90" s="4" t="s">
        <v>0</v>
      </c>
      <c r="E90" s="4" t="s">
        <v>41</v>
      </c>
      <c r="F90" s="4" t="s">
        <v>46</v>
      </c>
      <c r="J90" s="2"/>
      <c r="K90" s="2"/>
    </row>
    <row r="91" spans="1:11" x14ac:dyDescent="0.3">
      <c r="A91" s="7">
        <v>1</v>
      </c>
      <c r="B91" s="4">
        <v>1</v>
      </c>
      <c r="C91" s="15" t="s">
        <v>81</v>
      </c>
      <c r="D91" s="4" t="s">
        <v>40</v>
      </c>
      <c r="E91" s="4" t="s">
        <v>9</v>
      </c>
      <c r="F91" s="4" t="s">
        <v>46</v>
      </c>
      <c r="J91" s="2"/>
      <c r="K91" s="2"/>
    </row>
    <row r="92" spans="1:11" x14ac:dyDescent="0.3">
      <c r="A92" s="7">
        <v>1</v>
      </c>
      <c r="B92" s="14">
        <v>1</v>
      </c>
      <c r="C92" s="13" t="s">
        <v>81</v>
      </c>
      <c r="D92" s="8" t="s">
        <v>29</v>
      </c>
      <c r="E92" s="4" t="s">
        <v>42</v>
      </c>
      <c r="F92" s="4" t="s">
        <v>67</v>
      </c>
      <c r="J92" s="2"/>
    </row>
    <row r="93" spans="1:11" x14ac:dyDescent="0.3">
      <c r="A93" s="7">
        <v>1</v>
      </c>
      <c r="B93" s="14">
        <v>2</v>
      </c>
      <c r="C93" s="14" t="s">
        <v>80</v>
      </c>
      <c r="D93" s="8" t="s">
        <v>29</v>
      </c>
      <c r="E93" s="4" t="s">
        <v>42</v>
      </c>
      <c r="F93" s="4" t="s">
        <v>73</v>
      </c>
      <c r="J93" s="2"/>
    </row>
    <row r="94" spans="1:11" x14ac:dyDescent="0.3">
      <c r="A94" s="7">
        <v>1</v>
      </c>
      <c r="B94" s="4">
        <v>1</v>
      </c>
      <c r="C94" s="15" t="s">
        <v>81</v>
      </c>
      <c r="D94" s="4" t="s">
        <v>0</v>
      </c>
      <c r="E94" s="4" t="s">
        <v>41</v>
      </c>
      <c r="F94" s="4" t="s">
        <v>43</v>
      </c>
      <c r="J94" s="2"/>
    </row>
    <row r="95" spans="1:11" x14ac:dyDescent="0.3">
      <c r="A95" s="7">
        <v>1</v>
      </c>
      <c r="B95" s="4">
        <v>1</v>
      </c>
      <c r="C95" s="15" t="s">
        <v>81</v>
      </c>
      <c r="D95" s="4" t="s">
        <v>40</v>
      </c>
      <c r="E95" s="4" t="s">
        <v>9</v>
      </c>
      <c r="F95" s="4" t="s">
        <v>43</v>
      </c>
      <c r="J95" s="2"/>
    </row>
    <row r="96" spans="1:11" x14ac:dyDescent="0.3">
      <c r="A96" s="7">
        <v>1</v>
      </c>
      <c r="B96" s="4">
        <v>1</v>
      </c>
      <c r="C96" s="15" t="s">
        <v>81</v>
      </c>
      <c r="D96" s="4" t="s">
        <v>0</v>
      </c>
      <c r="E96" s="4" t="s">
        <v>41</v>
      </c>
      <c r="F96" s="4" t="s">
        <v>48</v>
      </c>
    </row>
    <row r="97" spans="1:14" x14ac:dyDescent="0.3">
      <c r="A97" s="7">
        <v>1</v>
      </c>
      <c r="B97" s="4">
        <v>2</v>
      </c>
      <c r="C97" s="4" t="s">
        <v>80</v>
      </c>
      <c r="D97" s="4" t="s">
        <v>40</v>
      </c>
      <c r="E97" s="4" t="s">
        <v>10</v>
      </c>
      <c r="F97" s="4" t="s">
        <v>48</v>
      </c>
    </row>
    <row r="98" spans="1:14" x14ac:dyDescent="0.3">
      <c r="A98" s="4"/>
      <c r="B98" s="4" t="s">
        <v>25</v>
      </c>
      <c r="C98" s="4"/>
      <c r="D98" s="4"/>
      <c r="E98" s="4"/>
      <c r="F98" s="4"/>
      <c r="K98" s="2"/>
      <c r="L98" s="2"/>
      <c r="M98" s="2"/>
      <c r="N98" s="2"/>
    </row>
    <row r="99" spans="1:14" x14ac:dyDescent="0.3">
      <c r="A99" s="4">
        <v>2</v>
      </c>
      <c r="B99" s="9">
        <v>2</v>
      </c>
      <c r="C99" s="9" t="s">
        <v>80</v>
      </c>
      <c r="D99" s="9" t="s">
        <v>29</v>
      </c>
      <c r="E99" s="4" t="s">
        <v>42</v>
      </c>
      <c r="F99" s="4" t="s">
        <v>43</v>
      </c>
      <c r="H99" s="2"/>
    </row>
    <row r="100" spans="1:14" x14ac:dyDescent="0.3">
      <c r="A100" s="4">
        <v>2</v>
      </c>
      <c r="B100" s="7">
        <v>1</v>
      </c>
      <c r="C100" s="7" t="s">
        <v>81</v>
      </c>
      <c r="D100" s="4" t="s">
        <v>0</v>
      </c>
      <c r="E100" s="4" t="s">
        <v>41</v>
      </c>
      <c r="F100" s="4" t="s">
        <v>58</v>
      </c>
      <c r="H100" s="2"/>
    </row>
    <row r="101" spans="1:14" x14ac:dyDescent="0.3">
      <c r="A101" s="4">
        <v>2</v>
      </c>
      <c r="B101" s="7">
        <v>1</v>
      </c>
      <c r="C101" s="7" t="s">
        <v>81</v>
      </c>
      <c r="D101" s="4" t="s">
        <v>40</v>
      </c>
      <c r="E101" s="4" t="s">
        <v>9</v>
      </c>
      <c r="F101" s="4" t="s">
        <v>58</v>
      </c>
      <c r="H101" s="2"/>
    </row>
    <row r="102" spans="1:14" x14ac:dyDescent="0.3">
      <c r="A102" s="4">
        <v>2</v>
      </c>
      <c r="B102" s="9">
        <v>2</v>
      </c>
      <c r="C102" s="9" t="s">
        <v>80</v>
      </c>
      <c r="D102" s="9" t="s">
        <v>29</v>
      </c>
      <c r="E102" s="4" t="s">
        <v>42</v>
      </c>
      <c r="F102" s="4" t="s">
        <v>44</v>
      </c>
      <c r="H102" s="2"/>
    </row>
    <row r="103" spans="1:14" x14ac:dyDescent="0.3">
      <c r="A103" s="4">
        <v>2</v>
      </c>
      <c r="B103" s="9">
        <v>2</v>
      </c>
      <c r="C103" s="9" t="s">
        <v>80</v>
      </c>
      <c r="D103" s="9" t="s">
        <v>29</v>
      </c>
      <c r="E103" s="4" t="s">
        <v>42</v>
      </c>
      <c r="F103" s="4" t="s">
        <v>45</v>
      </c>
      <c r="H103" s="2"/>
    </row>
    <row r="104" spans="1:14" x14ac:dyDescent="0.3">
      <c r="A104" s="4">
        <v>2</v>
      </c>
      <c r="B104" s="7">
        <v>1</v>
      </c>
      <c r="C104" s="7" t="s">
        <v>81</v>
      </c>
      <c r="D104" s="4" t="s">
        <v>0</v>
      </c>
      <c r="E104" s="4" t="s">
        <v>41</v>
      </c>
      <c r="F104" s="4" t="s">
        <v>57</v>
      </c>
      <c r="H104" s="2"/>
    </row>
    <row r="105" spans="1:14" x14ac:dyDescent="0.3">
      <c r="A105" s="4">
        <v>2</v>
      </c>
      <c r="B105" s="7">
        <v>1</v>
      </c>
      <c r="C105" s="7" t="s">
        <v>81</v>
      </c>
      <c r="D105" s="4" t="s">
        <v>40</v>
      </c>
      <c r="E105" s="4" t="s">
        <v>9</v>
      </c>
      <c r="F105" s="4" t="s">
        <v>57</v>
      </c>
      <c r="H105" s="2"/>
    </row>
    <row r="106" spans="1:14" x14ac:dyDescent="0.3">
      <c r="A106" s="4">
        <v>2</v>
      </c>
      <c r="B106" s="7">
        <v>1</v>
      </c>
      <c r="C106" s="7" t="s">
        <v>81</v>
      </c>
      <c r="D106" s="4" t="s">
        <v>0</v>
      </c>
      <c r="E106" s="4" t="s">
        <v>41</v>
      </c>
      <c r="F106" s="4" t="s">
        <v>56</v>
      </c>
      <c r="H106" s="2"/>
    </row>
    <row r="107" spans="1:14" x14ac:dyDescent="0.3">
      <c r="A107" s="4">
        <v>2</v>
      </c>
      <c r="B107" s="7">
        <v>2</v>
      </c>
      <c r="C107" s="7" t="s">
        <v>80</v>
      </c>
      <c r="D107" s="4" t="s">
        <v>40</v>
      </c>
      <c r="E107" s="4" t="s">
        <v>10</v>
      </c>
      <c r="F107" s="4" t="s">
        <v>56</v>
      </c>
      <c r="H107" s="2"/>
    </row>
    <row r="108" spans="1:14" x14ac:dyDescent="0.3">
      <c r="A108" s="4">
        <v>2</v>
      </c>
      <c r="B108" s="7">
        <v>2</v>
      </c>
      <c r="C108" s="7" t="s">
        <v>80</v>
      </c>
      <c r="D108" s="4" t="s">
        <v>0</v>
      </c>
      <c r="E108" s="4" t="s">
        <v>41</v>
      </c>
      <c r="F108" s="4" t="s">
        <v>55</v>
      </c>
      <c r="H108" s="2"/>
    </row>
    <row r="109" spans="1:14" x14ac:dyDescent="0.3">
      <c r="A109" s="4">
        <v>2</v>
      </c>
      <c r="B109" s="7">
        <v>1</v>
      </c>
      <c r="C109" s="7" t="s">
        <v>81</v>
      </c>
      <c r="D109" s="4" t="s">
        <v>40</v>
      </c>
      <c r="E109" s="4" t="s">
        <v>10</v>
      </c>
      <c r="F109" s="4" t="s">
        <v>55</v>
      </c>
      <c r="H109" s="2"/>
    </row>
    <row r="110" spans="1:14" x14ac:dyDescent="0.3">
      <c r="A110" s="4">
        <v>2</v>
      </c>
      <c r="B110" s="7">
        <v>1</v>
      </c>
      <c r="C110" s="7" t="s">
        <v>81</v>
      </c>
      <c r="D110" s="4" t="s">
        <v>0</v>
      </c>
      <c r="E110" s="4" t="s">
        <v>41</v>
      </c>
      <c r="F110" s="4" t="s">
        <v>54</v>
      </c>
      <c r="H110" s="2"/>
    </row>
    <row r="111" spans="1:14" x14ac:dyDescent="0.3">
      <c r="A111" s="4">
        <v>2</v>
      </c>
      <c r="B111" s="7">
        <v>2</v>
      </c>
      <c r="C111" s="7" t="s">
        <v>80</v>
      </c>
      <c r="D111" s="4" t="s">
        <v>40</v>
      </c>
      <c r="E111" s="4" t="s">
        <v>10</v>
      </c>
      <c r="F111" s="4" t="s">
        <v>54</v>
      </c>
      <c r="H111" s="2"/>
    </row>
    <row r="112" spans="1:14" x14ac:dyDescent="0.3">
      <c r="A112" s="4">
        <v>2</v>
      </c>
      <c r="B112" s="9">
        <v>1</v>
      </c>
      <c r="C112" s="9" t="s">
        <v>81</v>
      </c>
      <c r="D112" s="9" t="s">
        <v>29</v>
      </c>
      <c r="E112" s="4" t="s">
        <v>42</v>
      </c>
      <c r="F112" s="4" t="s">
        <v>46</v>
      </c>
      <c r="H112" s="2"/>
    </row>
    <row r="113" spans="1:12" x14ac:dyDescent="0.3">
      <c r="A113" s="4">
        <v>2</v>
      </c>
      <c r="B113" s="9">
        <v>1</v>
      </c>
      <c r="C113" s="9" t="s">
        <v>81</v>
      </c>
      <c r="D113" s="9" t="s">
        <v>29</v>
      </c>
      <c r="E113" s="4" t="s">
        <v>42</v>
      </c>
      <c r="F113" s="4" t="s">
        <v>47</v>
      </c>
      <c r="H113" s="2"/>
    </row>
    <row r="114" spans="1:12" x14ac:dyDescent="0.3">
      <c r="A114" s="4">
        <v>2</v>
      </c>
      <c r="B114" s="7">
        <v>2</v>
      </c>
      <c r="C114" s="7" t="s">
        <v>80</v>
      </c>
      <c r="D114" s="4" t="s">
        <v>0</v>
      </c>
      <c r="E114" s="4" t="s">
        <v>41</v>
      </c>
      <c r="F114" s="4" t="s">
        <v>53</v>
      </c>
      <c r="H114" s="2"/>
    </row>
    <row r="115" spans="1:12" x14ac:dyDescent="0.3">
      <c r="A115" s="4">
        <v>2</v>
      </c>
      <c r="B115" s="7">
        <v>2</v>
      </c>
      <c r="C115" s="7" t="s">
        <v>80</v>
      </c>
      <c r="D115" s="4" t="s">
        <v>40</v>
      </c>
      <c r="E115" s="4" t="s">
        <v>9</v>
      </c>
      <c r="F115" s="4" t="s">
        <v>53</v>
      </c>
    </row>
    <row r="116" spans="1:12" x14ac:dyDescent="0.3">
      <c r="A116" s="4">
        <v>2</v>
      </c>
      <c r="B116" s="9">
        <v>1</v>
      </c>
      <c r="C116" s="9" t="s">
        <v>81</v>
      </c>
      <c r="D116" s="9" t="s">
        <v>29</v>
      </c>
      <c r="E116" s="4" t="s">
        <v>42</v>
      </c>
      <c r="F116" s="4" t="s">
        <v>48</v>
      </c>
    </row>
    <row r="117" spans="1:12" x14ac:dyDescent="0.3">
      <c r="A117" s="4">
        <v>2</v>
      </c>
      <c r="B117" s="7">
        <v>2</v>
      </c>
      <c r="C117" s="7" t="s">
        <v>80</v>
      </c>
      <c r="D117" s="4" t="s">
        <v>0</v>
      </c>
      <c r="E117" s="4" t="s">
        <v>41</v>
      </c>
      <c r="F117" s="4" t="s">
        <v>52</v>
      </c>
    </row>
    <row r="118" spans="1:12" x14ac:dyDescent="0.3">
      <c r="A118" s="4">
        <v>2</v>
      </c>
      <c r="B118" s="7">
        <v>2</v>
      </c>
      <c r="C118" s="7" t="s">
        <v>80</v>
      </c>
      <c r="D118" s="4" t="s">
        <v>40</v>
      </c>
      <c r="E118" s="4" t="s">
        <v>9</v>
      </c>
      <c r="F118" s="4" t="s">
        <v>52</v>
      </c>
    </row>
    <row r="119" spans="1:12" x14ac:dyDescent="0.3">
      <c r="A119" s="4">
        <v>2</v>
      </c>
      <c r="B119" s="9">
        <v>2</v>
      </c>
      <c r="C119" s="9" t="s">
        <v>80</v>
      </c>
      <c r="D119" s="9" t="s">
        <v>29</v>
      </c>
      <c r="E119" s="4" t="s">
        <v>42</v>
      </c>
      <c r="F119" s="4" t="s">
        <v>49</v>
      </c>
    </row>
    <row r="120" spans="1:12" x14ac:dyDescent="0.3">
      <c r="A120" s="4">
        <v>2</v>
      </c>
      <c r="B120" s="9">
        <v>1</v>
      </c>
      <c r="C120" s="9" t="s">
        <v>81</v>
      </c>
      <c r="D120" s="9" t="s">
        <v>29</v>
      </c>
      <c r="E120" s="4" t="s">
        <v>42</v>
      </c>
      <c r="F120" s="4" t="s">
        <v>50</v>
      </c>
    </row>
    <row r="121" spans="1:12" x14ac:dyDescent="0.3">
      <c r="A121" s="4">
        <v>2</v>
      </c>
      <c r="B121" s="7">
        <v>2</v>
      </c>
      <c r="C121" s="7" t="s">
        <v>80</v>
      </c>
      <c r="D121" s="4" t="s">
        <v>0</v>
      </c>
      <c r="E121" s="4" t="s">
        <v>41</v>
      </c>
      <c r="F121" s="4" t="s">
        <v>51</v>
      </c>
    </row>
    <row r="122" spans="1:12" x14ac:dyDescent="0.3">
      <c r="A122" s="4">
        <v>2</v>
      </c>
      <c r="B122" s="7">
        <v>1</v>
      </c>
      <c r="C122" s="7" t="s">
        <v>81</v>
      </c>
      <c r="D122" s="4" t="s">
        <v>40</v>
      </c>
      <c r="E122" s="4" t="s">
        <v>10</v>
      </c>
      <c r="F122" s="4" t="s">
        <v>51</v>
      </c>
    </row>
    <row r="123" spans="1:12" x14ac:dyDescent="0.3">
      <c r="A123" s="4">
        <v>2</v>
      </c>
      <c r="B123" s="4">
        <v>1</v>
      </c>
      <c r="C123" s="7" t="s">
        <v>81</v>
      </c>
      <c r="D123" s="4" t="s">
        <v>0</v>
      </c>
      <c r="E123" s="4" t="s">
        <v>41</v>
      </c>
      <c r="F123" s="4" t="s">
        <v>54</v>
      </c>
    </row>
    <row r="124" spans="1:12" x14ac:dyDescent="0.3">
      <c r="A124" s="4">
        <v>2</v>
      </c>
      <c r="B124" s="4">
        <v>1</v>
      </c>
      <c r="C124" s="7" t="s">
        <v>81</v>
      </c>
      <c r="D124" s="4" t="s">
        <v>40</v>
      </c>
      <c r="E124" s="4" t="s">
        <v>9</v>
      </c>
      <c r="F124" s="4" t="s">
        <v>54</v>
      </c>
    </row>
    <row r="125" spans="1:12" x14ac:dyDescent="0.3">
      <c r="A125" s="4">
        <v>2</v>
      </c>
      <c r="B125" s="9">
        <v>2</v>
      </c>
      <c r="C125" s="9" t="s">
        <v>80</v>
      </c>
      <c r="D125" s="9" t="s">
        <v>29</v>
      </c>
      <c r="E125" s="4" t="s">
        <v>42</v>
      </c>
      <c r="F125" s="4" t="s">
        <v>46</v>
      </c>
    </row>
    <row r="126" spans="1:12" x14ac:dyDescent="0.3">
      <c r="A126" s="4">
        <v>2</v>
      </c>
      <c r="B126" s="4">
        <v>1</v>
      </c>
      <c r="C126" s="4" t="s">
        <v>81</v>
      </c>
      <c r="D126" s="4" t="s">
        <v>0</v>
      </c>
      <c r="E126" s="4" t="s">
        <v>41</v>
      </c>
      <c r="F126" s="4" t="s">
        <v>56</v>
      </c>
    </row>
    <row r="127" spans="1:12" x14ac:dyDescent="0.3">
      <c r="A127" s="4">
        <v>2</v>
      </c>
      <c r="B127" s="4">
        <v>1</v>
      </c>
      <c r="C127" s="4" t="s">
        <v>81</v>
      </c>
      <c r="D127" s="4" t="s">
        <v>40</v>
      </c>
      <c r="E127" s="4" t="s">
        <v>9</v>
      </c>
      <c r="F127" s="4" t="s">
        <v>56</v>
      </c>
      <c r="L127" s="2"/>
    </row>
    <row r="128" spans="1:12" x14ac:dyDescent="0.3">
      <c r="A128" s="4">
        <v>2</v>
      </c>
      <c r="B128" s="4">
        <v>1</v>
      </c>
      <c r="C128" s="4" t="s">
        <v>81</v>
      </c>
      <c r="D128" s="4" t="s">
        <v>0</v>
      </c>
      <c r="E128" s="4" t="s">
        <v>41</v>
      </c>
      <c r="F128" s="4" t="s">
        <v>58</v>
      </c>
      <c r="L128" s="2"/>
    </row>
    <row r="129" spans="1:12" x14ac:dyDescent="0.3">
      <c r="A129" s="4">
        <v>2</v>
      </c>
      <c r="B129" s="4">
        <v>2</v>
      </c>
      <c r="C129" s="4" t="s">
        <v>80</v>
      </c>
      <c r="D129" s="4" t="s">
        <v>40</v>
      </c>
      <c r="E129" s="4" t="s">
        <v>10</v>
      </c>
      <c r="F129" s="4" t="s">
        <v>58</v>
      </c>
      <c r="I129" s="2"/>
      <c r="J129" s="2"/>
      <c r="K129" s="2"/>
      <c r="L129" s="2"/>
    </row>
    <row r="130" spans="1:12" x14ac:dyDescent="0.3">
      <c r="A130" s="4">
        <v>2</v>
      </c>
      <c r="B130" s="9">
        <v>2</v>
      </c>
      <c r="C130" s="9" t="s">
        <v>80</v>
      </c>
      <c r="D130" s="9" t="s">
        <v>29</v>
      </c>
      <c r="E130" s="4" t="s">
        <v>42</v>
      </c>
      <c r="F130" s="4" t="s">
        <v>45</v>
      </c>
      <c r="I130" s="2"/>
      <c r="J130" s="2"/>
      <c r="K130" s="2"/>
      <c r="L130" s="2"/>
    </row>
    <row r="131" spans="1:12" x14ac:dyDescent="0.3">
      <c r="A131" s="4">
        <v>2</v>
      </c>
      <c r="B131" s="4">
        <v>2</v>
      </c>
      <c r="C131" s="4" t="s">
        <v>80</v>
      </c>
      <c r="D131" s="4" t="s">
        <v>0</v>
      </c>
      <c r="E131" s="4" t="s">
        <v>41</v>
      </c>
      <c r="F131" s="4" t="s">
        <v>52</v>
      </c>
      <c r="I131" s="2"/>
      <c r="J131" s="2"/>
      <c r="K131" s="2"/>
      <c r="L131" s="2"/>
    </row>
    <row r="132" spans="1:12" x14ac:dyDescent="0.3">
      <c r="A132" s="4">
        <v>2</v>
      </c>
      <c r="B132" s="4">
        <v>1</v>
      </c>
      <c r="C132" s="4" t="s">
        <v>81</v>
      </c>
      <c r="D132" s="4" t="s">
        <v>40</v>
      </c>
      <c r="E132" s="4" t="s">
        <v>10</v>
      </c>
      <c r="F132" s="4" t="s">
        <v>52</v>
      </c>
      <c r="I132" s="2"/>
      <c r="J132" s="2"/>
      <c r="K132" s="2"/>
      <c r="L132" s="2"/>
    </row>
    <row r="133" spans="1:12" x14ac:dyDescent="0.3">
      <c r="A133" s="4">
        <v>2</v>
      </c>
      <c r="B133" s="4">
        <v>1</v>
      </c>
      <c r="C133" s="4" t="s">
        <v>81</v>
      </c>
      <c r="D133" s="4" t="s">
        <v>0</v>
      </c>
      <c r="E133" s="4" t="s">
        <v>41</v>
      </c>
      <c r="F133" s="4" t="s">
        <v>57</v>
      </c>
      <c r="I133" s="2"/>
      <c r="J133" s="2"/>
      <c r="K133" s="2"/>
      <c r="L133" s="2"/>
    </row>
    <row r="134" spans="1:12" x14ac:dyDescent="0.3">
      <c r="A134" s="4">
        <v>2</v>
      </c>
      <c r="B134" s="4">
        <v>2</v>
      </c>
      <c r="C134" s="4" t="s">
        <v>80</v>
      </c>
      <c r="D134" s="4" t="s">
        <v>40</v>
      </c>
      <c r="E134" s="4" t="s">
        <v>10</v>
      </c>
      <c r="F134" s="4" t="s">
        <v>57</v>
      </c>
      <c r="I134" s="2"/>
      <c r="J134" s="2"/>
      <c r="K134" s="2"/>
      <c r="L134" s="2"/>
    </row>
    <row r="135" spans="1:12" x14ac:dyDescent="0.3">
      <c r="A135" s="4">
        <v>2</v>
      </c>
      <c r="B135" s="9">
        <v>1</v>
      </c>
      <c r="C135" s="9" t="s">
        <v>81</v>
      </c>
      <c r="D135" s="9" t="s">
        <v>29</v>
      </c>
      <c r="E135" s="4" t="s">
        <v>42</v>
      </c>
      <c r="F135" s="4" t="s">
        <v>48</v>
      </c>
      <c r="I135" s="2"/>
      <c r="J135" s="2"/>
      <c r="K135" s="2"/>
      <c r="L135" s="2"/>
    </row>
    <row r="136" spans="1:12" x14ac:dyDescent="0.3">
      <c r="A136" s="4">
        <v>2</v>
      </c>
      <c r="B136" s="9">
        <v>1</v>
      </c>
      <c r="C136" s="9" t="s">
        <v>81</v>
      </c>
      <c r="D136" s="9" t="s">
        <v>29</v>
      </c>
      <c r="E136" s="4" t="s">
        <v>42</v>
      </c>
      <c r="F136" s="4" t="s">
        <v>44</v>
      </c>
      <c r="I136" s="2"/>
      <c r="J136" s="2"/>
      <c r="K136" s="2"/>
      <c r="L136" s="2"/>
    </row>
    <row r="137" spans="1:12" x14ac:dyDescent="0.3">
      <c r="A137" s="4">
        <v>2</v>
      </c>
      <c r="B137" s="4">
        <v>2</v>
      </c>
      <c r="C137" s="4" t="s">
        <v>80</v>
      </c>
      <c r="D137" s="4" t="s">
        <v>0</v>
      </c>
      <c r="E137" s="4" t="s">
        <v>41</v>
      </c>
      <c r="F137" s="4" t="s">
        <v>55</v>
      </c>
      <c r="I137" s="2"/>
      <c r="J137" s="2"/>
      <c r="K137" s="2"/>
      <c r="L137" s="2"/>
    </row>
    <row r="138" spans="1:12" x14ac:dyDescent="0.3">
      <c r="A138" s="4">
        <v>2</v>
      </c>
      <c r="B138" s="4">
        <v>2</v>
      </c>
      <c r="C138" s="4" t="s">
        <v>80</v>
      </c>
      <c r="D138" s="4" t="s">
        <v>40</v>
      </c>
      <c r="E138" s="4" t="s">
        <v>9</v>
      </c>
      <c r="F138" s="4" t="s">
        <v>55</v>
      </c>
      <c r="I138" s="2"/>
      <c r="J138" s="2"/>
      <c r="K138" s="2"/>
      <c r="L138" s="2"/>
    </row>
    <row r="139" spans="1:12" x14ac:dyDescent="0.3">
      <c r="A139" s="4">
        <v>2</v>
      </c>
      <c r="B139" s="9">
        <v>1</v>
      </c>
      <c r="C139" s="9" t="s">
        <v>81</v>
      </c>
      <c r="D139" s="9" t="s">
        <v>29</v>
      </c>
      <c r="E139" s="4" t="s">
        <v>42</v>
      </c>
      <c r="F139" s="4" t="s">
        <v>43</v>
      </c>
      <c r="I139" s="2"/>
      <c r="J139" s="2"/>
      <c r="K139" s="2"/>
      <c r="L139" s="2"/>
    </row>
    <row r="140" spans="1:12" x14ac:dyDescent="0.3">
      <c r="A140" s="4">
        <v>2</v>
      </c>
      <c r="B140" s="4">
        <v>2</v>
      </c>
      <c r="C140" s="4" t="s">
        <v>80</v>
      </c>
      <c r="D140" s="4" t="s">
        <v>0</v>
      </c>
      <c r="E140" s="4" t="s">
        <v>41</v>
      </c>
      <c r="F140" s="4" t="s">
        <v>51</v>
      </c>
      <c r="I140" s="2"/>
      <c r="J140" s="2"/>
      <c r="K140" s="2"/>
      <c r="L140" s="2"/>
    </row>
    <row r="141" spans="1:12" x14ac:dyDescent="0.3">
      <c r="A141" s="4">
        <v>2</v>
      </c>
      <c r="B141" s="4">
        <v>2</v>
      </c>
      <c r="C141" s="4" t="s">
        <v>80</v>
      </c>
      <c r="D141" s="4" t="s">
        <v>40</v>
      </c>
      <c r="E141" s="4" t="s">
        <v>9</v>
      </c>
      <c r="F141" s="4" t="s">
        <v>51</v>
      </c>
      <c r="I141" s="2"/>
      <c r="J141" s="2"/>
      <c r="K141" s="2"/>
      <c r="L141" s="2"/>
    </row>
    <row r="142" spans="1:12" x14ac:dyDescent="0.3">
      <c r="A142" s="4">
        <v>2</v>
      </c>
      <c r="B142" s="9">
        <v>2</v>
      </c>
      <c r="C142" s="9" t="s">
        <v>80</v>
      </c>
      <c r="D142" s="9" t="s">
        <v>29</v>
      </c>
      <c r="E142" s="4" t="s">
        <v>42</v>
      </c>
      <c r="F142" s="4" t="s">
        <v>50</v>
      </c>
      <c r="I142" s="2"/>
      <c r="J142" s="2"/>
      <c r="K142" s="2"/>
    </row>
    <row r="143" spans="1:12" x14ac:dyDescent="0.3">
      <c r="A143" s="4">
        <v>2</v>
      </c>
      <c r="B143" s="9">
        <v>1</v>
      </c>
      <c r="C143" s="9" t="s">
        <v>81</v>
      </c>
      <c r="D143" s="9" t="s">
        <v>29</v>
      </c>
      <c r="E143" s="4" t="s">
        <v>42</v>
      </c>
      <c r="F143" s="4" t="s">
        <v>47</v>
      </c>
      <c r="I143" s="2"/>
      <c r="J143" s="2"/>
      <c r="K143" s="2"/>
    </row>
    <row r="144" spans="1:12" x14ac:dyDescent="0.3">
      <c r="A144" s="4">
        <v>2</v>
      </c>
      <c r="B144" s="9">
        <v>2</v>
      </c>
      <c r="C144" s="9" t="s">
        <v>80</v>
      </c>
      <c r="D144" s="9" t="s">
        <v>29</v>
      </c>
      <c r="E144" s="4" t="s">
        <v>42</v>
      </c>
      <c r="F144" s="4" t="s">
        <v>49</v>
      </c>
      <c r="I144" s="2"/>
      <c r="J144" s="2"/>
      <c r="K144" s="2"/>
    </row>
    <row r="145" spans="1:13" x14ac:dyDescent="0.3">
      <c r="A145" s="4">
        <v>2</v>
      </c>
      <c r="B145" s="4">
        <v>2</v>
      </c>
      <c r="C145" s="4" t="s">
        <v>80</v>
      </c>
      <c r="D145" s="4" t="s">
        <v>0</v>
      </c>
      <c r="E145" s="4" t="s">
        <v>41</v>
      </c>
      <c r="F145" s="4" t="s">
        <v>53</v>
      </c>
    </row>
    <row r="146" spans="1:13" x14ac:dyDescent="0.3">
      <c r="A146" s="4">
        <v>2</v>
      </c>
      <c r="B146" s="4">
        <v>1</v>
      </c>
      <c r="C146" s="4" t="s">
        <v>81</v>
      </c>
      <c r="D146" s="4" t="s">
        <v>40</v>
      </c>
      <c r="E146" s="4" t="s">
        <v>10</v>
      </c>
      <c r="F146" s="4" t="s">
        <v>53</v>
      </c>
    </row>
    <row r="147" spans="1:13" x14ac:dyDescent="0.3">
      <c r="A147" s="4">
        <v>2</v>
      </c>
      <c r="B147" s="7">
        <v>1</v>
      </c>
      <c r="C147" s="4" t="s">
        <v>81</v>
      </c>
      <c r="D147" s="4" t="s">
        <v>0</v>
      </c>
      <c r="E147" s="4" t="s">
        <v>41</v>
      </c>
      <c r="F147" s="4" t="s">
        <v>52</v>
      </c>
    </row>
    <row r="148" spans="1:13" x14ac:dyDescent="0.3">
      <c r="A148" s="4">
        <v>2</v>
      </c>
      <c r="B148" s="7">
        <v>1</v>
      </c>
      <c r="C148" s="4" t="s">
        <v>81</v>
      </c>
      <c r="D148" s="4" t="s">
        <v>40</v>
      </c>
      <c r="E148" s="4" t="s">
        <v>9</v>
      </c>
      <c r="F148" s="4" t="s">
        <v>52</v>
      </c>
    </row>
    <row r="149" spans="1:13" x14ac:dyDescent="0.3">
      <c r="A149" s="4">
        <v>2</v>
      </c>
      <c r="B149" s="9">
        <v>2</v>
      </c>
      <c r="C149" s="9" t="s">
        <v>80</v>
      </c>
      <c r="D149" s="9" t="s">
        <v>29</v>
      </c>
      <c r="E149" s="4" t="s">
        <v>42</v>
      </c>
      <c r="F149" s="4" t="s">
        <v>49</v>
      </c>
    </row>
    <row r="150" spans="1:13" x14ac:dyDescent="0.3">
      <c r="A150" s="4">
        <v>2</v>
      </c>
      <c r="B150" s="9">
        <v>2</v>
      </c>
      <c r="C150" s="9" t="s">
        <v>80</v>
      </c>
      <c r="D150" s="9" t="s">
        <v>29</v>
      </c>
      <c r="E150" s="4" t="s">
        <v>42</v>
      </c>
      <c r="F150" s="4" t="s">
        <v>48</v>
      </c>
    </row>
    <row r="151" spans="1:13" x14ac:dyDescent="0.3">
      <c r="A151" s="4">
        <v>2</v>
      </c>
      <c r="B151" s="7">
        <v>1</v>
      </c>
      <c r="C151" s="7" t="s">
        <v>81</v>
      </c>
      <c r="D151" s="4" t="s">
        <v>0</v>
      </c>
      <c r="E151" s="4" t="s">
        <v>41</v>
      </c>
      <c r="F151" s="4" t="s">
        <v>53</v>
      </c>
    </row>
    <row r="152" spans="1:13" x14ac:dyDescent="0.3">
      <c r="A152" s="4">
        <v>2</v>
      </c>
      <c r="B152" s="7">
        <v>1</v>
      </c>
      <c r="C152" s="7" t="s">
        <v>81</v>
      </c>
      <c r="D152" s="4" t="s">
        <v>40</v>
      </c>
      <c r="E152" s="4" t="s">
        <v>9</v>
      </c>
      <c r="F152" s="4" t="s">
        <v>53</v>
      </c>
    </row>
    <row r="153" spans="1:13" x14ac:dyDescent="0.3">
      <c r="A153" s="4">
        <v>2</v>
      </c>
      <c r="B153" s="7">
        <v>1</v>
      </c>
      <c r="C153" s="7" t="s">
        <v>81</v>
      </c>
      <c r="D153" s="4" t="s">
        <v>0</v>
      </c>
      <c r="E153" s="4" t="s">
        <v>41</v>
      </c>
      <c r="F153" s="4" t="s">
        <v>55</v>
      </c>
      <c r="J153" s="2"/>
    </row>
    <row r="154" spans="1:13" x14ac:dyDescent="0.3">
      <c r="A154" s="4">
        <v>2</v>
      </c>
      <c r="B154" s="7">
        <v>2</v>
      </c>
      <c r="C154" s="7" t="s">
        <v>80</v>
      </c>
      <c r="D154" s="4" t="s">
        <v>40</v>
      </c>
      <c r="E154" s="4" t="s">
        <v>10</v>
      </c>
      <c r="F154" s="4" t="s">
        <v>55</v>
      </c>
      <c r="J154" s="2"/>
    </row>
    <row r="155" spans="1:13" x14ac:dyDescent="0.3">
      <c r="A155" s="4">
        <v>2</v>
      </c>
      <c r="B155" s="9">
        <v>1</v>
      </c>
      <c r="C155" s="9" t="s">
        <v>81</v>
      </c>
      <c r="D155" s="9" t="s">
        <v>29</v>
      </c>
      <c r="E155" s="4" t="s">
        <v>42</v>
      </c>
      <c r="F155" s="4" t="s">
        <v>50</v>
      </c>
      <c r="J155" s="2"/>
    </row>
    <row r="156" spans="1:13" x14ac:dyDescent="0.3">
      <c r="A156" s="4">
        <v>2</v>
      </c>
      <c r="B156" s="7">
        <v>2</v>
      </c>
      <c r="C156" s="7" t="s">
        <v>80</v>
      </c>
      <c r="D156" s="4" t="s">
        <v>0</v>
      </c>
      <c r="E156" s="4" t="s">
        <v>41</v>
      </c>
      <c r="F156" s="4" t="s">
        <v>54</v>
      </c>
      <c r="J156" s="2"/>
    </row>
    <row r="157" spans="1:13" x14ac:dyDescent="0.3">
      <c r="A157" s="4">
        <v>2</v>
      </c>
      <c r="B157" s="7">
        <v>1</v>
      </c>
      <c r="C157" s="7" t="s">
        <v>81</v>
      </c>
      <c r="D157" s="4" t="s">
        <v>40</v>
      </c>
      <c r="E157" s="4" t="s">
        <v>10</v>
      </c>
      <c r="F157" s="4" t="s">
        <v>54</v>
      </c>
      <c r="J157" s="2"/>
      <c r="M157" s="2"/>
    </row>
    <row r="158" spans="1:13" x14ac:dyDescent="0.3">
      <c r="A158" s="4">
        <v>2</v>
      </c>
      <c r="B158" s="7">
        <v>1</v>
      </c>
      <c r="C158" s="7" t="s">
        <v>81</v>
      </c>
      <c r="D158" s="4" t="s">
        <v>0</v>
      </c>
      <c r="E158" s="4" t="s">
        <v>41</v>
      </c>
      <c r="F158" s="4" t="s">
        <v>51</v>
      </c>
      <c r="J158" s="2"/>
      <c r="M158" s="2"/>
    </row>
    <row r="159" spans="1:13" x14ac:dyDescent="0.3">
      <c r="A159" s="4">
        <v>2</v>
      </c>
      <c r="B159" s="7">
        <v>2</v>
      </c>
      <c r="C159" s="7" t="s">
        <v>80</v>
      </c>
      <c r="D159" s="4" t="s">
        <v>40</v>
      </c>
      <c r="E159" s="4" t="s">
        <v>10</v>
      </c>
      <c r="F159" s="4" t="s">
        <v>51</v>
      </c>
      <c r="J159" s="2"/>
      <c r="M159" s="2"/>
    </row>
    <row r="160" spans="1:13" x14ac:dyDescent="0.3">
      <c r="A160" s="4">
        <v>2</v>
      </c>
      <c r="B160" s="9">
        <v>2</v>
      </c>
      <c r="C160" s="9" t="s">
        <v>80</v>
      </c>
      <c r="D160" s="9" t="s">
        <v>29</v>
      </c>
      <c r="E160" s="4" t="s">
        <v>42</v>
      </c>
      <c r="F160" s="4" t="s">
        <v>43</v>
      </c>
      <c r="J160" s="2"/>
      <c r="M160" s="2"/>
    </row>
    <row r="161" spans="1:13" x14ac:dyDescent="0.3">
      <c r="A161" s="4">
        <v>2</v>
      </c>
      <c r="B161" s="9">
        <v>1</v>
      </c>
      <c r="C161" s="9" t="s">
        <v>81</v>
      </c>
      <c r="D161" s="9" t="s">
        <v>29</v>
      </c>
      <c r="E161" s="4" t="s">
        <v>42</v>
      </c>
      <c r="F161" s="4" t="s">
        <v>46</v>
      </c>
      <c r="J161" s="2"/>
      <c r="M161" s="2"/>
    </row>
    <row r="162" spans="1:13" x14ac:dyDescent="0.3">
      <c r="A162" s="4">
        <v>2</v>
      </c>
      <c r="B162" s="7">
        <v>2</v>
      </c>
      <c r="C162" s="7" t="s">
        <v>80</v>
      </c>
      <c r="D162" s="4" t="s">
        <v>0</v>
      </c>
      <c r="E162" s="4" t="s">
        <v>41</v>
      </c>
      <c r="F162" s="4" t="s">
        <v>57</v>
      </c>
      <c r="J162" s="2"/>
      <c r="M162" s="2"/>
    </row>
    <row r="163" spans="1:13" x14ac:dyDescent="0.3">
      <c r="A163" s="4">
        <v>2</v>
      </c>
      <c r="B163" s="7">
        <v>2</v>
      </c>
      <c r="C163" s="7" t="s">
        <v>80</v>
      </c>
      <c r="D163" s="4" t="s">
        <v>40</v>
      </c>
      <c r="E163" s="4" t="s">
        <v>9</v>
      </c>
      <c r="F163" s="4" t="s">
        <v>57</v>
      </c>
      <c r="J163" s="2"/>
      <c r="M163" s="2"/>
    </row>
    <row r="164" spans="1:13" x14ac:dyDescent="0.3">
      <c r="A164" s="4">
        <v>2</v>
      </c>
      <c r="B164" s="9">
        <v>1</v>
      </c>
      <c r="C164" s="9" t="s">
        <v>81</v>
      </c>
      <c r="D164" s="9" t="s">
        <v>29</v>
      </c>
      <c r="E164" s="4" t="s">
        <v>42</v>
      </c>
      <c r="F164" s="4" t="s">
        <v>44</v>
      </c>
      <c r="J164" s="2"/>
      <c r="M164" s="2"/>
    </row>
    <row r="165" spans="1:13" x14ac:dyDescent="0.3">
      <c r="A165" s="4">
        <v>2</v>
      </c>
      <c r="B165" s="7">
        <v>2</v>
      </c>
      <c r="C165" s="7" t="s">
        <v>80</v>
      </c>
      <c r="D165" s="4" t="s">
        <v>0</v>
      </c>
      <c r="E165" s="4" t="s">
        <v>41</v>
      </c>
      <c r="F165" s="4" t="s">
        <v>58</v>
      </c>
      <c r="J165" s="2"/>
      <c r="M165" s="2"/>
    </row>
    <row r="166" spans="1:13" x14ac:dyDescent="0.3">
      <c r="A166" s="4">
        <v>2</v>
      </c>
      <c r="B166" s="7">
        <v>2</v>
      </c>
      <c r="C166" s="7" t="s">
        <v>80</v>
      </c>
      <c r="D166" s="4" t="s">
        <v>40</v>
      </c>
      <c r="E166" s="4" t="s">
        <v>9</v>
      </c>
      <c r="F166" s="4" t="s">
        <v>58</v>
      </c>
      <c r="J166" s="2"/>
      <c r="M166" s="2"/>
    </row>
    <row r="167" spans="1:13" x14ac:dyDescent="0.3">
      <c r="A167" s="4">
        <v>2</v>
      </c>
      <c r="B167" s="7">
        <v>2</v>
      </c>
      <c r="C167" s="7" t="s">
        <v>80</v>
      </c>
      <c r="D167" s="4" t="s">
        <v>0</v>
      </c>
      <c r="E167" s="4" t="s">
        <v>41</v>
      </c>
      <c r="F167" s="4" t="s">
        <v>56</v>
      </c>
      <c r="J167" s="2"/>
      <c r="M167" s="2"/>
    </row>
    <row r="168" spans="1:13" x14ac:dyDescent="0.3">
      <c r="A168" s="4">
        <v>2</v>
      </c>
      <c r="B168" s="7">
        <v>1</v>
      </c>
      <c r="C168" s="7" t="s">
        <v>81</v>
      </c>
      <c r="D168" s="4" t="s">
        <v>40</v>
      </c>
      <c r="E168" s="4" t="s">
        <v>10</v>
      </c>
      <c r="F168" s="4" t="s">
        <v>56</v>
      </c>
      <c r="J168" s="2"/>
      <c r="K168" s="2"/>
      <c r="M168" s="2"/>
    </row>
    <row r="169" spans="1:13" x14ac:dyDescent="0.3">
      <c r="A169" s="4">
        <v>2</v>
      </c>
      <c r="B169" s="9">
        <v>1</v>
      </c>
      <c r="C169" s="9" t="s">
        <v>81</v>
      </c>
      <c r="D169" s="9" t="s">
        <v>29</v>
      </c>
      <c r="E169" s="4" t="s">
        <v>42</v>
      </c>
      <c r="F169" s="4" t="s">
        <v>45</v>
      </c>
      <c r="M169" s="2"/>
    </row>
    <row r="170" spans="1:13" x14ac:dyDescent="0.3">
      <c r="A170" s="4">
        <v>2</v>
      </c>
      <c r="B170" s="9">
        <v>2</v>
      </c>
      <c r="C170" s="9" t="s">
        <v>80</v>
      </c>
      <c r="D170" s="9" t="s">
        <v>29</v>
      </c>
      <c r="E170" s="4" t="s">
        <v>42</v>
      </c>
      <c r="F170" s="4" t="s">
        <v>47</v>
      </c>
      <c r="M170" s="2"/>
    </row>
    <row r="171" spans="1:13" x14ac:dyDescent="0.3">
      <c r="A171" s="4">
        <v>2</v>
      </c>
      <c r="B171" s="4">
        <v>1</v>
      </c>
      <c r="C171" s="4" t="s">
        <v>81</v>
      </c>
      <c r="D171" s="4" t="s">
        <v>0</v>
      </c>
      <c r="E171" s="4" t="s">
        <v>41</v>
      </c>
      <c r="F171" s="4" t="s">
        <v>51</v>
      </c>
      <c r="M171" s="2"/>
    </row>
    <row r="172" spans="1:13" x14ac:dyDescent="0.3">
      <c r="A172" s="4">
        <v>2</v>
      </c>
      <c r="B172" s="4">
        <v>1</v>
      </c>
      <c r="C172" s="4" t="s">
        <v>81</v>
      </c>
      <c r="D172" s="4" t="s">
        <v>40</v>
      </c>
      <c r="E172" s="4" t="s">
        <v>9</v>
      </c>
      <c r="F172" s="4" t="s">
        <v>51</v>
      </c>
    </row>
    <row r="173" spans="1:13" x14ac:dyDescent="0.3">
      <c r="A173" s="4">
        <v>2</v>
      </c>
      <c r="B173" s="9">
        <v>2</v>
      </c>
      <c r="C173" s="9" t="s">
        <v>80</v>
      </c>
      <c r="D173" s="9" t="s">
        <v>29</v>
      </c>
      <c r="E173" s="4" t="s">
        <v>42</v>
      </c>
      <c r="F173" s="4" t="s">
        <v>47</v>
      </c>
      <c r="K173" s="2"/>
    </row>
    <row r="174" spans="1:13" x14ac:dyDescent="0.3">
      <c r="A174" s="4">
        <v>2</v>
      </c>
      <c r="B174" s="4">
        <v>1</v>
      </c>
      <c r="C174" s="25" t="s">
        <v>81</v>
      </c>
      <c r="D174" s="4" t="s">
        <v>0</v>
      </c>
      <c r="E174" s="4" t="s">
        <v>41</v>
      </c>
      <c r="F174" s="4" t="s">
        <v>55</v>
      </c>
      <c r="K174" s="2"/>
    </row>
    <row r="175" spans="1:13" x14ac:dyDescent="0.3">
      <c r="A175" s="4">
        <v>2</v>
      </c>
      <c r="B175" s="4">
        <v>1</v>
      </c>
      <c r="C175" s="25" t="s">
        <v>81</v>
      </c>
      <c r="D175" s="4" t="s">
        <v>40</v>
      </c>
      <c r="E175" s="4" t="s">
        <v>9</v>
      </c>
      <c r="F175" s="4" t="s">
        <v>55</v>
      </c>
      <c r="K175" s="2"/>
    </row>
    <row r="176" spans="1:13" x14ac:dyDescent="0.3">
      <c r="A176" s="4">
        <v>2</v>
      </c>
      <c r="B176" s="4">
        <v>1</v>
      </c>
      <c r="C176" s="25" t="s">
        <v>81</v>
      </c>
      <c r="D176" s="4" t="s">
        <v>0</v>
      </c>
      <c r="E176" s="4" t="s">
        <v>41</v>
      </c>
      <c r="F176" s="4" t="s">
        <v>53</v>
      </c>
      <c r="K176" s="2"/>
    </row>
    <row r="177" spans="1:11" x14ac:dyDescent="0.3">
      <c r="A177" s="4">
        <v>2</v>
      </c>
      <c r="B177" s="4">
        <v>1</v>
      </c>
      <c r="C177" s="25" t="s">
        <v>81</v>
      </c>
      <c r="D177" s="4" t="s">
        <v>40</v>
      </c>
      <c r="E177" s="4" t="s">
        <v>10</v>
      </c>
      <c r="F177" s="4" t="s">
        <v>53</v>
      </c>
      <c r="K177" s="2"/>
    </row>
    <row r="178" spans="1:11" x14ac:dyDescent="0.3">
      <c r="A178" s="4">
        <v>2</v>
      </c>
      <c r="B178" s="9">
        <v>2</v>
      </c>
      <c r="C178" s="9" t="s">
        <v>80</v>
      </c>
      <c r="D178" s="9" t="s">
        <v>29</v>
      </c>
      <c r="E178" s="4" t="s">
        <v>42</v>
      </c>
      <c r="F178" s="4" t="s">
        <v>50</v>
      </c>
      <c r="K178" s="2"/>
    </row>
    <row r="179" spans="1:11" x14ac:dyDescent="0.3">
      <c r="A179" s="4">
        <v>2</v>
      </c>
      <c r="B179" s="4">
        <v>2</v>
      </c>
      <c r="C179" s="4" t="s">
        <v>80</v>
      </c>
      <c r="D179" s="4" t="s">
        <v>0</v>
      </c>
      <c r="E179" s="4" t="s">
        <v>41</v>
      </c>
      <c r="F179" s="4" t="s">
        <v>57</v>
      </c>
      <c r="K179" s="2"/>
    </row>
    <row r="180" spans="1:11" x14ac:dyDescent="0.3">
      <c r="A180" s="4">
        <v>2</v>
      </c>
      <c r="B180" s="4">
        <v>1</v>
      </c>
      <c r="C180" s="4" t="s">
        <v>81</v>
      </c>
      <c r="D180" s="4" t="s">
        <v>40</v>
      </c>
      <c r="E180" s="4" t="s">
        <v>10</v>
      </c>
      <c r="F180" s="4" t="s">
        <v>57</v>
      </c>
      <c r="K180" s="2"/>
    </row>
    <row r="181" spans="1:11" x14ac:dyDescent="0.3">
      <c r="A181" s="4">
        <v>2</v>
      </c>
      <c r="B181" s="9">
        <v>1</v>
      </c>
      <c r="C181" s="9" t="s">
        <v>81</v>
      </c>
      <c r="D181" s="9" t="s">
        <v>29</v>
      </c>
      <c r="E181" s="4" t="s">
        <v>42</v>
      </c>
      <c r="F181" s="4" t="s">
        <v>49</v>
      </c>
      <c r="K181" s="2"/>
    </row>
    <row r="182" spans="1:11" x14ac:dyDescent="0.3">
      <c r="A182" s="4">
        <v>2</v>
      </c>
      <c r="B182" s="9">
        <v>2</v>
      </c>
      <c r="C182" s="9" t="s">
        <v>80</v>
      </c>
      <c r="D182" s="9" t="s">
        <v>29</v>
      </c>
      <c r="E182" s="4" t="s">
        <v>42</v>
      </c>
      <c r="F182" s="4" t="s">
        <v>45</v>
      </c>
      <c r="K182" s="2"/>
    </row>
    <row r="183" spans="1:11" x14ac:dyDescent="0.3">
      <c r="A183" s="4">
        <v>2</v>
      </c>
      <c r="B183" s="9">
        <v>1</v>
      </c>
      <c r="C183" s="9" t="s">
        <v>81</v>
      </c>
      <c r="D183" s="9" t="s">
        <v>29</v>
      </c>
      <c r="E183" s="4" t="s">
        <v>42</v>
      </c>
      <c r="F183" s="4" t="s">
        <v>44</v>
      </c>
      <c r="K183" s="2"/>
    </row>
    <row r="184" spans="1:11" x14ac:dyDescent="0.3">
      <c r="A184" s="4">
        <v>2</v>
      </c>
      <c r="B184" s="4">
        <v>1</v>
      </c>
      <c r="C184" s="4" t="s">
        <v>81</v>
      </c>
      <c r="D184" s="4" t="s">
        <v>0</v>
      </c>
      <c r="E184" s="4" t="s">
        <v>41</v>
      </c>
      <c r="F184" s="4" t="s">
        <v>52</v>
      </c>
      <c r="K184" s="2"/>
    </row>
    <row r="185" spans="1:11" x14ac:dyDescent="0.3">
      <c r="A185" s="4">
        <v>2</v>
      </c>
      <c r="B185" s="4">
        <v>2</v>
      </c>
      <c r="C185" s="4" t="s">
        <v>80</v>
      </c>
      <c r="D185" s="4" t="s">
        <v>40</v>
      </c>
      <c r="E185" s="4" t="s">
        <v>10</v>
      </c>
      <c r="F185" s="4" t="s">
        <v>52</v>
      </c>
      <c r="K185" s="2"/>
    </row>
    <row r="186" spans="1:11" x14ac:dyDescent="0.3">
      <c r="A186" s="4">
        <v>2</v>
      </c>
      <c r="B186" s="4">
        <v>2</v>
      </c>
      <c r="C186" s="4" t="s">
        <v>80</v>
      </c>
      <c r="D186" s="4" t="s">
        <v>0</v>
      </c>
      <c r="E186" s="4" t="s">
        <v>41</v>
      </c>
      <c r="F186" s="4" t="s">
        <v>56</v>
      </c>
      <c r="K186" s="2"/>
    </row>
    <row r="187" spans="1:11" x14ac:dyDescent="0.3">
      <c r="A187" s="4">
        <v>2</v>
      </c>
      <c r="B187" s="4">
        <v>2</v>
      </c>
      <c r="C187" s="4" t="s">
        <v>80</v>
      </c>
      <c r="D187" s="4" t="s">
        <v>40</v>
      </c>
      <c r="E187" s="4" t="s">
        <v>9</v>
      </c>
      <c r="F187" s="4" t="s">
        <v>56</v>
      </c>
      <c r="K187" s="2"/>
    </row>
    <row r="188" spans="1:11" x14ac:dyDescent="0.3">
      <c r="A188" s="4">
        <v>2</v>
      </c>
      <c r="B188" s="9">
        <v>1</v>
      </c>
      <c r="C188" s="9" t="s">
        <v>81</v>
      </c>
      <c r="D188" s="9" t="s">
        <v>29</v>
      </c>
      <c r="E188" s="4" t="s">
        <v>42</v>
      </c>
      <c r="F188" s="4" t="s">
        <v>46</v>
      </c>
      <c r="K188" s="2"/>
    </row>
    <row r="189" spans="1:11" x14ac:dyDescent="0.3">
      <c r="A189" s="4">
        <v>2</v>
      </c>
      <c r="B189" s="4">
        <v>2</v>
      </c>
      <c r="C189" s="4" t="s">
        <v>80</v>
      </c>
      <c r="D189" s="4" t="s">
        <v>0</v>
      </c>
      <c r="E189" s="4" t="s">
        <v>41</v>
      </c>
      <c r="F189" s="4" t="s">
        <v>54</v>
      </c>
      <c r="K189" s="2"/>
    </row>
    <row r="190" spans="1:11" x14ac:dyDescent="0.3">
      <c r="A190" s="4">
        <v>2</v>
      </c>
      <c r="B190" s="4">
        <v>2</v>
      </c>
      <c r="C190" s="4" t="s">
        <v>80</v>
      </c>
      <c r="D190" s="4" t="s">
        <v>40</v>
      </c>
      <c r="E190" s="4" t="s">
        <v>9</v>
      </c>
      <c r="F190" s="4" t="s">
        <v>54</v>
      </c>
    </row>
    <row r="191" spans="1:11" x14ac:dyDescent="0.3">
      <c r="A191" s="4">
        <v>2</v>
      </c>
      <c r="B191" s="9">
        <v>1</v>
      </c>
      <c r="C191" s="9" t="s">
        <v>81</v>
      </c>
      <c r="D191" s="9" t="s">
        <v>29</v>
      </c>
      <c r="E191" s="4" t="s">
        <v>42</v>
      </c>
      <c r="F191" s="4" t="s">
        <v>43</v>
      </c>
    </row>
    <row r="192" spans="1:11" x14ac:dyDescent="0.3">
      <c r="A192" s="4">
        <v>2</v>
      </c>
      <c r="B192" s="9">
        <v>2</v>
      </c>
      <c r="C192" s="9" t="s">
        <v>80</v>
      </c>
      <c r="D192" s="9" t="s">
        <v>29</v>
      </c>
      <c r="E192" s="4" t="s">
        <v>42</v>
      </c>
      <c r="F192" s="4" t="s">
        <v>48</v>
      </c>
    </row>
    <row r="193" spans="1:8" x14ac:dyDescent="0.3">
      <c r="A193" s="4">
        <v>2</v>
      </c>
      <c r="B193" s="4">
        <v>2</v>
      </c>
      <c r="C193" s="4" t="s">
        <v>80</v>
      </c>
      <c r="D193" s="4" t="s">
        <v>0</v>
      </c>
      <c r="E193" s="4" t="s">
        <v>41</v>
      </c>
      <c r="F193" s="4" t="s">
        <v>58</v>
      </c>
    </row>
    <row r="194" spans="1:8" x14ac:dyDescent="0.3">
      <c r="A194" s="4">
        <v>2</v>
      </c>
      <c r="B194" s="4">
        <v>1</v>
      </c>
      <c r="C194" s="4" t="s">
        <v>81</v>
      </c>
      <c r="D194" s="4" t="s">
        <v>40</v>
      </c>
      <c r="E194" s="4" t="s">
        <v>10</v>
      </c>
      <c r="F194" s="4" t="s">
        <v>58</v>
      </c>
    </row>
    <row r="195" spans="1:8" x14ac:dyDescent="0.3">
      <c r="A195" s="4"/>
      <c r="B195" s="4" t="s">
        <v>25</v>
      </c>
      <c r="C195" s="4"/>
      <c r="D195" s="4"/>
      <c r="E195" s="4"/>
      <c r="F195" s="4"/>
    </row>
    <row r="196" spans="1:8" x14ac:dyDescent="0.3">
      <c r="A196" s="7">
        <v>3</v>
      </c>
      <c r="B196" s="7">
        <v>1</v>
      </c>
      <c r="C196" s="7" t="s">
        <v>81</v>
      </c>
      <c r="D196" s="4" t="s">
        <v>0</v>
      </c>
      <c r="E196" s="4" t="s">
        <v>41</v>
      </c>
      <c r="F196" s="4" t="s">
        <v>59</v>
      </c>
      <c r="H196" s="2"/>
    </row>
    <row r="197" spans="1:8" x14ac:dyDescent="0.3">
      <c r="A197" s="7">
        <v>3</v>
      </c>
      <c r="B197" s="7">
        <v>2</v>
      </c>
      <c r="C197" s="7" t="s">
        <v>80</v>
      </c>
      <c r="D197" s="4" t="s">
        <v>40</v>
      </c>
      <c r="E197" s="4" t="s">
        <v>10</v>
      </c>
      <c r="F197" s="4" t="s">
        <v>59</v>
      </c>
      <c r="H197" s="2"/>
    </row>
    <row r="198" spans="1:8" x14ac:dyDescent="0.3">
      <c r="A198" s="7">
        <v>3</v>
      </c>
      <c r="B198" s="7">
        <v>2</v>
      </c>
      <c r="C198" s="7" t="s">
        <v>80</v>
      </c>
      <c r="D198" s="4" t="s">
        <v>0</v>
      </c>
      <c r="E198" s="4" t="s">
        <v>41</v>
      </c>
      <c r="F198" s="4" t="s">
        <v>60</v>
      </c>
      <c r="H198" s="2"/>
    </row>
    <row r="199" spans="1:8" x14ac:dyDescent="0.3">
      <c r="A199" s="7">
        <v>3</v>
      </c>
      <c r="B199" s="7">
        <v>1</v>
      </c>
      <c r="C199" s="7" t="s">
        <v>81</v>
      </c>
      <c r="D199" s="4" t="s">
        <v>40</v>
      </c>
      <c r="E199" s="4" t="s">
        <v>10</v>
      </c>
      <c r="F199" s="4" t="s">
        <v>60</v>
      </c>
      <c r="H199" s="2"/>
    </row>
    <row r="200" spans="1:8" x14ac:dyDescent="0.3">
      <c r="A200" s="7">
        <v>3</v>
      </c>
      <c r="B200" s="10">
        <v>1</v>
      </c>
      <c r="C200" s="10" t="s">
        <v>81</v>
      </c>
      <c r="D200" s="10" t="s">
        <v>29</v>
      </c>
      <c r="E200" s="4" t="s">
        <v>42</v>
      </c>
      <c r="F200" s="4" t="s">
        <v>58</v>
      </c>
      <c r="H200" s="2"/>
    </row>
    <row r="201" spans="1:8" x14ac:dyDescent="0.3">
      <c r="A201" s="7">
        <v>3</v>
      </c>
      <c r="B201" s="7">
        <v>1</v>
      </c>
      <c r="C201" s="7" t="s">
        <v>81</v>
      </c>
      <c r="D201" s="4" t="s">
        <v>0</v>
      </c>
      <c r="E201" s="4" t="s">
        <v>41</v>
      </c>
      <c r="F201" s="4" t="s">
        <v>61</v>
      </c>
      <c r="H201" s="2"/>
    </row>
    <row r="202" spans="1:8" x14ac:dyDescent="0.3">
      <c r="A202" s="7">
        <v>3</v>
      </c>
      <c r="B202" s="7">
        <v>2</v>
      </c>
      <c r="C202" s="7" t="s">
        <v>80</v>
      </c>
      <c r="D202" s="4" t="s">
        <v>40</v>
      </c>
      <c r="E202" s="4" t="s">
        <v>10</v>
      </c>
      <c r="F202" s="4" t="s">
        <v>61</v>
      </c>
      <c r="H202" s="3"/>
    </row>
    <row r="203" spans="1:8" x14ac:dyDescent="0.3">
      <c r="A203" s="7">
        <v>3</v>
      </c>
      <c r="B203" s="10">
        <v>1</v>
      </c>
      <c r="C203" s="10" t="s">
        <v>81</v>
      </c>
      <c r="D203" s="10" t="s">
        <v>29</v>
      </c>
      <c r="E203" s="4" t="s">
        <v>42</v>
      </c>
      <c r="F203" s="4" t="s">
        <v>57</v>
      </c>
      <c r="H203" s="3"/>
    </row>
    <row r="204" spans="1:8" x14ac:dyDescent="0.3">
      <c r="A204" s="7">
        <v>3</v>
      </c>
      <c r="B204" s="7">
        <v>2</v>
      </c>
      <c r="C204" s="7" t="s">
        <v>80</v>
      </c>
      <c r="D204" s="4" t="s">
        <v>0</v>
      </c>
      <c r="E204" s="4" t="s">
        <v>41</v>
      </c>
      <c r="F204" s="4" t="s">
        <v>62</v>
      </c>
      <c r="H204" s="3"/>
    </row>
    <row r="205" spans="1:8" x14ac:dyDescent="0.3">
      <c r="A205" s="7">
        <v>3</v>
      </c>
      <c r="B205" s="7">
        <v>2</v>
      </c>
      <c r="C205" s="7" t="s">
        <v>80</v>
      </c>
      <c r="D205" s="4" t="s">
        <v>40</v>
      </c>
      <c r="E205" s="4" t="s">
        <v>9</v>
      </c>
      <c r="F205" s="4" t="s">
        <v>62</v>
      </c>
      <c r="H205" s="3"/>
    </row>
    <row r="206" spans="1:8" x14ac:dyDescent="0.3">
      <c r="A206" s="7">
        <v>3</v>
      </c>
      <c r="B206" s="10">
        <v>2</v>
      </c>
      <c r="C206" s="10" t="s">
        <v>80</v>
      </c>
      <c r="D206" s="10" t="s">
        <v>29</v>
      </c>
      <c r="E206" s="4" t="s">
        <v>42</v>
      </c>
      <c r="F206" s="4" t="s">
        <v>56</v>
      </c>
      <c r="H206" s="2"/>
    </row>
    <row r="207" spans="1:8" x14ac:dyDescent="0.3">
      <c r="A207" s="7">
        <v>3</v>
      </c>
      <c r="B207" s="10">
        <v>1</v>
      </c>
      <c r="C207" s="10" t="s">
        <v>81</v>
      </c>
      <c r="D207" s="10" t="s">
        <v>29</v>
      </c>
      <c r="E207" s="4" t="s">
        <v>42</v>
      </c>
      <c r="F207" s="4" t="s">
        <v>55</v>
      </c>
      <c r="H207" s="2"/>
    </row>
    <row r="208" spans="1:8" x14ac:dyDescent="0.3">
      <c r="A208" s="7">
        <v>3</v>
      </c>
      <c r="B208" s="10">
        <v>1</v>
      </c>
      <c r="C208" s="10" t="s">
        <v>81</v>
      </c>
      <c r="D208" s="10" t="s">
        <v>29</v>
      </c>
      <c r="E208" s="4" t="s">
        <v>42</v>
      </c>
      <c r="F208" s="4" t="s">
        <v>54</v>
      </c>
      <c r="H208" s="2"/>
    </row>
    <row r="209" spans="1:10" x14ac:dyDescent="0.3">
      <c r="A209" s="7">
        <v>3</v>
      </c>
      <c r="B209" s="7">
        <v>2</v>
      </c>
      <c r="C209" s="7" t="s">
        <v>80</v>
      </c>
      <c r="D209" s="4" t="s">
        <v>0</v>
      </c>
      <c r="E209" s="4" t="s">
        <v>41</v>
      </c>
      <c r="F209" s="4" t="s">
        <v>63</v>
      </c>
      <c r="H209" s="2"/>
    </row>
    <row r="210" spans="1:10" x14ac:dyDescent="0.3">
      <c r="A210" s="7">
        <v>3</v>
      </c>
      <c r="B210" s="7">
        <v>2</v>
      </c>
      <c r="C210" s="7" t="s">
        <v>80</v>
      </c>
      <c r="D210" s="4" t="s">
        <v>40</v>
      </c>
      <c r="E210" s="4" t="s">
        <v>9</v>
      </c>
      <c r="F210" s="4" t="s">
        <v>63</v>
      </c>
      <c r="H210" s="2"/>
    </row>
    <row r="211" spans="1:10" x14ac:dyDescent="0.3">
      <c r="A211" s="7">
        <v>3</v>
      </c>
      <c r="B211" s="7">
        <v>2</v>
      </c>
      <c r="C211" s="7" t="s">
        <v>80</v>
      </c>
      <c r="D211" s="4" t="s">
        <v>0</v>
      </c>
      <c r="E211" s="4" t="s">
        <v>41</v>
      </c>
      <c r="F211" s="4" t="s">
        <v>64</v>
      </c>
      <c r="H211" s="2"/>
    </row>
    <row r="212" spans="1:10" x14ac:dyDescent="0.3">
      <c r="A212" s="7">
        <v>3</v>
      </c>
      <c r="B212" s="7">
        <v>1</v>
      </c>
      <c r="C212" s="7" t="s">
        <v>81</v>
      </c>
      <c r="D212" s="4" t="s">
        <v>40</v>
      </c>
      <c r="E212" s="4" t="s">
        <v>10</v>
      </c>
      <c r="F212" s="4" t="s">
        <v>64</v>
      </c>
    </row>
    <row r="213" spans="1:10" x14ac:dyDescent="0.3">
      <c r="A213" s="7">
        <v>3</v>
      </c>
      <c r="B213" s="10">
        <v>2</v>
      </c>
      <c r="C213" s="10" t="s">
        <v>80</v>
      </c>
      <c r="D213" s="10" t="s">
        <v>29</v>
      </c>
      <c r="E213" s="4" t="s">
        <v>42</v>
      </c>
      <c r="F213" s="4" t="s">
        <v>53</v>
      </c>
    </row>
    <row r="214" spans="1:10" x14ac:dyDescent="0.3">
      <c r="A214" s="7">
        <v>3</v>
      </c>
      <c r="B214" s="7">
        <v>1</v>
      </c>
      <c r="C214" s="7" t="s">
        <v>81</v>
      </c>
      <c r="D214" s="4" t="s">
        <v>0</v>
      </c>
      <c r="E214" s="4" t="s">
        <v>41</v>
      </c>
      <c r="F214" s="4" t="s">
        <v>65</v>
      </c>
    </row>
    <row r="215" spans="1:10" x14ac:dyDescent="0.3">
      <c r="A215" s="7">
        <v>3</v>
      </c>
      <c r="B215" s="7">
        <v>1</v>
      </c>
      <c r="C215" s="7" t="s">
        <v>81</v>
      </c>
      <c r="D215" s="4" t="s">
        <v>40</v>
      </c>
      <c r="E215" s="4" t="s">
        <v>9</v>
      </c>
      <c r="F215" s="4" t="s">
        <v>65</v>
      </c>
    </row>
    <row r="216" spans="1:10" x14ac:dyDescent="0.3">
      <c r="A216" s="7">
        <v>3</v>
      </c>
      <c r="B216" s="10">
        <v>2</v>
      </c>
      <c r="C216" s="10" t="s">
        <v>80</v>
      </c>
      <c r="D216" s="10" t="s">
        <v>29</v>
      </c>
      <c r="E216" s="4" t="s">
        <v>42</v>
      </c>
      <c r="F216" s="4" t="s">
        <v>52</v>
      </c>
    </row>
    <row r="217" spans="1:10" x14ac:dyDescent="0.3">
      <c r="A217" s="7">
        <v>3</v>
      </c>
      <c r="B217" s="10">
        <v>2</v>
      </c>
      <c r="C217" s="10" t="s">
        <v>80</v>
      </c>
      <c r="D217" s="10" t="s">
        <v>29</v>
      </c>
      <c r="E217" s="4" t="s">
        <v>42</v>
      </c>
      <c r="F217" s="4" t="s">
        <v>51</v>
      </c>
    </row>
    <row r="218" spans="1:10" x14ac:dyDescent="0.3">
      <c r="A218" s="7">
        <v>3</v>
      </c>
      <c r="B218" s="7">
        <v>1</v>
      </c>
      <c r="C218" s="7" t="s">
        <v>81</v>
      </c>
      <c r="D218" s="4" t="s">
        <v>0</v>
      </c>
      <c r="E218" s="4" t="s">
        <v>41</v>
      </c>
      <c r="F218" s="4" t="s">
        <v>66</v>
      </c>
    </row>
    <row r="219" spans="1:10" x14ac:dyDescent="0.3">
      <c r="A219" s="7">
        <v>3</v>
      </c>
      <c r="B219" s="7">
        <v>1</v>
      </c>
      <c r="C219" s="7" t="s">
        <v>81</v>
      </c>
      <c r="D219" s="4" t="s">
        <v>40</v>
      </c>
      <c r="E219" s="4" t="s">
        <v>9</v>
      </c>
      <c r="F219" s="4" t="s">
        <v>66</v>
      </c>
    </row>
    <row r="220" spans="1:10" x14ac:dyDescent="0.3">
      <c r="A220" s="7">
        <v>3</v>
      </c>
      <c r="B220" s="10">
        <v>2</v>
      </c>
      <c r="C220" s="10" t="s">
        <v>80</v>
      </c>
      <c r="D220" s="10" t="s">
        <v>29</v>
      </c>
      <c r="E220" s="4" t="s">
        <v>42</v>
      </c>
      <c r="F220" s="4" t="s">
        <v>54</v>
      </c>
    </row>
    <row r="221" spans="1:10" x14ac:dyDescent="0.3">
      <c r="A221" s="7">
        <v>3</v>
      </c>
      <c r="B221" s="4">
        <v>1</v>
      </c>
      <c r="C221" s="4" t="s">
        <v>81</v>
      </c>
      <c r="D221" s="4" t="s">
        <v>0</v>
      </c>
      <c r="E221" s="4" t="s">
        <v>41</v>
      </c>
      <c r="F221" s="4" t="s">
        <v>64</v>
      </c>
    </row>
    <row r="222" spans="1:10" x14ac:dyDescent="0.3">
      <c r="A222" s="7">
        <v>3</v>
      </c>
      <c r="B222" s="4">
        <v>2</v>
      </c>
      <c r="C222" s="4" t="s">
        <v>80</v>
      </c>
      <c r="D222" s="4" t="s">
        <v>40</v>
      </c>
      <c r="E222" s="4" t="s">
        <v>10</v>
      </c>
      <c r="F222" s="4" t="s">
        <v>64</v>
      </c>
    </row>
    <row r="223" spans="1:10" x14ac:dyDescent="0.3">
      <c r="A223" s="7">
        <v>3</v>
      </c>
      <c r="B223" s="10">
        <v>1</v>
      </c>
      <c r="C223" s="10" t="s">
        <v>81</v>
      </c>
      <c r="D223" s="10" t="s">
        <v>29</v>
      </c>
      <c r="E223" s="4" t="s">
        <v>42</v>
      </c>
      <c r="F223" s="4" t="s">
        <v>56</v>
      </c>
    </row>
    <row r="224" spans="1:10" x14ac:dyDescent="0.3">
      <c r="A224" s="7">
        <v>3</v>
      </c>
      <c r="B224" s="4">
        <v>2</v>
      </c>
      <c r="C224" s="4" t="s">
        <v>80</v>
      </c>
      <c r="D224" s="4" t="s">
        <v>0</v>
      </c>
      <c r="E224" s="4" t="s">
        <v>41</v>
      </c>
      <c r="F224" s="4" t="s">
        <v>62</v>
      </c>
      <c r="J224" s="2"/>
    </row>
    <row r="225" spans="1:10" x14ac:dyDescent="0.3">
      <c r="A225" s="7">
        <v>3</v>
      </c>
      <c r="B225" s="4">
        <v>1</v>
      </c>
      <c r="C225" s="4" t="s">
        <v>81</v>
      </c>
      <c r="D225" s="4" t="s">
        <v>40</v>
      </c>
      <c r="E225" s="4" t="s">
        <v>10</v>
      </c>
      <c r="F225" s="4" t="s">
        <v>62</v>
      </c>
      <c r="J225" s="2"/>
    </row>
    <row r="226" spans="1:10" x14ac:dyDescent="0.3">
      <c r="A226" s="7">
        <v>3</v>
      </c>
      <c r="B226" s="4">
        <v>1</v>
      </c>
      <c r="C226" s="4" t="s">
        <v>81</v>
      </c>
      <c r="D226" s="4" t="s">
        <v>0</v>
      </c>
      <c r="E226" s="4" t="s">
        <v>41</v>
      </c>
      <c r="F226" s="4" t="s">
        <v>66</v>
      </c>
      <c r="J226" s="2"/>
    </row>
    <row r="227" spans="1:10" x14ac:dyDescent="0.3">
      <c r="A227" s="7">
        <v>3</v>
      </c>
      <c r="B227" s="4">
        <v>2</v>
      </c>
      <c r="C227" s="25" t="s">
        <v>80</v>
      </c>
      <c r="D227" s="4" t="s">
        <v>40</v>
      </c>
      <c r="E227" s="4" t="s">
        <v>10</v>
      </c>
      <c r="F227" s="4" t="s">
        <v>66</v>
      </c>
      <c r="J227" s="2"/>
    </row>
    <row r="228" spans="1:10" x14ac:dyDescent="0.3">
      <c r="A228" s="7">
        <v>3</v>
      </c>
      <c r="B228" s="10">
        <v>2</v>
      </c>
      <c r="C228" s="26" t="s">
        <v>80</v>
      </c>
      <c r="D228" s="10" t="s">
        <v>29</v>
      </c>
      <c r="E228" s="4" t="s">
        <v>42</v>
      </c>
      <c r="F228" s="4" t="s">
        <v>58</v>
      </c>
      <c r="J228" s="2"/>
    </row>
    <row r="229" spans="1:10" x14ac:dyDescent="0.3">
      <c r="A229" s="7">
        <v>3</v>
      </c>
      <c r="B229" s="4">
        <v>2</v>
      </c>
      <c r="C229" s="25" t="s">
        <v>80</v>
      </c>
      <c r="D229" s="4" t="s">
        <v>0</v>
      </c>
      <c r="E229" s="4" t="s">
        <v>41</v>
      </c>
      <c r="F229" s="4" t="s">
        <v>65</v>
      </c>
      <c r="J229" s="2"/>
    </row>
    <row r="230" spans="1:10" x14ac:dyDescent="0.3">
      <c r="A230" s="7">
        <v>3</v>
      </c>
      <c r="B230" s="4">
        <v>2</v>
      </c>
      <c r="C230" s="25" t="s">
        <v>80</v>
      </c>
      <c r="D230" s="4" t="s">
        <v>40</v>
      </c>
      <c r="E230" s="4" t="s">
        <v>9</v>
      </c>
      <c r="F230" s="4" t="s">
        <v>65</v>
      </c>
      <c r="J230" s="2"/>
    </row>
    <row r="231" spans="1:10" x14ac:dyDescent="0.3">
      <c r="A231" s="7">
        <v>3</v>
      </c>
      <c r="B231" s="10">
        <v>1</v>
      </c>
      <c r="C231" s="10" t="s">
        <v>81</v>
      </c>
      <c r="D231" s="10" t="s">
        <v>29</v>
      </c>
      <c r="E231" s="4" t="s">
        <v>42</v>
      </c>
      <c r="F231" s="4" t="s">
        <v>52</v>
      </c>
      <c r="J231" s="2"/>
    </row>
    <row r="232" spans="1:10" x14ac:dyDescent="0.3">
      <c r="A232" s="7">
        <v>3</v>
      </c>
      <c r="B232" s="10">
        <v>1</v>
      </c>
      <c r="C232" s="10" t="s">
        <v>81</v>
      </c>
      <c r="D232" s="10" t="s">
        <v>29</v>
      </c>
      <c r="E232" s="4" t="s">
        <v>42</v>
      </c>
      <c r="F232" s="4" t="s">
        <v>57</v>
      </c>
      <c r="J232" s="2"/>
    </row>
    <row r="233" spans="1:10" x14ac:dyDescent="0.3">
      <c r="A233" s="7">
        <v>3</v>
      </c>
      <c r="B233" s="4">
        <v>2</v>
      </c>
      <c r="C233" s="4" t="s">
        <v>80</v>
      </c>
      <c r="D233" s="4" t="s">
        <v>0</v>
      </c>
      <c r="E233" s="4" t="s">
        <v>41</v>
      </c>
      <c r="F233" s="4" t="s">
        <v>59</v>
      </c>
      <c r="J233" s="2"/>
    </row>
    <row r="234" spans="1:10" x14ac:dyDescent="0.3">
      <c r="A234" s="7">
        <v>3</v>
      </c>
      <c r="B234" s="4">
        <v>2</v>
      </c>
      <c r="C234" s="4" t="s">
        <v>80</v>
      </c>
      <c r="D234" s="4" t="s">
        <v>40</v>
      </c>
      <c r="E234" s="4" t="s">
        <v>9</v>
      </c>
      <c r="F234" s="4" t="s">
        <v>59</v>
      </c>
      <c r="J234" s="2"/>
    </row>
    <row r="235" spans="1:10" x14ac:dyDescent="0.3">
      <c r="A235" s="7">
        <v>3</v>
      </c>
      <c r="B235" s="4">
        <v>2</v>
      </c>
      <c r="C235" s="4" t="s">
        <v>80</v>
      </c>
      <c r="D235" s="4" t="s">
        <v>0</v>
      </c>
      <c r="E235" s="4" t="s">
        <v>41</v>
      </c>
      <c r="F235" s="4" t="s">
        <v>61</v>
      </c>
      <c r="J235" s="2"/>
    </row>
    <row r="236" spans="1:10" x14ac:dyDescent="0.3">
      <c r="A236" s="7">
        <v>3</v>
      </c>
      <c r="B236" s="4">
        <v>1</v>
      </c>
      <c r="C236" s="4" t="s">
        <v>81</v>
      </c>
      <c r="D236" s="4" t="s">
        <v>40</v>
      </c>
      <c r="E236" s="4" t="s">
        <v>10</v>
      </c>
      <c r="F236" s="4" t="s">
        <v>61</v>
      </c>
      <c r="J236" s="2"/>
    </row>
    <row r="237" spans="1:10" x14ac:dyDescent="0.3">
      <c r="A237" s="7">
        <v>3</v>
      </c>
      <c r="B237" s="10">
        <v>2</v>
      </c>
      <c r="C237" s="10" t="s">
        <v>80</v>
      </c>
      <c r="D237" s="10" t="s">
        <v>29</v>
      </c>
      <c r="E237" s="4" t="s">
        <v>42</v>
      </c>
      <c r="F237" s="4" t="s">
        <v>55</v>
      </c>
      <c r="J237" s="2"/>
    </row>
    <row r="238" spans="1:10" x14ac:dyDescent="0.3">
      <c r="A238" s="7">
        <v>3</v>
      </c>
      <c r="B238" s="4">
        <v>1</v>
      </c>
      <c r="C238" s="4" t="s">
        <v>81</v>
      </c>
      <c r="D238" s="4" t="s">
        <v>0</v>
      </c>
      <c r="E238" s="4" t="s">
        <v>41</v>
      </c>
      <c r="F238" s="4" t="s">
        <v>63</v>
      </c>
      <c r="J238" s="2"/>
    </row>
    <row r="239" spans="1:10" x14ac:dyDescent="0.3">
      <c r="A239" s="7">
        <v>3</v>
      </c>
      <c r="B239" s="4">
        <v>1</v>
      </c>
      <c r="C239" s="4" t="s">
        <v>81</v>
      </c>
      <c r="D239" s="4" t="s">
        <v>40</v>
      </c>
      <c r="E239" s="4" t="s">
        <v>9</v>
      </c>
      <c r="F239" s="4" t="s">
        <v>63</v>
      </c>
      <c r="J239" s="2"/>
    </row>
    <row r="240" spans="1:10" x14ac:dyDescent="0.3">
      <c r="A240" s="7">
        <v>3</v>
      </c>
      <c r="B240" s="10">
        <v>2</v>
      </c>
      <c r="C240" s="10" t="s">
        <v>80</v>
      </c>
      <c r="D240" s="10" t="s">
        <v>29</v>
      </c>
      <c r="E240" s="4" t="s">
        <v>42</v>
      </c>
      <c r="F240" s="4" t="s">
        <v>51</v>
      </c>
    </row>
    <row r="241" spans="1:12" x14ac:dyDescent="0.3">
      <c r="A241" s="7">
        <v>3</v>
      </c>
      <c r="B241" s="4">
        <v>1</v>
      </c>
      <c r="C241" s="25" t="s">
        <v>81</v>
      </c>
      <c r="D241" s="4" t="s">
        <v>0</v>
      </c>
      <c r="E241" s="4" t="s">
        <v>41</v>
      </c>
      <c r="F241" s="4" t="s">
        <v>60</v>
      </c>
    </row>
    <row r="242" spans="1:12" x14ac:dyDescent="0.3">
      <c r="A242" s="7">
        <v>3</v>
      </c>
      <c r="B242" s="4">
        <v>1</v>
      </c>
      <c r="C242" s="25" t="s">
        <v>81</v>
      </c>
      <c r="D242" s="4" t="s">
        <v>40</v>
      </c>
      <c r="E242" s="4" t="s">
        <v>9</v>
      </c>
      <c r="F242" s="4" t="s">
        <v>60</v>
      </c>
    </row>
    <row r="243" spans="1:12" x14ac:dyDescent="0.3">
      <c r="A243" s="7">
        <v>3</v>
      </c>
      <c r="B243" s="10">
        <v>1</v>
      </c>
      <c r="C243" s="26" t="s">
        <v>81</v>
      </c>
      <c r="D243" s="10" t="s">
        <v>29</v>
      </c>
      <c r="E243" s="4" t="s">
        <v>42</v>
      </c>
      <c r="F243" s="4" t="s">
        <v>53</v>
      </c>
    </row>
    <row r="244" spans="1:12" x14ac:dyDescent="0.3">
      <c r="A244" s="7">
        <v>3</v>
      </c>
      <c r="B244" s="7">
        <v>1</v>
      </c>
      <c r="C244" s="23" t="s">
        <v>81</v>
      </c>
      <c r="D244" s="4" t="s">
        <v>0</v>
      </c>
      <c r="E244" s="4" t="s">
        <v>41</v>
      </c>
      <c r="F244" s="4" t="s">
        <v>62</v>
      </c>
    </row>
    <row r="245" spans="1:12" x14ac:dyDescent="0.3">
      <c r="A245" s="7">
        <v>3</v>
      </c>
      <c r="B245" s="7">
        <v>2</v>
      </c>
      <c r="C245" s="7" t="s">
        <v>80</v>
      </c>
      <c r="D245" s="4" t="s">
        <v>40</v>
      </c>
      <c r="E245" s="4" t="s">
        <v>10</v>
      </c>
      <c r="F245" s="4" t="s">
        <v>62</v>
      </c>
      <c r="L245" s="2"/>
    </row>
    <row r="246" spans="1:12" x14ac:dyDescent="0.3">
      <c r="A246" s="7">
        <v>3</v>
      </c>
      <c r="B246" s="10">
        <v>2</v>
      </c>
      <c r="C246" s="10" t="s">
        <v>80</v>
      </c>
      <c r="D246" s="10" t="s">
        <v>29</v>
      </c>
      <c r="E246" s="4" t="s">
        <v>42</v>
      </c>
      <c r="F246" s="4" t="s">
        <v>52</v>
      </c>
      <c r="J246" s="2"/>
      <c r="L246" s="2"/>
    </row>
    <row r="247" spans="1:12" x14ac:dyDescent="0.3">
      <c r="A247" s="7">
        <v>3</v>
      </c>
      <c r="B247" s="10">
        <v>1</v>
      </c>
      <c r="C247" s="10" t="s">
        <v>81</v>
      </c>
      <c r="D247" s="10" t="s">
        <v>29</v>
      </c>
      <c r="E247" s="4" t="s">
        <v>42</v>
      </c>
      <c r="F247" s="4" t="s">
        <v>53</v>
      </c>
      <c r="J247" s="2"/>
      <c r="L247" s="2"/>
    </row>
    <row r="248" spans="1:12" x14ac:dyDescent="0.3">
      <c r="A248" s="7">
        <v>3</v>
      </c>
      <c r="B248" s="7">
        <v>2</v>
      </c>
      <c r="C248" s="7" t="s">
        <v>80</v>
      </c>
      <c r="D248" s="4" t="s">
        <v>0</v>
      </c>
      <c r="E248" s="4" t="s">
        <v>41</v>
      </c>
      <c r="F248" s="4" t="s">
        <v>65</v>
      </c>
      <c r="J248" s="2"/>
      <c r="L248" s="2"/>
    </row>
    <row r="249" spans="1:12" x14ac:dyDescent="0.3">
      <c r="A249" s="7">
        <v>3</v>
      </c>
      <c r="B249" s="7">
        <v>1</v>
      </c>
      <c r="C249" s="7" t="s">
        <v>81</v>
      </c>
      <c r="D249" s="4" t="s">
        <v>40</v>
      </c>
      <c r="E249" s="4" t="s">
        <v>10</v>
      </c>
      <c r="F249" s="4" t="s">
        <v>65</v>
      </c>
      <c r="J249" s="2"/>
      <c r="L249" s="2"/>
    </row>
    <row r="250" spans="1:12" x14ac:dyDescent="0.3">
      <c r="A250" s="7">
        <v>3</v>
      </c>
      <c r="B250" s="7">
        <v>1</v>
      </c>
      <c r="C250" s="7" t="s">
        <v>81</v>
      </c>
      <c r="D250" s="4" t="s">
        <v>0</v>
      </c>
      <c r="E250" s="4" t="s">
        <v>41</v>
      </c>
      <c r="F250" s="4" t="s">
        <v>60</v>
      </c>
      <c r="J250" s="3"/>
      <c r="L250" s="2"/>
    </row>
    <row r="251" spans="1:12" x14ac:dyDescent="0.3">
      <c r="A251" s="7">
        <v>3</v>
      </c>
      <c r="B251" s="7">
        <v>2</v>
      </c>
      <c r="C251" s="7" t="s">
        <v>80</v>
      </c>
      <c r="D251" s="4" t="s">
        <v>40</v>
      </c>
      <c r="E251" s="4" t="s">
        <v>10</v>
      </c>
      <c r="F251" s="4" t="s">
        <v>60</v>
      </c>
      <c r="J251" s="3"/>
      <c r="L251" s="2"/>
    </row>
    <row r="252" spans="1:12" x14ac:dyDescent="0.3">
      <c r="A252" s="7">
        <v>3</v>
      </c>
      <c r="B252" s="10">
        <v>1</v>
      </c>
      <c r="C252" s="10" t="s">
        <v>81</v>
      </c>
      <c r="D252" s="10" t="s">
        <v>29</v>
      </c>
      <c r="E252" s="4" t="s">
        <v>42</v>
      </c>
      <c r="F252" s="4" t="s">
        <v>55</v>
      </c>
      <c r="J252" s="3"/>
      <c r="L252" s="2"/>
    </row>
    <row r="253" spans="1:12" x14ac:dyDescent="0.3">
      <c r="A253" s="7">
        <v>3</v>
      </c>
      <c r="B253" s="7">
        <v>2</v>
      </c>
      <c r="C253" s="7" t="s">
        <v>80</v>
      </c>
      <c r="D253" s="4" t="s">
        <v>0</v>
      </c>
      <c r="E253" s="4" t="s">
        <v>41</v>
      </c>
      <c r="F253" s="4" t="s">
        <v>64</v>
      </c>
      <c r="J253" s="3"/>
      <c r="L253" s="2"/>
    </row>
    <row r="254" spans="1:12" x14ac:dyDescent="0.3">
      <c r="A254" s="7">
        <v>3</v>
      </c>
      <c r="B254" s="7">
        <v>2</v>
      </c>
      <c r="C254" s="7" t="s">
        <v>80</v>
      </c>
      <c r="D254" s="4" t="s">
        <v>40</v>
      </c>
      <c r="E254" s="4" t="s">
        <v>9</v>
      </c>
      <c r="F254" s="4" t="s">
        <v>64</v>
      </c>
      <c r="J254" s="2"/>
      <c r="L254" s="2"/>
    </row>
    <row r="255" spans="1:12" x14ac:dyDescent="0.3">
      <c r="A255" s="7">
        <v>3</v>
      </c>
      <c r="B255" s="10">
        <v>1</v>
      </c>
      <c r="C255" s="10" t="s">
        <v>81</v>
      </c>
      <c r="D255" s="10" t="s">
        <v>29</v>
      </c>
      <c r="E255" s="4" t="s">
        <v>42</v>
      </c>
      <c r="F255" s="4" t="s">
        <v>54</v>
      </c>
      <c r="J255" s="2"/>
      <c r="L255" s="2"/>
    </row>
    <row r="256" spans="1:12" x14ac:dyDescent="0.3">
      <c r="A256" s="7">
        <v>3</v>
      </c>
      <c r="B256" s="10">
        <v>2</v>
      </c>
      <c r="C256" s="10" t="s">
        <v>80</v>
      </c>
      <c r="D256" s="10" t="s">
        <v>29</v>
      </c>
      <c r="E256" s="4" t="s">
        <v>42</v>
      </c>
      <c r="F256" s="4" t="s">
        <v>51</v>
      </c>
      <c r="J256" s="2"/>
      <c r="L256" s="2"/>
    </row>
    <row r="257" spans="1:12" x14ac:dyDescent="0.3">
      <c r="A257" s="7">
        <v>3</v>
      </c>
      <c r="B257" s="10">
        <v>1</v>
      </c>
      <c r="C257" s="10" t="s">
        <v>81</v>
      </c>
      <c r="D257" s="10" t="s">
        <v>29</v>
      </c>
      <c r="E257" s="4" t="s">
        <v>42</v>
      </c>
      <c r="F257" s="4" t="s">
        <v>57</v>
      </c>
      <c r="J257" s="2"/>
      <c r="L257" s="2"/>
    </row>
    <row r="258" spans="1:12" x14ac:dyDescent="0.3">
      <c r="A258" s="7">
        <v>3</v>
      </c>
      <c r="B258" s="7">
        <v>2</v>
      </c>
      <c r="C258" s="7" t="s">
        <v>80</v>
      </c>
      <c r="D258" s="4" t="s">
        <v>0</v>
      </c>
      <c r="E258" s="4" t="s">
        <v>41</v>
      </c>
      <c r="F258" s="4" t="s">
        <v>66</v>
      </c>
      <c r="J258" s="2"/>
      <c r="L258" s="2"/>
    </row>
    <row r="259" spans="1:12" x14ac:dyDescent="0.3">
      <c r="A259" s="7">
        <v>3</v>
      </c>
      <c r="B259" s="7">
        <v>2</v>
      </c>
      <c r="C259" s="7" t="s">
        <v>80</v>
      </c>
      <c r="D259" s="4" t="s">
        <v>40</v>
      </c>
      <c r="E259" s="4" t="s">
        <v>9</v>
      </c>
      <c r="F259" s="4" t="s">
        <v>66</v>
      </c>
      <c r="J259" s="2"/>
      <c r="L259" s="2"/>
    </row>
    <row r="260" spans="1:12" x14ac:dyDescent="0.3">
      <c r="A260" s="7">
        <v>3</v>
      </c>
      <c r="B260" s="7">
        <v>2</v>
      </c>
      <c r="C260" s="7" t="s">
        <v>80</v>
      </c>
      <c r="D260" s="4" t="s">
        <v>0</v>
      </c>
      <c r="E260" s="4" t="s">
        <v>41</v>
      </c>
      <c r="F260" s="4" t="s">
        <v>63</v>
      </c>
      <c r="J260" s="2"/>
      <c r="L260" s="2"/>
    </row>
    <row r="261" spans="1:12" x14ac:dyDescent="0.3">
      <c r="A261" s="7">
        <v>3</v>
      </c>
      <c r="B261" s="7">
        <v>1</v>
      </c>
      <c r="C261" s="7" t="s">
        <v>81</v>
      </c>
      <c r="D261" s="4" t="s">
        <v>40</v>
      </c>
      <c r="E261" s="4" t="s">
        <v>10</v>
      </c>
      <c r="F261" s="4" t="s">
        <v>63</v>
      </c>
      <c r="J261" s="2"/>
    </row>
    <row r="262" spans="1:12" x14ac:dyDescent="0.3">
      <c r="A262" s="7">
        <v>3</v>
      </c>
      <c r="B262" s="10">
        <v>2</v>
      </c>
      <c r="C262" s="10" t="s">
        <v>80</v>
      </c>
      <c r="D262" s="10" t="s">
        <v>29</v>
      </c>
      <c r="E262" s="4" t="s">
        <v>42</v>
      </c>
      <c r="F262" s="4" t="s">
        <v>58</v>
      </c>
    </row>
    <row r="263" spans="1:12" x14ac:dyDescent="0.3">
      <c r="A263" s="7">
        <v>3</v>
      </c>
      <c r="B263" s="7">
        <v>1</v>
      </c>
      <c r="C263" s="7" t="s">
        <v>81</v>
      </c>
      <c r="D263" s="4" t="s">
        <v>0</v>
      </c>
      <c r="E263" s="4" t="s">
        <v>41</v>
      </c>
      <c r="F263" s="4" t="s">
        <v>61</v>
      </c>
    </row>
    <row r="264" spans="1:12" x14ac:dyDescent="0.3">
      <c r="A264" s="7">
        <v>3</v>
      </c>
      <c r="B264" s="7">
        <v>1</v>
      </c>
      <c r="C264" s="7" t="s">
        <v>81</v>
      </c>
      <c r="D264" s="4" t="s">
        <v>40</v>
      </c>
      <c r="E264" s="4" t="s">
        <v>9</v>
      </c>
      <c r="F264" s="4" t="s">
        <v>61</v>
      </c>
    </row>
    <row r="265" spans="1:12" x14ac:dyDescent="0.3">
      <c r="A265" s="7">
        <v>3</v>
      </c>
      <c r="B265" s="10">
        <v>2</v>
      </c>
      <c r="C265" s="10" t="s">
        <v>80</v>
      </c>
      <c r="D265" s="10" t="s">
        <v>29</v>
      </c>
      <c r="E265" s="4" t="s">
        <v>42</v>
      </c>
      <c r="F265" s="4" t="s">
        <v>56</v>
      </c>
    </row>
    <row r="266" spans="1:12" x14ac:dyDescent="0.3">
      <c r="A266" s="7">
        <v>3</v>
      </c>
      <c r="B266" s="7">
        <v>1</v>
      </c>
      <c r="C266" s="7" t="s">
        <v>81</v>
      </c>
      <c r="D266" s="4" t="s">
        <v>0</v>
      </c>
      <c r="E266" s="4" t="s">
        <v>41</v>
      </c>
      <c r="F266" s="4" t="s">
        <v>59</v>
      </c>
    </row>
    <row r="267" spans="1:12" x14ac:dyDescent="0.3">
      <c r="A267" s="7">
        <v>3</v>
      </c>
      <c r="B267" s="7">
        <v>1</v>
      </c>
      <c r="C267" s="7" t="s">
        <v>81</v>
      </c>
      <c r="D267" s="4" t="s">
        <v>40</v>
      </c>
      <c r="E267" s="4" t="s">
        <v>9</v>
      </c>
      <c r="F267" s="4" t="s">
        <v>59</v>
      </c>
    </row>
    <row r="268" spans="1:12" x14ac:dyDescent="0.3">
      <c r="A268" s="7">
        <v>3</v>
      </c>
      <c r="B268" s="4">
        <v>1</v>
      </c>
      <c r="C268" s="4" t="s">
        <v>81</v>
      </c>
      <c r="D268" s="4" t="s">
        <v>0</v>
      </c>
      <c r="E268" s="4" t="s">
        <v>41</v>
      </c>
      <c r="F268" s="4" t="s">
        <v>63</v>
      </c>
    </row>
    <row r="269" spans="1:12" x14ac:dyDescent="0.3">
      <c r="A269" s="7">
        <v>3</v>
      </c>
      <c r="B269" s="4">
        <v>2</v>
      </c>
      <c r="C269" s="4" t="s">
        <v>80</v>
      </c>
      <c r="D269" s="4" t="s">
        <v>40</v>
      </c>
      <c r="E269" s="4" t="s">
        <v>10</v>
      </c>
      <c r="F269" s="4" t="s">
        <v>63</v>
      </c>
    </row>
    <row r="270" spans="1:12" x14ac:dyDescent="0.3">
      <c r="A270" s="7">
        <v>3</v>
      </c>
      <c r="B270" s="4">
        <v>2</v>
      </c>
      <c r="C270" s="4" t="s">
        <v>80</v>
      </c>
      <c r="D270" s="4" t="s">
        <v>0</v>
      </c>
      <c r="E270" s="4" t="s">
        <v>41</v>
      </c>
      <c r="F270" s="4" t="s">
        <v>59</v>
      </c>
    </row>
    <row r="271" spans="1:12" x14ac:dyDescent="0.3">
      <c r="A271" s="7">
        <v>3</v>
      </c>
      <c r="B271" s="4">
        <v>1</v>
      </c>
      <c r="C271" s="4" t="s">
        <v>81</v>
      </c>
      <c r="D271" s="4" t="s">
        <v>40</v>
      </c>
      <c r="E271" s="4" t="s">
        <v>10</v>
      </c>
      <c r="F271" s="4" t="s">
        <v>59</v>
      </c>
      <c r="L271" s="2"/>
    </row>
    <row r="272" spans="1:12" x14ac:dyDescent="0.3">
      <c r="A272" s="7">
        <v>3</v>
      </c>
      <c r="B272" s="10">
        <v>2</v>
      </c>
      <c r="C272" s="10" t="s">
        <v>80</v>
      </c>
      <c r="D272" s="10" t="s">
        <v>29</v>
      </c>
      <c r="E272" s="4" t="s">
        <v>42</v>
      </c>
      <c r="F272" s="4" t="s">
        <v>51</v>
      </c>
      <c r="J272" s="2"/>
      <c r="L272" s="2"/>
    </row>
    <row r="273" spans="1:12" x14ac:dyDescent="0.3">
      <c r="A273" s="7">
        <v>3</v>
      </c>
      <c r="B273" s="10">
        <v>1</v>
      </c>
      <c r="C273" s="10" t="s">
        <v>81</v>
      </c>
      <c r="D273" s="10" t="s">
        <v>29</v>
      </c>
      <c r="E273" s="4" t="s">
        <v>42</v>
      </c>
      <c r="F273" s="4" t="s">
        <v>55</v>
      </c>
      <c r="J273" s="2"/>
      <c r="L273" s="2"/>
    </row>
    <row r="274" spans="1:12" x14ac:dyDescent="0.3">
      <c r="A274" s="7">
        <v>3</v>
      </c>
      <c r="B274" s="4">
        <v>1</v>
      </c>
      <c r="C274" s="4" t="s">
        <v>81</v>
      </c>
      <c r="D274" s="4" t="s">
        <v>0</v>
      </c>
      <c r="E274" s="4" t="s">
        <v>41</v>
      </c>
      <c r="F274" s="4" t="s">
        <v>65</v>
      </c>
      <c r="J274" s="2"/>
      <c r="L274" s="2"/>
    </row>
    <row r="275" spans="1:12" x14ac:dyDescent="0.3">
      <c r="A275" s="7">
        <v>3</v>
      </c>
      <c r="B275" s="4">
        <v>2</v>
      </c>
      <c r="C275" s="4" t="s">
        <v>80</v>
      </c>
      <c r="D275" s="4" t="s">
        <v>40</v>
      </c>
      <c r="E275" s="4" t="s">
        <v>10</v>
      </c>
      <c r="F275" s="4" t="s">
        <v>65</v>
      </c>
      <c r="J275" s="2"/>
      <c r="L275" s="2"/>
    </row>
    <row r="276" spans="1:12" x14ac:dyDescent="0.3">
      <c r="A276" s="7">
        <v>3</v>
      </c>
      <c r="B276" s="10">
        <v>1</v>
      </c>
      <c r="C276" s="10" t="s">
        <v>81</v>
      </c>
      <c r="D276" s="10" t="s">
        <v>29</v>
      </c>
      <c r="E276" s="4" t="s">
        <v>42</v>
      </c>
      <c r="F276" s="4" t="s">
        <v>53</v>
      </c>
      <c r="J276" s="2"/>
      <c r="L276" s="2"/>
    </row>
    <row r="277" spans="1:12" x14ac:dyDescent="0.3">
      <c r="A277" s="7">
        <v>3</v>
      </c>
      <c r="B277" s="4">
        <v>2</v>
      </c>
      <c r="C277" s="4" t="s">
        <v>80</v>
      </c>
      <c r="D277" s="4" t="s">
        <v>0</v>
      </c>
      <c r="E277" s="4" t="s">
        <v>41</v>
      </c>
      <c r="F277" s="4" t="s">
        <v>61</v>
      </c>
      <c r="J277" s="2"/>
      <c r="L277" s="2"/>
    </row>
    <row r="278" spans="1:12" x14ac:dyDescent="0.3">
      <c r="A278" s="7">
        <v>3</v>
      </c>
      <c r="B278" s="4">
        <v>2</v>
      </c>
      <c r="C278" s="4" t="s">
        <v>80</v>
      </c>
      <c r="D278" s="4" t="s">
        <v>40</v>
      </c>
      <c r="E278" s="4" t="s">
        <v>9</v>
      </c>
      <c r="F278" s="4" t="s">
        <v>61</v>
      </c>
      <c r="J278" s="2"/>
      <c r="L278" s="2"/>
    </row>
    <row r="279" spans="1:12" x14ac:dyDescent="0.3">
      <c r="A279" s="7">
        <v>3</v>
      </c>
      <c r="B279" s="10">
        <v>1</v>
      </c>
      <c r="C279" s="10" t="s">
        <v>81</v>
      </c>
      <c r="D279" s="10" t="s">
        <v>29</v>
      </c>
      <c r="E279" s="4" t="s">
        <v>42</v>
      </c>
      <c r="F279" s="4" t="s">
        <v>57</v>
      </c>
      <c r="J279" s="2"/>
      <c r="L279" s="2"/>
    </row>
    <row r="280" spans="1:12" x14ac:dyDescent="0.3">
      <c r="A280" s="7">
        <v>3</v>
      </c>
      <c r="B280" s="10">
        <v>1</v>
      </c>
      <c r="C280" s="10" t="s">
        <v>81</v>
      </c>
      <c r="D280" s="10" t="s">
        <v>29</v>
      </c>
      <c r="E280" s="4" t="s">
        <v>42</v>
      </c>
      <c r="F280" s="4" t="s">
        <v>52</v>
      </c>
      <c r="J280" s="2"/>
      <c r="L280" s="2"/>
    </row>
    <row r="281" spans="1:12" x14ac:dyDescent="0.3">
      <c r="A281" s="7">
        <v>3</v>
      </c>
      <c r="B281" s="4">
        <v>2</v>
      </c>
      <c r="C281" s="4" t="s">
        <v>80</v>
      </c>
      <c r="D281" s="4" t="s">
        <v>0</v>
      </c>
      <c r="E281" s="4" t="s">
        <v>41</v>
      </c>
      <c r="F281" s="4" t="s">
        <v>60</v>
      </c>
      <c r="J281" s="2"/>
      <c r="L281" s="2"/>
    </row>
    <row r="282" spans="1:12" x14ac:dyDescent="0.3">
      <c r="A282" s="7">
        <v>3</v>
      </c>
      <c r="B282" s="4">
        <v>2</v>
      </c>
      <c r="C282" s="4" t="s">
        <v>80</v>
      </c>
      <c r="D282" s="4" t="s">
        <v>40</v>
      </c>
      <c r="E282" s="4" t="s">
        <v>9</v>
      </c>
      <c r="F282" s="4" t="s">
        <v>60</v>
      </c>
      <c r="J282" s="2"/>
      <c r="L282" s="2"/>
    </row>
    <row r="283" spans="1:12" x14ac:dyDescent="0.3">
      <c r="A283" s="7">
        <v>3</v>
      </c>
      <c r="B283" s="4">
        <v>2</v>
      </c>
      <c r="C283" s="4" t="s">
        <v>80</v>
      </c>
      <c r="D283" s="4" t="s">
        <v>0</v>
      </c>
      <c r="E283" s="4" t="s">
        <v>41</v>
      </c>
      <c r="F283" s="4" t="s">
        <v>66</v>
      </c>
      <c r="J283" s="2"/>
      <c r="L283" s="2"/>
    </row>
    <row r="284" spans="1:12" x14ac:dyDescent="0.3">
      <c r="A284" s="7">
        <v>3</v>
      </c>
      <c r="B284" s="4">
        <v>1</v>
      </c>
      <c r="C284" s="4" t="s">
        <v>81</v>
      </c>
      <c r="D284" s="4" t="s">
        <v>40</v>
      </c>
      <c r="E284" s="4" t="s">
        <v>10</v>
      </c>
      <c r="F284" s="4" t="s">
        <v>66</v>
      </c>
      <c r="J284" s="2"/>
      <c r="L284" s="2"/>
    </row>
    <row r="285" spans="1:12" x14ac:dyDescent="0.3">
      <c r="A285" s="7">
        <v>3</v>
      </c>
      <c r="B285" s="10">
        <v>2</v>
      </c>
      <c r="C285" s="10" t="s">
        <v>80</v>
      </c>
      <c r="D285" s="10" t="s">
        <v>29</v>
      </c>
      <c r="E285" s="4" t="s">
        <v>42</v>
      </c>
      <c r="F285" s="4" t="s">
        <v>56</v>
      </c>
      <c r="J285" s="2"/>
      <c r="L285" s="2"/>
    </row>
    <row r="286" spans="1:12" x14ac:dyDescent="0.3">
      <c r="A286" s="7">
        <v>3</v>
      </c>
      <c r="B286" s="10">
        <v>2</v>
      </c>
      <c r="C286" s="10" t="s">
        <v>80</v>
      </c>
      <c r="D286" s="10" t="s">
        <v>29</v>
      </c>
      <c r="E286" s="4" t="s">
        <v>42</v>
      </c>
      <c r="F286" s="4" t="s">
        <v>54</v>
      </c>
      <c r="J286" s="2"/>
      <c r="L286" s="2"/>
    </row>
    <row r="287" spans="1:12" x14ac:dyDescent="0.3">
      <c r="A287" s="7">
        <v>3</v>
      </c>
      <c r="B287" s="4">
        <v>1</v>
      </c>
      <c r="C287" s="4" t="s">
        <v>81</v>
      </c>
      <c r="D287" s="4" t="s">
        <v>0</v>
      </c>
      <c r="E287" s="4" t="s">
        <v>41</v>
      </c>
      <c r="F287" s="4" t="s">
        <v>64</v>
      </c>
      <c r="J287" s="2"/>
    </row>
    <row r="288" spans="1:12" x14ac:dyDescent="0.3">
      <c r="A288" s="7">
        <v>3</v>
      </c>
      <c r="B288" s="4">
        <v>1</v>
      </c>
      <c r="C288" s="4" t="s">
        <v>81</v>
      </c>
      <c r="D288" s="4" t="s">
        <v>40</v>
      </c>
      <c r="E288" s="4" t="s">
        <v>9</v>
      </c>
      <c r="F288" s="4" t="s">
        <v>64</v>
      </c>
    </row>
    <row r="289" spans="1:8" x14ac:dyDescent="0.3">
      <c r="A289" s="7">
        <v>3</v>
      </c>
      <c r="B289" s="10">
        <v>2</v>
      </c>
      <c r="C289" s="10" t="s">
        <v>80</v>
      </c>
      <c r="D289" s="10" t="s">
        <v>29</v>
      </c>
      <c r="E289" s="4" t="s">
        <v>42</v>
      </c>
      <c r="F289" s="4" t="s">
        <v>58</v>
      </c>
    </row>
    <row r="290" spans="1:8" x14ac:dyDescent="0.3">
      <c r="A290" s="7">
        <v>3</v>
      </c>
      <c r="B290" s="4">
        <v>1</v>
      </c>
      <c r="C290" s="4" t="s">
        <v>81</v>
      </c>
      <c r="D290" s="4" t="s">
        <v>0</v>
      </c>
      <c r="E290" s="4" t="s">
        <v>41</v>
      </c>
      <c r="F290" s="4" t="s">
        <v>62</v>
      </c>
    </row>
    <row r="291" spans="1:8" x14ac:dyDescent="0.3">
      <c r="A291" s="7">
        <v>3</v>
      </c>
      <c r="B291" s="4">
        <v>1</v>
      </c>
      <c r="C291" s="4" t="s">
        <v>81</v>
      </c>
      <c r="D291" s="4" t="s">
        <v>40</v>
      </c>
      <c r="E291" s="4" t="s">
        <v>9</v>
      </c>
      <c r="F291" s="4" t="s">
        <v>62</v>
      </c>
    </row>
    <row r="292" spans="1:8" x14ac:dyDescent="0.3">
      <c r="A292" s="4"/>
      <c r="B292" s="4" t="s">
        <v>25</v>
      </c>
      <c r="C292" s="4"/>
      <c r="D292" s="4"/>
      <c r="E292" s="4"/>
      <c r="F292" s="4"/>
    </row>
    <row r="293" spans="1:8" x14ac:dyDescent="0.3">
      <c r="A293" s="4">
        <v>4</v>
      </c>
      <c r="B293" s="11">
        <v>2</v>
      </c>
      <c r="C293" s="11" t="s">
        <v>80</v>
      </c>
      <c r="D293" s="11" t="s">
        <v>29</v>
      </c>
      <c r="E293" s="4" t="s">
        <v>42</v>
      </c>
      <c r="F293" s="4" t="s">
        <v>59</v>
      </c>
      <c r="H293" s="2"/>
    </row>
    <row r="294" spans="1:8" x14ac:dyDescent="0.3">
      <c r="A294" s="4">
        <v>4</v>
      </c>
      <c r="B294" s="7">
        <v>1</v>
      </c>
      <c r="C294" s="7" t="s">
        <v>81</v>
      </c>
      <c r="D294" s="4" t="s">
        <v>0</v>
      </c>
      <c r="E294" s="4" t="s">
        <v>41</v>
      </c>
      <c r="F294" s="4" t="s">
        <v>74</v>
      </c>
      <c r="H294" s="2"/>
    </row>
    <row r="295" spans="1:8" x14ac:dyDescent="0.3">
      <c r="A295" s="4">
        <v>4</v>
      </c>
      <c r="B295" s="7">
        <v>1</v>
      </c>
      <c r="C295" s="7" t="s">
        <v>81</v>
      </c>
      <c r="D295" s="4" t="s">
        <v>40</v>
      </c>
      <c r="E295" s="4" t="s">
        <v>9</v>
      </c>
      <c r="F295" s="4" t="s">
        <v>74</v>
      </c>
      <c r="H295" s="2"/>
    </row>
    <row r="296" spans="1:8" x14ac:dyDescent="0.3">
      <c r="A296" s="4">
        <v>4</v>
      </c>
      <c r="B296" s="7">
        <v>1</v>
      </c>
      <c r="C296" s="7" t="s">
        <v>81</v>
      </c>
      <c r="D296" s="4" t="s">
        <v>0</v>
      </c>
      <c r="E296" s="4" t="s">
        <v>41</v>
      </c>
      <c r="F296" s="4" t="s">
        <v>73</v>
      </c>
      <c r="H296" s="2"/>
    </row>
    <row r="297" spans="1:8" x14ac:dyDescent="0.3">
      <c r="A297" s="4">
        <v>4</v>
      </c>
      <c r="B297" s="7">
        <v>2</v>
      </c>
      <c r="C297" s="7" t="s">
        <v>80</v>
      </c>
      <c r="D297" s="4" t="s">
        <v>40</v>
      </c>
      <c r="E297" s="4" t="s">
        <v>10</v>
      </c>
      <c r="F297" s="4" t="s">
        <v>73</v>
      </c>
      <c r="H297" s="2"/>
    </row>
    <row r="298" spans="1:8" x14ac:dyDescent="0.3">
      <c r="A298" s="4">
        <v>4</v>
      </c>
      <c r="B298" s="11">
        <v>1</v>
      </c>
      <c r="C298" s="11" t="s">
        <v>81</v>
      </c>
      <c r="D298" s="11" t="s">
        <v>29</v>
      </c>
      <c r="E298" s="4" t="s">
        <v>42</v>
      </c>
      <c r="F298" s="4" t="s">
        <v>60</v>
      </c>
      <c r="H298" s="2"/>
    </row>
    <row r="299" spans="1:8" x14ac:dyDescent="0.3">
      <c r="A299" s="4">
        <v>4</v>
      </c>
      <c r="B299" s="11">
        <v>1</v>
      </c>
      <c r="C299" s="11" t="s">
        <v>81</v>
      </c>
      <c r="D299" s="11" t="s">
        <v>29</v>
      </c>
      <c r="E299" s="4" t="s">
        <v>42</v>
      </c>
      <c r="F299" s="4" t="s">
        <v>61</v>
      </c>
      <c r="H299" s="2"/>
    </row>
    <row r="300" spans="1:8" x14ac:dyDescent="0.3">
      <c r="A300" s="4">
        <v>4</v>
      </c>
      <c r="B300" s="7">
        <v>2</v>
      </c>
      <c r="C300" s="7" t="s">
        <v>80</v>
      </c>
      <c r="D300" s="4" t="s">
        <v>0</v>
      </c>
      <c r="E300" s="4" t="s">
        <v>41</v>
      </c>
      <c r="F300" s="4" t="s">
        <v>72</v>
      </c>
      <c r="H300" s="2"/>
    </row>
    <row r="301" spans="1:8" x14ac:dyDescent="0.3">
      <c r="A301" s="4">
        <v>4</v>
      </c>
      <c r="B301" s="7">
        <v>2</v>
      </c>
      <c r="C301" s="7" t="s">
        <v>80</v>
      </c>
      <c r="D301" s="4" t="s">
        <v>40</v>
      </c>
      <c r="E301" s="4" t="s">
        <v>9</v>
      </c>
      <c r="F301" s="4" t="s">
        <v>72</v>
      </c>
      <c r="H301" s="2"/>
    </row>
    <row r="302" spans="1:8" x14ac:dyDescent="0.3">
      <c r="A302" s="4">
        <v>4</v>
      </c>
      <c r="B302" s="7">
        <v>2</v>
      </c>
      <c r="C302" s="7" t="s">
        <v>80</v>
      </c>
      <c r="D302" s="4" t="s">
        <v>0</v>
      </c>
      <c r="E302" s="4" t="s">
        <v>41</v>
      </c>
      <c r="F302" s="4" t="s">
        <v>71</v>
      </c>
      <c r="H302" s="2"/>
    </row>
    <row r="303" spans="1:8" x14ac:dyDescent="0.3">
      <c r="A303" s="4">
        <v>4</v>
      </c>
      <c r="B303" s="7">
        <v>1</v>
      </c>
      <c r="C303" s="7" t="s">
        <v>81</v>
      </c>
      <c r="D303" s="4" t="s">
        <v>40</v>
      </c>
      <c r="E303" s="4" t="s">
        <v>10</v>
      </c>
      <c r="F303" s="4" t="s">
        <v>71</v>
      </c>
      <c r="H303" s="2"/>
    </row>
    <row r="304" spans="1:8" x14ac:dyDescent="0.3">
      <c r="A304" s="4">
        <v>4</v>
      </c>
      <c r="B304" s="11">
        <v>2</v>
      </c>
      <c r="C304" s="11" t="s">
        <v>80</v>
      </c>
      <c r="D304" s="11" t="s">
        <v>29</v>
      </c>
      <c r="E304" s="4" t="s">
        <v>42</v>
      </c>
      <c r="F304" s="4" t="s">
        <v>62</v>
      </c>
      <c r="H304" s="2"/>
    </row>
    <row r="305" spans="1:11" x14ac:dyDescent="0.3">
      <c r="A305" s="4">
        <v>4</v>
      </c>
      <c r="B305" s="7">
        <v>1</v>
      </c>
      <c r="C305" s="7" t="s">
        <v>81</v>
      </c>
      <c r="D305" s="4" t="s">
        <v>0</v>
      </c>
      <c r="E305" s="4" t="s">
        <v>41</v>
      </c>
      <c r="F305" s="4" t="s">
        <v>70</v>
      </c>
      <c r="H305" s="2"/>
    </row>
    <row r="306" spans="1:11" x14ac:dyDescent="0.3">
      <c r="A306" s="4">
        <v>4</v>
      </c>
      <c r="B306" s="7">
        <v>2</v>
      </c>
      <c r="C306" s="7" t="s">
        <v>80</v>
      </c>
      <c r="D306" s="4" t="s">
        <v>40</v>
      </c>
      <c r="E306" s="4" t="s">
        <v>10</v>
      </c>
      <c r="F306" s="4" t="s">
        <v>70</v>
      </c>
      <c r="H306" s="2"/>
    </row>
    <row r="307" spans="1:11" x14ac:dyDescent="0.3">
      <c r="A307" s="4">
        <v>4</v>
      </c>
      <c r="B307" s="7">
        <v>2</v>
      </c>
      <c r="C307" s="7" t="s">
        <v>80</v>
      </c>
      <c r="D307" s="4" t="s">
        <v>0</v>
      </c>
      <c r="E307" s="4" t="s">
        <v>41</v>
      </c>
      <c r="F307" s="4" t="s">
        <v>69</v>
      </c>
      <c r="H307" s="2"/>
    </row>
    <row r="308" spans="1:11" x14ac:dyDescent="0.3">
      <c r="A308" s="4">
        <v>4</v>
      </c>
      <c r="B308" s="7">
        <v>2</v>
      </c>
      <c r="C308" s="7" t="s">
        <v>80</v>
      </c>
      <c r="D308" s="4" t="s">
        <v>40</v>
      </c>
      <c r="E308" s="4" t="s">
        <v>9</v>
      </c>
      <c r="F308" s="4" t="s">
        <v>69</v>
      </c>
      <c r="H308" s="2"/>
    </row>
    <row r="309" spans="1:11" x14ac:dyDescent="0.3">
      <c r="A309" s="4">
        <v>4</v>
      </c>
      <c r="B309" s="11">
        <v>1</v>
      </c>
      <c r="C309" s="11" t="s">
        <v>81</v>
      </c>
      <c r="D309" s="11" t="s">
        <v>29</v>
      </c>
      <c r="E309" s="4" t="s">
        <v>42</v>
      </c>
      <c r="F309" s="4" t="s">
        <v>63</v>
      </c>
    </row>
    <row r="310" spans="1:11" x14ac:dyDescent="0.3">
      <c r="A310" s="4">
        <v>4</v>
      </c>
      <c r="B310" s="11">
        <v>2</v>
      </c>
      <c r="C310" s="11" t="s">
        <v>80</v>
      </c>
      <c r="D310" s="11" t="s">
        <v>29</v>
      </c>
      <c r="E310" s="4" t="s">
        <v>42</v>
      </c>
      <c r="F310" s="4" t="s">
        <v>64</v>
      </c>
    </row>
    <row r="311" spans="1:11" x14ac:dyDescent="0.3">
      <c r="A311" s="4">
        <v>4</v>
      </c>
      <c r="B311" s="11">
        <v>1</v>
      </c>
      <c r="C311" s="11" t="s">
        <v>81</v>
      </c>
      <c r="D311" s="11" t="s">
        <v>29</v>
      </c>
      <c r="E311" s="4" t="s">
        <v>42</v>
      </c>
      <c r="F311" s="4" t="s">
        <v>65</v>
      </c>
    </row>
    <row r="312" spans="1:11" x14ac:dyDescent="0.3">
      <c r="A312" s="4">
        <v>4</v>
      </c>
      <c r="B312" s="7">
        <v>2</v>
      </c>
      <c r="C312" s="7" t="s">
        <v>80</v>
      </c>
      <c r="D312" s="4" t="s">
        <v>0</v>
      </c>
      <c r="E312" s="4" t="s">
        <v>41</v>
      </c>
      <c r="F312" s="4" t="s">
        <v>68</v>
      </c>
    </row>
    <row r="313" spans="1:11" x14ac:dyDescent="0.3">
      <c r="A313" s="4">
        <v>4</v>
      </c>
      <c r="B313" s="7">
        <v>1</v>
      </c>
      <c r="C313" s="7" t="s">
        <v>81</v>
      </c>
      <c r="D313" s="4" t="s">
        <v>40</v>
      </c>
      <c r="E313" s="4" t="s">
        <v>10</v>
      </c>
      <c r="F313" s="4" t="s">
        <v>68</v>
      </c>
    </row>
    <row r="314" spans="1:11" x14ac:dyDescent="0.3">
      <c r="A314" s="4">
        <v>4</v>
      </c>
      <c r="B314" s="11">
        <v>1</v>
      </c>
      <c r="C314" s="11" t="s">
        <v>81</v>
      </c>
      <c r="D314" s="11" t="s">
        <v>29</v>
      </c>
      <c r="E314" s="4" t="s">
        <v>42</v>
      </c>
      <c r="F314" s="4" t="s">
        <v>66</v>
      </c>
    </row>
    <row r="315" spans="1:11" x14ac:dyDescent="0.3">
      <c r="A315" s="4">
        <v>4</v>
      </c>
      <c r="B315" s="7">
        <v>1</v>
      </c>
      <c r="C315" s="7" t="s">
        <v>81</v>
      </c>
      <c r="D315" s="4" t="s">
        <v>0</v>
      </c>
      <c r="E315" s="4" t="s">
        <v>41</v>
      </c>
      <c r="F315" s="4" t="s">
        <v>67</v>
      </c>
    </row>
    <row r="316" spans="1:11" x14ac:dyDescent="0.3">
      <c r="A316" s="4">
        <v>4</v>
      </c>
      <c r="B316" s="7">
        <v>1</v>
      </c>
      <c r="C316" s="7" t="s">
        <v>81</v>
      </c>
      <c r="D316" s="4" t="s">
        <v>40</v>
      </c>
      <c r="E316" s="4" t="s">
        <v>9</v>
      </c>
      <c r="F316" s="4" t="s">
        <v>67</v>
      </c>
    </row>
    <row r="317" spans="1:11" x14ac:dyDescent="0.3">
      <c r="A317" s="4">
        <v>4</v>
      </c>
      <c r="B317" s="11">
        <v>2</v>
      </c>
      <c r="C317" s="11" t="s">
        <v>80</v>
      </c>
      <c r="D317" s="11" t="s">
        <v>29</v>
      </c>
      <c r="E317" s="4" t="s">
        <v>42</v>
      </c>
      <c r="F317" s="4" t="s">
        <v>64</v>
      </c>
      <c r="K317" s="2"/>
    </row>
    <row r="318" spans="1:11" x14ac:dyDescent="0.3">
      <c r="A318" s="4">
        <v>4</v>
      </c>
      <c r="B318" s="4">
        <v>1</v>
      </c>
      <c r="C318" s="4" t="s">
        <v>81</v>
      </c>
      <c r="D318" s="4" t="s">
        <v>0</v>
      </c>
      <c r="E318" s="4" t="s">
        <v>41</v>
      </c>
      <c r="F318" s="4" t="s">
        <v>72</v>
      </c>
      <c r="I318" s="2"/>
      <c r="K318" s="2"/>
    </row>
    <row r="319" spans="1:11" x14ac:dyDescent="0.3">
      <c r="A319" s="4">
        <v>4</v>
      </c>
      <c r="B319" s="4">
        <v>1</v>
      </c>
      <c r="C319" s="4" t="s">
        <v>81</v>
      </c>
      <c r="D319" s="4" t="s">
        <v>40</v>
      </c>
      <c r="E319" s="4" t="s">
        <v>9</v>
      </c>
      <c r="F319" s="4" t="s">
        <v>72</v>
      </c>
      <c r="I319" s="2"/>
    </row>
    <row r="320" spans="1:11" x14ac:dyDescent="0.3">
      <c r="A320" s="4">
        <v>4</v>
      </c>
      <c r="B320" s="4">
        <v>1</v>
      </c>
      <c r="C320" s="4" t="s">
        <v>81</v>
      </c>
      <c r="D320" s="4" t="s">
        <v>0</v>
      </c>
      <c r="E320" s="4" t="s">
        <v>41</v>
      </c>
      <c r="F320" s="4" t="s">
        <v>67</v>
      </c>
      <c r="I320" s="2"/>
    </row>
    <row r="321" spans="1:9" x14ac:dyDescent="0.3">
      <c r="A321" s="4">
        <v>4</v>
      </c>
      <c r="B321" s="4">
        <v>2</v>
      </c>
      <c r="C321" s="4" t="s">
        <v>80</v>
      </c>
      <c r="D321" s="4" t="s">
        <v>40</v>
      </c>
      <c r="E321" s="4" t="s">
        <v>10</v>
      </c>
      <c r="F321" s="4" t="s">
        <v>67</v>
      </c>
      <c r="I321" s="2"/>
    </row>
    <row r="322" spans="1:9" x14ac:dyDescent="0.3">
      <c r="A322" s="4">
        <v>4</v>
      </c>
      <c r="B322" s="11">
        <v>1</v>
      </c>
      <c r="C322" s="11" t="s">
        <v>81</v>
      </c>
      <c r="D322" s="11" t="s">
        <v>29</v>
      </c>
      <c r="E322" s="4" t="s">
        <v>42</v>
      </c>
      <c r="F322" s="4" t="s">
        <v>62</v>
      </c>
      <c r="I322" s="2"/>
    </row>
    <row r="323" spans="1:9" x14ac:dyDescent="0.3">
      <c r="A323" s="4">
        <v>4</v>
      </c>
      <c r="B323" s="4">
        <v>2</v>
      </c>
      <c r="C323" s="4" t="s">
        <v>80</v>
      </c>
      <c r="D323" s="4" t="s">
        <v>0</v>
      </c>
      <c r="E323" s="4" t="s">
        <v>41</v>
      </c>
      <c r="F323" s="4" t="s">
        <v>71</v>
      </c>
      <c r="I323" s="2"/>
    </row>
    <row r="324" spans="1:9" x14ac:dyDescent="0.3">
      <c r="A324" s="4">
        <v>4</v>
      </c>
      <c r="B324" s="4">
        <v>2</v>
      </c>
      <c r="C324" s="4" t="s">
        <v>80</v>
      </c>
      <c r="D324" s="4" t="s">
        <v>40</v>
      </c>
      <c r="E324" s="4" t="s">
        <v>9</v>
      </c>
      <c r="F324" s="4" t="s">
        <v>71</v>
      </c>
      <c r="I324" s="2"/>
    </row>
    <row r="325" spans="1:9" x14ac:dyDescent="0.3">
      <c r="A325" s="4">
        <v>4</v>
      </c>
      <c r="B325" s="4">
        <v>2</v>
      </c>
      <c r="C325" s="4" t="s">
        <v>80</v>
      </c>
      <c r="D325" s="4" t="s">
        <v>0</v>
      </c>
      <c r="E325" s="4" t="s">
        <v>41</v>
      </c>
      <c r="F325" s="4" t="s">
        <v>73</v>
      </c>
      <c r="I325" s="2"/>
    </row>
    <row r="326" spans="1:9" x14ac:dyDescent="0.3">
      <c r="A326" s="4">
        <v>4</v>
      </c>
      <c r="B326" s="4">
        <v>1</v>
      </c>
      <c r="C326" s="4" t="s">
        <v>81</v>
      </c>
      <c r="D326" s="4" t="s">
        <v>40</v>
      </c>
      <c r="E326" s="4" t="s">
        <v>10</v>
      </c>
      <c r="F326" s="4" t="s">
        <v>73</v>
      </c>
      <c r="I326" s="2"/>
    </row>
    <row r="327" spans="1:9" x14ac:dyDescent="0.3">
      <c r="A327" s="4">
        <v>4</v>
      </c>
      <c r="B327" s="11">
        <v>2</v>
      </c>
      <c r="C327" s="11" t="s">
        <v>80</v>
      </c>
      <c r="D327" s="11" t="s">
        <v>29</v>
      </c>
      <c r="E327" s="4" t="s">
        <v>42</v>
      </c>
      <c r="F327" s="4" t="s">
        <v>66</v>
      </c>
      <c r="I327" s="2"/>
    </row>
    <row r="328" spans="1:9" x14ac:dyDescent="0.3">
      <c r="A328" s="4">
        <v>4</v>
      </c>
      <c r="B328" s="11">
        <v>1</v>
      </c>
      <c r="C328" s="11" t="s">
        <v>81</v>
      </c>
      <c r="D328" s="11" t="s">
        <v>29</v>
      </c>
      <c r="E328" s="4" t="s">
        <v>42</v>
      </c>
      <c r="F328" s="4" t="s">
        <v>65</v>
      </c>
      <c r="I328" s="2"/>
    </row>
    <row r="329" spans="1:9" x14ac:dyDescent="0.3">
      <c r="A329" s="4">
        <v>4</v>
      </c>
      <c r="B329" s="11">
        <v>2</v>
      </c>
      <c r="C329" s="11" t="s">
        <v>80</v>
      </c>
      <c r="D329" s="11" t="s">
        <v>29</v>
      </c>
      <c r="E329" s="4" t="s">
        <v>42</v>
      </c>
      <c r="F329" s="4" t="s">
        <v>59</v>
      </c>
      <c r="I329" s="2"/>
    </row>
    <row r="330" spans="1:9" x14ac:dyDescent="0.3">
      <c r="A330" s="4">
        <v>4</v>
      </c>
      <c r="B330" s="4">
        <v>1</v>
      </c>
      <c r="C330" s="4" t="s">
        <v>81</v>
      </c>
      <c r="D330" s="4" t="s">
        <v>0</v>
      </c>
      <c r="E330" s="4" t="s">
        <v>41</v>
      </c>
      <c r="F330" s="4" t="s">
        <v>68</v>
      </c>
      <c r="I330" s="2"/>
    </row>
    <row r="331" spans="1:9" x14ac:dyDescent="0.3">
      <c r="A331" s="4">
        <v>4</v>
      </c>
      <c r="B331" s="4">
        <v>2</v>
      </c>
      <c r="C331" s="4" t="s">
        <v>80</v>
      </c>
      <c r="D331" s="4" t="s">
        <v>40</v>
      </c>
      <c r="E331" s="4" t="s">
        <v>10</v>
      </c>
      <c r="F331" s="4" t="s">
        <v>68</v>
      </c>
      <c r="I331" s="2"/>
    </row>
    <row r="332" spans="1:9" x14ac:dyDescent="0.3">
      <c r="A332" s="4">
        <v>4</v>
      </c>
      <c r="B332" s="4">
        <v>2</v>
      </c>
      <c r="C332" s="4" t="s">
        <v>80</v>
      </c>
      <c r="D332" s="4" t="s">
        <v>0</v>
      </c>
      <c r="E332" s="4" t="s">
        <v>41</v>
      </c>
      <c r="F332" s="4" t="s">
        <v>74</v>
      </c>
      <c r="I332" s="2"/>
    </row>
    <row r="333" spans="1:9" x14ac:dyDescent="0.3">
      <c r="A333" s="4">
        <v>4</v>
      </c>
      <c r="B333" s="4">
        <v>2</v>
      </c>
      <c r="C333" s="4" t="s">
        <v>80</v>
      </c>
      <c r="D333" s="4" t="s">
        <v>40</v>
      </c>
      <c r="E333" s="4" t="s">
        <v>9</v>
      </c>
      <c r="F333" s="4" t="s">
        <v>74</v>
      </c>
      <c r="I333" s="2"/>
    </row>
    <row r="334" spans="1:9" x14ac:dyDescent="0.3">
      <c r="A334" s="4">
        <v>4</v>
      </c>
      <c r="B334" s="11">
        <v>1</v>
      </c>
      <c r="C334" s="11" t="s">
        <v>81</v>
      </c>
      <c r="D334" s="11" t="s">
        <v>29</v>
      </c>
      <c r="E334" s="4" t="s">
        <v>42</v>
      </c>
      <c r="F334" s="4" t="s">
        <v>61</v>
      </c>
      <c r="I334" s="2"/>
    </row>
    <row r="335" spans="1:9" x14ac:dyDescent="0.3">
      <c r="A335" s="4">
        <v>4</v>
      </c>
      <c r="B335" s="4">
        <v>2</v>
      </c>
      <c r="C335" s="4" t="s">
        <v>80</v>
      </c>
      <c r="D335" s="4" t="s">
        <v>0</v>
      </c>
      <c r="E335" s="4" t="s">
        <v>41</v>
      </c>
      <c r="F335" s="4" t="s">
        <v>69</v>
      </c>
    </row>
    <row r="336" spans="1:9" x14ac:dyDescent="0.3">
      <c r="A336" s="4">
        <v>4</v>
      </c>
      <c r="B336" s="4">
        <v>1</v>
      </c>
      <c r="C336" s="4" t="s">
        <v>81</v>
      </c>
      <c r="D336" s="4" t="s">
        <v>40</v>
      </c>
      <c r="E336" s="4" t="s">
        <v>10</v>
      </c>
      <c r="F336" s="4" t="s">
        <v>69</v>
      </c>
    </row>
    <row r="337" spans="1:12" x14ac:dyDescent="0.3">
      <c r="A337" s="4">
        <v>4</v>
      </c>
      <c r="B337" s="4">
        <v>1</v>
      </c>
      <c r="C337" s="4" t="s">
        <v>81</v>
      </c>
      <c r="D337" s="4" t="s">
        <v>0</v>
      </c>
      <c r="E337" s="4" t="s">
        <v>41</v>
      </c>
      <c r="F337" s="4" t="s">
        <v>70</v>
      </c>
    </row>
    <row r="338" spans="1:12" x14ac:dyDescent="0.3">
      <c r="A338" s="4">
        <v>4</v>
      </c>
      <c r="B338" s="4">
        <v>1</v>
      </c>
      <c r="C338" s="4" t="s">
        <v>81</v>
      </c>
      <c r="D338" s="4" t="s">
        <v>40</v>
      </c>
      <c r="E338" s="4" t="s">
        <v>9</v>
      </c>
      <c r="F338" s="4" t="s">
        <v>70</v>
      </c>
    </row>
    <row r="339" spans="1:12" x14ac:dyDescent="0.3">
      <c r="A339" s="4">
        <v>4</v>
      </c>
      <c r="B339" s="11">
        <v>2</v>
      </c>
      <c r="C339" s="11" t="s">
        <v>80</v>
      </c>
      <c r="D339" s="11" t="s">
        <v>29</v>
      </c>
      <c r="E339" s="4" t="s">
        <v>42</v>
      </c>
      <c r="F339" s="4" t="s">
        <v>63</v>
      </c>
    </row>
    <row r="340" spans="1:12" x14ac:dyDescent="0.3">
      <c r="A340" s="4">
        <v>4</v>
      </c>
      <c r="B340" s="11">
        <v>1</v>
      </c>
      <c r="C340" s="11" t="s">
        <v>81</v>
      </c>
      <c r="D340" s="11" t="s">
        <v>29</v>
      </c>
      <c r="E340" s="4" t="s">
        <v>42</v>
      </c>
      <c r="F340" s="4" t="s">
        <v>60</v>
      </c>
    </row>
    <row r="341" spans="1:12" x14ac:dyDescent="0.3">
      <c r="A341" s="4">
        <v>4</v>
      </c>
      <c r="B341" s="7">
        <v>1</v>
      </c>
      <c r="C341" s="7" t="s">
        <v>81</v>
      </c>
      <c r="D341" s="4" t="s">
        <v>0</v>
      </c>
      <c r="E341" s="4" t="s">
        <v>41</v>
      </c>
      <c r="F341" s="4" t="s">
        <v>71</v>
      </c>
    </row>
    <row r="342" spans="1:12" x14ac:dyDescent="0.3">
      <c r="A342" s="4">
        <v>4</v>
      </c>
      <c r="B342" s="7">
        <v>1</v>
      </c>
      <c r="C342" s="7" t="s">
        <v>81</v>
      </c>
      <c r="D342" s="4" t="s">
        <v>40</v>
      </c>
      <c r="E342" s="4" t="s">
        <v>9</v>
      </c>
      <c r="F342" s="4" t="s">
        <v>71</v>
      </c>
    </row>
    <row r="343" spans="1:12" x14ac:dyDescent="0.3">
      <c r="A343" s="4">
        <v>4</v>
      </c>
      <c r="B343" s="11">
        <v>2</v>
      </c>
      <c r="C343" s="11" t="s">
        <v>80</v>
      </c>
      <c r="D343" s="11" t="s">
        <v>29</v>
      </c>
      <c r="E343" s="4" t="s">
        <v>42</v>
      </c>
      <c r="F343" s="4" t="s">
        <v>62</v>
      </c>
      <c r="J343" s="2"/>
      <c r="L343" s="2"/>
    </row>
    <row r="344" spans="1:12" x14ac:dyDescent="0.3">
      <c r="A344" s="4">
        <v>4</v>
      </c>
      <c r="B344" s="7">
        <v>1</v>
      </c>
      <c r="C344" s="7" t="s">
        <v>81</v>
      </c>
      <c r="D344" s="4" t="s">
        <v>0</v>
      </c>
      <c r="E344" s="4" t="s">
        <v>41</v>
      </c>
      <c r="F344" s="4" t="s">
        <v>69</v>
      </c>
      <c r="J344" s="2"/>
      <c r="L344" s="2"/>
    </row>
    <row r="345" spans="1:12" x14ac:dyDescent="0.3">
      <c r="A345" s="4">
        <v>4</v>
      </c>
      <c r="B345" s="7">
        <v>2</v>
      </c>
      <c r="C345" s="7" t="s">
        <v>80</v>
      </c>
      <c r="D345" s="4" t="s">
        <v>40</v>
      </c>
      <c r="E345" s="4" t="s">
        <v>10</v>
      </c>
      <c r="F345" s="4" t="s">
        <v>69</v>
      </c>
      <c r="J345" s="2"/>
      <c r="L345" s="2"/>
    </row>
    <row r="346" spans="1:12" x14ac:dyDescent="0.3">
      <c r="A346" s="4">
        <v>4</v>
      </c>
      <c r="B346" s="7">
        <v>2</v>
      </c>
      <c r="C346" s="7" t="s">
        <v>80</v>
      </c>
      <c r="D346" s="4" t="s">
        <v>0</v>
      </c>
      <c r="E346" s="4" t="s">
        <v>41</v>
      </c>
      <c r="F346" s="4" t="s">
        <v>73</v>
      </c>
      <c r="J346" s="2"/>
      <c r="L346" s="2"/>
    </row>
    <row r="347" spans="1:12" x14ac:dyDescent="0.3">
      <c r="A347" s="4">
        <v>4</v>
      </c>
      <c r="B347" s="7">
        <v>2</v>
      </c>
      <c r="C347" s="7" t="s">
        <v>80</v>
      </c>
      <c r="D347" s="4" t="s">
        <v>40</v>
      </c>
      <c r="E347" s="4" t="s">
        <v>9</v>
      </c>
      <c r="F347" s="4" t="s">
        <v>73</v>
      </c>
      <c r="J347" s="2"/>
      <c r="L347" s="2"/>
    </row>
    <row r="348" spans="1:12" x14ac:dyDescent="0.3">
      <c r="A348" s="4">
        <v>4</v>
      </c>
      <c r="B348" s="11">
        <v>1</v>
      </c>
      <c r="C348" s="11" t="s">
        <v>81</v>
      </c>
      <c r="D348" s="11" t="s">
        <v>29</v>
      </c>
      <c r="E348" s="4" t="s">
        <v>42</v>
      </c>
      <c r="F348" s="4" t="s">
        <v>65</v>
      </c>
      <c r="J348" s="2"/>
      <c r="L348" s="2"/>
    </row>
    <row r="349" spans="1:12" x14ac:dyDescent="0.3">
      <c r="A349" s="4">
        <v>4</v>
      </c>
      <c r="B349" s="11">
        <v>2</v>
      </c>
      <c r="C349" s="11" t="s">
        <v>80</v>
      </c>
      <c r="D349" s="11" t="s">
        <v>29</v>
      </c>
      <c r="E349" s="4" t="s">
        <v>42</v>
      </c>
      <c r="F349" s="4" t="s">
        <v>60</v>
      </c>
      <c r="J349" s="2"/>
      <c r="L349" s="2"/>
    </row>
    <row r="350" spans="1:12" x14ac:dyDescent="0.3">
      <c r="A350" s="4">
        <v>4</v>
      </c>
      <c r="B350" s="7">
        <v>2</v>
      </c>
      <c r="C350" s="7" t="s">
        <v>80</v>
      </c>
      <c r="D350" s="4" t="s">
        <v>0</v>
      </c>
      <c r="E350" s="4" t="s">
        <v>41</v>
      </c>
      <c r="F350" s="4" t="s">
        <v>70</v>
      </c>
      <c r="J350" s="2"/>
      <c r="L350" s="2"/>
    </row>
    <row r="351" spans="1:12" x14ac:dyDescent="0.3">
      <c r="A351" s="4">
        <v>4</v>
      </c>
      <c r="B351" s="7">
        <v>1</v>
      </c>
      <c r="C351" s="7" t="s">
        <v>81</v>
      </c>
      <c r="D351" s="4" t="s">
        <v>40</v>
      </c>
      <c r="E351" s="4" t="s">
        <v>10</v>
      </c>
      <c r="F351" s="4" t="s">
        <v>70</v>
      </c>
      <c r="J351" s="2"/>
      <c r="L351" s="2"/>
    </row>
    <row r="352" spans="1:12" x14ac:dyDescent="0.3">
      <c r="A352" s="4">
        <v>4</v>
      </c>
      <c r="B352" s="7">
        <v>1</v>
      </c>
      <c r="C352" s="7" t="s">
        <v>81</v>
      </c>
      <c r="D352" s="4" t="s">
        <v>0</v>
      </c>
      <c r="E352" s="4" t="s">
        <v>41</v>
      </c>
      <c r="F352" s="4" t="s">
        <v>74</v>
      </c>
      <c r="J352" s="2"/>
      <c r="L352" s="2"/>
    </row>
    <row r="353" spans="1:12" x14ac:dyDescent="0.3">
      <c r="A353" s="4">
        <v>4</v>
      </c>
      <c r="B353" s="7">
        <v>2</v>
      </c>
      <c r="C353" s="7" t="s">
        <v>80</v>
      </c>
      <c r="D353" s="4" t="s">
        <v>40</v>
      </c>
      <c r="E353" s="4" t="s">
        <v>10</v>
      </c>
      <c r="F353" s="4" t="s">
        <v>74</v>
      </c>
      <c r="J353" s="2"/>
      <c r="L353" s="2"/>
    </row>
    <row r="354" spans="1:12" x14ac:dyDescent="0.3">
      <c r="A354" s="4">
        <v>4</v>
      </c>
      <c r="B354" s="11">
        <v>1</v>
      </c>
      <c r="C354" s="11" t="s">
        <v>81</v>
      </c>
      <c r="D354" s="11" t="s">
        <v>29</v>
      </c>
      <c r="E354" s="4" t="s">
        <v>42</v>
      </c>
      <c r="F354" s="4" t="s">
        <v>64</v>
      </c>
      <c r="J354" s="2"/>
      <c r="L354" s="2"/>
    </row>
    <row r="355" spans="1:12" x14ac:dyDescent="0.3">
      <c r="A355" s="4">
        <v>4</v>
      </c>
      <c r="B355" s="7">
        <v>2</v>
      </c>
      <c r="C355" s="7" t="s">
        <v>80</v>
      </c>
      <c r="D355" s="4" t="s">
        <v>0</v>
      </c>
      <c r="E355" s="4" t="s">
        <v>41</v>
      </c>
      <c r="F355" s="4" t="s">
        <v>67</v>
      </c>
      <c r="J355" s="2"/>
      <c r="L355" s="2"/>
    </row>
    <row r="356" spans="1:12" x14ac:dyDescent="0.3">
      <c r="A356" s="4">
        <v>4</v>
      </c>
      <c r="B356" s="7">
        <v>2</v>
      </c>
      <c r="C356" s="7" t="s">
        <v>80</v>
      </c>
      <c r="D356" s="4" t="s">
        <v>40</v>
      </c>
      <c r="E356" s="4" t="s">
        <v>9</v>
      </c>
      <c r="F356" s="4" t="s">
        <v>67</v>
      </c>
      <c r="J356" s="2"/>
      <c r="L356" s="2"/>
    </row>
    <row r="357" spans="1:12" x14ac:dyDescent="0.3">
      <c r="A357" s="4">
        <v>4</v>
      </c>
      <c r="B357" s="11">
        <v>1</v>
      </c>
      <c r="C357" s="11" t="s">
        <v>81</v>
      </c>
      <c r="D357" s="11" t="s">
        <v>29</v>
      </c>
      <c r="E357" s="4" t="s">
        <v>42</v>
      </c>
      <c r="F357" s="4" t="s">
        <v>66</v>
      </c>
      <c r="J357" s="2"/>
      <c r="L357" s="2"/>
    </row>
    <row r="358" spans="1:12" x14ac:dyDescent="0.3">
      <c r="A358" s="4">
        <v>4</v>
      </c>
      <c r="B358" s="7">
        <v>2</v>
      </c>
      <c r="C358" s="7" t="s">
        <v>80</v>
      </c>
      <c r="D358" s="4" t="s">
        <v>0</v>
      </c>
      <c r="E358" s="4" t="s">
        <v>41</v>
      </c>
      <c r="F358" s="4" t="s">
        <v>72</v>
      </c>
      <c r="J358" s="2"/>
      <c r="L358" s="2"/>
    </row>
    <row r="359" spans="1:12" x14ac:dyDescent="0.3">
      <c r="A359" s="4">
        <v>4</v>
      </c>
      <c r="B359" s="7">
        <v>1</v>
      </c>
      <c r="C359" s="7" t="s">
        <v>81</v>
      </c>
      <c r="D359" s="4" t="s">
        <v>40</v>
      </c>
      <c r="E359" s="4" t="s">
        <v>10</v>
      </c>
      <c r="F359" s="4" t="s">
        <v>72</v>
      </c>
    </row>
    <row r="360" spans="1:12" x14ac:dyDescent="0.3">
      <c r="A360" s="4">
        <v>4</v>
      </c>
      <c r="B360" s="7">
        <v>1</v>
      </c>
      <c r="C360" s="7" t="s">
        <v>81</v>
      </c>
      <c r="D360" s="4" t="s">
        <v>0</v>
      </c>
      <c r="E360" s="4" t="s">
        <v>41</v>
      </c>
      <c r="F360" s="4" t="s">
        <v>68</v>
      </c>
    </row>
    <row r="361" spans="1:12" x14ac:dyDescent="0.3">
      <c r="A361" s="4">
        <v>4</v>
      </c>
      <c r="B361" s="7">
        <v>1</v>
      </c>
      <c r="C361" s="7" t="s">
        <v>81</v>
      </c>
      <c r="D361" s="4" t="s">
        <v>40</v>
      </c>
      <c r="E361" s="4" t="s">
        <v>9</v>
      </c>
      <c r="F361" s="4" t="s">
        <v>68</v>
      </c>
    </row>
    <row r="362" spans="1:12" x14ac:dyDescent="0.3">
      <c r="A362" s="4">
        <v>4</v>
      </c>
      <c r="B362" s="11">
        <v>2</v>
      </c>
      <c r="C362" s="11" t="s">
        <v>80</v>
      </c>
      <c r="D362" s="11" t="s">
        <v>29</v>
      </c>
      <c r="E362" s="4" t="s">
        <v>42</v>
      </c>
      <c r="F362" s="4" t="s">
        <v>63</v>
      </c>
    </row>
    <row r="363" spans="1:12" x14ac:dyDescent="0.3">
      <c r="A363" s="4">
        <v>4</v>
      </c>
      <c r="B363" s="11">
        <v>1</v>
      </c>
      <c r="C363" s="11" t="s">
        <v>81</v>
      </c>
      <c r="D363" s="11" t="s">
        <v>29</v>
      </c>
      <c r="E363" s="4" t="s">
        <v>42</v>
      </c>
      <c r="F363" s="4" t="s">
        <v>61</v>
      </c>
    </row>
    <row r="364" spans="1:12" x14ac:dyDescent="0.3">
      <c r="A364" s="4">
        <v>4</v>
      </c>
      <c r="B364" s="11">
        <v>2</v>
      </c>
      <c r="C364" s="11" t="s">
        <v>80</v>
      </c>
      <c r="D364" s="11" t="s">
        <v>29</v>
      </c>
      <c r="E364" s="4" t="s">
        <v>42</v>
      </c>
      <c r="F364" s="4" t="s">
        <v>59</v>
      </c>
    </row>
    <row r="365" spans="1:12" x14ac:dyDescent="0.3">
      <c r="A365" s="4">
        <v>4</v>
      </c>
      <c r="B365" s="4">
        <v>1</v>
      </c>
      <c r="C365" s="4" t="s">
        <v>81</v>
      </c>
      <c r="D365" s="4" t="s">
        <v>0</v>
      </c>
      <c r="E365" s="4" t="s">
        <v>41</v>
      </c>
      <c r="F365" s="4" t="s">
        <v>69</v>
      </c>
    </row>
    <row r="366" spans="1:12" x14ac:dyDescent="0.3">
      <c r="A366" s="4">
        <v>4</v>
      </c>
      <c r="B366" s="4">
        <v>1</v>
      </c>
      <c r="C366" s="4" t="s">
        <v>81</v>
      </c>
      <c r="D366" s="4" t="s">
        <v>40</v>
      </c>
      <c r="E366" s="4" t="s">
        <v>9</v>
      </c>
      <c r="F366" s="4" t="s">
        <v>69</v>
      </c>
    </row>
    <row r="367" spans="1:12" x14ac:dyDescent="0.3">
      <c r="A367" s="4">
        <v>4</v>
      </c>
      <c r="B367" s="11">
        <v>2</v>
      </c>
      <c r="C367" s="11" t="s">
        <v>80</v>
      </c>
      <c r="D367" s="11" t="s">
        <v>29</v>
      </c>
      <c r="E367" s="4" t="s">
        <v>42</v>
      </c>
      <c r="F367" s="4" t="s">
        <v>63</v>
      </c>
      <c r="K367" s="2"/>
    </row>
    <row r="368" spans="1:12" x14ac:dyDescent="0.3">
      <c r="A368" s="4">
        <v>4</v>
      </c>
      <c r="B368" s="11">
        <v>2</v>
      </c>
      <c r="C368" s="11" t="s">
        <v>80</v>
      </c>
      <c r="D368" s="11" t="s">
        <v>29</v>
      </c>
      <c r="E368" s="4" t="s">
        <v>42</v>
      </c>
      <c r="F368" s="4" t="s">
        <v>59</v>
      </c>
      <c r="I368" s="2"/>
      <c r="K368" s="2"/>
    </row>
    <row r="369" spans="1:11" x14ac:dyDescent="0.3">
      <c r="A369" s="4">
        <v>4</v>
      </c>
      <c r="B369" s="4">
        <v>1</v>
      </c>
      <c r="C369" s="4" t="s">
        <v>81</v>
      </c>
      <c r="D369" s="4" t="s">
        <v>0</v>
      </c>
      <c r="E369" s="4" t="s">
        <v>41</v>
      </c>
      <c r="F369" s="4" t="s">
        <v>72</v>
      </c>
      <c r="I369" s="2"/>
      <c r="K369" s="2"/>
    </row>
    <row r="370" spans="1:11" x14ac:dyDescent="0.3">
      <c r="A370" s="4">
        <v>4</v>
      </c>
      <c r="B370" s="4">
        <v>2</v>
      </c>
      <c r="C370" s="4" t="s">
        <v>80</v>
      </c>
      <c r="D370" s="4" t="s">
        <v>40</v>
      </c>
      <c r="E370" s="4" t="s">
        <v>10</v>
      </c>
      <c r="F370" s="4" t="s">
        <v>72</v>
      </c>
      <c r="I370" s="2"/>
      <c r="K370" s="2"/>
    </row>
    <row r="371" spans="1:11" x14ac:dyDescent="0.3">
      <c r="A371" s="4">
        <v>4</v>
      </c>
      <c r="B371" s="11">
        <v>1</v>
      </c>
      <c r="C371" s="11" t="s">
        <v>81</v>
      </c>
      <c r="D371" s="11" t="s">
        <v>29</v>
      </c>
      <c r="E371" s="4" t="s">
        <v>42</v>
      </c>
      <c r="F371" s="4" t="s">
        <v>65</v>
      </c>
      <c r="I371" s="2"/>
      <c r="K371" s="2"/>
    </row>
    <row r="372" spans="1:11" x14ac:dyDescent="0.3">
      <c r="A372" s="4">
        <v>4</v>
      </c>
      <c r="B372" s="4">
        <v>2</v>
      </c>
      <c r="C372" s="4" t="s">
        <v>80</v>
      </c>
      <c r="D372" s="4" t="s">
        <v>0</v>
      </c>
      <c r="E372" s="4" t="s">
        <v>41</v>
      </c>
      <c r="F372" s="4" t="s">
        <v>70</v>
      </c>
      <c r="I372" s="2"/>
      <c r="K372" s="2"/>
    </row>
    <row r="373" spans="1:11" x14ac:dyDescent="0.3">
      <c r="A373" s="4">
        <v>4</v>
      </c>
      <c r="B373" s="4">
        <v>2</v>
      </c>
      <c r="C373" s="4" t="s">
        <v>80</v>
      </c>
      <c r="D373" s="4" t="s">
        <v>40</v>
      </c>
      <c r="E373" s="4" t="s">
        <v>9</v>
      </c>
      <c r="F373" s="4" t="s">
        <v>70</v>
      </c>
      <c r="I373" s="2"/>
      <c r="K373" s="2"/>
    </row>
    <row r="374" spans="1:11" x14ac:dyDescent="0.3">
      <c r="A374" s="4">
        <v>4</v>
      </c>
      <c r="B374" s="4">
        <v>2</v>
      </c>
      <c r="C374" s="4" t="s">
        <v>80</v>
      </c>
      <c r="D374" s="4" t="s">
        <v>0</v>
      </c>
      <c r="E374" s="4" t="s">
        <v>41</v>
      </c>
      <c r="F374" s="4" t="s">
        <v>74</v>
      </c>
      <c r="I374" s="2"/>
      <c r="K374" s="2"/>
    </row>
    <row r="375" spans="1:11" x14ac:dyDescent="0.3">
      <c r="A375" s="4">
        <v>4</v>
      </c>
      <c r="B375" s="4">
        <v>1</v>
      </c>
      <c r="C375" s="4" t="s">
        <v>81</v>
      </c>
      <c r="D375" s="4" t="s">
        <v>40</v>
      </c>
      <c r="E375" s="4" t="s">
        <v>10</v>
      </c>
      <c r="F375" s="4" t="s">
        <v>74</v>
      </c>
      <c r="I375" s="2"/>
      <c r="K375" s="2"/>
    </row>
    <row r="376" spans="1:11" x14ac:dyDescent="0.3">
      <c r="A376" s="4">
        <v>4</v>
      </c>
      <c r="B376" s="11">
        <v>2</v>
      </c>
      <c r="C376" s="11" t="s">
        <v>80</v>
      </c>
      <c r="D376" s="11" t="s">
        <v>29</v>
      </c>
      <c r="E376" s="4" t="s">
        <v>42</v>
      </c>
      <c r="F376" s="4" t="s">
        <v>61</v>
      </c>
      <c r="I376" s="2"/>
      <c r="K376" s="2"/>
    </row>
    <row r="377" spans="1:11" x14ac:dyDescent="0.3">
      <c r="A377" s="4">
        <v>4</v>
      </c>
      <c r="B377" s="4">
        <v>1</v>
      </c>
      <c r="C377" s="4" t="s">
        <v>81</v>
      </c>
      <c r="D377" s="4" t="s">
        <v>0</v>
      </c>
      <c r="E377" s="4" t="s">
        <v>41</v>
      </c>
      <c r="F377" s="4" t="s">
        <v>71</v>
      </c>
      <c r="I377" s="2"/>
      <c r="K377" s="2"/>
    </row>
    <row r="378" spans="1:11" x14ac:dyDescent="0.3">
      <c r="A378" s="4">
        <v>4</v>
      </c>
      <c r="B378" s="4">
        <v>2</v>
      </c>
      <c r="C378" s="4" t="s">
        <v>80</v>
      </c>
      <c r="D378" s="4" t="s">
        <v>40</v>
      </c>
      <c r="E378" s="4" t="s">
        <v>10</v>
      </c>
      <c r="F378" s="4" t="s">
        <v>71</v>
      </c>
      <c r="I378" s="2"/>
      <c r="K378" s="2"/>
    </row>
    <row r="379" spans="1:11" x14ac:dyDescent="0.3">
      <c r="A379" s="4">
        <v>4</v>
      </c>
      <c r="B379" s="4">
        <v>2</v>
      </c>
      <c r="C379" s="4" t="s">
        <v>80</v>
      </c>
      <c r="D379" s="4" t="s">
        <v>0</v>
      </c>
      <c r="E379" s="4" t="s">
        <v>41</v>
      </c>
      <c r="F379" s="4" t="s">
        <v>68</v>
      </c>
      <c r="I379" s="2"/>
      <c r="K379" s="2"/>
    </row>
    <row r="380" spans="1:11" x14ac:dyDescent="0.3">
      <c r="A380" s="4">
        <v>4</v>
      </c>
      <c r="B380" s="11">
        <v>1</v>
      </c>
      <c r="C380" s="11" t="s">
        <v>81</v>
      </c>
      <c r="D380" s="11" t="s">
        <v>29</v>
      </c>
      <c r="E380" s="4" t="s">
        <v>42</v>
      </c>
      <c r="F380" s="4" t="s">
        <v>60</v>
      </c>
      <c r="I380" s="2"/>
      <c r="K380" s="2"/>
    </row>
    <row r="381" spans="1:11" x14ac:dyDescent="0.3">
      <c r="A381" s="4">
        <v>4</v>
      </c>
      <c r="B381" s="11">
        <v>1</v>
      </c>
      <c r="C381" s="11" t="s">
        <v>81</v>
      </c>
      <c r="D381" s="11" t="s">
        <v>29</v>
      </c>
      <c r="E381" s="4" t="s">
        <v>42</v>
      </c>
      <c r="F381" s="4" t="s">
        <v>66</v>
      </c>
      <c r="I381" s="2"/>
      <c r="K381" s="2"/>
    </row>
    <row r="382" spans="1:11" x14ac:dyDescent="0.3">
      <c r="A382" s="4">
        <v>4</v>
      </c>
      <c r="B382" s="4">
        <v>2</v>
      </c>
      <c r="C382" s="4" t="s">
        <v>80</v>
      </c>
      <c r="D382" s="4" t="s">
        <v>40</v>
      </c>
      <c r="E382" s="4" t="s">
        <v>9</v>
      </c>
      <c r="F382" s="4" t="s">
        <v>68</v>
      </c>
      <c r="I382" s="2"/>
      <c r="K382" s="2"/>
    </row>
    <row r="383" spans="1:11" x14ac:dyDescent="0.3">
      <c r="A383" s="4">
        <v>4</v>
      </c>
      <c r="B383" s="4">
        <v>2</v>
      </c>
      <c r="C383" s="4" t="s">
        <v>80</v>
      </c>
      <c r="D383" s="4" t="s">
        <v>0</v>
      </c>
      <c r="E383" s="4" t="s">
        <v>41</v>
      </c>
      <c r="F383" s="4" t="s">
        <v>67</v>
      </c>
      <c r="I383" s="2"/>
    </row>
    <row r="384" spans="1:11" x14ac:dyDescent="0.3">
      <c r="A384" s="4">
        <v>4</v>
      </c>
      <c r="B384" s="4">
        <v>1</v>
      </c>
      <c r="C384" s="4" t="s">
        <v>81</v>
      </c>
      <c r="D384" s="4" t="s">
        <v>40</v>
      </c>
      <c r="E384" s="4" t="s">
        <v>10</v>
      </c>
      <c r="F384" s="4" t="s">
        <v>67</v>
      </c>
    </row>
    <row r="385" spans="1:6" x14ac:dyDescent="0.3">
      <c r="A385" s="4">
        <v>4</v>
      </c>
      <c r="B385" s="4">
        <v>1</v>
      </c>
      <c r="C385" s="4" t="s">
        <v>81</v>
      </c>
      <c r="D385" s="4" t="s">
        <v>0</v>
      </c>
      <c r="E385" s="4" t="s">
        <v>41</v>
      </c>
      <c r="F385" s="4" t="s">
        <v>73</v>
      </c>
    </row>
    <row r="386" spans="1:6" x14ac:dyDescent="0.3">
      <c r="A386" s="4">
        <v>4</v>
      </c>
      <c r="B386" s="4">
        <v>1</v>
      </c>
      <c r="C386" s="4" t="s">
        <v>81</v>
      </c>
      <c r="D386" s="4" t="s">
        <v>40</v>
      </c>
      <c r="E386" s="4" t="s">
        <v>9</v>
      </c>
      <c r="F386" s="4" t="s">
        <v>73</v>
      </c>
    </row>
    <row r="387" spans="1:6" x14ac:dyDescent="0.3">
      <c r="A387" s="4">
        <v>4</v>
      </c>
      <c r="B387" s="11">
        <v>2</v>
      </c>
      <c r="C387" s="11" t="s">
        <v>80</v>
      </c>
      <c r="D387" s="11" t="s">
        <v>29</v>
      </c>
      <c r="E387" s="4" t="s">
        <v>42</v>
      </c>
      <c r="F387" s="4" t="s">
        <v>64</v>
      </c>
    </row>
    <row r="388" spans="1:6" x14ac:dyDescent="0.3">
      <c r="A388" s="4">
        <v>4</v>
      </c>
      <c r="B388" s="11">
        <v>1</v>
      </c>
      <c r="C388" s="11" t="s">
        <v>81</v>
      </c>
      <c r="D388" s="11" t="s">
        <v>29</v>
      </c>
      <c r="E388" s="4" t="s">
        <v>42</v>
      </c>
      <c r="F388" s="4" t="s">
        <v>62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0"/>
  <sheetViews>
    <sheetView workbookViewId="0">
      <selection activeCell="H11" sqref="H11"/>
    </sheetView>
  </sheetViews>
  <sheetFormatPr defaultRowHeight="14.4" x14ac:dyDescent="0.3"/>
  <cols>
    <col min="3" max="3" width="10.6640625" bestFit="1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7">
        <v>1</v>
      </c>
      <c r="B2" s="7">
        <v>2</v>
      </c>
      <c r="C2" s="7" t="s">
        <v>80</v>
      </c>
      <c r="D2" s="4" t="s">
        <v>40</v>
      </c>
      <c r="E2" s="4" t="s">
        <v>9</v>
      </c>
      <c r="F2" s="4" t="s">
        <v>43</v>
      </c>
    </row>
    <row r="3" spans="1:6" x14ac:dyDescent="0.3">
      <c r="A3" s="12">
        <v>1</v>
      </c>
      <c r="B3" s="14">
        <v>1</v>
      </c>
      <c r="C3" s="13" t="s">
        <v>99</v>
      </c>
      <c r="D3" s="8" t="s">
        <v>29</v>
      </c>
      <c r="E3" s="15" t="s">
        <v>42</v>
      </c>
      <c r="F3" s="15" t="s">
        <v>74</v>
      </c>
    </row>
    <row r="4" spans="1:6" x14ac:dyDescent="0.3">
      <c r="A4" s="12">
        <v>1</v>
      </c>
      <c r="B4" s="12">
        <v>2</v>
      </c>
      <c r="C4" s="12" t="s">
        <v>80</v>
      </c>
      <c r="D4" s="15" t="s">
        <v>40</v>
      </c>
      <c r="E4" s="15" t="s">
        <v>9</v>
      </c>
      <c r="F4" s="15" t="s">
        <v>44</v>
      </c>
    </row>
    <row r="5" spans="1:6" x14ac:dyDescent="0.3">
      <c r="A5" s="7">
        <v>1</v>
      </c>
      <c r="B5" s="14">
        <v>1</v>
      </c>
      <c r="C5" s="14" t="s">
        <v>99</v>
      </c>
      <c r="D5" s="8" t="s">
        <v>29</v>
      </c>
      <c r="E5" s="4" t="s">
        <v>42</v>
      </c>
      <c r="F5" s="4" t="s">
        <v>73</v>
      </c>
    </row>
    <row r="6" spans="1:6" x14ac:dyDescent="0.3">
      <c r="A6" s="7">
        <v>1</v>
      </c>
      <c r="B6" s="7">
        <v>1</v>
      </c>
      <c r="C6" s="7" t="s">
        <v>81</v>
      </c>
      <c r="D6" s="4" t="s">
        <v>40</v>
      </c>
      <c r="E6" s="4" t="s">
        <v>10</v>
      </c>
      <c r="F6" s="4" t="s">
        <v>45</v>
      </c>
    </row>
    <row r="7" spans="1:6" x14ac:dyDescent="0.3">
      <c r="A7" s="7">
        <v>1</v>
      </c>
      <c r="B7" s="7">
        <v>2</v>
      </c>
      <c r="C7" s="7" t="s">
        <v>80</v>
      </c>
      <c r="D7" s="4" t="s">
        <v>40</v>
      </c>
      <c r="E7" s="4" t="s">
        <v>10</v>
      </c>
      <c r="F7" s="4" t="s">
        <v>46</v>
      </c>
    </row>
    <row r="8" spans="1:6" x14ac:dyDescent="0.3">
      <c r="A8" s="12">
        <v>1</v>
      </c>
      <c r="B8" s="14">
        <v>2</v>
      </c>
      <c r="C8" s="13" t="s">
        <v>100</v>
      </c>
      <c r="D8" s="8" t="s">
        <v>29</v>
      </c>
      <c r="E8" s="15" t="s">
        <v>42</v>
      </c>
      <c r="F8" s="15" t="s">
        <v>72</v>
      </c>
    </row>
    <row r="9" spans="1:6" x14ac:dyDescent="0.3">
      <c r="A9" s="12">
        <v>1</v>
      </c>
      <c r="B9" s="12">
        <v>1</v>
      </c>
      <c r="C9" s="12" t="s">
        <v>81</v>
      </c>
      <c r="D9" s="15" t="s">
        <v>40</v>
      </c>
      <c r="E9" s="15" t="s">
        <v>10</v>
      </c>
      <c r="F9" s="15" t="s">
        <v>47</v>
      </c>
    </row>
    <row r="10" spans="1:6" x14ac:dyDescent="0.3">
      <c r="A10" s="7">
        <v>1</v>
      </c>
      <c r="B10" s="14">
        <v>2</v>
      </c>
      <c r="C10" s="13" t="s">
        <v>100</v>
      </c>
      <c r="D10" s="8" t="s">
        <v>29</v>
      </c>
      <c r="E10" s="4" t="s">
        <v>42</v>
      </c>
      <c r="F10" s="4" t="s">
        <v>71</v>
      </c>
    </row>
    <row r="11" spans="1:6" x14ac:dyDescent="0.3">
      <c r="A11" s="7">
        <v>1</v>
      </c>
      <c r="B11" s="7">
        <v>1</v>
      </c>
      <c r="C11" s="7" t="s">
        <v>81</v>
      </c>
      <c r="D11" s="4" t="s">
        <v>40</v>
      </c>
      <c r="E11" s="4" t="s">
        <v>9</v>
      </c>
      <c r="F11" s="4" t="s">
        <v>48</v>
      </c>
    </row>
    <row r="12" spans="1:6" x14ac:dyDescent="0.3">
      <c r="A12" s="12">
        <v>1</v>
      </c>
      <c r="B12" s="14">
        <v>2</v>
      </c>
      <c r="C12" s="13" t="s">
        <v>100</v>
      </c>
      <c r="D12" s="8" t="s">
        <v>29</v>
      </c>
      <c r="E12" s="15" t="s">
        <v>42</v>
      </c>
      <c r="F12" s="15" t="s">
        <v>94</v>
      </c>
    </row>
    <row r="13" spans="1:6" x14ac:dyDescent="0.3">
      <c r="A13" s="12">
        <v>1</v>
      </c>
      <c r="B13" s="12">
        <v>1</v>
      </c>
      <c r="C13" s="12" t="s">
        <v>81</v>
      </c>
      <c r="D13" s="15" t="s">
        <v>40</v>
      </c>
      <c r="E13" s="15" t="s">
        <v>9</v>
      </c>
      <c r="F13" s="15" t="s">
        <v>49</v>
      </c>
    </row>
    <row r="14" spans="1:6" x14ac:dyDescent="0.3">
      <c r="A14" s="7">
        <v>1</v>
      </c>
      <c r="B14" s="14">
        <v>2</v>
      </c>
      <c r="C14" s="13" t="s">
        <v>100</v>
      </c>
      <c r="D14" s="8" t="s">
        <v>29</v>
      </c>
      <c r="E14" s="4" t="s">
        <v>42</v>
      </c>
      <c r="F14" s="4" t="s">
        <v>69</v>
      </c>
    </row>
    <row r="15" spans="1:6" x14ac:dyDescent="0.3">
      <c r="A15" s="7">
        <v>1</v>
      </c>
      <c r="B15" s="7">
        <v>2</v>
      </c>
      <c r="C15" s="7" t="s">
        <v>80</v>
      </c>
      <c r="D15" s="4" t="s">
        <v>40</v>
      </c>
      <c r="E15" s="4" t="s">
        <v>10</v>
      </c>
      <c r="F15" s="4" t="s">
        <v>50</v>
      </c>
    </row>
    <row r="16" spans="1:6" x14ac:dyDescent="0.3">
      <c r="A16" s="12">
        <v>1</v>
      </c>
      <c r="B16" s="14">
        <v>1</v>
      </c>
      <c r="C16" s="13" t="s">
        <v>99</v>
      </c>
      <c r="D16" s="8" t="s">
        <v>29</v>
      </c>
      <c r="E16" s="15" t="s">
        <v>42</v>
      </c>
      <c r="F16" s="15" t="s">
        <v>68</v>
      </c>
    </row>
    <row r="17" spans="1:6" x14ac:dyDescent="0.3">
      <c r="A17" s="7">
        <v>1</v>
      </c>
      <c r="B17" s="14">
        <v>1</v>
      </c>
      <c r="C17" s="13" t="s">
        <v>99</v>
      </c>
      <c r="D17" s="8" t="s">
        <v>29</v>
      </c>
      <c r="E17" s="4" t="s">
        <v>42</v>
      </c>
      <c r="F17" s="4" t="s">
        <v>67</v>
      </c>
    </row>
    <row r="18" spans="1:6" x14ac:dyDescent="0.3">
      <c r="A18" s="4">
        <v>2</v>
      </c>
      <c r="B18" s="9">
        <v>2</v>
      </c>
      <c r="C18" s="9" t="s">
        <v>100</v>
      </c>
      <c r="D18" s="9" t="s">
        <v>29</v>
      </c>
      <c r="E18" s="4" t="s">
        <v>42</v>
      </c>
      <c r="F18" s="4" t="s">
        <v>43</v>
      </c>
    </row>
    <row r="19" spans="1:6" x14ac:dyDescent="0.3">
      <c r="A19" s="4">
        <v>2</v>
      </c>
      <c r="B19" s="7">
        <v>1</v>
      </c>
      <c r="C19" s="7" t="s">
        <v>81</v>
      </c>
      <c r="D19" s="4" t="s">
        <v>40</v>
      </c>
      <c r="E19" s="4" t="s">
        <v>9</v>
      </c>
      <c r="F19" s="4" t="s">
        <v>58</v>
      </c>
    </row>
    <row r="20" spans="1:6" x14ac:dyDescent="0.3">
      <c r="A20" s="15">
        <v>2</v>
      </c>
      <c r="B20" s="9">
        <v>2</v>
      </c>
      <c r="C20" s="9" t="s">
        <v>100</v>
      </c>
      <c r="D20" s="9" t="s">
        <v>29</v>
      </c>
      <c r="E20" s="15" t="s">
        <v>42</v>
      </c>
      <c r="F20" s="15" t="s">
        <v>44</v>
      </c>
    </row>
    <row r="21" spans="1:6" x14ac:dyDescent="0.3">
      <c r="A21" s="4">
        <v>2</v>
      </c>
      <c r="B21" s="7">
        <v>1</v>
      </c>
      <c r="C21" s="7" t="s">
        <v>81</v>
      </c>
      <c r="D21" s="4" t="s">
        <v>40</v>
      </c>
      <c r="E21" s="4" t="s">
        <v>9</v>
      </c>
      <c r="F21" s="4" t="s">
        <v>57</v>
      </c>
    </row>
    <row r="22" spans="1:6" x14ac:dyDescent="0.3">
      <c r="A22" s="4">
        <v>2</v>
      </c>
      <c r="B22" s="7">
        <v>2</v>
      </c>
      <c r="C22" s="7" t="s">
        <v>80</v>
      </c>
      <c r="D22" s="4" t="s">
        <v>40</v>
      </c>
      <c r="E22" s="4" t="s">
        <v>10</v>
      </c>
      <c r="F22" s="4" t="s">
        <v>56</v>
      </c>
    </row>
    <row r="23" spans="1:6" x14ac:dyDescent="0.3">
      <c r="A23" s="4">
        <v>2</v>
      </c>
      <c r="B23" s="7">
        <v>1</v>
      </c>
      <c r="C23" s="7" t="s">
        <v>81</v>
      </c>
      <c r="D23" s="4" t="s">
        <v>40</v>
      </c>
      <c r="E23" s="4" t="s">
        <v>10</v>
      </c>
      <c r="F23" s="4" t="s">
        <v>55</v>
      </c>
    </row>
    <row r="24" spans="1:6" x14ac:dyDescent="0.3">
      <c r="A24" s="4">
        <v>2</v>
      </c>
      <c r="B24" s="9">
        <v>2</v>
      </c>
      <c r="C24" s="9" t="s">
        <v>100</v>
      </c>
      <c r="D24" s="9" t="s">
        <v>29</v>
      </c>
      <c r="E24" s="4" t="s">
        <v>42</v>
      </c>
      <c r="F24" s="4" t="s">
        <v>45</v>
      </c>
    </row>
    <row r="25" spans="1:6" x14ac:dyDescent="0.3">
      <c r="A25" s="4">
        <v>2</v>
      </c>
      <c r="B25" s="7">
        <v>2</v>
      </c>
      <c r="C25" s="7" t="s">
        <v>80</v>
      </c>
      <c r="D25" s="4" t="s">
        <v>40</v>
      </c>
      <c r="E25" s="4" t="s">
        <v>10</v>
      </c>
      <c r="F25" s="4" t="s">
        <v>54</v>
      </c>
    </row>
    <row r="26" spans="1:6" x14ac:dyDescent="0.3">
      <c r="A26" s="15">
        <v>2</v>
      </c>
      <c r="B26" s="9">
        <v>1</v>
      </c>
      <c r="C26" s="9" t="s">
        <v>99</v>
      </c>
      <c r="D26" s="9" t="s">
        <v>29</v>
      </c>
      <c r="E26" s="15" t="s">
        <v>42</v>
      </c>
      <c r="F26" s="15" t="s">
        <v>46</v>
      </c>
    </row>
    <row r="27" spans="1:6" x14ac:dyDescent="0.3">
      <c r="A27" s="4">
        <v>2</v>
      </c>
      <c r="B27" s="9">
        <v>1</v>
      </c>
      <c r="C27" s="9" t="s">
        <v>99</v>
      </c>
      <c r="D27" s="9" t="s">
        <v>29</v>
      </c>
      <c r="E27" s="4" t="s">
        <v>42</v>
      </c>
      <c r="F27" s="4" t="s">
        <v>47</v>
      </c>
    </row>
    <row r="28" spans="1:6" x14ac:dyDescent="0.3">
      <c r="A28" s="4">
        <v>2</v>
      </c>
      <c r="B28" s="7">
        <v>2</v>
      </c>
      <c r="C28" s="7" t="s">
        <v>80</v>
      </c>
      <c r="D28" s="4" t="s">
        <v>40</v>
      </c>
      <c r="E28" s="4" t="s">
        <v>9</v>
      </c>
      <c r="F28" s="4" t="s">
        <v>53</v>
      </c>
    </row>
    <row r="29" spans="1:6" x14ac:dyDescent="0.3">
      <c r="A29" s="15">
        <v>2</v>
      </c>
      <c r="B29" s="9">
        <v>1</v>
      </c>
      <c r="C29" s="9" t="s">
        <v>99</v>
      </c>
      <c r="D29" s="9" t="s">
        <v>29</v>
      </c>
      <c r="E29" s="15" t="s">
        <v>42</v>
      </c>
      <c r="F29" s="15" t="s">
        <v>48</v>
      </c>
    </row>
    <row r="30" spans="1:6" x14ac:dyDescent="0.3">
      <c r="A30" s="15">
        <v>2</v>
      </c>
      <c r="B30" s="12">
        <v>2</v>
      </c>
      <c r="C30" s="12" t="s">
        <v>80</v>
      </c>
      <c r="D30" s="15" t="s">
        <v>40</v>
      </c>
      <c r="E30" s="15" t="s">
        <v>9</v>
      </c>
      <c r="F30" s="15" t="s">
        <v>52</v>
      </c>
    </row>
    <row r="31" spans="1:6" x14ac:dyDescent="0.3">
      <c r="A31" s="4">
        <v>2</v>
      </c>
      <c r="B31" s="9">
        <v>2</v>
      </c>
      <c r="C31" s="9" t="s">
        <v>100</v>
      </c>
      <c r="D31" s="9" t="s">
        <v>29</v>
      </c>
      <c r="E31" s="4" t="s">
        <v>42</v>
      </c>
      <c r="F31" s="4" t="s">
        <v>49</v>
      </c>
    </row>
    <row r="32" spans="1:6" x14ac:dyDescent="0.3">
      <c r="A32" s="15">
        <v>2</v>
      </c>
      <c r="B32" s="9">
        <v>1</v>
      </c>
      <c r="C32" s="9" t="s">
        <v>99</v>
      </c>
      <c r="D32" s="9" t="s">
        <v>29</v>
      </c>
      <c r="E32" s="15" t="s">
        <v>42</v>
      </c>
      <c r="F32" s="15" t="s">
        <v>50</v>
      </c>
    </row>
    <row r="33" spans="1:6" x14ac:dyDescent="0.3">
      <c r="A33" s="15">
        <v>2</v>
      </c>
      <c r="B33" s="12">
        <v>1</v>
      </c>
      <c r="C33" s="12" t="s">
        <v>81</v>
      </c>
      <c r="D33" s="15" t="s">
        <v>40</v>
      </c>
      <c r="E33" s="15" t="s">
        <v>10</v>
      </c>
      <c r="F33" s="15" t="s">
        <v>51</v>
      </c>
    </row>
    <row r="34" spans="1:6" x14ac:dyDescent="0.3">
      <c r="A34" s="7">
        <v>3</v>
      </c>
      <c r="B34" s="7">
        <v>2</v>
      </c>
      <c r="C34" s="7" t="s">
        <v>80</v>
      </c>
      <c r="D34" s="4" t="s">
        <v>40</v>
      </c>
      <c r="E34" s="4" t="s">
        <v>10</v>
      </c>
      <c r="F34" s="4" t="s">
        <v>59</v>
      </c>
    </row>
    <row r="35" spans="1:6" x14ac:dyDescent="0.3">
      <c r="A35" s="7">
        <v>3</v>
      </c>
      <c r="B35" s="7">
        <v>1</v>
      </c>
      <c r="C35" s="7" t="s">
        <v>81</v>
      </c>
      <c r="D35" s="4" t="s">
        <v>40</v>
      </c>
      <c r="E35" s="4" t="s">
        <v>10</v>
      </c>
      <c r="F35" s="4" t="s">
        <v>60</v>
      </c>
    </row>
    <row r="36" spans="1:6" x14ac:dyDescent="0.3">
      <c r="A36" s="12">
        <v>3</v>
      </c>
      <c r="B36" s="10">
        <v>1</v>
      </c>
      <c r="C36" s="10" t="s">
        <v>99</v>
      </c>
      <c r="D36" s="10" t="s">
        <v>29</v>
      </c>
      <c r="E36" s="15" t="s">
        <v>42</v>
      </c>
      <c r="F36" s="15" t="s">
        <v>58</v>
      </c>
    </row>
    <row r="37" spans="1:6" x14ac:dyDescent="0.3">
      <c r="A37" s="12">
        <v>3</v>
      </c>
      <c r="B37" s="12">
        <v>2</v>
      </c>
      <c r="C37" s="12" t="s">
        <v>80</v>
      </c>
      <c r="D37" s="15" t="s">
        <v>40</v>
      </c>
      <c r="E37" s="15" t="s">
        <v>10</v>
      </c>
      <c r="F37" s="15" t="s">
        <v>61</v>
      </c>
    </row>
    <row r="38" spans="1:6" x14ac:dyDescent="0.3">
      <c r="A38" s="7">
        <v>3</v>
      </c>
      <c r="B38" s="10">
        <v>1</v>
      </c>
      <c r="C38" s="10" t="s">
        <v>99</v>
      </c>
      <c r="D38" s="10" t="s">
        <v>29</v>
      </c>
      <c r="E38" s="4" t="s">
        <v>42</v>
      </c>
      <c r="F38" s="4" t="s">
        <v>57</v>
      </c>
    </row>
    <row r="39" spans="1:6" x14ac:dyDescent="0.3">
      <c r="A39" s="7">
        <v>3</v>
      </c>
      <c r="B39" s="7">
        <v>2</v>
      </c>
      <c r="C39" s="7" t="s">
        <v>80</v>
      </c>
      <c r="D39" s="4" t="s">
        <v>40</v>
      </c>
      <c r="E39" s="4" t="s">
        <v>9</v>
      </c>
      <c r="F39" s="4" t="s">
        <v>62</v>
      </c>
    </row>
    <row r="40" spans="1:6" x14ac:dyDescent="0.3">
      <c r="A40" s="12">
        <v>3</v>
      </c>
      <c r="B40" s="10">
        <v>2</v>
      </c>
      <c r="C40" s="10" t="s">
        <v>100</v>
      </c>
      <c r="D40" s="10" t="s">
        <v>29</v>
      </c>
      <c r="E40" s="15" t="s">
        <v>42</v>
      </c>
      <c r="F40" s="15" t="s">
        <v>56</v>
      </c>
    </row>
    <row r="41" spans="1:6" x14ac:dyDescent="0.3">
      <c r="A41" s="7">
        <v>3</v>
      </c>
      <c r="B41" s="10">
        <v>1</v>
      </c>
      <c r="C41" s="10" t="s">
        <v>99</v>
      </c>
      <c r="D41" s="10" t="s">
        <v>29</v>
      </c>
      <c r="E41" s="4" t="s">
        <v>42</v>
      </c>
      <c r="F41" s="4" t="s">
        <v>55</v>
      </c>
    </row>
    <row r="42" spans="1:6" x14ac:dyDescent="0.3">
      <c r="A42" s="12">
        <v>3</v>
      </c>
      <c r="B42" s="10">
        <v>1</v>
      </c>
      <c r="C42" s="10" t="s">
        <v>99</v>
      </c>
      <c r="D42" s="10" t="s">
        <v>29</v>
      </c>
      <c r="E42" s="15" t="s">
        <v>42</v>
      </c>
      <c r="F42" s="15" t="s">
        <v>54</v>
      </c>
    </row>
    <row r="43" spans="1:6" x14ac:dyDescent="0.3">
      <c r="A43" s="12">
        <v>3</v>
      </c>
      <c r="B43" s="12">
        <v>2</v>
      </c>
      <c r="C43" s="12" t="s">
        <v>80</v>
      </c>
      <c r="D43" s="15" t="s">
        <v>40</v>
      </c>
      <c r="E43" s="15" t="s">
        <v>9</v>
      </c>
      <c r="F43" s="15" t="s">
        <v>63</v>
      </c>
    </row>
    <row r="44" spans="1:6" x14ac:dyDescent="0.3">
      <c r="A44" s="12">
        <v>3</v>
      </c>
      <c r="B44" s="12">
        <v>1</v>
      </c>
      <c r="C44" s="12" t="s">
        <v>81</v>
      </c>
      <c r="D44" s="15" t="s">
        <v>40</v>
      </c>
      <c r="E44" s="15" t="s">
        <v>10</v>
      </c>
      <c r="F44" s="15" t="s">
        <v>64</v>
      </c>
    </row>
    <row r="45" spans="1:6" x14ac:dyDescent="0.3">
      <c r="A45" s="7">
        <v>3</v>
      </c>
      <c r="B45" s="10">
        <v>2</v>
      </c>
      <c r="C45" s="10" t="s">
        <v>100</v>
      </c>
      <c r="D45" s="10" t="s">
        <v>29</v>
      </c>
      <c r="E45" s="4" t="s">
        <v>42</v>
      </c>
      <c r="F45" s="4" t="s">
        <v>53</v>
      </c>
    </row>
    <row r="46" spans="1:6" x14ac:dyDescent="0.3">
      <c r="A46" s="7">
        <v>3</v>
      </c>
      <c r="B46" s="7">
        <v>1</v>
      </c>
      <c r="C46" s="7" t="s">
        <v>81</v>
      </c>
      <c r="D46" s="4" t="s">
        <v>40</v>
      </c>
      <c r="E46" s="4" t="s">
        <v>9</v>
      </c>
      <c r="F46" s="4" t="s">
        <v>65</v>
      </c>
    </row>
    <row r="47" spans="1:6" x14ac:dyDescent="0.3">
      <c r="A47" s="12">
        <v>3</v>
      </c>
      <c r="B47" s="10">
        <v>2</v>
      </c>
      <c r="C47" s="10" t="s">
        <v>100</v>
      </c>
      <c r="D47" s="10" t="s">
        <v>29</v>
      </c>
      <c r="E47" s="15" t="s">
        <v>42</v>
      </c>
      <c r="F47" s="15" t="s">
        <v>52</v>
      </c>
    </row>
    <row r="48" spans="1:6" x14ac:dyDescent="0.3">
      <c r="A48" s="7">
        <v>3</v>
      </c>
      <c r="B48" s="10">
        <v>2</v>
      </c>
      <c r="C48" s="10" t="s">
        <v>100</v>
      </c>
      <c r="D48" s="10" t="s">
        <v>29</v>
      </c>
      <c r="E48" s="4" t="s">
        <v>42</v>
      </c>
      <c r="F48" s="4" t="s">
        <v>51</v>
      </c>
    </row>
    <row r="49" spans="1:6" x14ac:dyDescent="0.3">
      <c r="A49" s="7">
        <v>3</v>
      </c>
      <c r="B49" s="7">
        <v>1</v>
      </c>
      <c r="C49" s="7" t="s">
        <v>81</v>
      </c>
      <c r="D49" s="4" t="s">
        <v>40</v>
      </c>
      <c r="E49" s="4" t="s">
        <v>9</v>
      </c>
      <c r="F49" s="4" t="s">
        <v>66</v>
      </c>
    </row>
    <row r="50" spans="1:6" x14ac:dyDescent="0.3">
      <c r="A50" s="4">
        <v>4</v>
      </c>
      <c r="B50" s="11">
        <v>2</v>
      </c>
      <c r="C50" s="11" t="s">
        <v>100</v>
      </c>
      <c r="D50" s="11" t="s">
        <v>29</v>
      </c>
      <c r="E50" s="4" t="s">
        <v>42</v>
      </c>
      <c r="F50" s="4" t="s">
        <v>59</v>
      </c>
    </row>
    <row r="51" spans="1:6" x14ac:dyDescent="0.3">
      <c r="A51" s="4">
        <v>4</v>
      </c>
      <c r="B51" s="7">
        <v>1</v>
      </c>
      <c r="C51" s="7" t="s">
        <v>81</v>
      </c>
      <c r="D51" s="4" t="s">
        <v>40</v>
      </c>
      <c r="E51" s="4" t="s">
        <v>9</v>
      </c>
      <c r="F51" s="4" t="s">
        <v>74</v>
      </c>
    </row>
    <row r="52" spans="1:6" x14ac:dyDescent="0.3">
      <c r="A52" s="4">
        <v>4</v>
      </c>
      <c r="B52" s="7">
        <v>2</v>
      </c>
      <c r="C52" s="7" t="s">
        <v>80</v>
      </c>
      <c r="D52" s="4" t="s">
        <v>40</v>
      </c>
      <c r="E52" s="4" t="s">
        <v>10</v>
      </c>
      <c r="F52" s="4" t="s">
        <v>73</v>
      </c>
    </row>
    <row r="53" spans="1:6" x14ac:dyDescent="0.3">
      <c r="A53" s="15">
        <v>4</v>
      </c>
      <c r="B53" s="11">
        <v>1</v>
      </c>
      <c r="C53" s="11" t="s">
        <v>99</v>
      </c>
      <c r="D53" s="11" t="s">
        <v>29</v>
      </c>
      <c r="E53" s="15" t="s">
        <v>42</v>
      </c>
      <c r="F53" s="15" t="s">
        <v>60</v>
      </c>
    </row>
    <row r="54" spans="1:6" x14ac:dyDescent="0.3">
      <c r="A54" s="4">
        <v>4</v>
      </c>
      <c r="B54" s="11">
        <v>1</v>
      </c>
      <c r="C54" s="11" t="s">
        <v>99</v>
      </c>
      <c r="D54" s="11" t="s">
        <v>29</v>
      </c>
      <c r="E54" s="4" t="s">
        <v>42</v>
      </c>
      <c r="F54" s="4" t="s">
        <v>61</v>
      </c>
    </row>
    <row r="55" spans="1:6" x14ac:dyDescent="0.3">
      <c r="A55" s="4">
        <v>4</v>
      </c>
      <c r="B55" s="7">
        <v>2</v>
      </c>
      <c r="C55" s="7" t="s">
        <v>80</v>
      </c>
      <c r="D55" s="4" t="s">
        <v>40</v>
      </c>
      <c r="E55" s="4" t="s">
        <v>9</v>
      </c>
      <c r="F55" s="4" t="s">
        <v>72</v>
      </c>
    </row>
    <row r="56" spans="1:6" x14ac:dyDescent="0.3">
      <c r="A56" s="4">
        <v>4</v>
      </c>
      <c r="B56" s="7">
        <v>1</v>
      </c>
      <c r="C56" s="7" t="s">
        <v>81</v>
      </c>
      <c r="D56" s="4" t="s">
        <v>40</v>
      </c>
      <c r="E56" s="4" t="s">
        <v>10</v>
      </c>
      <c r="F56" s="4" t="s">
        <v>71</v>
      </c>
    </row>
    <row r="57" spans="1:6" x14ac:dyDescent="0.3">
      <c r="A57" s="15">
        <v>4</v>
      </c>
      <c r="B57" s="11">
        <v>2</v>
      </c>
      <c r="C57" s="11" t="s">
        <v>100</v>
      </c>
      <c r="D57" s="11" t="s">
        <v>29</v>
      </c>
      <c r="E57" s="15" t="s">
        <v>42</v>
      </c>
      <c r="F57" s="15" t="s">
        <v>62</v>
      </c>
    </row>
    <row r="58" spans="1:6" x14ac:dyDescent="0.3">
      <c r="A58" s="15">
        <v>4</v>
      </c>
      <c r="B58" s="12">
        <v>2</v>
      </c>
      <c r="C58" s="12" t="s">
        <v>80</v>
      </c>
      <c r="D58" s="15" t="s">
        <v>40</v>
      </c>
      <c r="E58" s="15" t="s">
        <v>10</v>
      </c>
      <c r="F58" s="15" t="s">
        <v>70</v>
      </c>
    </row>
    <row r="59" spans="1:6" x14ac:dyDescent="0.3">
      <c r="A59" s="15">
        <v>4</v>
      </c>
      <c r="B59" s="12">
        <v>2</v>
      </c>
      <c r="C59" s="12" t="s">
        <v>80</v>
      </c>
      <c r="D59" s="15" t="s">
        <v>40</v>
      </c>
      <c r="E59" s="15" t="s">
        <v>9</v>
      </c>
      <c r="F59" s="15" t="s">
        <v>69</v>
      </c>
    </row>
    <row r="60" spans="1:6" x14ac:dyDescent="0.3">
      <c r="A60" s="4">
        <v>4</v>
      </c>
      <c r="B60" s="11">
        <v>1</v>
      </c>
      <c r="C60" s="11" t="s">
        <v>99</v>
      </c>
      <c r="D60" s="11" t="s">
        <v>29</v>
      </c>
      <c r="E60" s="4" t="s">
        <v>42</v>
      </c>
      <c r="F60" s="4" t="s">
        <v>63</v>
      </c>
    </row>
    <row r="61" spans="1:6" x14ac:dyDescent="0.3">
      <c r="A61" s="15">
        <v>4</v>
      </c>
      <c r="B61" s="11">
        <v>2</v>
      </c>
      <c r="C61" s="11" t="s">
        <v>100</v>
      </c>
      <c r="D61" s="11" t="s">
        <v>29</v>
      </c>
      <c r="E61" s="15" t="s">
        <v>42</v>
      </c>
      <c r="F61" s="15" t="s">
        <v>64</v>
      </c>
    </row>
    <row r="62" spans="1:6" x14ac:dyDescent="0.3">
      <c r="A62" s="4">
        <v>4</v>
      </c>
      <c r="B62" s="11">
        <v>1</v>
      </c>
      <c r="C62" s="11" t="s">
        <v>99</v>
      </c>
      <c r="D62" s="11" t="s">
        <v>29</v>
      </c>
      <c r="E62" s="4" t="s">
        <v>42</v>
      </c>
      <c r="F62" s="4" t="s">
        <v>65</v>
      </c>
    </row>
    <row r="63" spans="1:6" x14ac:dyDescent="0.3">
      <c r="A63" s="4">
        <v>4</v>
      </c>
      <c r="B63" s="7">
        <v>1</v>
      </c>
      <c r="C63" s="7" t="s">
        <v>81</v>
      </c>
      <c r="D63" s="4" t="s">
        <v>40</v>
      </c>
      <c r="E63" s="4" t="s">
        <v>10</v>
      </c>
      <c r="F63" s="4" t="s">
        <v>68</v>
      </c>
    </row>
    <row r="64" spans="1:6" x14ac:dyDescent="0.3">
      <c r="A64" s="15">
        <v>4</v>
      </c>
      <c r="B64" s="11">
        <v>1</v>
      </c>
      <c r="C64" s="11" t="s">
        <v>100</v>
      </c>
      <c r="D64" s="11" t="s">
        <v>29</v>
      </c>
      <c r="E64" s="15" t="s">
        <v>42</v>
      </c>
      <c r="F64" s="15" t="s">
        <v>66</v>
      </c>
    </row>
    <row r="65" spans="1:6" x14ac:dyDescent="0.3">
      <c r="A65" s="15">
        <v>4</v>
      </c>
      <c r="B65" s="12">
        <v>1</v>
      </c>
      <c r="C65" s="12" t="s">
        <v>81</v>
      </c>
      <c r="D65" s="15" t="s">
        <v>40</v>
      </c>
      <c r="E65" s="15" t="s">
        <v>9</v>
      </c>
      <c r="F65" s="15" t="s">
        <v>67</v>
      </c>
    </row>
    <row r="66" spans="1:6" x14ac:dyDescent="0.3">
      <c r="A66" t="s">
        <v>25</v>
      </c>
    </row>
    <row r="67" spans="1:6" x14ac:dyDescent="0.3">
      <c r="A67" s="7">
        <v>1</v>
      </c>
      <c r="B67" s="4">
        <v>2</v>
      </c>
      <c r="C67" s="15" t="s">
        <v>80</v>
      </c>
      <c r="D67" s="4" t="s">
        <v>40</v>
      </c>
      <c r="E67" s="4" t="s">
        <v>9</v>
      </c>
      <c r="F67" s="4" t="s">
        <v>46</v>
      </c>
    </row>
    <row r="68" spans="1:6" x14ac:dyDescent="0.3">
      <c r="A68" s="12">
        <v>1</v>
      </c>
      <c r="B68" s="14">
        <v>1</v>
      </c>
      <c r="C68" s="13" t="s">
        <v>99</v>
      </c>
      <c r="D68" s="8" t="s">
        <v>29</v>
      </c>
      <c r="E68" s="15" t="s">
        <v>42</v>
      </c>
      <c r="F68" s="15" t="s">
        <v>72</v>
      </c>
    </row>
    <row r="69" spans="1:6" x14ac:dyDescent="0.3">
      <c r="A69" s="7">
        <v>1</v>
      </c>
      <c r="B69" s="14">
        <v>1</v>
      </c>
      <c r="C69" s="13" t="s">
        <v>99</v>
      </c>
      <c r="D69" s="8" t="s">
        <v>29</v>
      </c>
      <c r="E69" s="4" t="s">
        <v>42</v>
      </c>
      <c r="F69" s="4" t="s">
        <v>67</v>
      </c>
    </row>
    <row r="70" spans="1:6" x14ac:dyDescent="0.3">
      <c r="A70" s="7">
        <v>1</v>
      </c>
      <c r="B70" s="4">
        <v>2</v>
      </c>
      <c r="C70" s="15" t="s">
        <v>80</v>
      </c>
      <c r="D70" s="4" t="s">
        <v>40</v>
      </c>
      <c r="E70" s="4" t="s">
        <v>9</v>
      </c>
      <c r="F70" s="4" t="s">
        <v>45</v>
      </c>
    </row>
    <row r="71" spans="1:6" x14ac:dyDescent="0.3">
      <c r="A71" s="7">
        <v>1</v>
      </c>
      <c r="B71" s="4">
        <v>1</v>
      </c>
      <c r="C71" s="4" t="s">
        <v>81</v>
      </c>
      <c r="D71" s="4" t="s">
        <v>40</v>
      </c>
      <c r="E71" s="4" t="s">
        <v>10</v>
      </c>
      <c r="F71" s="4" t="s">
        <v>48</v>
      </c>
    </row>
    <row r="72" spans="1:6" x14ac:dyDescent="0.3">
      <c r="A72" s="12">
        <v>1</v>
      </c>
      <c r="B72" s="14">
        <v>2</v>
      </c>
      <c r="C72" s="13" t="s">
        <v>100</v>
      </c>
      <c r="D72" s="8" t="s">
        <v>29</v>
      </c>
      <c r="E72" s="15" t="s">
        <v>42</v>
      </c>
      <c r="F72" s="15" t="s">
        <v>71</v>
      </c>
    </row>
    <row r="73" spans="1:6" x14ac:dyDescent="0.3">
      <c r="A73" s="12">
        <v>1</v>
      </c>
      <c r="B73" s="15">
        <v>2</v>
      </c>
      <c r="C73" s="15" t="s">
        <v>80</v>
      </c>
      <c r="D73" s="15" t="s">
        <v>40</v>
      </c>
      <c r="E73" s="15" t="s">
        <v>10</v>
      </c>
      <c r="F73" s="15" t="s">
        <v>44</v>
      </c>
    </row>
    <row r="74" spans="1:6" x14ac:dyDescent="0.3">
      <c r="A74" s="12">
        <v>1</v>
      </c>
      <c r="B74" s="15">
        <v>1</v>
      </c>
      <c r="C74" s="15" t="s">
        <v>81</v>
      </c>
      <c r="D74" s="15" t="s">
        <v>40</v>
      </c>
      <c r="E74" s="15" t="s">
        <v>10</v>
      </c>
      <c r="F74" s="15" t="s">
        <v>43</v>
      </c>
    </row>
    <row r="75" spans="1:6" x14ac:dyDescent="0.3">
      <c r="A75" s="7">
        <v>1</v>
      </c>
      <c r="B75" s="14">
        <v>2</v>
      </c>
      <c r="C75" s="13" t="s">
        <v>100</v>
      </c>
      <c r="D75" s="8" t="s">
        <v>29</v>
      </c>
      <c r="E75" s="4" t="s">
        <v>42</v>
      </c>
      <c r="F75" s="4" t="s">
        <v>73</v>
      </c>
    </row>
    <row r="76" spans="1:6" x14ac:dyDescent="0.3">
      <c r="A76" s="7">
        <v>1</v>
      </c>
      <c r="B76" s="4">
        <v>1</v>
      </c>
      <c r="C76" s="15" t="s">
        <v>81</v>
      </c>
      <c r="D76" s="4" t="s">
        <v>40</v>
      </c>
      <c r="E76" s="4" t="s">
        <v>9</v>
      </c>
      <c r="F76" s="4" t="s">
        <v>50</v>
      </c>
    </row>
    <row r="77" spans="1:6" x14ac:dyDescent="0.3">
      <c r="A77" s="12">
        <v>1</v>
      </c>
      <c r="B77" s="14">
        <v>2</v>
      </c>
      <c r="C77" s="13" t="s">
        <v>100</v>
      </c>
      <c r="D77" s="8" t="s">
        <v>29</v>
      </c>
      <c r="E77" s="15" t="s">
        <v>42</v>
      </c>
      <c r="F77" s="15" t="s">
        <v>68</v>
      </c>
    </row>
    <row r="78" spans="1:6" x14ac:dyDescent="0.3">
      <c r="A78" s="12">
        <v>1</v>
      </c>
      <c r="B78" s="15">
        <v>1</v>
      </c>
      <c r="C78" s="15" t="s">
        <v>81</v>
      </c>
      <c r="D78" s="15" t="s">
        <v>40</v>
      </c>
      <c r="E78" s="15" t="s">
        <v>9</v>
      </c>
      <c r="F78" s="15" t="s">
        <v>47</v>
      </c>
    </row>
    <row r="79" spans="1:6" x14ac:dyDescent="0.3">
      <c r="A79" s="7">
        <v>1</v>
      </c>
      <c r="B79" s="14">
        <v>1</v>
      </c>
      <c r="C79" s="14" t="s">
        <v>99</v>
      </c>
      <c r="D79" s="8" t="s">
        <v>29</v>
      </c>
      <c r="E79" s="4" t="s">
        <v>42</v>
      </c>
      <c r="F79" s="4" t="s">
        <v>74</v>
      </c>
    </row>
    <row r="80" spans="1:6" x14ac:dyDescent="0.3">
      <c r="A80" s="12">
        <v>1</v>
      </c>
      <c r="B80" s="14">
        <v>2</v>
      </c>
      <c r="C80" s="13" t="s">
        <v>100</v>
      </c>
      <c r="D80" s="8" t="s">
        <v>29</v>
      </c>
      <c r="E80" s="15" t="s">
        <v>42</v>
      </c>
      <c r="F80" s="15" t="s">
        <v>69</v>
      </c>
    </row>
    <row r="81" spans="1:6" x14ac:dyDescent="0.3">
      <c r="A81" s="12">
        <v>1</v>
      </c>
      <c r="B81" s="15">
        <v>2</v>
      </c>
      <c r="C81" s="15" t="s">
        <v>80</v>
      </c>
      <c r="D81" s="15" t="s">
        <v>40</v>
      </c>
      <c r="E81" s="15" t="s">
        <v>10</v>
      </c>
      <c r="F81" s="15" t="s">
        <v>49</v>
      </c>
    </row>
    <row r="82" spans="1:6" x14ac:dyDescent="0.3">
      <c r="A82" s="7">
        <v>1</v>
      </c>
      <c r="B82" s="14">
        <v>1</v>
      </c>
      <c r="C82" s="14" t="s">
        <v>99</v>
      </c>
      <c r="D82" s="8" t="s">
        <v>29</v>
      </c>
      <c r="E82" s="4" t="s">
        <v>42</v>
      </c>
      <c r="F82" s="4" t="s">
        <v>70</v>
      </c>
    </row>
    <row r="83" spans="1:6" x14ac:dyDescent="0.3">
      <c r="A83" s="15">
        <v>2</v>
      </c>
      <c r="B83" s="15">
        <v>1</v>
      </c>
      <c r="C83" s="12" t="s">
        <v>81</v>
      </c>
      <c r="D83" s="15" t="s">
        <v>40</v>
      </c>
      <c r="E83" s="15" t="s">
        <v>9</v>
      </c>
      <c r="F83" s="15" t="s">
        <v>54</v>
      </c>
    </row>
    <row r="84" spans="1:6" x14ac:dyDescent="0.3">
      <c r="A84" s="4">
        <v>2</v>
      </c>
      <c r="B84" s="9">
        <v>2</v>
      </c>
      <c r="C84" s="9" t="s">
        <v>100</v>
      </c>
      <c r="D84" s="9" t="s">
        <v>29</v>
      </c>
      <c r="E84" s="4" t="s">
        <v>42</v>
      </c>
      <c r="F84" s="4" t="s">
        <v>46</v>
      </c>
    </row>
    <row r="85" spans="1:6" x14ac:dyDescent="0.3">
      <c r="A85" s="4">
        <v>2</v>
      </c>
      <c r="B85" s="4">
        <v>1</v>
      </c>
      <c r="C85" s="4" t="s">
        <v>81</v>
      </c>
      <c r="D85" s="4" t="s">
        <v>40</v>
      </c>
      <c r="E85" s="4" t="s">
        <v>9</v>
      </c>
      <c r="F85" s="4" t="s">
        <v>56</v>
      </c>
    </row>
    <row r="86" spans="1:6" x14ac:dyDescent="0.3">
      <c r="A86" s="4">
        <v>2</v>
      </c>
      <c r="B86" s="4">
        <v>2</v>
      </c>
      <c r="C86" s="4" t="s">
        <v>80</v>
      </c>
      <c r="D86" s="4" t="s">
        <v>40</v>
      </c>
      <c r="E86" s="4" t="s">
        <v>10</v>
      </c>
      <c r="F86" s="4" t="s">
        <v>58</v>
      </c>
    </row>
    <row r="87" spans="1:6" x14ac:dyDescent="0.3">
      <c r="A87" s="15">
        <v>2</v>
      </c>
      <c r="B87" s="9">
        <v>2</v>
      </c>
      <c r="C87" s="9" t="s">
        <v>100</v>
      </c>
      <c r="D87" s="9" t="s">
        <v>29</v>
      </c>
      <c r="E87" s="15" t="s">
        <v>42</v>
      </c>
      <c r="F87" s="15" t="s">
        <v>45</v>
      </c>
    </row>
    <row r="88" spans="1:6" x14ac:dyDescent="0.3">
      <c r="A88" s="15">
        <v>2</v>
      </c>
      <c r="B88" s="15">
        <v>1</v>
      </c>
      <c r="C88" s="15" t="s">
        <v>81</v>
      </c>
      <c r="D88" s="15" t="s">
        <v>40</v>
      </c>
      <c r="E88" s="15" t="s">
        <v>10</v>
      </c>
      <c r="F88" s="15" t="s">
        <v>52</v>
      </c>
    </row>
    <row r="89" spans="1:6" x14ac:dyDescent="0.3">
      <c r="A89" s="15">
        <v>2</v>
      </c>
      <c r="B89" s="15">
        <v>2</v>
      </c>
      <c r="C89" s="15" t="s">
        <v>80</v>
      </c>
      <c r="D89" s="15" t="s">
        <v>40</v>
      </c>
      <c r="E89" s="15" t="s">
        <v>10</v>
      </c>
      <c r="F89" s="15" t="s">
        <v>57</v>
      </c>
    </row>
    <row r="90" spans="1:6" x14ac:dyDescent="0.3">
      <c r="A90" s="4">
        <v>2</v>
      </c>
      <c r="B90" s="9">
        <v>1</v>
      </c>
      <c r="C90" s="9" t="s">
        <v>99</v>
      </c>
      <c r="D90" s="9" t="s">
        <v>29</v>
      </c>
      <c r="E90" s="4" t="s">
        <v>42</v>
      </c>
      <c r="F90" s="4" t="s">
        <v>48</v>
      </c>
    </row>
    <row r="91" spans="1:6" x14ac:dyDescent="0.3">
      <c r="A91" s="15">
        <v>2</v>
      </c>
      <c r="B91" s="9">
        <v>1</v>
      </c>
      <c r="C91" s="9" t="s">
        <v>99</v>
      </c>
      <c r="D91" s="9" t="s">
        <v>29</v>
      </c>
      <c r="E91" s="15" t="s">
        <v>42</v>
      </c>
      <c r="F91" s="15" t="s">
        <v>44</v>
      </c>
    </row>
    <row r="92" spans="1:6" x14ac:dyDescent="0.3">
      <c r="A92" s="15">
        <v>2</v>
      </c>
      <c r="B92" s="15">
        <v>2</v>
      </c>
      <c r="C92" s="15" t="s">
        <v>80</v>
      </c>
      <c r="D92" s="15" t="s">
        <v>40</v>
      </c>
      <c r="E92" s="15" t="s">
        <v>9</v>
      </c>
      <c r="F92" s="15" t="s">
        <v>55</v>
      </c>
    </row>
    <row r="93" spans="1:6" x14ac:dyDescent="0.3">
      <c r="A93" s="4">
        <v>2</v>
      </c>
      <c r="B93" s="9">
        <v>1</v>
      </c>
      <c r="C93" s="9" t="s">
        <v>99</v>
      </c>
      <c r="D93" s="9" t="s">
        <v>29</v>
      </c>
      <c r="E93" s="4" t="s">
        <v>42</v>
      </c>
      <c r="F93" s="4" t="s">
        <v>43</v>
      </c>
    </row>
    <row r="94" spans="1:6" x14ac:dyDescent="0.3">
      <c r="A94" s="4">
        <v>2</v>
      </c>
      <c r="B94" s="4">
        <v>2</v>
      </c>
      <c r="C94" s="4" t="s">
        <v>80</v>
      </c>
      <c r="D94" s="4" t="s">
        <v>40</v>
      </c>
      <c r="E94" s="4" t="s">
        <v>9</v>
      </c>
      <c r="F94" s="4" t="s">
        <v>51</v>
      </c>
    </row>
    <row r="95" spans="1:6" x14ac:dyDescent="0.3">
      <c r="A95" s="15">
        <v>2</v>
      </c>
      <c r="B95" s="9">
        <v>2</v>
      </c>
      <c r="C95" s="9" t="s">
        <v>100</v>
      </c>
      <c r="D95" s="9" t="s">
        <v>29</v>
      </c>
      <c r="E95" s="15" t="s">
        <v>42</v>
      </c>
      <c r="F95" s="15" t="s">
        <v>50</v>
      </c>
    </row>
    <row r="96" spans="1:6" x14ac:dyDescent="0.3">
      <c r="A96" s="4">
        <v>2</v>
      </c>
      <c r="B96" s="9">
        <v>1</v>
      </c>
      <c r="C96" s="9" t="s">
        <v>99</v>
      </c>
      <c r="D96" s="9" t="s">
        <v>29</v>
      </c>
      <c r="E96" s="4" t="s">
        <v>42</v>
      </c>
      <c r="F96" s="4" t="s">
        <v>47</v>
      </c>
    </row>
    <row r="97" spans="1:6" x14ac:dyDescent="0.3">
      <c r="A97" s="15">
        <v>2</v>
      </c>
      <c r="B97" s="9">
        <v>2</v>
      </c>
      <c r="C97" s="9" t="s">
        <v>100</v>
      </c>
      <c r="D97" s="9" t="s">
        <v>29</v>
      </c>
      <c r="E97" s="15" t="s">
        <v>42</v>
      </c>
      <c r="F97" s="15" t="s">
        <v>49</v>
      </c>
    </row>
    <row r="98" spans="1:6" x14ac:dyDescent="0.3">
      <c r="A98" s="15">
        <v>2</v>
      </c>
      <c r="B98" s="15">
        <v>1</v>
      </c>
      <c r="C98" s="15" t="s">
        <v>81</v>
      </c>
      <c r="D98" s="15" t="s">
        <v>40</v>
      </c>
      <c r="E98" s="15" t="s">
        <v>10</v>
      </c>
      <c r="F98" s="15" t="s">
        <v>53</v>
      </c>
    </row>
    <row r="99" spans="1:6" x14ac:dyDescent="0.3">
      <c r="A99" s="12">
        <v>3</v>
      </c>
      <c r="B99" s="10">
        <v>2</v>
      </c>
      <c r="C99" s="10" t="s">
        <v>100</v>
      </c>
      <c r="D99" s="10" t="s">
        <v>29</v>
      </c>
      <c r="E99" s="15" t="s">
        <v>42</v>
      </c>
      <c r="F99" s="15" t="s">
        <v>54</v>
      </c>
    </row>
    <row r="100" spans="1:6" x14ac:dyDescent="0.3">
      <c r="A100" s="12">
        <v>3</v>
      </c>
      <c r="B100" s="15">
        <v>2</v>
      </c>
      <c r="C100" s="15" t="s">
        <v>80</v>
      </c>
      <c r="D100" s="15" t="s">
        <v>40</v>
      </c>
      <c r="E100" s="15" t="s">
        <v>10</v>
      </c>
      <c r="F100" s="15" t="s">
        <v>64</v>
      </c>
    </row>
    <row r="101" spans="1:6" x14ac:dyDescent="0.3">
      <c r="A101" s="7">
        <v>3</v>
      </c>
      <c r="B101" s="10">
        <v>2</v>
      </c>
      <c r="C101" s="10" t="s">
        <v>100</v>
      </c>
      <c r="D101" s="10" t="s">
        <v>29</v>
      </c>
      <c r="E101" s="4" t="s">
        <v>42</v>
      </c>
      <c r="F101" s="4" t="s">
        <v>56</v>
      </c>
    </row>
    <row r="102" spans="1:6" x14ac:dyDescent="0.3">
      <c r="A102" s="7">
        <v>3</v>
      </c>
      <c r="B102" s="4">
        <v>1</v>
      </c>
      <c r="C102" s="4" t="s">
        <v>81</v>
      </c>
      <c r="D102" s="4" t="s">
        <v>40</v>
      </c>
      <c r="E102" s="4" t="s">
        <v>10</v>
      </c>
      <c r="F102" s="4" t="s">
        <v>62</v>
      </c>
    </row>
    <row r="103" spans="1:6" x14ac:dyDescent="0.3">
      <c r="A103" s="7">
        <v>3</v>
      </c>
      <c r="B103" s="4">
        <v>2</v>
      </c>
      <c r="C103" s="4" t="s">
        <v>80</v>
      </c>
      <c r="D103" s="4" t="s">
        <v>40</v>
      </c>
      <c r="E103" s="4" t="s">
        <v>10</v>
      </c>
      <c r="F103" s="4" t="s">
        <v>66</v>
      </c>
    </row>
    <row r="104" spans="1:6" x14ac:dyDescent="0.3">
      <c r="A104" s="12">
        <v>3</v>
      </c>
      <c r="B104" s="10">
        <v>1</v>
      </c>
      <c r="C104" s="10" t="s">
        <v>99</v>
      </c>
      <c r="D104" s="10" t="s">
        <v>29</v>
      </c>
      <c r="E104" s="15" t="s">
        <v>42</v>
      </c>
      <c r="F104" s="15" t="s">
        <v>58</v>
      </c>
    </row>
    <row r="105" spans="1:6" x14ac:dyDescent="0.3">
      <c r="A105" s="12">
        <v>3</v>
      </c>
      <c r="B105" s="15">
        <v>2</v>
      </c>
      <c r="C105" s="15" t="s">
        <v>80</v>
      </c>
      <c r="D105" s="15" t="s">
        <v>40</v>
      </c>
      <c r="E105" s="15" t="s">
        <v>9</v>
      </c>
      <c r="F105" s="15" t="s">
        <v>65</v>
      </c>
    </row>
    <row r="106" spans="1:6" x14ac:dyDescent="0.3">
      <c r="A106" s="7">
        <v>3</v>
      </c>
      <c r="B106" s="10">
        <v>1</v>
      </c>
      <c r="C106" s="10" t="s">
        <v>99</v>
      </c>
      <c r="D106" s="10" t="s">
        <v>29</v>
      </c>
      <c r="E106" s="4" t="s">
        <v>42</v>
      </c>
      <c r="F106" s="4" t="s">
        <v>52</v>
      </c>
    </row>
    <row r="107" spans="1:6" x14ac:dyDescent="0.3">
      <c r="A107" s="12">
        <v>3</v>
      </c>
      <c r="B107" s="10">
        <v>1</v>
      </c>
      <c r="C107" s="10" t="s">
        <v>99</v>
      </c>
      <c r="D107" s="10" t="s">
        <v>29</v>
      </c>
      <c r="E107" s="15" t="s">
        <v>42</v>
      </c>
      <c r="F107" s="15" t="s">
        <v>57</v>
      </c>
    </row>
    <row r="108" spans="1:6" x14ac:dyDescent="0.3">
      <c r="A108" s="12">
        <v>3</v>
      </c>
      <c r="B108" s="15">
        <v>2</v>
      </c>
      <c r="C108" s="15" t="s">
        <v>80</v>
      </c>
      <c r="D108" s="15" t="s">
        <v>40</v>
      </c>
      <c r="E108" s="15" t="s">
        <v>9</v>
      </c>
      <c r="F108" s="15" t="s">
        <v>59</v>
      </c>
    </row>
    <row r="109" spans="1:6" x14ac:dyDescent="0.3">
      <c r="A109" s="12">
        <v>3</v>
      </c>
      <c r="B109" s="15">
        <v>1</v>
      </c>
      <c r="C109" s="15" t="s">
        <v>81</v>
      </c>
      <c r="D109" s="15" t="s">
        <v>40</v>
      </c>
      <c r="E109" s="15" t="s">
        <v>10</v>
      </c>
      <c r="F109" s="15" t="s">
        <v>61</v>
      </c>
    </row>
    <row r="110" spans="1:6" x14ac:dyDescent="0.3">
      <c r="A110" s="7">
        <v>3</v>
      </c>
      <c r="B110" s="10">
        <v>2</v>
      </c>
      <c r="C110" s="10" t="s">
        <v>100</v>
      </c>
      <c r="D110" s="10" t="s">
        <v>29</v>
      </c>
      <c r="E110" s="4" t="s">
        <v>42</v>
      </c>
      <c r="F110" s="4" t="s">
        <v>55</v>
      </c>
    </row>
    <row r="111" spans="1:6" x14ac:dyDescent="0.3">
      <c r="A111" s="7">
        <v>3</v>
      </c>
      <c r="B111" s="4">
        <v>1</v>
      </c>
      <c r="C111" s="4" t="s">
        <v>81</v>
      </c>
      <c r="D111" s="4" t="s">
        <v>40</v>
      </c>
      <c r="E111" s="4" t="s">
        <v>9</v>
      </c>
      <c r="F111" s="4" t="s">
        <v>63</v>
      </c>
    </row>
    <row r="112" spans="1:6" x14ac:dyDescent="0.3">
      <c r="A112" s="12">
        <v>3</v>
      </c>
      <c r="B112" s="10">
        <v>2</v>
      </c>
      <c r="C112" s="10" t="s">
        <v>100</v>
      </c>
      <c r="D112" s="10" t="s">
        <v>29</v>
      </c>
      <c r="E112" s="15" t="s">
        <v>42</v>
      </c>
      <c r="F112" s="15" t="s">
        <v>51</v>
      </c>
    </row>
    <row r="113" spans="1:6" x14ac:dyDescent="0.3">
      <c r="A113" s="12">
        <v>3</v>
      </c>
      <c r="B113" s="15">
        <v>1</v>
      </c>
      <c r="C113" s="15" t="s">
        <v>81</v>
      </c>
      <c r="D113" s="15" t="s">
        <v>40</v>
      </c>
      <c r="E113" s="15" t="s">
        <v>9</v>
      </c>
      <c r="F113" s="15" t="s">
        <v>60</v>
      </c>
    </row>
    <row r="114" spans="1:6" x14ac:dyDescent="0.3">
      <c r="A114" s="7">
        <v>3</v>
      </c>
      <c r="B114" s="10">
        <v>1</v>
      </c>
      <c r="C114" s="10" t="s">
        <v>99</v>
      </c>
      <c r="D114" s="10" t="s">
        <v>29</v>
      </c>
      <c r="E114" s="4" t="s">
        <v>42</v>
      </c>
      <c r="F114" s="4" t="s">
        <v>53</v>
      </c>
    </row>
    <row r="115" spans="1:6" x14ac:dyDescent="0.3">
      <c r="A115" s="4">
        <v>4</v>
      </c>
      <c r="B115" s="11">
        <v>2</v>
      </c>
      <c r="C115" s="11" t="s">
        <v>100</v>
      </c>
      <c r="D115" s="11" t="s">
        <v>29</v>
      </c>
      <c r="E115" s="4" t="s">
        <v>42</v>
      </c>
      <c r="F115" s="4" t="s">
        <v>64</v>
      </c>
    </row>
    <row r="116" spans="1:6" x14ac:dyDescent="0.3">
      <c r="A116" s="4">
        <v>4</v>
      </c>
      <c r="B116" s="4">
        <v>1</v>
      </c>
      <c r="C116" s="4" t="s">
        <v>81</v>
      </c>
      <c r="D116" s="4" t="s">
        <v>40</v>
      </c>
      <c r="E116" s="4" t="s">
        <v>9</v>
      </c>
      <c r="F116" s="4" t="s">
        <v>72</v>
      </c>
    </row>
    <row r="117" spans="1:6" x14ac:dyDescent="0.3">
      <c r="A117" s="4">
        <v>4</v>
      </c>
      <c r="B117" s="4">
        <v>2</v>
      </c>
      <c r="C117" s="4" t="s">
        <v>80</v>
      </c>
      <c r="D117" s="4" t="s">
        <v>40</v>
      </c>
      <c r="E117" s="4" t="s">
        <v>10</v>
      </c>
      <c r="F117" s="4" t="s">
        <v>67</v>
      </c>
    </row>
    <row r="118" spans="1:6" x14ac:dyDescent="0.3">
      <c r="A118" s="15">
        <v>4</v>
      </c>
      <c r="B118" s="11">
        <v>1</v>
      </c>
      <c r="C118" s="11" t="s">
        <v>99</v>
      </c>
      <c r="D118" s="11" t="s">
        <v>29</v>
      </c>
      <c r="E118" s="15" t="s">
        <v>42</v>
      </c>
      <c r="F118" s="15" t="s">
        <v>62</v>
      </c>
    </row>
    <row r="119" spans="1:6" x14ac:dyDescent="0.3">
      <c r="A119" s="15">
        <v>4</v>
      </c>
      <c r="B119" s="15">
        <v>2</v>
      </c>
      <c r="C119" s="15" t="s">
        <v>80</v>
      </c>
      <c r="D119" s="15" t="s">
        <v>40</v>
      </c>
      <c r="E119" s="15" t="s">
        <v>9</v>
      </c>
      <c r="F119" s="15" t="s">
        <v>71</v>
      </c>
    </row>
    <row r="120" spans="1:6" x14ac:dyDescent="0.3">
      <c r="A120" s="15">
        <v>4</v>
      </c>
      <c r="B120" s="15">
        <v>1</v>
      </c>
      <c r="C120" s="15" t="s">
        <v>81</v>
      </c>
      <c r="D120" s="15" t="s">
        <v>40</v>
      </c>
      <c r="E120" s="15" t="s">
        <v>10</v>
      </c>
      <c r="F120" s="15" t="s">
        <v>73</v>
      </c>
    </row>
    <row r="121" spans="1:6" x14ac:dyDescent="0.3">
      <c r="A121" s="4">
        <v>4</v>
      </c>
      <c r="B121" s="11">
        <v>2</v>
      </c>
      <c r="C121" s="11" t="s">
        <v>100</v>
      </c>
      <c r="D121" s="11" t="s">
        <v>29</v>
      </c>
      <c r="E121" s="4" t="s">
        <v>42</v>
      </c>
      <c r="F121" s="4" t="s">
        <v>66</v>
      </c>
    </row>
    <row r="122" spans="1:6" x14ac:dyDescent="0.3">
      <c r="A122" s="15">
        <v>4</v>
      </c>
      <c r="B122" s="11">
        <v>1</v>
      </c>
      <c r="C122" s="11" t="s">
        <v>99</v>
      </c>
      <c r="D122" s="11" t="s">
        <v>29</v>
      </c>
      <c r="E122" s="15" t="s">
        <v>42</v>
      </c>
      <c r="F122" s="15" t="s">
        <v>65</v>
      </c>
    </row>
    <row r="123" spans="1:6" x14ac:dyDescent="0.3">
      <c r="A123" s="4">
        <v>4</v>
      </c>
      <c r="B123" s="11">
        <v>2</v>
      </c>
      <c r="C123" s="11" t="s">
        <v>100</v>
      </c>
      <c r="D123" s="11" t="s">
        <v>29</v>
      </c>
      <c r="E123" s="4" t="s">
        <v>42</v>
      </c>
      <c r="F123" s="4" t="s">
        <v>59</v>
      </c>
    </row>
    <row r="124" spans="1:6" x14ac:dyDescent="0.3">
      <c r="A124" s="4">
        <v>4</v>
      </c>
      <c r="B124" s="4">
        <v>2</v>
      </c>
      <c r="C124" s="4" t="s">
        <v>80</v>
      </c>
      <c r="D124" s="4" t="s">
        <v>40</v>
      </c>
      <c r="E124" s="4" t="s">
        <v>10</v>
      </c>
      <c r="F124" s="4" t="s">
        <v>68</v>
      </c>
    </row>
    <row r="125" spans="1:6" x14ac:dyDescent="0.3">
      <c r="A125" s="4">
        <v>4</v>
      </c>
      <c r="B125" s="4">
        <v>2</v>
      </c>
      <c r="C125" s="4" t="s">
        <v>80</v>
      </c>
      <c r="D125" s="4" t="s">
        <v>40</v>
      </c>
      <c r="E125" s="4" t="s">
        <v>9</v>
      </c>
      <c r="F125" s="4" t="s">
        <v>74</v>
      </c>
    </row>
    <row r="126" spans="1:6" x14ac:dyDescent="0.3">
      <c r="A126" s="15">
        <v>4</v>
      </c>
      <c r="B126" s="11">
        <v>1</v>
      </c>
      <c r="C126" s="11" t="s">
        <v>99</v>
      </c>
      <c r="D126" s="11" t="s">
        <v>29</v>
      </c>
      <c r="E126" s="15" t="s">
        <v>42</v>
      </c>
      <c r="F126" s="15" t="s">
        <v>61</v>
      </c>
    </row>
    <row r="127" spans="1:6" x14ac:dyDescent="0.3">
      <c r="A127" s="15">
        <v>4</v>
      </c>
      <c r="B127" s="15">
        <v>1</v>
      </c>
      <c r="C127" s="15" t="s">
        <v>81</v>
      </c>
      <c r="D127" s="15" t="s">
        <v>40</v>
      </c>
      <c r="E127" s="15" t="s">
        <v>10</v>
      </c>
      <c r="F127" s="15" t="s">
        <v>69</v>
      </c>
    </row>
    <row r="128" spans="1:6" x14ac:dyDescent="0.3">
      <c r="A128" s="15">
        <v>4</v>
      </c>
      <c r="B128" s="15">
        <v>1</v>
      </c>
      <c r="C128" s="15" t="s">
        <v>81</v>
      </c>
      <c r="D128" s="15" t="s">
        <v>40</v>
      </c>
      <c r="E128" s="15" t="s">
        <v>9</v>
      </c>
      <c r="F128" s="15" t="s">
        <v>70</v>
      </c>
    </row>
    <row r="129" spans="1:6" x14ac:dyDescent="0.3">
      <c r="A129" s="4">
        <v>4</v>
      </c>
      <c r="B129" s="11">
        <v>2</v>
      </c>
      <c r="C129" s="11" t="s">
        <v>100</v>
      </c>
      <c r="D129" s="11" t="s">
        <v>29</v>
      </c>
      <c r="E129" s="4" t="s">
        <v>42</v>
      </c>
      <c r="F129" s="4" t="s">
        <v>63</v>
      </c>
    </row>
    <row r="130" spans="1:6" x14ac:dyDescent="0.3">
      <c r="A130" s="15">
        <v>4</v>
      </c>
      <c r="B130" s="11">
        <v>1</v>
      </c>
      <c r="C130" s="11" t="s">
        <v>99</v>
      </c>
      <c r="D130" s="11" t="s">
        <v>29</v>
      </c>
      <c r="E130" s="15" t="s">
        <v>42</v>
      </c>
      <c r="F130" s="15" t="s">
        <v>60</v>
      </c>
    </row>
    <row r="131" spans="1:6" x14ac:dyDescent="0.3">
      <c r="A131" t="s">
        <v>25</v>
      </c>
    </row>
    <row r="132" spans="1:6" x14ac:dyDescent="0.3">
      <c r="A132" s="12">
        <v>1</v>
      </c>
      <c r="B132" s="14">
        <v>2</v>
      </c>
      <c r="C132" s="13" t="s">
        <v>100</v>
      </c>
      <c r="D132" s="8" t="s">
        <v>29</v>
      </c>
      <c r="E132" s="15" t="s">
        <v>42</v>
      </c>
      <c r="F132" s="15" t="s">
        <v>71</v>
      </c>
    </row>
    <row r="133" spans="1:6" x14ac:dyDescent="0.3">
      <c r="A133" s="12">
        <v>1</v>
      </c>
      <c r="B133" s="12">
        <v>2</v>
      </c>
      <c r="C133" s="12" t="s">
        <v>80</v>
      </c>
      <c r="D133" s="15" t="s">
        <v>40</v>
      </c>
      <c r="E133" s="15" t="s">
        <v>9</v>
      </c>
      <c r="F133" s="15" t="s">
        <v>49</v>
      </c>
    </row>
    <row r="134" spans="1:6" x14ac:dyDescent="0.3">
      <c r="A134" s="7">
        <v>1</v>
      </c>
      <c r="B134" s="14">
        <v>1</v>
      </c>
      <c r="C134" s="14" t="s">
        <v>99</v>
      </c>
      <c r="D134" s="8" t="s">
        <v>29</v>
      </c>
      <c r="E134" s="4" t="s">
        <v>42</v>
      </c>
      <c r="F134" s="4" t="s">
        <v>69</v>
      </c>
    </row>
    <row r="135" spans="1:6" x14ac:dyDescent="0.3">
      <c r="A135" s="12">
        <v>1</v>
      </c>
      <c r="B135" s="14">
        <v>1</v>
      </c>
      <c r="C135" s="14" t="s">
        <v>99</v>
      </c>
      <c r="D135" s="8" t="s">
        <v>29</v>
      </c>
      <c r="E135" s="15" t="s">
        <v>42</v>
      </c>
      <c r="F135" s="15" t="s">
        <v>73</v>
      </c>
    </row>
    <row r="136" spans="1:6" x14ac:dyDescent="0.3">
      <c r="A136" s="12">
        <v>1</v>
      </c>
      <c r="B136" s="12">
        <v>2</v>
      </c>
      <c r="C136" s="12" t="s">
        <v>80</v>
      </c>
      <c r="D136" s="15" t="s">
        <v>40</v>
      </c>
      <c r="E136" s="15" t="s">
        <v>9</v>
      </c>
      <c r="F136" s="15" t="s">
        <v>48</v>
      </c>
    </row>
    <row r="137" spans="1:6" x14ac:dyDescent="0.3">
      <c r="A137" s="12">
        <v>1</v>
      </c>
      <c r="B137" s="12">
        <v>1</v>
      </c>
      <c r="C137" s="12" t="s">
        <v>81</v>
      </c>
      <c r="D137" s="15" t="s">
        <v>40</v>
      </c>
      <c r="E137" s="15" t="s">
        <v>10</v>
      </c>
      <c r="F137" s="15" t="s">
        <v>50</v>
      </c>
    </row>
    <row r="138" spans="1:6" x14ac:dyDescent="0.3">
      <c r="A138" s="7">
        <v>1</v>
      </c>
      <c r="B138" s="14">
        <v>2</v>
      </c>
      <c r="C138" s="14" t="s">
        <v>100</v>
      </c>
      <c r="D138" s="8" t="s">
        <v>29</v>
      </c>
      <c r="E138" s="4" t="s">
        <v>42</v>
      </c>
      <c r="F138" s="4" t="s">
        <v>70</v>
      </c>
    </row>
    <row r="139" spans="1:6" x14ac:dyDescent="0.3">
      <c r="A139" s="7">
        <v>1</v>
      </c>
      <c r="B139" s="7">
        <v>2</v>
      </c>
      <c r="C139" s="7" t="s">
        <v>80</v>
      </c>
      <c r="D139" s="4" t="s">
        <v>40</v>
      </c>
      <c r="E139" s="4" t="s">
        <v>10</v>
      </c>
      <c r="F139" s="4" t="s">
        <v>43</v>
      </c>
    </row>
    <row r="140" spans="1:6" x14ac:dyDescent="0.3">
      <c r="A140" s="7">
        <v>1</v>
      </c>
      <c r="B140" s="7">
        <v>1</v>
      </c>
      <c r="C140" s="7" t="s">
        <v>81</v>
      </c>
      <c r="D140" s="4" t="s">
        <v>40</v>
      </c>
      <c r="E140" s="4" t="s">
        <v>10</v>
      </c>
      <c r="F140" s="4" t="s">
        <v>46</v>
      </c>
    </row>
    <row r="141" spans="1:6" x14ac:dyDescent="0.3">
      <c r="A141" s="12">
        <v>1</v>
      </c>
      <c r="B141" s="14">
        <v>1</v>
      </c>
      <c r="C141" s="13" t="s">
        <v>99</v>
      </c>
      <c r="D141" s="8" t="s">
        <v>29</v>
      </c>
      <c r="E141" s="15" t="s">
        <v>42</v>
      </c>
      <c r="F141" s="15" t="s">
        <v>74</v>
      </c>
    </row>
    <row r="142" spans="1:6" x14ac:dyDescent="0.3">
      <c r="A142" s="7">
        <v>1</v>
      </c>
      <c r="B142" s="14">
        <v>2</v>
      </c>
      <c r="C142" s="14" t="s">
        <v>100</v>
      </c>
      <c r="D142" s="8" t="s">
        <v>29</v>
      </c>
      <c r="E142" s="4" t="s">
        <v>42</v>
      </c>
      <c r="F142" s="4" t="s">
        <v>67</v>
      </c>
    </row>
    <row r="143" spans="1:6" x14ac:dyDescent="0.3">
      <c r="A143" s="7">
        <v>1</v>
      </c>
      <c r="B143" s="7">
        <v>1</v>
      </c>
      <c r="C143" s="12" t="s">
        <v>81</v>
      </c>
      <c r="D143" s="4" t="s">
        <v>40</v>
      </c>
      <c r="E143" s="4" t="s">
        <v>9</v>
      </c>
      <c r="F143" s="4" t="s">
        <v>44</v>
      </c>
    </row>
    <row r="144" spans="1:6" x14ac:dyDescent="0.3">
      <c r="A144" s="12">
        <v>1</v>
      </c>
      <c r="B144" s="14">
        <v>1</v>
      </c>
      <c r="C144" s="13" t="s">
        <v>99</v>
      </c>
      <c r="D144" s="8" t="s">
        <v>29</v>
      </c>
      <c r="E144" s="15" t="s">
        <v>42</v>
      </c>
      <c r="F144" s="15" t="s">
        <v>72</v>
      </c>
    </row>
    <row r="145" spans="1:6" x14ac:dyDescent="0.3">
      <c r="A145" s="7">
        <v>1</v>
      </c>
      <c r="B145" s="14">
        <v>2</v>
      </c>
      <c r="C145" s="14" t="s">
        <v>100</v>
      </c>
      <c r="D145" s="8" t="s">
        <v>29</v>
      </c>
      <c r="E145" s="4" t="s">
        <v>42</v>
      </c>
      <c r="F145" s="4" t="s">
        <v>68</v>
      </c>
    </row>
    <row r="146" spans="1:6" x14ac:dyDescent="0.3">
      <c r="A146" s="7">
        <v>1</v>
      </c>
      <c r="B146" s="7">
        <v>1</v>
      </c>
      <c r="C146" s="12" t="s">
        <v>81</v>
      </c>
      <c r="D146" s="4" t="s">
        <v>40</v>
      </c>
      <c r="E146" s="4" t="s">
        <v>9</v>
      </c>
      <c r="F146" s="4" t="s">
        <v>45</v>
      </c>
    </row>
    <row r="147" spans="1:6" x14ac:dyDescent="0.3">
      <c r="A147" s="7">
        <v>1</v>
      </c>
      <c r="B147" s="7">
        <v>2</v>
      </c>
      <c r="C147" s="7" t="s">
        <v>80</v>
      </c>
      <c r="D147" s="4" t="s">
        <v>40</v>
      </c>
      <c r="E147" s="4" t="s">
        <v>10</v>
      </c>
      <c r="F147" s="4" t="s">
        <v>47</v>
      </c>
    </row>
    <row r="148" spans="1:6" x14ac:dyDescent="0.3">
      <c r="A148" s="15">
        <v>2</v>
      </c>
      <c r="B148" s="12">
        <v>1</v>
      </c>
      <c r="C148" s="15" t="s">
        <v>81</v>
      </c>
      <c r="D148" s="15" t="s">
        <v>40</v>
      </c>
      <c r="E148" s="15" t="s">
        <v>9</v>
      </c>
      <c r="F148" s="15" t="s">
        <v>52</v>
      </c>
    </row>
    <row r="149" spans="1:6" x14ac:dyDescent="0.3">
      <c r="A149" s="4">
        <v>2</v>
      </c>
      <c r="B149" s="9">
        <v>2</v>
      </c>
      <c r="C149" s="9" t="s">
        <v>100</v>
      </c>
      <c r="D149" s="9" t="s">
        <v>29</v>
      </c>
      <c r="E149" s="4" t="s">
        <v>42</v>
      </c>
      <c r="F149" s="4" t="s">
        <v>49</v>
      </c>
    </row>
    <row r="150" spans="1:6" x14ac:dyDescent="0.3">
      <c r="A150" s="15">
        <v>2</v>
      </c>
      <c r="B150" s="9">
        <v>2</v>
      </c>
      <c r="C150" s="9" t="s">
        <v>100</v>
      </c>
      <c r="D150" s="9" t="s">
        <v>29</v>
      </c>
      <c r="E150" s="15" t="s">
        <v>42</v>
      </c>
      <c r="F150" s="15" t="s">
        <v>48</v>
      </c>
    </row>
    <row r="151" spans="1:6" x14ac:dyDescent="0.3">
      <c r="A151" s="15">
        <v>2</v>
      </c>
      <c r="B151" s="12">
        <v>1</v>
      </c>
      <c r="C151" s="12" t="s">
        <v>81</v>
      </c>
      <c r="D151" s="15" t="s">
        <v>40</v>
      </c>
      <c r="E151" s="15" t="s">
        <v>9</v>
      </c>
      <c r="F151" s="15" t="s">
        <v>53</v>
      </c>
    </row>
    <row r="152" spans="1:6" x14ac:dyDescent="0.3">
      <c r="A152" s="15">
        <v>2</v>
      </c>
      <c r="B152" s="12">
        <v>2</v>
      </c>
      <c r="C152" s="12" t="s">
        <v>80</v>
      </c>
      <c r="D152" s="15" t="s">
        <v>40</v>
      </c>
      <c r="E152" s="15" t="s">
        <v>10</v>
      </c>
      <c r="F152" s="15" t="s">
        <v>55</v>
      </c>
    </row>
    <row r="153" spans="1:6" x14ac:dyDescent="0.3">
      <c r="A153" s="4">
        <v>2</v>
      </c>
      <c r="B153" s="9">
        <v>1</v>
      </c>
      <c r="C153" s="9" t="s">
        <v>99</v>
      </c>
      <c r="D153" s="9" t="s">
        <v>29</v>
      </c>
      <c r="E153" s="4" t="s">
        <v>42</v>
      </c>
      <c r="F153" s="4" t="s">
        <v>50</v>
      </c>
    </row>
    <row r="154" spans="1:6" x14ac:dyDescent="0.3">
      <c r="A154" s="4">
        <v>2</v>
      </c>
      <c r="B154" s="7">
        <v>1</v>
      </c>
      <c r="C154" s="7" t="s">
        <v>81</v>
      </c>
      <c r="D154" s="4" t="s">
        <v>40</v>
      </c>
      <c r="E154" s="4" t="s">
        <v>10</v>
      </c>
      <c r="F154" s="4" t="s">
        <v>54</v>
      </c>
    </row>
    <row r="155" spans="1:6" x14ac:dyDescent="0.3">
      <c r="A155" s="4">
        <v>2</v>
      </c>
      <c r="B155" s="7">
        <v>2</v>
      </c>
      <c r="C155" s="7" t="s">
        <v>80</v>
      </c>
      <c r="D155" s="4" t="s">
        <v>40</v>
      </c>
      <c r="E155" s="4" t="s">
        <v>10</v>
      </c>
      <c r="F155" s="4" t="s">
        <v>51</v>
      </c>
    </row>
    <row r="156" spans="1:6" x14ac:dyDescent="0.3">
      <c r="A156" s="15">
        <v>2</v>
      </c>
      <c r="B156" s="9">
        <v>2</v>
      </c>
      <c r="C156" s="9" t="s">
        <v>100</v>
      </c>
      <c r="D156" s="9" t="s">
        <v>29</v>
      </c>
      <c r="E156" s="15" t="s">
        <v>42</v>
      </c>
      <c r="F156" s="15" t="s">
        <v>43</v>
      </c>
    </row>
    <row r="157" spans="1:6" x14ac:dyDescent="0.3">
      <c r="A157" s="4">
        <v>2</v>
      </c>
      <c r="B157" s="9">
        <v>1</v>
      </c>
      <c r="C157" s="9" t="s">
        <v>99</v>
      </c>
      <c r="D157" s="9" t="s">
        <v>29</v>
      </c>
      <c r="E157" s="4" t="s">
        <v>42</v>
      </c>
      <c r="F157" s="4" t="s">
        <v>46</v>
      </c>
    </row>
    <row r="158" spans="1:6" x14ac:dyDescent="0.3">
      <c r="A158" s="4">
        <v>2</v>
      </c>
      <c r="B158" s="7">
        <v>2</v>
      </c>
      <c r="C158" s="7" t="s">
        <v>80</v>
      </c>
      <c r="D158" s="4" t="s">
        <v>40</v>
      </c>
      <c r="E158" s="4" t="s">
        <v>9</v>
      </c>
      <c r="F158" s="4" t="s">
        <v>57</v>
      </c>
    </row>
    <row r="159" spans="1:6" x14ac:dyDescent="0.3">
      <c r="A159" s="15">
        <v>2</v>
      </c>
      <c r="B159" s="9">
        <v>1</v>
      </c>
      <c r="C159" s="9" t="s">
        <v>99</v>
      </c>
      <c r="D159" s="9" t="s">
        <v>29</v>
      </c>
      <c r="E159" s="15" t="s">
        <v>42</v>
      </c>
      <c r="F159" s="15" t="s">
        <v>44</v>
      </c>
    </row>
    <row r="160" spans="1:6" x14ac:dyDescent="0.3">
      <c r="A160" s="15">
        <v>2</v>
      </c>
      <c r="B160" s="12">
        <v>2</v>
      </c>
      <c r="C160" s="12" t="s">
        <v>80</v>
      </c>
      <c r="D160" s="15" t="s">
        <v>40</v>
      </c>
      <c r="E160" s="15" t="s">
        <v>9</v>
      </c>
      <c r="F160" s="15" t="s">
        <v>58</v>
      </c>
    </row>
    <row r="161" spans="1:6" x14ac:dyDescent="0.3">
      <c r="A161" s="15">
        <v>2</v>
      </c>
      <c r="B161" s="12">
        <v>1</v>
      </c>
      <c r="C161" s="12" t="s">
        <v>81</v>
      </c>
      <c r="D161" s="15" t="s">
        <v>40</v>
      </c>
      <c r="E161" s="15" t="s">
        <v>10</v>
      </c>
      <c r="F161" s="15" t="s">
        <v>56</v>
      </c>
    </row>
    <row r="162" spans="1:6" x14ac:dyDescent="0.3">
      <c r="A162" s="4">
        <v>2</v>
      </c>
      <c r="B162" s="9">
        <v>1</v>
      </c>
      <c r="C162" s="9" t="s">
        <v>99</v>
      </c>
      <c r="D162" s="9" t="s">
        <v>29</v>
      </c>
      <c r="E162" s="4" t="s">
        <v>42</v>
      </c>
      <c r="F162" s="4" t="s">
        <v>45</v>
      </c>
    </row>
    <row r="163" spans="1:6" x14ac:dyDescent="0.3">
      <c r="A163" s="15">
        <v>2</v>
      </c>
      <c r="B163" s="9">
        <v>2</v>
      </c>
      <c r="C163" s="9" t="s">
        <v>100</v>
      </c>
      <c r="D163" s="9" t="s">
        <v>29</v>
      </c>
      <c r="E163" s="15" t="s">
        <v>42</v>
      </c>
      <c r="F163" s="15" t="s">
        <v>47</v>
      </c>
    </row>
    <row r="164" spans="1:6" x14ac:dyDescent="0.3">
      <c r="A164" s="7">
        <v>3</v>
      </c>
      <c r="B164" s="7">
        <v>2</v>
      </c>
      <c r="C164" s="7" t="s">
        <v>80</v>
      </c>
      <c r="D164" s="4" t="s">
        <v>40</v>
      </c>
      <c r="E164" s="4" t="s">
        <v>10</v>
      </c>
      <c r="F164" s="4" t="s">
        <v>62</v>
      </c>
    </row>
    <row r="165" spans="1:6" x14ac:dyDescent="0.3">
      <c r="A165" s="12">
        <v>3</v>
      </c>
      <c r="B165" s="10">
        <v>2</v>
      </c>
      <c r="C165" s="10" t="s">
        <v>100</v>
      </c>
      <c r="D165" s="10" t="s">
        <v>29</v>
      </c>
      <c r="E165" s="15" t="s">
        <v>42</v>
      </c>
      <c r="F165" s="15" t="s">
        <v>52</v>
      </c>
    </row>
    <row r="166" spans="1:6" x14ac:dyDescent="0.3">
      <c r="A166" s="7">
        <v>3</v>
      </c>
      <c r="B166" s="10">
        <v>1</v>
      </c>
      <c r="C166" s="10" t="s">
        <v>99</v>
      </c>
      <c r="D166" s="10" t="s">
        <v>29</v>
      </c>
      <c r="E166" s="4" t="s">
        <v>42</v>
      </c>
      <c r="F166" s="4" t="s">
        <v>53</v>
      </c>
    </row>
    <row r="167" spans="1:6" x14ac:dyDescent="0.3">
      <c r="A167" s="7">
        <v>3</v>
      </c>
      <c r="B167" s="7">
        <v>1</v>
      </c>
      <c r="C167" s="7" t="s">
        <v>81</v>
      </c>
      <c r="D167" s="4" t="s">
        <v>40</v>
      </c>
      <c r="E167" s="4" t="s">
        <v>10</v>
      </c>
      <c r="F167" s="4" t="s">
        <v>65</v>
      </c>
    </row>
    <row r="168" spans="1:6" x14ac:dyDescent="0.3">
      <c r="A168" s="7">
        <v>3</v>
      </c>
      <c r="B168" s="7">
        <v>2</v>
      </c>
      <c r="C168" s="7" t="s">
        <v>80</v>
      </c>
      <c r="D168" s="4" t="s">
        <v>40</v>
      </c>
      <c r="E168" s="4" t="s">
        <v>10</v>
      </c>
      <c r="F168" s="4" t="s">
        <v>60</v>
      </c>
    </row>
    <row r="169" spans="1:6" x14ac:dyDescent="0.3">
      <c r="A169" s="12">
        <v>3</v>
      </c>
      <c r="B169" s="10">
        <v>1</v>
      </c>
      <c r="C169" s="10" t="s">
        <v>99</v>
      </c>
      <c r="D169" s="10" t="s">
        <v>29</v>
      </c>
      <c r="E169" s="15" t="s">
        <v>42</v>
      </c>
      <c r="F169" s="15" t="s">
        <v>55</v>
      </c>
    </row>
    <row r="170" spans="1:6" x14ac:dyDescent="0.3">
      <c r="A170" s="12">
        <v>3</v>
      </c>
      <c r="B170" s="12">
        <v>2</v>
      </c>
      <c r="C170" s="12" t="s">
        <v>80</v>
      </c>
      <c r="D170" s="15" t="s">
        <v>40</v>
      </c>
      <c r="E170" s="15" t="s">
        <v>9</v>
      </c>
      <c r="F170" s="15" t="s">
        <v>64</v>
      </c>
    </row>
    <row r="171" spans="1:6" x14ac:dyDescent="0.3">
      <c r="A171" s="7">
        <v>3</v>
      </c>
      <c r="B171" s="10">
        <v>1</v>
      </c>
      <c r="C171" s="10" t="s">
        <v>99</v>
      </c>
      <c r="D171" s="10" t="s">
        <v>29</v>
      </c>
      <c r="E171" s="4" t="s">
        <v>42</v>
      </c>
      <c r="F171" s="4" t="s">
        <v>54</v>
      </c>
    </row>
    <row r="172" spans="1:6" x14ac:dyDescent="0.3">
      <c r="A172" s="12">
        <v>3</v>
      </c>
      <c r="B172" s="10">
        <v>2</v>
      </c>
      <c r="C172" s="10" t="s">
        <v>100</v>
      </c>
      <c r="D172" s="10" t="s">
        <v>29</v>
      </c>
      <c r="E172" s="15" t="s">
        <v>42</v>
      </c>
      <c r="F172" s="15" t="s">
        <v>51</v>
      </c>
    </row>
    <row r="173" spans="1:6" x14ac:dyDescent="0.3">
      <c r="A173" s="7">
        <v>3</v>
      </c>
      <c r="B173" s="10">
        <v>1</v>
      </c>
      <c r="C173" s="10" t="s">
        <v>99</v>
      </c>
      <c r="D173" s="10" t="s">
        <v>29</v>
      </c>
      <c r="E173" s="4" t="s">
        <v>42</v>
      </c>
      <c r="F173" s="4" t="s">
        <v>57</v>
      </c>
    </row>
    <row r="174" spans="1:6" x14ac:dyDescent="0.3">
      <c r="A174" s="7">
        <v>3</v>
      </c>
      <c r="B174" s="7">
        <v>2</v>
      </c>
      <c r="C174" s="7" t="s">
        <v>80</v>
      </c>
      <c r="D174" s="4" t="s">
        <v>40</v>
      </c>
      <c r="E174" s="4" t="s">
        <v>9</v>
      </c>
      <c r="F174" s="4" t="s">
        <v>66</v>
      </c>
    </row>
    <row r="175" spans="1:6" x14ac:dyDescent="0.3">
      <c r="A175" s="7">
        <v>3</v>
      </c>
      <c r="B175" s="7">
        <v>1</v>
      </c>
      <c r="C175" s="7" t="s">
        <v>81</v>
      </c>
      <c r="D175" s="4" t="s">
        <v>40</v>
      </c>
      <c r="E175" s="4" t="s">
        <v>10</v>
      </c>
      <c r="F175" s="4" t="s">
        <v>63</v>
      </c>
    </row>
    <row r="176" spans="1:6" x14ac:dyDescent="0.3">
      <c r="A176" s="12">
        <v>3</v>
      </c>
      <c r="B176" s="12">
        <v>1</v>
      </c>
      <c r="C176" s="12" t="s">
        <v>81</v>
      </c>
      <c r="D176" s="15" t="s">
        <v>40</v>
      </c>
      <c r="E176" s="15" t="s">
        <v>9</v>
      </c>
      <c r="F176" s="15" t="s">
        <v>61</v>
      </c>
    </row>
    <row r="177" spans="1:6" x14ac:dyDescent="0.3">
      <c r="A177" s="7">
        <v>3</v>
      </c>
      <c r="B177" s="10">
        <v>2</v>
      </c>
      <c r="C177" s="10" t="s">
        <v>100</v>
      </c>
      <c r="D177" s="10" t="s">
        <v>29</v>
      </c>
      <c r="E177" s="4" t="s">
        <v>42</v>
      </c>
      <c r="F177" s="4" t="s">
        <v>56</v>
      </c>
    </row>
    <row r="178" spans="1:6" x14ac:dyDescent="0.3">
      <c r="A178" s="7">
        <v>3</v>
      </c>
      <c r="B178" s="7">
        <v>1</v>
      </c>
      <c r="C178" s="7" t="s">
        <v>81</v>
      </c>
      <c r="D178" s="4" t="s">
        <v>40</v>
      </c>
      <c r="E178" s="4" t="s">
        <v>9</v>
      </c>
      <c r="F178" s="4" t="s">
        <v>59</v>
      </c>
    </row>
    <row r="179" spans="1:6" x14ac:dyDescent="0.3">
      <c r="A179" s="12">
        <v>3</v>
      </c>
      <c r="B179" s="10">
        <v>2</v>
      </c>
      <c r="C179" s="10" t="s">
        <v>100</v>
      </c>
      <c r="D179" s="10" t="s">
        <v>29</v>
      </c>
      <c r="E179" s="15" t="s">
        <v>42</v>
      </c>
      <c r="F179" s="15" t="s">
        <v>58</v>
      </c>
    </row>
    <row r="180" spans="1:6" x14ac:dyDescent="0.3">
      <c r="A180" s="15">
        <v>4</v>
      </c>
      <c r="B180" s="12">
        <v>1</v>
      </c>
      <c r="C180" s="12" t="s">
        <v>81</v>
      </c>
      <c r="D180" s="15" t="s">
        <v>40</v>
      </c>
      <c r="E180" s="15" t="s">
        <v>9</v>
      </c>
      <c r="F180" s="15" t="s">
        <v>71</v>
      </c>
    </row>
    <row r="181" spans="1:6" x14ac:dyDescent="0.3">
      <c r="A181" s="4">
        <v>4</v>
      </c>
      <c r="B181" s="11">
        <v>2</v>
      </c>
      <c r="C181" s="11" t="s">
        <v>100</v>
      </c>
      <c r="D181" s="11" t="s">
        <v>29</v>
      </c>
      <c r="E181" s="4" t="s">
        <v>42</v>
      </c>
      <c r="F181" s="4" t="s">
        <v>62</v>
      </c>
    </row>
    <row r="182" spans="1:6" x14ac:dyDescent="0.3">
      <c r="A182" s="4">
        <v>4</v>
      </c>
      <c r="B182" s="7">
        <v>2</v>
      </c>
      <c r="C182" s="7" t="s">
        <v>80</v>
      </c>
      <c r="D182" s="4" t="s">
        <v>40</v>
      </c>
      <c r="E182" s="4" t="s">
        <v>10</v>
      </c>
      <c r="F182" s="4" t="s">
        <v>69</v>
      </c>
    </row>
    <row r="183" spans="1:6" x14ac:dyDescent="0.3">
      <c r="A183" s="4">
        <v>4</v>
      </c>
      <c r="B183" s="7">
        <v>2</v>
      </c>
      <c r="C183" s="7" t="s">
        <v>80</v>
      </c>
      <c r="D183" s="4" t="s">
        <v>40</v>
      </c>
      <c r="E183" s="4" t="s">
        <v>9</v>
      </c>
      <c r="F183" s="4" t="s">
        <v>73</v>
      </c>
    </row>
    <row r="184" spans="1:6" x14ac:dyDescent="0.3">
      <c r="A184" s="15">
        <v>4</v>
      </c>
      <c r="B184" s="11">
        <v>1</v>
      </c>
      <c r="C184" s="11" t="s">
        <v>99</v>
      </c>
      <c r="D184" s="11" t="s">
        <v>29</v>
      </c>
      <c r="E184" s="15" t="s">
        <v>42</v>
      </c>
      <c r="F184" s="15" t="s">
        <v>65</v>
      </c>
    </row>
    <row r="185" spans="1:6" x14ac:dyDescent="0.3">
      <c r="A185" s="4">
        <v>4</v>
      </c>
      <c r="B185" s="11">
        <v>2</v>
      </c>
      <c r="C185" s="11" t="s">
        <v>100</v>
      </c>
      <c r="D185" s="11" t="s">
        <v>29</v>
      </c>
      <c r="E185" s="4" t="s">
        <v>42</v>
      </c>
      <c r="F185" s="4" t="s">
        <v>60</v>
      </c>
    </row>
    <row r="186" spans="1:6" x14ac:dyDescent="0.3">
      <c r="A186" s="4">
        <v>4</v>
      </c>
      <c r="B186" s="7">
        <v>1</v>
      </c>
      <c r="C186" s="7" t="s">
        <v>81</v>
      </c>
      <c r="D186" s="4" t="s">
        <v>40</v>
      </c>
      <c r="E186" s="4" t="s">
        <v>10</v>
      </c>
      <c r="F186" s="4" t="s">
        <v>70</v>
      </c>
    </row>
    <row r="187" spans="1:6" x14ac:dyDescent="0.3">
      <c r="A187" s="4">
        <v>4</v>
      </c>
      <c r="B187" s="7">
        <v>2</v>
      </c>
      <c r="C187" s="7" t="s">
        <v>80</v>
      </c>
      <c r="D187" s="4" t="s">
        <v>40</v>
      </c>
      <c r="E187" s="4" t="s">
        <v>10</v>
      </c>
      <c r="F187" s="4" t="s">
        <v>74</v>
      </c>
    </row>
    <row r="188" spans="1:6" x14ac:dyDescent="0.3">
      <c r="A188" s="15">
        <v>4</v>
      </c>
      <c r="B188" s="11">
        <v>1</v>
      </c>
      <c r="C188" s="11" t="s">
        <v>99</v>
      </c>
      <c r="D188" s="11" t="s">
        <v>29</v>
      </c>
      <c r="E188" s="15" t="s">
        <v>42</v>
      </c>
      <c r="F188" s="15" t="s">
        <v>64</v>
      </c>
    </row>
    <row r="189" spans="1:6" x14ac:dyDescent="0.3">
      <c r="A189" s="15">
        <v>4</v>
      </c>
      <c r="B189" s="12">
        <v>2</v>
      </c>
      <c r="C189" s="12" t="s">
        <v>80</v>
      </c>
      <c r="D189" s="15" t="s">
        <v>40</v>
      </c>
      <c r="E189" s="15" t="s">
        <v>9</v>
      </c>
      <c r="F189" s="15" t="s">
        <v>67</v>
      </c>
    </row>
    <row r="190" spans="1:6" x14ac:dyDescent="0.3">
      <c r="A190" s="4">
        <v>4</v>
      </c>
      <c r="B190" s="11">
        <v>1</v>
      </c>
      <c r="C190" s="11" t="s">
        <v>99</v>
      </c>
      <c r="D190" s="11" t="s">
        <v>29</v>
      </c>
      <c r="E190" s="4" t="s">
        <v>42</v>
      </c>
      <c r="F190" s="4" t="s">
        <v>66</v>
      </c>
    </row>
    <row r="191" spans="1:6" x14ac:dyDescent="0.3">
      <c r="A191" s="4">
        <v>4</v>
      </c>
      <c r="B191" s="7">
        <v>1</v>
      </c>
      <c r="C191" s="7" t="s">
        <v>81</v>
      </c>
      <c r="D191" s="4" t="s">
        <v>40</v>
      </c>
      <c r="E191" s="4" t="s">
        <v>10</v>
      </c>
      <c r="F191" s="4" t="s">
        <v>72</v>
      </c>
    </row>
    <row r="192" spans="1:6" x14ac:dyDescent="0.3">
      <c r="A192" s="4">
        <v>4</v>
      </c>
      <c r="B192" s="7">
        <v>1</v>
      </c>
      <c r="C192" s="7" t="s">
        <v>81</v>
      </c>
      <c r="D192" s="4" t="s">
        <v>40</v>
      </c>
      <c r="E192" s="4" t="s">
        <v>9</v>
      </c>
      <c r="F192" s="4" t="s">
        <v>68</v>
      </c>
    </row>
    <row r="193" spans="1:6" x14ac:dyDescent="0.3">
      <c r="A193" s="15">
        <v>4</v>
      </c>
      <c r="B193" s="11">
        <v>2</v>
      </c>
      <c r="C193" s="11" t="s">
        <v>100</v>
      </c>
      <c r="D193" s="11" t="s">
        <v>29</v>
      </c>
      <c r="E193" s="15" t="s">
        <v>42</v>
      </c>
      <c r="F193" s="15" t="s">
        <v>63</v>
      </c>
    </row>
    <row r="194" spans="1:6" x14ac:dyDescent="0.3">
      <c r="A194" s="4">
        <v>4</v>
      </c>
      <c r="B194" s="11">
        <v>1</v>
      </c>
      <c r="C194" s="11" t="s">
        <v>99</v>
      </c>
      <c r="D194" s="11" t="s">
        <v>29</v>
      </c>
      <c r="E194" s="4" t="s">
        <v>42</v>
      </c>
      <c r="F194" s="4" t="s">
        <v>61</v>
      </c>
    </row>
    <row r="195" spans="1:6" x14ac:dyDescent="0.3">
      <c r="A195" s="15">
        <v>4</v>
      </c>
      <c r="B195" s="11">
        <v>2</v>
      </c>
      <c r="C195" s="11" t="s">
        <v>100</v>
      </c>
      <c r="D195" s="11" t="s">
        <v>29</v>
      </c>
      <c r="E195" s="15" t="s">
        <v>42</v>
      </c>
      <c r="F195" s="15" t="s">
        <v>59</v>
      </c>
    </row>
    <row r="196" spans="1:6" x14ac:dyDescent="0.3">
      <c r="A196" t="s">
        <v>25</v>
      </c>
    </row>
    <row r="197" spans="1:6" x14ac:dyDescent="0.3">
      <c r="A197" s="12">
        <v>1</v>
      </c>
      <c r="B197" s="14">
        <v>2</v>
      </c>
      <c r="C197" s="13" t="s">
        <v>100</v>
      </c>
      <c r="D197" s="8" t="s">
        <v>29</v>
      </c>
      <c r="E197" s="15" t="s">
        <v>42</v>
      </c>
      <c r="F197" s="15" t="s">
        <v>69</v>
      </c>
    </row>
    <row r="198" spans="1:6" x14ac:dyDescent="0.3">
      <c r="A198" s="12">
        <v>1</v>
      </c>
      <c r="B198" s="15">
        <v>2</v>
      </c>
      <c r="C198" s="15" t="s">
        <v>80</v>
      </c>
      <c r="D198" s="15" t="s">
        <v>40</v>
      </c>
      <c r="E198" s="15" t="s">
        <v>9</v>
      </c>
      <c r="F198" s="15" t="s">
        <v>47</v>
      </c>
    </row>
    <row r="199" spans="1:6" x14ac:dyDescent="0.3">
      <c r="A199" s="7">
        <v>1</v>
      </c>
      <c r="B199" s="14">
        <v>1</v>
      </c>
      <c r="C199" s="14" t="s">
        <v>99</v>
      </c>
      <c r="D199" s="8" t="s">
        <v>29</v>
      </c>
      <c r="E199" s="4" t="s">
        <v>42</v>
      </c>
      <c r="F199" s="4" t="s">
        <v>72</v>
      </c>
    </row>
    <row r="200" spans="1:6" x14ac:dyDescent="0.3">
      <c r="A200" s="12">
        <v>1</v>
      </c>
      <c r="B200" s="14">
        <v>2</v>
      </c>
      <c r="C200" s="13" t="s">
        <v>100</v>
      </c>
      <c r="D200" s="8" t="s">
        <v>29</v>
      </c>
      <c r="E200" s="15" t="s">
        <v>42</v>
      </c>
      <c r="F200" s="15" t="s">
        <v>70</v>
      </c>
    </row>
    <row r="201" spans="1:6" x14ac:dyDescent="0.3">
      <c r="A201" s="7">
        <v>1</v>
      </c>
      <c r="B201" s="14">
        <v>1</v>
      </c>
      <c r="C201" s="14" t="s">
        <v>99</v>
      </c>
      <c r="D201" s="8" t="s">
        <v>29</v>
      </c>
      <c r="E201" s="4" t="s">
        <v>42</v>
      </c>
      <c r="F201" s="4" t="s">
        <v>74</v>
      </c>
    </row>
    <row r="202" spans="1:6" x14ac:dyDescent="0.3">
      <c r="A202" s="7">
        <v>1</v>
      </c>
      <c r="B202" s="4">
        <v>2</v>
      </c>
      <c r="C202" s="15" t="s">
        <v>80</v>
      </c>
      <c r="D202" s="4" t="s">
        <v>40</v>
      </c>
      <c r="E202" s="4" t="s">
        <v>9</v>
      </c>
      <c r="F202" s="4" t="s">
        <v>50</v>
      </c>
    </row>
    <row r="203" spans="1:6" x14ac:dyDescent="0.3">
      <c r="A203" s="7">
        <v>1</v>
      </c>
      <c r="B203" s="4">
        <v>1</v>
      </c>
      <c r="C203" s="4" t="s">
        <v>81</v>
      </c>
      <c r="D203" s="4" t="s">
        <v>40</v>
      </c>
      <c r="E203" s="4" t="s">
        <v>10</v>
      </c>
      <c r="F203" s="4" t="s">
        <v>49</v>
      </c>
    </row>
    <row r="204" spans="1:6" x14ac:dyDescent="0.3">
      <c r="A204" s="12">
        <v>1</v>
      </c>
      <c r="B204" s="14">
        <v>1</v>
      </c>
      <c r="C204" s="14" t="s">
        <v>99</v>
      </c>
      <c r="D204" s="8" t="s">
        <v>29</v>
      </c>
      <c r="E204" s="15" t="s">
        <v>42</v>
      </c>
      <c r="F204" s="15" t="s">
        <v>71</v>
      </c>
    </row>
    <row r="205" spans="1:6" x14ac:dyDescent="0.3">
      <c r="A205" s="12">
        <v>1</v>
      </c>
      <c r="B205" s="15">
        <v>2</v>
      </c>
      <c r="C205" s="15" t="s">
        <v>80</v>
      </c>
      <c r="D205" s="15" t="s">
        <v>40</v>
      </c>
      <c r="E205" s="15" t="s">
        <v>10</v>
      </c>
      <c r="F205" s="15" t="s">
        <v>45</v>
      </c>
    </row>
    <row r="206" spans="1:6" x14ac:dyDescent="0.3">
      <c r="A206" s="12">
        <v>1</v>
      </c>
      <c r="B206" s="15">
        <v>1</v>
      </c>
      <c r="C206" s="15" t="s">
        <v>81</v>
      </c>
      <c r="D206" s="15" t="s">
        <v>40</v>
      </c>
      <c r="E206" s="15" t="s">
        <v>10</v>
      </c>
      <c r="F206" s="15" t="s">
        <v>44</v>
      </c>
    </row>
    <row r="207" spans="1:6" x14ac:dyDescent="0.3">
      <c r="A207" s="7">
        <v>1</v>
      </c>
      <c r="B207" s="14">
        <v>2</v>
      </c>
      <c r="C207" s="14" t="s">
        <v>100</v>
      </c>
      <c r="D207" s="8" t="s">
        <v>29</v>
      </c>
      <c r="E207" s="4" t="s">
        <v>42</v>
      </c>
      <c r="F207" s="4" t="s">
        <v>68</v>
      </c>
    </row>
    <row r="208" spans="1:6" x14ac:dyDescent="0.3">
      <c r="A208" s="7">
        <v>1</v>
      </c>
      <c r="B208" s="4">
        <v>1</v>
      </c>
      <c r="C208" s="15" t="s">
        <v>81</v>
      </c>
      <c r="D208" s="4" t="s">
        <v>40</v>
      </c>
      <c r="E208" s="4" t="s">
        <v>9</v>
      </c>
      <c r="F208" s="4" t="s">
        <v>46</v>
      </c>
    </row>
    <row r="209" spans="1:6" x14ac:dyDescent="0.3">
      <c r="A209" s="12">
        <v>1</v>
      </c>
      <c r="B209" s="14">
        <v>1</v>
      </c>
      <c r="C209" s="13" t="s">
        <v>99</v>
      </c>
      <c r="D209" s="8" t="s">
        <v>29</v>
      </c>
      <c r="E209" s="15" t="s">
        <v>42</v>
      </c>
      <c r="F209" s="15" t="s">
        <v>67</v>
      </c>
    </row>
    <row r="210" spans="1:6" x14ac:dyDescent="0.3">
      <c r="A210" s="7">
        <v>1</v>
      </c>
      <c r="B210" s="14">
        <v>2</v>
      </c>
      <c r="C210" s="14" t="s">
        <v>100</v>
      </c>
      <c r="D210" s="8" t="s">
        <v>29</v>
      </c>
      <c r="E210" s="4" t="s">
        <v>42</v>
      </c>
      <c r="F210" s="4" t="s">
        <v>73</v>
      </c>
    </row>
    <row r="211" spans="1:6" x14ac:dyDescent="0.3">
      <c r="A211" s="7">
        <v>1</v>
      </c>
      <c r="B211" s="4">
        <v>1</v>
      </c>
      <c r="C211" s="15" t="s">
        <v>81</v>
      </c>
      <c r="D211" s="4" t="s">
        <v>40</v>
      </c>
      <c r="E211" s="4" t="s">
        <v>9</v>
      </c>
      <c r="F211" s="4" t="s">
        <v>43</v>
      </c>
    </row>
    <row r="212" spans="1:6" x14ac:dyDescent="0.3">
      <c r="A212" s="7">
        <v>1</v>
      </c>
      <c r="B212" s="4">
        <v>2</v>
      </c>
      <c r="C212" s="4" t="s">
        <v>80</v>
      </c>
      <c r="D212" s="4" t="s">
        <v>40</v>
      </c>
      <c r="E212" s="4" t="s">
        <v>10</v>
      </c>
      <c r="F212" s="4" t="s">
        <v>48</v>
      </c>
    </row>
    <row r="213" spans="1:6" x14ac:dyDescent="0.3">
      <c r="A213" s="15">
        <v>2</v>
      </c>
      <c r="B213" s="15">
        <v>1</v>
      </c>
      <c r="C213" s="15" t="s">
        <v>81</v>
      </c>
      <c r="D213" s="15" t="s">
        <v>40</v>
      </c>
      <c r="E213" s="15" t="s">
        <v>9</v>
      </c>
      <c r="F213" s="15" t="s">
        <v>51</v>
      </c>
    </row>
    <row r="214" spans="1:6" x14ac:dyDescent="0.3">
      <c r="A214" s="4">
        <v>2</v>
      </c>
      <c r="B214" s="9">
        <v>2</v>
      </c>
      <c r="C214" s="9" t="s">
        <v>100</v>
      </c>
      <c r="D214" s="9" t="s">
        <v>29</v>
      </c>
      <c r="E214" s="4" t="s">
        <v>42</v>
      </c>
      <c r="F214" s="4" t="s">
        <v>47</v>
      </c>
    </row>
    <row r="215" spans="1:6" x14ac:dyDescent="0.3">
      <c r="A215" s="4">
        <v>2</v>
      </c>
      <c r="B215" s="4">
        <v>1</v>
      </c>
      <c r="C215" s="4" t="s">
        <v>81</v>
      </c>
      <c r="D215" s="4" t="s">
        <v>40</v>
      </c>
      <c r="E215" s="4" t="s">
        <v>9</v>
      </c>
      <c r="F215" s="4" t="s">
        <v>55</v>
      </c>
    </row>
    <row r="216" spans="1:6" x14ac:dyDescent="0.3">
      <c r="A216" s="15">
        <v>2</v>
      </c>
      <c r="B216" s="9">
        <v>2</v>
      </c>
      <c r="C216" s="9" t="s">
        <v>100</v>
      </c>
      <c r="D216" s="9" t="s">
        <v>29</v>
      </c>
      <c r="E216" s="15" t="s">
        <v>42</v>
      </c>
      <c r="F216" s="15" t="s">
        <v>50</v>
      </c>
    </row>
    <row r="217" spans="1:6" x14ac:dyDescent="0.3">
      <c r="A217" s="4">
        <v>2</v>
      </c>
      <c r="B217" s="4">
        <v>1</v>
      </c>
      <c r="C217" s="4" t="s">
        <v>81</v>
      </c>
      <c r="D217" s="4" t="s">
        <v>40</v>
      </c>
      <c r="E217" s="4" t="s">
        <v>10</v>
      </c>
      <c r="F217" s="4" t="s">
        <v>53</v>
      </c>
    </row>
    <row r="218" spans="1:6" x14ac:dyDescent="0.3">
      <c r="A218" s="15">
        <v>2</v>
      </c>
      <c r="B218" s="15">
        <v>1</v>
      </c>
      <c r="C218" s="15" t="s">
        <v>81</v>
      </c>
      <c r="D218" s="15" t="s">
        <v>40</v>
      </c>
      <c r="E218" s="15" t="s">
        <v>10</v>
      </c>
      <c r="F218" s="15" t="s">
        <v>57</v>
      </c>
    </row>
    <row r="219" spans="1:6" x14ac:dyDescent="0.3">
      <c r="A219" s="4">
        <v>2</v>
      </c>
      <c r="B219" s="9">
        <v>1</v>
      </c>
      <c r="C219" s="9" t="s">
        <v>99</v>
      </c>
      <c r="D219" s="9" t="s">
        <v>29</v>
      </c>
      <c r="E219" s="4" t="s">
        <v>42</v>
      </c>
      <c r="F219" s="4" t="s">
        <v>49</v>
      </c>
    </row>
    <row r="220" spans="1:6" x14ac:dyDescent="0.3">
      <c r="A220" s="15">
        <v>2</v>
      </c>
      <c r="B220" s="9">
        <v>2</v>
      </c>
      <c r="C220" s="9" t="s">
        <v>100</v>
      </c>
      <c r="D220" s="9" t="s">
        <v>29</v>
      </c>
      <c r="E220" s="15" t="s">
        <v>42</v>
      </c>
      <c r="F220" s="15" t="s">
        <v>45</v>
      </c>
    </row>
    <row r="221" spans="1:6" x14ac:dyDescent="0.3">
      <c r="A221" s="4">
        <v>2</v>
      </c>
      <c r="B221" s="9">
        <v>1</v>
      </c>
      <c r="C221" s="9" t="s">
        <v>99</v>
      </c>
      <c r="D221" s="9" t="s">
        <v>29</v>
      </c>
      <c r="E221" s="4" t="s">
        <v>42</v>
      </c>
      <c r="F221" s="4" t="s">
        <v>44</v>
      </c>
    </row>
    <row r="222" spans="1:6" x14ac:dyDescent="0.3">
      <c r="A222" s="4">
        <v>2</v>
      </c>
      <c r="B222" s="4">
        <v>2</v>
      </c>
      <c r="C222" s="4" t="s">
        <v>80</v>
      </c>
      <c r="D222" s="4" t="s">
        <v>40</v>
      </c>
      <c r="E222" s="4" t="s">
        <v>10</v>
      </c>
      <c r="F222" s="4" t="s">
        <v>52</v>
      </c>
    </row>
    <row r="223" spans="1:6" x14ac:dyDescent="0.3">
      <c r="A223" s="4">
        <v>2</v>
      </c>
      <c r="B223" s="4">
        <v>2</v>
      </c>
      <c r="C223" s="4" t="s">
        <v>80</v>
      </c>
      <c r="D223" s="4" t="s">
        <v>40</v>
      </c>
      <c r="E223" s="4" t="s">
        <v>9</v>
      </c>
      <c r="F223" s="4" t="s">
        <v>56</v>
      </c>
    </row>
    <row r="224" spans="1:6" x14ac:dyDescent="0.3">
      <c r="A224" s="15">
        <v>2</v>
      </c>
      <c r="B224" s="9">
        <v>1</v>
      </c>
      <c r="C224" s="9" t="s">
        <v>99</v>
      </c>
      <c r="D224" s="9" t="s">
        <v>29</v>
      </c>
      <c r="E224" s="15" t="s">
        <v>42</v>
      </c>
      <c r="F224" s="15" t="s">
        <v>46</v>
      </c>
    </row>
    <row r="225" spans="1:6" x14ac:dyDescent="0.3">
      <c r="A225" s="15">
        <v>2</v>
      </c>
      <c r="B225" s="15">
        <v>2</v>
      </c>
      <c r="C225" s="15" t="s">
        <v>80</v>
      </c>
      <c r="D225" s="15" t="s">
        <v>40</v>
      </c>
      <c r="E225" s="15" t="s">
        <v>9</v>
      </c>
      <c r="F225" s="15" t="s">
        <v>54</v>
      </c>
    </row>
    <row r="226" spans="1:6" x14ac:dyDescent="0.3">
      <c r="A226" s="4">
        <v>2</v>
      </c>
      <c r="B226" s="9">
        <v>1</v>
      </c>
      <c r="C226" s="9" t="s">
        <v>99</v>
      </c>
      <c r="D226" s="9" t="s">
        <v>29</v>
      </c>
      <c r="E226" s="4" t="s">
        <v>42</v>
      </c>
      <c r="F226" s="4" t="s">
        <v>43</v>
      </c>
    </row>
    <row r="227" spans="1:6" x14ac:dyDescent="0.3">
      <c r="A227" s="15">
        <v>2</v>
      </c>
      <c r="B227" s="9">
        <v>2</v>
      </c>
      <c r="C227" s="9" t="s">
        <v>100</v>
      </c>
      <c r="D227" s="9" t="s">
        <v>29</v>
      </c>
      <c r="E227" s="15" t="s">
        <v>42</v>
      </c>
      <c r="F227" s="15" t="s">
        <v>48</v>
      </c>
    </row>
    <row r="228" spans="1:6" x14ac:dyDescent="0.3">
      <c r="A228" s="15">
        <v>2</v>
      </c>
      <c r="B228" s="15">
        <v>1</v>
      </c>
      <c r="C228" s="15" t="s">
        <v>81</v>
      </c>
      <c r="D228" s="15" t="s">
        <v>40</v>
      </c>
      <c r="E228" s="15" t="s">
        <v>10</v>
      </c>
      <c r="F228" s="15" t="s">
        <v>58</v>
      </c>
    </row>
    <row r="229" spans="1:6" x14ac:dyDescent="0.3">
      <c r="A229" s="7">
        <v>3</v>
      </c>
      <c r="B229" s="4">
        <v>2</v>
      </c>
      <c r="C229" s="4" t="s">
        <v>80</v>
      </c>
      <c r="D229" s="4" t="s">
        <v>40</v>
      </c>
      <c r="E229" s="4" t="s">
        <v>10</v>
      </c>
      <c r="F229" s="4" t="s">
        <v>63</v>
      </c>
    </row>
    <row r="230" spans="1:6" x14ac:dyDescent="0.3">
      <c r="A230" s="7">
        <v>3</v>
      </c>
      <c r="B230" s="4">
        <v>1</v>
      </c>
      <c r="C230" s="4" t="s">
        <v>81</v>
      </c>
      <c r="D230" s="4" t="s">
        <v>40</v>
      </c>
      <c r="E230" s="4" t="s">
        <v>10</v>
      </c>
      <c r="F230" s="4" t="s">
        <v>59</v>
      </c>
    </row>
    <row r="231" spans="1:6" x14ac:dyDescent="0.3">
      <c r="A231" s="12">
        <v>3</v>
      </c>
      <c r="B231" s="10">
        <v>2</v>
      </c>
      <c r="C231" s="10" t="s">
        <v>100</v>
      </c>
      <c r="D231" s="10" t="s">
        <v>29</v>
      </c>
      <c r="E231" s="15" t="s">
        <v>42</v>
      </c>
      <c r="F231" s="15" t="s">
        <v>51</v>
      </c>
    </row>
    <row r="232" spans="1:6" x14ac:dyDescent="0.3">
      <c r="A232" s="7">
        <v>3</v>
      </c>
      <c r="B232" s="10">
        <v>1</v>
      </c>
      <c r="C232" s="10" t="s">
        <v>99</v>
      </c>
      <c r="D232" s="10" t="s">
        <v>29</v>
      </c>
      <c r="E232" s="4" t="s">
        <v>42</v>
      </c>
      <c r="F232" s="4" t="s">
        <v>55</v>
      </c>
    </row>
    <row r="233" spans="1:6" x14ac:dyDescent="0.3">
      <c r="A233" s="7">
        <v>3</v>
      </c>
      <c r="B233" s="4">
        <v>2</v>
      </c>
      <c r="C233" s="4" t="s">
        <v>80</v>
      </c>
      <c r="D233" s="4" t="s">
        <v>40</v>
      </c>
      <c r="E233" s="4" t="s">
        <v>10</v>
      </c>
      <c r="F233" s="4" t="s">
        <v>65</v>
      </c>
    </row>
    <row r="234" spans="1:6" x14ac:dyDescent="0.3">
      <c r="A234" s="12">
        <v>3</v>
      </c>
      <c r="B234" s="10">
        <v>1</v>
      </c>
      <c r="C234" s="10" t="s">
        <v>99</v>
      </c>
      <c r="D234" s="10" t="s">
        <v>29</v>
      </c>
      <c r="E234" s="15" t="s">
        <v>42</v>
      </c>
      <c r="F234" s="15" t="s">
        <v>53</v>
      </c>
    </row>
    <row r="235" spans="1:6" x14ac:dyDescent="0.3">
      <c r="A235" s="12">
        <v>3</v>
      </c>
      <c r="B235" s="15">
        <v>2</v>
      </c>
      <c r="C235" s="15" t="s">
        <v>80</v>
      </c>
      <c r="D235" s="15" t="s">
        <v>40</v>
      </c>
      <c r="E235" s="15" t="s">
        <v>9</v>
      </c>
      <c r="F235" s="15" t="s">
        <v>61</v>
      </c>
    </row>
    <row r="236" spans="1:6" x14ac:dyDescent="0.3">
      <c r="A236" s="7">
        <v>3</v>
      </c>
      <c r="B236" s="10">
        <v>1</v>
      </c>
      <c r="C236" s="10" t="s">
        <v>99</v>
      </c>
      <c r="D236" s="10" t="s">
        <v>29</v>
      </c>
      <c r="E236" s="4" t="s">
        <v>42</v>
      </c>
      <c r="F236" s="4" t="s">
        <v>57</v>
      </c>
    </row>
    <row r="237" spans="1:6" x14ac:dyDescent="0.3">
      <c r="A237" s="12">
        <v>3</v>
      </c>
      <c r="B237" s="10">
        <v>1</v>
      </c>
      <c r="C237" s="10" t="s">
        <v>99</v>
      </c>
      <c r="D237" s="10" t="s">
        <v>29</v>
      </c>
      <c r="E237" s="15" t="s">
        <v>42</v>
      </c>
      <c r="F237" s="15" t="s">
        <v>52</v>
      </c>
    </row>
    <row r="238" spans="1:6" x14ac:dyDescent="0.3">
      <c r="A238" s="12">
        <v>3</v>
      </c>
      <c r="B238" s="15">
        <v>2</v>
      </c>
      <c r="C238" s="15" t="s">
        <v>80</v>
      </c>
      <c r="D238" s="15" t="s">
        <v>40</v>
      </c>
      <c r="E238" s="15" t="s">
        <v>9</v>
      </c>
      <c r="F238" s="15" t="s">
        <v>60</v>
      </c>
    </row>
    <row r="239" spans="1:6" x14ac:dyDescent="0.3">
      <c r="A239" s="12">
        <v>3</v>
      </c>
      <c r="B239" s="15">
        <v>1</v>
      </c>
      <c r="C239" s="15" t="s">
        <v>81</v>
      </c>
      <c r="D239" s="15" t="s">
        <v>40</v>
      </c>
      <c r="E239" s="15" t="s">
        <v>10</v>
      </c>
      <c r="F239" s="15" t="s">
        <v>66</v>
      </c>
    </row>
    <row r="240" spans="1:6" x14ac:dyDescent="0.3">
      <c r="A240" s="7">
        <v>3</v>
      </c>
      <c r="B240" s="10">
        <v>2</v>
      </c>
      <c r="C240" s="10" t="s">
        <v>100</v>
      </c>
      <c r="D240" s="10" t="s">
        <v>29</v>
      </c>
      <c r="E240" s="4" t="s">
        <v>42</v>
      </c>
      <c r="F240" s="4" t="s">
        <v>56</v>
      </c>
    </row>
    <row r="241" spans="1:6" x14ac:dyDescent="0.3">
      <c r="A241" s="12">
        <v>3</v>
      </c>
      <c r="B241" s="10">
        <v>2</v>
      </c>
      <c r="C241" s="10" t="s">
        <v>100</v>
      </c>
      <c r="D241" s="10" t="s">
        <v>29</v>
      </c>
      <c r="E241" s="15" t="s">
        <v>42</v>
      </c>
      <c r="F241" s="15" t="s">
        <v>54</v>
      </c>
    </row>
    <row r="242" spans="1:6" x14ac:dyDescent="0.3">
      <c r="A242" s="12">
        <v>3</v>
      </c>
      <c r="B242" s="15">
        <v>1</v>
      </c>
      <c r="C242" s="15" t="s">
        <v>81</v>
      </c>
      <c r="D242" s="15" t="s">
        <v>40</v>
      </c>
      <c r="E242" s="15" t="s">
        <v>9</v>
      </c>
      <c r="F242" s="15" t="s">
        <v>64</v>
      </c>
    </row>
    <row r="243" spans="1:6" x14ac:dyDescent="0.3">
      <c r="A243" s="7">
        <v>3</v>
      </c>
      <c r="B243" s="10">
        <v>2</v>
      </c>
      <c r="C243" s="10" t="s">
        <v>100</v>
      </c>
      <c r="D243" s="10" t="s">
        <v>29</v>
      </c>
      <c r="E243" s="4" t="s">
        <v>42</v>
      </c>
      <c r="F243" s="4" t="s">
        <v>58</v>
      </c>
    </row>
    <row r="244" spans="1:6" x14ac:dyDescent="0.3">
      <c r="A244" s="7">
        <v>3</v>
      </c>
      <c r="B244" s="4">
        <v>1</v>
      </c>
      <c r="C244" s="4" t="s">
        <v>81</v>
      </c>
      <c r="D244" s="4" t="s">
        <v>40</v>
      </c>
      <c r="E244" s="4" t="s">
        <v>9</v>
      </c>
      <c r="F244" s="4" t="s">
        <v>62</v>
      </c>
    </row>
    <row r="245" spans="1:6" x14ac:dyDescent="0.3">
      <c r="A245" s="4">
        <v>4</v>
      </c>
      <c r="B245" s="11">
        <v>2</v>
      </c>
      <c r="C245" s="11" t="s">
        <v>100</v>
      </c>
      <c r="D245" s="11" t="s">
        <v>29</v>
      </c>
      <c r="E245" s="4" t="s">
        <v>42</v>
      </c>
      <c r="F245" s="4" t="s">
        <v>63</v>
      </c>
    </row>
    <row r="246" spans="1:6" x14ac:dyDescent="0.3">
      <c r="A246" s="15">
        <v>4</v>
      </c>
      <c r="B246" s="11">
        <v>2</v>
      </c>
      <c r="C246" s="11" t="s">
        <v>100</v>
      </c>
      <c r="D246" s="11" t="s">
        <v>29</v>
      </c>
      <c r="E246" s="15" t="s">
        <v>42</v>
      </c>
      <c r="F246" s="15" t="s">
        <v>59</v>
      </c>
    </row>
    <row r="247" spans="1:6" x14ac:dyDescent="0.3">
      <c r="A247" s="15">
        <v>4</v>
      </c>
      <c r="B247" s="15">
        <v>1</v>
      </c>
      <c r="C247" s="15" t="s">
        <v>81</v>
      </c>
      <c r="D247" s="15" t="s">
        <v>40</v>
      </c>
      <c r="E247" s="15" t="s">
        <v>9</v>
      </c>
      <c r="F247" s="15" t="s">
        <v>69</v>
      </c>
    </row>
    <row r="248" spans="1:6" x14ac:dyDescent="0.3">
      <c r="A248" s="15">
        <v>4</v>
      </c>
      <c r="B248" s="15">
        <v>2</v>
      </c>
      <c r="C248" s="15" t="s">
        <v>80</v>
      </c>
      <c r="D248" s="15" t="s">
        <v>40</v>
      </c>
      <c r="E248" s="15" t="s">
        <v>10</v>
      </c>
      <c r="F248" s="15" t="s">
        <v>72</v>
      </c>
    </row>
    <row r="249" spans="1:6" x14ac:dyDescent="0.3">
      <c r="A249" s="4">
        <v>4</v>
      </c>
      <c r="B249" s="11">
        <v>1</v>
      </c>
      <c r="C249" s="11" t="s">
        <v>99</v>
      </c>
      <c r="D249" s="11" t="s">
        <v>29</v>
      </c>
      <c r="E249" s="4" t="s">
        <v>42</v>
      </c>
      <c r="F249" s="4" t="s">
        <v>65</v>
      </c>
    </row>
    <row r="250" spans="1:6" x14ac:dyDescent="0.3">
      <c r="A250" s="4">
        <v>4</v>
      </c>
      <c r="B250" s="4">
        <v>2</v>
      </c>
      <c r="C250" s="4" t="s">
        <v>80</v>
      </c>
      <c r="D250" s="4" t="s">
        <v>40</v>
      </c>
      <c r="E250" s="4" t="s">
        <v>9</v>
      </c>
      <c r="F250" s="4" t="s">
        <v>70</v>
      </c>
    </row>
    <row r="251" spans="1:6" x14ac:dyDescent="0.3">
      <c r="A251" s="4">
        <v>4</v>
      </c>
      <c r="B251" s="4">
        <v>1</v>
      </c>
      <c r="C251" s="4" t="s">
        <v>81</v>
      </c>
      <c r="D251" s="4" t="s">
        <v>40</v>
      </c>
      <c r="E251" s="4" t="s">
        <v>10</v>
      </c>
      <c r="F251" s="4" t="s">
        <v>74</v>
      </c>
    </row>
    <row r="252" spans="1:6" x14ac:dyDescent="0.3">
      <c r="A252" s="15">
        <v>4</v>
      </c>
      <c r="B252" s="11">
        <v>2</v>
      </c>
      <c r="C252" s="11" t="s">
        <v>100</v>
      </c>
      <c r="D252" s="11" t="s">
        <v>29</v>
      </c>
      <c r="E252" s="15" t="s">
        <v>42</v>
      </c>
      <c r="F252" s="15" t="s">
        <v>61</v>
      </c>
    </row>
    <row r="253" spans="1:6" x14ac:dyDescent="0.3">
      <c r="A253" s="15">
        <v>4</v>
      </c>
      <c r="B253" s="15">
        <v>2</v>
      </c>
      <c r="C253" s="15" t="s">
        <v>80</v>
      </c>
      <c r="D253" s="15" t="s">
        <v>40</v>
      </c>
      <c r="E253" s="15" t="s">
        <v>10</v>
      </c>
      <c r="F253" s="15" t="s">
        <v>71</v>
      </c>
    </row>
    <row r="254" spans="1:6" x14ac:dyDescent="0.3">
      <c r="A254" s="15">
        <v>4</v>
      </c>
      <c r="B254" s="11">
        <v>1</v>
      </c>
      <c r="C254" s="11" t="s">
        <v>99</v>
      </c>
      <c r="D254" s="11" t="s">
        <v>29</v>
      </c>
      <c r="E254" s="15" t="s">
        <v>42</v>
      </c>
      <c r="F254" s="15" t="s">
        <v>60</v>
      </c>
    </row>
    <row r="255" spans="1:6" x14ac:dyDescent="0.3">
      <c r="A255" s="4">
        <v>4</v>
      </c>
      <c r="B255" s="11">
        <v>1</v>
      </c>
      <c r="C255" s="11" t="s">
        <v>99</v>
      </c>
      <c r="D255" s="11" t="s">
        <v>29</v>
      </c>
      <c r="E255" s="4" t="s">
        <v>42</v>
      </c>
      <c r="F255" s="4" t="s">
        <v>66</v>
      </c>
    </row>
    <row r="256" spans="1:6" x14ac:dyDescent="0.3">
      <c r="A256" s="15">
        <v>4</v>
      </c>
      <c r="B256" s="15">
        <v>2</v>
      </c>
      <c r="C256" s="15" t="s">
        <v>80</v>
      </c>
      <c r="D256" s="15" t="s">
        <v>40</v>
      </c>
      <c r="E256" s="15" t="s">
        <v>9</v>
      </c>
      <c r="F256" s="15" t="s">
        <v>68</v>
      </c>
    </row>
    <row r="257" spans="1:6" x14ac:dyDescent="0.3">
      <c r="A257" s="15">
        <v>4</v>
      </c>
      <c r="B257" s="15">
        <v>1</v>
      </c>
      <c r="C257" s="15" t="s">
        <v>81</v>
      </c>
      <c r="D257" s="15" t="s">
        <v>40</v>
      </c>
      <c r="E257" s="15" t="s">
        <v>10</v>
      </c>
      <c r="F257" s="15" t="s">
        <v>67</v>
      </c>
    </row>
    <row r="258" spans="1:6" x14ac:dyDescent="0.3">
      <c r="A258" s="15">
        <v>4</v>
      </c>
      <c r="B258" s="15">
        <v>1</v>
      </c>
      <c r="C258" s="15" t="s">
        <v>81</v>
      </c>
      <c r="D258" s="15" t="s">
        <v>40</v>
      </c>
      <c r="E258" s="15" t="s">
        <v>9</v>
      </c>
      <c r="F258" s="15" t="s">
        <v>73</v>
      </c>
    </row>
    <row r="259" spans="1:6" x14ac:dyDescent="0.3">
      <c r="A259" s="4">
        <v>4</v>
      </c>
      <c r="B259" s="11">
        <v>2</v>
      </c>
      <c r="C259" s="11" t="s">
        <v>100</v>
      </c>
      <c r="D259" s="11" t="s">
        <v>29</v>
      </c>
      <c r="E259" s="4" t="s">
        <v>42</v>
      </c>
      <c r="F259" s="4" t="s">
        <v>64</v>
      </c>
    </row>
    <row r="260" spans="1:6" x14ac:dyDescent="0.3">
      <c r="A260" s="15">
        <v>4</v>
      </c>
      <c r="B260" s="11">
        <v>1</v>
      </c>
      <c r="C260" s="11" t="s">
        <v>99</v>
      </c>
      <c r="D260" s="11" t="s">
        <v>29</v>
      </c>
      <c r="E260" s="15" t="s">
        <v>42</v>
      </c>
      <c r="F260" s="15" t="s">
        <v>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88"/>
  <sheetViews>
    <sheetView zoomScaleNormal="100" workbookViewId="0">
      <selection activeCell="E352" sqref="E352"/>
    </sheetView>
  </sheetViews>
  <sheetFormatPr defaultRowHeight="14.4" x14ac:dyDescent="0.3"/>
  <cols>
    <col min="1" max="1" width="6.33203125" bestFit="1" customWidth="1"/>
    <col min="2" max="2" width="11.33203125" bestFit="1" customWidth="1"/>
    <col min="3" max="3" width="11.88671875" bestFit="1" customWidth="1"/>
    <col min="4" max="4" width="8.33203125" bestFit="1" customWidth="1"/>
    <col min="5" max="5" width="13" bestFit="1" customWidth="1"/>
    <col min="6" max="6" width="17.109375" customWidth="1"/>
    <col min="9" max="9" width="12.5546875" bestFit="1" customWidth="1"/>
    <col min="10" max="10" width="13.88671875" bestFit="1" customWidth="1"/>
    <col min="12" max="13" width="19.6640625" customWidth="1"/>
    <col min="14" max="14" width="20.5546875" customWidth="1"/>
    <col min="15" max="15" width="19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2">
        <v>2</v>
      </c>
      <c r="C2" s="12" t="s">
        <v>80</v>
      </c>
      <c r="D2" s="15" t="s">
        <v>0</v>
      </c>
      <c r="E2" s="15" t="s">
        <v>41</v>
      </c>
      <c r="F2" s="15" t="s">
        <v>43</v>
      </c>
    </row>
    <row r="3" spans="1:6" x14ac:dyDescent="0.3">
      <c r="A3" s="46">
        <v>1</v>
      </c>
      <c r="B3" s="7">
        <v>2</v>
      </c>
      <c r="C3" s="7" t="s">
        <v>80</v>
      </c>
      <c r="D3" s="4" t="s">
        <v>40</v>
      </c>
      <c r="E3" s="4" t="s">
        <v>9</v>
      </c>
      <c r="F3" s="4" t="s">
        <v>43</v>
      </c>
    </row>
    <row r="4" spans="1:6" x14ac:dyDescent="0.3">
      <c r="A4" s="46">
        <v>1</v>
      </c>
      <c r="B4" s="14">
        <v>1</v>
      </c>
      <c r="C4" s="13" t="s">
        <v>81</v>
      </c>
      <c r="D4" s="8" t="s">
        <v>29</v>
      </c>
      <c r="E4" s="15" t="s">
        <v>42</v>
      </c>
      <c r="F4" s="15" t="s">
        <v>74</v>
      </c>
    </row>
    <row r="5" spans="1:6" x14ac:dyDescent="0.3">
      <c r="A5" s="46">
        <v>1</v>
      </c>
      <c r="B5" s="7">
        <v>2</v>
      </c>
      <c r="C5" s="7" t="s">
        <v>80</v>
      </c>
      <c r="D5" s="4" t="s">
        <v>0</v>
      </c>
      <c r="E5" s="4" t="s">
        <v>41</v>
      </c>
      <c r="F5" s="4" t="s">
        <v>44</v>
      </c>
    </row>
    <row r="6" spans="1:6" x14ac:dyDescent="0.3">
      <c r="A6" s="46">
        <v>1</v>
      </c>
      <c r="B6" s="12">
        <v>2</v>
      </c>
      <c r="C6" s="12" t="s">
        <v>80</v>
      </c>
      <c r="D6" s="15" t="s">
        <v>40</v>
      </c>
      <c r="E6" s="15" t="s">
        <v>9</v>
      </c>
      <c r="F6" s="15" t="s">
        <v>44</v>
      </c>
    </row>
    <row r="7" spans="1:6" x14ac:dyDescent="0.3">
      <c r="A7" s="46">
        <v>1</v>
      </c>
      <c r="B7" s="14">
        <v>1</v>
      </c>
      <c r="C7" s="14" t="s">
        <v>81</v>
      </c>
      <c r="D7" s="8" t="s">
        <v>29</v>
      </c>
      <c r="E7" s="4" t="s">
        <v>42</v>
      </c>
      <c r="F7" s="4" t="s">
        <v>73</v>
      </c>
    </row>
    <row r="8" spans="1:6" x14ac:dyDescent="0.3">
      <c r="A8" s="46">
        <v>1</v>
      </c>
      <c r="B8" s="12">
        <v>2</v>
      </c>
      <c r="C8" s="12" t="s">
        <v>80</v>
      </c>
      <c r="D8" s="15" t="s">
        <v>0</v>
      </c>
      <c r="E8" s="15" t="s">
        <v>41</v>
      </c>
      <c r="F8" s="15" t="s">
        <v>45</v>
      </c>
    </row>
    <row r="9" spans="1:6" x14ac:dyDescent="0.3">
      <c r="A9" s="7">
        <v>1</v>
      </c>
      <c r="B9" s="7">
        <v>1</v>
      </c>
      <c r="C9" s="7" t="s">
        <v>81</v>
      </c>
      <c r="D9" s="4" t="s">
        <v>40</v>
      </c>
      <c r="E9" s="4" t="s">
        <v>10</v>
      </c>
      <c r="F9" s="4" t="s">
        <v>45</v>
      </c>
    </row>
    <row r="10" spans="1:6" x14ac:dyDescent="0.3">
      <c r="A10" s="12">
        <v>1</v>
      </c>
      <c r="B10" s="12">
        <v>1</v>
      </c>
      <c r="C10" s="12" t="s">
        <v>81</v>
      </c>
      <c r="D10" s="15" t="s">
        <v>0</v>
      </c>
      <c r="E10" s="15" t="s">
        <v>41</v>
      </c>
      <c r="F10" s="15" t="s">
        <v>46</v>
      </c>
    </row>
    <row r="11" spans="1:6" x14ac:dyDescent="0.3">
      <c r="A11" s="7">
        <v>1</v>
      </c>
      <c r="B11" s="7">
        <v>2</v>
      </c>
      <c r="C11" s="7" t="s">
        <v>80</v>
      </c>
      <c r="D11" s="4" t="s">
        <v>40</v>
      </c>
      <c r="E11" s="4" t="s">
        <v>10</v>
      </c>
      <c r="F11" s="4" t="s">
        <v>46</v>
      </c>
    </row>
    <row r="12" spans="1:6" x14ac:dyDescent="0.3">
      <c r="A12" s="12">
        <v>1</v>
      </c>
      <c r="B12" s="14">
        <v>2</v>
      </c>
      <c r="C12" s="13" t="s">
        <v>80</v>
      </c>
      <c r="D12" s="8" t="s">
        <v>29</v>
      </c>
      <c r="E12" s="15" t="s">
        <v>42</v>
      </c>
      <c r="F12" s="15" t="s">
        <v>72</v>
      </c>
    </row>
    <row r="13" spans="1:6" x14ac:dyDescent="0.3">
      <c r="A13" s="7">
        <v>1</v>
      </c>
      <c r="B13" s="7">
        <v>2</v>
      </c>
      <c r="C13" s="7" t="s">
        <v>80</v>
      </c>
      <c r="D13" s="4" t="s">
        <v>0</v>
      </c>
      <c r="E13" s="4" t="s">
        <v>41</v>
      </c>
      <c r="F13" s="4" t="s">
        <v>47</v>
      </c>
    </row>
    <row r="14" spans="1:6" x14ac:dyDescent="0.3">
      <c r="A14" s="12">
        <v>1</v>
      </c>
      <c r="B14" s="12">
        <v>1</v>
      </c>
      <c r="C14" s="12" t="s">
        <v>81</v>
      </c>
      <c r="D14" s="15" t="s">
        <v>40</v>
      </c>
      <c r="E14" s="15" t="s">
        <v>10</v>
      </c>
      <c r="F14" s="15" t="s">
        <v>47</v>
      </c>
    </row>
    <row r="15" spans="1:6" x14ac:dyDescent="0.3">
      <c r="A15" s="7">
        <v>1</v>
      </c>
      <c r="B15" s="14">
        <v>2</v>
      </c>
      <c r="C15" s="14" t="s">
        <v>80</v>
      </c>
      <c r="D15" s="8" t="s">
        <v>29</v>
      </c>
      <c r="E15" s="4" t="s">
        <v>42</v>
      </c>
      <c r="F15" s="4" t="s">
        <v>71</v>
      </c>
    </row>
    <row r="16" spans="1:6" x14ac:dyDescent="0.3">
      <c r="A16" s="12">
        <v>1</v>
      </c>
      <c r="B16" s="12">
        <v>1</v>
      </c>
      <c r="C16" s="12" t="s">
        <v>81</v>
      </c>
      <c r="D16" s="15" t="s">
        <v>0</v>
      </c>
      <c r="E16" s="15" t="s">
        <v>41</v>
      </c>
      <c r="F16" s="15" t="s">
        <v>48</v>
      </c>
    </row>
    <row r="17" spans="1:12" x14ac:dyDescent="0.3">
      <c r="A17" s="7">
        <v>1</v>
      </c>
      <c r="B17" s="7">
        <v>1</v>
      </c>
      <c r="C17" s="7" t="s">
        <v>81</v>
      </c>
      <c r="D17" s="4" t="s">
        <v>40</v>
      </c>
      <c r="E17" s="4" t="s">
        <v>9</v>
      </c>
      <c r="F17" s="4" t="s">
        <v>48</v>
      </c>
      <c r="L17" t="s">
        <v>19</v>
      </c>
    </row>
    <row r="18" spans="1:12" x14ac:dyDescent="0.3">
      <c r="A18" s="12">
        <v>1</v>
      </c>
      <c r="B18" s="14">
        <v>2</v>
      </c>
      <c r="C18" s="13" t="s">
        <v>80</v>
      </c>
      <c r="D18" s="8" t="s">
        <v>29</v>
      </c>
      <c r="E18" s="15" t="s">
        <v>42</v>
      </c>
      <c r="F18" s="15" t="s">
        <v>70</v>
      </c>
    </row>
    <row r="19" spans="1:12" x14ac:dyDescent="0.3">
      <c r="A19" s="7">
        <v>1</v>
      </c>
      <c r="B19" s="7">
        <v>1</v>
      </c>
      <c r="C19" s="7" t="s">
        <v>81</v>
      </c>
      <c r="D19" s="4" t="s">
        <v>0</v>
      </c>
      <c r="E19" s="4" t="s">
        <v>41</v>
      </c>
      <c r="F19" s="4" t="s">
        <v>49</v>
      </c>
    </row>
    <row r="20" spans="1:12" x14ac:dyDescent="0.3">
      <c r="A20" s="12">
        <v>1</v>
      </c>
      <c r="B20" s="12">
        <v>1</v>
      </c>
      <c r="C20" s="12" t="s">
        <v>81</v>
      </c>
      <c r="D20" s="15" t="s">
        <v>40</v>
      </c>
      <c r="E20" s="15" t="s">
        <v>9</v>
      </c>
      <c r="F20" s="15" t="s">
        <v>49</v>
      </c>
    </row>
    <row r="21" spans="1:12" x14ac:dyDescent="0.3">
      <c r="A21" s="7">
        <v>1</v>
      </c>
      <c r="B21" s="14">
        <v>2</v>
      </c>
      <c r="C21" s="14" t="s">
        <v>80</v>
      </c>
      <c r="D21" s="8" t="s">
        <v>29</v>
      </c>
      <c r="E21" s="4" t="s">
        <v>42</v>
      </c>
      <c r="F21" s="4" t="s">
        <v>69</v>
      </c>
    </row>
    <row r="22" spans="1:12" x14ac:dyDescent="0.3">
      <c r="A22" s="12">
        <v>1</v>
      </c>
      <c r="B22" s="12">
        <v>1</v>
      </c>
      <c r="C22" s="12" t="s">
        <v>81</v>
      </c>
      <c r="D22" s="15" t="s">
        <v>0</v>
      </c>
      <c r="E22" s="15" t="s">
        <v>41</v>
      </c>
      <c r="F22" s="15" t="s">
        <v>50</v>
      </c>
    </row>
    <row r="23" spans="1:12" x14ac:dyDescent="0.3">
      <c r="A23" s="7">
        <v>1</v>
      </c>
      <c r="B23" s="7">
        <v>2</v>
      </c>
      <c r="C23" s="7" t="s">
        <v>80</v>
      </c>
      <c r="D23" s="4" t="s">
        <v>40</v>
      </c>
      <c r="E23" s="4" t="s">
        <v>10</v>
      </c>
      <c r="F23" s="4" t="s">
        <v>50</v>
      </c>
    </row>
    <row r="24" spans="1:12" x14ac:dyDescent="0.3">
      <c r="A24" s="12">
        <v>1</v>
      </c>
      <c r="B24" s="14">
        <v>1</v>
      </c>
      <c r="C24" s="13" t="s">
        <v>81</v>
      </c>
      <c r="D24" s="8" t="s">
        <v>29</v>
      </c>
      <c r="E24" s="15" t="s">
        <v>42</v>
      </c>
      <c r="F24" s="15" t="s">
        <v>68</v>
      </c>
    </row>
    <row r="25" spans="1:12" x14ac:dyDescent="0.3">
      <c r="A25" s="7">
        <v>1</v>
      </c>
      <c r="B25" s="14">
        <v>1</v>
      </c>
      <c r="C25" s="14" t="s">
        <v>81</v>
      </c>
      <c r="D25" s="8" t="s">
        <v>29</v>
      </c>
      <c r="E25" s="4" t="s">
        <v>42</v>
      </c>
      <c r="F25" s="4" t="s">
        <v>67</v>
      </c>
    </row>
    <row r="26" spans="1:12" x14ac:dyDescent="0.3">
      <c r="A26" s="4">
        <v>2</v>
      </c>
      <c r="B26" s="9">
        <v>2</v>
      </c>
      <c r="C26" s="9" t="s">
        <v>80</v>
      </c>
      <c r="D26" s="9" t="s">
        <v>29</v>
      </c>
      <c r="E26" s="4" t="s">
        <v>42</v>
      </c>
      <c r="F26" s="4" t="s">
        <v>43</v>
      </c>
      <c r="I26" t="s">
        <v>19</v>
      </c>
    </row>
    <row r="27" spans="1:12" x14ac:dyDescent="0.3">
      <c r="A27" s="15">
        <v>2</v>
      </c>
      <c r="B27" s="12">
        <v>1</v>
      </c>
      <c r="C27" s="12" t="s">
        <v>81</v>
      </c>
      <c r="D27" s="15" t="s">
        <v>0</v>
      </c>
      <c r="E27" s="15" t="s">
        <v>41</v>
      </c>
      <c r="F27" s="15" t="s">
        <v>58</v>
      </c>
    </row>
    <row r="28" spans="1:12" x14ac:dyDescent="0.3">
      <c r="A28" s="4">
        <v>2</v>
      </c>
      <c r="B28" s="7">
        <v>1</v>
      </c>
      <c r="C28" s="7" t="s">
        <v>81</v>
      </c>
      <c r="D28" s="4" t="s">
        <v>40</v>
      </c>
      <c r="E28" s="4" t="s">
        <v>9</v>
      </c>
      <c r="F28" s="4" t="s">
        <v>58</v>
      </c>
    </row>
    <row r="29" spans="1:12" x14ac:dyDescent="0.3">
      <c r="A29" s="15">
        <v>2</v>
      </c>
      <c r="B29" s="9">
        <v>2</v>
      </c>
      <c r="C29" s="9" t="s">
        <v>80</v>
      </c>
      <c r="D29" s="9" t="s">
        <v>29</v>
      </c>
      <c r="E29" s="15" t="s">
        <v>42</v>
      </c>
      <c r="F29" s="15" t="s">
        <v>44</v>
      </c>
    </row>
    <row r="30" spans="1:12" x14ac:dyDescent="0.3">
      <c r="A30" s="15">
        <v>2</v>
      </c>
      <c r="B30" s="12">
        <v>1</v>
      </c>
      <c r="C30" s="7" t="s">
        <v>81</v>
      </c>
      <c r="D30" s="15" t="s">
        <v>0</v>
      </c>
      <c r="E30" s="15" t="s">
        <v>41</v>
      </c>
      <c r="F30" s="15" t="s">
        <v>57</v>
      </c>
    </row>
    <row r="31" spans="1:12" x14ac:dyDescent="0.3">
      <c r="A31" s="4">
        <v>2</v>
      </c>
      <c r="B31" s="7">
        <v>1</v>
      </c>
      <c r="C31" s="7" t="s">
        <v>81</v>
      </c>
      <c r="D31" s="4" t="s">
        <v>40</v>
      </c>
      <c r="E31" s="4" t="s">
        <v>9</v>
      </c>
      <c r="F31" s="4" t="s">
        <v>57</v>
      </c>
    </row>
    <row r="32" spans="1:12" x14ac:dyDescent="0.3">
      <c r="A32" s="15">
        <v>2</v>
      </c>
      <c r="B32" s="12">
        <v>1</v>
      </c>
      <c r="C32" s="7" t="s">
        <v>81</v>
      </c>
      <c r="D32" s="15" t="s">
        <v>0</v>
      </c>
      <c r="E32" s="15" t="s">
        <v>41</v>
      </c>
      <c r="F32" s="15" t="s">
        <v>56</v>
      </c>
    </row>
    <row r="33" spans="1:6" x14ac:dyDescent="0.3">
      <c r="A33" s="4">
        <v>2</v>
      </c>
      <c r="B33" s="7">
        <v>2</v>
      </c>
      <c r="C33" s="7" t="s">
        <v>80</v>
      </c>
      <c r="D33" s="4" t="s">
        <v>40</v>
      </c>
      <c r="E33" s="4" t="s">
        <v>10</v>
      </c>
      <c r="F33" s="4" t="s">
        <v>56</v>
      </c>
    </row>
    <row r="34" spans="1:6" x14ac:dyDescent="0.3">
      <c r="A34" s="15">
        <v>2</v>
      </c>
      <c r="B34" s="12">
        <v>2</v>
      </c>
      <c r="C34" s="7" t="s">
        <v>80</v>
      </c>
      <c r="D34" s="15" t="s">
        <v>0</v>
      </c>
      <c r="E34" s="15" t="s">
        <v>41</v>
      </c>
      <c r="F34" s="15" t="s">
        <v>55</v>
      </c>
    </row>
    <row r="35" spans="1:6" x14ac:dyDescent="0.3">
      <c r="A35" s="4">
        <v>2</v>
      </c>
      <c r="B35" s="7">
        <v>1</v>
      </c>
      <c r="C35" s="7" t="s">
        <v>81</v>
      </c>
      <c r="D35" s="4" t="s">
        <v>40</v>
      </c>
      <c r="E35" s="4" t="s">
        <v>10</v>
      </c>
      <c r="F35" s="4" t="s">
        <v>55</v>
      </c>
    </row>
    <row r="36" spans="1:6" x14ac:dyDescent="0.3">
      <c r="A36" s="4">
        <v>2</v>
      </c>
      <c r="B36" s="9">
        <v>2</v>
      </c>
      <c r="C36" s="9" t="s">
        <v>80</v>
      </c>
      <c r="D36" s="9" t="s">
        <v>29</v>
      </c>
      <c r="E36" s="4" t="s">
        <v>42</v>
      </c>
      <c r="F36" s="4" t="s">
        <v>45</v>
      </c>
    </row>
    <row r="37" spans="1:6" x14ac:dyDescent="0.3">
      <c r="A37" s="15">
        <v>2</v>
      </c>
      <c r="B37" s="12">
        <v>1</v>
      </c>
      <c r="C37" s="7" t="s">
        <v>81</v>
      </c>
      <c r="D37" s="15" t="s">
        <v>0</v>
      </c>
      <c r="E37" s="15" t="s">
        <v>41</v>
      </c>
      <c r="F37" s="15" t="s">
        <v>54</v>
      </c>
    </row>
    <row r="38" spans="1:6" x14ac:dyDescent="0.3">
      <c r="A38" s="4">
        <v>2</v>
      </c>
      <c r="B38" s="7">
        <v>2</v>
      </c>
      <c r="C38" s="7" t="s">
        <v>80</v>
      </c>
      <c r="D38" s="4" t="s">
        <v>40</v>
      </c>
      <c r="E38" s="4" t="s">
        <v>10</v>
      </c>
      <c r="F38" s="4" t="s">
        <v>54</v>
      </c>
    </row>
    <row r="39" spans="1:6" x14ac:dyDescent="0.3">
      <c r="A39" s="15">
        <v>2</v>
      </c>
      <c r="B39" s="9">
        <v>1</v>
      </c>
      <c r="C39" s="9" t="s">
        <v>81</v>
      </c>
      <c r="D39" s="9" t="s">
        <v>29</v>
      </c>
      <c r="E39" s="15" t="s">
        <v>42</v>
      </c>
      <c r="F39" s="15" t="s">
        <v>46</v>
      </c>
    </row>
    <row r="40" spans="1:6" x14ac:dyDescent="0.3">
      <c r="A40" s="4">
        <v>2</v>
      </c>
      <c r="B40" s="9">
        <v>1</v>
      </c>
      <c r="C40" s="9" t="s">
        <v>81</v>
      </c>
      <c r="D40" s="9" t="s">
        <v>29</v>
      </c>
      <c r="E40" s="4" t="s">
        <v>42</v>
      </c>
      <c r="F40" s="4" t="s">
        <v>47</v>
      </c>
    </row>
    <row r="41" spans="1:6" x14ac:dyDescent="0.3">
      <c r="A41" s="15">
        <v>2</v>
      </c>
      <c r="B41" s="12">
        <v>2</v>
      </c>
      <c r="C41" s="12" t="s">
        <v>80</v>
      </c>
      <c r="D41" s="15" t="s">
        <v>0</v>
      </c>
      <c r="E41" s="15" t="s">
        <v>41</v>
      </c>
      <c r="F41" s="15" t="s">
        <v>53</v>
      </c>
    </row>
    <row r="42" spans="1:6" x14ac:dyDescent="0.3">
      <c r="A42" s="4">
        <v>2</v>
      </c>
      <c r="B42" s="7">
        <v>2</v>
      </c>
      <c r="C42" s="7" t="s">
        <v>80</v>
      </c>
      <c r="D42" s="4" t="s">
        <v>40</v>
      </c>
      <c r="E42" s="4" t="s">
        <v>9</v>
      </c>
      <c r="F42" s="4" t="s">
        <v>53</v>
      </c>
    </row>
    <row r="43" spans="1:6" x14ac:dyDescent="0.3">
      <c r="A43" s="15">
        <v>2</v>
      </c>
      <c r="B43" s="9">
        <v>1</v>
      </c>
      <c r="C43" s="9" t="s">
        <v>81</v>
      </c>
      <c r="D43" s="9" t="s">
        <v>29</v>
      </c>
      <c r="E43" s="15" t="s">
        <v>42</v>
      </c>
      <c r="F43" s="15" t="s">
        <v>48</v>
      </c>
    </row>
    <row r="44" spans="1:6" x14ac:dyDescent="0.3">
      <c r="A44" s="4">
        <v>2</v>
      </c>
      <c r="B44" s="7">
        <v>2</v>
      </c>
      <c r="C44" s="7" t="s">
        <v>80</v>
      </c>
      <c r="D44" s="4" t="s">
        <v>0</v>
      </c>
      <c r="E44" s="4" t="s">
        <v>41</v>
      </c>
      <c r="F44" s="4" t="s">
        <v>52</v>
      </c>
    </row>
    <row r="45" spans="1:6" x14ac:dyDescent="0.3">
      <c r="A45" s="15">
        <v>2</v>
      </c>
      <c r="B45" s="12">
        <v>2</v>
      </c>
      <c r="C45" s="12" t="s">
        <v>80</v>
      </c>
      <c r="D45" s="15" t="s">
        <v>40</v>
      </c>
      <c r="E45" s="15" t="s">
        <v>9</v>
      </c>
      <c r="F45" s="15" t="s">
        <v>52</v>
      </c>
    </row>
    <row r="46" spans="1:6" x14ac:dyDescent="0.3">
      <c r="A46" s="4">
        <v>2</v>
      </c>
      <c r="B46" s="9">
        <v>2</v>
      </c>
      <c r="C46" s="9" t="s">
        <v>80</v>
      </c>
      <c r="D46" s="9" t="s">
        <v>29</v>
      </c>
      <c r="E46" s="4" t="s">
        <v>42</v>
      </c>
      <c r="F46" s="4" t="s">
        <v>49</v>
      </c>
    </row>
    <row r="47" spans="1:6" x14ac:dyDescent="0.3">
      <c r="A47" s="15">
        <v>2</v>
      </c>
      <c r="B47" s="9">
        <v>1</v>
      </c>
      <c r="C47" s="9" t="s">
        <v>81</v>
      </c>
      <c r="D47" s="9" t="s">
        <v>29</v>
      </c>
      <c r="E47" s="15" t="s">
        <v>42</v>
      </c>
      <c r="F47" s="15" t="s">
        <v>50</v>
      </c>
    </row>
    <row r="48" spans="1:6" x14ac:dyDescent="0.3">
      <c r="A48" s="4">
        <v>2</v>
      </c>
      <c r="B48" s="7">
        <v>2</v>
      </c>
      <c r="C48" s="7" t="s">
        <v>80</v>
      </c>
      <c r="D48" s="4" t="s">
        <v>0</v>
      </c>
      <c r="E48" s="4" t="s">
        <v>41</v>
      </c>
      <c r="F48" s="4" t="s">
        <v>51</v>
      </c>
    </row>
    <row r="49" spans="1:6" x14ac:dyDescent="0.3">
      <c r="A49" s="15">
        <v>2</v>
      </c>
      <c r="B49" s="12">
        <v>1</v>
      </c>
      <c r="C49" s="12" t="s">
        <v>81</v>
      </c>
      <c r="D49" s="15" t="s">
        <v>40</v>
      </c>
      <c r="E49" s="15" t="s">
        <v>10</v>
      </c>
      <c r="F49" s="15" t="s">
        <v>51</v>
      </c>
    </row>
    <row r="50" spans="1:6" x14ac:dyDescent="0.3">
      <c r="A50" s="12">
        <v>3</v>
      </c>
      <c r="B50" s="12">
        <v>1</v>
      </c>
      <c r="C50" s="12" t="s">
        <v>81</v>
      </c>
      <c r="D50" s="15" t="s">
        <v>0</v>
      </c>
      <c r="E50" s="15" t="s">
        <v>41</v>
      </c>
      <c r="F50" s="15" t="s">
        <v>59</v>
      </c>
    </row>
    <row r="51" spans="1:6" x14ac:dyDescent="0.3">
      <c r="A51" s="7">
        <v>3</v>
      </c>
      <c r="B51" s="7">
        <v>2</v>
      </c>
      <c r="C51" s="7" t="s">
        <v>80</v>
      </c>
      <c r="D51" s="4" t="s">
        <v>40</v>
      </c>
      <c r="E51" s="4" t="s">
        <v>10</v>
      </c>
      <c r="F51" s="4" t="s">
        <v>59</v>
      </c>
    </row>
    <row r="52" spans="1:6" x14ac:dyDescent="0.3">
      <c r="A52" s="12">
        <v>3</v>
      </c>
      <c r="B52" s="12">
        <v>2</v>
      </c>
      <c r="C52" s="12" t="s">
        <v>80</v>
      </c>
      <c r="D52" s="15" t="s">
        <v>0</v>
      </c>
      <c r="E52" s="15" t="s">
        <v>41</v>
      </c>
      <c r="F52" s="15" t="s">
        <v>60</v>
      </c>
    </row>
    <row r="53" spans="1:6" x14ac:dyDescent="0.3">
      <c r="A53" s="7">
        <v>3</v>
      </c>
      <c r="B53" s="7">
        <v>1</v>
      </c>
      <c r="C53" s="7" t="s">
        <v>81</v>
      </c>
      <c r="D53" s="4" t="s">
        <v>40</v>
      </c>
      <c r="E53" s="4" t="s">
        <v>10</v>
      </c>
      <c r="F53" s="4" t="s">
        <v>60</v>
      </c>
    </row>
    <row r="54" spans="1:6" x14ac:dyDescent="0.3">
      <c r="A54" s="12">
        <v>3</v>
      </c>
      <c r="B54" s="10">
        <v>1</v>
      </c>
      <c r="C54" s="10" t="s">
        <v>81</v>
      </c>
      <c r="D54" s="10" t="s">
        <v>29</v>
      </c>
      <c r="E54" s="15" t="s">
        <v>42</v>
      </c>
      <c r="F54" s="15" t="s">
        <v>58</v>
      </c>
    </row>
    <row r="55" spans="1:6" x14ac:dyDescent="0.3">
      <c r="A55" s="7">
        <v>3</v>
      </c>
      <c r="B55" s="7">
        <v>1</v>
      </c>
      <c r="C55" s="7" t="s">
        <v>81</v>
      </c>
      <c r="D55" s="4" t="s">
        <v>0</v>
      </c>
      <c r="E55" s="4" t="s">
        <v>41</v>
      </c>
      <c r="F55" s="4" t="s">
        <v>61</v>
      </c>
    </row>
    <row r="56" spans="1:6" x14ac:dyDescent="0.3">
      <c r="A56" s="12">
        <v>3</v>
      </c>
      <c r="B56" s="12">
        <v>2</v>
      </c>
      <c r="C56" s="12" t="s">
        <v>80</v>
      </c>
      <c r="D56" s="15" t="s">
        <v>40</v>
      </c>
      <c r="E56" s="15" t="s">
        <v>10</v>
      </c>
      <c r="F56" s="15" t="s">
        <v>61</v>
      </c>
    </row>
    <row r="57" spans="1:6" x14ac:dyDescent="0.3">
      <c r="A57" s="7">
        <v>3</v>
      </c>
      <c r="B57" s="10">
        <v>1</v>
      </c>
      <c r="C57" s="10" t="s">
        <v>81</v>
      </c>
      <c r="D57" s="10" t="s">
        <v>29</v>
      </c>
      <c r="E57" s="4" t="s">
        <v>42</v>
      </c>
      <c r="F57" s="4" t="s">
        <v>57</v>
      </c>
    </row>
    <row r="58" spans="1:6" x14ac:dyDescent="0.3">
      <c r="A58" s="12">
        <v>3</v>
      </c>
      <c r="B58" s="12">
        <v>2</v>
      </c>
      <c r="C58" s="12" t="s">
        <v>80</v>
      </c>
      <c r="D58" s="15" t="s">
        <v>0</v>
      </c>
      <c r="E58" s="15" t="s">
        <v>41</v>
      </c>
      <c r="F58" s="15" t="s">
        <v>62</v>
      </c>
    </row>
    <row r="59" spans="1:6" x14ac:dyDescent="0.3">
      <c r="A59" s="7">
        <v>3</v>
      </c>
      <c r="B59" s="7">
        <v>2</v>
      </c>
      <c r="C59" s="7" t="s">
        <v>80</v>
      </c>
      <c r="D59" s="4" t="s">
        <v>40</v>
      </c>
      <c r="E59" s="4" t="s">
        <v>9</v>
      </c>
      <c r="F59" s="4" t="s">
        <v>62</v>
      </c>
    </row>
    <row r="60" spans="1:6" x14ac:dyDescent="0.3">
      <c r="A60" s="12">
        <v>3</v>
      </c>
      <c r="B60" s="10">
        <v>2</v>
      </c>
      <c r="C60" s="10" t="s">
        <v>80</v>
      </c>
      <c r="D60" s="10" t="s">
        <v>29</v>
      </c>
      <c r="E60" s="15" t="s">
        <v>42</v>
      </c>
      <c r="F60" s="15" t="s">
        <v>56</v>
      </c>
    </row>
    <row r="61" spans="1:6" x14ac:dyDescent="0.3">
      <c r="A61" s="7">
        <v>3</v>
      </c>
      <c r="B61" s="10">
        <v>1</v>
      </c>
      <c r="C61" s="10" t="s">
        <v>81</v>
      </c>
      <c r="D61" s="10" t="s">
        <v>29</v>
      </c>
      <c r="E61" s="4" t="s">
        <v>42</v>
      </c>
      <c r="F61" s="4" t="s">
        <v>55</v>
      </c>
    </row>
    <row r="62" spans="1:6" x14ac:dyDescent="0.3">
      <c r="A62" s="12">
        <v>3</v>
      </c>
      <c r="B62" s="10">
        <v>1</v>
      </c>
      <c r="C62" s="10" t="s">
        <v>81</v>
      </c>
      <c r="D62" s="10" t="s">
        <v>29</v>
      </c>
      <c r="E62" s="15" t="s">
        <v>42</v>
      </c>
      <c r="F62" s="15" t="s">
        <v>54</v>
      </c>
    </row>
    <row r="63" spans="1:6" x14ac:dyDescent="0.3">
      <c r="A63" s="7">
        <v>3</v>
      </c>
      <c r="B63" s="7">
        <v>2</v>
      </c>
      <c r="C63" s="7" t="s">
        <v>80</v>
      </c>
      <c r="D63" s="4" t="s">
        <v>0</v>
      </c>
      <c r="E63" s="4" t="s">
        <v>41</v>
      </c>
      <c r="F63" s="4" t="s">
        <v>63</v>
      </c>
    </row>
    <row r="64" spans="1:6" x14ac:dyDescent="0.3">
      <c r="A64" s="12">
        <v>3</v>
      </c>
      <c r="B64" s="12">
        <v>2</v>
      </c>
      <c r="C64" s="12" t="s">
        <v>80</v>
      </c>
      <c r="D64" s="15" t="s">
        <v>40</v>
      </c>
      <c r="E64" s="15" t="s">
        <v>9</v>
      </c>
      <c r="F64" s="15" t="s">
        <v>63</v>
      </c>
    </row>
    <row r="65" spans="1:11" x14ac:dyDescent="0.3">
      <c r="A65" s="7">
        <v>3</v>
      </c>
      <c r="B65" s="7">
        <v>2</v>
      </c>
      <c r="C65" s="7" t="s">
        <v>80</v>
      </c>
      <c r="D65" s="4" t="s">
        <v>0</v>
      </c>
      <c r="E65" s="4" t="s">
        <v>41</v>
      </c>
      <c r="F65" s="4" t="s">
        <v>64</v>
      </c>
    </row>
    <row r="66" spans="1:11" x14ac:dyDescent="0.3">
      <c r="A66" s="12">
        <v>3</v>
      </c>
      <c r="B66" s="12">
        <v>1</v>
      </c>
      <c r="C66" s="12" t="s">
        <v>81</v>
      </c>
      <c r="D66" s="15" t="s">
        <v>40</v>
      </c>
      <c r="E66" s="15" t="s">
        <v>10</v>
      </c>
      <c r="F66" s="15" t="s">
        <v>64</v>
      </c>
    </row>
    <row r="67" spans="1:11" x14ac:dyDescent="0.3">
      <c r="A67" s="7">
        <v>3</v>
      </c>
      <c r="B67" s="10">
        <v>2</v>
      </c>
      <c r="C67" s="10" t="s">
        <v>80</v>
      </c>
      <c r="D67" s="10" t="s">
        <v>29</v>
      </c>
      <c r="E67" s="4" t="s">
        <v>42</v>
      </c>
      <c r="F67" s="4" t="s">
        <v>53</v>
      </c>
    </row>
    <row r="68" spans="1:11" x14ac:dyDescent="0.3">
      <c r="A68" s="12">
        <v>3</v>
      </c>
      <c r="B68" s="12">
        <v>1</v>
      </c>
      <c r="C68" s="12" t="s">
        <v>81</v>
      </c>
      <c r="D68" s="15" t="s">
        <v>0</v>
      </c>
      <c r="E68" s="15" t="s">
        <v>41</v>
      </c>
      <c r="F68" s="15" t="s">
        <v>65</v>
      </c>
    </row>
    <row r="69" spans="1:11" x14ac:dyDescent="0.3">
      <c r="A69" s="7">
        <v>3</v>
      </c>
      <c r="B69" s="7">
        <v>1</v>
      </c>
      <c r="C69" s="7" t="s">
        <v>81</v>
      </c>
      <c r="D69" s="4" t="s">
        <v>40</v>
      </c>
      <c r="E69" s="4" t="s">
        <v>9</v>
      </c>
      <c r="F69" s="4" t="s">
        <v>65</v>
      </c>
    </row>
    <row r="70" spans="1:11" x14ac:dyDescent="0.3">
      <c r="A70" s="12">
        <v>3</v>
      </c>
      <c r="B70" s="10">
        <v>2</v>
      </c>
      <c r="C70" s="10" t="s">
        <v>80</v>
      </c>
      <c r="D70" s="10" t="s">
        <v>29</v>
      </c>
      <c r="E70" s="15" t="s">
        <v>42</v>
      </c>
      <c r="F70" s="15" t="s">
        <v>52</v>
      </c>
    </row>
    <row r="71" spans="1:11" x14ac:dyDescent="0.3">
      <c r="A71" s="7">
        <v>3</v>
      </c>
      <c r="B71" s="10">
        <v>2</v>
      </c>
      <c r="C71" s="10" t="s">
        <v>80</v>
      </c>
      <c r="D71" s="10" t="s">
        <v>29</v>
      </c>
      <c r="E71" s="4" t="s">
        <v>42</v>
      </c>
      <c r="F71" s="4" t="s">
        <v>51</v>
      </c>
    </row>
    <row r="72" spans="1:11" x14ac:dyDescent="0.3">
      <c r="A72" s="12">
        <v>3</v>
      </c>
      <c r="B72" s="12">
        <v>1</v>
      </c>
      <c r="C72" s="12" t="s">
        <v>81</v>
      </c>
      <c r="D72" s="15" t="s">
        <v>0</v>
      </c>
      <c r="E72" s="15" t="s">
        <v>41</v>
      </c>
      <c r="F72" s="15" t="s">
        <v>66</v>
      </c>
    </row>
    <row r="73" spans="1:11" x14ac:dyDescent="0.3">
      <c r="A73" s="7">
        <v>3</v>
      </c>
      <c r="B73" s="7">
        <v>1</v>
      </c>
      <c r="C73" s="7" t="s">
        <v>81</v>
      </c>
      <c r="D73" s="4" t="s">
        <v>40</v>
      </c>
      <c r="E73" s="4" t="s">
        <v>9</v>
      </c>
      <c r="F73" s="4" t="s">
        <v>66</v>
      </c>
      <c r="K73" t="s">
        <v>19</v>
      </c>
    </row>
    <row r="74" spans="1:11" x14ac:dyDescent="0.3">
      <c r="A74" s="4">
        <v>4</v>
      </c>
      <c r="B74" s="11">
        <v>2</v>
      </c>
      <c r="C74" s="11" t="s">
        <v>80</v>
      </c>
      <c r="D74" s="11" t="s">
        <v>29</v>
      </c>
      <c r="E74" s="4" t="s">
        <v>42</v>
      </c>
      <c r="F74" s="4" t="s">
        <v>59</v>
      </c>
    </row>
    <row r="75" spans="1:11" x14ac:dyDescent="0.3">
      <c r="A75" s="15">
        <v>4</v>
      </c>
      <c r="B75" s="12">
        <v>1</v>
      </c>
      <c r="C75" s="12" t="s">
        <v>81</v>
      </c>
      <c r="D75" s="15" t="s">
        <v>0</v>
      </c>
      <c r="E75" s="15" t="s">
        <v>41</v>
      </c>
      <c r="F75" s="15" t="s">
        <v>74</v>
      </c>
      <c r="K75" t="s">
        <v>19</v>
      </c>
    </row>
    <row r="76" spans="1:11" x14ac:dyDescent="0.3">
      <c r="A76" s="4">
        <v>4</v>
      </c>
      <c r="B76" s="7">
        <v>1</v>
      </c>
      <c r="C76" s="7" t="s">
        <v>81</v>
      </c>
      <c r="D76" s="4" t="s">
        <v>40</v>
      </c>
      <c r="E76" s="4" t="s">
        <v>9</v>
      </c>
      <c r="F76" s="4" t="s">
        <v>74</v>
      </c>
    </row>
    <row r="77" spans="1:11" x14ac:dyDescent="0.3">
      <c r="A77" s="15">
        <v>4</v>
      </c>
      <c r="B77" s="12">
        <v>1</v>
      </c>
      <c r="C77" s="12" t="s">
        <v>81</v>
      </c>
      <c r="D77" s="15" t="s">
        <v>0</v>
      </c>
      <c r="E77" s="15" t="s">
        <v>41</v>
      </c>
      <c r="F77" s="15" t="s">
        <v>73</v>
      </c>
    </row>
    <row r="78" spans="1:11" x14ac:dyDescent="0.3">
      <c r="A78" s="4">
        <v>4</v>
      </c>
      <c r="B78" s="7">
        <v>2</v>
      </c>
      <c r="C78" s="7" t="s">
        <v>80</v>
      </c>
      <c r="D78" s="4" t="s">
        <v>40</v>
      </c>
      <c r="E78" s="4" t="s">
        <v>10</v>
      </c>
      <c r="F78" s="4" t="s">
        <v>73</v>
      </c>
    </row>
    <row r="79" spans="1:11" x14ac:dyDescent="0.3">
      <c r="A79" s="15">
        <v>4</v>
      </c>
      <c r="B79" s="11">
        <v>1</v>
      </c>
      <c r="C79" s="11" t="s">
        <v>81</v>
      </c>
      <c r="D79" s="11" t="s">
        <v>29</v>
      </c>
      <c r="E79" s="15" t="s">
        <v>42</v>
      </c>
      <c r="F79" s="15" t="s">
        <v>60</v>
      </c>
    </row>
    <row r="80" spans="1:11" x14ac:dyDescent="0.3">
      <c r="A80" s="4">
        <v>4</v>
      </c>
      <c r="B80" s="11">
        <v>1</v>
      </c>
      <c r="C80" s="11" t="s">
        <v>81</v>
      </c>
      <c r="D80" s="11" t="s">
        <v>29</v>
      </c>
      <c r="E80" s="4" t="s">
        <v>42</v>
      </c>
      <c r="F80" s="4" t="s">
        <v>61</v>
      </c>
    </row>
    <row r="81" spans="1:6" x14ac:dyDescent="0.3">
      <c r="A81" s="15">
        <v>4</v>
      </c>
      <c r="B81" s="12">
        <v>2</v>
      </c>
      <c r="C81" s="12" t="s">
        <v>80</v>
      </c>
      <c r="D81" s="15" t="s">
        <v>0</v>
      </c>
      <c r="E81" s="15" t="s">
        <v>41</v>
      </c>
      <c r="F81" s="15" t="s">
        <v>72</v>
      </c>
    </row>
    <row r="82" spans="1:6" x14ac:dyDescent="0.3">
      <c r="A82" s="4">
        <v>4</v>
      </c>
      <c r="B82" s="7">
        <v>2</v>
      </c>
      <c r="C82" s="7" t="s">
        <v>80</v>
      </c>
      <c r="D82" s="4" t="s">
        <v>40</v>
      </c>
      <c r="E82" s="4" t="s">
        <v>9</v>
      </c>
      <c r="F82" s="4" t="s">
        <v>72</v>
      </c>
    </row>
    <row r="83" spans="1:6" x14ac:dyDescent="0.3">
      <c r="A83" s="15">
        <v>4</v>
      </c>
      <c r="B83" s="12">
        <v>2</v>
      </c>
      <c r="C83" s="12" t="s">
        <v>80</v>
      </c>
      <c r="D83" s="15" t="s">
        <v>0</v>
      </c>
      <c r="E83" s="15" t="s">
        <v>41</v>
      </c>
      <c r="F83" s="15" t="s">
        <v>71</v>
      </c>
    </row>
    <row r="84" spans="1:6" x14ac:dyDescent="0.3">
      <c r="A84" s="4">
        <v>4</v>
      </c>
      <c r="B84" s="7">
        <v>1</v>
      </c>
      <c r="C84" s="7" t="s">
        <v>81</v>
      </c>
      <c r="D84" s="4" t="s">
        <v>40</v>
      </c>
      <c r="E84" s="4" t="s">
        <v>10</v>
      </c>
      <c r="F84" s="4" t="s">
        <v>71</v>
      </c>
    </row>
    <row r="85" spans="1:6" x14ac:dyDescent="0.3">
      <c r="A85" s="15">
        <v>4</v>
      </c>
      <c r="B85" s="11">
        <v>2</v>
      </c>
      <c r="C85" s="11" t="s">
        <v>80</v>
      </c>
      <c r="D85" s="11" t="s">
        <v>29</v>
      </c>
      <c r="E85" s="15" t="s">
        <v>42</v>
      </c>
      <c r="F85" s="15" t="s">
        <v>62</v>
      </c>
    </row>
    <row r="86" spans="1:6" x14ac:dyDescent="0.3">
      <c r="A86" s="4">
        <v>4</v>
      </c>
      <c r="B86" s="7">
        <v>1</v>
      </c>
      <c r="C86" s="7" t="s">
        <v>81</v>
      </c>
      <c r="D86" s="4" t="s">
        <v>0</v>
      </c>
      <c r="E86" s="4" t="s">
        <v>41</v>
      </c>
      <c r="F86" s="4" t="s">
        <v>70</v>
      </c>
    </row>
    <row r="87" spans="1:6" x14ac:dyDescent="0.3">
      <c r="A87" s="15">
        <v>4</v>
      </c>
      <c r="B87" s="12">
        <v>2</v>
      </c>
      <c r="C87" s="12" t="s">
        <v>80</v>
      </c>
      <c r="D87" s="15" t="s">
        <v>40</v>
      </c>
      <c r="E87" s="15" t="s">
        <v>10</v>
      </c>
      <c r="F87" s="15" t="s">
        <v>70</v>
      </c>
    </row>
    <row r="88" spans="1:6" x14ac:dyDescent="0.3">
      <c r="A88" s="4">
        <v>4</v>
      </c>
      <c r="B88" s="7">
        <v>2</v>
      </c>
      <c r="C88" s="7" t="s">
        <v>80</v>
      </c>
      <c r="D88" s="4" t="s">
        <v>0</v>
      </c>
      <c r="E88" s="4" t="s">
        <v>41</v>
      </c>
      <c r="F88" s="4" t="s">
        <v>69</v>
      </c>
    </row>
    <row r="89" spans="1:6" x14ac:dyDescent="0.3">
      <c r="A89" s="15">
        <v>4</v>
      </c>
      <c r="B89" s="12">
        <v>2</v>
      </c>
      <c r="C89" s="12" t="s">
        <v>80</v>
      </c>
      <c r="D89" s="15" t="s">
        <v>40</v>
      </c>
      <c r="E89" s="15" t="s">
        <v>9</v>
      </c>
      <c r="F89" s="15" t="s">
        <v>69</v>
      </c>
    </row>
    <row r="90" spans="1:6" x14ac:dyDescent="0.3">
      <c r="A90" s="4">
        <v>4</v>
      </c>
      <c r="B90" s="11">
        <v>1</v>
      </c>
      <c r="C90" s="11" t="s">
        <v>81</v>
      </c>
      <c r="D90" s="11" t="s">
        <v>29</v>
      </c>
      <c r="E90" s="4" t="s">
        <v>42</v>
      </c>
      <c r="F90" s="4" t="s">
        <v>63</v>
      </c>
    </row>
    <row r="91" spans="1:6" x14ac:dyDescent="0.3">
      <c r="A91" s="15">
        <v>4</v>
      </c>
      <c r="B91" s="11">
        <v>2</v>
      </c>
      <c r="C91" s="11" t="s">
        <v>80</v>
      </c>
      <c r="D91" s="11" t="s">
        <v>29</v>
      </c>
      <c r="E91" s="15" t="s">
        <v>42</v>
      </c>
      <c r="F91" s="15" t="s">
        <v>64</v>
      </c>
    </row>
    <row r="92" spans="1:6" x14ac:dyDescent="0.3">
      <c r="A92" s="4">
        <v>4</v>
      </c>
      <c r="B92" s="11">
        <v>1</v>
      </c>
      <c r="C92" s="11" t="s">
        <v>81</v>
      </c>
      <c r="D92" s="11" t="s">
        <v>29</v>
      </c>
      <c r="E92" s="4" t="s">
        <v>42</v>
      </c>
      <c r="F92" s="4" t="s">
        <v>65</v>
      </c>
    </row>
    <row r="93" spans="1:6" x14ac:dyDescent="0.3">
      <c r="A93" s="15">
        <v>4</v>
      </c>
      <c r="B93" s="12">
        <v>2</v>
      </c>
      <c r="C93" s="12" t="s">
        <v>80</v>
      </c>
      <c r="D93" s="15" t="s">
        <v>0</v>
      </c>
      <c r="E93" s="15" t="s">
        <v>41</v>
      </c>
      <c r="F93" s="15" t="s">
        <v>68</v>
      </c>
    </row>
    <row r="94" spans="1:6" x14ac:dyDescent="0.3">
      <c r="A94" s="4">
        <v>4</v>
      </c>
      <c r="B94" s="7">
        <v>1</v>
      </c>
      <c r="C94" s="7" t="s">
        <v>81</v>
      </c>
      <c r="D94" s="4" t="s">
        <v>40</v>
      </c>
      <c r="E94" s="4" t="s">
        <v>10</v>
      </c>
      <c r="F94" s="4" t="s">
        <v>68</v>
      </c>
    </row>
    <row r="95" spans="1:6" x14ac:dyDescent="0.3">
      <c r="A95" s="15">
        <v>4</v>
      </c>
      <c r="B95" s="11">
        <v>1</v>
      </c>
      <c r="C95" s="11" t="s">
        <v>80</v>
      </c>
      <c r="D95" s="11" t="s">
        <v>29</v>
      </c>
      <c r="E95" s="15" t="s">
        <v>42</v>
      </c>
      <c r="F95" s="15" t="s">
        <v>66</v>
      </c>
    </row>
    <row r="96" spans="1:6" x14ac:dyDescent="0.3">
      <c r="A96" s="4">
        <v>4</v>
      </c>
      <c r="B96" s="7">
        <v>1</v>
      </c>
      <c r="C96" s="7" t="s">
        <v>81</v>
      </c>
      <c r="D96" s="4" t="s">
        <v>0</v>
      </c>
      <c r="E96" s="4" t="s">
        <v>41</v>
      </c>
      <c r="F96" s="4" t="s">
        <v>67</v>
      </c>
    </row>
    <row r="97" spans="1:6" x14ac:dyDescent="0.3">
      <c r="A97" s="15">
        <v>4</v>
      </c>
      <c r="B97" s="12">
        <v>1</v>
      </c>
      <c r="C97" s="12" t="s">
        <v>81</v>
      </c>
      <c r="D97" s="15" t="s">
        <v>40</v>
      </c>
      <c r="E97" s="15" t="s">
        <v>9</v>
      </c>
      <c r="F97" s="15" t="s">
        <v>67</v>
      </c>
    </row>
    <row r="98" spans="1:6" x14ac:dyDescent="0.3">
      <c r="A98" t="s">
        <v>25</v>
      </c>
    </row>
    <row r="99" spans="1:6" x14ac:dyDescent="0.3">
      <c r="A99" s="12">
        <v>1</v>
      </c>
      <c r="B99" s="15">
        <v>2</v>
      </c>
      <c r="C99" s="15" t="s">
        <v>80</v>
      </c>
      <c r="D99" s="15" t="s">
        <v>0</v>
      </c>
      <c r="E99" s="15" t="s">
        <v>41</v>
      </c>
      <c r="F99" s="15" t="s">
        <v>46</v>
      </c>
    </row>
    <row r="100" spans="1:6" x14ac:dyDescent="0.3">
      <c r="A100" s="7">
        <v>1</v>
      </c>
      <c r="B100" s="4">
        <v>2</v>
      </c>
      <c r="C100" s="15" t="s">
        <v>80</v>
      </c>
      <c r="D100" s="4" t="s">
        <v>40</v>
      </c>
      <c r="E100" s="4" t="s">
        <v>9</v>
      </c>
      <c r="F100" s="4" t="s">
        <v>46</v>
      </c>
    </row>
    <row r="101" spans="1:6" x14ac:dyDescent="0.3">
      <c r="A101" s="12">
        <v>1</v>
      </c>
      <c r="B101" s="14">
        <v>1</v>
      </c>
      <c r="C101" s="13" t="s">
        <v>81</v>
      </c>
      <c r="D101" s="8" t="s">
        <v>29</v>
      </c>
      <c r="E101" s="15" t="s">
        <v>42</v>
      </c>
      <c r="F101" s="15" t="s">
        <v>72</v>
      </c>
    </row>
    <row r="102" spans="1:6" x14ac:dyDescent="0.3">
      <c r="A102" s="7">
        <v>1</v>
      </c>
      <c r="B102" s="14">
        <v>1</v>
      </c>
      <c r="C102" s="14" t="s">
        <v>81</v>
      </c>
      <c r="D102" s="8" t="s">
        <v>29</v>
      </c>
      <c r="E102" s="4" t="s">
        <v>42</v>
      </c>
      <c r="F102" s="4" t="s">
        <v>67</v>
      </c>
    </row>
    <row r="103" spans="1:6" x14ac:dyDescent="0.3">
      <c r="A103" s="12">
        <v>1</v>
      </c>
      <c r="B103" s="15">
        <v>2</v>
      </c>
      <c r="C103" s="15" t="s">
        <v>80</v>
      </c>
      <c r="D103" s="15" t="s">
        <v>0</v>
      </c>
      <c r="E103" s="15" t="s">
        <v>41</v>
      </c>
      <c r="F103" s="15" t="s">
        <v>45</v>
      </c>
    </row>
    <row r="104" spans="1:6" x14ac:dyDescent="0.3">
      <c r="A104" s="7">
        <v>1</v>
      </c>
      <c r="B104" s="4">
        <v>2</v>
      </c>
      <c r="C104" s="15" t="s">
        <v>80</v>
      </c>
      <c r="D104" s="4" t="s">
        <v>40</v>
      </c>
      <c r="E104" s="4" t="s">
        <v>9</v>
      </c>
      <c r="F104" s="4" t="s">
        <v>45</v>
      </c>
    </row>
    <row r="105" spans="1:6" x14ac:dyDescent="0.3">
      <c r="A105" s="12">
        <v>1</v>
      </c>
      <c r="B105" s="15">
        <v>2</v>
      </c>
      <c r="C105" s="15" t="s">
        <v>80</v>
      </c>
      <c r="D105" s="15" t="s">
        <v>0</v>
      </c>
      <c r="E105" s="15" t="s">
        <v>41</v>
      </c>
      <c r="F105" s="15" t="s">
        <v>48</v>
      </c>
    </row>
    <row r="106" spans="1:6" x14ac:dyDescent="0.3">
      <c r="A106" s="7">
        <v>1</v>
      </c>
      <c r="B106" s="4">
        <v>1</v>
      </c>
      <c r="C106" s="4" t="s">
        <v>81</v>
      </c>
      <c r="D106" s="4" t="s">
        <v>40</v>
      </c>
      <c r="E106" s="4" t="s">
        <v>10</v>
      </c>
      <c r="F106" s="4" t="s">
        <v>48</v>
      </c>
    </row>
    <row r="107" spans="1:6" x14ac:dyDescent="0.3">
      <c r="A107" s="12">
        <v>1</v>
      </c>
      <c r="B107" s="14">
        <v>2</v>
      </c>
      <c r="C107" s="13" t="s">
        <v>80</v>
      </c>
      <c r="D107" s="8" t="s">
        <v>29</v>
      </c>
      <c r="E107" s="15" t="s">
        <v>42</v>
      </c>
      <c r="F107" s="15" t="s">
        <v>71</v>
      </c>
    </row>
    <row r="108" spans="1:6" x14ac:dyDescent="0.3">
      <c r="A108" s="7">
        <v>1</v>
      </c>
      <c r="B108" s="4">
        <v>1</v>
      </c>
      <c r="C108" s="4" t="s">
        <v>81</v>
      </c>
      <c r="D108" s="4" t="s">
        <v>0</v>
      </c>
      <c r="E108" s="4" t="s">
        <v>41</v>
      </c>
      <c r="F108" s="4" t="s">
        <v>44</v>
      </c>
    </row>
    <row r="109" spans="1:6" x14ac:dyDescent="0.3">
      <c r="A109" s="12">
        <v>1</v>
      </c>
      <c r="B109" s="15">
        <v>2</v>
      </c>
      <c r="C109" s="15" t="s">
        <v>80</v>
      </c>
      <c r="D109" s="15" t="s">
        <v>40</v>
      </c>
      <c r="E109" s="15" t="s">
        <v>10</v>
      </c>
      <c r="F109" s="15" t="s">
        <v>44</v>
      </c>
    </row>
    <row r="110" spans="1:6" x14ac:dyDescent="0.3">
      <c r="A110" s="7">
        <v>1</v>
      </c>
      <c r="B110" s="4">
        <v>2</v>
      </c>
      <c r="C110" s="4" t="s">
        <v>80</v>
      </c>
      <c r="D110" s="4" t="s">
        <v>0</v>
      </c>
      <c r="E110" s="4" t="s">
        <v>41</v>
      </c>
      <c r="F110" s="4" t="s">
        <v>43</v>
      </c>
    </row>
    <row r="111" spans="1:6" x14ac:dyDescent="0.3">
      <c r="A111" s="12">
        <v>1</v>
      </c>
      <c r="B111" s="15">
        <v>1</v>
      </c>
      <c r="C111" s="15" t="s">
        <v>81</v>
      </c>
      <c r="D111" s="15" t="s">
        <v>40</v>
      </c>
      <c r="E111" s="15" t="s">
        <v>10</v>
      </c>
      <c r="F111" s="15" t="s">
        <v>43</v>
      </c>
    </row>
    <row r="112" spans="1:6" x14ac:dyDescent="0.3">
      <c r="A112" s="7">
        <v>1</v>
      </c>
      <c r="B112" s="14">
        <v>2</v>
      </c>
      <c r="C112" s="14" t="s">
        <v>80</v>
      </c>
      <c r="D112" s="8" t="s">
        <v>29</v>
      </c>
      <c r="E112" s="4" t="s">
        <v>42</v>
      </c>
      <c r="F112" s="4" t="s">
        <v>73</v>
      </c>
    </row>
    <row r="113" spans="1:6" x14ac:dyDescent="0.3">
      <c r="A113" s="12">
        <v>1</v>
      </c>
      <c r="B113" s="15">
        <v>1</v>
      </c>
      <c r="C113" s="15" t="s">
        <v>81</v>
      </c>
      <c r="D113" s="15" t="s">
        <v>0</v>
      </c>
      <c r="E113" s="15" t="s">
        <v>41</v>
      </c>
      <c r="F113" s="15" t="s">
        <v>50</v>
      </c>
    </row>
    <row r="114" spans="1:6" x14ac:dyDescent="0.3">
      <c r="A114" s="7">
        <v>1</v>
      </c>
      <c r="B114" s="4">
        <v>1</v>
      </c>
      <c r="C114" s="15" t="s">
        <v>81</v>
      </c>
      <c r="D114" s="4" t="s">
        <v>40</v>
      </c>
      <c r="E114" s="4" t="s">
        <v>9</v>
      </c>
      <c r="F114" s="4" t="s">
        <v>50</v>
      </c>
    </row>
    <row r="115" spans="1:6" x14ac:dyDescent="0.3">
      <c r="A115" s="12">
        <v>1</v>
      </c>
      <c r="B115" s="14">
        <v>2</v>
      </c>
      <c r="C115" s="13" t="s">
        <v>80</v>
      </c>
      <c r="D115" s="8" t="s">
        <v>29</v>
      </c>
      <c r="E115" s="15" t="s">
        <v>42</v>
      </c>
      <c r="F115" s="15" t="s">
        <v>68</v>
      </c>
    </row>
    <row r="116" spans="1:6" x14ac:dyDescent="0.3">
      <c r="A116" s="7">
        <v>1</v>
      </c>
      <c r="B116" s="4">
        <v>1</v>
      </c>
      <c r="C116" s="4" t="s">
        <v>81</v>
      </c>
      <c r="D116" s="4" t="s">
        <v>0</v>
      </c>
      <c r="E116" s="4" t="s">
        <v>41</v>
      </c>
      <c r="F116" s="4" t="s">
        <v>47</v>
      </c>
    </row>
    <row r="117" spans="1:6" x14ac:dyDescent="0.3">
      <c r="A117" s="12">
        <v>1</v>
      </c>
      <c r="B117" s="15">
        <v>1</v>
      </c>
      <c r="C117" s="15" t="s">
        <v>81</v>
      </c>
      <c r="D117" s="15" t="s">
        <v>40</v>
      </c>
      <c r="E117" s="15" t="s">
        <v>9</v>
      </c>
      <c r="F117" s="15" t="s">
        <v>47</v>
      </c>
    </row>
    <row r="118" spans="1:6" x14ac:dyDescent="0.3">
      <c r="A118" s="7">
        <v>1</v>
      </c>
      <c r="B118" s="14">
        <v>1</v>
      </c>
      <c r="C118" s="14" t="s">
        <v>81</v>
      </c>
      <c r="D118" s="8" t="s">
        <v>29</v>
      </c>
      <c r="E118" s="4" t="s">
        <v>42</v>
      </c>
      <c r="F118" s="4" t="s">
        <v>74</v>
      </c>
    </row>
    <row r="119" spans="1:6" x14ac:dyDescent="0.3">
      <c r="A119" s="12">
        <v>1</v>
      </c>
      <c r="B119" s="14">
        <v>2</v>
      </c>
      <c r="C119" s="13" t="s">
        <v>80</v>
      </c>
      <c r="D119" s="8" t="s">
        <v>29</v>
      </c>
      <c r="E119" s="15" t="s">
        <v>42</v>
      </c>
      <c r="F119" s="15" t="s">
        <v>69</v>
      </c>
    </row>
    <row r="120" spans="1:6" x14ac:dyDescent="0.3">
      <c r="A120" s="7">
        <v>1</v>
      </c>
      <c r="B120" s="4">
        <v>1</v>
      </c>
      <c r="C120" s="4" t="s">
        <v>81</v>
      </c>
      <c r="D120" s="4" t="s">
        <v>0</v>
      </c>
      <c r="E120" s="4" t="s">
        <v>41</v>
      </c>
      <c r="F120" s="4" t="s">
        <v>49</v>
      </c>
    </row>
    <row r="121" spans="1:6" x14ac:dyDescent="0.3">
      <c r="A121" s="12">
        <v>1</v>
      </c>
      <c r="B121" s="15">
        <v>2</v>
      </c>
      <c r="C121" s="15" t="s">
        <v>80</v>
      </c>
      <c r="D121" s="15" t="s">
        <v>40</v>
      </c>
      <c r="E121" s="15" t="s">
        <v>10</v>
      </c>
      <c r="F121" s="15" t="s">
        <v>49</v>
      </c>
    </row>
    <row r="122" spans="1:6" x14ac:dyDescent="0.3">
      <c r="A122" s="7">
        <v>1</v>
      </c>
      <c r="B122" s="14">
        <v>1</v>
      </c>
      <c r="C122" s="14" t="s">
        <v>81</v>
      </c>
      <c r="D122" s="8" t="s">
        <v>29</v>
      </c>
      <c r="E122" s="4" t="s">
        <v>42</v>
      </c>
      <c r="F122" s="4" t="s">
        <v>70</v>
      </c>
    </row>
    <row r="123" spans="1:6" x14ac:dyDescent="0.3">
      <c r="A123" s="4">
        <v>2</v>
      </c>
      <c r="B123" s="4">
        <v>1</v>
      </c>
      <c r="C123" s="7" t="s">
        <v>81</v>
      </c>
      <c r="D123" s="4" t="s">
        <v>0</v>
      </c>
      <c r="E123" s="4" t="s">
        <v>41</v>
      </c>
      <c r="F123" s="4" t="s">
        <v>54</v>
      </c>
    </row>
    <row r="124" spans="1:6" x14ac:dyDescent="0.3">
      <c r="A124" s="15">
        <v>2</v>
      </c>
      <c r="B124" s="15">
        <v>1</v>
      </c>
      <c r="C124" s="12" t="s">
        <v>81</v>
      </c>
      <c r="D124" s="15" t="s">
        <v>40</v>
      </c>
      <c r="E124" s="15" t="s">
        <v>9</v>
      </c>
      <c r="F124" s="15" t="s">
        <v>54</v>
      </c>
    </row>
    <row r="125" spans="1:6" x14ac:dyDescent="0.3">
      <c r="A125" s="4">
        <v>2</v>
      </c>
      <c r="B125" s="9">
        <v>2</v>
      </c>
      <c r="C125" s="9" t="s">
        <v>80</v>
      </c>
      <c r="D125" s="9" t="s">
        <v>29</v>
      </c>
      <c r="E125" s="4" t="s">
        <v>42</v>
      </c>
      <c r="F125" s="4" t="s">
        <v>46</v>
      </c>
    </row>
    <row r="126" spans="1:6" x14ac:dyDescent="0.3">
      <c r="A126" s="15">
        <v>2</v>
      </c>
      <c r="B126" s="15">
        <v>1</v>
      </c>
      <c r="C126" s="15" t="s">
        <v>81</v>
      </c>
      <c r="D126" s="15" t="s">
        <v>0</v>
      </c>
      <c r="E126" s="15" t="s">
        <v>41</v>
      </c>
      <c r="F126" s="15" t="s">
        <v>56</v>
      </c>
    </row>
    <row r="127" spans="1:6" x14ac:dyDescent="0.3">
      <c r="A127" s="4">
        <v>2</v>
      </c>
      <c r="B127" s="4">
        <v>1</v>
      </c>
      <c r="C127" s="4" t="s">
        <v>81</v>
      </c>
      <c r="D127" s="4" t="s">
        <v>40</v>
      </c>
      <c r="E127" s="4" t="s">
        <v>9</v>
      </c>
      <c r="F127" s="4" t="s">
        <v>56</v>
      </c>
    </row>
    <row r="128" spans="1:6" x14ac:dyDescent="0.3">
      <c r="A128" s="15">
        <v>2</v>
      </c>
      <c r="B128" s="15">
        <v>1</v>
      </c>
      <c r="C128" s="15" t="s">
        <v>81</v>
      </c>
      <c r="D128" s="15" t="s">
        <v>0</v>
      </c>
      <c r="E128" s="15" t="s">
        <v>41</v>
      </c>
      <c r="F128" s="15" t="s">
        <v>58</v>
      </c>
    </row>
    <row r="129" spans="1:6" x14ac:dyDescent="0.3">
      <c r="A129" s="4">
        <v>2</v>
      </c>
      <c r="B129" s="4">
        <v>2</v>
      </c>
      <c r="C129" s="4" t="s">
        <v>80</v>
      </c>
      <c r="D129" s="4" t="s">
        <v>40</v>
      </c>
      <c r="E129" s="4" t="s">
        <v>10</v>
      </c>
      <c r="F129" s="4" t="s">
        <v>58</v>
      </c>
    </row>
    <row r="130" spans="1:6" x14ac:dyDescent="0.3">
      <c r="A130" s="15">
        <v>2</v>
      </c>
      <c r="B130" s="9">
        <v>2</v>
      </c>
      <c r="C130" s="9" t="s">
        <v>80</v>
      </c>
      <c r="D130" s="9" t="s">
        <v>29</v>
      </c>
      <c r="E130" s="15" t="s">
        <v>42</v>
      </c>
      <c r="F130" s="15" t="s">
        <v>45</v>
      </c>
    </row>
    <row r="131" spans="1:6" x14ac:dyDescent="0.3">
      <c r="A131" s="4">
        <v>2</v>
      </c>
      <c r="B131" s="4">
        <v>2</v>
      </c>
      <c r="C131" s="4" t="s">
        <v>80</v>
      </c>
      <c r="D131" s="4" t="s">
        <v>0</v>
      </c>
      <c r="E131" s="4" t="s">
        <v>41</v>
      </c>
      <c r="F131" s="4" t="s">
        <v>52</v>
      </c>
    </row>
    <row r="132" spans="1:6" x14ac:dyDescent="0.3">
      <c r="A132" s="15">
        <v>2</v>
      </c>
      <c r="B132" s="15">
        <v>1</v>
      </c>
      <c r="C132" s="15" t="s">
        <v>81</v>
      </c>
      <c r="D132" s="15" t="s">
        <v>40</v>
      </c>
      <c r="E132" s="15" t="s">
        <v>10</v>
      </c>
      <c r="F132" s="15" t="s">
        <v>52</v>
      </c>
    </row>
    <row r="133" spans="1:6" x14ac:dyDescent="0.3">
      <c r="A133" s="4">
        <v>2</v>
      </c>
      <c r="B133" s="4">
        <v>1</v>
      </c>
      <c r="C133" s="4" t="s">
        <v>81</v>
      </c>
      <c r="D133" s="4" t="s">
        <v>0</v>
      </c>
      <c r="E133" s="4" t="s">
        <v>41</v>
      </c>
      <c r="F133" s="4" t="s">
        <v>57</v>
      </c>
    </row>
    <row r="134" spans="1:6" x14ac:dyDescent="0.3">
      <c r="A134" s="15">
        <v>2</v>
      </c>
      <c r="B134" s="15">
        <v>2</v>
      </c>
      <c r="C134" s="15" t="s">
        <v>80</v>
      </c>
      <c r="D134" s="15" t="s">
        <v>40</v>
      </c>
      <c r="E134" s="15" t="s">
        <v>10</v>
      </c>
      <c r="F134" s="15" t="s">
        <v>57</v>
      </c>
    </row>
    <row r="135" spans="1:6" x14ac:dyDescent="0.3">
      <c r="A135" s="4">
        <v>2</v>
      </c>
      <c r="B135" s="9">
        <v>1</v>
      </c>
      <c r="C135" s="9" t="s">
        <v>81</v>
      </c>
      <c r="D135" s="9" t="s">
        <v>29</v>
      </c>
      <c r="E135" s="4" t="s">
        <v>42</v>
      </c>
      <c r="F135" s="4" t="s">
        <v>48</v>
      </c>
    </row>
    <row r="136" spans="1:6" x14ac:dyDescent="0.3">
      <c r="A136" s="15">
        <v>2</v>
      </c>
      <c r="B136" s="9">
        <v>1</v>
      </c>
      <c r="C136" s="9" t="s">
        <v>81</v>
      </c>
      <c r="D136" s="9" t="s">
        <v>29</v>
      </c>
      <c r="E136" s="15" t="s">
        <v>42</v>
      </c>
      <c r="F136" s="15" t="s">
        <v>44</v>
      </c>
    </row>
    <row r="137" spans="1:6" x14ac:dyDescent="0.3">
      <c r="A137" s="4">
        <v>2</v>
      </c>
      <c r="B137" s="4">
        <v>2</v>
      </c>
      <c r="C137" s="4" t="s">
        <v>80</v>
      </c>
      <c r="D137" s="4" t="s">
        <v>0</v>
      </c>
      <c r="E137" s="4" t="s">
        <v>41</v>
      </c>
      <c r="F137" s="4" t="s">
        <v>55</v>
      </c>
    </row>
    <row r="138" spans="1:6" x14ac:dyDescent="0.3">
      <c r="A138" s="15">
        <v>2</v>
      </c>
      <c r="B138" s="15">
        <v>2</v>
      </c>
      <c r="C138" s="15" t="s">
        <v>80</v>
      </c>
      <c r="D138" s="15" t="s">
        <v>40</v>
      </c>
      <c r="E138" s="15" t="s">
        <v>9</v>
      </c>
      <c r="F138" s="15" t="s">
        <v>55</v>
      </c>
    </row>
    <row r="139" spans="1:6" x14ac:dyDescent="0.3">
      <c r="A139" s="4">
        <v>2</v>
      </c>
      <c r="B139" s="9">
        <v>1</v>
      </c>
      <c r="C139" s="9" t="s">
        <v>81</v>
      </c>
      <c r="D139" s="9" t="s">
        <v>29</v>
      </c>
      <c r="E139" s="4" t="s">
        <v>42</v>
      </c>
      <c r="F139" s="4" t="s">
        <v>43</v>
      </c>
    </row>
    <row r="140" spans="1:6" x14ac:dyDescent="0.3">
      <c r="A140" s="15">
        <v>2</v>
      </c>
      <c r="B140" s="15">
        <v>2</v>
      </c>
      <c r="C140" s="15" t="s">
        <v>80</v>
      </c>
      <c r="D140" s="15" t="s">
        <v>0</v>
      </c>
      <c r="E140" s="15" t="s">
        <v>41</v>
      </c>
      <c r="F140" s="15" t="s">
        <v>51</v>
      </c>
    </row>
    <row r="141" spans="1:6" x14ac:dyDescent="0.3">
      <c r="A141" s="4">
        <v>2</v>
      </c>
      <c r="B141" s="4">
        <v>2</v>
      </c>
      <c r="C141" s="4" t="s">
        <v>80</v>
      </c>
      <c r="D141" s="4" t="s">
        <v>40</v>
      </c>
      <c r="E141" s="4" t="s">
        <v>9</v>
      </c>
      <c r="F141" s="4" t="s">
        <v>51</v>
      </c>
    </row>
    <row r="142" spans="1:6" x14ac:dyDescent="0.3">
      <c r="A142" s="15">
        <v>2</v>
      </c>
      <c r="B142" s="9">
        <v>2</v>
      </c>
      <c r="C142" s="9" t="s">
        <v>80</v>
      </c>
      <c r="D142" s="9" t="s">
        <v>29</v>
      </c>
      <c r="E142" s="15" t="s">
        <v>42</v>
      </c>
      <c r="F142" s="15" t="s">
        <v>50</v>
      </c>
    </row>
    <row r="143" spans="1:6" x14ac:dyDescent="0.3">
      <c r="A143" s="4">
        <v>2</v>
      </c>
      <c r="B143" s="9">
        <v>1</v>
      </c>
      <c r="C143" s="9" t="s">
        <v>81</v>
      </c>
      <c r="D143" s="9" t="s">
        <v>29</v>
      </c>
      <c r="E143" s="4" t="s">
        <v>42</v>
      </c>
      <c r="F143" s="4" t="s">
        <v>47</v>
      </c>
    </row>
    <row r="144" spans="1:6" x14ac:dyDescent="0.3">
      <c r="A144" s="15">
        <v>2</v>
      </c>
      <c r="B144" s="9">
        <v>2</v>
      </c>
      <c r="C144" s="9" t="s">
        <v>80</v>
      </c>
      <c r="D144" s="9" t="s">
        <v>29</v>
      </c>
      <c r="E144" s="15" t="s">
        <v>42</v>
      </c>
      <c r="F144" s="15" t="s">
        <v>49</v>
      </c>
    </row>
    <row r="145" spans="1:9" x14ac:dyDescent="0.3">
      <c r="A145" s="4">
        <v>2</v>
      </c>
      <c r="B145" s="4">
        <v>2</v>
      </c>
      <c r="C145" s="4" t="s">
        <v>80</v>
      </c>
      <c r="D145" s="4" t="s">
        <v>0</v>
      </c>
      <c r="E145" s="4" t="s">
        <v>41</v>
      </c>
      <c r="F145" s="4" t="s">
        <v>53</v>
      </c>
    </row>
    <row r="146" spans="1:9" x14ac:dyDescent="0.3">
      <c r="A146" s="15">
        <v>2</v>
      </c>
      <c r="B146" s="15">
        <v>1</v>
      </c>
      <c r="C146" s="15" t="s">
        <v>81</v>
      </c>
      <c r="D146" s="15" t="s">
        <v>40</v>
      </c>
      <c r="E146" s="15" t="s">
        <v>10</v>
      </c>
      <c r="F146" s="15" t="s">
        <v>53</v>
      </c>
    </row>
    <row r="147" spans="1:9" x14ac:dyDescent="0.3">
      <c r="A147" s="12">
        <v>3</v>
      </c>
      <c r="B147" s="10">
        <v>2</v>
      </c>
      <c r="C147" s="10" t="s">
        <v>80</v>
      </c>
      <c r="D147" s="10" t="s">
        <v>29</v>
      </c>
      <c r="E147" s="15" t="s">
        <v>42</v>
      </c>
      <c r="F147" s="15" t="s">
        <v>54</v>
      </c>
    </row>
    <row r="148" spans="1:9" x14ac:dyDescent="0.3">
      <c r="A148" s="7">
        <v>3</v>
      </c>
      <c r="B148" s="4">
        <v>1</v>
      </c>
      <c r="C148" s="4" t="s">
        <v>81</v>
      </c>
      <c r="D148" s="4" t="s">
        <v>0</v>
      </c>
      <c r="E148" s="4" t="s">
        <v>41</v>
      </c>
      <c r="F148" s="4" t="s">
        <v>64</v>
      </c>
    </row>
    <row r="149" spans="1:9" x14ac:dyDescent="0.3">
      <c r="A149" s="12">
        <v>3</v>
      </c>
      <c r="B149" s="15">
        <v>2</v>
      </c>
      <c r="C149" s="15" t="s">
        <v>80</v>
      </c>
      <c r="D149" s="15" t="s">
        <v>40</v>
      </c>
      <c r="E149" s="15" t="s">
        <v>10</v>
      </c>
      <c r="F149" s="15" t="s">
        <v>64</v>
      </c>
    </row>
    <row r="150" spans="1:9" x14ac:dyDescent="0.3">
      <c r="A150" s="7">
        <v>3</v>
      </c>
      <c r="B150" s="10">
        <v>2</v>
      </c>
      <c r="C150" s="10" t="s">
        <v>80</v>
      </c>
      <c r="D150" s="10" t="s">
        <v>29</v>
      </c>
      <c r="E150" s="4" t="s">
        <v>42</v>
      </c>
      <c r="F150" s="4" t="s">
        <v>56</v>
      </c>
    </row>
    <row r="151" spans="1:9" x14ac:dyDescent="0.3">
      <c r="A151" s="12">
        <v>3</v>
      </c>
      <c r="B151" s="15">
        <v>2</v>
      </c>
      <c r="C151" s="15" t="s">
        <v>80</v>
      </c>
      <c r="D151" s="15" t="s">
        <v>0</v>
      </c>
      <c r="E151" s="15" t="s">
        <v>41</v>
      </c>
      <c r="F151" s="15" t="s">
        <v>62</v>
      </c>
    </row>
    <row r="152" spans="1:9" x14ac:dyDescent="0.3">
      <c r="A152" s="7">
        <v>3</v>
      </c>
      <c r="B152" s="4">
        <v>1</v>
      </c>
      <c r="C152" s="4" t="s">
        <v>81</v>
      </c>
      <c r="D152" s="4" t="s">
        <v>40</v>
      </c>
      <c r="E152" s="4" t="s">
        <v>10</v>
      </c>
      <c r="F152" s="4" t="s">
        <v>62</v>
      </c>
    </row>
    <row r="153" spans="1:9" x14ac:dyDescent="0.3">
      <c r="A153" s="12">
        <v>3</v>
      </c>
      <c r="B153" s="15">
        <v>1</v>
      </c>
      <c r="C153" s="15" t="s">
        <v>81</v>
      </c>
      <c r="D153" s="15" t="s">
        <v>0</v>
      </c>
      <c r="E153" s="15" t="s">
        <v>41</v>
      </c>
      <c r="F153" s="15" t="s">
        <v>66</v>
      </c>
    </row>
    <row r="154" spans="1:9" x14ac:dyDescent="0.3">
      <c r="A154" s="7">
        <v>3</v>
      </c>
      <c r="B154" s="4">
        <v>2</v>
      </c>
      <c r="C154" s="4" t="s">
        <v>80</v>
      </c>
      <c r="D154" s="4" t="s">
        <v>40</v>
      </c>
      <c r="E154" s="4" t="s">
        <v>10</v>
      </c>
      <c r="F154" s="4" t="s">
        <v>66</v>
      </c>
    </row>
    <row r="155" spans="1:9" x14ac:dyDescent="0.3">
      <c r="A155" s="12">
        <v>3</v>
      </c>
      <c r="B155" s="10">
        <v>1</v>
      </c>
      <c r="C155" s="10" t="s">
        <v>81</v>
      </c>
      <c r="D155" s="10" t="s">
        <v>29</v>
      </c>
      <c r="E155" s="15" t="s">
        <v>42</v>
      </c>
      <c r="F155" s="15" t="s">
        <v>58</v>
      </c>
    </row>
    <row r="156" spans="1:9" x14ac:dyDescent="0.3">
      <c r="A156" s="7">
        <v>3</v>
      </c>
      <c r="B156" s="4">
        <v>2</v>
      </c>
      <c r="C156" s="4" t="s">
        <v>80</v>
      </c>
      <c r="D156" s="4" t="s">
        <v>0</v>
      </c>
      <c r="E156" s="4" t="s">
        <v>41</v>
      </c>
      <c r="F156" s="4" t="s">
        <v>65</v>
      </c>
    </row>
    <row r="157" spans="1:9" x14ac:dyDescent="0.3">
      <c r="A157" s="12">
        <v>3</v>
      </c>
      <c r="B157" s="15">
        <v>2</v>
      </c>
      <c r="C157" s="15" t="s">
        <v>80</v>
      </c>
      <c r="D157" s="15" t="s">
        <v>40</v>
      </c>
      <c r="E157" s="15" t="s">
        <v>9</v>
      </c>
      <c r="F157" s="15" t="s">
        <v>65</v>
      </c>
      <c r="I157" t="s">
        <v>19</v>
      </c>
    </row>
    <row r="158" spans="1:9" x14ac:dyDescent="0.3">
      <c r="A158" s="7">
        <v>3</v>
      </c>
      <c r="B158" s="10">
        <v>1</v>
      </c>
      <c r="C158" s="10" t="s">
        <v>81</v>
      </c>
      <c r="D158" s="10" t="s">
        <v>29</v>
      </c>
      <c r="E158" s="4" t="s">
        <v>42</v>
      </c>
      <c r="F158" s="4" t="s">
        <v>52</v>
      </c>
    </row>
    <row r="159" spans="1:9" x14ac:dyDescent="0.3">
      <c r="A159" s="12">
        <v>3</v>
      </c>
      <c r="B159" s="10">
        <v>1</v>
      </c>
      <c r="C159" s="10" t="s">
        <v>81</v>
      </c>
      <c r="D159" s="10" t="s">
        <v>29</v>
      </c>
      <c r="E159" s="15" t="s">
        <v>42</v>
      </c>
      <c r="F159" s="15" t="s">
        <v>57</v>
      </c>
    </row>
    <row r="160" spans="1:9" x14ac:dyDescent="0.3">
      <c r="A160" s="7">
        <v>3</v>
      </c>
      <c r="B160" s="4">
        <v>2</v>
      </c>
      <c r="C160" s="4" t="s">
        <v>80</v>
      </c>
      <c r="D160" s="4" t="s">
        <v>0</v>
      </c>
      <c r="E160" s="4" t="s">
        <v>41</v>
      </c>
      <c r="F160" s="4" t="s">
        <v>59</v>
      </c>
    </row>
    <row r="161" spans="1:6" x14ac:dyDescent="0.3">
      <c r="A161" s="12">
        <v>3</v>
      </c>
      <c r="B161" s="15">
        <v>2</v>
      </c>
      <c r="C161" s="15" t="s">
        <v>80</v>
      </c>
      <c r="D161" s="15" t="s">
        <v>40</v>
      </c>
      <c r="E161" s="15" t="s">
        <v>9</v>
      </c>
      <c r="F161" s="15" t="s">
        <v>59</v>
      </c>
    </row>
    <row r="162" spans="1:6" x14ac:dyDescent="0.3">
      <c r="A162" s="7">
        <v>3</v>
      </c>
      <c r="B162" s="4">
        <v>2</v>
      </c>
      <c r="C162" s="4" t="s">
        <v>80</v>
      </c>
      <c r="D162" s="4" t="s">
        <v>0</v>
      </c>
      <c r="E162" s="4" t="s">
        <v>41</v>
      </c>
      <c r="F162" s="4" t="s">
        <v>61</v>
      </c>
    </row>
    <row r="163" spans="1:6" x14ac:dyDescent="0.3">
      <c r="A163" s="12">
        <v>3</v>
      </c>
      <c r="B163" s="15">
        <v>1</v>
      </c>
      <c r="C163" s="15" t="s">
        <v>81</v>
      </c>
      <c r="D163" s="15" t="s">
        <v>40</v>
      </c>
      <c r="E163" s="15" t="s">
        <v>10</v>
      </c>
      <c r="F163" s="15" t="s">
        <v>61</v>
      </c>
    </row>
    <row r="164" spans="1:6" x14ac:dyDescent="0.3">
      <c r="A164" s="7">
        <v>3</v>
      </c>
      <c r="B164" s="10">
        <v>2</v>
      </c>
      <c r="C164" s="10" t="s">
        <v>80</v>
      </c>
      <c r="D164" s="10" t="s">
        <v>29</v>
      </c>
      <c r="E164" s="4" t="s">
        <v>42</v>
      </c>
      <c r="F164" s="4" t="s">
        <v>55</v>
      </c>
    </row>
    <row r="165" spans="1:6" x14ac:dyDescent="0.3">
      <c r="A165" s="12">
        <v>3</v>
      </c>
      <c r="B165" s="15">
        <v>1</v>
      </c>
      <c r="C165" s="15" t="s">
        <v>81</v>
      </c>
      <c r="D165" s="15" t="s">
        <v>0</v>
      </c>
      <c r="E165" s="15" t="s">
        <v>41</v>
      </c>
      <c r="F165" s="15" t="s">
        <v>63</v>
      </c>
    </row>
    <row r="166" spans="1:6" x14ac:dyDescent="0.3">
      <c r="A166" s="7">
        <v>3</v>
      </c>
      <c r="B166" s="4">
        <v>1</v>
      </c>
      <c r="C166" s="4" t="s">
        <v>81</v>
      </c>
      <c r="D166" s="4" t="s">
        <v>40</v>
      </c>
      <c r="E166" s="4" t="s">
        <v>9</v>
      </c>
      <c r="F166" s="4" t="s">
        <v>63</v>
      </c>
    </row>
    <row r="167" spans="1:6" x14ac:dyDescent="0.3">
      <c r="A167" s="12">
        <v>3</v>
      </c>
      <c r="B167" s="10">
        <v>2</v>
      </c>
      <c r="C167" s="10" t="s">
        <v>80</v>
      </c>
      <c r="D167" s="10" t="s">
        <v>29</v>
      </c>
      <c r="E167" s="15" t="s">
        <v>42</v>
      </c>
      <c r="F167" s="15" t="s">
        <v>51</v>
      </c>
    </row>
    <row r="168" spans="1:6" x14ac:dyDescent="0.3">
      <c r="A168" s="7">
        <v>3</v>
      </c>
      <c r="B168" s="4">
        <v>1</v>
      </c>
      <c r="C168" s="4" t="s">
        <v>81</v>
      </c>
      <c r="D168" s="4" t="s">
        <v>0</v>
      </c>
      <c r="E168" s="4" t="s">
        <v>41</v>
      </c>
      <c r="F168" s="4" t="s">
        <v>60</v>
      </c>
    </row>
    <row r="169" spans="1:6" x14ac:dyDescent="0.3">
      <c r="A169" s="12">
        <v>3</v>
      </c>
      <c r="B169" s="15">
        <v>1</v>
      </c>
      <c r="C169" s="15" t="s">
        <v>81</v>
      </c>
      <c r="D169" s="15" t="s">
        <v>40</v>
      </c>
      <c r="E169" s="15" t="s">
        <v>9</v>
      </c>
      <c r="F169" s="15" t="s">
        <v>60</v>
      </c>
    </row>
    <row r="170" spans="1:6" x14ac:dyDescent="0.3">
      <c r="A170" s="7">
        <v>3</v>
      </c>
      <c r="B170" s="10">
        <v>1</v>
      </c>
      <c r="C170" s="10" t="s">
        <v>81</v>
      </c>
      <c r="D170" s="10" t="s">
        <v>29</v>
      </c>
      <c r="E170" s="4" t="s">
        <v>42</v>
      </c>
      <c r="F170" s="4" t="s">
        <v>53</v>
      </c>
    </row>
    <row r="171" spans="1:6" x14ac:dyDescent="0.3">
      <c r="A171" s="4">
        <v>4</v>
      </c>
      <c r="B171" s="11">
        <v>2</v>
      </c>
      <c r="C171" s="11" t="s">
        <v>80</v>
      </c>
      <c r="D171" s="11" t="s">
        <v>29</v>
      </c>
      <c r="E171" s="4" t="s">
        <v>42</v>
      </c>
      <c r="F171" s="4" t="s">
        <v>64</v>
      </c>
    </row>
    <row r="172" spans="1:6" x14ac:dyDescent="0.3">
      <c r="A172" s="15">
        <v>4</v>
      </c>
      <c r="B172" s="15">
        <v>1</v>
      </c>
      <c r="C172" s="15" t="s">
        <v>81</v>
      </c>
      <c r="D172" s="15" t="s">
        <v>0</v>
      </c>
      <c r="E172" s="15" t="s">
        <v>41</v>
      </c>
      <c r="F172" s="15" t="s">
        <v>72</v>
      </c>
    </row>
    <row r="173" spans="1:6" x14ac:dyDescent="0.3">
      <c r="A173" s="4">
        <v>4</v>
      </c>
      <c r="B173" s="4">
        <v>1</v>
      </c>
      <c r="C173" s="4" t="s">
        <v>81</v>
      </c>
      <c r="D173" s="4" t="s">
        <v>40</v>
      </c>
      <c r="E173" s="4" t="s">
        <v>9</v>
      </c>
      <c r="F173" s="4" t="s">
        <v>72</v>
      </c>
    </row>
    <row r="174" spans="1:6" x14ac:dyDescent="0.3">
      <c r="A174" s="15">
        <v>4</v>
      </c>
      <c r="B174" s="15">
        <v>1</v>
      </c>
      <c r="C174" s="15" t="s">
        <v>81</v>
      </c>
      <c r="D174" s="15" t="s">
        <v>0</v>
      </c>
      <c r="E174" s="15" t="s">
        <v>41</v>
      </c>
      <c r="F174" s="15" t="s">
        <v>67</v>
      </c>
    </row>
    <row r="175" spans="1:6" x14ac:dyDescent="0.3">
      <c r="A175" s="4">
        <v>4</v>
      </c>
      <c r="B175" s="4">
        <v>2</v>
      </c>
      <c r="C175" s="4" t="s">
        <v>80</v>
      </c>
      <c r="D175" s="4" t="s">
        <v>40</v>
      </c>
      <c r="E175" s="4" t="s">
        <v>10</v>
      </c>
      <c r="F175" s="4" t="s">
        <v>67</v>
      </c>
    </row>
    <row r="176" spans="1:6" x14ac:dyDescent="0.3">
      <c r="A176" s="15">
        <v>4</v>
      </c>
      <c r="B176" s="11">
        <v>1</v>
      </c>
      <c r="C176" s="11" t="s">
        <v>81</v>
      </c>
      <c r="D176" s="11" t="s">
        <v>29</v>
      </c>
      <c r="E176" s="15" t="s">
        <v>42</v>
      </c>
      <c r="F176" s="15" t="s">
        <v>62</v>
      </c>
    </row>
    <row r="177" spans="1:6" x14ac:dyDescent="0.3">
      <c r="A177" s="4">
        <v>4</v>
      </c>
      <c r="B177" s="4">
        <v>2</v>
      </c>
      <c r="C177" s="4" t="s">
        <v>80</v>
      </c>
      <c r="D177" s="4" t="s">
        <v>0</v>
      </c>
      <c r="E177" s="4" t="s">
        <v>41</v>
      </c>
      <c r="F177" s="4" t="s">
        <v>71</v>
      </c>
    </row>
    <row r="178" spans="1:6" x14ac:dyDescent="0.3">
      <c r="A178" s="15">
        <v>4</v>
      </c>
      <c r="B178" s="15">
        <v>2</v>
      </c>
      <c r="C178" s="15" t="s">
        <v>80</v>
      </c>
      <c r="D178" s="15" t="s">
        <v>40</v>
      </c>
      <c r="E178" s="15" t="s">
        <v>9</v>
      </c>
      <c r="F178" s="15" t="s">
        <v>71</v>
      </c>
    </row>
    <row r="179" spans="1:6" x14ac:dyDescent="0.3">
      <c r="A179" s="4">
        <v>4</v>
      </c>
      <c r="B179" s="4">
        <v>2</v>
      </c>
      <c r="C179" s="4" t="s">
        <v>80</v>
      </c>
      <c r="D179" s="4" t="s">
        <v>0</v>
      </c>
      <c r="E179" s="4" t="s">
        <v>41</v>
      </c>
      <c r="F179" s="4" t="s">
        <v>73</v>
      </c>
    </row>
    <row r="180" spans="1:6" x14ac:dyDescent="0.3">
      <c r="A180" s="15">
        <v>4</v>
      </c>
      <c r="B180" s="15">
        <v>1</v>
      </c>
      <c r="C180" s="15" t="s">
        <v>81</v>
      </c>
      <c r="D180" s="15" t="s">
        <v>40</v>
      </c>
      <c r="E180" s="15" t="s">
        <v>10</v>
      </c>
      <c r="F180" s="15" t="s">
        <v>73</v>
      </c>
    </row>
    <row r="181" spans="1:6" x14ac:dyDescent="0.3">
      <c r="A181" s="4">
        <v>4</v>
      </c>
      <c r="B181" s="11">
        <v>2</v>
      </c>
      <c r="C181" s="11" t="s">
        <v>80</v>
      </c>
      <c r="D181" s="11" t="s">
        <v>29</v>
      </c>
      <c r="E181" s="4" t="s">
        <v>42</v>
      </c>
      <c r="F181" s="4" t="s">
        <v>66</v>
      </c>
    </row>
    <row r="182" spans="1:6" x14ac:dyDescent="0.3">
      <c r="A182" s="15">
        <v>4</v>
      </c>
      <c r="B182" s="11">
        <v>1</v>
      </c>
      <c r="C182" s="11" t="s">
        <v>81</v>
      </c>
      <c r="D182" s="11" t="s">
        <v>29</v>
      </c>
      <c r="E182" s="15" t="s">
        <v>42</v>
      </c>
      <c r="F182" s="15" t="s">
        <v>65</v>
      </c>
    </row>
    <row r="183" spans="1:6" x14ac:dyDescent="0.3">
      <c r="A183" s="4">
        <v>4</v>
      </c>
      <c r="B183" s="11">
        <v>2</v>
      </c>
      <c r="C183" s="11" t="s">
        <v>80</v>
      </c>
      <c r="D183" s="11" t="s">
        <v>29</v>
      </c>
      <c r="E183" s="4" t="s">
        <v>42</v>
      </c>
      <c r="F183" s="4" t="s">
        <v>59</v>
      </c>
    </row>
    <row r="184" spans="1:6" x14ac:dyDescent="0.3">
      <c r="A184" s="15">
        <v>4</v>
      </c>
      <c r="B184" s="15">
        <v>1</v>
      </c>
      <c r="C184" s="15" t="s">
        <v>81</v>
      </c>
      <c r="D184" s="15" t="s">
        <v>0</v>
      </c>
      <c r="E184" s="15" t="s">
        <v>41</v>
      </c>
      <c r="F184" s="15" t="s">
        <v>68</v>
      </c>
    </row>
    <row r="185" spans="1:6" x14ac:dyDescent="0.3">
      <c r="A185" s="4">
        <v>4</v>
      </c>
      <c r="B185" s="4">
        <v>2</v>
      </c>
      <c r="C185" s="4" t="s">
        <v>80</v>
      </c>
      <c r="D185" s="4" t="s">
        <v>40</v>
      </c>
      <c r="E185" s="4" t="s">
        <v>10</v>
      </c>
      <c r="F185" s="4" t="s">
        <v>68</v>
      </c>
    </row>
    <row r="186" spans="1:6" x14ac:dyDescent="0.3">
      <c r="A186" s="15">
        <v>4</v>
      </c>
      <c r="B186" s="15">
        <v>2</v>
      </c>
      <c r="C186" s="15" t="s">
        <v>80</v>
      </c>
      <c r="D186" s="15" t="s">
        <v>0</v>
      </c>
      <c r="E186" s="15" t="s">
        <v>41</v>
      </c>
      <c r="F186" s="15" t="s">
        <v>74</v>
      </c>
    </row>
    <row r="187" spans="1:6" x14ac:dyDescent="0.3">
      <c r="A187" s="4">
        <v>4</v>
      </c>
      <c r="B187" s="4">
        <v>2</v>
      </c>
      <c r="C187" s="4" t="s">
        <v>80</v>
      </c>
      <c r="D187" s="4" t="s">
        <v>40</v>
      </c>
      <c r="E187" s="4" t="s">
        <v>9</v>
      </c>
      <c r="F187" s="4" t="s">
        <v>74</v>
      </c>
    </row>
    <row r="188" spans="1:6" x14ac:dyDescent="0.3">
      <c r="A188" s="15">
        <v>4</v>
      </c>
      <c r="B188" s="11">
        <v>1</v>
      </c>
      <c r="C188" s="11" t="s">
        <v>81</v>
      </c>
      <c r="D188" s="11" t="s">
        <v>29</v>
      </c>
      <c r="E188" s="15" t="s">
        <v>42</v>
      </c>
      <c r="F188" s="15" t="s">
        <v>61</v>
      </c>
    </row>
    <row r="189" spans="1:6" x14ac:dyDescent="0.3">
      <c r="A189" s="4">
        <v>4</v>
      </c>
      <c r="B189" s="4">
        <v>2</v>
      </c>
      <c r="C189" s="4" t="s">
        <v>80</v>
      </c>
      <c r="D189" s="4" t="s">
        <v>0</v>
      </c>
      <c r="E189" s="4" t="s">
        <v>41</v>
      </c>
      <c r="F189" s="4" t="s">
        <v>69</v>
      </c>
    </row>
    <row r="190" spans="1:6" x14ac:dyDescent="0.3">
      <c r="A190" s="15">
        <v>4</v>
      </c>
      <c r="B190" s="15">
        <v>1</v>
      </c>
      <c r="C190" s="15" t="s">
        <v>81</v>
      </c>
      <c r="D190" s="15" t="s">
        <v>40</v>
      </c>
      <c r="E190" s="15" t="s">
        <v>10</v>
      </c>
      <c r="F190" s="15" t="s">
        <v>69</v>
      </c>
    </row>
    <row r="191" spans="1:6" x14ac:dyDescent="0.3">
      <c r="A191" s="4">
        <v>4</v>
      </c>
      <c r="B191" s="4">
        <v>1</v>
      </c>
      <c r="C191" s="4" t="s">
        <v>81</v>
      </c>
      <c r="D191" s="4" t="s">
        <v>0</v>
      </c>
      <c r="E191" s="4" t="s">
        <v>41</v>
      </c>
      <c r="F191" s="4" t="s">
        <v>70</v>
      </c>
    </row>
    <row r="192" spans="1:6" x14ac:dyDescent="0.3">
      <c r="A192" s="15">
        <v>4</v>
      </c>
      <c r="B192" s="15">
        <v>1</v>
      </c>
      <c r="C192" s="15" t="s">
        <v>81</v>
      </c>
      <c r="D192" s="15" t="s">
        <v>40</v>
      </c>
      <c r="E192" s="15" t="s">
        <v>9</v>
      </c>
      <c r="F192" s="15" t="s">
        <v>70</v>
      </c>
    </row>
    <row r="193" spans="1:6" x14ac:dyDescent="0.3">
      <c r="A193" s="4">
        <v>4</v>
      </c>
      <c r="B193" s="11">
        <v>2</v>
      </c>
      <c r="C193" s="11" t="s">
        <v>80</v>
      </c>
      <c r="D193" s="11" t="s">
        <v>29</v>
      </c>
      <c r="E193" s="4" t="s">
        <v>42</v>
      </c>
      <c r="F193" s="4" t="s">
        <v>63</v>
      </c>
    </row>
    <row r="194" spans="1:6" x14ac:dyDescent="0.3">
      <c r="A194" s="15">
        <v>4</v>
      </c>
      <c r="B194" s="11">
        <v>1</v>
      </c>
      <c r="C194" s="11" t="s">
        <v>81</v>
      </c>
      <c r="D194" s="11" t="s">
        <v>29</v>
      </c>
      <c r="E194" s="15" t="s">
        <v>42</v>
      </c>
      <c r="F194" s="15" t="s">
        <v>60</v>
      </c>
    </row>
    <row r="195" spans="1:6" x14ac:dyDescent="0.3">
      <c r="A195" t="s">
        <v>25</v>
      </c>
    </row>
    <row r="196" spans="1:6" x14ac:dyDescent="0.3">
      <c r="A196" s="12">
        <v>1</v>
      </c>
      <c r="B196" s="14">
        <v>2</v>
      </c>
      <c r="C196" s="13" t="s">
        <v>80</v>
      </c>
      <c r="D196" s="8" t="s">
        <v>29</v>
      </c>
      <c r="E196" s="15" t="s">
        <v>42</v>
      </c>
      <c r="F196" s="15" t="s">
        <v>71</v>
      </c>
    </row>
    <row r="197" spans="1:6" x14ac:dyDescent="0.3">
      <c r="A197" s="7">
        <v>1</v>
      </c>
      <c r="B197" s="7">
        <v>2</v>
      </c>
      <c r="C197" s="7" t="s">
        <v>80</v>
      </c>
      <c r="D197" s="4" t="s">
        <v>0</v>
      </c>
      <c r="E197" s="4" t="s">
        <v>41</v>
      </c>
      <c r="F197" s="4" t="s">
        <v>49</v>
      </c>
    </row>
    <row r="198" spans="1:6" x14ac:dyDescent="0.3">
      <c r="A198" s="12">
        <v>1</v>
      </c>
      <c r="B198" s="12">
        <v>2</v>
      </c>
      <c r="C198" s="12" t="s">
        <v>80</v>
      </c>
      <c r="D198" s="15" t="s">
        <v>40</v>
      </c>
      <c r="E198" s="15" t="s">
        <v>9</v>
      </c>
      <c r="F198" s="15" t="s">
        <v>49</v>
      </c>
    </row>
    <row r="199" spans="1:6" x14ac:dyDescent="0.3">
      <c r="A199" s="7">
        <v>1</v>
      </c>
      <c r="B199" s="14">
        <v>1</v>
      </c>
      <c r="C199" s="14" t="s">
        <v>81</v>
      </c>
      <c r="D199" s="8" t="s">
        <v>29</v>
      </c>
      <c r="E199" s="4" t="s">
        <v>42</v>
      </c>
      <c r="F199" s="4" t="s">
        <v>69</v>
      </c>
    </row>
    <row r="200" spans="1:6" x14ac:dyDescent="0.3">
      <c r="A200" s="12">
        <v>1</v>
      </c>
      <c r="B200" s="14">
        <v>1</v>
      </c>
      <c r="C200" s="14" t="s">
        <v>81</v>
      </c>
      <c r="D200" s="8" t="s">
        <v>29</v>
      </c>
      <c r="E200" s="15" t="s">
        <v>42</v>
      </c>
      <c r="F200" s="15" t="s">
        <v>73</v>
      </c>
    </row>
    <row r="201" spans="1:6" x14ac:dyDescent="0.3">
      <c r="A201" s="7">
        <v>1</v>
      </c>
      <c r="B201" s="7">
        <v>2</v>
      </c>
      <c r="C201" s="7" t="s">
        <v>80</v>
      </c>
      <c r="D201" s="4" t="s">
        <v>0</v>
      </c>
      <c r="E201" s="4" t="s">
        <v>41</v>
      </c>
      <c r="F201" s="4" t="s">
        <v>48</v>
      </c>
    </row>
    <row r="202" spans="1:6" x14ac:dyDescent="0.3">
      <c r="A202" s="12">
        <v>1</v>
      </c>
      <c r="B202" s="12">
        <v>2</v>
      </c>
      <c r="C202" s="12" t="s">
        <v>80</v>
      </c>
      <c r="D202" s="15" t="s">
        <v>40</v>
      </c>
      <c r="E202" s="15" t="s">
        <v>9</v>
      </c>
      <c r="F202" s="15" t="s">
        <v>48</v>
      </c>
    </row>
    <row r="203" spans="1:6" x14ac:dyDescent="0.3">
      <c r="A203" s="7">
        <v>1</v>
      </c>
      <c r="B203" s="7">
        <v>2</v>
      </c>
      <c r="C203" s="7" t="s">
        <v>80</v>
      </c>
      <c r="D203" s="4" t="s">
        <v>0</v>
      </c>
      <c r="E203" s="4" t="s">
        <v>41</v>
      </c>
      <c r="F203" s="4" t="s">
        <v>50</v>
      </c>
    </row>
    <row r="204" spans="1:6" x14ac:dyDescent="0.3">
      <c r="A204" s="12">
        <v>1</v>
      </c>
      <c r="B204" s="12">
        <v>1</v>
      </c>
      <c r="C204" s="12" t="s">
        <v>81</v>
      </c>
      <c r="D204" s="15" t="s">
        <v>40</v>
      </c>
      <c r="E204" s="15" t="s">
        <v>10</v>
      </c>
      <c r="F204" s="15" t="s">
        <v>50</v>
      </c>
    </row>
    <row r="205" spans="1:6" x14ac:dyDescent="0.3">
      <c r="A205" s="7">
        <v>1</v>
      </c>
      <c r="B205" s="14">
        <v>2</v>
      </c>
      <c r="C205" s="14" t="s">
        <v>80</v>
      </c>
      <c r="D205" s="8" t="s">
        <v>29</v>
      </c>
      <c r="E205" s="4" t="s">
        <v>42</v>
      </c>
      <c r="F205" s="4" t="s">
        <v>70</v>
      </c>
    </row>
    <row r="206" spans="1:6" x14ac:dyDescent="0.3">
      <c r="A206" s="12">
        <v>1</v>
      </c>
      <c r="B206" s="12">
        <v>1</v>
      </c>
      <c r="C206" s="12" t="s">
        <v>81</v>
      </c>
      <c r="D206" s="15" t="s">
        <v>0</v>
      </c>
      <c r="E206" s="15" t="s">
        <v>41</v>
      </c>
      <c r="F206" s="15" t="s">
        <v>43</v>
      </c>
    </row>
    <row r="207" spans="1:6" x14ac:dyDescent="0.3">
      <c r="A207" s="7">
        <v>1</v>
      </c>
      <c r="B207" s="7">
        <v>2</v>
      </c>
      <c r="C207" s="7" t="s">
        <v>80</v>
      </c>
      <c r="D207" s="4" t="s">
        <v>40</v>
      </c>
      <c r="E207" s="4" t="s">
        <v>10</v>
      </c>
      <c r="F207" s="4" t="s">
        <v>43</v>
      </c>
    </row>
    <row r="208" spans="1:6" x14ac:dyDescent="0.3">
      <c r="A208" s="12">
        <v>1</v>
      </c>
      <c r="B208" s="12">
        <v>2</v>
      </c>
      <c r="C208" s="12" t="s">
        <v>80</v>
      </c>
      <c r="D208" s="15" t="s">
        <v>0</v>
      </c>
      <c r="E208" s="15" t="s">
        <v>41</v>
      </c>
      <c r="F208" s="15" t="s">
        <v>46</v>
      </c>
    </row>
    <row r="209" spans="1:6" x14ac:dyDescent="0.3">
      <c r="A209" s="7">
        <v>1</v>
      </c>
      <c r="B209" s="7">
        <v>1</v>
      </c>
      <c r="C209" s="7" t="s">
        <v>81</v>
      </c>
      <c r="D209" s="4" t="s">
        <v>40</v>
      </c>
      <c r="E209" s="4" t="s">
        <v>10</v>
      </c>
      <c r="F209" s="4" t="s">
        <v>46</v>
      </c>
    </row>
    <row r="210" spans="1:6" x14ac:dyDescent="0.3">
      <c r="A210" s="12">
        <v>1</v>
      </c>
      <c r="B210" s="14">
        <v>1</v>
      </c>
      <c r="C210" s="13" t="s">
        <v>81</v>
      </c>
      <c r="D210" s="8" t="s">
        <v>29</v>
      </c>
      <c r="E210" s="15" t="s">
        <v>42</v>
      </c>
      <c r="F210" s="15" t="s">
        <v>74</v>
      </c>
    </row>
    <row r="211" spans="1:6" x14ac:dyDescent="0.3">
      <c r="A211" s="7">
        <v>1</v>
      </c>
      <c r="B211" s="14">
        <v>2</v>
      </c>
      <c r="C211" s="14" t="s">
        <v>80</v>
      </c>
      <c r="D211" s="8" t="s">
        <v>29</v>
      </c>
      <c r="E211" s="4" t="s">
        <v>42</v>
      </c>
      <c r="F211" s="4" t="s">
        <v>67</v>
      </c>
    </row>
    <row r="212" spans="1:6" x14ac:dyDescent="0.3">
      <c r="A212" s="12">
        <v>1</v>
      </c>
      <c r="B212" s="12">
        <v>1</v>
      </c>
      <c r="C212" s="12" t="s">
        <v>81</v>
      </c>
      <c r="D212" s="15" t="s">
        <v>0</v>
      </c>
      <c r="E212" s="15" t="s">
        <v>41</v>
      </c>
      <c r="F212" s="15" t="s">
        <v>44</v>
      </c>
    </row>
    <row r="213" spans="1:6" x14ac:dyDescent="0.3">
      <c r="A213" s="7">
        <v>1</v>
      </c>
      <c r="B213" s="7">
        <v>1</v>
      </c>
      <c r="C213" s="12" t="s">
        <v>81</v>
      </c>
      <c r="D213" s="4" t="s">
        <v>40</v>
      </c>
      <c r="E213" s="4" t="s">
        <v>9</v>
      </c>
      <c r="F213" s="4" t="s">
        <v>44</v>
      </c>
    </row>
    <row r="214" spans="1:6" x14ac:dyDescent="0.3">
      <c r="A214" s="12">
        <v>1</v>
      </c>
      <c r="B214" s="14">
        <v>1</v>
      </c>
      <c r="C214" s="13" t="s">
        <v>81</v>
      </c>
      <c r="D214" s="8" t="s">
        <v>29</v>
      </c>
      <c r="E214" s="15" t="s">
        <v>42</v>
      </c>
      <c r="F214" s="15" t="s">
        <v>72</v>
      </c>
    </row>
    <row r="215" spans="1:6" x14ac:dyDescent="0.3">
      <c r="A215" s="7">
        <v>1</v>
      </c>
      <c r="B215" s="14">
        <v>2</v>
      </c>
      <c r="C215" s="14" t="s">
        <v>80</v>
      </c>
      <c r="D215" s="8" t="s">
        <v>29</v>
      </c>
      <c r="E215" s="4" t="s">
        <v>42</v>
      </c>
      <c r="F215" s="4" t="s">
        <v>68</v>
      </c>
    </row>
    <row r="216" spans="1:6" x14ac:dyDescent="0.3">
      <c r="A216" s="12">
        <v>1</v>
      </c>
      <c r="B216" s="12">
        <v>1</v>
      </c>
      <c r="C216" s="12" t="s">
        <v>81</v>
      </c>
      <c r="D216" s="15" t="s">
        <v>0</v>
      </c>
      <c r="E216" s="15" t="s">
        <v>41</v>
      </c>
      <c r="F216" s="15" t="s">
        <v>45</v>
      </c>
    </row>
    <row r="217" spans="1:6" x14ac:dyDescent="0.3">
      <c r="A217" s="7">
        <v>1</v>
      </c>
      <c r="B217" s="7">
        <v>1</v>
      </c>
      <c r="C217" s="12" t="s">
        <v>81</v>
      </c>
      <c r="D217" s="4" t="s">
        <v>40</v>
      </c>
      <c r="E217" s="4" t="s">
        <v>9</v>
      </c>
      <c r="F217" s="4" t="s">
        <v>45</v>
      </c>
    </row>
    <row r="218" spans="1:6" x14ac:dyDescent="0.3">
      <c r="A218" s="12">
        <v>1</v>
      </c>
      <c r="B218" s="12">
        <v>1</v>
      </c>
      <c r="C218" s="12" t="s">
        <v>81</v>
      </c>
      <c r="D218" s="15" t="s">
        <v>0</v>
      </c>
      <c r="E218" s="15" t="s">
        <v>41</v>
      </c>
      <c r="F218" s="15" t="s">
        <v>47</v>
      </c>
    </row>
    <row r="219" spans="1:6" x14ac:dyDescent="0.3">
      <c r="A219" s="7">
        <v>1</v>
      </c>
      <c r="B219" s="7">
        <v>2</v>
      </c>
      <c r="C219" s="7" t="s">
        <v>80</v>
      </c>
      <c r="D219" s="4" t="s">
        <v>40</v>
      </c>
      <c r="E219" s="4" t="s">
        <v>10</v>
      </c>
      <c r="F219" s="4" t="s">
        <v>47</v>
      </c>
    </row>
    <row r="220" spans="1:6" x14ac:dyDescent="0.3">
      <c r="A220" s="4">
        <v>2</v>
      </c>
      <c r="B220" s="7">
        <v>1</v>
      </c>
      <c r="C220" s="4" t="s">
        <v>81</v>
      </c>
      <c r="D220" s="4" t="s">
        <v>0</v>
      </c>
      <c r="E220" s="4" t="s">
        <v>41</v>
      </c>
      <c r="F220" s="4" t="s">
        <v>52</v>
      </c>
    </row>
    <row r="221" spans="1:6" x14ac:dyDescent="0.3">
      <c r="A221" s="15">
        <v>2</v>
      </c>
      <c r="B221" s="12">
        <v>1</v>
      </c>
      <c r="C221" s="15" t="s">
        <v>81</v>
      </c>
      <c r="D221" s="15" t="s">
        <v>40</v>
      </c>
      <c r="E221" s="15" t="s">
        <v>9</v>
      </c>
      <c r="F221" s="15" t="s">
        <v>52</v>
      </c>
    </row>
    <row r="222" spans="1:6" x14ac:dyDescent="0.3">
      <c r="A222" s="4">
        <v>2</v>
      </c>
      <c r="B222" s="9">
        <v>2</v>
      </c>
      <c r="C222" s="9" t="s">
        <v>80</v>
      </c>
      <c r="D222" s="9" t="s">
        <v>29</v>
      </c>
      <c r="E222" s="4" t="s">
        <v>42</v>
      </c>
      <c r="F222" s="4" t="s">
        <v>49</v>
      </c>
    </row>
    <row r="223" spans="1:6" x14ac:dyDescent="0.3">
      <c r="A223" s="15">
        <v>2</v>
      </c>
      <c r="B223" s="9">
        <v>2</v>
      </c>
      <c r="C223" s="9" t="s">
        <v>80</v>
      </c>
      <c r="D223" s="9" t="s">
        <v>29</v>
      </c>
      <c r="E223" s="15" t="s">
        <v>42</v>
      </c>
      <c r="F223" s="15" t="s">
        <v>48</v>
      </c>
    </row>
    <row r="224" spans="1:6" x14ac:dyDescent="0.3">
      <c r="A224" s="4">
        <v>2</v>
      </c>
      <c r="B224" s="7">
        <v>1</v>
      </c>
      <c r="C224" s="7" t="s">
        <v>81</v>
      </c>
      <c r="D224" s="4" t="s">
        <v>0</v>
      </c>
      <c r="E224" s="4" t="s">
        <v>41</v>
      </c>
      <c r="F224" s="4" t="s">
        <v>53</v>
      </c>
    </row>
    <row r="225" spans="1:6" x14ac:dyDescent="0.3">
      <c r="A225" s="15">
        <v>2</v>
      </c>
      <c r="B225" s="12">
        <v>1</v>
      </c>
      <c r="C225" s="12" t="s">
        <v>81</v>
      </c>
      <c r="D225" s="15" t="s">
        <v>40</v>
      </c>
      <c r="E225" s="15" t="s">
        <v>9</v>
      </c>
      <c r="F225" s="15" t="s">
        <v>53</v>
      </c>
    </row>
    <row r="226" spans="1:6" x14ac:dyDescent="0.3">
      <c r="A226" s="4">
        <v>2</v>
      </c>
      <c r="B226" s="7">
        <v>1</v>
      </c>
      <c r="C226" s="7" t="s">
        <v>81</v>
      </c>
      <c r="D226" s="4" t="s">
        <v>0</v>
      </c>
      <c r="E226" s="4" t="s">
        <v>41</v>
      </c>
      <c r="F226" s="4" t="s">
        <v>55</v>
      </c>
    </row>
    <row r="227" spans="1:6" x14ac:dyDescent="0.3">
      <c r="A227" s="15">
        <v>2</v>
      </c>
      <c r="B227" s="12">
        <v>2</v>
      </c>
      <c r="C227" s="12" t="s">
        <v>80</v>
      </c>
      <c r="D227" s="15" t="s">
        <v>40</v>
      </c>
      <c r="E227" s="15" t="s">
        <v>10</v>
      </c>
      <c r="F227" s="15" t="s">
        <v>55</v>
      </c>
    </row>
    <row r="228" spans="1:6" x14ac:dyDescent="0.3">
      <c r="A228" s="4">
        <v>2</v>
      </c>
      <c r="B228" s="9">
        <v>1</v>
      </c>
      <c r="C228" s="9" t="s">
        <v>81</v>
      </c>
      <c r="D228" s="9" t="s">
        <v>29</v>
      </c>
      <c r="E228" s="4" t="s">
        <v>42</v>
      </c>
      <c r="F228" s="4" t="s">
        <v>50</v>
      </c>
    </row>
    <row r="229" spans="1:6" x14ac:dyDescent="0.3">
      <c r="A229" s="15">
        <v>2</v>
      </c>
      <c r="B229" s="12">
        <v>2</v>
      </c>
      <c r="C229" s="12" t="s">
        <v>80</v>
      </c>
      <c r="D229" s="15" t="s">
        <v>0</v>
      </c>
      <c r="E229" s="15" t="s">
        <v>41</v>
      </c>
      <c r="F229" s="15" t="s">
        <v>54</v>
      </c>
    </row>
    <row r="230" spans="1:6" x14ac:dyDescent="0.3">
      <c r="A230" s="4">
        <v>2</v>
      </c>
      <c r="B230" s="7">
        <v>1</v>
      </c>
      <c r="C230" s="7" t="s">
        <v>81</v>
      </c>
      <c r="D230" s="4" t="s">
        <v>40</v>
      </c>
      <c r="E230" s="4" t="s">
        <v>10</v>
      </c>
      <c r="F230" s="4" t="s">
        <v>54</v>
      </c>
    </row>
    <row r="231" spans="1:6" x14ac:dyDescent="0.3">
      <c r="A231" s="15">
        <v>2</v>
      </c>
      <c r="B231" s="12">
        <v>1</v>
      </c>
      <c r="C231" s="12" t="s">
        <v>81</v>
      </c>
      <c r="D231" s="15" t="s">
        <v>0</v>
      </c>
      <c r="E231" s="15" t="s">
        <v>41</v>
      </c>
      <c r="F231" s="15" t="s">
        <v>51</v>
      </c>
    </row>
    <row r="232" spans="1:6" x14ac:dyDescent="0.3">
      <c r="A232" s="4">
        <v>2</v>
      </c>
      <c r="B232" s="7">
        <v>2</v>
      </c>
      <c r="C232" s="7" t="s">
        <v>80</v>
      </c>
      <c r="D232" s="4" t="s">
        <v>40</v>
      </c>
      <c r="E232" s="4" t="s">
        <v>10</v>
      </c>
      <c r="F232" s="4" t="s">
        <v>51</v>
      </c>
    </row>
    <row r="233" spans="1:6" x14ac:dyDescent="0.3">
      <c r="A233" s="15">
        <v>2</v>
      </c>
      <c r="B233" s="9">
        <v>2</v>
      </c>
      <c r="C233" s="9" t="s">
        <v>80</v>
      </c>
      <c r="D233" s="9" t="s">
        <v>29</v>
      </c>
      <c r="E233" s="15" t="s">
        <v>42</v>
      </c>
      <c r="F233" s="15" t="s">
        <v>43</v>
      </c>
    </row>
    <row r="234" spans="1:6" x14ac:dyDescent="0.3">
      <c r="A234" s="4">
        <v>2</v>
      </c>
      <c r="B234" s="9">
        <v>1</v>
      </c>
      <c r="C234" s="9" t="s">
        <v>81</v>
      </c>
      <c r="D234" s="9" t="s">
        <v>29</v>
      </c>
      <c r="E234" s="4" t="s">
        <v>42</v>
      </c>
      <c r="F234" s="4" t="s">
        <v>46</v>
      </c>
    </row>
    <row r="235" spans="1:6" x14ac:dyDescent="0.3">
      <c r="A235" s="15">
        <v>2</v>
      </c>
      <c r="B235" s="12">
        <v>2</v>
      </c>
      <c r="C235" s="12" t="s">
        <v>80</v>
      </c>
      <c r="D235" s="15" t="s">
        <v>0</v>
      </c>
      <c r="E235" s="15" t="s">
        <v>41</v>
      </c>
      <c r="F235" s="15" t="s">
        <v>57</v>
      </c>
    </row>
    <row r="236" spans="1:6" x14ac:dyDescent="0.3">
      <c r="A236" s="4">
        <v>2</v>
      </c>
      <c r="B236" s="7">
        <v>2</v>
      </c>
      <c r="C236" s="7" t="s">
        <v>80</v>
      </c>
      <c r="D236" s="4" t="s">
        <v>40</v>
      </c>
      <c r="E236" s="4" t="s">
        <v>9</v>
      </c>
      <c r="F236" s="4" t="s">
        <v>57</v>
      </c>
    </row>
    <row r="237" spans="1:6" x14ac:dyDescent="0.3">
      <c r="A237" s="15">
        <v>2</v>
      </c>
      <c r="B237" s="9">
        <v>1</v>
      </c>
      <c r="C237" s="9" t="s">
        <v>81</v>
      </c>
      <c r="D237" s="9" t="s">
        <v>29</v>
      </c>
      <c r="E237" s="15" t="s">
        <v>42</v>
      </c>
      <c r="F237" s="15" t="s">
        <v>44</v>
      </c>
    </row>
    <row r="238" spans="1:6" x14ac:dyDescent="0.3">
      <c r="A238" s="4">
        <v>2</v>
      </c>
      <c r="B238" s="7">
        <v>2</v>
      </c>
      <c r="C238" s="7" t="s">
        <v>80</v>
      </c>
      <c r="D238" s="4" t="s">
        <v>0</v>
      </c>
      <c r="E238" s="4" t="s">
        <v>41</v>
      </c>
      <c r="F238" s="4" t="s">
        <v>58</v>
      </c>
    </row>
    <row r="239" spans="1:6" x14ac:dyDescent="0.3">
      <c r="A239" s="15">
        <v>2</v>
      </c>
      <c r="B239" s="12">
        <v>2</v>
      </c>
      <c r="C239" s="12" t="s">
        <v>80</v>
      </c>
      <c r="D239" s="15" t="s">
        <v>40</v>
      </c>
      <c r="E239" s="15" t="s">
        <v>9</v>
      </c>
      <c r="F239" s="15" t="s">
        <v>58</v>
      </c>
    </row>
    <row r="240" spans="1:6" x14ac:dyDescent="0.3">
      <c r="A240" s="4">
        <v>2</v>
      </c>
      <c r="B240" s="7">
        <v>2</v>
      </c>
      <c r="C240" s="7" t="s">
        <v>80</v>
      </c>
      <c r="D240" s="4" t="s">
        <v>0</v>
      </c>
      <c r="E240" s="4" t="s">
        <v>41</v>
      </c>
      <c r="F240" s="4" t="s">
        <v>56</v>
      </c>
    </row>
    <row r="241" spans="1:6" x14ac:dyDescent="0.3">
      <c r="A241" s="15">
        <v>2</v>
      </c>
      <c r="B241" s="12">
        <v>1</v>
      </c>
      <c r="C241" s="12" t="s">
        <v>81</v>
      </c>
      <c r="D241" s="15" t="s">
        <v>40</v>
      </c>
      <c r="E241" s="15" t="s">
        <v>10</v>
      </c>
      <c r="F241" s="15" t="s">
        <v>56</v>
      </c>
    </row>
    <row r="242" spans="1:6" x14ac:dyDescent="0.3">
      <c r="A242" s="4">
        <v>2</v>
      </c>
      <c r="B242" s="9">
        <v>1</v>
      </c>
      <c r="C242" s="9" t="s">
        <v>81</v>
      </c>
      <c r="D242" s="9" t="s">
        <v>29</v>
      </c>
      <c r="E242" s="4" t="s">
        <v>42</v>
      </c>
      <c r="F242" s="4" t="s">
        <v>45</v>
      </c>
    </row>
    <row r="243" spans="1:6" x14ac:dyDescent="0.3">
      <c r="A243" s="15">
        <v>2</v>
      </c>
      <c r="B243" s="9">
        <v>2</v>
      </c>
      <c r="C243" s="9" t="s">
        <v>80</v>
      </c>
      <c r="D243" s="9" t="s">
        <v>29</v>
      </c>
      <c r="E243" s="15" t="s">
        <v>42</v>
      </c>
      <c r="F243" s="15" t="s">
        <v>47</v>
      </c>
    </row>
    <row r="244" spans="1:6" x14ac:dyDescent="0.3">
      <c r="A244" s="12">
        <v>3</v>
      </c>
      <c r="B244" s="12">
        <v>1</v>
      </c>
      <c r="C244" s="12" t="s">
        <v>81</v>
      </c>
      <c r="D244" s="15" t="s">
        <v>0</v>
      </c>
      <c r="E244" s="15" t="s">
        <v>41</v>
      </c>
      <c r="F244" s="15" t="s">
        <v>62</v>
      </c>
    </row>
    <row r="245" spans="1:6" x14ac:dyDescent="0.3">
      <c r="A245" s="7">
        <v>3</v>
      </c>
      <c r="B245" s="7">
        <v>2</v>
      </c>
      <c r="C245" s="7" t="s">
        <v>80</v>
      </c>
      <c r="D245" s="4" t="s">
        <v>40</v>
      </c>
      <c r="E245" s="4" t="s">
        <v>10</v>
      </c>
      <c r="F245" s="4" t="s">
        <v>62</v>
      </c>
    </row>
    <row r="246" spans="1:6" x14ac:dyDescent="0.3">
      <c r="A246" s="12">
        <v>3</v>
      </c>
      <c r="B246" s="10">
        <v>2</v>
      </c>
      <c r="C246" s="10" t="s">
        <v>80</v>
      </c>
      <c r="D246" s="10" t="s">
        <v>29</v>
      </c>
      <c r="E246" s="15" t="s">
        <v>42</v>
      </c>
      <c r="F246" s="15" t="s">
        <v>52</v>
      </c>
    </row>
    <row r="247" spans="1:6" x14ac:dyDescent="0.3">
      <c r="A247" s="7">
        <v>3</v>
      </c>
      <c r="B247" s="10">
        <v>1</v>
      </c>
      <c r="C247" s="10" t="s">
        <v>81</v>
      </c>
      <c r="D247" s="10" t="s">
        <v>29</v>
      </c>
      <c r="E247" s="4" t="s">
        <v>42</v>
      </c>
      <c r="F247" s="4" t="s">
        <v>53</v>
      </c>
    </row>
    <row r="248" spans="1:6" x14ac:dyDescent="0.3">
      <c r="A248" s="12">
        <v>3</v>
      </c>
      <c r="B248" s="12">
        <v>2</v>
      </c>
      <c r="C248" s="12" t="s">
        <v>80</v>
      </c>
      <c r="D248" s="15" t="s">
        <v>0</v>
      </c>
      <c r="E248" s="15" t="s">
        <v>41</v>
      </c>
      <c r="F248" s="15" t="s">
        <v>65</v>
      </c>
    </row>
    <row r="249" spans="1:6" x14ac:dyDescent="0.3">
      <c r="A249" s="7">
        <v>3</v>
      </c>
      <c r="B249" s="7">
        <v>1</v>
      </c>
      <c r="C249" s="7" t="s">
        <v>81</v>
      </c>
      <c r="D249" s="4" t="s">
        <v>40</v>
      </c>
      <c r="E249" s="4" t="s">
        <v>10</v>
      </c>
      <c r="F249" s="4" t="s">
        <v>65</v>
      </c>
    </row>
    <row r="250" spans="1:6" x14ac:dyDescent="0.3">
      <c r="A250" s="12">
        <v>3</v>
      </c>
      <c r="B250" s="12">
        <v>1</v>
      </c>
      <c r="C250" s="12" t="s">
        <v>81</v>
      </c>
      <c r="D250" s="15" t="s">
        <v>0</v>
      </c>
      <c r="E250" s="15" t="s">
        <v>41</v>
      </c>
      <c r="F250" s="15" t="s">
        <v>60</v>
      </c>
    </row>
    <row r="251" spans="1:6" x14ac:dyDescent="0.3">
      <c r="A251" s="7">
        <v>3</v>
      </c>
      <c r="B251" s="7">
        <v>2</v>
      </c>
      <c r="C251" s="7" t="s">
        <v>80</v>
      </c>
      <c r="D251" s="4" t="s">
        <v>40</v>
      </c>
      <c r="E251" s="4" t="s">
        <v>10</v>
      </c>
      <c r="F251" s="4" t="s">
        <v>60</v>
      </c>
    </row>
    <row r="252" spans="1:6" x14ac:dyDescent="0.3">
      <c r="A252" s="12">
        <v>3</v>
      </c>
      <c r="B252" s="10">
        <v>1</v>
      </c>
      <c r="C252" s="10" t="s">
        <v>81</v>
      </c>
      <c r="D252" s="10" t="s">
        <v>29</v>
      </c>
      <c r="E252" s="15" t="s">
        <v>42</v>
      </c>
      <c r="F252" s="15" t="s">
        <v>55</v>
      </c>
    </row>
    <row r="253" spans="1:6" x14ac:dyDescent="0.3">
      <c r="A253" s="7">
        <v>3</v>
      </c>
      <c r="B253" s="7">
        <v>2</v>
      </c>
      <c r="C253" s="7" t="s">
        <v>80</v>
      </c>
      <c r="D253" s="4" t="s">
        <v>0</v>
      </c>
      <c r="E253" s="4" t="s">
        <v>41</v>
      </c>
      <c r="F253" s="4" t="s">
        <v>64</v>
      </c>
    </row>
    <row r="254" spans="1:6" x14ac:dyDescent="0.3">
      <c r="A254" s="12">
        <v>3</v>
      </c>
      <c r="B254" s="12">
        <v>2</v>
      </c>
      <c r="C254" s="12" t="s">
        <v>80</v>
      </c>
      <c r="D254" s="15" t="s">
        <v>40</v>
      </c>
      <c r="E254" s="15" t="s">
        <v>9</v>
      </c>
      <c r="F254" s="15" t="s">
        <v>64</v>
      </c>
    </row>
    <row r="255" spans="1:6" x14ac:dyDescent="0.3">
      <c r="A255" s="7">
        <v>3</v>
      </c>
      <c r="B255" s="10">
        <v>1</v>
      </c>
      <c r="C255" s="10" t="s">
        <v>81</v>
      </c>
      <c r="D255" s="10" t="s">
        <v>29</v>
      </c>
      <c r="E255" s="4" t="s">
        <v>42</v>
      </c>
      <c r="F255" s="4" t="s">
        <v>54</v>
      </c>
    </row>
    <row r="256" spans="1:6" x14ac:dyDescent="0.3">
      <c r="A256" s="12">
        <v>3</v>
      </c>
      <c r="B256" s="10">
        <v>2</v>
      </c>
      <c r="C256" s="10" t="s">
        <v>80</v>
      </c>
      <c r="D256" s="10" t="s">
        <v>29</v>
      </c>
      <c r="E256" s="15" t="s">
        <v>42</v>
      </c>
      <c r="F256" s="15" t="s">
        <v>51</v>
      </c>
    </row>
    <row r="257" spans="1:6" x14ac:dyDescent="0.3">
      <c r="A257" s="7">
        <v>3</v>
      </c>
      <c r="B257" s="10">
        <v>1</v>
      </c>
      <c r="C257" s="10" t="s">
        <v>81</v>
      </c>
      <c r="D257" s="10" t="s">
        <v>29</v>
      </c>
      <c r="E257" s="4" t="s">
        <v>42</v>
      </c>
      <c r="F257" s="4" t="s">
        <v>57</v>
      </c>
    </row>
    <row r="258" spans="1:6" x14ac:dyDescent="0.3">
      <c r="A258" s="12">
        <v>3</v>
      </c>
      <c r="B258" s="12">
        <v>2</v>
      </c>
      <c r="C258" s="12" t="s">
        <v>80</v>
      </c>
      <c r="D258" s="15" t="s">
        <v>0</v>
      </c>
      <c r="E258" s="15" t="s">
        <v>41</v>
      </c>
      <c r="F258" s="15" t="s">
        <v>66</v>
      </c>
    </row>
    <row r="259" spans="1:6" x14ac:dyDescent="0.3">
      <c r="A259" s="7">
        <v>3</v>
      </c>
      <c r="B259" s="7">
        <v>2</v>
      </c>
      <c r="C259" s="7" t="s">
        <v>80</v>
      </c>
      <c r="D259" s="4" t="s">
        <v>40</v>
      </c>
      <c r="E259" s="4" t="s">
        <v>9</v>
      </c>
      <c r="F259" s="4" t="s">
        <v>66</v>
      </c>
    </row>
    <row r="260" spans="1:6" x14ac:dyDescent="0.3">
      <c r="A260" s="12">
        <v>3</v>
      </c>
      <c r="B260" s="12">
        <v>2</v>
      </c>
      <c r="C260" s="12" t="s">
        <v>80</v>
      </c>
      <c r="D260" s="15" t="s">
        <v>0</v>
      </c>
      <c r="E260" s="15" t="s">
        <v>41</v>
      </c>
      <c r="F260" s="15" t="s">
        <v>63</v>
      </c>
    </row>
    <row r="261" spans="1:6" x14ac:dyDescent="0.3">
      <c r="A261" s="7">
        <v>3</v>
      </c>
      <c r="B261" s="7">
        <v>1</v>
      </c>
      <c r="C261" s="7" t="s">
        <v>81</v>
      </c>
      <c r="D261" s="4" t="s">
        <v>40</v>
      </c>
      <c r="E261" s="4" t="s">
        <v>10</v>
      </c>
      <c r="F261" s="4" t="s">
        <v>63</v>
      </c>
    </row>
    <row r="262" spans="1:6" x14ac:dyDescent="0.3">
      <c r="A262" s="7">
        <v>3</v>
      </c>
      <c r="B262" s="7">
        <v>1</v>
      </c>
      <c r="C262" s="7" t="s">
        <v>81</v>
      </c>
      <c r="D262" s="4" t="s">
        <v>0</v>
      </c>
      <c r="E262" s="4" t="s">
        <v>41</v>
      </c>
      <c r="F262" s="4" t="s">
        <v>61</v>
      </c>
    </row>
    <row r="263" spans="1:6" x14ac:dyDescent="0.3">
      <c r="A263" s="12">
        <v>3</v>
      </c>
      <c r="B263" s="12">
        <v>1</v>
      </c>
      <c r="C263" s="12" t="s">
        <v>81</v>
      </c>
      <c r="D263" s="15" t="s">
        <v>40</v>
      </c>
      <c r="E263" s="15" t="s">
        <v>9</v>
      </c>
      <c r="F263" s="15" t="s">
        <v>61</v>
      </c>
    </row>
    <row r="264" spans="1:6" x14ac:dyDescent="0.3">
      <c r="A264" s="7">
        <v>3</v>
      </c>
      <c r="B264" s="10">
        <v>2</v>
      </c>
      <c r="C264" s="10" t="s">
        <v>80</v>
      </c>
      <c r="D264" s="10" t="s">
        <v>29</v>
      </c>
      <c r="E264" s="4" t="s">
        <v>42</v>
      </c>
      <c r="F264" s="4" t="s">
        <v>56</v>
      </c>
    </row>
    <row r="265" spans="1:6" x14ac:dyDescent="0.3">
      <c r="A265" s="12">
        <v>3</v>
      </c>
      <c r="B265" s="12">
        <v>1</v>
      </c>
      <c r="C265" s="12" t="s">
        <v>81</v>
      </c>
      <c r="D265" s="15" t="s">
        <v>0</v>
      </c>
      <c r="E265" s="15" t="s">
        <v>41</v>
      </c>
      <c r="F265" s="15" t="s">
        <v>59</v>
      </c>
    </row>
    <row r="266" spans="1:6" x14ac:dyDescent="0.3">
      <c r="A266" s="7">
        <v>3</v>
      </c>
      <c r="B266" s="7">
        <v>1</v>
      </c>
      <c r="C266" s="7" t="s">
        <v>81</v>
      </c>
      <c r="D266" s="4" t="s">
        <v>40</v>
      </c>
      <c r="E266" s="4" t="s">
        <v>9</v>
      </c>
      <c r="F266" s="4" t="s">
        <v>59</v>
      </c>
    </row>
    <row r="267" spans="1:6" x14ac:dyDescent="0.3">
      <c r="A267" s="12">
        <v>3</v>
      </c>
      <c r="B267" s="10">
        <v>2</v>
      </c>
      <c r="C267" s="10" t="s">
        <v>80</v>
      </c>
      <c r="D267" s="10" t="s">
        <v>29</v>
      </c>
      <c r="E267" s="15" t="s">
        <v>42</v>
      </c>
      <c r="F267" s="15" t="s">
        <v>58</v>
      </c>
    </row>
    <row r="268" spans="1:6" x14ac:dyDescent="0.3">
      <c r="A268" s="4">
        <v>4</v>
      </c>
      <c r="B268" s="7">
        <v>1</v>
      </c>
      <c r="C268" s="7" t="s">
        <v>81</v>
      </c>
      <c r="D268" s="4" t="s">
        <v>0</v>
      </c>
      <c r="E268" s="4" t="s">
        <v>41</v>
      </c>
      <c r="F268" s="4" t="s">
        <v>71</v>
      </c>
    </row>
    <row r="269" spans="1:6" x14ac:dyDescent="0.3">
      <c r="A269" s="15">
        <v>4</v>
      </c>
      <c r="B269" s="12">
        <v>1</v>
      </c>
      <c r="C269" s="12" t="s">
        <v>81</v>
      </c>
      <c r="D269" s="15" t="s">
        <v>40</v>
      </c>
      <c r="E269" s="15" t="s">
        <v>9</v>
      </c>
      <c r="F269" s="15" t="s">
        <v>71</v>
      </c>
    </row>
    <row r="270" spans="1:6" x14ac:dyDescent="0.3">
      <c r="A270" s="4">
        <v>4</v>
      </c>
      <c r="B270" s="11">
        <v>2</v>
      </c>
      <c r="C270" s="11" t="s">
        <v>80</v>
      </c>
      <c r="D270" s="11" t="s">
        <v>29</v>
      </c>
      <c r="E270" s="4" t="s">
        <v>42</v>
      </c>
      <c r="F270" s="4" t="s">
        <v>62</v>
      </c>
    </row>
    <row r="271" spans="1:6" x14ac:dyDescent="0.3">
      <c r="A271" s="15">
        <v>4</v>
      </c>
      <c r="B271" s="12">
        <v>1</v>
      </c>
      <c r="C271" s="12" t="s">
        <v>81</v>
      </c>
      <c r="D271" s="15" t="s">
        <v>0</v>
      </c>
      <c r="E271" s="15" t="s">
        <v>41</v>
      </c>
      <c r="F271" s="15" t="s">
        <v>69</v>
      </c>
    </row>
    <row r="272" spans="1:6" x14ac:dyDescent="0.3">
      <c r="A272" s="4">
        <v>4</v>
      </c>
      <c r="B272" s="7">
        <v>2</v>
      </c>
      <c r="C272" s="7" t="s">
        <v>80</v>
      </c>
      <c r="D272" s="4" t="s">
        <v>40</v>
      </c>
      <c r="E272" s="4" t="s">
        <v>10</v>
      </c>
      <c r="F272" s="4" t="s">
        <v>69</v>
      </c>
    </row>
    <row r="273" spans="1:6" x14ac:dyDescent="0.3">
      <c r="A273" s="15">
        <v>4</v>
      </c>
      <c r="B273" s="12">
        <v>2</v>
      </c>
      <c r="C273" s="12" t="s">
        <v>80</v>
      </c>
      <c r="D273" s="15" t="s">
        <v>0</v>
      </c>
      <c r="E273" s="15" t="s">
        <v>41</v>
      </c>
      <c r="F273" s="15" t="s">
        <v>73</v>
      </c>
    </row>
    <row r="274" spans="1:6" x14ac:dyDescent="0.3">
      <c r="A274" s="4">
        <v>4</v>
      </c>
      <c r="B274" s="7">
        <v>2</v>
      </c>
      <c r="C274" s="7" t="s">
        <v>80</v>
      </c>
      <c r="D274" s="4" t="s">
        <v>40</v>
      </c>
      <c r="E274" s="4" t="s">
        <v>9</v>
      </c>
      <c r="F274" s="4" t="s">
        <v>73</v>
      </c>
    </row>
    <row r="275" spans="1:6" x14ac:dyDescent="0.3">
      <c r="A275" s="15">
        <v>4</v>
      </c>
      <c r="B275" s="11">
        <v>1</v>
      </c>
      <c r="C275" s="11" t="s">
        <v>81</v>
      </c>
      <c r="D275" s="11" t="s">
        <v>29</v>
      </c>
      <c r="E275" s="15" t="s">
        <v>42</v>
      </c>
      <c r="F275" s="15" t="s">
        <v>65</v>
      </c>
    </row>
    <row r="276" spans="1:6" x14ac:dyDescent="0.3">
      <c r="A276" s="4">
        <v>4</v>
      </c>
      <c r="B276" s="11">
        <v>2</v>
      </c>
      <c r="C276" s="11" t="s">
        <v>80</v>
      </c>
      <c r="D276" s="11" t="s">
        <v>29</v>
      </c>
      <c r="E276" s="4" t="s">
        <v>42</v>
      </c>
      <c r="F276" s="4" t="s">
        <v>60</v>
      </c>
    </row>
    <row r="277" spans="1:6" x14ac:dyDescent="0.3">
      <c r="A277" s="15">
        <v>4</v>
      </c>
      <c r="B277" s="12">
        <v>2</v>
      </c>
      <c r="C277" s="12" t="s">
        <v>80</v>
      </c>
      <c r="D277" s="15" t="s">
        <v>0</v>
      </c>
      <c r="E277" s="15" t="s">
        <v>41</v>
      </c>
      <c r="F277" s="15" t="s">
        <v>70</v>
      </c>
    </row>
    <row r="278" spans="1:6" x14ac:dyDescent="0.3">
      <c r="A278" s="4">
        <v>4</v>
      </c>
      <c r="B278" s="7">
        <v>1</v>
      </c>
      <c r="C278" s="7" t="s">
        <v>81</v>
      </c>
      <c r="D278" s="4" t="s">
        <v>40</v>
      </c>
      <c r="E278" s="4" t="s">
        <v>10</v>
      </c>
      <c r="F278" s="4" t="s">
        <v>70</v>
      </c>
    </row>
    <row r="279" spans="1:6" x14ac:dyDescent="0.3">
      <c r="A279" s="15">
        <v>4</v>
      </c>
      <c r="B279" s="12">
        <v>1</v>
      </c>
      <c r="C279" s="12" t="s">
        <v>81</v>
      </c>
      <c r="D279" s="15" t="s">
        <v>0</v>
      </c>
      <c r="E279" s="15" t="s">
        <v>41</v>
      </c>
      <c r="F279" s="15" t="s">
        <v>74</v>
      </c>
    </row>
    <row r="280" spans="1:6" x14ac:dyDescent="0.3">
      <c r="A280" s="4">
        <v>4</v>
      </c>
      <c r="B280" s="7">
        <v>2</v>
      </c>
      <c r="C280" s="7" t="s">
        <v>80</v>
      </c>
      <c r="D280" s="4" t="s">
        <v>40</v>
      </c>
      <c r="E280" s="4" t="s">
        <v>10</v>
      </c>
      <c r="F280" s="4" t="s">
        <v>74</v>
      </c>
    </row>
    <row r="281" spans="1:6" x14ac:dyDescent="0.3">
      <c r="A281" s="15">
        <v>4</v>
      </c>
      <c r="B281" s="11">
        <v>1</v>
      </c>
      <c r="C281" s="11" t="s">
        <v>81</v>
      </c>
      <c r="D281" s="11" t="s">
        <v>29</v>
      </c>
      <c r="E281" s="15" t="s">
        <v>42</v>
      </c>
      <c r="F281" s="15" t="s">
        <v>64</v>
      </c>
    </row>
    <row r="282" spans="1:6" x14ac:dyDescent="0.3">
      <c r="A282" s="4">
        <v>4</v>
      </c>
      <c r="B282" s="7">
        <v>2</v>
      </c>
      <c r="C282" s="7" t="s">
        <v>80</v>
      </c>
      <c r="D282" s="4" t="s">
        <v>0</v>
      </c>
      <c r="E282" s="4" t="s">
        <v>41</v>
      </c>
      <c r="F282" s="4" t="s">
        <v>67</v>
      </c>
    </row>
    <row r="283" spans="1:6" x14ac:dyDescent="0.3">
      <c r="A283" s="15">
        <v>4</v>
      </c>
      <c r="B283" s="12">
        <v>2</v>
      </c>
      <c r="C283" s="12" t="s">
        <v>80</v>
      </c>
      <c r="D283" s="15" t="s">
        <v>40</v>
      </c>
      <c r="E283" s="15" t="s">
        <v>9</v>
      </c>
      <c r="F283" s="15" t="s">
        <v>67</v>
      </c>
    </row>
    <row r="284" spans="1:6" x14ac:dyDescent="0.3">
      <c r="A284" s="4">
        <v>4</v>
      </c>
      <c r="B284" s="11">
        <v>1</v>
      </c>
      <c r="C284" s="11" t="s">
        <v>81</v>
      </c>
      <c r="D284" s="11" t="s">
        <v>29</v>
      </c>
      <c r="E284" s="4" t="s">
        <v>42</v>
      </c>
      <c r="F284" s="4" t="s">
        <v>66</v>
      </c>
    </row>
    <row r="285" spans="1:6" x14ac:dyDescent="0.3">
      <c r="A285" s="15">
        <v>4</v>
      </c>
      <c r="B285" s="12">
        <v>2</v>
      </c>
      <c r="C285" s="12" t="s">
        <v>80</v>
      </c>
      <c r="D285" s="15" t="s">
        <v>0</v>
      </c>
      <c r="E285" s="15" t="s">
        <v>41</v>
      </c>
      <c r="F285" s="15" t="s">
        <v>72</v>
      </c>
    </row>
    <row r="286" spans="1:6" x14ac:dyDescent="0.3">
      <c r="A286" s="4">
        <v>4</v>
      </c>
      <c r="B286" s="7">
        <v>1</v>
      </c>
      <c r="C286" s="7" t="s">
        <v>81</v>
      </c>
      <c r="D286" s="4" t="s">
        <v>40</v>
      </c>
      <c r="E286" s="4" t="s">
        <v>10</v>
      </c>
      <c r="F286" s="4" t="s">
        <v>72</v>
      </c>
    </row>
    <row r="287" spans="1:6" x14ac:dyDescent="0.3">
      <c r="A287" s="15">
        <v>4</v>
      </c>
      <c r="B287" s="12">
        <v>1</v>
      </c>
      <c r="C287" s="12" t="s">
        <v>81</v>
      </c>
      <c r="D287" s="15" t="s">
        <v>0</v>
      </c>
      <c r="E287" s="15" t="s">
        <v>41</v>
      </c>
      <c r="F287" s="15" t="s">
        <v>68</v>
      </c>
    </row>
    <row r="288" spans="1:6" x14ac:dyDescent="0.3">
      <c r="A288" s="4">
        <v>4</v>
      </c>
      <c r="B288" s="7">
        <v>1</v>
      </c>
      <c r="C288" s="7" t="s">
        <v>81</v>
      </c>
      <c r="D288" s="4" t="s">
        <v>40</v>
      </c>
      <c r="E288" s="4" t="s">
        <v>9</v>
      </c>
      <c r="F288" s="4" t="s">
        <v>68</v>
      </c>
    </row>
    <row r="289" spans="1:6" x14ac:dyDescent="0.3">
      <c r="A289" s="15">
        <v>4</v>
      </c>
      <c r="B289" s="11">
        <v>2</v>
      </c>
      <c r="C289" s="11" t="s">
        <v>80</v>
      </c>
      <c r="D289" s="11" t="s">
        <v>29</v>
      </c>
      <c r="E289" s="15" t="s">
        <v>42</v>
      </c>
      <c r="F289" s="15" t="s">
        <v>63</v>
      </c>
    </row>
    <row r="290" spans="1:6" x14ac:dyDescent="0.3">
      <c r="A290" s="4">
        <v>4</v>
      </c>
      <c r="B290" s="11">
        <v>1</v>
      </c>
      <c r="C290" s="11" t="s">
        <v>81</v>
      </c>
      <c r="D290" s="11" t="s">
        <v>29</v>
      </c>
      <c r="E290" s="4" t="s">
        <v>42</v>
      </c>
      <c r="F290" s="4" t="s">
        <v>61</v>
      </c>
    </row>
    <row r="291" spans="1:6" x14ac:dyDescent="0.3">
      <c r="A291" s="15">
        <v>4</v>
      </c>
      <c r="B291" s="11">
        <v>2</v>
      </c>
      <c r="C291" s="11" t="s">
        <v>80</v>
      </c>
      <c r="D291" s="11" t="s">
        <v>29</v>
      </c>
      <c r="E291" s="15" t="s">
        <v>42</v>
      </c>
      <c r="F291" s="15" t="s">
        <v>59</v>
      </c>
    </row>
    <row r="292" spans="1:6" x14ac:dyDescent="0.3">
      <c r="A292" t="s">
        <v>25</v>
      </c>
    </row>
    <row r="293" spans="1:6" x14ac:dyDescent="0.3">
      <c r="A293" s="12">
        <v>1</v>
      </c>
      <c r="B293" s="14">
        <v>2</v>
      </c>
      <c r="C293" s="13" t="s">
        <v>80</v>
      </c>
      <c r="D293" s="8" t="s">
        <v>29</v>
      </c>
      <c r="E293" s="15" t="s">
        <v>42</v>
      </c>
      <c r="F293" s="15" t="s">
        <v>69</v>
      </c>
    </row>
    <row r="294" spans="1:6" x14ac:dyDescent="0.3">
      <c r="A294" s="7">
        <v>1</v>
      </c>
      <c r="B294" s="4">
        <v>2</v>
      </c>
      <c r="C294" s="4" t="s">
        <v>80</v>
      </c>
      <c r="D294" s="4" t="s">
        <v>0</v>
      </c>
      <c r="E294" s="4" t="s">
        <v>41</v>
      </c>
      <c r="F294" s="4" t="s">
        <v>47</v>
      </c>
    </row>
    <row r="295" spans="1:6" x14ac:dyDescent="0.3">
      <c r="A295" s="12">
        <v>1</v>
      </c>
      <c r="B295" s="15">
        <v>2</v>
      </c>
      <c r="C295" s="15" t="s">
        <v>80</v>
      </c>
      <c r="D295" s="15" t="s">
        <v>40</v>
      </c>
      <c r="E295" s="15" t="s">
        <v>9</v>
      </c>
      <c r="F295" s="15" t="s">
        <v>47</v>
      </c>
    </row>
    <row r="296" spans="1:6" x14ac:dyDescent="0.3">
      <c r="A296" s="7">
        <v>1</v>
      </c>
      <c r="B296" s="14">
        <v>1</v>
      </c>
      <c r="C296" s="14" t="s">
        <v>81</v>
      </c>
      <c r="D296" s="8" t="s">
        <v>29</v>
      </c>
      <c r="E296" s="4" t="s">
        <v>42</v>
      </c>
      <c r="F296" s="4" t="s">
        <v>72</v>
      </c>
    </row>
    <row r="297" spans="1:6" x14ac:dyDescent="0.3">
      <c r="A297" s="12">
        <v>1</v>
      </c>
      <c r="B297" s="14">
        <v>2</v>
      </c>
      <c r="C297" s="13" t="s">
        <v>80</v>
      </c>
      <c r="D297" s="8" t="s">
        <v>29</v>
      </c>
      <c r="E297" s="15" t="s">
        <v>42</v>
      </c>
      <c r="F297" s="15" t="s">
        <v>70</v>
      </c>
    </row>
    <row r="298" spans="1:6" x14ac:dyDescent="0.3">
      <c r="A298" s="7">
        <v>1</v>
      </c>
      <c r="B298" s="14">
        <v>1</v>
      </c>
      <c r="C298" s="14" t="s">
        <v>81</v>
      </c>
      <c r="D298" s="8" t="s">
        <v>29</v>
      </c>
      <c r="E298" s="4" t="s">
        <v>42</v>
      </c>
      <c r="F298" s="4" t="s">
        <v>74</v>
      </c>
    </row>
    <row r="299" spans="1:6" x14ac:dyDescent="0.3">
      <c r="A299" s="12">
        <v>1</v>
      </c>
      <c r="B299" s="15">
        <v>2</v>
      </c>
      <c r="C299" s="15" t="s">
        <v>80</v>
      </c>
      <c r="D299" s="15" t="s">
        <v>0</v>
      </c>
      <c r="E299" s="15" t="s">
        <v>41</v>
      </c>
      <c r="F299" s="15" t="s">
        <v>50</v>
      </c>
    </row>
    <row r="300" spans="1:6" x14ac:dyDescent="0.3">
      <c r="A300" s="7">
        <v>1</v>
      </c>
      <c r="B300" s="4">
        <v>2</v>
      </c>
      <c r="C300" s="15" t="s">
        <v>80</v>
      </c>
      <c r="D300" s="4" t="s">
        <v>40</v>
      </c>
      <c r="E300" s="4" t="s">
        <v>9</v>
      </c>
      <c r="F300" s="4" t="s">
        <v>50</v>
      </c>
    </row>
    <row r="301" spans="1:6" x14ac:dyDescent="0.3">
      <c r="A301" s="12">
        <v>1</v>
      </c>
      <c r="B301" s="15">
        <v>2</v>
      </c>
      <c r="C301" s="15" t="s">
        <v>80</v>
      </c>
      <c r="D301" s="15" t="s">
        <v>0</v>
      </c>
      <c r="E301" s="15" t="s">
        <v>41</v>
      </c>
      <c r="F301" s="15" t="s">
        <v>49</v>
      </c>
    </row>
    <row r="302" spans="1:6" x14ac:dyDescent="0.3">
      <c r="A302" s="7">
        <v>1</v>
      </c>
      <c r="B302" s="4">
        <v>1</v>
      </c>
      <c r="C302" s="4" t="s">
        <v>81</v>
      </c>
      <c r="D302" s="4" t="s">
        <v>40</v>
      </c>
      <c r="E302" s="4" t="s">
        <v>10</v>
      </c>
      <c r="F302" s="4" t="s">
        <v>49</v>
      </c>
    </row>
    <row r="303" spans="1:6" x14ac:dyDescent="0.3">
      <c r="A303" s="12">
        <v>1</v>
      </c>
      <c r="B303" s="14">
        <v>1</v>
      </c>
      <c r="C303" s="13" t="s">
        <v>81</v>
      </c>
      <c r="D303" s="8" t="s">
        <v>29</v>
      </c>
      <c r="E303" s="15" t="s">
        <v>42</v>
      </c>
      <c r="F303" s="15" t="s">
        <v>71</v>
      </c>
    </row>
    <row r="304" spans="1:6" x14ac:dyDescent="0.3">
      <c r="A304" s="7">
        <v>1</v>
      </c>
      <c r="B304" s="4">
        <v>1</v>
      </c>
      <c r="C304" s="4" t="s">
        <v>81</v>
      </c>
      <c r="D304" s="4" t="s">
        <v>0</v>
      </c>
      <c r="E304" s="4" t="s">
        <v>41</v>
      </c>
      <c r="F304" s="4" t="s">
        <v>45</v>
      </c>
    </row>
    <row r="305" spans="1:12" x14ac:dyDescent="0.3">
      <c r="A305" s="12">
        <v>1</v>
      </c>
      <c r="B305" s="15">
        <v>2</v>
      </c>
      <c r="C305" s="15" t="s">
        <v>80</v>
      </c>
      <c r="D305" s="15" t="s">
        <v>40</v>
      </c>
      <c r="E305" s="15" t="s">
        <v>10</v>
      </c>
      <c r="F305" s="15" t="s">
        <v>45</v>
      </c>
    </row>
    <row r="306" spans="1:12" x14ac:dyDescent="0.3">
      <c r="A306" s="7">
        <v>1</v>
      </c>
      <c r="B306" s="4">
        <v>2</v>
      </c>
      <c r="C306" s="4" t="s">
        <v>80</v>
      </c>
      <c r="D306" s="4" t="s">
        <v>0</v>
      </c>
      <c r="E306" s="4" t="s">
        <v>41</v>
      </c>
      <c r="F306" s="4" t="s">
        <v>44</v>
      </c>
    </row>
    <row r="307" spans="1:12" x14ac:dyDescent="0.3">
      <c r="A307" s="12">
        <v>1</v>
      </c>
      <c r="B307" s="15">
        <v>1</v>
      </c>
      <c r="C307" s="15" t="s">
        <v>81</v>
      </c>
      <c r="D307" s="15" t="s">
        <v>40</v>
      </c>
      <c r="E307" s="15" t="s">
        <v>10</v>
      </c>
      <c r="F307" s="15" t="s">
        <v>44</v>
      </c>
    </row>
    <row r="308" spans="1:12" x14ac:dyDescent="0.3">
      <c r="A308" s="7">
        <v>1</v>
      </c>
      <c r="B308" s="14">
        <v>2</v>
      </c>
      <c r="C308" s="14" t="s">
        <v>80</v>
      </c>
      <c r="D308" s="8" t="s">
        <v>29</v>
      </c>
      <c r="E308" s="4" t="s">
        <v>42</v>
      </c>
      <c r="F308" s="4" t="s">
        <v>68</v>
      </c>
    </row>
    <row r="309" spans="1:12" x14ac:dyDescent="0.3">
      <c r="A309" s="12">
        <v>1</v>
      </c>
      <c r="B309" s="15">
        <v>1</v>
      </c>
      <c r="C309" s="15" t="s">
        <v>81</v>
      </c>
      <c r="D309" s="15" t="s">
        <v>0</v>
      </c>
      <c r="E309" s="15" t="s">
        <v>41</v>
      </c>
      <c r="F309" s="15" t="s">
        <v>46</v>
      </c>
    </row>
    <row r="310" spans="1:12" x14ac:dyDescent="0.3">
      <c r="A310" s="7">
        <v>1</v>
      </c>
      <c r="B310" s="4">
        <v>1</v>
      </c>
      <c r="C310" s="15" t="s">
        <v>81</v>
      </c>
      <c r="D310" s="4" t="s">
        <v>40</v>
      </c>
      <c r="E310" s="4" t="s">
        <v>9</v>
      </c>
      <c r="F310" s="4" t="s">
        <v>46</v>
      </c>
    </row>
    <row r="311" spans="1:12" x14ac:dyDescent="0.3">
      <c r="A311" s="12">
        <v>1</v>
      </c>
      <c r="B311" s="14">
        <v>1</v>
      </c>
      <c r="C311" s="13" t="s">
        <v>81</v>
      </c>
      <c r="D311" s="8" t="s">
        <v>29</v>
      </c>
      <c r="E311" s="15" t="s">
        <v>42</v>
      </c>
      <c r="F311" s="15" t="s">
        <v>67</v>
      </c>
    </row>
    <row r="312" spans="1:12" x14ac:dyDescent="0.3">
      <c r="A312" s="7">
        <v>1</v>
      </c>
      <c r="B312" s="14">
        <v>2</v>
      </c>
      <c r="C312" s="14" t="s">
        <v>80</v>
      </c>
      <c r="D312" s="8" t="s">
        <v>29</v>
      </c>
      <c r="E312" s="4" t="s">
        <v>42</v>
      </c>
      <c r="F312" s="4" t="s">
        <v>73</v>
      </c>
    </row>
    <row r="313" spans="1:12" x14ac:dyDescent="0.3">
      <c r="A313" s="12">
        <v>1</v>
      </c>
      <c r="B313" s="15">
        <v>1</v>
      </c>
      <c r="C313" s="15" t="s">
        <v>81</v>
      </c>
      <c r="D313" s="15" t="s">
        <v>0</v>
      </c>
      <c r="E313" s="15" t="s">
        <v>41</v>
      </c>
      <c r="F313" s="15" t="s">
        <v>43</v>
      </c>
      <c r="L313" t="s">
        <v>19</v>
      </c>
    </row>
    <row r="314" spans="1:12" x14ac:dyDescent="0.3">
      <c r="A314" s="7">
        <v>1</v>
      </c>
      <c r="B314" s="4">
        <v>1</v>
      </c>
      <c r="C314" s="15" t="s">
        <v>81</v>
      </c>
      <c r="D314" s="4" t="s">
        <v>40</v>
      </c>
      <c r="E314" s="4" t="s">
        <v>9</v>
      </c>
      <c r="F314" s="4" t="s">
        <v>43</v>
      </c>
    </row>
    <row r="315" spans="1:12" x14ac:dyDescent="0.3">
      <c r="A315" s="12">
        <v>1</v>
      </c>
      <c r="B315" s="15">
        <v>1</v>
      </c>
      <c r="C315" s="15" t="s">
        <v>81</v>
      </c>
      <c r="D315" s="15" t="s">
        <v>0</v>
      </c>
      <c r="E315" s="15" t="s">
        <v>41</v>
      </c>
      <c r="F315" s="15" t="s">
        <v>48</v>
      </c>
    </row>
    <row r="316" spans="1:12" x14ac:dyDescent="0.3">
      <c r="A316" s="7">
        <v>1</v>
      </c>
      <c r="B316" s="4">
        <v>2</v>
      </c>
      <c r="C316" s="4" t="s">
        <v>80</v>
      </c>
      <c r="D316" s="4" t="s">
        <v>40</v>
      </c>
      <c r="E316" s="4" t="s">
        <v>10</v>
      </c>
      <c r="F316" s="4" t="s">
        <v>48</v>
      </c>
    </row>
    <row r="317" spans="1:12" x14ac:dyDescent="0.3">
      <c r="A317" s="4">
        <v>2</v>
      </c>
      <c r="B317" s="4">
        <v>1</v>
      </c>
      <c r="C317" s="4" t="s">
        <v>81</v>
      </c>
      <c r="D317" s="4" t="s">
        <v>0</v>
      </c>
      <c r="E317" s="4" t="s">
        <v>41</v>
      </c>
      <c r="F317" s="4" t="s">
        <v>51</v>
      </c>
    </row>
    <row r="318" spans="1:12" x14ac:dyDescent="0.3">
      <c r="A318" s="4">
        <v>2</v>
      </c>
      <c r="B318" s="4">
        <v>1</v>
      </c>
      <c r="C318" s="4" t="s">
        <v>81</v>
      </c>
      <c r="D318" s="4" t="s">
        <v>40</v>
      </c>
      <c r="E318" s="4" t="s">
        <v>9</v>
      </c>
      <c r="F318" s="4" t="s">
        <v>51</v>
      </c>
    </row>
    <row r="319" spans="1:12" x14ac:dyDescent="0.3">
      <c r="A319" s="4">
        <v>2</v>
      </c>
      <c r="B319" s="9">
        <v>2</v>
      </c>
      <c r="C319" s="9" t="s">
        <v>80</v>
      </c>
      <c r="D319" s="9" t="s">
        <v>29</v>
      </c>
      <c r="E319" s="4" t="s">
        <v>42</v>
      </c>
      <c r="F319" s="4" t="s">
        <v>47</v>
      </c>
    </row>
    <row r="320" spans="1:12" x14ac:dyDescent="0.3">
      <c r="A320" s="15">
        <v>2</v>
      </c>
      <c r="B320" s="15">
        <v>1</v>
      </c>
      <c r="C320" s="15" t="s">
        <v>81</v>
      </c>
      <c r="D320" s="15" t="s">
        <v>0</v>
      </c>
      <c r="E320" s="15" t="s">
        <v>41</v>
      </c>
      <c r="F320" s="15" t="s">
        <v>55</v>
      </c>
    </row>
    <row r="321" spans="1:6" x14ac:dyDescent="0.3">
      <c r="A321" s="4">
        <v>2</v>
      </c>
      <c r="B321" s="4">
        <v>1</v>
      </c>
      <c r="C321" s="4" t="s">
        <v>81</v>
      </c>
      <c r="D321" s="4" t="s">
        <v>40</v>
      </c>
      <c r="E321" s="4" t="s">
        <v>9</v>
      </c>
      <c r="F321" s="4" t="s">
        <v>55</v>
      </c>
    </row>
    <row r="322" spans="1:6" x14ac:dyDescent="0.3">
      <c r="A322" s="15">
        <v>2</v>
      </c>
      <c r="B322" s="9">
        <v>2</v>
      </c>
      <c r="C322" s="9" t="s">
        <v>80</v>
      </c>
      <c r="D322" s="9" t="s">
        <v>29</v>
      </c>
      <c r="E322" s="15" t="s">
        <v>42</v>
      </c>
      <c r="F322" s="15" t="s">
        <v>50</v>
      </c>
    </row>
    <row r="323" spans="1:6" x14ac:dyDescent="0.3">
      <c r="A323" s="15">
        <v>2</v>
      </c>
      <c r="B323" s="15">
        <v>1</v>
      </c>
      <c r="C323" s="15" t="s">
        <v>81</v>
      </c>
      <c r="D323" s="15" t="s">
        <v>0</v>
      </c>
      <c r="E323" s="15" t="s">
        <v>41</v>
      </c>
      <c r="F323" s="15" t="s">
        <v>53</v>
      </c>
    </row>
    <row r="324" spans="1:6" x14ac:dyDescent="0.3">
      <c r="A324" s="4">
        <v>2</v>
      </c>
      <c r="B324" s="4">
        <v>1</v>
      </c>
      <c r="C324" s="32" t="s">
        <v>80</v>
      </c>
      <c r="D324" s="4" t="s">
        <v>40</v>
      </c>
      <c r="E324" s="4" t="s">
        <v>10</v>
      </c>
      <c r="F324" s="4" t="s">
        <v>53</v>
      </c>
    </row>
    <row r="325" spans="1:6" x14ac:dyDescent="0.3">
      <c r="A325" s="4">
        <v>2</v>
      </c>
      <c r="B325" s="4">
        <v>2</v>
      </c>
      <c r="C325" s="4" t="s">
        <v>80</v>
      </c>
      <c r="D325" s="4" t="s">
        <v>0</v>
      </c>
      <c r="E325" s="4" t="s">
        <v>41</v>
      </c>
      <c r="F325" s="4" t="s">
        <v>57</v>
      </c>
    </row>
    <row r="326" spans="1:6" x14ac:dyDescent="0.3">
      <c r="A326" s="4">
        <v>2</v>
      </c>
      <c r="B326" s="4">
        <v>1</v>
      </c>
      <c r="C326" s="4" t="s">
        <v>81</v>
      </c>
      <c r="D326" s="4" t="s">
        <v>40</v>
      </c>
      <c r="E326" s="4" t="s">
        <v>10</v>
      </c>
      <c r="F326" s="4" t="s">
        <v>57</v>
      </c>
    </row>
    <row r="327" spans="1:6" x14ac:dyDescent="0.3">
      <c r="A327" s="4">
        <v>2</v>
      </c>
      <c r="B327" s="9">
        <v>1</v>
      </c>
      <c r="C327" s="9" t="s">
        <v>81</v>
      </c>
      <c r="D327" s="9" t="s">
        <v>29</v>
      </c>
      <c r="E327" s="4" t="s">
        <v>42</v>
      </c>
      <c r="F327" s="4" t="s">
        <v>49</v>
      </c>
    </row>
    <row r="328" spans="1:6" x14ac:dyDescent="0.3">
      <c r="A328" s="15">
        <v>2</v>
      </c>
      <c r="B328" s="9">
        <v>2</v>
      </c>
      <c r="C328" s="9" t="s">
        <v>80</v>
      </c>
      <c r="D328" s="9" t="s">
        <v>29</v>
      </c>
      <c r="E328" s="15" t="s">
        <v>42</v>
      </c>
      <c r="F328" s="15" t="s">
        <v>45</v>
      </c>
    </row>
    <row r="329" spans="1:6" x14ac:dyDescent="0.3">
      <c r="A329" s="4">
        <v>2</v>
      </c>
      <c r="B329" s="9">
        <v>1</v>
      </c>
      <c r="C329" s="9" t="s">
        <v>81</v>
      </c>
      <c r="D329" s="9" t="s">
        <v>29</v>
      </c>
      <c r="E329" s="4" t="s">
        <v>42</v>
      </c>
      <c r="F329" s="4" t="s">
        <v>44</v>
      </c>
    </row>
    <row r="330" spans="1:6" x14ac:dyDescent="0.3">
      <c r="A330" s="15">
        <v>2</v>
      </c>
      <c r="B330" s="15">
        <v>1</v>
      </c>
      <c r="C330" s="15" t="s">
        <v>81</v>
      </c>
      <c r="D330" s="15" t="s">
        <v>0</v>
      </c>
      <c r="E330" s="15" t="s">
        <v>41</v>
      </c>
      <c r="F330" s="15" t="s">
        <v>52</v>
      </c>
    </row>
    <row r="331" spans="1:6" x14ac:dyDescent="0.3">
      <c r="A331" s="4">
        <v>2</v>
      </c>
      <c r="B331" s="4">
        <v>2</v>
      </c>
      <c r="C331" s="4" t="s">
        <v>80</v>
      </c>
      <c r="D331" s="4" t="s">
        <v>40</v>
      </c>
      <c r="E331" s="4" t="s">
        <v>10</v>
      </c>
      <c r="F331" s="4" t="s">
        <v>52</v>
      </c>
    </row>
    <row r="332" spans="1:6" x14ac:dyDescent="0.3">
      <c r="A332" s="15">
        <v>2</v>
      </c>
      <c r="B332" s="15">
        <v>2</v>
      </c>
      <c r="C332" s="15" t="s">
        <v>80</v>
      </c>
      <c r="D332" s="15" t="s">
        <v>0</v>
      </c>
      <c r="E332" s="15" t="s">
        <v>41</v>
      </c>
      <c r="F332" s="15" t="s">
        <v>56</v>
      </c>
    </row>
    <row r="333" spans="1:6" x14ac:dyDescent="0.3">
      <c r="A333" s="4">
        <v>2</v>
      </c>
      <c r="B333" s="4">
        <v>2</v>
      </c>
      <c r="C333" s="4" t="s">
        <v>80</v>
      </c>
      <c r="D333" s="4" t="s">
        <v>40</v>
      </c>
      <c r="E333" s="4" t="s">
        <v>9</v>
      </c>
      <c r="F333" s="4" t="s">
        <v>56</v>
      </c>
    </row>
    <row r="334" spans="1:6" x14ac:dyDescent="0.3">
      <c r="A334" s="15">
        <v>2</v>
      </c>
      <c r="B334" s="9">
        <v>1</v>
      </c>
      <c r="C334" s="9" t="s">
        <v>81</v>
      </c>
      <c r="D334" s="9" t="s">
        <v>29</v>
      </c>
      <c r="E334" s="15" t="s">
        <v>42</v>
      </c>
      <c r="F334" s="15" t="s">
        <v>46</v>
      </c>
    </row>
    <row r="335" spans="1:6" x14ac:dyDescent="0.3">
      <c r="A335" s="4">
        <v>2</v>
      </c>
      <c r="B335" s="4">
        <v>2</v>
      </c>
      <c r="C335" s="4" t="s">
        <v>80</v>
      </c>
      <c r="D335" s="4" t="s">
        <v>0</v>
      </c>
      <c r="E335" s="4" t="s">
        <v>41</v>
      </c>
      <c r="F335" s="4" t="s">
        <v>54</v>
      </c>
    </row>
    <row r="336" spans="1:6" x14ac:dyDescent="0.3">
      <c r="A336" s="4">
        <v>2</v>
      </c>
      <c r="B336" s="4">
        <v>2</v>
      </c>
      <c r="C336" s="4" t="s">
        <v>80</v>
      </c>
      <c r="D336" s="4" t="s">
        <v>40</v>
      </c>
      <c r="E336" s="4" t="s">
        <v>9</v>
      </c>
      <c r="F336" s="4" t="s">
        <v>54</v>
      </c>
    </row>
    <row r="337" spans="1:6" x14ac:dyDescent="0.3">
      <c r="A337" s="4">
        <v>2</v>
      </c>
      <c r="B337" s="9">
        <v>1</v>
      </c>
      <c r="C337" s="9" t="s">
        <v>81</v>
      </c>
      <c r="D337" s="9" t="s">
        <v>29</v>
      </c>
      <c r="E337" s="4" t="s">
        <v>42</v>
      </c>
      <c r="F337" s="4" t="s">
        <v>43</v>
      </c>
    </row>
    <row r="338" spans="1:6" x14ac:dyDescent="0.3">
      <c r="A338" s="15">
        <v>2</v>
      </c>
      <c r="B338" s="9">
        <v>2</v>
      </c>
      <c r="C338" s="9" t="s">
        <v>80</v>
      </c>
      <c r="D338" s="9" t="s">
        <v>29</v>
      </c>
      <c r="E338" s="15" t="s">
        <v>42</v>
      </c>
      <c r="F338" s="15" t="s">
        <v>48</v>
      </c>
    </row>
    <row r="339" spans="1:6" x14ac:dyDescent="0.3">
      <c r="A339" s="4">
        <v>2</v>
      </c>
      <c r="B339" s="4">
        <v>2</v>
      </c>
      <c r="C339" s="4" t="s">
        <v>80</v>
      </c>
      <c r="D339" s="4" t="s">
        <v>0</v>
      </c>
      <c r="E339" s="4" t="s">
        <v>41</v>
      </c>
      <c r="F339" s="4" t="s">
        <v>58</v>
      </c>
    </row>
    <row r="340" spans="1:6" x14ac:dyDescent="0.3">
      <c r="A340" s="4">
        <v>2</v>
      </c>
      <c r="B340" s="4">
        <v>1</v>
      </c>
      <c r="C340" s="4" t="s">
        <v>81</v>
      </c>
      <c r="D340" s="4" t="s">
        <v>40</v>
      </c>
      <c r="E340" s="4" t="s">
        <v>10</v>
      </c>
      <c r="F340" s="4" t="s">
        <v>58</v>
      </c>
    </row>
    <row r="341" spans="1:6" x14ac:dyDescent="0.3">
      <c r="A341" s="12">
        <v>3</v>
      </c>
      <c r="B341" s="15">
        <v>1</v>
      </c>
      <c r="C341" s="15" t="s">
        <v>81</v>
      </c>
      <c r="D341" s="15" t="s">
        <v>0</v>
      </c>
      <c r="E341" s="15" t="s">
        <v>41</v>
      </c>
      <c r="F341" s="15" t="s">
        <v>63</v>
      </c>
    </row>
    <row r="342" spans="1:6" x14ac:dyDescent="0.3">
      <c r="A342" s="7">
        <v>3</v>
      </c>
      <c r="B342" s="4">
        <v>2</v>
      </c>
      <c r="C342" s="4" t="s">
        <v>80</v>
      </c>
      <c r="D342" s="4" t="s">
        <v>40</v>
      </c>
      <c r="E342" s="4" t="s">
        <v>10</v>
      </c>
      <c r="F342" s="4" t="s">
        <v>63</v>
      </c>
    </row>
    <row r="343" spans="1:6" x14ac:dyDescent="0.3">
      <c r="A343" s="12">
        <v>3</v>
      </c>
      <c r="B343" s="15">
        <v>2</v>
      </c>
      <c r="C343" s="15" t="s">
        <v>80</v>
      </c>
      <c r="D343" s="15" t="s">
        <v>0</v>
      </c>
      <c r="E343" s="15" t="s">
        <v>41</v>
      </c>
      <c r="F343" s="15" t="s">
        <v>59</v>
      </c>
    </row>
    <row r="344" spans="1:6" x14ac:dyDescent="0.3">
      <c r="A344" s="7">
        <v>3</v>
      </c>
      <c r="B344" s="4">
        <v>1</v>
      </c>
      <c r="C344" s="4" t="s">
        <v>81</v>
      </c>
      <c r="D344" s="4" t="s">
        <v>40</v>
      </c>
      <c r="E344" s="4" t="s">
        <v>10</v>
      </c>
      <c r="F344" s="4" t="s">
        <v>59</v>
      </c>
    </row>
    <row r="345" spans="1:6" x14ac:dyDescent="0.3">
      <c r="A345" s="12">
        <v>3</v>
      </c>
      <c r="B345" s="10">
        <v>2</v>
      </c>
      <c r="C345" s="10" t="s">
        <v>80</v>
      </c>
      <c r="D345" s="10" t="s">
        <v>29</v>
      </c>
      <c r="E345" s="15" t="s">
        <v>42</v>
      </c>
      <c r="F345" s="15" t="s">
        <v>51</v>
      </c>
    </row>
    <row r="346" spans="1:6" x14ac:dyDescent="0.3">
      <c r="A346" s="7">
        <v>3</v>
      </c>
      <c r="B346" s="10">
        <v>1</v>
      </c>
      <c r="C346" s="10" t="s">
        <v>81</v>
      </c>
      <c r="D346" s="10" t="s">
        <v>29</v>
      </c>
      <c r="E346" s="4" t="s">
        <v>42</v>
      </c>
      <c r="F346" s="4" t="s">
        <v>55</v>
      </c>
    </row>
    <row r="347" spans="1:6" x14ac:dyDescent="0.3">
      <c r="A347" s="12">
        <v>3</v>
      </c>
      <c r="B347" s="15">
        <v>1</v>
      </c>
      <c r="C347" s="15" t="s">
        <v>81</v>
      </c>
      <c r="D347" s="15" t="s">
        <v>0</v>
      </c>
      <c r="E347" s="15" t="s">
        <v>41</v>
      </c>
      <c r="F347" s="15" t="s">
        <v>65</v>
      </c>
    </row>
    <row r="348" spans="1:6" x14ac:dyDescent="0.3">
      <c r="A348" s="7">
        <v>3</v>
      </c>
      <c r="B348" s="4">
        <v>2</v>
      </c>
      <c r="C348" s="4" t="s">
        <v>80</v>
      </c>
      <c r="D348" s="4" t="s">
        <v>40</v>
      </c>
      <c r="E348" s="4" t="s">
        <v>10</v>
      </c>
      <c r="F348" s="4" t="s">
        <v>65</v>
      </c>
    </row>
    <row r="349" spans="1:6" x14ac:dyDescent="0.3">
      <c r="A349" s="12">
        <v>3</v>
      </c>
      <c r="B349" s="10">
        <v>1</v>
      </c>
      <c r="C349" s="10" t="s">
        <v>81</v>
      </c>
      <c r="D349" s="10" t="s">
        <v>29</v>
      </c>
      <c r="E349" s="15" t="s">
        <v>42</v>
      </c>
      <c r="F349" s="15" t="s">
        <v>53</v>
      </c>
    </row>
    <row r="350" spans="1:6" x14ac:dyDescent="0.3">
      <c r="A350" s="7">
        <v>3</v>
      </c>
      <c r="B350" s="4">
        <v>2</v>
      </c>
      <c r="C350" s="4" t="s">
        <v>80</v>
      </c>
      <c r="D350" s="4" t="s">
        <v>0</v>
      </c>
      <c r="E350" s="4" t="s">
        <v>41</v>
      </c>
      <c r="F350" s="4" t="s">
        <v>61</v>
      </c>
    </row>
    <row r="351" spans="1:6" x14ac:dyDescent="0.3">
      <c r="A351" s="12">
        <v>3</v>
      </c>
      <c r="B351" s="15">
        <v>2</v>
      </c>
      <c r="C351" s="15" t="s">
        <v>80</v>
      </c>
      <c r="D351" s="15" t="s">
        <v>40</v>
      </c>
      <c r="E351" s="15" t="s">
        <v>9</v>
      </c>
      <c r="F351" s="15" t="s">
        <v>61</v>
      </c>
    </row>
    <row r="352" spans="1:6" x14ac:dyDescent="0.3">
      <c r="A352" s="7">
        <v>3</v>
      </c>
      <c r="B352" s="10">
        <v>1</v>
      </c>
      <c r="C352" s="10" t="s">
        <v>81</v>
      </c>
      <c r="D352" s="10" t="s">
        <v>29</v>
      </c>
      <c r="E352" s="4" t="s">
        <v>42</v>
      </c>
      <c r="F352" s="4" t="s">
        <v>57</v>
      </c>
    </row>
    <row r="353" spans="1:6" x14ac:dyDescent="0.3">
      <c r="A353" s="12">
        <v>3</v>
      </c>
      <c r="B353" s="10">
        <v>1</v>
      </c>
      <c r="C353" s="10" t="s">
        <v>81</v>
      </c>
      <c r="D353" s="10" t="s">
        <v>29</v>
      </c>
      <c r="E353" s="15" t="s">
        <v>42</v>
      </c>
      <c r="F353" s="15" t="s">
        <v>52</v>
      </c>
    </row>
    <row r="354" spans="1:6" x14ac:dyDescent="0.3">
      <c r="A354" s="7">
        <v>3</v>
      </c>
      <c r="B354" s="4">
        <v>2</v>
      </c>
      <c r="C354" s="4" t="s">
        <v>80</v>
      </c>
      <c r="D354" s="4" t="s">
        <v>0</v>
      </c>
      <c r="E354" s="4" t="s">
        <v>41</v>
      </c>
      <c r="F354" s="4" t="s">
        <v>60</v>
      </c>
    </row>
    <row r="355" spans="1:6" x14ac:dyDescent="0.3">
      <c r="A355" s="12">
        <v>3</v>
      </c>
      <c r="B355" s="15">
        <v>2</v>
      </c>
      <c r="C355" s="15" t="s">
        <v>80</v>
      </c>
      <c r="D355" s="15" t="s">
        <v>40</v>
      </c>
      <c r="E355" s="15" t="s">
        <v>9</v>
      </c>
      <c r="F355" s="15" t="s">
        <v>60</v>
      </c>
    </row>
    <row r="356" spans="1:6" x14ac:dyDescent="0.3">
      <c r="A356" s="7">
        <v>3</v>
      </c>
      <c r="B356" s="4">
        <v>2</v>
      </c>
      <c r="C356" s="4" t="s">
        <v>80</v>
      </c>
      <c r="D356" s="4" t="s">
        <v>0</v>
      </c>
      <c r="E356" s="4" t="s">
        <v>41</v>
      </c>
      <c r="F356" s="4" t="s">
        <v>66</v>
      </c>
    </row>
    <row r="357" spans="1:6" x14ac:dyDescent="0.3">
      <c r="A357" s="12">
        <v>3</v>
      </c>
      <c r="B357" s="15">
        <v>1</v>
      </c>
      <c r="C357" s="15" t="s">
        <v>81</v>
      </c>
      <c r="D357" s="15" t="s">
        <v>40</v>
      </c>
      <c r="E357" s="15" t="s">
        <v>10</v>
      </c>
      <c r="F357" s="15" t="s">
        <v>66</v>
      </c>
    </row>
    <row r="358" spans="1:6" x14ac:dyDescent="0.3">
      <c r="A358" s="7">
        <v>3</v>
      </c>
      <c r="B358" s="10">
        <v>2</v>
      </c>
      <c r="C358" s="10" t="s">
        <v>80</v>
      </c>
      <c r="D358" s="10" t="s">
        <v>29</v>
      </c>
      <c r="E358" s="4" t="s">
        <v>42</v>
      </c>
      <c r="F358" s="4" t="s">
        <v>56</v>
      </c>
    </row>
    <row r="359" spans="1:6" x14ac:dyDescent="0.3">
      <c r="A359" s="12">
        <v>3</v>
      </c>
      <c r="B359" s="10">
        <v>2</v>
      </c>
      <c r="C359" s="10" t="s">
        <v>80</v>
      </c>
      <c r="D359" s="10" t="s">
        <v>29</v>
      </c>
      <c r="E359" s="15" t="s">
        <v>42</v>
      </c>
      <c r="F359" s="15" t="s">
        <v>54</v>
      </c>
    </row>
    <row r="360" spans="1:6" x14ac:dyDescent="0.3">
      <c r="A360" s="7">
        <v>3</v>
      </c>
      <c r="B360" s="4">
        <v>1</v>
      </c>
      <c r="C360" s="4" t="s">
        <v>81</v>
      </c>
      <c r="D360" s="4" t="s">
        <v>0</v>
      </c>
      <c r="E360" s="4" t="s">
        <v>41</v>
      </c>
      <c r="F360" s="4" t="s">
        <v>64</v>
      </c>
    </row>
    <row r="361" spans="1:6" x14ac:dyDescent="0.3">
      <c r="A361" s="12">
        <v>3</v>
      </c>
      <c r="B361" s="15">
        <v>1</v>
      </c>
      <c r="C361" s="15" t="s">
        <v>81</v>
      </c>
      <c r="D361" s="15" t="s">
        <v>40</v>
      </c>
      <c r="E361" s="15" t="s">
        <v>9</v>
      </c>
      <c r="F361" s="15" t="s">
        <v>64</v>
      </c>
    </row>
    <row r="362" spans="1:6" x14ac:dyDescent="0.3">
      <c r="A362" s="7">
        <v>3</v>
      </c>
      <c r="B362" s="10">
        <v>2</v>
      </c>
      <c r="C362" s="10" t="s">
        <v>80</v>
      </c>
      <c r="D362" s="10" t="s">
        <v>29</v>
      </c>
      <c r="E362" s="4" t="s">
        <v>42</v>
      </c>
      <c r="F362" s="4" t="s">
        <v>58</v>
      </c>
    </row>
    <row r="363" spans="1:6" x14ac:dyDescent="0.3">
      <c r="A363" s="12">
        <v>3</v>
      </c>
      <c r="B363" s="15">
        <v>1</v>
      </c>
      <c r="C363" s="15" t="s">
        <v>81</v>
      </c>
      <c r="D363" s="15" t="s">
        <v>0</v>
      </c>
      <c r="E363" s="15" t="s">
        <v>41</v>
      </c>
      <c r="F363" s="15" t="s">
        <v>62</v>
      </c>
    </row>
    <row r="364" spans="1:6" x14ac:dyDescent="0.3">
      <c r="A364" s="7">
        <v>3</v>
      </c>
      <c r="B364" s="4">
        <v>1</v>
      </c>
      <c r="C364" s="4" t="s">
        <v>81</v>
      </c>
      <c r="D364" s="4" t="s">
        <v>40</v>
      </c>
      <c r="E364" s="4" t="s">
        <v>9</v>
      </c>
      <c r="F364" s="4" t="s">
        <v>62</v>
      </c>
    </row>
    <row r="365" spans="1:6" x14ac:dyDescent="0.3">
      <c r="A365" s="4">
        <v>4</v>
      </c>
      <c r="B365" s="11">
        <v>2</v>
      </c>
      <c r="C365" s="11" t="s">
        <v>80</v>
      </c>
      <c r="D365" s="11" t="s">
        <v>29</v>
      </c>
      <c r="E365" s="4" t="s">
        <v>42</v>
      </c>
      <c r="F365" s="4" t="s">
        <v>63</v>
      </c>
    </row>
    <row r="366" spans="1:6" x14ac:dyDescent="0.3">
      <c r="A366" s="15">
        <v>4</v>
      </c>
      <c r="B366" s="11">
        <v>2</v>
      </c>
      <c r="C366" s="11" t="s">
        <v>80</v>
      </c>
      <c r="D366" s="11" t="s">
        <v>29</v>
      </c>
      <c r="E366" s="15" t="s">
        <v>42</v>
      </c>
      <c r="F366" s="15" t="s">
        <v>59</v>
      </c>
    </row>
    <row r="367" spans="1:6" x14ac:dyDescent="0.3">
      <c r="A367" s="4">
        <v>4</v>
      </c>
      <c r="B367" s="4">
        <v>1</v>
      </c>
      <c r="C367" s="4" t="s">
        <v>81</v>
      </c>
      <c r="D367" s="4" t="s">
        <v>0</v>
      </c>
      <c r="E367" s="4" t="s">
        <v>41</v>
      </c>
      <c r="F367" s="4" t="s">
        <v>69</v>
      </c>
    </row>
    <row r="368" spans="1:6" x14ac:dyDescent="0.3">
      <c r="A368" s="15">
        <v>4</v>
      </c>
      <c r="B368" s="15">
        <v>1</v>
      </c>
      <c r="C368" s="15" t="s">
        <v>81</v>
      </c>
      <c r="D368" s="15" t="s">
        <v>40</v>
      </c>
      <c r="E368" s="15" t="s">
        <v>9</v>
      </c>
      <c r="F368" s="15" t="s">
        <v>69</v>
      </c>
    </row>
    <row r="369" spans="1:6" x14ac:dyDescent="0.3">
      <c r="A369" s="4">
        <v>4</v>
      </c>
      <c r="B369" s="4">
        <v>1</v>
      </c>
      <c r="C369" s="4" t="s">
        <v>81</v>
      </c>
      <c r="D369" s="4" t="s">
        <v>0</v>
      </c>
      <c r="E369" s="4" t="s">
        <v>41</v>
      </c>
      <c r="F369" s="4" t="s">
        <v>72</v>
      </c>
    </row>
    <row r="370" spans="1:6" x14ac:dyDescent="0.3">
      <c r="A370" s="15">
        <v>4</v>
      </c>
      <c r="B370" s="15">
        <v>2</v>
      </c>
      <c r="C370" s="15" t="s">
        <v>80</v>
      </c>
      <c r="D370" s="15" t="s">
        <v>40</v>
      </c>
      <c r="E370" s="15" t="s">
        <v>10</v>
      </c>
      <c r="F370" s="15" t="s">
        <v>72</v>
      </c>
    </row>
    <row r="371" spans="1:6" x14ac:dyDescent="0.3">
      <c r="A371" s="4">
        <v>4</v>
      </c>
      <c r="B371" s="11">
        <v>1</v>
      </c>
      <c r="C371" s="11" t="s">
        <v>81</v>
      </c>
      <c r="D371" s="11" t="s">
        <v>29</v>
      </c>
      <c r="E371" s="4" t="s">
        <v>42</v>
      </c>
      <c r="F371" s="4" t="s">
        <v>65</v>
      </c>
    </row>
    <row r="372" spans="1:6" x14ac:dyDescent="0.3">
      <c r="A372" s="15">
        <v>4</v>
      </c>
      <c r="B372" s="15">
        <v>2</v>
      </c>
      <c r="C372" s="15" t="s">
        <v>80</v>
      </c>
      <c r="D372" s="15" t="s">
        <v>0</v>
      </c>
      <c r="E372" s="15" t="s">
        <v>41</v>
      </c>
      <c r="F372" s="15" t="s">
        <v>70</v>
      </c>
    </row>
    <row r="373" spans="1:6" x14ac:dyDescent="0.3">
      <c r="A373" s="4">
        <v>4</v>
      </c>
      <c r="B373" s="4">
        <v>2</v>
      </c>
      <c r="C373" s="4" t="s">
        <v>80</v>
      </c>
      <c r="D373" s="4" t="s">
        <v>40</v>
      </c>
      <c r="E373" s="4" t="s">
        <v>9</v>
      </c>
      <c r="F373" s="4" t="s">
        <v>70</v>
      </c>
    </row>
    <row r="374" spans="1:6" x14ac:dyDescent="0.3">
      <c r="A374" s="15">
        <v>4</v>
      </c>
      <c r="B374" s="15">
        <v>2</v>
      </c>
      <c r="C374" s="15" t="s">
        <v>80</v>
      </c>
      <c r="D374" s="15" t="s">
        <v>0</v>
      </c>
      <c r="E374" s="15" t="s">
        <v>41</v>
      </c>
      <c r="F374" s="15" t="s">
        <v>74</v>
      </c>
    </row>
    <row r="375" spans="1:6" x14ac:dyDescent="0.3">
      <c r="A375" s="4">
        <v>4</v>
      </c>
      <c r="B375" s="4">
        <v>1</v>
      </c>
      <c r="C375" s="4" t="s">
        <v>81</v>
      </c>
      <c r="D375" s="4" t="s">
        <v>40</v>
      </c>
      <c r="E375" s="4" t="s">
        <v>10</v>
      </c>
      <c r="F375" s="4" t="s">
        <v>74</v>
      </c>
    </row>
    <row r="376" spans="1:6" x14ac:dyDescent="0.3">
      <c r="A376" s="15">
        <v>4</v>
      </c>
      <c r="B376" s="11">
        <v>2</v>
      </c>
      <c r="C376" s="11" t="s">
        <v>80</v>
      </c>
      <c r="D376" s="11" t="s">
        <v>29</v>
      </c>
      <c r="E376" s="15" t="s">
        <v>42</v>
      </c>
      <c r="F376" s="15" t="s">
        <v>61</v>
      </c>
    </row>
    <row r="377" spans="1:6" x14ac:dyDescent="0.3">
      <c r="A377" s="4">
        <v>4</v>
      </c>
      <c r="B377" s="4">
        <v>1</v>
      </c>
      <c r="C377" s="4" t="s">
        <v>81</v>
      </c>
      <c r="D377" s="4" t="s">
        <v>0</v>
      </c>
      <c r="E377" s="4" t="s">
        <v>41</v>
      </c>
      <c r="F377" s="4" t="s">
        <v>71</v>
      </c>
    </row>
    <row r="378" spans="1:6" x14ac:dyDescent="0.3">
      <c r="A378" s="15">
        <v>4</v>
      </c>
      <c r="B378" s="15">
        <v>2</v>
      </c>
      <c r="C378" s="15" t="s">
        <v>80</v>
      </c>
      <c r="D378" s="15" t="s">
        <v>40</v>
      </c>
      <c r="E378" s="15" t="s">
        <v>10</v>
      </c>
      <c r="F378" s="15" t="s">
        <v>71</v>
      </c>
    </row>
    <row r="379" spans="1:6" x14ac:dyDescent="0.3">
      <c r="A379" s="4">
        <v>4</v>
      </c>
      <c r="B379" s="4">
        <v>2</v>
      </c>
      <c r="C379" s="4" t="s">
        <v>80</v>
      </c>
      <c r="D379" s="4" t="s">
        <v>0</v>
      </c>
      <c r="E379" s="4" t="s">
        <v>41</v>
      </c>
      <c r="F379" s="4" t="s">
        <v>68</v>
      </c>
    </row>
    <row r="380" spans="1:6" x14ac:dyDescent="0.3">
      <c r="A380" s="15">
        <v>4</v>
      </c>
      <c r="B380" s="15">
        <v>2</v>
      </c>
      <c r="C380" s="15" t="s">
        <v>80</v>
      </c>
      <c r="D380" s="15" t="s">
        <v>40</v>
      </c>
      <c r="E380" s="15" t="s">
        <v>9</v>
      </c>
      <c r="F380" s="15" t="s">
        <v>68</v>
      </c>
    </row>
    <row r="381" spans="1:6" x14ac:dyDescent="0.3">
      <c r="A381" s="15">
        <v>4</v>
      </c>
      <c r="B381" s="11">
        <v>1</v>
      </c>
      <c r="C381" s="11" t="s">
        <v>81</v>
      </c>
      <c r="D381" s="11" t="s">
        <v>29</v>
      </c>
      <c r="E381" s="15" t="s">
        <v>42</v>
      </c>
      <c r="F381" s="15" t="s">
        <v>60</v>
      </c>
    </row>
    <row r="382" spans="1:6" x14ac:dyDescent="0.3">
      <c r="A382" s="4">
        <v>4</v>
      </c>
      <c r="B382" s="11">
        <v>1</v>
      </c>
      <c r="C382" s="11" t="s">
        <v>81</v>
      </c>
      <c r="D382" s="11" t="s">
        <v>29</v>
      </c>
      <c r="E382" s="4" t="s">
        <v>42</v>
      </c>
      <c r="F382" s="4" t="s">
        <v>66</v>
      </c>
    </row>
    <row r="383" spans="1:6" x14ac:dyDescent="0.3">
      <c r="A383" s="4">
        <v>4</v>
      </c>
      <c r="B383" s="4">
        <v>2</v>
      </c>
      <c r="C383" s="4" t="s">
        <v>80</v>
      </c>
      <c r="D383" s="4" t="s">
        <v>0</v>
      </c>
      <c r="E383" s="4" t="s">
        <v>41</v>
      </c>
      <c r="F383" s="4" t="s">
        <v>67</v>
      </c>
    </row>
    <row r="384" spans="1:6" x14ac:dyDescent="0.3">
      <c r="A384" s="15">
        <v>4</v>
      </c>
      <c r="B384" s="15">
        <v>1</v>
      </c>
      <c r="C384" s="15" t="s">
        <v>81</v>
      </c>
      <c r="D384" s="15" t="s">
        <v>40</v>
      </c>
      <c r="E384" s="15" t="s">
        <v>10</v>
      </c>
      <c r="F384" s="15" t="s">
        <v>67</v>
      </c>
    </row>
    <row r="385" spans="1:6" x14ac:dyDescent="0.3">
      <c r="A385" s="4">
        <v>4</v>
      </c>
      <c r="B385" s="4">
        <v>1</v>
      </c>
      <c r="C385" s="4" t="s">
        <v>81</v>
      </c>
      <c r="D385" s="4" t="s">
        <v>0</v>
      </c>
      <c r="E385" s="4" t="s">
        <v>41</v>
      </c>
      <c r="F385" s="4" t="s">
        <v>73</v>
      </c>
    </row>
    <row r="386" spans="1:6" x14ac:dyDescent="0.3">
      <c r="A386" s="15">
        <v>4</v>
      </c>
      <c r="B386" s="15">
        <v>1</v>
      </c>
      <c r="C386" s="15" t="s">
        <v>81</v>
      </c>
      <c r="D386" s="15" t="s">
        <v>40</v>
      </c>
      <c r="E386" s="15" t="s">
        <v>9</v>
      </c>
      <c r="F386" s="15" t="s">
        <v>73</v>
      </c>
    </row>
    <row r="387" spans="1:6" x14ac:dyDescent="0.3">
      <c r="A387" s="4">
        <v>4</v>
      </c>
      <c r="B387" s="11">
        <v>2</v>
      </c>
      <c r="C387" s="11" t="s">
        <v>80</v>
      </c>
      <c r="D387" s="11" t="s">
        <v>29</v>
      </c>
      <c r="E387" s="4" t="s">
        <v>42</v>
      </c>
      <c r="F387" s="4" t="s">
        <v>64</v>
      </c>
    </row>
    <row r="388" spans="1:6" x14ac:dyDescent="0.3">
      <c r="A388" s="15">
        <v>4</v>
      </c>
      <c r="B388" s="11">
        <v>1</v>
      </c>
      <c r="C388" s="11" t="s">
        <v>81</v>
      </c>
      <c r="D388" s="11" t="s">
        <v>29</v>
      </c>
      <c r="E388" s="15" t="s">
        <v>42</v>
      </c>
      <c r="F388" s="15" t="s">
        <v>62</v>
      </c>
    </row>
  </sheetData>
  <pageMargins left="0.7" right="0.7" top="0.75" bottom="0.75" header="0.3" footer="0.3"/>
  <pageSetup paperSize="9" fitToWidth="0" orientation="portrait" horizontalDpi="360" verticalDpi="36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88"/>
  <sheetViews>
    <sheetView topLeftCell="A274" zoomScale="80" zoomScaleNormal="80" workbookViewId="0">
      <selection activeCell="O294" sqref="O29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4">
        <v>2</v>
      </c>
      <c r="C2" s="13" t="s">
        <v>80</v>
      </c>
      <c r="D2" s="8" t="s">
        <v>29</v>
      </c>
      <c r="E2" s="15" t="s">
        <v>42</v>
      </c>
      <c r="F2" s="15" t="s">
        <v>71</v>
      </c>
    </row>
    <row r="3" spans="1:6" x14ac:dyDescent="0.3">
      <c r="A3" s="7">
        <v>1</v>
      </c>
      <c r="B3" s="7">
        <v>2</v>
      </c>
      <c r="C3" s="7" t="s">
        <v>80</v>
      </c>
      <c r="D3" s="4" t="s">
        <v>0</v>
      </c>
      <c r="E3" s="4" t="s">
        <v>41</v>
      </c>
      <c r="F3" s="4" t="s">
        <v>49</v>
      </c>
    </row>
    <row r="4" spans="1:6" x14ac:dyDescent="0.3">
      <c r="A4" s="12">
        <v>1</v>
      </c>
      <c r="B4" s="12">
        <v>2</v>
      </c>
      <c r="C4" s="12" t="s">
        <v>80</v>
      </c>
      <c r="D4" s="15" t="s">
        <v>40</v>
      </c>
      <c r="E4" s="15" t="s">
        <v>9</v>
      </c>
      <c r="F4" s="15" t="s">
        <v>49</v>
      </c>
    </row>
    <row r="5" spans="1:6" x14ac:dyDescent="0.3">
      <c r="A5" s="7">
        <v>1</v>
      </c>
      <c r="B5" s="14">
        <v>1</v>
      </c>
      <c r="C5" s="14" t="s">
        <v>81</v>
      </c>
      <c r="D5" s="8" t="s">
        <v>29</v>
      </c>
      <c r="E5" s="4" t="s">
        <v>42</v>
      </c>
      <c r="F5" s="4" t="s">
        <v>69</v>
      </c>
    </row>
    <row r="6" spans="1:6" x14ac:dyDescent="0.3">
      <c r="A6" s="12">
        <v>1</v>
      </c>
      <c r="B6" s="14">
        <v>1</v>
      </c>
      <c r="C6" s="14" t="s">
        <v>81</v>
      </c>
      <c r="D6" s="8" t="s">
        <v>29</v>
      </c>
      <c r="E6" s="15" t="s">
        <v>42</v>
      </c>
      <c r="F6" s="15" t="s">
        <v>73</v>
      </c>
    </row>
    <row r="7" spans="1:6" x14ac:dyDescent="0.3">
      <c r="A7" s="7">
        <v>1</v>
      </c>
      <c r="B7" s="7">
        <v>2</v>
      </c>
      <c r="C7" s="7" t="s">
        <v>80</v>
      </c>
      <c r="D7" s="4" t="s">
        <v>0</v>
      </c>
      <c r="E7" s="4" t="s">
        <v>41</v>
      </c>
      <c r="F7" s="4" t="s">
        <v>48</v>
      </c>
    </row>
    <row r="8" spans="1:6" x14ac:dyDescent="0.3">
      <c r="A8" s="12">
        <v>1</v>
      </c>
      <c r="B8" s="12">
        <v>2</v>
      </c>
      <c r="C8" s="12" t="s">
        <v>80</v>
      </c>
      <c r="D8" s="15" t="s">
        <v>40</v>
      </c>
      <c r="E8" s="15" t="s">
        <v>9</v>
      </c>
      <c r="F8" s="15" t="s">
        <v>48</v>
      </c>
    </row>
    <row r="9" spans="1:6" x14ac:dyDescent="0.3">
      <c r="A9" s="7">
        <v>1</v>
      </c>
      <c r="B9" s="7">
        <v>2</v>
      </c>
      <c r="C9" s="7" t="s">
        <v>80</v>
      </c>
      <c r="D9" s="4" t="s">
        <v>0</v>
      </c>
      <c r="E9" s="4" t="s">
        <v>41</v>
      </c>
      <c r="F9" s="4" t="s">
        <v>50</v>
      </c>
    </row>
    <row r="10" spans="1:6" x14ac:dyDescent="0.3">
      <c r="A10" s="12">
        <v>1</v>
      </c>
      <c r="B10" s="12">
        <v>1</v>
      </c>
      <c r="C10" s="12" t="s">
        <v>81</v>
      </c>
      <c r="D10" s="15" t="s">
        <v>40</v>
      </c>
      <c r="E10" s="15" t="s">
        <v>10</v>
      </c>
      <c r="F10" s="15" t="s">
        <v>50</v>
      </c>
    </row>
    <row r="11" spans="1:6" x14ac:dyDescent="0.3">
      <c r="A11" s="7">
        <v>1</v>
      </c>
      <c r="B11" s="14">
        <v>2</v>
      </c>
      <c r="C11" s="14" t="s">
        <v>80</v>
      </c>
      <c r="D11" s="8" t="s">
        <v>29</v>
      </c>
      <c r="E11" s="4" t="s">
        <v>42</v>
      </c>
      <c r="F11" s="4" t="s">
        <v>70</v>
      </c>
    </row>
    <row r="12" spans="1:6" x14ac:dyDescent="0.3">
      <c r="A12" s="12">
        <v>1</v>
      </c>
      <c r="B12" s="12">
        <v>1</v>
      </c>
      <c r="C12" s="12" t="s">
        <v>81</v>
      </c>
      <c r="D12" s="15" t="s">
        <v>0</v>
      </c>
      <c r="E12" s="15" t="s">
        <v>41</v>
      </c>
      <c r="F12" s="15" t="s">
        <v>43</v>
      </c>
    </row>
    <row r="13" spans="1:6" x14ac:dyDescent="0.3">
      <c r="A13" s="7">
        <v>1</v>
      </c>
      <c r="B13" s="7">
        <v>2</v>
      </c>
      <c r="C13" s="7" t="s">
        <v>80</v>
      </c>
      <c r="D13" s="4" t="s">
        <v>40</v>
      </c>
      <c r="E13" s="4" t="s">
        <v>10</v>
      </c>
      <c r="F13" s="4" t="s">
        <v>43</v>
      </c>
    </row>
    <row r="14" spans="1:6" x14ac:dyDescent="0.3">
      <c r="A14" s="12">
        <v>1</v>
      </c>
      <c r="B14" s="12">
        <v>2</v>
      </c>
      <c r="C14" s="12" t="s">
        <v>80</v>
      </c>
      <c r="D14" s="15" t="s">
        <v>0</v>
      </c>
      <c r="E14" s="15" t="s">
        <v>41</v>
      </c>
      <c r="F14" s="15" t="s">
        <v>46</v>
      </c>
    </row>
    <row r="15" spans="1:6" x14ac:dyDescent="0.3">
      <c r="A15" s="7">
        <v>1</v>
      </c>
      <c r="B15" s="7">
        <v>1</v>
      </c>
      <c r="C15" s="7" t="s">
        <v>81</v>
      </c>
      <c r="D15" s="4" t="s">
        <v>40</v>
      </c>
      <c r="E15" s="4" t="s">
        <v>10</v>
      </c>
      <c r="F15" s="4" t="s">
        <v>46</v>
      </c>
    </row>
    <row r="16" spans="1:6" x14ac:dyDescent="0.3">
      <c r="A16" s="12">
        <v>1</v>
      </c>
      <c r="B16" s="14">
        <v>1</v>
      </c>
      <c r="C16" s="13" t="s">
        <v>81</v>
      </c>
      <c r="D16" s="8" t="s">
        <v>29</v>
      </c>
      <c r="E16" s="15" t="s">
        <v>42</v>
      </c>
      <c r="F16" s="15" t="s">
        <v>74</v>
      </c>
    </row>
    <row r="17" spans="1:6" x14ac:dyDescent="0.3">
      <c r="A17" s="7">
        <v>1</v>
      </c>
      <c r="B17" s="14">
        <v>2</v>
      </c>
      <c r="C17" s="14" t="s">
        <v>80</v>
      </c>
      <c r="D17" s="8" t="s">
        <v>29</v>
      </c>
      <c r="E17" s="4" t="s">
        <v>42</v>
      </c>
      <c r="F17" s="4" t="s">
        <v>67</v>
      </c>
    </row>
    <row r="18" spans="1:6" x14ac:dyDescent="0.3">
      <c r="A18" s="12">
        <v>1</v>
      </c>
      <c r="B18" s="12">
        <v>1</v>
      </c>
      <c r="C18" s="12" t="s">
        <v>81</v>
      </c>
      <c r="D18" s="15" t="s">
        <v>0</v>
      </c>
      <c r="E18" s="15" t="s">
        <v>41</v>
      </c>
      <c r="F18" s="15" t="s">
        <v>44</v>
      </c>
    </row>
    <row r="19" spans="1:6" x14ac:dyDescent="0.3">
      <c r="A19" s="7">
        <v>1</v>
      </c>
      <c r="B19" s="7">
        <v>1</v>
      </c>
      <c r="C19" s="12" t="s">
        <v>81</v>
      </c>
      <c r="D19" s="4" t="s">
        <v>40</v>
      </c>
      <c r="E19" s="4" t="s">
        <v>9</v>
      </c>
      <c r="F19" s="4" t="s">
        <v>44</v>
      </c>
    </row>
    <row r="20" spans="1:6" x14ac:dyDescent="0.3">
      <c r="A20" s="12">
        <v>1</v>
      </c>
      <c r="B20" s="14">
        <v>1</v>
      </c>
      <c r="C20" s="13" t="s">
        <v>81</v>
      </c>
      <c r="D20" s="8" t="s">
        <v>29</v>
      </c>
      <c r="E20" s="15" t="s">
        <v>42</v>
      </c>
      <c r="F20" s="15" t="s">
        <v>72</v>
      </c>
    </row>
    <row r="21" spans="1:6" x14ac:dyDescent="0.3">
      <c r="A21" s="7">
        <v>1</v>
      </c>
      <c r="B21" s="14">
        <v>2</v>
      </c>
      <c r="C21" s="14" t="s">
        <v>80</v>
      </c>
      <c r="D21" s="8" t="s">
        <v>29</v>
      </c>
      <c r="E21" s="4" t="s">
        <v>42</v>
      </c>
      <c r="F21" s="4" t="s">
        <v>68</v>
      </c>
    </row>
    <row r="22" spans="1:6" x14ac:dyDescent="0.3">
      <c r="A22" s="12">
        <v>1</v>
      </c>
      <c r="B22" s="12">
        <v>1</v>
      </c>
      <c r="C22" s="12" t="s">
        <v>81</v>
      </c>
      <c r="D22" s="15" t="s">
        <v>0</v>
      </c>
      <c r="E22" s="15" t="s">
        <v>41</v>
      </c>
      <c r="F22" s="15" t="s">
        <v>45</v>
      </c>
    </row>
    <row r="23" spans="1:6" x14ac:dyDescent="0.3">
      <c r="A23" s="7">
        <v>1</v>
      </c>
      <c r="B23" s="7">
        <v>1</v>
      </c>
      <c r="C23" s="12" t="s">
        <v>81</v>
      </c>
      <c r="D23" s="4" t="s">
        <v>40</v>
      </c>
      <c r="E23" s="4" t="s">
        <v>9</v>
      </c>
      <c r="F23" s="4" t="s">
        <v>45</v>
      </c>
    </row>
    <row r="24" spans="1:6" x14ac:dyDescent="0.3">
      <c r="A24" s="12">
        <v>1</v>
      </c>
      <c r="B24" s="12">
        <v>1</v>
      </c>
      <c r="C24" s="12" t="s">
        <v>81</v>
      </c>
      <c r="D24" s="15" t="s">
        <v>0</v>
      </c>
      <c r="E24" s="15" t="s">
        <v>41</v>
      </c>
      <c r="F24" s="15" t="s">
        <v>47</v>
      </c>
    </row>
    <row r="25" spans="1:6" x14ac:dyDescent="0.3">
      <c r="A25" s="7">
        <v>1</v>
      </c>
      <c r="B25" s="7">
        <v>2</v>
      </c>
      <c r="C25" s="7" t="s">
        <v>80</v>
      </c>
      <c r="D25" s="4" t="s">
        <v>40</v>
      </c>
      <c r="E25" s="4" t="s">
        <v>10</v>
      </c>
      <c r="F25" s="4" t="s">
        <v>47</v>
      </c>
    </row>
    <row r="26" spans="1:6" x14ac:dyDescent="0.3">
      <c r="A26" s="27">
        <v>2</v>
      </c>
      <c r="B26" s="28">
        <v>1</v>
      </c>
      <c r="C26" s="27" t="s">
        <v>81</v>
      </c>
      <c r="D26" s="27" t="s">
        <v>0</v>
      </c>
      <c r="E26" s="27" t="s">
        <v>41</v>
      </c>
      <c r="F26" s="27" t="s">
        <v>52</v>
      </c>
    </row>
    <row r="27" spans="1:6" x14ac:dyDescent="0.3">
      <c r="A27" s="15">
        <v>2</v>
      </c>
      <c r="B27" s="12">
        <v>1</v>
      </c>
      <c r="C27" s="15" t="s">
        <v>81</v>
      </c>
      <c r="D27" s="15" t="s">
        <v>40</v>
      </c>
      <c r="E27" s="15" t="s">
        <v>9</v>
      </c>
      <c r="F27" s="15" t="s">
        <v>52</v>
      </c>
    </row>
    <row r="28" spans="1:6" x14ac:dyDescent="0.3">
      <c r="A28" s="27">
        <v>2</v>
      </c>
      <c r="B28" s="9">
        <v>2</v>
      </c>
      <c r="C28" s="9" t="s">
        <v>80</v>
      </c>
      <c r="D28" s="9" t="s">
        <v>29</v>
      </c>
      <c r="E28" s="27" t="s">
        <v>42</v>
      </c>
      <c r="F28" s="27" t="s">
        <v>49</v>
      </c>
    </row>
    <row r="29" spans="1:6" x14ac:dyDescent="0.3">
      <c r="A29" s="15">
        <v>2</v>
      </c>
      <c r="B29" s="9">
        <v>2</v>
      </c>
      <c r="C29" s="9" t="s">
        <v>80</v>
      </c>
      <c r="D29" s="9" t="s">
        <v>29</v>
      </c>
      <c r="E29" s="15" t="s">
        <v>42</v>
      </c>
      <c r="F29" s="15" t="s">
        <v>48</v>
      </c>
    </row>
    <row r="30" spans="1:6" x14ac:dyDescent="0.3">
      <c r="A30" s="27">
        <v>2</v>
      </c>
      <c r="B30" s="28">
        <v>1</v>
      </c>
      <c r="C30" s="28" t="s">
        <v>81</v>
      </c>
      <c r="D30" s="27" t="s">
        <v>0</v>
      </c>
      <c r="E30" s="27" t="s">
        <v>41</v>
      </c>
      <c r="F30" s="27" t="s">
        <v>53</v>
      </c>
    </row>
    <row r="31" spans="1:6" x14ac:dyDescent="0.3">
      <c r="A31" s="15">
        <v>2</v>
      </c>
      <c r="B31" s="12">
        <v>1</v>
      </c>
      <c r="C31" s="12" t="s">
        <v>81</v>
      </c>
      <c r="D31" s="15" t="s">
        <v>40</v>
      </c>
      <c r="E31" s="15" t="s">
        <v>9</v>
      </c>
      <c r="F31" s="15" t="s">
        <v>53</v>
      </c>
    </row>
    <row r="32" spans="1:6" x14ac:dyDescent="0.3">
      <c r="A32" s="27">
        <v>2</v>
      </c>
      <c r="B32" s="28">
        <v>1</v>
      </c>
      <c r="C32" s="28" t="s">
        <v>81</v>
      </c>
      <c r="D32" s="27" t="s">
        <v>0</v>
      </c>
      <c r="E32" s="27" t="s">
        <v>41</v>
      </c>
      <c r="F32" s="27" t="s">
        <v>55</v>
      </c>
    </row>
    <row r="33" spans="1:6" x14ac:dyDescent="0.3">
      <c r="A33" s="15">
        <v>2</v>
      </c>
      <c r="B33" s="12">
        <v>2</v>
      </c>
      <c r="C33" s="12" t="s">
        <v>80</v>
      </c>
      <c r="D33" s="15" t="s">
        <v>40</v>
      </c>
      <c r="E33" s="15" t="s">
        <v>10</v>
      </c>
      <c r="F33" s="15" t="s">
        <v>55</v>
      </c>
    </row>
    <row r="34" spans="1:6" x14ac:dyDescent="0.3">
      <c r="A34" s="27">
        <v>2</v>
      </c>
      <c r="B34" s="9">
        <v>1</v>
      </c>
      <c r="C34" s="9" t="s">
        <v>81</v>
      </c>
      <c r="D34" s="9" t="s">
        <v>29</v>
      </c>
      <c r="E34" s="27" t="s">
        <v>42</v>
      </c>
      <c r="F34" s="27" t="s">
        <v>50</v>
      </c>
    </row>
    <row r="35" spans="1:6" x14ac:dyDescent="0.3">
      <c r="A35" s="15">
        <v>2</v>
      </c>
      <c r="B35" s="12">
        <v>2</v>
      </c>
      <c r="C35" s="12" t="s">
        <v>80</v>
      </c>
      <c r="D35" s="15" t="s">
        <v>0</v>
      </c>
      <c r="E35" s="15" t="s">
        <v>41</v>
      </c>
      <c r="F35" s="15" t="s">
        <v>54</v>
      </c>
    </row>
    <row r="36" spans="1:6" x14ac:dyDescent="0.3">
      <c r="A36" s="27">
        <v>2</v>
      </c>
      <c r="B36" s="28">
        <v>1</v>
      </c>
      <c r="C36" s="28" t="s">
        <v>81</v>
      </c>
      <c r="D36" s="27" t="s">
        <v>40</v>
      </c>
      <c r="E36" s="27" t="s">
        <v>10</v>
      </c>
      <c r="F36" s="27" t="s">
        <v>54</v>
      </c>
    </row>
    <row r="37" spans="1:6" x14ac:dyDescent="0.3">
      <c r="A37" s="15">
        <v>2</v>
      </c>
      <c r="B37" s="12">
        <v>1</v>
      </c>
      <c r="C37" s="12" t="s">
        <v>81</v>
      </c>
      <c r="D37" s="15" t="s">
        <v>0</v>
      </c>
      <c r="E37" s="15" t="s">
        <v>41</v>
      </c>
      <c r="F37" s="15" t="s">
        <v>51</v>
      </c>
    </row>
    <row r="38" spans="1:6" x14ac:dyDescent="0.3">
      <c r="A38" s="27">
        <v>2</v>
      </c>
      <c r="B38" s="28">
        <v>2</v>
      </c>
      <c r="C38" s="28" t="s">
        <v>80</v>
      </c>
      <c r="D38" s="27" t="s">
        <v>40</v>
      </c>
      <c r="E38" s="27" t="s">
        <v>10</v>
      </c>
      <c r="F38" s="27" t="s">
        <v>51</v>
      </c>
    </row>
    <row r="39" spans="1:6" x14ac:dyDescent="0.3">
      <c r="A39" s="15">
        <v>2</v>
      </c>
      <c r="B39" s="9">
        <v>2</v>
      </c>
      <c r="C39" s="9" t="s">
        <v>80</v>
      </c>
      <c r="D39" s="9" t="s">
        <v>29</v>
      </c>
      <c r="E39" s="15" t="s">
        <v>42</v>
      </c>
      <c r="F39" s="15" t="s">
        <v>43</v>
      </c>
    </row>
    <row r="40" spans="1:6" x14ac:dyDescent="0.3">
      <c r="A40" s="27">
        <v>2</v>
      </c>
      <c r="B40" s="9">
        <v>1</v>
      </c>
      <c r="C40" s="9" t="s">
        <v>81</v>
      </c>
      <c r="D40" s="9" t="s">
        <v>29</v>
      </c>
      <c r="E40" s="27" t="s">
        <v>42</v>
      </c>
      <c r="F40" s="27" t="s">
        <v>46</v>
      </c>
    </row>
    <row r="41" spans="1:6" x14ac:dyDescent="0.3">
      <c r="A41" s="15">
        <v>2</v>
      </c>
      <c r="B41" s="12">
        <v>2</v>
      </c>
      <c r="C41" s="12" t="s">
        <v>80</v>
      </c>
      <c r="D41" s="15" t="s">
        <v>0</v>
      </c>
      <c r="E41" s="15" t="s">
        <v>41</v>
      </c>
      <c r="F41" s="15" t="s">
        <v>57</v>
      </c>
    </row>
    <row r="42" spans="1:6" x14ac:dyDescent="0.3">
      <c r="A42" s="27">
        <v>2</v>
      </c>
      <c r="B42" s="28">
        <v>2</v>
      </c>
      <c r="C42" s="28" t="s">
        <v>80</v>
      </c>
      <c r="D42" s="27" t="s">
        <v>40</v>
      </c>
      <c r="E42" s="27" t="s">
        <v>9</v>
      </c>
      <c r="F42" s="27" t="s">
        <v>57</v>
      </c>
    </row>
    <row r="43" spans="1:6" x14ac:dyDescent="0.3">
      <c r="A43" s="15">
        <v>2</v>
      </c>
      <c r="B43" s="9">
        <v>1</v>
      </c>
      <c r="C43" s="9" t="s">
        <v>81</v>
      </c>
      <c r="D43" s="9" t="s">
        <v>29</v>
      </c>
      <c r="E43" s="15" t="s">
        <v>42</v>
      </c>
      <c r="F43" s="15" t="s">
        <v>44</v>
      </c>
    </row>
    <row r="44" spans="1:6" x14ac:dyDescent="0.3">
      <c r="A44" s="27">
        <v>2</v>
      </c>
      <c r="B44" s="28">
        <v>2</v>
      </c>
      <c r="C44" s="28" t="s">
        <v>80</v>
      </c>
      <c r="D44" s="27" t="s">
        <v>0</v>
      </c>
      <c r="E44" s="27" t="s">
        <v>41</v>
      </c>
      <c r="F44" s="27" t="s">
        <v>58</v>
      </c>
    </row>
    <row r="45" spans="1:6" x14ac:dyDescent="0.3">
      <c r="A45" s="15">
        <v>2</v>
      </c>
      <c r="B45" s="12">
        <v>2</v>
      </c>
      <c r="C45" s="12" t="s">
        <v>80</v>
      </c>
      <c r="D45" s="15" t="s">
        <v>40</v>
      </c>
      <c r="E45" s="15" t="s">
        <v>9</v>
      </c>
      <c r="F45" s="15" t="s">
        <v>58</v>
      </c>
    </row>
    <row r="46" spans="1:6" x14ac:dyDescent="0.3">
      <c r="A46" s="27">
        <v>2</v>
      </c>
      <c r="B46" s="28">
        <v>2</v>
      </c>
      <c r="C46" s="28" t="s">
        <v>80</v>
      </c>
      <c r="D46" s="27" t="s">
        <v>0</v>
      </c>
      <c r="E46" s="27" t="s">
        <v>41</v>
      </c>
      <c r="F46" s="27" t="s">
        <v>56</v>
      </c>
    </row>
    <row r="47" spans="1:6" x14ac:dyDescent="0.3">
      <c r="A47" s="15">
        <v>2</v>
      </c>
      <c r="B47" s="12">
        <v>1</v>
      </c>
      <c r="C47" s="12" t="s">
        <v>81</v>
      </c>
      <c r="D47" s="15" t="s">
        <v>40</v>
      </c>
      <c r="E47" s="15" t="s">
        <v>10</v>
      </c>
      <c r="F47" s="15" t="s">
        <v>56</v>
      </c>
    </row>
    <row r="48" spans="1:6" x14ac:dyDescent="0.3">
      <c r="A48" s="27">
        <v>2</v>
      </c>
      <c r="B48" s="9">
        <v>1</v>
      </c>
      <c r="C48" s="9" t="s">
        <v>81</v>
      </c>
      <c r="D48" s="9" t="s">
        <v>29</v>
      </c>
      <c r="E48" s="27" t="s">
        <v>42</v>
      </c>
      <c r="F48" s="27" t="s">
        <v>45</v>
      </c>
    </row>
    <row r="49" spans="1:6" x14ac:dyDescent="0.3">
      <c r="A49" s="15">
        <v>2</v>
      </c>
      <c r="B49" s="9">
        <v>2</v>
      </c>
      <c r="C49" s="9" t="s">
        <v>80</v>
      </c>
      <c r="D49" s="9" t="s">
        <v>29</v>
      </c>
      <c r="E49" s="15" t="s">
        <v>42</v>
      </c>
      <c r="F49" s="15" t="s">
        <v>47</v>
      </c>
    </row>
    <row r="50" spans="1:6" x14ac:dyDescent="0.3">
      <c r="A50" s="12">
        <v>3</v>
      </c>
      <c r="B50" s="12">
        <v>1</v>
      </c>
      <c r="C50" s="12" t="s">
        <v>81</v>
      </c>
      <c r="D50" s="15" t="s">
        <v>0</v>
      </c>
      <c r="E50" s="15" t="s">
        <v>41</v>
      </c>
      <c r="F50" s="15" t="s">
        <v>62</v>
      </c>
    </row>
    <row r="51" spans="1:6" x14ac:dyDescent="0.3">
      <c r="A51" s="7">
        <v>3</v>
      </c>
      <c r="B51" s="7">
        <v>2</v>
      </c>
      <c r="C51" s="7" t="s">
        <v>80</v>
      </c>
      <c r="D51" s="4" t="s">
        <v>40</v>
      </c>
      <c r="E51" s="4" t="s">
        <v>10</v>
      </c>
      <c r="F51" s="4" t="s">
        <v>62</v>
      </c>
    </row>
    <row r="52" spans="1:6" x14ac:dyDescent="0.3">
      <c r="A52" s="12">
        <v>3</v>
      </c>
      <c r="B52" s="10">
        <v>2</v>
      </c>
      <c r="C52" s="10" t="s">
        <v>80</v>
      </c>
      <c r="D52" s="10" t="s">
        <v>29</v>
      </c>
      <c r="E52" s="15" t="s">
        <v>42</v>
      </c>
      <c r="F52" s="15" t="s">
        <v>52</v>
      </c>
    </row>
    <row r="53" spans="1:6" x14ac:dyDescent="0.3">
      <c r="A53" s="7">
        <v>3</v>
      </c>
      <c r="B53" s="10">
        <v>1</v>
      </c>
      <c r="C53" s="10" t="s">
        <v>81</v>
      </c>
      <c r="D53" s="10" t="s">
        <v>29</v>
      </c>
      <c r="E53" s="4" t="s">
        <v>42</v>
      </c>
      <c r="F53" s="4" t="s">
        <v>53</v>
      </c>
    </row>
    <row r="54" spans="1:6" x14ac:dyDescent="0.3">
      <c r="A54" s="12">
        <v>3</v>
      </c>
      <c r="B54" s="12">
        <v>2</v>
      </c>
      <c r="C54" s="12" t="s">
        <v>80</v>
      </c>
      <c r="D54" s="15" t="s">
        <v>0</v>
      </c>
      <c r="E54" s="15" t="s">
        <v>41</v>
      </c>
      <c r="F54" s="15" t="s">
        <v>65</v>
      </c>
    </row>
    <row r="55" spans="1:6" x14ac:dyDescent="0.3">
      <c r="A55" s="7">
        <v>3</v>
      </c>
      <c r="B55" s="7">
        <v>1</v>
      </c>
      <c r="C55" s="7" t="s">
        <v>81</v>
      </c>
      <c r="D55" s="4" t="s">
        <v>40</v>
      </c>
      <c r="E55" s="4" t="s">
        <v>10</v>
      </c>
      <c r="F55" s="4" t="s">
        <v>65</v>
      </c>
    </row>
    <row r="56" spans="1:6" x14ac:dyDescent="0.3">
      <c r="A56" s="12">
        <v>3</v>
      </c>
      <c r="B56" s="12">
        <v>1</v>
      </c>
      <c r="C56" s="12" t="s">
        <v>81</v>
      </c>
      <c r="D56" s="15" t="s">
        <v>0</v>
      </c>
      <c r="E56" s="15" t="s">
        <v>41</v>
      </c>
      <c r="F56" s="15" t="s">
        <v>60</v>
      </c>
    </row>
    <row r="57" spans="1:6" x14ac:dyDescent="0.3">
      <c r="A57" s="7">
        <v>3</v>
      </c>
      <c r="B57" s="7">
        <v>2</v>
      </c>
      <c r="C57" s="7" t="s">
        <v>80</v>
      </c>
      <c r="D57" s="4" t="s">
        <v>40</v>
      </c>
      <c r="E57" s="4" t="s">
        <v>10</v>
      </c>
      <c r="F57" s="4" t="s">
        <v>60</v>
      </c>
    </row>
    <row r="58" spans="1:6" x14ac:dyDescent="0.3">
      <c r="A58" s="12">
        <v>3</v>
      </c>
      <c r="B58" s="10">
        <v>1</v>
      </c>
      <c r="C58" s="10" t="s">
        <v>81</v>
      </c>
      <c r="D58" s="10" t="s">
        <v>29</v>
      </c>
      <c r="E58" s="15" t="s">
        <v>42</v>
      </c>
      <c r="F58" s="15" t="s">
        <v>55</v>
      </c>
    </row>
    <row r="59" spans="1:6" x14ac:dyDescent="0.3">
      <c r="A59" s="7">
        <v>3</v>
      </c>
      <c r="B59" s="7">
        <v>2</v>
      </c>
      <c r="C59" s="7" t="s">
        <v>80</v>
      </c>
      <c r="D59" s="4" t="s">
        <v>0</v>
      </c>
      <c r="E59" s="4" t="s">
        <v>41</v>
      </c>
      <c r="F59" s="4" t="s">
        <v>64</v>
      </c>
    </row>
    <row r="60" spans="1:6" x14ac:dyDescent="0.3">
      <c r="A60" s="12">
        <v>3</v>
      </c>
      <c r="B60" s="12">
        <v>2</v>
      </c>
      <c r="C60" s="12" t="s">
        <v>80</v>
      </c>
      <c r="D60" s="15" t="s">
        <v>40</v>
      </c>
      <c r="E60" s="15" t="s">
        <v>9</v>
      </c>
      <c r="F60" s="15" t="s">
        <v>64</v>
      </c>
    </row>
    <row r="61" spans="1:6" x14ac:dyDescent="0.3">
      <c r="A61" s="7">
        <v>3</v>
      </c>
      <c r="B61" s="10">
        <v>1</v>
      </c>
      <c r="C61" s="10" t="s">
        <v>81</v>
      </c>
      <c r="D61" s="10" t="s">
        <v>29</v>
      </c>
      <c r="E61" s="4" t="s">
        <v>42</v>
      </c>
      <c r="F61" s="4" t="s">
        <v>54</v>
      </c>
    </row>
    <row r="62" spans="1:6" x14ac:dyDescent="0.3">
      <c r="A62" s="12">
        <v>3</v>
      </c>
      <c r="B62" s="10">
        <v>2</v>
      </c>
      <c r="C62" s="10" t="s">
        <v>80</v>
      </c>
      <c r="D62" s="10" t="s">
        <v>29</v>
      </c>
      <c r="E62" s="15" t="s">
        <v>42</v>
      </c>
      <c r="F62" s="15" t="s">
        <v>51</v>
      </c>
    </row>
    <row r="63" spans="1:6" x14ac:dyDescent="0.3">
      <c r="A63" s="7">
        <v>3</v>
      </c>
      <c r="B63" s="10">
        <v>1</v>
      </c>
      <c r="C63" s="10" t="s">
        <v>81</v>
      </c>
      <c r="D63" s="10" t="s">
        <v>29</v>
      </c>
      <c r="E63" s="4" t="s">
        <v>42</v>
      </c>
      <c r="F63" s="4" t="s">
        <v>57</v>
      </c>
    </row>
    <row r="64" spans="1:6" x14ac:dyDescent="0.3">
      <c r="A64" s="12">
        <v>3</v>
      </c>
      <c r="B64" s="12">
        <v>2</v>
      </c>
      <c r="C64" s="12" t="s">
        <v>80</v>
      </c>
      <c r="D64" s="15" t="s">
        <v>0</v>
      </c>
      <c r="E64" s="15" t="s">
        <v>41</v>
      </c>
      <c r="F64" s="15" t="s">
        <v>66</v>
      </c>
    </row>
    <row r="65" spans="1:6" x14ac:dyDescent="0.3">
      <c r="A65" s="7">
        <v>3</v>
      </c>
      <c r="B65" s="7">
        <v>2</v>
      </c>
      <c r="C65" s="7" t="s">
        <v>80</v>
      </c>
      <c r="D65" s="4" t="s">
        <v>40</v>
      </c>
      <c r="E65" s="4" t="s">
        <v>9</v>
      </c>
      <c r="F65" s="4" t="s">
        <v>66</v>
      </c>
    </row>
    <row r="66" spans="1:6" x14ac:dyDescent="0.3">
      <c r="A66" s="12">
        <v>3</v>
      </c>
      <c r="B66" s="12">
        <v>2</v>
      </c>
      <c r="C66" s="12" t="s">
        <v>80</v>
      </c>
      <c r="D66" s="15" t="s">
        <v>0</v>
      </c>
      <c r="E66" s="15" t="s">
        <v>41</v>
      </c>
      <c r="F66" s="15" t="s">
        <v>63</v>
      </c>
    </row>
    <row r="67" spans="1:6" x14ac:dyDescent="0.3">
      <c r="A67" s="7">
        <v>3</v>
      </c>
      <c r="B67" s="7">
        <v>1</v>
      </c>
      <c r="C67" s="7" t="s">
        <v>81</v>
      </c>
      <c r="D67" s="4" t="s">
        <v>40</v>
      </c>
      <c r="E67" s="4" t="s">
        <v>10</v>
      </c>
      <c r="F67" s="4" t="s">
        <v>63</v>
      </c>
    </row>
    <row r="68" spans="1:6" x14ac:dyDescent="0.3">
      <c r="A68" s="28">
        <v>3</v>
      </c>
      <c r="B68" s="28">
        <v>1</v>
      </c>
      <c r="C68" s="28" t="s">
        <v>81</v>
      </c>
      <c r="D68" s="27" t="s">
        <v>0</v>
      </c>
      <c r="E68" s="27" t="s">
        <v>41</v>
      </c>
      <c r="F68" s="27" t="s">
        <v>61</v>
      </c>
    </row>
    <row r="69" spans="1:6" x14ac:dyDescent="0.3">
      <c r="A69" s="12">
        <v>3</v>
      </c>
      <c r="B69" s="12">
        <v>1</v>
      </c>
      <c r="C69" s="12" t="s">
        <v>81</v>
      </c>
      <c r="D69" s="15" t="s">
        <v>40</v>
      </c>
      <c r="E69" s="15" t="s">
        <v>9</v>
      </c>
      <c r="F69" s="15" t="s">
        <v>61</v>
      </c>
    </row>
    <row r="70" spans="1:6" x14ac:dyDescent="0.3">
      <c r="A70" s="28">
        <v>3</v>
      </c>
      <c r="B70" s="10">
        <v>2</v>
      </c>
      <c r="C70" s="10" t="s">
        <v>80</v>
      </c>
      <c r="D70" s="10" t="s">
        <v>29</v>
      </c>
      <c r="E70" s="27" t="s">
        <v>42</v>
      </c>
      <c r="F70" s="27" t="s">
        <v>56</v>
      </c>
    </row>
    <row r="71" spans="1:6" x14ac:dyDescent="0.3">
      <c r="A71" s="12">
        <v>3</v>
      </c>
      <c r="B71" s="12">
        <v>1</v>
      </c>
      <c r="C71" s="12" t="s">
        <v>81</v>
      </c>
      <c r="D71" s="15" t="s">
        <v>0</v>
      </c>
      <c r="E71" s="15" t="s">
        <v>41</v>
      </c>
      <c r="F71" s="15" t="s">
        <v>59</v>
      </c>
    </row>
    <row r="72" spans="1:6" x14ac:dyDescent="0.3">
      <c r="A72" s="28">
        <v>3</v>
      </c>
      <c r="B72" s="28">
        <v>1</v>
      </c>
      <c r="C72" s="28" t="s">
        <v>81</v>
      </c>
      <c r="D72" s="27" t="s">
        <v>40</v>
      </c>
      <c r="E72" s="27" t="s">
        <v>9</v>
      </c>
      <c r="F72" s="27" t="s">
        <v>59</v>
      </c>
    </row>
    <row r="73" spans="1:6" x14ac:dyDescent="0.3">
      <c r="A73" s="12">
        <v>3</v>
      </c>
      <c r="B73" s="10">
        <v>2</v>
      </c>
      <c r="C73" s="10" t="s">
        <v>80</v>
      </c>
      <c r="D73" s="10" t="s">
        <v>29</v>
      </c>
      <c r="E73" s="15" t="s">
        <v>42</v>
      </c>
      <c r="F73" s="15" t="s">
        <v>58</v>
      </c>
    </row>
    <row r="74" spans="1:6" x14ac:dyDescent="0.3">
      <c r="A74" s="27">
        <v>4</v>
      </c>
      <c r="B74" s="28">
        <v>1</v>
      </c>
      <c r="C74" s="28" t="s">
        <v>81</v>
      </c>
      <c r="D74" s="27" t="s">
        <v>0</v>
      </c>
      <c r="E74" s="27" t="s">
        <v>41</v>
      </c>
      <c r="F74" s="27" t="s">
        <v>71</v>
      </c>
    </row>
    <row r="75" spans="1:6" x14ac:dyDescent="0.3">
      <c r="A75" s="15">
        <v>4</v>
      </c>
      <c r="B75" s="12">
        <v>1</v>
      </c>
      <c r="C75" s="12" t="s">
        <v>81</v>
      </c>
      <c r="D75" s="15" t="s">
        <v>40</v>
      </c>
      <c r="E75" s="15" t="s">
        <v>9</v>
      </c>
      <c r="F75" s="15" t="s">
        <v>71</v>
      </c>
    </row>
    <row r="76" spans="1:6" x14ac:dyDescent="0.3">
      <c r="A76" s="27">
        <v>4</v>
      </c>
      <c r="B76" s="11">
        <v>2</v>
      </c>
      <c r="C76" s="11" t="s">
        <v>80</v>
      </c>
      <c r="D76" s="11" t="s">
        <v>29</v>
      </c>
      <c r="E76" s="27" t="s">
        <v>42</v>
      </c>
      <c r="F76" s="27" t="s">
        <v>62</v>
      </c>
    </row>
    <row r="77" spans="1:6" x14ac:dyDescent="0.3">
      <c r="A77" s="15">
        <v>4</v>
      </c>
      <c r="B77" s="12">
        <v>1</v>
      </c>
      <c r="C77" s="12" t="s">
        <v>81</v>
      </c>
      <c r="D77" s="15" t="s">
        <v>0</v>
      </c>
      <c r="E77" s="15" t="s">
        <v>41</v>
      </c>
      <c r="F77" s="15" t="s">
        <v>69</v>
      </c>
    </row>
    <row r="78" spans="1:6" x14ac:dyDescent="0.3">
      <c r="A78" s="27">
        <v>4</v>
      </c>
      <c r="B78" s="28">
        <v>2</v>
      </c>
      <c r="C78" s="28" t="s">
        <v>80</v>
      </c>
      <c r="D78" s="27" t="s">
        <v>40</v>
      </c>
      <c r="E78" s="27" t="s">
        <v>10</v>
      </c>
      <c r="F78" s="27" t="s">
        <v>69</v>
      </c>
    </row>
    <row r="79" spans="1:6" x14ac:dyDescent="0.3">
      <c r="A79" s="15">
        <v>4</v>
      </c>
      <c r="B79" s="12">
        <v>2</v>
      </c>
      <c r="C79" s="12" t="s">
        <v>80</v>
      </c>
      <c r="D79" s="15" t="s">
        <v>0</v>
      </c>
      <c r="E79" s="15" t="s">
        <v>41</v>
      </c>
      <c r="F79" s="15" t="s">
        <v>73</v>
      </c>
    </row>
    <row r="80" spans="1:6" x14ac:dyDescent="0.3">
      <c r="A80" s="27">
        <v>4</v>
      </c>
      <c r="B80" s="28">
        <v>2</v>
      </c>
      <c r="C80" s="28" t="s">
        <v>80</v>
      </c>
      <c r="D80" s="27" t="s">
        <v>40</v>
      </c>
      <c r="E80" s="27" t="s">
        <v>9</v>
      </c>
      <c r="F80" s="27" t="s">
        <v>73</v>
      </c>
    </row>
    <row r="81" spans="1:6" x14ac:dyDescent="0.3">
      <c r="A81" s="15">
        <v>4</v>
      </c>
      <c r="B81" s="11">
        <v>1</v>
      </c>
      <c r="C81" s="11" t="s">
        <v>81</v>
      </c>
      <c r="D81" s="11" t="s">
        <v>29</v>
      </c>
      <c r="E81" s="15" t="s">
        <v>42</v>
      </c>
      <c r="F81" s="15" t="s">
        <v>65</v>
      </c>
    </row>
    <row r="82" spans="1:6" x14ac:dyDescent="0.3">
      <c r="A82" s="27">
        <v>4</v>
      </c>
      <c r="B82" s="11">
        <v>2</v>
      </c>
      <c r="C82" s="11" t="s">
        <v>80</v>
      </c>
      <c r="D82" s="11" t="s">
        <v>29</v>
      </c>
      <c r="E82" s="27" t="s">
        <v>42</v>
      </c>
      <c r="F82" s="27" t="s">
        <v>60</v>
      </c>
    </row>
    <row r="83" spans="1:6" x14ac:dyDescent="0.3">
      <c r="A83" s="15">
        <v>4</v>
      </c>
      <c r="B83" s="12">
        <v>2</v>
      </c>
      <c r="C83" s="12" t="s">
        <v>80</v>
      </c>
      <c r="D83" s="15" t="s">
        <v>0</v>
      </c>
      <c r="E83" s="15" t="s">
        <v>41</v>
      </c>
      <c r="F83" s="15" t="s">
        <v>70</v>
      </c>
    </row>
    <row r="84" spans="1:6" x14ac:dyDescent="0.3">
      <c r="A84" s="27">
        <v>4</v>
      </c>
      <c r="B84" s="28">
        <v>1</v>
      </c>
      <c r="C84" s="28" t="s">
        <v>81</v>
      </c>
      <c r="D84" s="27" t="s">
        <v>40</v>
      </c>
      <c r="E84" s="27" t="s">
        <v>10</v>
      </c>
      <c r="F84" s="27" t="s">
        <v>70</v>
      </c>
    </row>
    <row r="85" spans="1:6" x14ac:dyDescent="0.3">
      <c r="A85" s="15">
        <v>4</v>
      </c>
      <c r="B85" s="12">
        <v>1</v>
      </c>
      <c r="C85" s="12" t="s">
        <v>81</v>
      </c>
      <c r="D85" s="15" t="s">
        <v>0</v>
      </c>
      <c r="E85" s="15" t="s">
        <v>41</v>
      </c>
      <c r="F85" s="15" t="s">
        <v>74</v>
      </c>
    </row>
    <row r="86" spans="1:6" x14ac:dyDescent="0.3">
      <c r="A86" s="27">
        <v>4</v>
      </c>
      <c r="B86" s="28">
        <v>2</v>
      </c>
      <c r="C86" s="28" t="s">
        <v>80</v>
      </c>
      <c r="D86" s="27" t="s">
        <v>40</v>
      </c>
      <c r="E86" s="27" t="s">
        <v>10</v>
      </c>
      <c r="F86" s="27" t="s">
        <v>74</v>
      </c>
    </row>
    <row r="87" spans="1:6" x14ac:dyDescent="0.3">
      <c r="A87" s="15">
        <v>4</v>
      </c>
      <c r="B87" s="11">
        <v>1</v>
      </c>
      <c r="C87" s="11" t="s">
        <v>81</v>
      </c>
      <c r="D87" s="11" t="s">
        <v>29</v>
      </c>
      <c r="E87" s="15" t="s">
        <v>42</v>
      </c>
      <c r="F87" s="15" t="s">
        <v>64</v>
      </c>
    </row>
    <row r="88" spans="1:6" x14ac:dyDescent="0.3">
      <c r="A88" s="27">
        <v>4</v>
      </c>
      <c r="B88" s="28">
        <v>2</v>
      </c>
      <c r="C88" s="28" t="s">
        <v>80</v>
      </c>
      <c r="D88" s="27" t="s">
        <v>0</v>
      </c>
      <c r="E88" s="27" t="s">
        <v>41</v>
      </c>
      <c r="F88" s="27" t="s">
        <v>67</v>
      </c>
    </row>
    <row r="89" spans="1:6" x14ac:dyDescent="0.3">
      <c r="A89" s="15">
        <v>4</v>
      </c>
      <c r="B89" s="12">
        <v>2</v>
      </c>
      <c r="C89" s="12" t="s">
        <v>80</v>
      </c>
      <c r="D89" s="15" t="s">
        <v>40</v>
      </c>
      <c r="E89" s="15" t="s">
        <v>9</v>
      </c>
      <c r="F89" s="15" t="s">
        <v>67</v>
      </c>
    </row>
    <row r="90" spans="1:6" x14ac:dyDescent="0.3">
      <c r="A90" s="27">
        <v>4</v>
      </c>
      <c r="B90" s="11">
        <v>1</v>
      </c>
      <c r="C90" s="11" t="s">
        <v>81</v>
      </c>
      <c r="D90" s="11" t="s">
        <v>29</v>
      </c>
      <c r="E90" s="27" t="s">
        <v>42</v>
      </c>
      <c r="F90" s="27" t="s">
        <v>66</v>
      </c>
    </row>
    <row r="91" spans="1:6" x14ac:dyDescent="0.3">
      <c r="A91" s="15">
        <v>4</v>
      </c>
      <c r="B91" s="12">
        <v>2</v>
      </c>
      <c r="C91" s="12" t="s">
        <v>80</v>
      </c>
      <c r="D91" s="15" t="s">
        <v>0</v>
      </c>
      <c r="E91" s="15" t="s">
        <v>41</v>
      </c>
      <c r="F91" s="15" t="s">
        <v>72</v>
      </c>
    </row>
    <row r="92" spans="1:6" x14ac:dyDescent="0.3">
      <c r="A92" s="27">
        <v>4</v>
      </c>
      <c r="B92" s="28">
        <v>1</v>
      </c>
      <c r="C92" s="28" t="s">
        <v>81</v>
      </c>
      <c r="D92" s="27" t="s">
        <v>40</v>
      </c>
      <c r="E92" s="27" t="s">
        <v>10</v>
      </c>
      <c r="F92" s="27" t="s">
        <v>72</v>
      </c>
    </row>
    <row r="93" spans="1:6" x14ac:dyDescent="0.3">
      <c r="A93" s="15">
        <v>4</v>
      </c>
      <c r="B93" s="12">
        <v>1</v>
      </c>
      <c r="C93" s="12" t="s">
        <v>81</v>
      </c>
      <c r="D93" s="15" t="s">
        <v>0</v>
      </c>
      <c r="E93" s="15" t="s">
        <v>41</v>
      </c>
      <c r="F93" s="15" t="s">
        <v>68</v>
      </c>
    </row>
    <row r="94" spans="1:6" x14ac:dyDescent="0.3">
      <c r="A94" s="27">
        <v>4</v>
      </c>
      <c r="B94" s="28">
        <v>1</v>
      </c>
      <c r="C94" s="28" t="s">
        <v>81</v>
      </c>
      <c r="D94" s="27" t="s">
        <v>40</v>
      </c>
      <c r="E94" s="27" t="s">
        <v>9</v>
      </c>
      <c r="F94" s="27" t="s">
        <v>68</v>
      </c>
    </row>
    <row r="95" spans="1:6" x14ac:dyDescent="0.3">
      <c r="A95" s="15">
        <v>4</v>
      </c>
      <c r="B95" s="11">
        <v>2</v>
      </c>
      <c r="C95" s="11" t="s">
        <v>80</v>
      </c>
      <c r="D95" s="11" t="s">
        <v>29</v>
      </c>
      <c r="E95" s="15" t="s">
        <v>42</v>
      </c>
      <c r="F95" s="15" t="s">
        <v>63</v>
      </c>
    </row>
    <row r="96" spans="1:6" x14ac:dyDescent="0.3">
      <c r="A96" s="27">
        <v>4</v>
      </c>
      <c r="B96" s="11">
        <v>1</v>
      </c>
      <c r="C96" s="11" t="s">
        <v>81</v>
      </c>
      <c r="D96" s="11" t="s">
        <v>29</v>
      </c>
      <c r="E96" s="27" t="s">
        <v>42</v>
      </c>
      <c r="F96" s="27" t="s">
        <v>61</v>
      </c>
    </row>
    <row r="97" spans="1:6" x14ac:dyDescent="0.3">
      <c r="A97" s="15">
        <v>4</v>
      </c>
      <c r="B97" s="11">
        <v>2</v>
      </c>
      <c r="C97" s="11" t="s">
        <v>80</v>
      </c>
      <c r="D97" s="11" t="s">
        <v>29</v>
      </c>
      <c r="E97" s="15" t="s">
        <v>42</v>
      </c>
      <c r="F97" s="15" t="s">
        <v>59</v>
      </c>
    </row>
    <row r="98" spans="1:6" x14ac:dyDescent="0.3">
      <c r="A98" s="29" t="s">
        <v>25</v>
      </c>
      <c r="B98" s="29"/>
      <c r="C98" s="29"/>
      <c r="D98" s="29"/>
      <c r="E98" s="29"/>
      <c r="F98" s="29"/>
    </row>
    <row r="99" spans="1:6" x14ac:dyDescent="0.3">
      <c r="A99" s="12">
        <v>1</v>
      </c>
      <c r="B99" s="12">
        <v>2</v>
      </c>
      <c r="C99" s="12" t="s">
        <v>80</v>
      </c>
      <c r="D99" s="15" t="s">
        <v>0</v>
      </c>
      <c r="E99" s="15" t="s">
        <v>41</v>
      </c>
      <c r="F99" s="15" t="s">
        <v>43</v>
      </c>
    </row>
    <row r="100" spans="1:6" x14ac:dyDescent="0.3">
      <c r="A100" s="7">
        <v>1</v>
      </c>
      <c r="B100" s="7">
        <v>2</v>
      </c>
      <c r="C100" s="7" t="s">
        <v>80</v>
      </c>
      <c r="D100" s="4" t="s">
        <v>40</v>
      </c>
      <c r="E100" s="4" t="s">
        <v>9</v>
      </c>
      <c r="F100" s="4" t="s">
        <v>43</v>
      </c>
    </row>
    <row r="101" spans="1:6" x14ac:dyDescent="0.3">
      <c r="A101" s="12">
        <v>1</v>
      </c>
      <c r="B101" s="14">
        <v>1</v>
      </c>
      <c r="C101" s="13" t="s">
        <v>81</v>
      </c>
      <c r="D101" s="8" t="s">
        <v>29</v>
      </c>
      <c r="E101" s="15" t="s">
        <v>42</v>
      </c>
      <c r="F101" s="15" t="s">
        <v>74</v>
      </c>
    </row>
    <row r="102" spans="1:6" x14ac:dyDescent="0.3">
      <c r="A102" s="7">
        <v>1</v>
      </c>
      <c r="B102" s="7">
        <v>2</v>
      </c>
      <c r="C102" s="7" t="s">
        <v>80</v>
      </c>
      <c r="D102" s="4" t="s">
        <v>0</v>
      </c>
      <c r="E102" s="4" t="s">
        <v>41</v>
      </c>
      <c r="F102" s="4" t="s">
        <v>44</v>
      </c>
    </row>
    <row r="103" spans="1:6" x14ac:dyDescent="0.3">
      <c r="A103" s="12">
        <v>1</v>
      </c>
      <c r="B103" s="12">
        <v>2</v>
      </c>
      <c r="C103" s="12" t="s">
        <v>80</v>
      </c>
      <c r="D103" s="15" t="s">
        <v>40</v>
      </c>
      <c r="E103" s="15" t="s">
        <v>9</v>
      </c>
      <c r="F103" s="15" t="s">
        <v>44</v>
      </c>
    </row>
    <row r="104" spans="1:6" x14ac:dyDescent="0.3">
      <c r="A104" s="7">
        <v>1</v>
      </c>
      <c r="B104" s="14">
        <v>1</v>
      </c>
      <c r="C104" s="14" t="s">
        <v>81</v>
      </c>
      <c r="D104" s="8" t="s">
        <v>29</v>
      </c>
      <c r="E104" s="4" t="s">
        <v>42</v>
      </c>
      <c r="F104" s="4" t="s">
        <v>73</v>
      </c>
    </row>
    <row r="105" spans="1:6" x14ac:dyDescent="0.3">
      <c r="A105" s="12">
        <v>1</v>
      </c>
      <c r="B105" s="12">
        <v>2</v>
      </c>
      <c r="C105" s="12" t="s">
        <v>80</v>
      </c>
      <c r="D105" s="15" t="s">
        <v>0</v>
      </c>
      <c r="E105" s="15" t="s">
        <v>41</v>
      </c>
      <c r="F105" s="15" t="s">
        <v>45</v>
      </c>
    </row>
    <row r="106" spans="1:6" x14ac:dyDescent="0.3">
      <c r="A106" s="7">
        <v>1</v>
      </c>
      <c r="B106" s="7">
        <v>1</v>
      </c>
      <c r="C106" s="7" t="s">
        <v>81</v>
      </c>
      <c r="D106" s="4" t="s">
        <v>40</v>
      </c>
      <c r="E106" s="4" t="s">
        <v>10</v>
      </c>
      <c r="F106" s="4" t="s">
        <v>45</v>
      </c>
    </row>
    <row r="107" spans="1:6" x14ac:dyDescent="0.3">
      <c r="A107" s="12">
        <v>1</v>
      </c>
      <c r="B107" s="12">
        <v>1</v>
      </c>
      <c r="C107" s="12" t="s">
        <v>81</v>
      </c>
      <c r="D107" s="15" t="s">
        <v>0</v>
      </c>
      <c r="E107" s="15" t="s">
        <v>41</v>
      </c>
      <c r="F107" s="15" t="s">
        <v>46</v>
      </c>
    </row>
    <row r="108" spans="1:6" x14ac:dyDescent="0.3">
      <c r="A108" s="7">
        <v>1</v>
      </c>
      <c r="B108" s="7">
        <v>2</v>
      </c>
      <c r="C108" s="7" t="s">
        <v>80</v>
      </c>
      <c r="D108" s="4" t="s">
        <v>40</v>
      </c>
      <c r="E108" s="4" t="s">
        <v>10</v>
      </c>
      <c r="F108" s="4" t="s">
        <v>46</v>
      </c>
    </row>
    <row r="109" spans="1:6" x14ac:dyDescent="0.3">
      <c r="A109" s="12">
        <v>1</v>
      </c>
      <c r="B109" s="14">
        <v>2</v>
      </c>
      <c r="C109" s="13" t="s">
        <v>80</v>
      </c>
      <c r="D109" s="8" t="s">
        <v>29</v>
      </c>
      <c r="E109" s="15" t="s">
        <v>42</v>
      </c>
      <c r="F109" s="15" t="s">
        <v>72</v>
      </c>
    </row>
    <row r="110" spans="1:6" x14ac:dyDescent="0.3">
      <c r="A110" s="7">
        <v>1</v>
      </c>
      <c r="B110" s="7">
        <v>2</v>
      </c>
      <c r="C110" s="7" t="s">
        <v>80</v>
      </c>
      <c r="D110" s="4" t="s">
        <v>0</v>
      </c>
      <c r="E110" s="4" t="s">
        <v>41</v>
      </c>
      <c r="F110" s="4" t="s">
        <v>47</v>
      </c>
    </row>
    <row r="111" spans="1:6" x14ac:dyDescent="0.3">
      <c r="A111" s="12">
        <v>1</v>
      </c>
      <c r="B111" s="12">
        <v>1</v>
      </c>
      <c r="C111" s="12" t="s">
        <v>81</v>
      </c>
      <c r="D111" s="15" t="s">
        <v>40</v>
      </c>
      <c r="E111" s="15" t="s">
        <v>10</v>
      </c>
      <c r="F111" s="15" t="s">
        <v>47</v>
      </c>
    </row>
    <row r="112" spans="1:6" x14ac:dyDescent="0.3">
      <c r="A112" s="7">
        <v>1</v>
      </c>
      <c r="B112" s="14">
        <v>2</v>
      </c>
      <c r="C112" s="14" t="s">
        <v>80</v>
      </c>
      <c r="D112" s="8" t="s">
        <v>29</v>
      </c>
      <c r="E112" s="4" t="s">
        <v>42</v>
      </c>
      <c r="F112" s="4" t="s">
        <v>71</v>
      </c>
    </row>
    <row r="113" spans="1:6" x14ac:dyDescent="0.3">
      <c r="A113" s="12">
        <v>1</v>
      </c>
      <c r="B113" s="12">
        <v>1</v>
      </c>
      <c r="C113" s="12" t="s">
        <v>81</v>
      </c>
      <c r="D113" s="15" t="s">
        <v>0</v>
      </c>
      <c r="E113" s="15" t="s">
        <v>41</v>
      </c>
      <c r="F113" s="15" t="s">
        <v>48</v>
      </c>
    </row>
    <row r="114" spans="1:6" x14ac:dyDescent="0.3">
      <c r="A114" s="7">
        <v>1</v>
      </c>
      <c r="B114" s="7">
        <v>1</v>
      </c>
      <c r="C114" s="7" t="s">
        <v>81</v>
      </c>
      <c r="D114" s="4" t="s">
        <v>40</v>
      </c>
      <c r="E114" s="4" t="s">
        <v>9</v>
      </c>
      <c r="F114" s="4" t="s">
        <v>48</v>
      </c>
    </row>
    <row r="115" spans="1:6" x14ac:dyDescent="0.3">
      <c r="A115" s="12">
        <v>1</v>
      </c>
      <c r="B115" s="14">
        <v>2</v>
      </c>
      <c r="C115" s="13" t="s">
        <v>80</v>
      </c>
      <c r="D115" s="8" t="s">
        <v>29</v>
      </c>
      <c r="E115" s="15" t="s">
        <v>42</v>
      </c>
      <c r="F115" s="15" t="s">
        <v>70</v>
      </c>
    </row>
    <row r="116" spans="1:6" x14ac:dyDescent="0.3">
      <c r="A116" s="7">
        <v>1</v>
      </c>
      <c r="B116" s="7">
        <v>1</v>
      </c>
      <c r="C116" s="7" t="s">
        <v>81</v>
      </c>
      <c r="D116" s="4" t="s">
        <v>0</v>
      </c>
      <c r="E116" s="4" t="s">
        <v>41</v>
      </c>
      <c r="F116" s="4" t="s">
        <v>49</v>
      </c>
    </row>
    <row r="117" spans="1:6" x14ac:dyDescent="0.3">
      <c r="A117" s="12">
        <v>1</v>
      </c>
      <c r="B117" s="12">
        <v>1</v>
      </c>
      <c r="C117" s="12" t="s">
        <v>81</v>
      </c>
      <c r="D117" s="15" t="s">
        <v>40</v>
      </c>
      <c r="E117" s="15" t="s">
        <v>9</v>
      </c>
      <c r="F117" s="15" t="s">
        <v>49</v>
      </c>
    </row>
    <row r="118" spans="1:6" x14ac:dyDescent="0.3">
      <c r="A118" s="7">
        <v>1</v>
      </c>
      <c r="B118" s="14">
        <v>2</v>
      </c>
      <c r="C118" s="14" t="s">
        <v>80</v>
      </c>
      <c r="D118" s="8" t="s">
        <v>29</v>
      </c>
      <c r="E118" s="4" t="s">
        <v>42</v>
      </c>
      <c r="F118" s="4" t="s">
        <v>69</v>
      </c>
    </row>
    <row r="119" spans="1:6" x14ac:dyDescent="0.3">
      <c r="A119" s="12">
        <v>1</v>
      </c>
      <c r="B119" s="12">
        <v>1</v>
      </c>
      <c r="C119" s="12" t="s">
        <v>81</v>
      </c>
      <c r="D119" s="15" t="s">
        <v>0</v>
      </c>
      <c r="E119" s="15" t="s">
        <v>41</v>
      </c>
      <c r="F119" s="15" t="s">
        <v>50</v>
      </c>
    </row>
    <row r="120" spans="1:6" x14ac:dyDescent="0.3">
      <c r="A120" s="7">
        <v>1</v>
      </c>
      <c r="B120" s="7">
        <v>2</v>
      </c>
      <c r="C120" s="7" t="s">
        <v>80</v>
      </c>
      <c r="D120" s="4" t="s">
        <v>40</v>
      </c>
      <c r="E120" s="4" t="s">
        <v>10</v>
      </c>
      <c r="F120" s="4" t="s">
        <v>50</v>
      </c>
    </row>
    <row r="121" spans="1:6" x14ac:dyDescent="0.3">
      <c r="A121" s="12">
        <v>1</v>
      </c>
      <c r="B121" s="14">
        <v>1</v>
      </c>
      <c r="C121" s="13" t="s">
        <v>81</v>
      </c>
      <c r="D121" s="8" t="s">
        <v>29</v>
      </c>
      <c r="E121" s="15" t="s">
        <v>42</v>
      </c>
      <c r="F121" s="15" t="s">
        <v>68</v>
      </c>
    </row>
    <row r="122" spans="1:6" x14ac:dyDescent="0.3">
      <c r="A122" s="7">
        <v>1</v>
      </c>
      <c r="B122" s="14">
        <v>1</v>
      </c>
      <c r="C122" s="14" t="s">
        <v>81</v>
      </c>
      <c r="D122" s="8" t="s">
        <v>29</v>
      </c>
      <c r="E122" s="4" t="s">
        <v>42</v>
      </c>
      <c r="F122" s="4" t="s">
        <v>67</v>
      </c>
    </row>
    <row r="123" spans="1:6" x14ac:dyDescent="0.3">
      <c r="A123" s="27">
        <v>2</v>
      </c>
      <c r="B123" s="9">
        <v>2</v>
      </c>
      <c r="C123" s="9" t="s">
        <v>80</v>
      </c>
      <c r="D123" s="9" t="s">
        <v>29</v>
      </c>
      <c r="E123" s="27" t="s">
        <v>42</v>
      </c>
      <c r="F123" s="27" t="s">
        <v>43</v>
      </c>
    </row>
    <row r="124" spans="1:6" x14ac:dyDescent="0.3">
      <c r="A124" s="15">
        <v>2</v>
      </c>
      <c r="B124" s="12">
        <v>1</v>
      </c>
      <c r="C124" s="12" t="s">
        <v>81</v>
      </c>
      <c r="D124" s="15" t="s">
        <v>0</v>
      </c>
      <c r="E124" s="15" t="s">
        <v>41</v>
      </c>
      <c r="F124" s="15" t="s">
        <v>58</v>
      </c>
    </row>
    <row r="125" spans="1:6" x14ac:dyDescent="0.3">
      <c r="A125" s="27">
        <v>2</v>
      </c>
      <c r="B125" s="28">
        <v>1</v>
      </c>
      <c r="C125" s="28" t="s">
        <v>81</v>
      </c>
      <c r="D125" s="27" t="s">
        <v>40</v>
      </c>
      <c r="E125" s="27" t="s">
        <v>9</v>
      </c>
      <c r="F125" s="27" t="s">
        <v>58</v>
      </c>
    </row>
    <row r="126" spans="1:6" x14ac:dyDescent="0.3">
      <c r="A126" s="15">
        <v>2</v>
      </c>
      <c r="B126" s="9">
        <v>2</v>
      </c>
      <c r="C126" s="9" t="s">
        <v>80</v>
      </c>
      <c r="D126" s="9" t="s">
        <v>29</v>
      </c>
      <c r="E126" s="15" t="s">
        <v>42</v>
      </c>
      <c r="F126" s="15" t="s">
        <v>44</v>
      </c>
    </row>
    <row r="127" spans="1:6" x14ac:dyDescent="0.3">
      <c r="A127" s="15">
        <v>2</v>
      </c>
      <c r="B127" s="12">
        <v>1</v>
      </c>
      <c r="C127" s="28" t="s">
        <v>81</v>
      </c>
      <c r="D127" s="15" t="s">
        <v>0</v>
      </c>
      <c r="E127" s="15" t="s">
        <v>41</v>
      </c>
      <c r="F127" s="15" t="s">
        <v>57</v>
      </c>
    </row>
    <row r="128" spans="1:6" x14ac:dyDescent="0.3">
      <c r="A128" s="4">
        <v>2</v>
      </c>
      <c r="B128" s="7">
        <v>1</v>
      </c>
      <c r="C128" s="7" t="s">
        <v>81</v>
      </c>
      <c r="D128" s="4" t="s">
        <v>40</v>
      </c>
      <c r="E128" s="4" t="s">
        <v>9</v>
      </c>
      <c r="F128" s="4" t="s">
        <v>57</v>
      </c>
    </row>
    <row r="129" spans="1:6" x14ac:dyDescent="0.3">
      <c r="A129" s="15">
        <v>2</v>
      </c>
      <c r="B129" s="12">
        <v>1</v>
      </c>
      <c r="C129" s="28" t="s">
        <v>81</v>
      </c>
      <c r="D129" s="15" t="s">
        <v>0</v>
      </c>
      <c r="E129" s="15" t="s">
        <v>41</v>
      </c>
      <c r="F129" s="15" t="s">
        <v>56</v>
      </c>
    </row>
    <row r="130" spans="1:6" x14ac:dyDescent="0.3">
      <c r="A130" s="4">
        <v>2</v>
      </c>
      <c r="B130" s="7">
        <v>2</v>
      </c>
      <c r="C130" s="7" t="s">
        <v>80</v>
      </c>
      <c r="D130" s="4" t="s">
        <v>40</v>
      </c>
      <c r="E130" s="4" t="s">
        <v>10</v>
      </c>
      <c r="F130" s="4" t="s">
        <v>56</v>
      </c>
    </row>
    <row r="131" spans="1:6" x14ac:dyDescent="0.3">
      <c r="A131" s="15">
        <v>2</v>
      </c>
      <c r="B131" s="12">
        <v>2</v>
      </c>
      <c r="C131" s="28" t="s">
        <v>80</v>
      </c>
      <c r="D131" s="15" t="s">
        <v>0</v>
      </c>
      <c r="E131" s="15" t="s">
        <v>41</v>
      </c>
      <c r="F131" s="15" t="s">
        <v>55</v>
      </c>
    </row>
    <row r="132" spans="1:6" x14ac:dyDescent="0.3">
      <c r="A132" s="4">
        <v>2</v>
      </c>
      <c r="B132" s="7">
        <v>1</v>
      </c>
      <c r="C132" s="7" t="s">
        <v>81</v>
      </c>
      <c r="D132" s="4" t="s">
        <v>40</v>
      </c>
      <c r="E132" s="4" t="s">
        <v>10</v>
      </c>
      <c r="F132" s="4" t="s">
        <v>55</v>
      </c>
    </row>
    <row r="133" spans="1:6" x14ac:dyDescent="0.3">
      <c r="A133" s="27">
        <v>2</v>
      </c>
      <c r="B133" s="9">
        <v>2</v>
      </c>
      <c r="C133" s="9" t="s">
        <v>80</v>
      </c>
      <c r="D133" s="9" t="s">
        <v>29</v>
      </c>
      <c r="E133" s="27" t="s">
        <v>42</v>
      </c>
      <c r="F133" s="27" t="s">
        <v>45</v>
      </c>
    </row>
    <row r="134" spans="1:6" x14ac:dyDescent="0.3">
      <c r="A134" s="15">
        <v>2</v>
      </c>
      <c r="B134" s="12">
        <v>1</v>
      </c>
      <c r="C134" s="7" t="s">
        <v>81</v>
      </c>
      <c r="D134" s="15" t="s">
        <v>0</v>
      </c>
      <c r="E134" s="15" t="s">
        <v>41</v>
      </c>
      <c r="F134" s="15" t="s">
        <v>54</v>
      </c>
    </row>
    <row r="135" spans="1:6" x14ac:dyDescent="0.3">
      <c r="A135" s="27">
        <v>2</v>
      </c>
      <c r="B135" s="28">
        <v>2</v>
      </c>
      <c r="C135" s="28" t="s">
        <v>80</v>
      </c>
      <c r="D135" s="27" t="s">
        <v>40</v>
      </c>
      <c r="E135" s="27" t="s">
        <v>10</v>
      </c>
      <c r="F135" s="27" t="s">
        <v>54</v>
      </c>
    </row>
    <row r="136" spans="1:6" x14ac:dyDescent="0.3">
      <c r="A136" s="15">
        <v>2</v>
      </c>
      <c r="B136" s="9">
        <v>1</v>
      </c>
      <c r="C136" s="9" t="s">
        <v>81</v>
      </c>
      <c r="D136" s="9" t="s">
        <v>29</v>
      </c>
      <c r="E136" s="15" t="s">
        <v>42</v>
      </c>
      <c r="F136" s="15" t="s">
        <v>46</v>
      </c>
    </row>
    <row r="137" spans="1:6" x14ac:dyDescent="0.3">
      <c r="A137" s="27">
        <v>2</v>
      </c>
      <c r="B137" s="9">
        <v>1</v>
      </c>
      <c r="C137" s="9" t="s">
        <v>81</v>
      </c>
      <c r="D137" s="9" t="s">
        <v>29</v>
      </c>
      <c r="E137" s="27" t="s">
        <v>42</v>
      </c>
      <c r="F137" s="27" t="s">
        <v>47</v>
      </c>
    </row>
    <row r="138" spans="1:6" x14ac:dyDescent="0.3">
      <c r="A138" s="15">
        <v>2</v>
      </c>
      <c r="B138" s="12">
        <v>2</v>
      </c>
      <c r="C138" s="12" t="s">
        <v>80</v>
      </c>
      <c r="D138" s="15" t="s">
        <v>0</v>
      </c>
      <c r="E138" s="15" t="s">
        <v>41</v>
      </c>
      <c r="F138" s="15" t="s">
        <v>53</v>
      </c>
    </row>
    <row r="139" spans="1:6" x14ac:dyDescent="0.3">
      <c r="A139" s="27">
        <v>2</v>
      </c>
      <c r="B139" s="28">
        <v>2</v>
      </c>
      <c r="C139" s="28" t="s">
        <v>80</v>
      </c>
      <c r="D139" s="27" t="s">
        <v>40</v>
      </c>
      <c r="E139" s="27" t="s">
        <v>9</v>
      </c>
      <c r="F139" s="27" t="s">
        <v>53</v>
      </c>
    </row>
    <row r="140" spans="1:6" x14ac:dyDescent="0.3">
      <c r="A140" s="15">
        <v>2</v>
      </c>
      <c r="B140" s="9">
        <v>1</v>
      </c>
      <c r="C140" s="9" t="s">
        <v>81</v>
      </c>
      <c r="D140" s="9" t="s">
        <v>29</v>
      </c>
      <c r="E140" s="15" t="s">
        <v>42</v>
      </c>
      <c r="F140" s="15" t="s">
        <v>48</v>
      </c>
    </row>
    <row r="141" spans="1:6" x14ac:dyDescent="0.3">
      <c r="A141" s="27">
        <v>2</v>
      </c>
      <c r="B141" s="28">
        <v>2</v>
      </c>
      <c r="C141" s="28" t="s">
        <v>80</v>
      </c>
      <c r="D141" s="27" t="s">
        <v>0</v>
      </c>
      <c r="E141" s="27" t="s">
        <v>41</v>
      </c>
      <c r="F141" s="27" t="s">
        <v>52</v>
      </c>
    </row>
    <row r="142" spans="1:6" x14ac:dyDescent="0.3">
      <c r="A142" s="15">
        <v>2</v>
      </c>
      <c r="B142" s="12">
        <v>2</v>
      </c>
      <c r="C142" s="12" t="s">
        <v>80</v>
      </c>
      <c r="D142" s="15" t="s">
        <v>40</v>
      </c>
      <c r="E142" s="15" t="s">
        <v>9</v>
      </c>
      <c r="F142" s="15" t="s">
        <v>52</v>
      </c>
    </row>
    <row r="143" spans="1:6" x14ac:dyDescent="0.3">
      <c r="A143" s="27">
        <v>2</v>
      </c>
      <c r="B143" s="9">
        <v>2</v>
      </c>
      <c r="C143" s="9" t="s">
        <v>80</v>
      </c>
      <c r="D143" s="9" t="s">
        <v>29</v>
      </c>
      <c r="E143" s="27" t="s">
        <v>42</v>
      </c>
      <c r="F143" s="27" t="s">
        <v>49</v>
      </c>
    </row>
    <row r="144" spans="1:6" x14ac:dyDescent="0.3">
      <c r="A144" s="15">
        <v>2</v>
      </c>
      <c r="B144" s="9">
        <v>1</v>
      </c>
      <c r="C144" s="9" t="s">
        <v>81</v>
      </c>
      <c r="D144" s="9" t="s">
        <v>29</v>
      </c>
      <c r="E144" s="15" t="s">
        <v>42</v>
      </c>
      <c r="F144" s="15" t="s">
        <v>50</v>
      </c>
    </row>
    <row r="145" spans="1:6" x14ac:dyDescent="0.3">
      <c r="A145" s="27">
        <v>2</v>
      </c>
      <c r="B145" s="28">
        <v>2</v>
      </c>
      <c r="C145" s="28" t="s">
        <v>80</v>
      </c>
      <c r="D145" s="27" t="s">
        <v>0</v>
      </c>
      <c r="E145" s="27" t="s">
        <v>41</v>
      </c>
      <c r="F145" s="27" t="s">
        <v>51</v>
      </c>
    </row>
    <row r="146" spans="1:6" x14ac:dyDescent="0.3">
      <c r="A146" s="15">
        <v>2</v>
      </c>
      <c r="B146" s="12">
        <v>1</v>
      </c>
      <c r="C146" s="12" t="s">
        <v>81</v>
      </c>
      <c r="D146" s="15" t="s">
        <v>40</v>
      </c>
      <c r="E146" s="15" t="s">
        <v>10</v>
      </c>
      <c r="F146" s="15" t="s">
        <v>51</v>
      </c>
    </row>
    <row r="147" spans="1:6" x14ac:dyDescent="0.3">
      <c r="A147" s="12">
        <v>3</v>
      </c>
      <c r="B147" s="12">
        <v>1</v>
      </c>
      <c r="C147" s="12" t="s">
        <v>81</v>
      </c>
      <c r="D147" s="15" t="s">
        <v>0</v>
      </c>
      <c r="E147" s="15" t="s">
        <v>41</v>
      </c>
      <c r="F147" s="15" t="s">
        <v>59</v>
      </c>
    </row>
    <row r="148" spans="1:6" x14ac:dyDescent="0.3">
      <c r="A148" s="7">
        <v>3</v>
      </c>
      <c r="B148" s="7">
        <v>2</v>
      </c>
      <c r="C148" s="7" t="s">
        <v>80</v>
      </c>
      <c r="D148" s="4" t="s">
        <v>40</v>
      </c>
      <c r="E148" s="4" t="s">
        <v>10</v>
      </c>
      <c r="F148" s="4" t="s">
        <v>59</v>
      </c>
    </row>
    <row r="149" spans="1:6" x14ac:dyDescent="0.3">
      <c r="A149" s="12">
        <v>3</v>
      </c>
      <c r="B149" s="12">
        <v>2</v>
      </c>
      <c r="C149" s="12" t="s">
        <v>80</v>
      </c>
      <c r="D149" s="15" t="s">
        <v>0</v>
      </c>
      <c r="E149" s="15" t="s">
        <v>41</v>
      </c>
      <c r="F149" s="15" t="s">
        <v>60</v>
      </c>
    </row>
    <row r="150" spans="1:6" x14ac:dyDescent="0.3">
      <c r="A150" s="7">
        <v>3</v>
      </c>
      <c r="B150" s="7">
        <v>1</v>
      </c>
      <c r="C150" s="7" t="s">
        <v>81</v>
      </c>
      <c r="D150" s="4" t="s">
        <v>40</v>
      </c>
      <c r="E150" s="4" t="s">
        <v>10</v>
      </c>
      <c r="F150" s="4" t="s">
        <v>60</v>
      </c>
    </row>
    <row r="151" spans="1:6" x14ac:dyDescent="0.3">
      <c r="A151" s="12">
        <v>3</v>
      </c>
      <c r="B151" s="10">
        <v>1</v>
      </c>
      <c r="C151" s="10" t="s">
        <v>81</v>
      </c>
      <c r="D151" s="10" t="s">
        <v>29</v>
      </c>
      <c r="E151" s="15" t="s">
        <v>42</v>
      </c>
      <c r="F151" s="15" t="s">
        <v>58</v>
      </c>
    </row>
    <row r="152" spans="1:6" x14ac:dyDescent="0.3">
      <c r="A152" s="7">
        <v>3</v>
      </c>
      <c r="B152" s="7">
        <v>1</v>
      </c>
      <c r="C152" s="7" t="s">
        <v>81</v>
      </c>
      <c r="D152" s="4" t="s">
        <v>0</v>
      </c>
      <c r="E152" s="4" t="s">
        <v>41</v>
      </c>
      <c r="F152" s="4" t="s">
        <v>61</v>
      </c>
    </row>
    <row r="153" spans="1:6" x14ac:dyDescent="0.3">
      <c r="A153" s="12">
        <v>3</v>
      </c>
      <c r="B153" s="12">
        <v>2</v>
      </c>
      <c r="C153" s="12" t="s">
        <v>80</v>
      </c>
      <c r="D153" s="15" t="s">
        <v>40</v>
      </c>
      <c r="E153" s="15" t="s">
        <v>10</v>
      </c>
      <c r="F153" s="15" t="s">
        <v>61</v>
      </c>
    </row>
    <row r="154" spans="1:6" x14ac:dyDescent="0.3">
      <c r="A154" s="7">
        <v>3</v>
      </c>
      <c r="B154" s="10">
        <v>1</v>
      </c>
      <c r="C154" s="10" t="s">
        <v>81</v>
      </c>
      <c r="D154" s="10" t="s">
        <v>29</v>
      </c>
      <c r="E154" s="4" t="s">
        <v>42</v>
      </c>
      <c r="F154" s="4" t="s">
        <v>57</v>
      </c>
    </row>
    <row r="155" spans="1:6" x14ac:dyDescent="0.3">
      <c r="A155" s="12">
        <v>3</v>
      </c>
      <c r="B155" s="12">
        <v>2</v>
      </c>
      <c r="C155" s="12" t="s">
        <v>80</v>
      </c>
      <c r="D155" s="15" t="s">
        <v>0</v>
      </c>
      <c r="E155" s="15" t="s">
        <v>41</v>
      </c>
      <c r="F155" s="15" t="s">
        <v>62</v>
      </c>
    </row>
    <row r="156" spans="1:6" x14ac:dyDescent="0.3">
      <c r="A156" s="7">
        <v>3</v>
      </c>
      <c r="B156" s="7">
        <v>2</v>
      </c>
      <c r="C156" s="7" t="s">
        <v>80</v>
      </c>
      <c r="D156" s="4" t="s">
        <v>40</v>
      </c>
      <c r="E156" s="4" t="s">
        <v>9</v>
      </c>
      <c r="F156" s="4" t="s">
        <v>62</v>
      </c>
    </row>
    <row r="157" spans="1:6" x14ac:dyDescent="0.3">
      <c r="A157" s="12">
        <v>3</v>
      </c>
      <c r="B157" s="10">
        <v>2</v>
      </c>
      <c r="C157" s="10" t="s">
        <v>80</v>
      </c>
      <c r="D157" s="10" t="s">
        <v>29</v>
      </c>
      <c r="E157" s="15" t="s">
        <v>42</v>
      </c>
      <c r="F157" s="15" t="s">
        <v>56</v>
      </c>
    </row>
    <row r="158" spans="1:6" x14ac:dyDescent="0.3">
      <c r="A158" s="7">
        <v>3</v>
      </c>
      <c r="B158" s="10">
        <v>1</v>
      </c>
      <c r="C158" s="10" t="s">
        <v>81</v>
      </c>
      <c r="D158" s="10" t="s">
        <v>29</v>
      </c>
      <c r="E158" s="4" t="s">
        <v>42</v>
      </c>
      <c r="F158" s="4" t="s">
        <v>55</v>
      </c>
    </row>
    <row r="159" spans="1:6" x14ac:dyDescent="0.3">
      <c r="A159" s="12">
        <v>3</v>
      </c>
      <c r="B159" s="10">
        <v>1</v>
      </c>
      <c r="C159" s="10" t="s">
        <v>81</v>
      </c>
      <c r="D159" s="10" t="s">
        <v>29</v>
      </c>
      <c r="E159" s="15" t="s">
        <v>42</v>
      </c>
      <c r="F159" s="15" t="s">
        <v>54</v>
      </c>
    </row>
    <row r="160" spans="1:6" x14ac:dyDescent="0.3">
      <c r="A160" s="7">
        <v>3</v>
      </c>
      <c r="B160" s="7">
        <v>2</v>
      </c>
      <c r="C160" s="7" t="s">
        <v>80</v>
      </c>
      <c r="D160" s="4" t="s">
        <v>0</v>
      </c>
      <c r="E160" s="4" t="s">
        <v>41</v>
      </c>
      <c r="F160" s="4" t="s">
        <v>63</v>
      </c>
    </row>
    <row r="161" spans="1:6" x14ac:dyDescent="0.3">
      <c r="A161" s="12">
        <v>3</v>
      </c>
      <c r="B161" s="12">
        <v>2</v>
      </c>
      <c r="C161" s="12" t="s">
        <v>80</v>
      </c>
      <c r="D161" s="15" t="s">
        <v>40</v>
      </c>
      <c r="E161" s="15" t="s">
        <v>9</v>
      </c>
      <c r="F161" s="15" t="s">
        <v>63</v>
      </c>
    </row>
    <row r="162" spans="1:6" x14ac:dyDescent="0.3">
      <c r="A162" s="7">
        <v>3</v>
      </c>
      <c r="B162" s="7">
        <v>2</v>
      </c>
      <c r="C162" s="7" t="s">
        <v>80</v>
      </c>
      <c r="D162" s="4" t="s">
        <v>0</v>
      </c>
      <c r="E162" s="4" t="s">
        <v>41</v>
      </c>
      <c r="F162" s="4" t="s">
        <v>64</v>
      </c>
    </row>
    <row r="163" spans="1:6" x14ac:dyDescent="0.3">
      <c r="A163" s="12">
        <v>3</v>
      </c>
      <c r="B163" s="12">
        <v>1</v>
      </c>
      <c r="C163" s="12" t="s">
        <v>81</v>
      </c>
      <c r="D163" s="15" t="s">
        <v>40</v>
      </c>
      <c r="E163" s="15" t="s">
        <v>10</v>
      </c>
      <c r="F163" s="15" t="s">
        <v>64</v>
      </c>
    </row>
    <row r="164" spans="1:6" x14ac:dyDescent="0.3">
      <c r="A164" s="7">
        <v>3</v>
      </c>
      <c r="B164" s="10">
        <v>2</v>
      </c>
      <c r="C164" s="10" t="s">
        <v>80</v>
      </c>
      <c r="D164" s="10" t="s">
        <v>29</v>
      </c>
      <c r="E164" s="4" t="s">
        <v>42</v>
      </c>
      <c r="F164" s="4" t="s">
        <v>53</v>
      </c>
    </row>
    <row r="165" spans="1:6" x14ac:dyDescent="0.3">
      <c r="A165" s="12">
        <v>3</v>
      </c>
      <c r="B165" s="12">
        <v>1</v>
      </c>
      <c r="C165" s="12" t="s">
        <v>81</v>
      </c>
      <c r="D165" s="15" t="s">
        <v>0</v>
      </c>
      <c r="E165" s="15" t="s">
        <v>41</v>
      </c>
      <c r="F165" s="15" t="s">
        <v>65</v>
      </c>
    </row>
    <row r="166" spans="1:6" x14ac:dyDescent="0.3">
      <c r="A166" s="7">
        <v>3</v>
      </c>
      <c r="B166" s="7">
        <v>1</v>
      </c>
      <c r="C166" s="7" t="s">
        <v>81</v>
      </c>
      <c r="D166" s="4" t="s">
        <v>40</v>
      </c>
      <c r="E166" s="4" t="s">
        <v>9</v>
      </c>
      <c r="F166" s="4" t="s">
        <v>65</v>
      </c>
    </row>
    <row r="167" spans="1:6" x14ac:dyDescent="0.3">
      <c r="A167" s="12">
        <v>3</v>
      </c>
      <c r="B167" s="10">
        <v>2</v>
      </c>
      <c r="C167" s="10" t="s">
        <v>80</v>
      </c>
      <c r="D167" s="10" t="s">
        <v>29</v>
      </c>
      <c r="E167" s="15" t="s">
        <v>42</v>
      </c>
      <c r="F167" s="15" t="s">
        <v>52</v>
      </c>
    </row>
    <row r="168" spans="1:6" x14ac:dyDescent="0.3">
      <c r="A168" s="7">
        <v>3</v>
      </c>
      <c r="B168" s="10">
        <v>2</v>
      </c>
      <c r="C168" s="10" t="s">
        <v>80</v>
      </c>
      <c r="D168" s="10" t="s">
        <v>29</v>
      </c>
      <c r="E168" s="4" t="s">
        <v>42</v>
      </c>
      <c r="F168" s="4" t="s">
        <v>51</v>
      </c>
    </row>
    <row r="169" spans="1:6" x14ac:dyDescent="0.3">
      <c r="A169" s="12">
        <v>3</v>
      </c>
      <c r="B169" s="12">
        <v>1</v>
      </c>
      <c r="C169" s="12" t="s">
        <v>81</v>
      </c>
      <c r="D169" s="15" t="s">
        <v>0</v>
      </c>
      <c r="E169" s="15" t="s">
        <v>41</v>
      </c>
      <c r="F169" s="15" t="s">
        <v>66</v>
      </c>
    </row>
    <row r="170" spans="1:6" x14ac:dyDescent="0.3">
      <c r="A170" s="7">
        <v>3</v>
      </c>
      <c r="B170" s="7">
        <v>1</v>
      </c>
      <c r="C170" s="7" t="s">
        <v>81</v>
      </c>
      <c r="D170" s="4" t="s">
        <v>40</v>
      </c>
      <c r="E170" s="4" t="s">
        <v>9</v>
      </c>
      <c r="F170" s="4" t="s">
        <v>66</v>
      </c>
    </row>
    <row r="171" spans="1:6" x14ac:dyDescent="0.3">
      <c r="A171" s="27">
        <v>4</v>
      </c>
      <c r="B171" s="11">
        <v>2</v>
      </c>
      <c r="C171" s="11" t="s">
        <v>80</v>
      </c>
      <c r="D171" s="11" t="s">
        <v>29</v>
      </c>
      <c r="E171" s="27" t="s">
        <v>42</v>
      </c>
      <c r="F171" s="27" t="s">
        <v>59</v>
      </c>
    </row>
    <row r="172" spans="1:6" x14ac:dyDescent="0.3">
      <c r="A172" s="15">
        <v>4</v>
      </c>
      <c r="B172" s="12">
        <v>1</v>
      </c>
      <c r="C172" s="12" t="s">
        <v>81</v>
      </c>
      <c r="D172" s="15" t="s">
        <v>0</v>
      </c>
      <c r="E172" s="15" t="s">
        <v>41</v>
      </c>
      <c r="F172" s="15" t="s">
        <v>74</v>
      </c>
    </row>
    <row r="173" spans="1:6" x14ac:dyDescent="0.3">
      <c r="A173" s="27">
        <v>4</v>
      </c>
      <c r="B173" s="28">
        <v>1</v>
      </c>
      <c r="C173" s="28" t="s">
        <v>81</v>
      </c>
      <c r="D173" s="27" t="s">
        <v>40</v>
      </c>
      <c r="E173" s="27" t="s">
        <v>9</v>
      </c>
      <c r="F173" s="27" t="s">
        <v>74</v>
      </c>
    </row>
    <row r="174" spans="1:6" x14ac:dyDescent="0.3">
      <c r="A174" s="15">
        <v>4</v>
      </c>
      <c r="B174" s="12">
        <v>1</v>
      </c>
      <c r="C174" s="12" t="s">
        <v>81</v>
      </c>
      <c r="D174" s="15" t="s">
        <v>0</v>
      </c>
      <c r="E174" s="15" t="s">
        <v>41</v>
      </c>
      <c r="F174" s="15" t="s">
        <v>73</v>
      </c>
    </row>
    <row r="175" spans="1:6" x14ac:dyDescent="0.3">
      <c r="A175" s="27">
        <v>4</v>
      </c>
      <c r="B175" s="28">
        <v>2</v>
      </c>
      <c r="C175" s="28" t="s">
        <v>80</v>
      </c>
      <c r="D175" s="27" t="s">
        <v>40</v>
      </c>
      <c r="E175" s="27" t="s">
        <v>10</v>
      </c>
      <c r="F175" s="27" t="s">
        <v>73</v>
      </c>
    </row>
    <row r="176" spans="1:6" x14ac:dyDescent="0.3">
      <c r="A176" s="15">
        <v>4</v>
      </c>
      <c r="B176" s="11">
        <v>1</v>
      </c>
      <c r="C176" s="11" t="s">
        <v>81</v>
      </c>
      <c r="D176" s="11" t="s">
        <v>29</v>
      </c>
      <c r="E176" s="15" t="s">
        <v>42</v>
      </c>
      <c r="F176" s="15" t="s">
        <v>60</v>
      </c>
    </row>
    <row r="177" spans="1:6" x14ac:dyDescent="0.3">
      <c r="A177" s="27">
        <v>4</v>
      </c>
      <c r="B177" s="11">
        <v>1</v>
      </c>
      <c r="C177" s="11" t="s">
        <v>81</v>
      </c>
      <c r="D177" s="11" t="s">
        <v>29</v>
      </c>
      <c r="E177" s="27" t="s">
        <v>42</v>
      </c>
      <c r="F177" s="27" t="s">
        <v>61</v>
      </c>
    </row>
    <row r="178" spans="1:6" x14ac:dyDescent="0.3">
      <c r="A178" s="15">
        <v>4</v>
      </c>
      <c r="B178" s="12">
        <v>2</v>
      </c>
      <c r="C178" s="12" t="s">
        <v>80</v>
      </c>
      <c r="D178" s="15" t="s">
        <v>0</v>
      </c>
      <c r="E178" s="15" t="s">
        <v>41</v>
      </c>
      <c r="F178" s="15" t="s">
        <v>72</v>
      </c>
    </row>
    <row r="179" spans="1:6" x14ac:dyDescent="0.3">
      <c r="A179" s="27">
        <v>4</v>
      </c>
      <c r="B179" s="28">
        <v>2</v>
      </c>
      <c r="C179" s="28" t="s">
        <v>80</v>
      </c>
      <c r="D179" s="27" t="s">
        <v>40</v>
      </c>
      <c r="E179" s="27" t="s">
        <v>9</v>
      </c>
      <c r="F179" s="27" t="s">
        <v>72</v>
      </c>
    </row>
    <row r="180" spans="1:6" x14ac:dyDescent="0.3">
      <c r="A180" s="15">
        <v>4</v>
      </c>
      <c r="B180" s="12">
        <v>2</v>
      </c>
      <c r="C180" s="12" t="s">
        <v>80</v>
      </c>
      <c r="D180" s="15" t="s">
        <v>0</v>
      </c>
      <c r="E180" s="15" t="s">
        <v>41</v>
      </c>
      <c r="F180" s="15" t="s">
        <v>71</v>
      </c>
    </row>
    <row r="181" spans="1:6" x14ac:dyDescent="0.3">
      <c r="A181" s="27">
        <v>4</v>
      </c>
      <c r="B181" s="28">
        <v>1</v>
      </c>
      <c r="C181" s="28" t="s">
        <v>81</v>
      </c>
      <c r="D181" s="27" t="s">
        <v>40</v>
      </c>
      <c r="E181" s="27" t="s">
        <v>10</v>
      </c>
      <c r="F181" s="27" t="s">
        <v>71</v>
      </c>
    </row>
    <row r="182" spans="1:6" x14ac:dyDescent="0.3">
      <c r="A182" s="15">
        <v>4</v>
      </c>
      <c r="B182" s="11">
        <v>2</v>
      </c>
      <c r="C182" s="11" t="s">
        <v>80</v>
      </c>
      <c r="D182" s="11" t="s">
        <v>29</v>
      </c>
      <c r="E182" s="15" t="s">
        <v>42</v>
      </c>
      <c r="F182" s="15" t="s">
        <v>62</v>
      </c>
    </row>
    <row r="183" spans="1:6" x14ac:dyDescent="0.3">
      <c r="A183" s="27">
        <v>4</v>
      </c>
      <c r="B183" s="28">
        <v>1</v>
      </c>
      <c r="C183" s="28" t="s">
        <v>81</v>
      </c>
      <c r="D183" s="27" t="s">
        <v>0</v>
      </c>
      <c r="E183" s="27" t="s">
        <v>41</v>
      </c>
      <c r="F183" s="27" t="s">
        <v>70</v>
      </c>
    </row>
    <row r="184" spans="1:6" x14ac:dyDescent="0.3">
      <c r="A184" s="15">
        <v>4</v>
      </c>
      <c r="B184" s="12">
        <v>2</v>
      </c>
      <c r="C184" s="12" t="s">
        <v>80</v>
      </c>
      <c r="D184" s="15" t="s">
        <v>40</v>
      </c>
      <c r="E184" s="15" t="s">
        <v>10</v>
      </c>
      <c r="F184" s="15" t="s">
        <v>70</v>
      </c>
    </row>
    <row r="185" spans="1:6" x14ac:dyDescent="0.3">
      <c r="A185" s="27">
        <v>4</v>
      </c>
      <c r="B185" s="28">
        <v>2</v>
      </c>
      <c r="C185" s="28" t="s">
        <v>80</v>
      </c>
      <c r="D185" s="27" t="s">
        <v>0</v>
      </c>
      <c r="E185" s="27" t="s">
        <v>41</v>
      </c>
      <c r="F185" s="27" t="s">
        <v>69</v>
      </c>
    </row>
    <row r="186" spans="1:6" x14ac:dyDescent="0.3">
      <c r="A186" s="15">
        <v>4</v>
      </c>
      <c r="B186" s="12">
        <v>2</v>
      </c>
      <c r="C186" s="12" t="s">
        <v>80</v>
      </c>
      <c r="D186" s="15" t="s">
        <v>40</v>
      </c>
      <c r="E186" s="15" t="s">
        <v>9</v>
      </c>
      <c r="F186" s="15" t="s">
        <v>69</v>
      </c>
    </row>
    <row r="187" spans="1:6" x14ac:dyDescent="0.3">
      <c r="A187" s="27">
        <v>4</v>
      </c>
      <c r="B187" s="11">
        <v>1</v>
      </c>
      <c r="C187" s="11" t="s">
        <v>81</v>
      </c>
      <c r="D187" s="11" t="s">
        <v>29</v>
      </c>
      <c r="E187" s="27" t="s">
        <v>42</v>
      </c>
      <c r="F187" s="27" t="s">
        <v>63</v>
      </c>
    </row>
    <row r="188" spans="1:6" x14ac:dyDescent="0.3">
      <c r="A188" s="15">
        <v>4</v>
      </c>
      <c r="B188" s="11">
        <v>2</v>
      </c>
      <c r="C188" s="11" t="s">
        <v>80</v>
      </c>
      <c r="D188" s="11" t="s">
        <v>29</v>
      </c>
      <c r="E188" s="15" t="s">
        <v>42</v>
      </c>
      <c r="F188" s="15" t="s">
        <v>64</v>
      </c>
    </row>
    <row r="189" spans="1:6" x14ac:dyDescent="0.3">
      <c r="A189" s="27">
        <v>4</v>
      </c>
      <c r="B189" s="11">
        <v>1</v>
      </c>
      <c r="C189" s="11" t="s">
        <v>81</v>
      </c>
      <c r="D189" s="11" t="s">
        <v>29</v>
      </c>
      <c r="E189" s="27" t="s">
        <v>42</v>
      </c>
      <c r="F189" s="27" t="s">
        <v>65</v>
      </c>
    </row>
    <row r="190" spans="1:6" x14ac:dyDescent="0.3">
      <c r="A190" s="15">
        <v>4</v>
      </c>
      <c r="B190" s="12">
        <v>2</v>
      </c>
      <c r="C190" s="12" t="s">
        <v>80</v>
      </c>
      <c r="D190" s="15" t="s">
        <v>0</v>
      </c>
      <c r="E190" s="15" t="s">
        <v>41</v>
      </c>
      <c r="F190" s="15" t="s">
        <v>68</v>
      </c>
    </row>
    <row r="191" spans="1:6" x14ac:dyDescent="0.3">
      <c r="A191" s="27">
        <v>4</v>
      </c>
      <c r="B191" s="28">
        <v>1</v>
      </c>
      <c r="C191" s="28" t="s">
        <v>81</v>
      </c>
      <c r="D191" s="27" t="s">
        <v>40</v>
      </c>
      <c r="E191" s="27" t="s">
        <v>10</v>
      </c>
      <c r="F191" s="27" t="s">
        <v>68</v>
      </c>
    </row>
    <row r="192" spans="1:6" x14ac:dyDescent="0.3">
      <c r="A192" s="15">
        <v>4</v>
      </c>
      <c r="B192" s="11">
        <v>1</v>
      </c>
      <c r="C192" s="11" t="s">
        <v>80</v>
      </c>
      <c r="D192" s="11" t="s">
        <v>29</v>
      </c>
      <c r="E192" s="15" t="s">
        <v>42</v>
      </c>
      <c r="F192" s="15" t="s">
        <v>66</v>
      </c>
    </row>
    <row r="193" spans="1:6" x14ac:dyDescent="0.3">
      <c r="A193" s="27">
        <v>4</v>
      </c>
      <c r="B193" s="28">
        <v>1</v>
      </c>
      <c r="C193" s="28" t="s">
        <v>81</v>
      </c>
      <c r="D193" s="27" t="s">
        <v>0</v>
      </c>
      <c r="E193" s="27" t="s">
        <v>41</v>
      </c>
      <c r="F193" s="27" t="s">
        <v>67</v>
      </c>
    </row>
    <row r="194" spans="1:6" x14ac:dyDescent="0.3">
      <c r="A194" s="15">
        <v>4</v>
      </c>
      <c r="B194" s="12">
        <v>1</v>
      </c>
      <c r="C194" s="12" t="s">
        <v>81</v>
      </c>
      <c r="D194" s="15" t="s">
        <v>40</v>
      </c>
      <c r="E194" s="15" t="s">
        <v>9</v>
      </c>
      <c r="F194" s="15" t="s">
        <v>67</v>
      </c>
    </row>
    <row r="195" spans="1:6" x14ac:dyDescent="0.3">
      <c r="A195" s="29" t="s">
        <v>25</v>
      </c>
      <c r="B195" s="29"/>
      <c r="C195" s="29"/>
      <c r="D195" s="29"/>
      <c r="E195" s="29"/>
      <c r="F195" s="29"/>
    </row>
    <row r="196" spans="1:6" x14ac:dyDescent="0.3">
      <c r="A196" s="12">
        <v>1</v>
      </c>
      <c r="B196" s="14">
        <v>2</v>
      </c>
      <c r="C196" s="13" t="s">
        <v>80</v>
      </c>
      <c r="D196" s="8" t="s">
        <v>29</v>
      </c>
      <c r="E196" s="15" t="s">
        <v>42</v>
      </c>
      <c r="F196" s="15" t="s">
        <v>69</v>
      </c>
    </row>
    <row r="197" spans="1:6" x14ac:dyDescent="0.3">
      <c r="A197" s="28">
        <v>1</v>
      </c>
      <c r="B197" s="27">
        <v>2</v>
      </c>
      <c r="C197" s="27" t="s">
        <v>80</v>
      </c>
      <c r="D197" s="27" t="s">
        <v>0</v>
      </c>
      <c r="E197" s="27" t="s">
        <v>41</v>
      </c>
      <c r="F197" s="27" t="s">
        <v>47</v>
      </c>
    </row>
    <row r="198" spans="1:6" x14ac:dyDescent="0.3">
      <c r="A198" s="12">
        <v>1</v>
      </c>
      <c r="B198" s="15">
        <v>2</v>
      </c>
      <c r="C198" s="15" t="s">
        <v>80</v>
      </c>
      <c r="D198" s="15" t="s">
        <v>40</v>
      </c>
      <c r="E198" s="15" t="s">
        <v>9</v>
      </c>
      <c r="F198" s="15" t="s">
        <v>47</v>
      </c>
    </row>
    <row r="199" spans="1:6" x14ac:dyDescent="0.3">
      <c r="A199" s="28">
        <v>1</v>
      </c>
      <c r="B199" s="14">
        <v>1</v>
      </c>
      <c r="C199" s="14" t="s">
        <v>81</v>
      </c>
      <c r="D199" s="8" t="s">
        <v>29</v>
      </c>
      <c r="E199" s="27" t="s">
        <v>42</v>
      </c>
      <c r="F199" s="27" t="s">
        <v>72</v>
      </c>
    </row>
    <row r="200" spans="1:6" x14ac:dyDescent="0.3">
      <c r="A200" s="12">
        <v>1</v>
      </c>
      <c r="B200" s="14">
        <v>2</v>
      </c>
      <c r="C200" s="13" t="s">
        <v>80</v>
      </c>
      <c r="D200" s="8" t="s">
        <v>29</v>
      </c>
      <c r="E200" s="15" t="s">
        <v>42</v>
      </c>
      <c r="F200" s="15" t="s">
        <v>70</v>
      </c>
    </row>
    <row r="201" spans="1:6" x14ac:dyDescent="0.3">
      <c r="A201" s="28">
        <v>1</v>
      </c>
      <c r="B201" s="14">
        <v>1</v>
      </c>
      <c r="C201" s="14" t="s">
        <v>81</v>
      </c>
      <c r="D201" s="8" t="s">
        <v>29</v>
      </c>
      <c r="E201" s="27" t="s">
        <v>42</v>
      </c>
      <c r="F201" s="27" t="s">
        <v>74</v>
      </c>
    </row>
    <row r="202" spans="1:6" x14ac:dyDescent="0.3">
      <c r="A202" s="12">
        <v>1</v>
      </c>
      <c r="B202" s="15">
        <v>2</v>
      </c>
      <c r="C202" s="15" t="s">
        <v>80</v>
      </c>
      <c r="D202" s="15" t="s">
        <v>0</v>
      </c>
      <c r="E202" s="15" t="s">
        <v>41</v>
      </c>
      <c r="F202" s="15" t="s">
        <v>50</v>
      </c>
    </row>
    <row r="203" spans="1:6" x14ac:dyDescent="0.3">
      <c r="A203" s="28">
        <v>1</v>
      </c>
      <c r="B203" s="27">
        <v>2</v>
      </c>
      <c r="C203" s="15" t="s">
        <v>80</v>
      </c>
      <c r="D203" s="27" t="s">
        <v>40</v>
      </c>
      <c r="E203" s="27" t="s">
        <v>9</v>
      </c>
      <c r="F203" s="27" t="s">
        <v>50</v>
      </c>
    </row>
    <row r="204" spans="1:6" x14ac:dyDescent="0.3">
      <c r="A204" s="12">
        <v>1</v>
      </c>
      <c r="B204" s="15">
        <v>2</v>
      </c>
      <c r="C204" s="15" t="s">
        <v>80</v>
      </c>
      <c r="D204" s="15" t="s">
        <v>0</v>
      </c>
      <c r="E204" s="15" t="s">
        <v>41</v>
      </c>
      <c r="F204" s="15" t="s">
        <v>49</v>
      </c>
    </row>
    <row r="205" spans="1:6" x14ac:dyDescent="0.3">
      <c r="A205" s="28">
        <v>1</v>
      </c>
      <c r="B205" s="27">
        <v>1</v>
      </c>
      <c r="C205" s="27" t="s">
        <v>81</v>
      </c>
      <c r="D205" s="27" t="s">
        <v>40</v>
      </c>
      <c r="E205" s="27" t="s">
        <v>10</v>
      </c>
      <c r="F205" s="27" t="s">
        <v>49</v>
      </c>
    </row>
    <row r="206" spans="1:6" x14ac:dyDescent="0.3">
      <c r="A206" s="12">
        <v>1</v>
      </c>
      <c r="B206" s="14">
        <v>1</v>
      </c>
      <c r="C206" s="13" t="s">
        <v>81</v>
      </c>
      <c r="D206" s="8" t="s">
        <v>29</v>
      </c>
      <c r="E206" s="15" t="s">
        <v>42</v>
      </c>
      <c r="F206" s="15" t="s">
        <v>71</v>
      </c>
    </row>
    <row r="207" spans="1:6" x14ac:dyDescent="0.3">
      <c r="A207" s="28">
        <v>1</v>
      </c>
      <c r="B207" s="27">
        <v>1</v>
      </c>
      <c r="C207" s="27" t="s">
        <v>81</v>
      </c>
      <c r="D207" s="27" t="s">
        <v>0</v>
      </c>
      <c r="E207" s="27" t="s">
        <v>41</v>
      </c>
      <c r="F207" s="27" t="s">
        <v>45</v>
      </c>
    </row>
    <row r="208" spans="1:6" x14ac:dyDescent="0.3">
      <c r="A208" s="12">
        <v>1</v>
      </c>
      <c r="B208" s="15">
        <v>2</v>
      </c>
      <c r="C208" s="15" t="s">
        <v>80</v>
      </c>
      <c r="D208" s="15" t="s">
        <v>40</v>
      </c>
      <c r="E208" s="15" t="s">
        <v>10</v>
      </c>
      <c r="F208" s="15" t="s">
        <v>45</v>
      </c>
    </row>
    <row r="209" spans="1:6" x14ac:dyDescent="0.3">
      <c r="A209" s="28">
        <v>1</v>
      </c>
      <c r="B209" s="27">
        <v>2</v>
      </c>
      <c r="C209" s="27" t="s">
        <v>80</v>
      </c>
      <c r="D209" s="27" t="s">
        <v>0</v>
      </c>
      <c r="E209" s="27" t="s">
        <v>41</v>
      </c>
      <c r="F209" s="27" t="s">
        <v>44</v>
      </c>
    </row>
    <row r="210" spans="1:6" x14ac:dyDescent="0.3">
      <c r="A210" s="12">
        <v>1</v>
      </c>
      <c r="B210" s="15">
        <v>1</v>
      </c>
      <c r="C210" s="15" t="s">
        <v>81</v>
      </c>
      <c r="D210" s="15" t="s">
        <v>40</v>
      </c>
      <c r="E210" s="15" t="s">
        <v>10</v>
      </c>
      <c r="F210" s="15" t="s">
        <v>44</v>
      </c>
    </row>
    <row r="211" spans="1:6" x14ac:dyDescent="0.3">
      <c r="A211" s="28">
        <v>1</v>
      </c>
      <c r="B211" s="14">
        <v>2</v>
      </c>
      <c r="C211" s="14" t="s">
        <v>80</v>
      </c>
      <c r="D211" s="8" t="s">
        <v>29</v>
      </c>
      <c r="E211" s="27" t="s">
        <v>42</v>
      </c>
      <c r="F211" s="27" t="s">
        <v>68</v>
      </c>
    </row>
    <row r="212" spans="1:6" x14ac:dyDescent="0.3">
      <c r="A212" s="12">
        <v>1</v>
      </c>
      <c r="B212" s="15">
        <v>1</v>
      </c>
      <c r="C212" s="15" t="s">
        <v>81</v>
      </c>
      <c r="D212" s="15" t="s">
        <v>0</v>
      </c>
      <c r="E212" s="15" t="s">
        <v>41</v>
      </c>
      <c r="F212" s="15" t="s">
        <v>46</v>
      </c>
    </row>
    <row r="213" spans="1:6" x14ac:dyDescent="0.3">
      <c r="A213" s="28">
        <v>1</v>
      </c>
      <c r="B213" s="27">
        <v>1</v>
      </c>
      <c r="C213" s="15" t="s">
        <v>81</v>
      </c>
      <c r="D213" s="27" t="s">
        <v>40</v>
      </c>
      <c r="E213" s="27" t="s">
        <v>9</v>
      </c>
      <c r="F213" s="27" t="s">
        <v>46</v>
      </c>
    </row>
    <row r="214" spans="1:6" x14ac:dyDescent="0.3">
      <c r="A214" s="12">
        <v>1</v>
      </c>
      <c r="B214" s="14">
        <v>1</v>
      </c>
      <c r="C214" s="13" t="s">
        <v>81</v>
      </c>
      <c r="D214" s="8" t="s">
        <v>29</v>
      </c>
      <c r="E214" s="15" t="s">
        <v>42</v>
      </c>
      <c r="F214" s="15" t="s">
        <v>67</v>
      </c>
    </row>
    <row r="215" spans="1:6" x14ac:dyDescent="0.3">
      <c r="A215" s="28">
        <v>1</v>
      </c>
      <c r="B215" s="14">
        <v>2</v>
      </c>
      <c r="C215" s="14" t="s">
        <v>80</v>
      </c>
      <c r="D215" s="8" t="s">
        <v>29</v>
      </c>
      <c r="E215" s="27" t="s">
        <v>42</v>
      </c>
      <c r="F215" s="27" t="s">
        <v>73</v>
      </c>
    </row>
    <row r="216" spans="1:6" x14ac:dyDescent="0.3">
      <c r="A216" s="12">
        <v>1</v>
      </c>
      <c r="B216" s="15">
        <v>1</v>
      </c>
      <c r="C216" s="15" t="s">
        <v>81</v>
      </c>
      <c r="D216" s="15" t="s">
        <v>0</v>
      </c>
      <c r="E216" s="15" t="s">
        <v>41</v>
      </c>
      <c r="F216" s="15" t="s">
        <v>43</v>
      </c>
    </row>
    <row r="217" spans="1:6" x14ac:dyDescent="0.3">
      <c r="A217" s="28">
        <v>1</v>
      </c>
      <c r="B217" s="27">
        <v>1</v>
      </c>
      <c r="C217" s="15" t="s">
        <v>81</v>
      </c>
      <c r="D217" s="27" t="s">
        <v>40</v>
      </c>
      <c r="E217" s="27" t="s">
        <v>9</v>
      </c>
      <c r="F217" s="27" t="s">
        <v>43</v>
      </c>
    </row>
    <row r="218" spans="1:6" x14ac:dyDescent="0.3">
      <c r="A218" s="12">
        <v>1</v>
      </c>
      <c r="B218" s="15">
        <v>1</v>
      </c>
      <c r="C218" s="15" t="s">
        <v>81</v>
      </c>
      <c r="D218" s="15" t="s">
        <v>0</v>
      </c>
      <c r="E218" s="15" t="s">
        <v>41</v>
      </c>
      <c r="F218" s="15" t="s">
        <v>48</v>
      </c>
    </row>
    <row r="219" spans="1:6" x14ac:dyDescent="0.3">
      <c r="A219" s="28">
        <v>1</v>
      </c>
      <c r="B219" s="27">
        <v>2</v>
      </c>
      <c r="C219" s="27" t="s">
        <v>80</v>
      </c>
      <c r="D219" s="27" t="s">
        <v>40</v>
      </c>
      <c r="E219" s="27" t="s">
        <v>10</v>
      </c>
      <c r="F219" s="27" t="s">
        <v>48</v>
      </c>
    </row>
    <row r="220" spans="1:6" x14ac:dyDescent="0.3">
      <c r="A220" s="4">
        <v>2</v>
      </c>
      <c r="B220" s="4">
        <v>1</v>
      </c>
      <c r="C220" s="4" t="s">
        <v>81</v>
      </c>
      <c r="D220" s="4" t="s">
        <v>0</v>
      </c>
      <c r="E220" s="4" t="s">
        <v>41</v>
      </c>
      <c r="F220" s="4" t="s">
        <v>51</v>
      </c>
    </row>
    <row r="221" spans="1:6" x14ac:dyDescent="0.3">
      <c r="A221" s="15">
        <v>2</v>
      </c>
      <c r="B221" s="15">
        <v>1</v>
      </c>
      <c r="C221" s="15" t="s">
        <v>81</v>
      </c>
      <c r="D221" s="15" t="s">
        <v>40</v>
      </c>
      <c r="E221" s="15" t="s">
        <v>9</v>
      </c>
      <c r="F221" s="15" t="s">
        <v>51</v>
      </c>
    </row>
    <row r="222" spans="1:6" x14ac:dyDescent="0.3">
      <c r="A222" s="4">
        <v>2</v>
      </c>
      <c r="B222" s="9">
        <v>2</v>
      </c>
      <c r="C222" s="9" t="s">
        <v>80</v>
      </c>
      <c r="D222" s="9" t="s">
        <v>29</v>
      </c>
      <c r="E222" s="4" t="s">
        <v>42</v>
      </c>
      <c r="F222" s="4" t="s">
        <v>47</v>
      </c>
    </row>
    <row r="223" spans="1:6" x14ac:dyDescent="0.3">
      <c r="A223" s="15">
        <v>2</v>
      </c>
      <c r="B223" s="15">
        <v>1</v>
      </c>
      <c r="C223" s="15" t="s">
        <v>81</v>
      </c>
      <c r="D223" s="15" t="s">
        <v>0</v>
      </c>
      <c r="E223" s="15" t="s">
        <v>41</v>
      </c>
      <c r="F223" s="15" t="s">
        <v>55</v>
      </c>
    </row>
    <row r="224" spans="1:6" x14ac:dyDescent="0.3">
      <c r="A224" s="4">
        <v>2</v>
      </c>
      <c r="B224" s="4">
        <v>1</v>
      </c>
      <c r="C224" s="4" t="s">
        <v>81</v>
      </c>
      <c r="D224" s="4" t="s">
        <v>40</v>
      </c>
      <c r="E224" s="4" t="s">
        <v>9</v>
      </c>
      <c r="F224" s="4" t="s">
        <v>55</v>
      </c>
    </row>
    <row r="225" spans="1:6" x14ac:dyDescent="0.3">
      <c r="A225" s="15">
        <v>2</v>
      </c>
      <c r="B225" s="9">
        <v>2</v>
      </c>
      <c r="C225" s="9" t="s">
        <v>80</v>
      </c>
      <c r="D225" s="9" t="s">
        <v>29</v>
      </c>
      <c r="E225" s="15" t="s">
        <v>42</v>
      </c>
      <c r="F225" s="15" t="s">
        <v>50</v>
      </c>
    </row>
    <row r="226" spans="1:6" x14ac:dyDescent="0.3">
      <c r="A226" s="15">
        <v>2</v>
      </c>
      <c r="B226" s="15">
        <v>1</v>
      </c>
      <c r="C226" s="15" t="s">
        <v>81</v>
      </c>
      <c r="D226" s="15" t="s">
        <v>0</v>
      </c>
      <c r="E226" s="15" t="s">
        <v>41</v>
      </c>
      <c r="F226" s="15" t="s">
        <v>53</v>
      </c>
    </row>
    <row r="227" spans="1:6" x14ac:dyDescent="0.3">
      <c r="A227" s="27">
        <v>2</v>
      </c>
      <c r="B227" s="27">
        <v>1</v>
      </c>
      <c r="C227" s="27" t="s">
        <v>80</v>
      </c>
      <c r="D227" s="27" t="s">
        <v>40</v>
      </c>
      <c r="E227" s="27" t="s">
        <v>10</v>
      </c>
      <c r="F227" s="27" t="s">
        <v>53</v>
      </c>
    </row>
    <row r="228" spans="1:6" x14ac:dyDescent="0.3">
      <c r="A228" s="4">
        <v>2</v>
      </c>
      <c r="B228" s="4">
        <v>2</v>
      </c>
      <c r="C228" s="4" t="s">
        <v>80</v>
      </c>
      <c r="D228" s="4" t="s">
        <v>0</v>
      </c>
      <c r="E228" s="4" t="s">
        <v>41</v>
      </c>
      <c r="F228" s="4" t="s">
        <v>57</v>
      </c>
    </row>
    <row r="229" spans="1:6" x14ac:dyDescent="0.3">
      <c r="A229" s="15">
        <v>2</v>
      </c>
      <c r="B229" s="15">
        <v>1</v>
      </c>
      <c r="C229" s="15" t="s">
        <v>81</v>
      </c>
      <c r="D229" s="15" t="s">
        <v>40</v>
      </c>
      <c r="E229" s="15" t="s">
        <v>10</v>
      </c>
      <c r="F229" s="15" t="s">
        <v>57</v>
      </c>
    </row>
    <row r="230" spans="1:6" x14ac:dyDescent="0.3">
      <c r="A230" s="4">
        <v>2</v>
      </c>
      <c r="B230" s="9">
        <v>1</v>
      </c>
      <c r="C230" s="9" t="s">
        <v>81</v>
      </c>
      <c r="D230" s="9" t="s">
        <v>29</v>
      </c>
      <c r="E230" s="4" t="s">
        <v>42</v>
      </c>
      <c r="F230" s="4" t="s">
        <v>49</v>
      </c>
    </row>
    <row r="231" spans="1:6" x14ac:dyDescent="0.3">
      <c r="A231" s="15">
        <v>2</v>
      </c>
      <c r="B231" s="9">
        <v>2</v>
      </c>
      <c r="C231" s="9" t="s">
        <v>80</v>
      </c>
      <c r="D231" s="9" t="s">
        <v>29</v>
      </c>
      <c r="E231" s="15" t="s">
        <v>42</v>
      </c>
      <c r="F231" s="15" t="s">
        <v>45</v>
      </c>
    </row>
    <row r="232" spans="1:6" x14ac:dyDescent="0.3">
      <c r="A232" s="4">
        <v>2</v>
      </c>
      <c r="B232" s="9">
        <v>1</v>
      </c>
      <c r="C232" s="9" t="s">
        <v>81</v>
      </c>
      <c r="D232" s="9" t="s">
        <v>29</v>
      </c>
      <c r="E232" s="4" t="s">
        <v>42</v>
      </c>
      <c r="F232" s="4" t="s">
        <v>44</v>
      </c>
    </row>
    <row r="233" spans="1:6" x14ac:dyDescent="0.3">
      <c r="A233" s="15">
        <v>2</v>
      </c>
      <c r="B233" s="15">
        <v>1</v>
      </c>
      <c r="C233" s="15" t="s">
        <v>81</v>
      </c>
      <c r="D233" s="15" t="s">
        <v>0</v>
      </c>
      <c r="E233" s="15" t="s">
        <v>41</v>
      </c>
      <c r="F233" s="15" t="s">
        <v>52</v>
      </c>
    </row>
    <row r="234" spans="1:6" x14ac:dyDescent="0.3">
      <c r="A234" s="4">
        <v>2</v>
      </c>
      <c r="B234" s="4">
        <v>2</v>
      </c>
      <c r="C234" s="4" t="s">
        <v>80</v>
      </c>
      <c r="D234" s="4" t="s">
        <v>40</v>
      </c>
      <c r="E234" s="4" t="s">
        <v>10</v>
      </c>
      <c r="F234" s="4" t="s">
        <v>52</v>
      </c>
    </row>
    <row r="235" spans="1:6" x14ac:dyDescent="0.3">
      <c r="A235" s="15">
        <v>2</v>
      </c>
      <c r="B235" s="15">
        <v>2</v>
      </c>
      <c r="C235" s="15" t="s">
        <v>80</v>
      </c>
      <c r="D235" s="15" t="s">
        <v>0</v>
      </c>
      <c r="E235" s="15" t="s">
        <v>41</v>
      </c>
      <c r="F235" s="15" t="s">
        <v>56</v>
      </c>
    </row>
    <row r="236" spans="1:6" x14ac:dyDescent="0.3">
      <c r="A236" s="4">
        <v>2</v>
      </c>
      <c r="B236" s="4">
        <v>2</v>
      </c>
      <c r="C236" s="4" t="s">
        <v>80</v>
      </c>
      <c r="D236" s="4" t="s">
        <v>40</v>
      </c>
      <c r="E236" s="4" t="s">
        <v>9</v>
      </c>
      <c r="F236" s="4" t="s">
        <v>56</v>
      </c>
    </row>
    <row r="237" spans="1:6" x14ac:dyDescent="0.3">
      <c r="A237" s="15">
        <v>2</v>
      </c>
      <c r="B237" s="9">
        <v>1</v>
      </c>
      <c r="C237" s="9" t="s">
        <v>81</v>
      </c>
      <c r="D237" s="9" t="s">
        <v>29</v>
      </c>
      <c r="E237" s="15" t="s">
        <v>42</v>
      </c>
      <c r="F237" s="15" t="s">
        <v>46</v>
      </c>
    </row>
    <row r="238" spans="1:6" x14ac:dyDescent="0.3">
      <c r="A238" s="4">
        <v>2</v>
      </c>
      <c r="B238" s="4">
        <v>2</v>
      </c>
      <c r="C238" s="4" t="s">
        <v>80</v>
      </c>
      <c r="D238" s="4" t="s">
        <v>0</v>
      </c>
      <c r="E238" s="4" t="s">
        <v>41</v>
      </c>
      <c r="F238" s="4" t="s">
        <v>54</v>
      </c>
    </row>
    <row r="239" spans="1:6" x14ac:dyDescent="0.3">
      <c r="A239" s="15">
        <v>2</v>
      </c>
      <c r="B239" s="15">
        <v>2</v>
      </c>
      <c r="C239" s="15" t="s">
        <v>80</v>
      </c>
      <c r="D239" s="15" t="s">
        <v>40</v>
      </c>
      <c r="E239" s="15" t="s">
        <v>9</v>
      </c>
      <c r="F239" s="15" t="s">
        <v>54</v>
      </c>
    </row>
    <row r="240" spans="1:6" x14ac:dyDescent="0.3">
      <c r="A240" s="4">
        <v>2</v>
      </c>
      <c r="B240" s="9">
        <v>1</v>
      </c>
      <c r="C240" s="9" t="s">
        <v>81</v>
      </c>
      <c r="D240" s="9" t="s">
        <v>29</v>
      </c>
      <c r="E240" s="4" t="s">
        <v>42</v>
      </c>
      <c r="F240" s="4" t="s">
        <v>43</v>
      </c>
    </row>
    <row r="241" spans="1:6" x14ac:dyDescent="0.3">
      <c r="A241" s="15">
        <v>2</v>
      </c>
      <c r="B241" s="9">
        <v>2</v>
      </c>
      <c r="C241" s="9" t="s">
        <v>80</v>
      </c>
      <c r="D241" s="9" t="s">
        <v>29</v>
      </c>
      <c r="E241" s="15" t="s">
        <v>42</v>
      </c>
      <c r="F241" s="15" t="s">
        <v>48</v>
      </c>
    </row>
    <row r="242" spans="1:6" x14ac:dyDescent="0.3">
      <c r="A242" s="4">
        <v>2</v>
      </c>
      <c r="B242" s="4">
        <v>2</v>
      </c>
      <c r="C242" s="4" t="s">
        <v>80</v>
      </c>
      <c r="D242" s="4" t="s">
        <v>0</v>
      </c>
      <c r="E242" s="4" t="s">
        <v>41</v>
      </c>
      <c r="F242" s="4" t="s">
        <v>58</v>
      </c>
    </row>
    <row r="243" spans="1:6" x14ac:dyDescent="0.3">
      <c r="A243" s="15">
        <v>2</v>
      </c>
      <c r="B243" s="15">
        <v>1</v>
      </c>
      <c r="C243" s="15" t="s">
        <v>81</v>
      </c>
      <c r="D243" s="15" t="s">
        <v>40</v>
      </c>
      <c r="E243" s="15" t="s">
        <v>10</v>
      </c>
      <c r="F243" s="15" t="s">
        <v>58</v>
      </c>
    </row>
    <row r="244" spans="1:6" x14ac:dyDescent="0.3">
      <c r="A244" s="12">
        <v>3</v>
      </c>
      <c r="B244" s="15">
        <v>1</v>
      </c>
      <c r="C244" s="15" t="s">
        <v>81</v>
      </c>
      <c r="D244" s="15" t="s">
        <v>0</v>
      </c>
      <c r="E244" s="15" t="s">
        <v>41</v>
      </c>
      <c r="F244" s="15" t="s">
        <v>63</v>
      </c>
    </row>
    <row r="245" spans="1:6" x14ac:dyDescent="0.3">
      <c r="A245" s="28">
        <v>3</v>
      </c>
      <c r="B245" s="27">
        <v>2</v>
      </c>
      <c r="C245" s="27" t="s">
        <v>80</v>
      </c>
      <c r="D245" s="27" t="s">
        <v>40</v>
      </c>
      <c r="E245" s="27" t="s">
        <v>10</v>
      </c>
      <c r="F245" s="27" t="s">
        <v>63</v>
      </c>
    </row>
    <row r="246" spans="1:6" x14ac:dyDescent="0.3">
      <c r="A246" s="12">
        <v>3</v>
      </c>
      <c r="B246" s="15">
        <v>2</v>
      </c>
      <c r="C246" s="15" t="s">
        <v>80</v>
      </c>
      <c r="D246" s="15" t="s">
        <v>0</v>
      </c>
      <c r="E246" s="15" t="s">
        <v>41</v>
      </c>
      <c r="F246" s="15" t="s">
        <v>59</v>
      </c>
    </row>
    <row r="247" spans="1:6" x14ac:dyDescent="0.3">
      <c r="A247" s="28">
        <v>3</v>
      </c>
      <c r="B247" s="27">
        <v>1</v>
      </c>
      <c r="C247" s="27" t="s">
        <v>81</v>
      </c>
      <c r="D247" s="27" t="s">
        <v>40</v>
      </c>
      <c r="E247" s="27" t="s">
        <v>10</v>
      </c>
      <c r="F247" s="27" t="s">
        <v>59</v>
      </c>
    </row>
    <row r="248" spans="1:6" x14ac:dyDescent="0.3">
      <c r="A248" s="12">
        <v>3</v>
      </c>
      <c r="B248" s="10">
        <v>2</v>
      </c>
      <c r="C248" s="10" t="s">
        <v>80</v>
      </c>
      <c r="D248" s="10" t="s">
        <v>29</v>
      </c>
      <c r="E248" s="15" t="s">
        <v>42</v>
      </c>
      <c r="F248" s="15" t="s">
        <v>51</v>
      </c>
    </row>
    <row r="249" spans="1:6" x14ac:dyDescent="0.3">
      <c r="A249" s="28">
        <v>3</v>
      </c>
      <c r="B249" s="10">
        <v>1</v>
      </c>
      <c r="C249" s="10" t="s">
        <v>81</v>
      </c>
      <c r="D249" s="10" t="s">
        <v>29</v>
      </c>
      <c r="E249" s="27" t="s">
        <v>42</v>
      </c>
      <c r="F249" s="27" t="s">
        <v>55</v>
      </c>
    </row>
    <row r="250" spans="1:6" x14ac:dyDescent="0.3">
      <c r="A250" s="12">
        <v>3</v>
      </c>
      <c r="B250" s="15">
        <v>1</v>
      </c>
      <c r="C250" s="15" t="s">
        <v>81</v>
      </c>
      <c r="D250" s="15" t="s">
        <v>0</v>
      </c>
      <c r="E250" s="15" t="s">
        <v>41</v>
      </c>
      <c r="F250" s="15" t="s">
        <v>65</v>
      </c>
    </row>
    <row r="251" spans="1:6" x14ac:dyDescent="0.3">
      <c r="A251" s="28">
        <v>3</v>
      </c>
      <c r="B251" s="27">
        <v>2</v>
      </c>
      <c r="C251" s="27" t="s">
        <v>80</v>
      </c>
      <c r="D251" s="27" t="s">
        <v>40</v>
      </c>
      <c r="E251" s="27" t="s">
        <v>10</v>
      </c>
      <c r="F251" s="27" t="s">
        <v>65</v>
      </c>
    </row>
    <row r="252" spans="1:6" x14ac:dyDescent="0.3">
      <c r="A252" s="12">
        <v>3</v>
      </c>
      <c r="B252" s="10">
        <v>1</v>
      </c>
      <c r="C252" s="10" t="s">
        <v>81</v>
      </c>
      <c r="D252" s="10" t="s">
        <v>29</v>
      </c>
      <c r="E252" s="15" t="s">
        <v>42</v>
      </c>
      <c r="F252" s="15" t="s">
        <v>53</v>
      </c>
    </row>
    <row r="253" spans="1:6" x14ac:dyDescent="0.3">
      <c r="A253" s="28">
        <v>3</v>
      </c>
      <c r="B253" s="27">
        <v>2</v>
      </c>
      <c r="C253" s="27" t="s">
        <v>80</v>
      </c>
      <c r="D253" s="27" t="s">
        <v>0</v>
      </c>
      <c r="E253" s="27" t="s">
        <v>41</v>
      </c>
      <c r="F253" s="27" t="s">
        <v>61</v>
      </c>
    </row>
    <row r="254" spans="1:6" x14ac:dyDescent="0.3">
      <c r="A254" s="12">
        <v>3</v>
      </c>
      <c r="B254" s="15">
        <v>2</v>
      </c>
      <c r="C254" s="15" t="s">
        <v>80</v>
      </c>
      <c r="D254" s="15" t="s">
        <v>40</v>
      </c>
      <c r="E254" s="15" t="s">
        <v>9</v>
      </c>
      <c r="F254" s="15" t="s">
        <v>61</v>
      </c>
    </row>
    <row r="255" spans="1:6" x14ac:dyDescent="0.3">
      <c r="A255" s="28">
        <v>3</v>
      </c>
      <c r="B255" s="10">
        <v>1</v>
      </c>
      <c r="C255" s="10" t="s">
        <v>81</v>
      </c>
      <c r="D255" s="10" t="s">
        <v>29</v>
      </c>
      <c r="E255" s="27" t="s">
        <v>42</v>
      </c>
      <c r="F255" s="27" t="s">
        <v>57</v>
      </c>
    </row>
    <row r="256" spans="1:6" x14ac:dyDescent="0.3">
      <c r="A256" s="12">
        <v>3</v>
      </c>
      <c r="B256" s="10">
        <v>1</v>
      </c>
      <c r="C256" s="10" t="s">
        <v>81</v>
      </c>
      <c r="D256" s="10" t="s">
        <v>29</v>
      </c>
      <c r="E256" s="15" t="s">
        <v>42</v>
      </c>
      <c r="F256" s="15" t="s">
        <v>52</v>
      </c>
    </row>
    <row r="257" spans="1:6" x14ac:dyDescent="0.3">
      <c r="A257" s="28">
        <v>3</v>
      </c>
      <c r="B257" s="27">
        <v>2</v>
      </c>
      <c r="C257" s="27" t="s">
        <v>80</v>
      </c>
      <c r="D257" s="27" t="s">
        <v>0</v>
      </c>
      <c r="E257" s="27" t="s">
        <v>41</v>
      </c>
      <c r="F257" s="27" t="s">
        <v>60</v>
      </c>
    </row>
    <row r="258" spans="1:6" x14ac:dyDescent="0.3">
      <c r="A258" s="12">
        <v>3</v>
      </c>
      <c r="B258" s="15">
        <v>2</v>
      </c>
      <c r="C258" s="15" t="s">
        <v>80</v>
      </c>
      <c r="D258" s="15" t="s">
        <v>40</v>
      </c>
      <c r="E258" s="15" t="s">
        <v>9</v>
      </c>
      <c r="F258" s="15" t="s">
        <v>60</v>
      </c>
    </row>
    <row r="259" spans="1:6" x14ac:dyDescent="0.3">
      <c r="A259" s="28">
        <v>3</v>
      </c>
      <c r="B259" s="27">
        <v>2</v>
      </c>
      <c r="C259" s="27" t="s">
        <v>80</v>
      </c>
      <c r="D259" s="27" t="s">
        <v>0</v>
      </c>
      <c r="E259" s="27" t="s">
        <v>41</v>
      </c>
      <c r="F259" s="27" t="s">
        <v>66</v>
      </c>
    </row>
    <row r="260" spans="1:6" x14ac:dyDescent="0.3">
      <c r="A260" s="12">
        <v>3</v>
      </c>
      <c r="B260" s="15">
        <v>1</v>
      </c>
      <c r="C260" s="15" t="s">
        <v>81</v>
      </c>
      <c r="D260" s="15" t="s">
        <v>40</v>
      </c>
      <c r="E260" s="15" t="s">
        <v>10</v>
      </c>
      <c r="F260" s="15" t="s">
        <v>66</v>
      </c>
    </row>
    <row r="261" spans="1:6" x14ac:dyDescent="0.3">
      <c r="A261" s="28">
        <v>3</v>
      </c>
      <c r="B261" s="10">
        <v>2</v>
      </c>
      <c r="C261" s="10" t="s">
        <v>80</v>
      </c>
      <c r="D261" s="10" t="s">
        <v>29</v>
      </c>
      <c r="E261" s="27" t="s">
        <v>42</v>
      </c>
      <c r="F261" s="27" t="s">
        <v>56</v>
      </c>
    </row>
    <row r="262" spans="1:6" x14ac:dyDescent="0.3">
      <c r="A262" s="12">
        <v>3</v>
      </c>
      <c r="B262" s="10">
        <v>2</v>
      </c>
      <c r="C262" s="10" t="s">
        <v>80</v>
      </c>
      <c r="D262" s="10" t="s">
        <v>29</v>
      </c>
      <c r="E262" s="15" t="s">
        <v>42</v>
      </c>
      <c r="F262" s="15" t="s">
        <v>54</v>
      </c>
    </row>
    <row r="263" spans="1:6" x14ac:dyDescent="0.3">
      <c r="A263" s="28">
        <v>3</v>
      </c>
      <c r="B263" s="27">
        <v>1</v>
      </c>
      <c r="C263" s="27" t="s">
        <v>81</v>
      </c>
      <c r="D263" s="27" t="s">
        <v>0</v>
      </c>
      <c r="E263" s="27" t="s">
        <v>41</v>
      </c>
      <c r="F263" s="27" t="s">
        <v>64</v>
      </c>
    </row>
    <row r="264" spans="1:6" x14ac:dyDescent="0.3">
      <c r="A264" s="12">
        <v>3</v>
      </c>
      <c r="B264" s="15">
        <v>1</v>
      </c>
      <c r="C264" s="15" t="s">
        <v>81</v>
      </c>
      <c r="D264" s="15" t="s">
        <v>40</v>
      </c>
      <c r="E264" s="15" t="s">
        <v>9</v>
      </c>
      <c r="F264" s="15" t="s">
        <v>64</v>
      </c>
    </row>
    <row r="265" spans="1:6" x14ac:dyDescent="0.3">
      <c r="A265" s="28">
        <v>3</v>
      </c>
      <c r="B265" s="10">
        <v>2</v>
      </c>
      <c r="C265" s="10" t="s">
        <v>80</v>
      </c>
      <c r="D265" s="10" t="s">
        <v>29</v>
      </c>
      <c r="E265" s="27" t="s">
        <v>42</v>
      </c>
      <c r="F265" s="27" t="s">
        <v>58</v>
      </c>
    </row>
    <row r="266" spans="1:6" x14ac:dyDescent="0.3">
      <c r="A266" s="12">
        <v>3</v>
      </c>
      <c r="B266" s="15">
        <v>1</v>
      </c>
      <c r="C266" s="15" t="s">
        <v>81</v>
      </c>
      <c r="D266" s="15" t="s">
        <v>0</v>
      </c>
      <c r="E266" s="15" t="s">
        <v>41</v>
      </c>
      <c r="F266" s="15" t="s">
        <v>62</v>
      </c>
    </row>
    <row r="267" spans="1:6" x14ac:dyDescent="0.3">
      <c r="A267" s="28">
        <v>3</v>
      </c>
      <c r="B267" s="27">
        <v>1</v>
      </c>
      <c r="C267" s="27" t="s">
        <v>81</v>
      </c>
      <c r="D267" s="27" t="s">
        <v>40</v>
      </c>
      <c r="E267" s="27" t="s">
        <v>9</v>
      </c>
      <c r="F267" s="27" t="s">
        <v>62</v>
      </c>
    </row>
    <row r="268" spans="1:6" x14ac:dyDescent="0.3">
      <c r="A268" s="4">
        <v>4</v>
      </c>
      <c r="B268" s="11">
        <v>2</v>
      </c>
      <c r="C268" s="11" t="s">
        <v>80</v>
      </c>
      <c r="D268" s="11" t="s">
        <v>29</v>
      </c>
      <c r="E268" s="4" t="s">
        <v>42</v>
      </c>
      <c r="F268" s="4" t="s">
        <v>63</v>
      </c>
    </row>
    <row r="269" spans="1:6" x14ac:dyDescent="0.3">
      <c r="A269" s="15">
        <v>4</v>
      </c>
      <c r="B269" s="11">
        <v>2</v>
      </c>
      <c r="C269" s="11" t="s">
        <v>80</v>
      </c>
      <c r="D269" s="11" t="s">
        <v>29</v>
      </c>
      <c r="E269" s="15" t="s">
        <v>42</v>
      </c>
      <c r="F269" s="15" t="s">
        <v>59</v>
      </c>
    </row>
    <row r="270" spans="1:6" x14ac:dyDescent="0.3">
      <c r="A270" s="4">
        <v>4</v>
      </c>
      <c r="B270" s="4">
        <v>1</v>
      </c>
      <c r="C270" s="4" t="s">
        <v>81</v>
      </c>
      <c r="D270" s="4" t="s">
        <v>0</v>
      </c>
      <c r="E270" s="4" t="s">
        <v>41</v>
      </c>
      <c r="F270" s="4" t="s">
        <v>69</v>
      </c>
    </row>
    <row r="271" spans="1:6" x14ac:dyDescent="0.3">
      <c r="A271" s="15">
        <v>4</v>
      </c>
      <c r="B271" s="15">
        <v>1</v>
      </c>
      <c r="C271" s="15" t="s">
        <v>81</v>
      </c>
      <c r="D271" s="15" t="s">
        <v>40</v>
      </c>
      <c r="E271" s="15" t="s">
        <v>9</v>
      </c>
      <c r="F271" s="15" t="s">
        <v>69</v>
      </c>
    </row>
    <row r="272" spans="1:6" x14ac:dyDescent="0.3">
      <c r="A272" s="4">
        <v>4</v>
      </c>
      <c r="B272" s="4">
        <v>1</v>
      </c>
      <c r="C272" s="4" t="s">
        <v>81</v>
      </c>
      <c r="D272" s="4" t="s">
        <v>0</v>
      </c>
      <c r="E272" s="4" t="s">
        <v>41</v>
      </c>
      <c r="F272" s="4" t="s">
        <v>72</v>
      </c>
    </row>
    <row r="273" spans="1:6" x14ac:dyDescent="0.3">
      <c r="A273" s="15">
        <v>4</v>
      </c>
      <c r="B273" s="15">
        <v>2</v>
      </c>
      <c r="C273" s="15" t="s">
        <v>80</v>
      </c>
      <c r="D273" s="15" t="s">
        <v>40</v>
      </c>
      <c r="E273" s="15" t="s">
        <v>10</v>
      </c>
      <c r="F273" s="15" t="s">
        <v>72</v>
      </c>
    </row>
    <row r="274" spans="1:6" x14ac:dyDescent="0.3">
      <c r="A274" s="4">
        <v>4</v>
      </c>
      <c r="B274" s="11">
        <v>1</v>
      </c>
      <c r="C274" s="11" t="s">
        <v>81</v>
      </c>
      <c r="D274" s="11" t="s">
        <v>29</v>
      </c>
      <c r="E274" s="4" t="s">
        <v>42</v>
      </c>
      <c r="F274" s="4" t="s">
        <v>65</v>
      </c>
    </row>
    <row r="275" spans="1:6" x14ac:dyDescent="0.3">
      <c r="A275" s="15">
        <v>4</v>
      </c>
      <c r="B275" s="15">
        <v>2</v>
      </c>
      <c r="C275" s="15" t="s">
        <v>80</v>
      </c>
      <c r="D275" s="15" t="s">
        <v>0</v>
      </c>
      <c r="E275" s="15" t="s">
        <v>41</v>
      </c>
      <c r="F275" s="15" t="s">
        <v>70</v>
      </c>
    </row>
    <row r="276" spans="1:6" x14ac:dyDescent="0.3">
      <c r="A276" s="4">
        <v>4</v>
      </c>
      <c r="B276" s="4">
        <v>2</v>
      </c>
      <c r="C276" s="4" t="s">
        <v>80</v>
      </c>
      <c r="D276" s="4" t="s">
        <v>40</v>
      </c>
      <c r="E276" s="4" t="s">
        <v>9</v>
      </c>
      <c r="F276" s="4" t="s">
        <v>70</v>
      </c>
    </row>
    <row r="277" spans="1:6" x14ac:dyDescent="0.3">
      <c r="A277" s="15">
        <v>4</v>
      </c>
      <c r="B277" s="15">
        <v>2</v>
      </c>
      <c r="C277" s="15" t="s">
        <v>80</v>
      </c>
      <c r="D277" s="15" t="s">
        <v>0</v>
      </c>
      <c r="E277" s="15" t="s">
        <v>41</v>
      </c>
      <c r="F277" s="15" t="s">
        <v>74</v>
      </c>
    </row>
    <row r="278" spans="1:6" x14ac:dyDescent="0.3">
      <c r="A278" s="4">
        <v>4</v>
      </c>
      <c r="B278" s="4">
        <v>1</v>
      </c>
      <c r="C278" s="4" t="s">
        <v>81</v>
      </c>
      <c r="D278" s="4" t="s">
        <v>40</v>
      </c>
      <c r="E278" s="4" t="s">
        <v>10</v>
      </c>
      <c r="F278" s="4" t="s">
        <v>74</v>
      </c>
    </row>
    <row r="279" spans="1:6" x14ac:dyDescent="0.3">
      <c r="A279" s="15">
        <v>4</v>
      </c>
      <c r="B279" s="11">
        <v>2</v>
      </c>
      <c r="C279" s="11" t="s">
        <v>80</v>
      </c>
      <c r="D279" s="11" t="s">
        <v>29</v>
      </c>
      <c r="E279" s="15" t="s">
        <v>42</v>
      </c>
      <c r="F279" s="15" t="s">
        <v>61</v>
      </c>
    </row>
    <row r="280" spans="1:6" x14ac:dyDescent="0.3">
      <c r="A280" s="4">
        <v>4</v>
      </c>
      <c r="B280" s="4">
        <v>1</v>
      </c>
      <c r="C280" s="4" t="s">
        <v>81</v>
      </c>
      <c r="D280" s="4" t="s">
        <v>0</v>
      </c>
      <c r="E280" s="4" t="s">
        <v>41</v>
      </c>
      <c r="F280" s="4" t="s">
        <v>71</v>
      </c>
    </row>
    <row r="281" spans="1:6" x14ac:dyDescent="0.3">
      <c r="A281" s="15">
        <v>4</v>
      </c>
      <c r="B281" s="15">
        <v>2</v>
      </c>
      <c r="C281" s="15" t="s">
        <v>80</v>
      </c>
      <c r="D281" s="15" t="s">
        <v>40</v>
      </c>
      <c r="E281" s="15" t="s">
        <v>10</v>
      </c>
      <c r="F281" s="15" t="s">
        <v>71</v>
      </c>
    </row>
    <row r="282" spans="1:6" x14ac:dyDescent="0.3">
      <c r="A282" s="4">
        <v>4</v>
      </c>
      <c r="B282" s="4">
        <v>2</v>
      </c>
      <c r="C282" s="4" t="s">
        <v>80</v>
      </c>
      <c r="D282" s="4" t="s">
        <v>0</v>
      </c>
      <c r="E282" s="4" t="s">
        <v>41</v>
      </c>
      <c r="F282" s="4" t="s">
        <v>68</v>
      </c>
    </row>
    <row r="283" spans="1:6" x14ac:dyDescent="0.3">
      <c r="A283" s="15">
        <v>4</v>
      </c>
      <c r="B283" s="15">
        <v>2</v>
      </c>
      <c r="C283" s="15" t="s">
        <v>80</v>
      </c>
      <c r="D283" s="15" t="s">
        <v>40</v>
      </c>
      <c r="E283" s="15" t="s">
        <v>9</v>
      </c>
      <c r="F283" s="15" t="s">
        <v>68</v>
      </c>
    </row>
    <row r="284" spans="1:6" x14ac:dyDescent="0.3">
      <c r="A284" s="15">
        <v>4</v>
      </c>
      <c r="B284" s="11">
        <v>1</v>
      </c>
      <c r="C284" s="11" t="s">
        <v>81</v>
      </c>
      <c r="D284" s="11" t="s">
        <v>29</v>
      </c>
      <c r="E284" s="15" t="s">
        <v>42</v>
      </c>
      <c r="F284" s="15" t="s">
        <v>60</v>
      </c>
    </row>
    <row r="285" spans="1:6" x14ac:dyDescent="0.3">
      <c r="A285" s="4">
        <v>4</v>
      </c>
      <c r="B285" s="11">
        <v>1</v>
      </c>
      <c r="C285" s="11" t="s">
        <v>81</v>
      </c>
      <c r="D285" s="11" t="s">
        <v>29</v>
      </c>
      <c r="E285" s="4" t="s">
        <v>42</v>
      </c>
      <c r="F285" s="4" t="s">
        <v>66</v>
      </c>
    </row>
    <row r="286" spans="1:6" x14ac:dyDescent="0.3">
      <c r="A286" s="4">
        <v>4</v>
      </c>
      <c r="B286" s="4">
        <v>2</v>
      </c>
      <c r="C286" s="4" t="s">
        <v>80</v>
      </c>
      <c r="D286" s="4" t="s">
        <v>0</v>
      </c>
      <c r="E286" s="4" t="s">
        <v>41</v>
      </c>
      <c r="F286" s="4" t="s">
        <v>67</v>
      </c>
    </row>
    <row r="287" spans="1:6" x14ac:dyDescent="0.3">
      <c r="A287" s="15">
        <v>4</v>
      </c>
      <c r="B287" s="15">
        <v>1</v>
      </c>
      <c r="C287" s="15" t="s">
        <v>81</v>
      </c>
      <c r="D287" s="15" t="s">
        <v>40</v>
      </c>
      <c r="E287" s="15" t="s">
        <v>10</v>
      </c>
      <c r="F287" s="15" t="s">
        <v>67</v>
      </c>
    </row>
    <row r="288" spans="1:6" x14ac:dyDescent="0.3">
      <c r="A288" s="4">
        <v>4</v>
      </c>
      <c r="B288" s="4">
        <v>1</v>
      </c>
      <c r="C288" s="4" t="s">
        <v>81</v>
      </c>
      <c r="D288" s="4" t="s">
        <v>0</v>
      </c>
      <c r="E288" s="4" t="s">
        <v>41</v>
      </c>
      <c r="F288" s="4" t="s">
        <v>73</v>
      </c>
    </row>
    <row r="289" spans="1:14" x14ac:dyDescent="0.3">
      <c r="A289" s="15">
        <v>4</v>
      </c>
      <c r="B289" s="15">
        <v>1</v>
      </c>
      <c r="C289" s="15" t="s">
        <v>81</v>
      </c>
      <c r="D289" s="15" t="s">
        <v>40</v>
      </c>
      <c r="E289" s="15" t="s">
        <v>9</v>
      </c>
      <c r="F289" s="15" t="s">
        <v>73</v>
      </c>
    </row>
    <row r="290" spans="1:14" x14ac:dyDescent="0.3">
      <c r="A290" s="4">
        <v>4</v>
      </c>
      <c r="B290" s="11">
        <v>2</v>
      </c>
      <c r="C290" s="11" t="s">
        <v>80</v>
      </c>
      <c r="D290" s="11" t="s">
        <v>29</v>
      </c>
      <c r="E290" s="4" t="s">
        <v>42</v>
      </c>
      <c r="F290" s="4" t="s">
        <v>64</v>
      </c>
    </row>
    <row r="291" spans="1:14" x14ac:dyDescent="0.3">
      <c r="A291" s="30">
        <v>4</v>
      </c>
      <c r="B291" s="31">
        <v>1</v>
      </c>
      <c r="C291" s="31" t="s">
        <v>81</v>
      </c>
      <c r="D291" s="31" t="s">
        <v>29</v>
      </c>
      <c r="E291" s="30" t="s">
        <v>42</v>
      </c>
      <c r="F291" s="30" t="s">
        <v>62</v>
      </c>
      <c r="N291" t="s">
        <v>19</v>
      </c>
    </row>
    <row r="292" spans="1:14" x14ac:dyDescent="0.3">
      <c r="A292" s="29" t="s">
        <v>25</v>
      </c>
      <c r="B292" s="29"/>
      <c r="C292" s="29"/>
      <c r="D292" s="29"/>
      <c r="E292" s="29"/>
      <c r="F292" s="29"/>
    </row>
    <row r="293" spans="1:14" x14ac:dyDescent="0.3">
      <c r="A293" s="12">
        <v>1</v>
      </c>
      <c r="B293" s="15">
        <v>2</v>
      </c>
      <c r="C293" s="15" t="s">
        <v>80</v>
      </c>
      <c r="D293" s="15" t="s">
        <v>0</v>
      </c>
      <c r="E293" s="15" t="s">
        <v>41</v>
      </c>
      <c r="F293" s="15" t="s">
        <v>46</v>
      </c>
    </row>
    <row r="294" spans="1:14" x14ac:dyDescent="0.3">
      <c r="A294" s="28">
        <v>1</v>
      </c>
      <c r="B294" s="27">
        <v>2</v>
      </c>
      <c r="C294" s="15" t="s">
        <v>80</v>
      </c>
      <c r="D294" s="27" t="s">
        <v>40</v>
      </c>
      <c r="E294" s="27" t="s">
        <v>9</v>
      </c>
      <c r="F294" s="27" t="s">
        <v>46</v>
      </c>
    </row>
    <row r="295" spans="1:14" x14ac:dyDescent="0.3">
      <c r="A295" s="12">
        <v>1</v>
      </c>
      <c r="B295" s="14">
        <v>1</v>
      </c>
      <c r="C295" s="13" t="s">
        <v>81</v>
      </c>
      <c r="D295" s="8" t="s">
        <v>29</v>
      </c>
      <c r="E295" s="15" t="s">
        <v>42</v>
      </c>
      <c r="F295" s="15" t="s">
        <v>72</v>
      </c>
    </row>
    <row r="296" spans="1:14" x14ac:dyDescent="0.3">
      <c r="A296" s="28">
        <v>1</v>
      </c>
      <c r="B296" s="14">
        <v>1</v>
      </c>
      <c r="C296" s="14" t="s">
        <v>81</v>
      </c>
      <c r="D296" s="8" t="s">
        <v>29</v>
      </c>
      <c r="E296" s="27" t="s">
        <v>42</v>
      </c>
      <c r="F296" s="27" t="s">
        <v>67</v>
      </c>
    </row>
    <row r="297" spans="1:14" x14ac:dyDescent="0.3">
      <c r="A297" s="12">
        <v>1</v>
      </c>
      <c r="B297" s="15">
        <v>2</v>
      </c>
      <c r="C297" s="15" t="s">
        <v>80</v>
      </c>
      <c r="D297" s="15" t="s">
        <v>0</v>
      </c>
      <c r="E297" s="15" t="s">
        <v>41</v>
      </c>
      <c r="F297" s="15" t="s">
        <v>45</v>
      </c>
    </row>
    <row r="298" spans="1:14" x14ac:dyDescent="0.3">
      <c r="A298" s="28">
        <v>1</v>
      </c>
      <c r="B298" s="27">
        <v>2</v>
      </c>
      <c r="C298" s="15" t="s">
        <v>80</v>
      </c>
      <c r="D298" s="27" t="s">
        <v>40</v>
      </c>
      <c r="E298" s="27" t="s">
        <v>9</v>
      </c>
      <c r="F298" s="27" t="s">
        <v>45</v>
      </c>
    </row>
    <row r="299" spans="1:14" x14ac:dyDescent="0.3">
      <c r="A299" s="12">
        <v>1</v>
      </c>
      <c r="B299" s="15">
        <v>2</v>
      </c>
      <c r="C299" s="15" t="s">
        <v>80</v>
      </c>
      <c r="D299" s="15" t="s">
        <v>0</v>
      </c>
      <c r="E299" s="15" t="s">
        <v>41</v>
      </c>
      <c r="F299" s="15" t="s">
        <v>48</v>
      </c>
    </row>
    <row r="300" spans="1:14" x14ac:dyDescent="0.3">
      <c r="A300" s="28">
        <v>1</v>
      </c>
      <c r="B300" s="27">
        <v>1</v>
      </c>
      <c r="C300" s="27" t="s">
        <v>81</v>
      </c>
      <c r="D300" s="27" t="s">
        <v>40</v>
      </c>
      <c r="E300" s="27" t="s">
        <v>10</v>
      </c>
      <c r="F300" s="27" t="s">
        <v>48</v>
      </c>
    </row>
    <row r="301" spans="1:14" x14ac:dyDescent="0.3">
      <c r="A301" s="12">
        <v>1</v>
      </c>
      <c r="B301" s="14">
        <v>2</v>
      </c>
      <c r="C301" s="13" t="s">
        <v>80</v>
      </c>
      <c r="D301" s="8" t="s">
        <v>29</v>
      </c>
      <c r="E301" s="15" t="s">
        <v>42</v>
      </c>
      <c r="F301" s="15" t="s">
        <v>71</v>
      </c>
    </row>
    <row r="302" spans="1:14" x14ac:dyDescent="0.3">
      <c r="A302" s="28">
        <v>1</v>
      </c>
      <c r="B302" s="27">
        <v>1</v>
      </c>
      <c r="C302" s="27" t="s">
        <v>81</v>
      </c>
      <c r="D302" s="27" t="s">
        <v>0</v>
      </c>
      <c r="E302" s="27" t="s">
        <v>41</v>
      </c>
      <c r="F302" s="27" t="s">
        <v>44</v>
      </c>
    </row>
    <row r="303" spans="1:14" x14ac:dyDescent="0.3">
      <c r="A303" s="12">
        <v>1</v>
      </c>
      <c r="B303" s="15">
        <v>2</v>
      </c>
      <c r="C303" s="15" t="s">
        <v>80</v>
      </c>
      <c r="D303" s="15" t="s">
        <v>40</v>
      </c>
      <c r="E303" s="15" t="s">
        <v>10</v>
      </c>
      <c r="F303" s="15" t="s">
        <v>44</v>
      </c>
    </row>
    <row r="304" spans="1:14" x14ac:dyDescent="0.3">
      <c r="A304" s="28">
        <v>1</v>
      </c>
      <c r="B304" s="27">
        <v>2</v>
      </c>
      <c r="C304" s="27" t="s">
        <v>80</v>
      </c>
      <c r="D304" s="27" t="s">
        <v>0</v>
      </c>
      <c r="E304" s="27" t="s">
        <v>41</v>
      </c>
      <c r="F304" s="27" t="s">
        <v>43</v>
      </c>
    </row>
    <row r="305" spans="1:6" x14ac:dyDescent="0.3">
      <c r="A305" s="12">
        <v>1</v>
      </c>
      <c r="B305" s="15">
        <v>1</v>
      </c>
      <c r="C305" s="15" t="s">
        <v>81</v>
      </c>
      <c r="D305" s="15" t="s">
        <v>40</v>
      </c>
      <c r="E305" s="15" t="s">
        <v>10</v>
      </c>
      <c r="F305" s="15" t="s">
        <v>43</v>
      </c>
    </row>
    <row r="306" spans="1:6" x14ac:dyDescent="0.3">
      <c r="A306" s="28">
        <v>1</v>
      </c>
      <c r="B306" s="14">
        <v>2</v>
      </c>
      <c r="C306" s="14" t="s">
        <v>80</v>
      </c>
      <c r="D306" s="8" t="s">
        <v>29</v>
      </c>
      <c r="E306" s="27" t="s">
        <v>42</v>
      </c>
      <c r="F306" s="27" t="s">
        <v>73</v>
      </c>
    </row>
    <row r="307" spans="1:6" x14ac:dyDescent="0.3">
      <c r="A307" s="12">
        <v>1</v>
      </c>
      <c r="B307" s="15">
        <v>1</v>
      </c>
      <c r="C307" s="15" t="s">
        <v>81</v>
      </c>
      <c r="D307" s="15" t="s">
        <v>0</v>
      </c>
      <c r="E307" s="15" t="s">
        <v>41</v>
      </c>
      <c r="F307" s="15" t="s">
        <v>50</v>
      </c>
    </row>
    <row r="308" spans="1:6" x14ac:dyDescent="0.3">
      <c r="A308" s="28">
        <v>1</v>
      </c>
      <c r="B308" s="27">
        <v>1</v>
      </c>
      <c r="C308" s="15" t="s">
        <v>81</v>
      </c>
      <c r="D308" s="27" t="s">
        <v>40</v>
      </c>
      <c r="E308" s="27" t="s">
        <v>9</v>
      </c>
      <c r="F308" s="27" t="s">
        <v>50</v>
      </c>
    </row>
    <row r="309" spans="1:6" x14ac:dyDescent="0.3">
      <c r="A309" s="12">
        <v>1</v>
      </c>
      <c r="B309" s="14">
        <v>2</v>
      </c>
      <c r="C309" s="13" t="s">
        <v>80</v>
      </c>
      <c r="D309" s="8" t="s">
        <v>29</v>
      </c>
      <c r="E309" s="15" t="s">
        <v>42</v>
      </c>
      <c r="F309" s="15" t="s">
        <v>68</v>
      </c>
    </row>
    <row r="310" spans="1:6" x14ac:dyDescent="0.3">
      <c r="A310" s="28">
        <v>1</v>
      </c>
      <c r="B310" s="27">
        <v>1</v>
      </c>
      <c r="C310" s="27" t="s">
        <v>81</v>
      </c>
      <c r="D310" s="27" t="s">
        <v>0</v>
      </c>
      <c r="E310" s="27" t="s">
        <v>41</v>
      </c>
      <c r="F310" s="27" t="s">
        <v>47</v>
      </c>
    </row>
    <row r="311" spans="1:6" x14ac:dyDescent="0.3">
      <c r="A311" s="12">
        <v>1</v>
      </c>
      <c r="B311" s="15">
        <v>1</v>
      </c>
      <c r="C311" s="15" t="s">
        <v>81</v>
      </c>
      <c r="D311" s="15" t="s">
        <v>40</v>
      </c>
      <c r="E311" s="15" t="s">
        <v>9</v>
      </c>
      <c r="F311" s="15" t="s">
        <v>47</v>
      </c>
    </row>
    <row r="312" spans="1:6" x14ac:dyDescent="0.3">
      <c r="A312" s="28">
        <v>1</v>
      </c>
      <c r="B312" s="14">
        <v>1</v>
      </c>
      <c r="C312" s="14" t="s">
        <v>81</v>
      </c>
      <c r="D312" s="8" t="s">
        <v>29</v>
      </c>
      <c r="E312" s="27" t="s">
        <v>42</v>
      </c>
      <c r="F312" s="27" t="s">
        <v>74</v>
      </c>
    </row>
    <row r="313" spans="1:6" x14ac:dyDescent="0.3">
      <c r="A313" s="12">
        <v>1</v>
      </c>
      <c r="B313" s="14">
        <v>2</v>
      </c>
      <c r="C313" s="13" t="s">
        <v>80</v>
      </c>
      <c r="D313" s="8" t="s">
        <v>29</v>
      </c>
      <c r="E313" s="15" t="s">
        <v>42</v>
      </c>
      <c r="F313" s="15" t="s">
        <v>69</v>
      </c>
    </row>
    <row r="314" spans="1:6" x14ac:dyDescent="0.3">
      <c r="A314" s="28">
        <v>1</v>
      </c>
      <c r="B314" s="27">
        <v>1</v>
      </c>
      <c r="C314" s="27" t="s">
        <v>81</v>
      </c>
      <c r="D314" s="27" t="s">
        <v>0</v>
      </c>
      <c r="E314" s="27" t="s">
        <v>41</v>
      </c>
      <c r="F314" s="27" t="s">
        <v>49</v>
      </c>
    </row>
    <row r="315" spans="1:6" x14ac:dyDescent="0.3">
      <c r="A315" s="12">
        <v>1</v>
      </c>
      <c r="B315" s="15">
        <v>2</v>
      </c>
      <c r="C315" s="15" t="s">
        <v>80</v>
      </c>
      <c r="D315" s="15" t="s">
        <v>40</v>
      </c>
      <c r="E315" s="15" t="s">
        <v>10</v>
      </c>
      <c r="F315" s="15" t="s">
        <v>49</v>
      </c>
    </row>
    <row r="316" spans="1:6" x14ac:dyDescent="0.3">
      <c r="A316" s="28">
        <v>1</v>
      </c>
      <c r="B316" s="14">
        <v>1</v>
      </c>
      <c r="C316" s="14" t="s">
        <v>81</v>
      </c>
      <c r="D316" s="8" t="s">
        <v>29</v>
      </c>
      <c r="E316" s="27" t="s">
        <v>42</v>
      </c>
      <c r="F316" s="27" t="s">
        <v>70</v>
      </c>
    </row>
    <row r="317" spans="1:6" x14ac:dyDescent="0.3">
      <c r="A317" s="4">
        <v>2</v>
      </c>
      <c r="B317" s="4">
        <v>1</v>
      </c>
      <c r="C317" s="7" t="s">
        <v>81</v>
      </c>
      <c r="D317" s="4" t="s">
        <v>0</v>
      </c>
      <c r="E317" s="4" t="s">
        <v>41</v>
      </c>
      <c r="F317" s="4" t="s">
        <v>54</v>
      </c>
    </row>
    <row r="318" spans="1:6" x14ac:dyDescent="0.3">
      <c r="A318" s="15">
        <v>2</v>
      </c>
      <c r="B318" s="15">
        <v>1</v>
      </c>
      <c r="C318" s="12" t="s">
        <v>81</v>
      </c>
      <c r="D318" s="15" t="s">
        <v>40</v>
      </c>
      <c r="E318" s="15" t="s">
        <v>9</v>
      </c>
      <c r="F318" s="15" t="s">
        <v>54</v>
      </c>
    </row>
    <row r="319" spans="1:6" x14ac:dyDescent="0.3">
      <c r="A319" s="4">
        <v>2</v>
      </c>
      <c r="B319" s="9">
        <v>2</v>
      </c>
      <c r="C319" s="9" t="s">
        <v>80</v>
      </c>
      <c r="D319" s="9" t="s">
        <v>29</v>
      </c>
      <c r="E319" s="4" t="s">
        <v>42</v>
      </c>
      <c r="F319" s="4" t="s">
        <v>46</v>
      </c>
    </row>
    <row r="320" spans="1:6" x14ac:dyDescent="0.3">
      <c r="A320" s="15">
        <v>2</v>
      </c>
      <c r="B320" s="15">
        <v>1</v>
      </c>
      <c r="C320" s="15" t="s">
        <v>81</v>
      </c>
      <c r="D320" s="15" t="s">
        <v>0</v>
      </c>
      <c r="E320" s="15" t="s">
        <v>41</v>
      </c>
      <c r="F320" s="15" t="s">
        <v>56</v>
      </c>
    </row>
    <row r="321" spans="1:6" x14ac:dyDescent="0.3">
      <c r="A321" s="4">
        <v>2</v>
      </c>
      <c r="B321" s="4">
        <v>1</v>
      </c>
      <c r="C321" s="4" t="s">
        <v>81</v>
      </c>
      <c r="D321" s="4" t="s">
        <v>40</v>
      </c>
      <c r="E321" s="4" t="s">
        <v>9</v>
      </c>
      <c r="F321" s="4" t="s">
        <v>56</v>
      </c>
    </row>
    <row r="322" spans="1:6" x14ac:dyDescent="0.3">
      <c r="A322" s="15">
        <v>2</v>
      </c>
      <c r="B322" s="15">
        <v>1</v>
      </c>
      <c r="C322" s="15" t="s">
        <v>81</v>
      </c>
      <c r="D322" s="15" t="s">
        <v>0</v>
      </c>
      <c r="E322" s="15" t="s">
        <v>41</v>
      </c>
      <c r="F322" s="15" t="s">
        <v>58</v>
      </c>
    </row>
    <row r="323" spans="1:6" x14ac:dyDescent="0.3">
      <c r="A323" s="4">
        <v>2</v>
      </c>
      <c r="B323" s="4">
        <v>2</v>
      </c>
      <c r="C323" s="4" t="s">
        <v>80</v>
      </c>
      <c r="D323" s="4" t="s">
        <v>40</v>
      </c>
      <c r="E323" s="4" t="s">
        <v>10</v>
      </c>
      <c r="F323" s="4" t="s">
        <v>58</v>
      </c>
    </row>
    <row r="324" spans="1:6" x14ac:dyDescent="0.3">
      <c r="A324" s="15">
        <v>2</v>
      </c>
      <c r="B324" s="9">
        <v>2</v>
      </c>
      <c r="C324" s="9" t="s">
        <v>80</v>
      </c>
      <c r="D324" s="9" t="s">
        <v>29</v>
      </c>
      <c r="E324" s="15" t="s">
        <v>42</v>
      </c>
      <c r="F324" s="15" t="s">
        <v>45</v>
      </c>
    </row>
    <row r="325" spans="1:6" x14ac:dyDescent="0.3">
      <c r="A325" s="4">
        <v>2</v>
      </c>
      <c r="B325" s="4">
        <v>2</v>
      </c>
      <c r="C325" s="4" t="s">
        <v>80</v>
      </c>
      <c r="D325" s="4" t="s">
        <v>0</v>
      </c>
      <c r="E325" s="4" t="s">
        <v>41</v>
      </c>
      <c r="F325" s="4" t="s">
        <v>52</v>
      </c>
    </row>
    <row r="326" spans="1:6" x14ac:dyDescent="0.3">
      <c r="A326" s="15">
        <v>2</v>
      </c>
      <c r="B326" s="15">
        <v>1</v>
      </c>
      <c r="C326" s="15" t="s">
        <v>81</v>
      </c>
      <c r="D326" s="15" t="s">
        <v>40</v>
      </c>
      <c r="E326" s="15" t="s">
        <v>10</v>
      </c>
      <c r="F326" s="15" t="s">
        <v>52</v>
      </c>
    </row>
    <row r="327" spans="1:6" x14ac:dyDescent="0.3">
      <c r="A327" s="4">
        <v>2</v>
      </c>
      <c r="B327" s="4">
        <v>1</v>
      </c>
      <c r="C327" s="4" t="s">
        <v>81</v>
      </c>
      <c r="D327" s="4" t="s">
        <v>0</v>
      </c>
      <c r="E327" s="4" t="s">
        <v>41</v>
      </c>
      <c r="F327" s="4" t="s">
        <v>57</v>
      </c>
    </row>
    <row r="328" spans="1:6" x14ac:dyDescent="0.3">
      <c r="A328" s="15">
        <v>2</v>
      </c>
      <c r="B328" s="15">
        <v>2</v>
      </c>
      <c r="C328" s="15" t="s">
        <v>80</v>
      </c>
      <c r="D328" s="15" t="s">
        <v>40</v>
      </c>
      <c r="E328" s="15" t="s">
        <v>10</v>
      </c>
      <c r="F328" s="15" t="s">
        <v>57</v>
      </c>
    </row>
    <row r="329" spans="1:6" x14ac:dyDescent="0.3">
      <c r="A329" s="4">
        <v>2</v>
      </c>
      <c r="B329" s="9">
        <v>1</v>
      </c>
      <c r="C329" s="9" t="s">
        <v>81</v>
      </c>
      <c r="D329" s="9" t="s">
        <v>29</v>
      </c>
      <c r="E329" s="4" t="s">
        <v>42</v>
      </c>
      <c r="F329" s="4" t="s">
        <v>48</v>
      </c>
    </row>
    <row r="330" spans="1:6" x14ac:dyDescent="0.3">
      <c r="A330" s="15">
        <v>2</v>
      </c>
      <c r="B330" s="9">
        <v>1</v>
      </c>
      <c r="C330" s="9" t="s">
        <v>81</v>
      </c>
      <c r="D330" s="9" t="s">
        <v>29</v>
      </c>
      <c r="E330" s="15" t="s">
        <v>42</v>
      </c>
      <c r="F330" s="15" t="s">
        <v>44</v>
      </c>
    </row>
    <row r="331" spans="1:6" x14ac:dyDescent="0.3">
      <c r="A331" s="4">
        <v>2</v>
      </c>
      <c r="B331" s="4">
        <v>2</v>
      </c>
      <c r="C331" s="4" t="s">
        <v>80</v>
      </c>
      <c r="D331" s="4" t="s">
        <v>0</v>
      </c>
      <c r="E331" s="4" t="s">
        <v>41</v>
      </c>
      <c r="F331" s="4" t="s">
        <v>55</v>
      </c>
    </row>
    <row r="332" spans="1:6" x14ac:dyDescent="0.3">
      <c r="A332" s="15">
        <v>2</v>
      </c>
      <c r="B332" s="15">
        <v>2</v>
      </c>
      <c r="C332" s="15" t="s">
        <v>80</v>
      </c>
      <c r="D332" s="15" t="s">
        <v>40</v>
      </c>
      <c r="E332" s="15" t="s">
        <v>9</v>
      </c>
      <c r="F332" s="15" t="s">
        <v>55</v>
      </c>
    </row>
    <row r="333" spans="1:6" x14ac:dyDescent="0.3">
      <c r="A333" s="4">
        <v>2</v>
      </c>
      <c r="B333" s="9">
        <v>1</v>
      </c>
      <c r="C333" s="9" t="s">
        <v>81</v>
      </c>
      <c r="D333" s="9" t="s">
        <v>29</v>
      </c>
      <c r="E333" s="4" t="s">
        <v>42</v>
      </c>
      <c r="F333" s="4" t="s">
        <v>43</v>
      </c>
    </row>
    <row r="334" spans="1:6" x14ac:dyDescent="0.3">
      <c r="A334" s="15">
        <v>2</v>
      </c>
      <c r="B334" s="15">
        <v>2</v>
      </c>
      <c r="C334" s="15" t="s">
        <v>80</v>
      </c>
      <c r="D334" s="15" t="s">
        <v>0</v>
      </c>
      <c r="E334" s="15" t="s">
        <v>41</v>
      </c>
      <c r="F334" s="15" t="s">
        <v>51</v>
      </c>
    </row>
    <row r="335" spans="1:6" x14ac:dyDescent="0.3">
      <c r="A335" s="4">
        <v>2</v>
      </c>
      <c r="B335" s="4">
        <v>2</v>
      </c>
      <c r="C335" s="4" t="s">
        <v>80</v>
      </c>
      <c r="D335" s="4" t="s">
        <v>40</v>
      </c>
      <c r="E335" s="4" t="s">
        <v>9</v>
      </c>
      <c r="F335" s="4" t="s">
        <v>51</v>
      </c>
    </row>
    <row r="336" spans="1:6" x14ac:dyDescent="0.3">
      <c r="A336" s="15">
        <v>2</v>
      </c>
      <c r="B336" s="9">
        <v>2</v>
      </c>
      <c r="C336" s="9" t="s">
        <v>80</v>
      </c>
      <c r="D336" s="9" t="s">
        <v>29</v>
      </c>
      <c r="E336" s="15" t="s">
        <v>42</v>
      </c>
      <c r="F336" s="15" t="s">
        <v>50</v>
      </c>
    </row>
    <row r="337" spans="1:6" x14ac:dyDescent="0.3">
      <c r="A337" s="4">
        <v>2</v>
      </c>
      <c r="B337" s="9">
        <v>1</v>
      </c>
      <c r="C337" s="9" t="s">
        <v>81</v>
      </c>
      <c r="D337" s="9" t="s">
        <v>29</v>
      </c>
      <c r="E337" s="4" t="s">
        <v>42</v>
      </c>
      <c r="F337" s="4" t="s">
        <v>47</v>
      </c>
    </row>
    <row r="338" spans="1:6" x14ac:dyDescent="0.3">
      <c r="A338" s="15">
        <v>2</v>
      </c>
      <c r="B338" s="9">
        <v>2</v>
      </c>
      <c r="C338" s="9" t="s">
        <v>80</v>
      </c>
      <c r="D338" s="9" t="s">
        <v>29</v>
      </c>
      <c r="E338" s="15" t="s">
        <v>42</v>
      </c>
      <c r="F338" s="15" t="s">
        <v>49</v>
      </c>
    </row>
    <row r="339" spans="1:6" x14ac:dyDescent="0.3">
      <c r="A339" s="4">
        <v>2</v>
      </c>
      <c r="B339" s="4">
        <v>2</v>
      </c>
      <c r="C339" s="4" t="s">
        <v>80</v>
      </c>
      <c r="D339" s="4" t="s">
        <v>0</v>
      </c>
      <c r="E339" s="4" t="s">
        <v>41</v>
      </c>
      <c r="F339" s="4" t="s">
        <v>53</v>
      </c>
    </row>
    <row r="340" spans="1:6" x14ac:dyDescent="0.3">
      <c r="A340" s="15">
        <v>2</v>
      </c>
      <c r="B340" s="15">
        <v>1</v>
      </c>
      <c r="C340" s="15" t="s">
        <v>81</v>
      </c>
      <c r="D340" s="15" t="s">
        <v>40</v>
      </c>
      <c r="E340" s="15" t="s">
        <v>10</v>
      </c>
      <c r="F340" s="15" t="s">
        <v>53</v>
      </c>
    </row>
    <row r="341" spans="1:6" x14ac:dyDescent="0.3">
      <c r="A341" s="12">
        <v>3</v>
      </c>
      <c r="B341" s="10">
        <v>2</v>
      </c>
      <c r="C341" s="10" t="s">
        <v>80</v>
      </c>
      <c r="D341" s="10" t="s">
        <v>29</v>
      </c>
      <c r="E341" s="15" t="s">
        <v>42</v>
      </c>
      <c r="F341" s="15" t="s">
        <v>54</v>
      </c>
    </row>
    <row r="342" spans="1:6" x14ac:dyDescent="0.3">
      <c r="A342" s="28">
        <v>3</v>
      </c>
      <c r="B342" s="27">
        <v>1</v>
      </c>
      <c r="C342" s="27" t="s">
        <v>81</v>
      </c>
      <c r="D342" s="27" t="s">
        <v>0</v>
      </c>
      <c r="E342" s="27" t="s">
        <v>41</v>
      </c>
      <c r="F342" s="27" t="s">
        <v>64</v>
      </c>
    </row>
    <row r="343" spans="1:6" x14ac:dyDescent="0.3">
      <c r="A343" s="12">
        <v>3</v>
      </c>
      <c r="B343" s="15">
        <v>2</v>
      </c>
      <c r="C343" s="15" t="s">
        <v>80</v>
      </c>
      <c r="D343" s="15" t="s">
        <v>40</v>
      </c>
      <c r="E343" s="15" t="s">
        <v>10</v>
      </c>
      <c r="F343" s="15" t="s">
        <v>64</v>
      </c>
    </row>
    <row r="344" spans="1:6" x14ac:dyDescent="0.3">
      <c r="A344" s="28">
        <v>3</v>
      </c>
      <c r="B344" s="10">
        <v>2</v>
      </c>
      <c r="C344" s="10" t="s">
        <v>80</v>
      </c>
      <c r="D344" s="10" t="s">
        <v>29</v>
      </c>
      <c r="E344" s="27" t="s">
        <v>42</v>
      </c>
      <c r="F344" s="27" t="s">
        <v>56</v>
      </c>
    </row>
    <row r="345" spans="1:6" x14ac:dyDescent="0.3">
      <c r="A345" s="12">
        <v>3</v>
      </c>
      <c r="B345" s="15">
        <v>2</v>
      </c>
      <c r="C345" s="15" t="s">
        <v>80</v>
      </c>
      <c r="D345" s="15" t="s">
        <v>0</v>
      </c>
      <c r="E345" s="15" t="s">
        <v>41</v>
      </c>
      <c r="F345" s="15" t="s">
        <v>62</v>
      </c>
    </row>
    <row r="346" spans="1:6" x14ac:dyDescent="0.3">
      <c r="A346" s="28">
        <v>3</v>
      </c>
      <c r="B346" s="27">
        <v>1</v>
      </c>
      <c r="C346" s="27" t="s">
        <v>81</v>
      </c>
      <c r="D346" s="27" t="s">
        <v>40</v>
      </c>
      <c r="E346" s="27" t="s">
        <v>10</v>
      </c>
      <c r="F346" s="27" t="s">
        <v>62</v>
      </c>
    </row>
    <row r="347" spans="1:6" x14ac:dyDescent="0.3">
      <c r="A347" s="12">
        <v>3</v>
      </c>
      <c r="B347" s="15">
        <v>1</v>
      </c>
      <c r="C347" s="15" t="s">
        <v>81</v>
      </c>
      <c r="D347" s="15" t="s">
        <v>0</v>
      </c>
      <c r="E347" s="15" t="s">
        <v>41</v>
      </c>
      <c r="F347" s="15" t="s">
        <v>66</v>
      </c>
    </row>
    <row r="348" spans="1:6" x14ac:dyDescent="0.3">
      <c r="A348" s="28">
        <v>3</v>
      </c>
      <c r="B348" s="27">
        <v>2</v>
      </c>
      <c r="C348" s="27" t="s">
        <v>80</v>
      </c>
      <c r="D348" s="27" t="s">
        <v>40</v>
      </c>
      <c r="E348" s="27" t="s">
        <v>10</v>
      </c>
      <c r="F348" s="27" t="s">
        <v>66</v>
      </c>
    </row>
    <row r="349" spans="1:6" x14ac:dyDescent="0.3">
      <c r="A349" s="12">
        <v>3</v>
      </c>
      <c r="B349" s="10">
        <v>1</v>
      </c>
      <c r="C349" s="10" t="s">
        <v>81</v>
      </c>
      <c r="D349" s="10" t="s">
        <v>29</v>
      </c>
      <c r="E349" s="15" t="s">
        <v>42</v>
      </c>
      <c r="F349" s="15" t="s">
        <v>58</v>
      </c>
    </row>
    <row r="350" spans="1:6" x14ac:dyDescent="0.3">
      <c r="A350" s="28">
        <v>3</v>
      </c>
      <c r="B350" s="27">
        <v>2</v>
      </c>
      <c r="C350" s="27" t="s">
        <v>80</v>
      </c>
      <c r="D350" s="27" t="s">
        <v>0</v>
      </c>
      <c r="E350" s="27" t="s">
        <v>41</v>
      </c>
      <c r="F350" s="27" t="s">
        <v>65</v>
      </c>
    </row>
    <row r="351" spans="1:6" x14ac:dyDescent="0.3">
      <c r="A351" s="12">
        <v>3</v>
      </c>
      <c r="B351" s="15">
        <v>2</v>
      </c>
      <c r="C351" s="15" t="s">
        <v>80</v>
      </c>
      <c r="D351" s="15" t="s">
        <v>40</v>
      </c>
      <c r="E351" s="15" t="s">
        <v>9</v>
      </c>
      <c r="F351" s="15" t="s">
        <v>65</v>
      </c>
    </row>
    <row r="352" spans="1:6" x14ac:dyDescent="0.3">
      <c r="A352" s="28">
        <v>3</v>
      </c>
      <c r="B352" s="10">
        <v>1</v>
      </c>
      <c r="C352" s="10" t="s">
        <v>81</v>
      </c>
      <c r="D352" s="10" t="s">
        <v>29</v>
      </c>
      <c r="E352" s="27" t="s">
        <v>42</v>
      </c>
      <c r="F352" s="27" t="s">
        <v>52</v>
      </c>
    </row>
    <row r="353" spans="1:6" x14ac:dyDescent="0.3">
      <c r="A353" s="12">
        <v>3</v>
      </c>
      <c r="B353" s="10">
        <v>1</v>
      </c>
      <c r="C353" s="10" t="s">
        <v>81</v>
      </c>
      <c r="D353" s="10" t="s">
        <v>29</v>
      </c>
      <c r="E353" s="15" t="s">
        <v>42</v>
      </c>
      <c r="F353" s="15" t="s">
        <v>57</v>
      </c>
    </row>
    <row r="354" spans="1:6" x14ac:dyDescent="0.3">
      <c r="A354" s="28">
        <v>3</v>
      </c>
      <c r="B354" s="27">
        <v>2</v>
      </c>
      <c r="C354" s="27" t="s">
        <v>80</v>
      </c>
      <c r="D354" s="27" t="s">
        <v>0</v>
      </c>
      <c r="E354" s="27" t="s">
        <v>41</v>
      </c>
      <c r="F354" s="27" t="s">
        <v>59</v>
      </c>
    </row>
    <row r="355" spans="1:6" x14ac:dyDescent="0.3">
      <c r="A355" s="12">
        <v>3</v>
      </c>
      <c r="B355" s="15">
        <v>2</v>
      </c>
      <c r="C355" s="15" t="s">
        <v>80</v>
      </c>
      <c r="D355" s="15" t="s">
        <v>40</v>
      </c>
      <c r="E355" s="15" t="s">
        <v>9</v>
      </c>
      <c r="F355" s="15" t="s">
        <v>59</v>
      </c>
    </row>
    <row r="356" spans="1:6" x14ac:dyDescent="0.3">
      <c r="A356" s="28">
        <v>3</v>
      </c>
      <c r="B356" s="27">
        <v>2</v>
      </c>
      <c r="C356" s="27" t="s">
        <v>80</v>
      </c>
      <c r="D356" s="27" t="s">
        <v>0</v>
      </c>
      <c r="E356" s="27" t="s">
        <v>41</v>
      </c>
      <c r="F356" s="27" t="s">
        <v>61</v>
      </c>
    </row>
    <row r="357" spans="1:6" x14ac:dyDescent="0.3">
      <c r="A357" s="12">
        <v>3</v>
      </c>
      <c r="B357" s="15">
        <v>1</v>
      </c>
      <c r="C357" s="15" t="s">
        <v>81</v>
      </c>
      <c r="D357" s="15" t="s">
        <v>40</v>
      </c>
      <c r="E357" s="15" t="s">
        <v>10</v>
      </c>
      <c r="F357" s="15" t="s">
        <v>61</v>
      </c>
    </row>
    <row r="358" spans="1:6" x14ac:dyDescent="0.3">
      <c r="A358" s="28">
        <v>3</v>
      </c>
      <c r="B358" s="10">
        <v>2</v>
      </c>
      <c r="C358" s="10" t="s">
        <v>80</v>
      </c>
      <c r="D358" s="10" t="s">
        <v>29</v>
      </c>
      <c r="E358" s="27" t="s">
        <v>42</v>
      </c>
      <c r="F358" s="27" t="s">
        <v>55</v>
      </c>
    </row>
    <row r="359" spans="1:6" x14ac:dyDescent="0.3">
      <c r="A359" s="12">
        <v>3</v>
      </c>
      <c r="B359" s="15">
        <v>1</v>
      </c>
      <c r="C359" s="15" t="s">
        <v>81</v>
      </c>
      <c r="D359" s="15" t="s">
        <v>0</v>
      </c>
      <c r="E359" s="15" t="s">
        <v>41</v>
      </c>
      <c r="F359" s="15" t="s">
        <v>63</v>
      </c>
    </row>
    <row r="360" spans="1:6" x14ac:dyDescent="0.3">
      <c r="A360" s="28">
        <v>3</v>
      </c>
      <c r="B360" s="27">
        <v>1</v>
      </c>
      <c r="C360" s="27" t="s">
        <v>81</v>
      </c>
      <c r="D360" s="27" t="s">
        <v>40</v>
      </c>
      <c r="E360" s="27" t="s">
        <v>9</v>
      </c>
      <c r="F360" s="27" t="s">
        <v>63</v>
      </c>
    </row>
    <row r="361" spans="1:6" x14ac:dyDescent="0.3">
      <c r="A361" s="12">
        <v>3</v>
      </c>
      <c r="B361" s="10">
        <v>2</v>
      </c>
      <c r="C361" s="10" t="s">
        <v>80</v>
      </c>
      <c r="D361" s="10" t="s">
        <v>29</v>
      </c>
      <c r="E361" s="15" t="s">
        <v>42</v>
      </c>
      <c r="F361" s="15" t="s">
        <v>51</v>
      </c>
    </row>
    <row r="362" spans="1:6" x14ac:dyDescent="0.3">
      <c r="A362" s="28">
        <v>3</v>
      </c>
      <c r="B362" s="27">
        <v>1</v>
      </c>
      <c r="C362" s="27" t="s">
        <v>81</v>
      </c>
      <c r="D362" s="27" t="s">
        <v>0</v>
      </c>
      <c r="E362" s="27" t="s">
        <v>41</v>
      </c>
      <c r="F362" s="27" t="s">
        <v>60</v>
      </c>
    </row>
    <row r="363" spans="1:6" x14ac:dyDescent="0.3">
      <c r="A363" s="12">
        <v>3</v>
      </c>
      <c r="B363" s="15">
        <v>1</v>
      </c>
      <c r="C363" s="15" t="s">
        <v>81</v>
      </c>
      <c r="D363" s="15" t="s">
        <v>40</v>
      </c>
      <c r="E363" s="15" t="s">
        <v>9</v>
      </c>
      <c r="F363" s="15" t="s">
        <v>60</v>
      </c>
    </row>
    <row r="364" spans="1:6" x14ac:dyDescent="0.3">
      <c r="A364" s="28">
        <v>3</v>
      </c>
      <c r="B364" s="10">
        <v>1</v>
      </c>
      <c r="C364" s="10" t="s">
        <v>81</v>
      </c>
      <c r="D364" s="10" t="s">
        <v>29</v>
      </c>
      <c r="E364" s="27" t="s">
        <v>42</v>
      </c>
      <c r="F364" s="27" t="s">
        <v>53</v>
      </c>
    </row>
    <row r="365" spans="1:6" x14ac:dyDescent="0.3">
      <c r="A365" s="4">
        <v>4</v>
      </c>
      <c r="B365" s="11">
        <v>2</v>
      </c>
      <c r="C365" s="11" t="s">
        <v>80</v>
      </c>
      <c r="D365" s="11" t="s">
        <v>29</v>
      </c>
      <c r="E365" s="4" t="s">
        <v>42</v>
      </c>
      <c r="F365" s="4" t="s">
        <v>64</v>
      </c>
    </row>
    <row r="366" spans="1:6" x14ac:dyDescent="0.3">
      <c r="A366" s="15">
        <v>4</v>
      </c>
      <c r="B366" s="15">
        <v>1</v>
      </c>
      <c r="C366" s="15" t="s">
        <v>81</v>
      </c>
      <c r="D366" s="15" t="s">
        <v>0</v>
      </c>
      <c r="E366" s="15" t="s">
        <v>41</v>
      </c>
      <c r="F366" s="15" t="s">
        <v>72</v>
      </c>
    </row>
    <row r="367" spans="1:6" x14ac:dyDescent="0.3">
      <c r="A367" s="4">
        <v>4</v>
      </c>
      <c r="B367" s="4">
        <v>1</v>
      </c>
      <c r="C367" s="4" t="s">
        <v>81</v>
      </c>
      <c r="D367" s="4" t="s">
        <v>40</v>
      </c>
      <c r="E367" s="4" t="s">
        <v>9</v>
      </c>
      <c r="F367" s="4" t="s">
        <v>72</v>
      </c>
    </row>
    <row r="368" spans="1:6" x14ac:dyDescent="0.3">
      <c r="A368" s="15">
        <v>4</v>
      </c>
      <c r="B368" s="15">
        <v>1</v>
      </c>
      <c r="C368" s="15" t="s">
        <v>81</v>
      </c>
      <c r="D368" s="15" t="s">
        <v>0</v>
      </c>
      <c r="E368" s="15" t="s">
        <v>41</v>
      </c>
      <c r="F368" s="15" t="s">
        <v>67</v>
      </c>
    </row>
    <row r="369" spans="1:6" x14ac:dyDescent="0.3">
      <c r="A369" s="4">
        <v>4</v>
      </c>
      <c r="B369" s="4">
        <v>2</v>
      </c>
      <c r="C369" s="4" t="s">
        <v>80</v>
      </c>
      <c r="D369" s="4" t="s">
        <v>40</v>
      </c>
      <c r="E369" s="4" t="s">
        <v>10</v>
      </c>
      <c r="F369" s="4" t="s">
        <v>67</v>
      </c>
    </row>
    <row r="370" spans="1:6" x14ac:dyDescent="0.3">
      <c r="A370" s="15">
        <v>4</v>
      </c>
      <c r="B370" s="11">
        <v>1</v>
      </c>
      <c r="C370" s="11" t="s">
        <v>81</v>
      </c>
      <c r="D370" s="11" t="s">
        <v>29</v>
      </c>
      <c r="E370" s="15" t="s">
        <v>42</v>
      </c>
      <c r="F370" s="15" t="s">
        <v>62</v>
      </c>
    </row>
    <row r="371" spans="1:6" x14ac:dyDescent="0.3">
      <c r="A371" s="4">
        <v>4</v>
      </c>
      <c r="B371" s="4">
        <v>2</v>
      </c>
      <c r="C371" s="4" t="s">
        <v>80</v>
      </c>
      <c r="D371" s="4" t="s">
        <v>0</v>
      </c>
      <c r="E371" s="4" t="s">
        <v>41</v>
      </c>
      <c r="F371" s="4" t="s">
        <v>71</v>
      </c>
    </row>
    <row r="372" spans="1:6" x14ac:dyDescent="0.3">
      <c r="A372" s="15">
        <v>4</v>
      </c>
      <c r="B372" s="15">
        <v>2</v>
      </c>
      <c r="C372" s="15" t="s">
        <v>80</v>
      </c>
      <c r="D372" s="15" t="s">
        <v>40</v>
      </c>
      <c r="E372" s="15" t="s">
        <v>9</v>
      </c>
      <c r="F372" s="15" t="s">
        <v>71</v>
      </c>
    </row>
    <row r="373" spans="1:6" x14ac:dyDescent="0.3">
      <c r="A373" s="4">
        <v>4</v>
      </c>
      <c r="B373" s="4">
        <v>2</v>
      </c>
      <c r="C373" s="4" t="s">
        <v>80</v>
      </c>
      <c r="D373" s="4" t="s">
        <v>0</v>
      </c>
      <c r="E373" s="4" t="s">
        <v>41</v>
      </c>
      <c r="F373" s="4" t="s">
        <v>73</v>
      </c>
    </row>
    <row r="374" spans="1:6" x14ac:dyDescent="0.3">
      <c r="A374" s="15">
        <v>4</v>
      </c>
      <c r="B374" s="15">
        <v>1</v>
      </c>
      <c r="C374" s="15" t="s">
        <v>81</v>
      </c>
      <c r="D374" s="15" t="s">
        <v>40</v>
      </c>
      <c r="E374" s="15" t="s">
        <v>10</v>
      </c>
      <c r="F374" s="15" t="s">
        <v>73</v>
      </c>
    </row>
    <row r="375" spans="1:6" x14ac:dyDescent="0.3">
      <c r="A375" s="4">
        <v>4</v>
      </c>
      <c r="B375" s="11">
        <v>2</v>
      </c>
      <c r="C375" s="11" t="s">
        <v>80</v>
      </c>
      <c r="D375" s="11" t="s">
        <v>29</v>
      </c>
      <c r="E375" s="4" t="s">
        <v>42</v>
      </c>
      <c r="F375" s="4" t="s">
        <v>66</v>
      </c>
    </row>
    <row r="376" spans="1:6" x14ac:dyDescent="0.3">
      <c r="A376" s="15">
        <v>4</v>
      </c>
      <c r="B376" s="11">
        <v>1</v>
      </c>
      <c r="C376" s="11" t="s">
        <v>81</v>
      </c>
      <c r="D376" s="11" t="s">
        <v>29</v>
      </c>
      <c r="E376" s="15" t="s">
        <v>42</v>
      </c>
      <c r="F376" s="15" t="s">
        <v>65</v>
      </c>
    </row>
    <row r="377" spans="1:6" x14ac:dyDescent="0.3">
      <c r="A377" s="4">
        <v>4</v>
      </c>
      <c r="B377" s="11">
        <v>2</v>
      </c>
      <c r="C377" s="11" t="s">
        <v>80</v>
      </c>
      <c r="D377" s="11" t="s">
        <v>29</v>
      </c>
      <c r="E377" s="4" t="s">
        <v>42</v>
      </c>
      <c r="F377" s="4" t="s">
        <v>59</v>
      </c>
    </row>
    <row r="378" spans="1:6" x14ac:dyDescent="0.3">
      <c r="A378" s="15">
        <v>4</v>
      </c>
      <c r="B378" s="15">
        <v>1</v>
      </c>
      <c r="C378" s="15" t="s">
        <v>81</v>
      </c>
      <c r="D378" s="15" t="s">
        <v>0</v>
      </c>
      <c r="E378" s="15" t="s">
        <v>41</v>
      </c>
      <c r="F378" s="15" t="s">
        <v>68</v>
      </c>
    </row>
    <row r="379" spans="1:6" x14ac:dyDescent="0.3">
      <c r="A379" s="4">
        <v>4</v>
      </c>
      <c r="B379" s="4">
        <v>2</v>
      </c>
      <c r="C379" s="4" t="s">
        <v>80</v>
      </c>
      <c r="D379" s="4" t="s">
        <v>40</v>
      </c>
      <c r="E379" s="4" t="s">
        <v>10</v>
      </c>
      <c r="F379" s="4" t="s">
        <v>68</v>
      </c>
    </row>
    <row r="380" spans="1:6" x14ac:dyDescent="0.3">
      <c r="A380" s="15">
        <v>4</v>
      </c>
      <c r="B380" s="15">
        <v>2</v>
      </c>
      <c r="C380" s="15" t="s">
        <v>80</v>
      </c>
      <c r="D380" s="15" t="s">
        <v>0</v>
      </c>
      <c r="E380" s="15" t="s">
        <v>41</v>
      </c>
      <c r="F380" s="15" t="s">
        <v>74</v>
      </c>
    </row>
    <row r="381" spans="1:6" x14ac:dyDescent="0.3">
      <c r="A381" s="4">
        <v>4</v>
      </c>
      <c r="B381" s="4">
        <v>2</v>
      </c>
      <c r="C381" s="4" t="s">
        <v>80</v>
      </c>
      <c r="D381" s="4" t="s">
        <v>40</v>
      </c>
      <c r="E381" s="4" t="s">
        <v>9</v>
      </c>
      <c r="F381" s="4" t="s">
        <v>74</v>
      </c>
    </row>
    <row r="382" spans="1:6" x14ac:dyDescent="0.3">
      <c r="A382" s="15">
        <v>4</v>
      </c>
      <c r="B382" s="11">
        <v>1</v>
      </c>
      <c r="C382" s="11" t="s">
        <v>81</v>
      </c>
      <c r="D382" s="11" t="s">
        <v>29</v>
      </c>
      <c r="E382" s="15" t="s">
        <v>42</v>
      </c>
      <c r="F382" s="15" t="s">
        <v>61</v>
      </c>
    </row>
    <row r="383" spans="1:6" x14ac:dyDescent="0.3">
      <c r="A383" s="4">
        <v>4</v>
      </c>
      <c r="B383" s="4">
        <v>2</v>
      </c>
      <c r="C383" s="4" t="s">
        <v>80</v>
      </c>
      <c r="D383" s="4" t="s">
        <v>0</v>
      </c>
      <c r="E383" s="4" t="s">
        <v>41</v>
      </c>
      <c r="F383" s="4" t="s">
        <v>69</v>
      </c>
    </row>
    <row r="384" spans="1:6" x14ac:dyDescent="0.3">
      <c r="A384" s="15">
        <v>4</v>
      </c>
      <c r="B384" s="15">
        <v>1</v>
      </c>
      <c r="C384" s="15" t="s">
        <v>81</v>
      </c>
      <c r="D384" s="15" t="s">
        <v>40</v>
      </c>
      <c r="E384" s="15" t="s">
        <v>10</v>
      </c>
      <c r="F384" s="15" t="s">
        <v>69</v>
      </c>
    </row>
    <row r="385" spans="1:6" x14ac:dyDescent="0.3">
      <c r="A385" s="4">
        <v>4</v>
      </c>
      <c r="B385" s="4">
        <v>1</v>
      </c>
      <c r="C385" s="4" t="s">
        <v>81</v>
      </c>
      <c r="D385" s="4" t="s">
        <v>0</v>
      </c>
      <c r="E385" s="4" t="s">
        <v>41</v>
      </c>
      <c r="F385" s="4" t="s">
        <v>70</v>
      </c>
    </row>
    <row r="386" spans="1:6" x14ac:dyDescent="0.3">
      <c r="A386" s="15">
        <v>4</v>
      </c>
      <c r="B386" s="15">
        <v>1</v>
      </c>
      <c r="C386" s="15" t="s">
        <v>81</v>
      </c>
      <c r="D386" s="15" t="s">
        <v>40</v>
      </c>
      <c r="E386" s="15" t="s">
        <v>9</v>
      </c>
      <c r="F386" s="15" t="s">
        <v>70</v>
      </c>
    </row>
    <row r="387" spans="1:6" x14ac:dyDescent="0.3">
      <c r="A387" s="4">
        <v>4</v>
      </c>
      <c r="B387" s="11">
        <v>2</v>
      </c>
      <c r="C387" s="11" t="s">
        <v>80</v>
      </c>
      <c r="D387" s="11" t="s">
        <v>29</v>
      </c>
      <c r="E387" s="4" t="s">
        <v>42</v>
      </c>
      <c r="F387" s="4" t="s">
        <v>63</v>
      </c>
    </row>
    <row r="388" spans="1:6" x14ac:dyDescent="0.3">
      <c r="A388" s="15">
        <v>4</v>
      </c>
      <c r="B388" s="11">
        <v>1</v>
      </c>
      <c r="C388" s="11" t="s">
        <v>81</v>
      </c>
      <c r="D388" s="11" t="s">
        <v>29</v>
      </c>
      <c r="E388" s="15" t="s">
        <v>42</v>
      </c>
      <c r="F388" s="15" t="s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8"/>
  <sheetViews>
    <sheetView topLeftCell="A173" zoomScale="90" zoomScaleNormal="90" workbookViewId="0">
      <selection activeCell="M184" sqref="M184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5">
        <v>2</v>
      </c>
      <c r="C2" s="15" t="s">
        <v>80</v>
      </c>
      <c r="D2" s="15" t="s">
        <v>0</v>
      </c>
      <c r="E2" s="15" t="s">
        <v>41</v>
      </c>
      <c r="F2" s="15" t="s">
        <v>46</v>
      </c>
    </row>
    <row r="3" spans="1:6" x14ac:dyDescent="0.3">
      <c r="A3" s="28">
        <v>1</v>
      </c>
      <c r="B3" s="27">
        <v>2</v>
      </c>
      <c r="C3" s="15" t="s">
        <v>80</v>
      </c>
      <c r="D3" s="27" t="s">
        <v>40</v>
      </c>
      <c r="E3" s="27" t="s">
        <v>9</v>
      </c>
      <c r="F3" s="27" t="s">
        <v>46</v>
      </c>
    </row>
    <row r="4" spans="1:6" x14ac:dyDescent="0.3">
      <c r="A4" s="12">
        <v>1</v>
      </c>
      <c r="B4" s="14">
        <v>1</v>
      </c>
      <c r="C4" s="13" t="s">
        <v>81</v>
      </c>
      <c r="D4" s="8" t="s">
        <v>29</v>
      </c>
      <c r="E4" s="15" t="s">
        <v>42</v>
      </c>
      <c r="F4" s="15" t="s">
        <v>72</v>
      </c>
    </row>
    <row r="5" spans="1:6" x14ac:dyDescent="0.3">
      <c r="A5" s="28">
        <v>1</v>
      </c>
      <c r="B5" s="14">
        <v>1</v>
      </c>
      <c r="C5" s="14" t="s">
        <v>81</v>
      </c>
      <c r="D5" s="8" t="s">
        <v>29</v>
      </c>
      <c r="E5" s="27" t="s">
        <v>42</v>
      </c>
      <c r="F5" s="27" t="s">
        <v>67</v>
      </c>
    </row>
    <row r="6" spans="1:6" x14ac:dyDescent="0.3">
      <c r="A6" s="12">
        <v>1</v>
      </c>
      <c r="B6" s="15">
        <v>2</v>
      </c>
      <c r="C6" s="15" t="s">
        <v>80</v>
      </c>
      <c r="D6" s="15" t="s">
        <v>0</v>
      </c>
      <c r="E6" s="15" t="s">
        <v>41</v>
      </c>
      <c r="F6" s="15" t="s">
        <v>45</v>
      </c>
    </row>
    <row r="7" spans="1:6" x14ac:dyDescent="0.3">
      <c r="A7" s="28">
        <v>1</v>
      </c>
      <c r="B7" s="27">
        <v>2</v>
      </c>
      <c r="C7" s="15" t="s">
        <v>80</v>
      </c>
      <c r="D7" s="27" t="s">
        <v>40</v>
      </c>
      <c r="E7" s="27" t="s">
        <v>9</v>
      </c>
      <c r="F7" s="27" t="s">
        <v>45</v>
      </c>
    </row>
    <row r="8" spans="1:6" x14ac:dyDescent="0.3">
      <c r="A8" s="12">
        <v>1</v>
      </c>
      <c r="B8" s="15">
        <v>2</v>
      </c>
      <c r="C8" s="15" t="s">
        <v>80</v>
      </c>
      <c r="D8" s="15" t="s">
        <v>0</v>
      </c>
      <c r="E8" s="15" t="s">
        <v>41</v>
      </c>
      <c r="F8" s="15" t="s">
        <v>48</v>
      </c>
    </row>
    <row r="9" spans="1:6" x14ac:dyDescent="0.3">
      <c r="A9" s="28">
        <v>1</v>
      </c>
      <c r="B9" s="27">
        <v>1</v>
      </c>
      <c r="C9" s="27" t="s">
        <v>81</v>
      </c>
      <c r="D9" s="27" t="s">
        <v>40</v>
      </c>
      <c r="E9" s="27" t="s">
        <v>10</v>
      </c>
      <c r="F9" s="27" t="s">
        <v>48</v>
      </c>
    </row>
    <row r="10" spans="1:6" x14ac:dyDescent="0.3">
      <c r="A10" s="12">
        <v>1</v>
      </c>
      <c r="B10" s="14">
        <v>2</v>
      </c>
      <c r="C10" s="13" t="s">
        <v>80</v>
      </c>
      <c r="D10" s="8" t="s">
        <v>29</v>
      </c>
      <c r="E10" s="15" t="s">
        <v>42</v>
      </c>
      <c r="F10" s="15" t="s">
        <v>71</v>
      </c>
    </row>
    <row r="11" spans="1:6" x14ac:dyDescent="0.3">
      <c r="A11" s="28">
        <v>1</v>
      </c>
      <c r="B11" s="27">
        <v>1</v>
      </c>
      <c r="C11" s="27" t="s">
        <v>81</v>
      </c>
      <c r="D11" s="27" t="s">
        <v>0</v>
      </c>
      <c r="E11" s="27" t="s">
        <v>41</v>
      </c>
      <c r="F11" s="27" t="s">
        <v>44</v>
      </c>
    </row>
    <row r="12" spans="1:6" x14ac:dyDescent="0.3">
      <c r="A12" s="12">
        <v>1</v>
      </c>
      <c r="B12" s="15">
        <v>2</v>
      </c>
      <c r="C12" s="15" t="s">
        <v>80</v>
      </c>
      <c r="D12" s="15" t="s">
        <v>40</v>
      </c>
      <c r="E12" s="15" t="s">
        <v>10</v>
      </c>
      <c r="F12" s="15" t="s">
        <v>44</v>
      </c>
    </row>
    <row r="13" spans="1:6" x14ac:dyDescent="0.3">
      <c r="A13" s="28">
        <v>1</v>
      </c>
      <c r="B13" s="27">
        <v>2</v>
      </c>
      <c r="C13" s="27" t="s">
        <v>80</v>
      </c>
      <c r="D13" s="27" t="s">
        <v>0</v>
      </c>
      <c r="E13" s="27" t="s">
        <v>41</v>
      </c>
      <c r="F13" s="27" t="s">
        <v>43</v>
      </c>
    </row>
    <row r="14" spans="1:6" x14ac:dyDescent="0.3">
      <c r="A14" s="12">
        <v>1</v>
      </c>
      <c r="B14" s="15">
        <v>1</v>
      </c>
      <c r="C14" s="15" t="s">
        <v>81</v>
      </c>
      <c r="D14" s="15" t="s">
        <v>40</v>
      </c>
      <c r="E14" s="15" t="s">
        <v>10</v>
      </c>
      <c r="F14" s="15" t="s">
        <v>43</v>
      </c>
    </row>
    <row r="15" spans="1:6" x14ac:dyDescent="0.3">
      <c r="A15" s="28">
        <v>1</v>
      </c>
      <c r="B15" s="14">
        <v>2</v>
      </c>
      <c r="C15" s="14" t="s">
        <v>80</v>
      </c>
      <c r="D15" s="8" t="s">
        <v>29</v>
      </c>
      <c r="E15" s="27" t="s">
        <v>42</v>
      </c>
      <c r="F15" s="27" t="s">
        <v>73</v>
      </c>
    </row>
    <row r="16" spans="1:6" x14ac:dyDescent="0.3">
      <c r="A16" s="12">
        <v>1</v>
      </c>
      <c r="B16" s="15">
        <v>1</v>
      </c>
      <c r="C16" s="15" t="s">
        <v>81</v>
      </c>
      <c r="D16" s="15" t="s">
        <v>0</v>
      </c>
      <c r="E16" s="15" t="s">
        <v>41</v>
      </c>
      <c r="F16" s="15" t="s">
        <v>50</v>
      </c>
    </row>
    <row r="17" spans="1:6" x14ac:dyDescent="0.3">
      <c r="A17" s="28">
        <v>1</v>
      </c>
      <c r="B17" s="27">
        <v>1</v>
      </c>
      <c r="C17" s="15" t="s">
        <v>81</v>
      </c>
      <c r="D17" s="27" t="s">
        <v>40</v>
      </c>
      <c r="E17" s="27" t="s">
        <v>9</v>
      </c>
      <c r="F17" s="27" t="s">
        <v>50</v>
      </c>
    </row>
    <row r="18" spans="1:6" x14ac:dyDescent="0.3">
      <c r="A18" s="12">
        <v>1</v>
      </c>
      <c r="B18" s="14">
        <v>2</v>
      </c>
      <c r="C18" s="13" t="s">
        <v>80</v>
      </c>
      <c r="D18" s="8" t="s">
        <v>29</v>
      </c>
      <c r="E18" s="15" t="s">
        <v>42</v>
      </c>
      <c r="F18" s="15" t="s">
        <v>68</v>
      </c>
    </row>
    <row r="19" spans="1:6" x14ac:dyDescent="0.3">
      <c r="A19" s="28">
        <v>1</v>
      </c>
      <c r="B19" s="27">
        <v>1</v>
      </c>
      <c r="C19" s="27" t="s">
        <v>81</v>
      </c>
      <c r="D19" s="27" t="s">
        <v>0</v>
      </c>
      <c r="E19" s="27" t="s">
        <v>41</v>
      </c>
      <c r="F19" s="27" t="s">
        <v>47</v>
      </c>
    </row>
    <row r="20" spans="1:6" x14ac:dyDescent="0.3">
      <c r="A20" s="12">
        <v>1</v>
      </c>
      <c r="B20" s="15">
        <v>1</v>
      </c>
      <c r="C20" s="15" t="s">
        <v>81</v>
      </c>
      <c r="D20" s="15" t="s">
        <v>40</v>
      </c>
      <c r="E20" s="15" t="s">
        <v>9</v>
      </c>
      <c r="F20" s="15" t="s">
        <v>47</v>
      </c>
    </row>
    <row r="21" spans="1:6" x14ac:dyDescent="0.3">
      <c r="A21" s="28">
        <v>1</v>
      </c>
      <c r="B21" s="14">
        <v>1</v>
      </c>
      <c r="C21" s="14" t="s">
        <v>81</v>
      </c>
      <c r="D21" s="8" t="s">
        <v>29</v>
      </c>
      <c r="E21" s="27" t="s">
        <v>42</v>
      </c>
      <c r="F21" s="27" t="s">
        <v>74</v>
      </c>
    </row>
    <row r="22" spans="1:6" x14ac:dyDescent="0.3">
      <c r="A22" s="12">
        <v>1</v>
      </c>
      <c r="B22" s="14">
        <v>2</v>
      </c>
      <c r="C22" s="13" t="s">
        <v>80</v>
      </c>
      <c r="D22" s="8" t="s">
        <v>29</v>
      </c>
      <c r="E22" s="15" t="s">
        <v>42</v>
      </c>
      <c r="F22" s="15" t="s">
        <v>69</v>
      </c>
    </row>
    <row r="23" spans="1:6" x14ac:dyDescent="0.3">
      <c r="A23" s="28">
        <v>1</v>
      </c>
      <c r="B23" s="27">
        <v>1</v>
      </c>
      <c r="C23" s="27" t="s">
        <v>81</v>
      </c>
      <c r="D23" s="27" t="s">
        <v>0</v>
      </c>
      <c r="E23" s="27" t="s">
        <v>41</v>
      </c>
      <c r="F23" s="27" t="s">
        <v>49</v>
      </c>
    </row>
    <row r="24" spans="1:6" x14ac:dyDescent="0.3">
      <c r="A24" s="12">
        <v>1</v>
      </c>
      <c r="B24" s="15">
        <v>2</v>
      </c>
      <c r="C24" s="15" t="s">
        <v>80</v>
      </c>
      <c r="D24" s="15" t="s">
        <v>40</v>
      </c>
      <c r="E24" s="15" t="s">
        <v>10</v>
      </c>
      <c r="F24" s="15" t="s">
        <v>49</v>
      </c>
    </row>
    <row r="25" spans="1:6" x14ac:dyDescent="0.3">
      <c r="A25" s="28">
        <v>1</v>
      </c>
      <c r="B25" s="14">
        <v>1</v>
      </c>
      <c r="C25" s="14" t="s">
        <v>81</v>
      </c>
      <c r="D25" s="8" t="s">
        <v>29</v>
      </c>
      <c r="E25" s="27" t="s">
        <v>42</v>
      </c>
      <c r="F25" s="27" t="s">
        <v>70</v>
      </c>
    </row>
    <row r="26" spans="1:6" x14ac:dyDescent="0.3">
      <c r="A26" s="4">
        <v>2</v>
      </c>
      <c r="B26" s="4">
        <v>1</v>
      </c>
      <c r="C26" s="7" t="s">
        <v>81</v>
      </c>
      <c r="D26" s="4" t="s">
        <v>0</v>
      </c>
      <c r="E26" s="4" t="s">
        <v>41</v>
      </c>
      <c r="F26" s="4" t="s">
        <v>54</v>
      </c>
    </row>
    <row r="27" spans="1:6" x14ac:dyDescent="0.3">
      <c r="A27" s="15">
        <v>2</v>
      </c>
      <c r="B27" s="15">
        <v>1</v>
      </c>
      <c r="C27" s="12" t="s">
        <v>81</v>
      </c>
      <c r="D27" s="15" t="s">
        <v>40</v>
      </c>
      <c r="E27" s="15" t="s">
        <v>9</v>
      </c>
      <c r="F27" s="15" t="s">
        <v>54</v>
      </c>
    </row>
    <row r="28" spans="1:6" x14ac:dyDescent="0.3">
      <c r="A28" s="4">
        <v>2</v>
      </c>
      <c r="B28" s="9">
        <v>2</v>
      </c>
      <c r="C28" s="9" t="s">
        <v>80</v>
      </c>
      <c r="D28" s="9" t="s">
        <v>29</v>
      </c>
      <c r="E28" s="4" t="s">
        <v>42</v>
      </c>
      <c r="F28" s="4" t="s">
        <v>46</v>
      </c>
    </row>
    <row r="29" spans="1:6" x14ac:dyDescent="0.3">
      <c r="A29" s="15">
        <v>2</v>
      </c>
      <c r="B29" s="15">
        <v>1</v>
      </c>
      <c r="C29" s="15" t="s">
        <v>81</v>
      </c>
      <c r="D29" s="15" t="s">
        <v>0</v>
      </c>
      <c r="E29" s="15" t="s">
        <v>41</v>
      </c>
      <c r="F29" s="15" t="s">
        <v>56</v>
      </c>
    </row>
    <row r="30" spans="1:6" x14ac:dyDescent="0.3">
      <c r="A30" s="4">
        <v>2</v>
      </c>
      <c r="B30" s="4">
        <v>1</v>
      </c>
      <c r="C30" s="4" t="s">
        <v>81</v>
      </c>
      <c r="D30" s="4" t="s">
        <v>40</v>
      </c>
      <c r="E30" s="4" t="s">
        <v>9</v>
      </c>
      <c r="F30" s="4" t="s">
        <v>56</v>
      </c>
    </row>
    <row r="31" spans="1:6" x14ac:dyDescent="0.3">
      <c r="A31" s="15">
        <v>2</v>
      </c>
      <c r="B31" s="15">
        <v>1</v>
      </c>
      <c r="C31" s="15" t="s">
        <v>81</v>
      </c>
      <c r="D31" s="15" t="s">
        <v>0</v>
      </c>
      <c r="E31" s="15" t="s">
        <v>41</v>
      </c>
      <c r="F31" s="15" t="s">
        <v>58</v>
      </c>
    </row>
    <row r="32" spans="1:6" x14ac:dyDescent="0.3">
      <c r="A32" s="4">
        <v>2</v>
      </c>
      <c r="B32" s="4">
        <v>2</v>
      </c>
      <c r="C32" s="4" t="s">
        <v>80</v>
      </c>
      <c r="D32" s="4" t="s">
        <v>40</v>
      </c>
      <c r="E32" s="4" t="s">
        <v>10</v>
      </c>
      <c r="F32" s="4" t="s">
        <v>58</v>
      </c>
    </row>
    <row r="33" spans="1:6" x14ac:dyDescent="0.3">
      <c r="A33" s="15">
        <v>2</v>
      </c>
      <c r="B33" s="9">
        <v>2</v>
      </c>
      <c r="C33" s="9" t="s">
        <v>80</v>
      </c>
      <c r="D33" s="9" t="s">
        <v>29</v>
      </c>
      <c r="E33" s="15" t="s">
        <v>42</v>
      </c>
      <c r="F33" s="15" t="s">
        <v>45</v>
      </c>
    </row>
    <row r="34" spans="1:6" x14ac:dyDescent="0.3">
      <c r="A34" s="4">
        <v>2</v>
      </c>
      <c r="B34" s="4">
        <v>2</v>
      </c>
      <c r="C34" s="4" t="s">
        <v>80</v>
      </c>
      <c r="D34" s="4" t="s">
        <v>0</v>
      </c>
      <c r="E34" s="4" t="s">
        <v>41</v>
      </c>
      <c r="F34" s="4" t="s">
        <v>52</v>
      </c>
    </row>
    <row r="35" spans="1:6" x14ac:dyDescent="0.3">
      <c r="A35" s="15">
        <v>2</v>
      </c>
      <c r="B35" s="15">
        <v>1</v>
      </c>
      <c r="C35" s="15" t="s">
        <v>81</v>
      </c>
      <c r="D35" s="15" t="s">
        <v>40</v>
      </c>
      <c r="E35" s="15" t="s">
        <v>10</v>
      </c>
      <c r="F35" s="15" t="s">
        <v>52</v>
      </c>
    </row>
    <row r="36" spans="1:6" x14ac:dyDescent="0.3">
      <c r="A36" s="4">
        <v>2</v>
      </c>
      <c r="B36" s="4">
        <v>1</v>
      </c>
      <c r="C36" s="4" t="s">
        <v>81</v>
      </c>
      <c r="D36" s="4" t="s">
        <v>0</v>
      </c>
      <c r="E36" s="4" t="s">
        <v>41</v>
      </c>
      <c r="F36" s="4" t="s">
        <v>57</v>
      </c>
    </row>
    <row r="37" spans="1:6" x14ac:dyDescent="0.3">
      <c r="A37" s="15">
        <v>2</v>
      </c>
      <c r="B37" s="15">
        <v>2</v>
      </c>
      <c r="C37" s="15" t="s">
        <v>80</v>
      </c>
      <c r="D37" s="15" t="s">
        <v>40</v>
      </c>
      <c r="E37" s="15" t="s">
        <v>10</v>
      </c>
      <c r="F37" s="15" t="s">
        <v>57</v>
      </c>
    </row>
    <row r="38" spans="1:6" x14ac:dyDescent="0.3">
      <c r="A38" s="4">
        <v>2</v>
      </c>
      <c r="B38" s="9">
        <v>1</v>
      </c>
      <c r="C38" s="9" t="s">
        <v>81</v>
      </c>
      <c r="D38" s="9" t="s">
        <v>29</v>
      </c>
      <c r="E38" s="4" t="s">
        <v>42</v>
      </c>
      <c r="F38" s="4" t="s">
        <v>48</v>
      </c>
    </row>
    <row r="39" spans="1:6" x14ac:dyDescent="0.3">
      <c r="A39" s="15">
        <v>2</v>
      </c>
      <c r="B39" s="9">
        <v>1</v>
      </c>
      <c r="C39" s="9" t="s">
        <v>81</v>
      </c>
      <c r="D39" s="9" t="s">
        <v>29</v>
      </c>
      <c r="E39" s="15" t="s">
        <v>42</v>
      </c>
      <c r="F39" s="15" t="s">
        <v>44</v>
      </c>
    </row>
    <row r="40" spans="1:6" x14ac:dyDescent="0.3">
      <c r="A40" s="4">
        <v>2</v>
      </c>
      <c r="B40" s="4">
        <v>2</v>
      </c>
      <c r="C40" s="4" t="s">
        <v>80</v>
      </c>
      <c r="D40" s="4" t="s">
        <v>0</v>
      </c>
      <c r="E40" s="4" t="s">
        <v>41</v>
      </c>
      <c r="F40" s="4" t="s">
        <v>55</v>
      </c>
    </row>
    <row r="41" spans="1:6" x14ac:dyDescent="0.3">
      <c r="A41" s="15">
        <v>2</v>
      </c>
      <c r="B41" s="15">
        <v>2</v>
      </c>
      <c r="C41" s="15" t="s">
        <v>80</v>
      </c>
      <c r="D41" s="15" t="s">
        <v>40</v>
      </c>
      <c r="E41" s="15" t="s">
        <v>9</v>
      </c>
      <c r="F41" s="15" t="s">
        <v>55</v>
      </c>
    </row>
    <row r="42" spans="1:6" x14ac:dyDescent="0.3">
      <c r="A42" s="4">
        <v>2</v>
      </c>
      <c r="B42" s="9">
        <v>1</v>
      </c>
      <c r="C42" s="9" t="s">
        <v>81</v>
      </c>
      <c r="D42" s="9" t="s">
        <v>29</v>
      </c>
      <c r="E42" s="4" t="s">
        <v>42</v>
      </c>
      <c r="F42" s="4" t="s">
        <v>43</v>
      </c>
    </row>
    <row r="43" spans="1:6" x14ac:dyDescent="0.3">
      <c r="A43" s="15">
        <v>2</v>
      </c>
      <c r="B43" s="15">
        <v>2</v>
      </c>
      <c r="C43" s="15" t="s">
        <v>80</v>
      </c>
      <c r="D43" s="15" t="s">
        <v>0</v>
      </c>
      <c r="E43" s="15" t="s">
        <v>41</v>
      </c>
      <c r="F43" s="15" t="s">
        <v>51</v>
      </c>
    </row>
    <row r="44" spans="1:6" x14ac:dyDescent="0.3">
      <c r="A44" s="4">
        <v>2</v>
      </c>
      <c r="B44" s="4">
        <v>2</v>
      </c>
      <c r="C44" s="4" t="s">
        <v>80</v>
      </c>
      <c r="D44" s="4" t="s">
        <v>40</v>
      </c>
      <c r="E44" s="4" t="s">
        <v>9</v>
      </c>
      <c r="F44" s="4" t="s">
        <v>51</v>
      </c>
    </row>
    <row r="45" spans="1:6" x14ac:dyDescent="0.3">
      <c r="A45" s="15">
        <v>2</v>
      </c>
      <c r="B45" s="9">
        <v>2</v>
      </c>
      <c r="C45" s="9" t="s">
        <v>80</v>
      </c>
      <c r="D45" s="9" t="s">
        <v>29</v>
      </c>
      <c r="E45" s="15" t="s">
        <v>42</v>
      </c>
      <c r="F45" s="15" t="s">
        <v>50</v>
      </c>
    </row>
    <row r="46" spans="1:6" x14ac:dyDescent="0.3">
      <c r="A46" s="4">
        <v>2</v>
      </c>
      <c r="B46" s="9">
        <v>1</v>
      </c>
      <c r="C46" s="9" t="s">
        <v>81</v>
      </c>
      <c r="D46" s="9" t="s">
        <v>29</v>
      </c>
      <c r="E46" s="4" t="s">
        <v>42</v>
      </c>
      <c r="F46" s="4" t="s">
        <v>47</v>
      </c>
    </row>
    <row r="47" spans="1:6" x14ac:dyDescent="0.3">
      <c r="A47" s="15">
        <v>2</v>
      </c>
      <c r="B47" s="9">
        <v>2</v>
      </c>
      <c r="C47" s="9" t="s">
        <v>80</v>
      </c>
      <c r="D47" s="9" t="s">
        <v>29</v>
      </c>
      <c r="E47" s="15" t="s">
        <v>42</v>
      </c>
      <c r="F47" s="15" t="s">
        <v>49</v>
      </c>
    </row>
    <row r="48" spans="1:6" x14ac:dyDescent="0.3">
      <c r="A48" s="4">
        <v>2</v>
      </c>
      <c r="B48" s="4">
        <v>2</v>
      </c>
      <c r="C48" s="4" t="s">
        <v>80</v>
      </c>
      <c r="D48" s="4" t="s">
        <v>0</v>
      </c>
      <c r="E48" s="4" t="s">
        <v>41</v>
      </c>
      <c r="F48" s="4" t="s">
        <v>53</v>
      </c>
    </row>
    <row r="49" spans="1:6" x14ac:dyDescent="0.3">
      <c r="A49" s="15">
        <v>2</v>
      </c>
      <c r="B49" s="15">
        <v>1</v>
      </c>
      <c r="C49" s="15" t="s">
        <v>81</v>
      </c>
      <c r="D49" s="15" t="s">
        <v>40</v>
      </c>
      <c r="E49" s="15" t="s">
        <v>10</v>
      </c>
      <c r="F49" s="15" t="s">
        <v>53</v>
      </c>
    </row>
    <row r="50" spans="1:6" x14ac:dyDescent="0.3">
      <c r="A50" s="12">
        <v>3</v>
      </c>
      <c r="B50" s="10">
        <v>2</v>
      </c>
      <c r="C50" s="10" t="s">
        <v>80</v>
      </c>
      <c r="D50" s="10" t="s">
        <v>29</v>
      </c>
      <c r="E50" s="15" t="s">
        <v>42</v>
      </c>
      <c r="F50" s="15" t="s">
        <v>54</v>
      </c>
    </row>
    <row r="51" spans="1:6" x14ac:dyDescent="0.3">
      <c r="A51" s="28">
        <v>3</v>
      </c>
      <c r="B51" s="27">
        <v>1</v>
      </c>
      <c r="C51" s="27" t="s">
        <v>81</v>
      </c>
      <c r="D51" s="27" t="s">
        <v>0</v>
      </c>
      <c r="E51" s="27" t="s">
        <v>41</v>
      </c>
      <c r="F51" s="27" t="s">
        <v>64</v>
      </c>
    </row>
    <row r="52" spans="1:6" x14ac:dyDescent="0.3">
      <c r="A52" s="12">
        <v>3</v>
      </c>
      <c r="B52" s="15">
        <v>2</v>
      </c>
      <c r="C52" s="15" t="s">
        <v>80</v>
      </c>
      <c r="D52" s="15" t="s">
        <v>40</v>
      </c>
      <c r="E52" s="15" t="s">
        <v>10</v>
      </c>
      <c r="F52" s="15" t="s">
        <v>64</v>
      </c>
    </row>
    <row r="53" spans="1:6" x14ac:dyDescent="0.3">
      <c r="A53" s="28">
        <v>3</v>
      </c>
      <c r="B53" s="10">
        <v>2</v>
      </c>
      <c r="C53" s="10" t="s">
        <v>80</v>
      </c>
      <c r="D53" s="10" t="s">
        <v>29</v>
      </c>
      <c r="E53" s="27" t="s">
        <v>42</v>
      </c>
      <c r="F53" s="27" t="s">
        <v>56</v>
      </c>
    </row>
    <row r="54" spans="1:6" x14ac:dyDescent="0.3">
      <c r="A54" s="12">
        <v>3</v>
      </c>
      <c r="B54" s="15">
        <v>2</v>
      </c>
      <c r="C54" s="15" t="s">
        <v>80</v>
      </c>
      <c r="D54" s="15" t="s">
        <v>0</v>
      </c>
      <c r="E54" s="15" t="s">
        <v>41</v>
      </c>
      <c r="F54" s="15" t="s">
        <v>62</v>
      </c>
    </row>
    <row r="55" spans="1:6" x14ac:dyDescent="0.3">
      <c r="A55" s="28">
        <v>3</v>
      </c>
      <c r="B55" s="27">
        <v>1</v>
      </c>
      <c r="C55" s="27" t="s">
        <v>81</v>
      </c>
      <c r="D55" s="27" t="s">
        <v>40</v>
      </c>
      <c r="E55" s="27" t="s">
        <v>10</v>
      </c>
      <c r="F55" s="27" t="s">
        <v>62</v>
      </c>
    </row>
    <row r="56" spans="1:6" x14ac:dyDescent="0.3">
      <c r="A56" s="12">
        <v>3</v>
      </c>
      <c r="B56" s="15">
        <v>1</v>
      </c>
      <c r="C56" s="15" t="s">
        <v>81</v>
      </c>
      <c r="D56" s="15" t="s">
        <v>0</v>
      </c>
      <c r="E56" s="15" t="s">
        <v>41</v>
      </c>
      <c r="F56" s="15" t="s">
        <v>66</v>
      </c>
    </row>
    <row r="57" spans="1:6" x14ac:dyDescent="0.3">
      <c r="A57" s="28">
        <v>3</v>
      </c>
      <c r="B57" s="27">
        <v>2</v>
      </c>
      <c r="C57" s="27" t="s">
        <v>80</v>
      </c>
      <c r="D57" s="27" t="s">
        <v>40</v>
      </c>
      <c r="E57" s="27" t="s">
        <v>10</v>
      </c>
      <c r="F57" s="27" t="s">
        <v>66</v>
      </c>
    </row>
    <row r="58" spans="1:6" x14ac:dyDescent="0.3">
      <c r="A58" s="12">
        <v>3</v>
      </c>
      <c r="B58" s="10">
        <v>1</v>
      </c>
      <c r="C58" s="10" t="s">
        <v>81</v>
      </c>
      <c r="D58" s="10" t="s">
        <v>29</v>
      </c>
      <c r="E58" s="15" t="s">
        <v>42</v>
      </c>
      <c r="F58" s="15" t="s">
        <v>58</v>
      </c>
    </row>
    <row r="59" spans="1:6" x14ac:dyDescent="0.3">
      <c r="A59" s="28">
        <v>3</v>
      </c>
      <c r="B59" s="27">
        <v>2</v>
      </c>
      <c r="C59" s="27" t="s">
        <v>80</v>
      </c>
      <c r="D59" s="27" t="s">
        <v>0</v>
      </c>
      <c r="E59" s="27" t="s">
        <v>41</v>
      </c>
      <c r="F59" s="27" t="s">
        <v>65</v>
      </c>
    </row>
    <row r="60" spans="1:6" x14ac:dyDescent="0.3">
      <c r="A60" s="12">
        <v>3</v>
      </c>
      <c r="B60" s="15">
        <v>2</v>
      </c>
      <c r="C60" s="15" t="s">
        <v>80</v>
      </c>
      <c r="D60" s="15" t="s">
        <v>40</v>
      </c>
      <c r="E60" s="15" t="s">
        <v>9</v>
      </c>
      <c r="F60" s="15" t="s">
        <v>65</v>
      </c>
    </row>
    <row r="61" spans="1:6" x14ac:dyDescent="0.3">
      <c r="A61" s="28">
        <v>3</v>
      </c>
      <c r="B61" s="10">
        <v>1</v>
      </c>
      <c r="C61" s="10" t="s">
        <v>81</v>
      </c>
      <c r="D61" s="10" t="s">
        <v>29</v>
      </c>
      <c r="E61" s="27" t="s">
        <v>42</v>
      </c>
      <c r="F61" s="27" t="s">
        <v>52</v>
      </c>
    </row>
    <row r="62" spans="1:6" x14ac:dyDescent="0.3">
      <c r="A62" s="12">
        <v>3</v>
      </c>
      <c r="B62" s="10">
        <v>1</v>
      </c>
      <c r="C62" s="10" t="s">
        <v>81</v>
      </c>
      <c r="D62" s="10" t="s">
        <v>29</v>
      </c>
      <c r="E62" s="15" t="s">
        <v>42</v>
      </c>
      <c r="F62" s="15" t="s">
        <v>57</v>
      </c>
    </row>
    <row r="63" spans="1:6" x14ac:dyDescent="0.3">
      <c r="A63" s="28">
        <v>3</v>
      </c>
      <c r="B63" s="27">
        <v>2</v>
      </c>
      <c r="C63" s="27" t="s">
        <v>80</v>
      </c>
      <c r="D63" s="27" t="s">
        <v>0</v>
      </c>
      <c r="E63" s="27" t="s">
        <v>41</v>
      </c>
      <c r="F63" s="27" t="s">
        <v>59</v>
      </c>
    </row>
    <row r="64" spans="1:6" x14ac:dyDescent="0.3">
      <c r="A64" s="12">
        <v>3</v>
      </c>
      <c r="B64" s="15">
        <v>2</v>
      </c>
      <c r="C64" s="15" t="s">
        <v>80</v>
      </c>
      <c r="D64" s="15" t="s">
        <v>40</v>
      </c>
      <c r="E64" s="15" t="s">
        <v>9</v>
      </c>
      <c r="F64" s="15" t="s">
        <v>59</v>
      </c>
    </row>
    <row r="65" spans="1:6" x14ac:dyDescent="0.3">
      <c r="A65" s="28">
        <v>3</v>
      </c>
      <c r="B65" s="27">
        <v>2</v>
      </c>
      <c r="C65" s="27" t="s">
        <v>80</v>
      </c>
      <c r="D65" s="27" t="s">
        <v>0</v>
      </c>
      <c r="E65" s="27" t="s">
        <v>41</v>
      </c>
      <c r="F65" s="27" t="s">
        <v>61</v>
      </c>
    </row>
    <row r="66" spans="1:6" x14ac:dyDescent="0.3">
      <c r="A66" s="12">
        <v>3</v>
      </c>
      <c r="B66" s="15">
        <v>1</v>
      </c>
      <c r="C66" s="15" t="s">
        <v>81</v>
      </c>
      <c r="D66" s="15" t="s">
        <v>40</v>
      </c>
      <c r="E66" s="15" t="s">
        <v>10</v>
      </c>
      <c r="F66" s="15" t="s">
        <v>61</v>
      </c>
    </row>
    <row r="67" spans="1:6" x14ac:dyDescent="0.3">
      <c r="A67" s="28">
        <v>3</v>
      </c>
      <c r="B67" s="10">
        <v>2</v>
      </c>
      <c r="C67" s="10" t="s">
        <v>80</v>
      </c>
      <c r="D67" s="10" t="s">
        <v>29</v>
      </c>
      <c r="E67" s="27" t="s">
        <v>42</v>
      </c>
      <c r="F67" s="27" t="s">
        <v>55</v>
      </c>
    </row>
    <row r="68" spans="1:6" x14ac:dyDescent="0.3">
      <c r="A68" s="12">
        <v>3</v>
      </c>
      <c r="B68" s="15">
        <v>1</v>
      </c>
      <c r="C68" s="15" t="s">
        <v>81</v>
      </c>
      <c r="D68" s="15" t="s">
        <v>0</v>
      </c>
      <c r="E68" s="15" t="s">
        <v>41</v>
      </c>
      <c r="F68" s="15" t="s">
        <v>63</v>
      </c>
    </row>
    <row r="69" spans="1:6" x14ac:dyDescent="0.3">
      <c r="A69" s="28">
        <v>3</v>
      </c>
      <c r="B69" s="27">
        <v>1</v>
      </c>
      <c r="C69" s="27" t="s">
        <v>81</v>
      </c>
      <c r="D69" s="27" t="s">
        <v>40</v>
      </c>
      <c r="E69" s="27" t="s">
        <v>9</v>
      </c>
      <c r="F69" s="27" t="s">
        <v>63</v>
      </c>
    </row>
    <row r="70" spans="1:6" x14ac:dyDescent="0.3">
      <c r="A70" s="12">
        <v>3</v>
      </c>
      <c r="B70" s="10">
        <v>2</v>
      </c>
      <c r="C70" s="10" t="s">
        <v>80</v>
      </c>
      <c r="D70" s="10" t="s">
        <v>29</v>
      </c>
      <c r="E70" s="15" t="s">
        <v>42</v>
      </c>
      <c r="F70" s="15" t="s">
        <v>51</v>
      </c>
    </row>
    <row r="71" spans="1:6" x14ac:dyDescent="0.3">
      <c r="A71" s="28">
        <v>3</v>
      </c>
      <c r="B71" s="27">
        <v>1</v>
      </c>
      <c r="C71" s="27" t="s">
        <v>81</v>
      </c>
      <c r="D71" s="27" t="s">
        <v>0</v>
      </c>
      <c r="E71" s="27" t="s">
        <v>41</v>
      </c>
      <c r="F71" s="27" t="s">
        <v>60</v>
      </c>
    </row>
    <row r="72" spans="1:6" x14ac:dyDescent="0.3">
      <c r="A72" s="12">
        <v>3</v>
      </c>
      <c r="B72" s="15">
        <v>1</v>
      </c>
      <c r="C72" s="15" t="s">
        <v>81</v>
      </c>
      <c r="D72" s="15" t="s">
        <v>40</v>
      </c>
      <c r="E72" s="15" t="s">
        <v>9</v>
      </c>
      <c r="F72" s="15" t="s">
        <v>60</v>
      </c>
    </row>
    <row r="73" spans="1:6" x14ac:dyDescent="0.3">
      <c r="A73" s="28">
        <v>3</v>
      </c>
      <c r="B73" s="10">
        <v>1</v>
      </c>
      <c r="C73" s="10" t="s">
        <v>81</v>
      </c>
      <c r="D73" s="10" t="s">
        <v>29</v>
      </c>
      <c r="E73" s="27" t="s">
        <v>42</v>
      </c>
      <c r="F73" s="27" t="s">
        <v>53</v>
      </c>
    </row>
    <row r="74" spans="1:6" x14ac:dyDescent="0.3">
      <c r="A74" s="4">
        <v>4</v>
      </c>
      <c r="B74" s="11">
        <v>2</v>
      </c>
      <c r="C74" s="11" t="s">
        <v>80</v>
      </c>
      <c r="D74" s="11" t="s">
        <v>29</v>
      </c>
      <c r="E74" s="4" t="s">
        <v>42</v>
      </c>
      <c r="F74" s="4" t="s">
        <v>64</v>
      </c>
    </row>
    <row r="75" spans="1:6" x14ac:dyDescent="0.3">
      <c r="A75" s="15">
        <v>4</v>
      </c>
      <c r="B75" s="15">
        <v>1</v>
      </c>
      <c r="C75" s="15" t="s">
        <v>81</v>
      </c>
      <c r="D75" s="15" t="s">
        <v>0</v>
      </c>
      <c r="E75" s="15" t="s">
        <v>41</v>
      </c>
      <c r="F75" s="15" t="s">
        <v>72</v>
      </c>
    </row>
    <row r="76" spans="1:6" x14ac:dyDescent="0.3">
      <c r="A76" s="4">
        <v>4</v>
      </c>
      <c r="B76" s="4">
        <v>1</v>
      </c>
      <c r="C76" s="4" t="s">
        <v>81</v>
      </c>
      <c r="D76" s="4" t="s">
        <v>40</v>
      </c>
      <c r="E76" s="4" t="s">
        <v>9</v>
      </c>
      <c r="F76" s="4" t="s">
        <v>72</v>
      </c>
    </row>
    <row r="77" spans="1:6" x14ac:dyDescent="0.3">
      <c r="A77" s="15">
        <v>4</v>
      </c>
      <c r="B77" s="15">
        <v>1</v>
      </c>
      <c r="C77" s="15" t="s">
        <v>81</v>
      </c>
      <c r="D77" s="15" t="s">
        <v>0</v>
      </c>
      <c r="E77" s="15" t="s">
        <v>41</v>
      </c>
      <c r="F77" s="15" t="s">
        <v>67</v>
      </c>
    </row>
    <row r="78" spans="1:6" x14ac:dyDescent="0.3">
      <c r="A78" s="4">
        <v>4</v>
      </c>
      <c r="B78" s="4">
        <v>2</v>
      </c>
      <c r="C78" s="4" t="s">
        <v>80</v>
      </c>
      <c r="D78" s="4" t="s">
        <v>40</v>
      </c>
      <c r="E78" s="4" t="s">
        <v>10</v>
      </c>
      <c r="F78" s="4" t="s">
        <v>67</v>
      </c>
    </row>
    <row r="79" spans="1:6" x14ac:dyDescent="0.3">
      <c r="A79" s="15">
        <v>4</v>
      </c>
      <c r="B79" s="11">
        <v>1</v>
      </c>
      <c r="C79" s="11" t="s">
        <v>81</v>
      </c>
      <c r="D79" s="11" t="s">
        <v>29</v>
      </c>
      <c r="E79" s="15" t="s">
        <v>42</v>
      </c>
      <c r="F79" s="15" t="s">
        <v>62</v>
      </c>
    </row>
    <row r="80" spans="1:6" x14ac:dyDescent="0.3">
      <c r="A80" s="4">
        <v>4</v>
      </c>
      <c r="B80" s="4">
        <v>2</v>
      </c>
      <c r="C80" s="4" t="s">
        <v>80</v>
      </c>
      <c r="D80" s="4" t="s">
        <v>0</v>
      </c>
      <c r="E80" s="4" t="s">
        <v>41</v>
      </c>
      <c r="F80" s="4" t="s">
        <v>71</v>
      </c>
    </row>
    <row r="81" spans="1:6" x14ac:dyDescent="0.3">
      <c r="A81" s="15">
        <v>4</v>
      </c>
      <c r="B81" s="15">
        <v>2</v>
      </c>
      <c r="C81" s="15" t="s">
        <v>80</v>
      </c>
      <c r="D81" s="15" t="s">
        <v>40</v>
      </c>
      <c r="E81" s="15" t="s">
        <v>9</v>
      </c>
      <c r="F81" s="15" t="s">
        <v>71</v>
      </c>
    </row>
    <row r="82" spans="1:6" x14ac:dyDescent="0.3">
      <c r="A82" s="4">
        <v>4</v>
      </c>
      <c r="B82" s="4">
        <v>2</v>
      </c>
      <c r="C82" s="4" t="s">
        <v>80</v>
      </c>
      <c r="D82" s="4" t="s">
        <v>0</v>
      </c>
      <c r="E82" s="4" t="s">
        <v>41</v>
      </c>
      <c r="F82" s="4" t="s">
        <v>73</v>
      </c>
    </row>
    <row r="83" spans="1:6" x14ac:dyDescent="0.3">
      <c r="A83" s="15">
        <v>4</v>
      </c>
      <c r="B83" s="15">
        <v>1</v>
      </c>
      <c r="C83" s="15" t="s">
        <v>81</v>
      </c>
      <c r="D83" s="15" t="s">
        <v>40</v>
      </c>
      <c r="E83" s="15" t="s">
        <v>10</v>
      </c>
      <c r="F83" s="15" t="s">
        <v>73</v>
      </c>
    </row>
    <row r="84" spans="1:6" x14ac:dyDescent="0.3">
      <c r="A84" s="4">
        <v>4</v>
      </c>
      <c r="B84" s="11">
        <v>2</v>
      </c>
      <c r="C84" s="11" t="s">
        <v>80</v>
      </c>
      <c r="D84" s="11" t="s">
        <v>29</v>
      </c>
      <c r="E84" s="4" t="s">
        <v>42</v>
      </c>
      <c r="F84" s="4" t="s">
        <v>66</v>
      </c>
    </row>
    <row r="85" spans="1:6" x14ac:dyDescent="0.3">
      <c r="A85" s="15">
        <v>4</v>
      </c>
      <c r="B85" s="11">
        <v>1</v>
      </c>
      <c r="C85" s="11" t="s">
        <v>81</v>
      </c>
      <c r="D85" s="11" t="s">
        <v>29</v>
      </c>
      <c r="E85" s="15" t="s">
        <v>42</v>
      </c>
      <c r="F85" s="15" t="s">
        <v>65</v>
      </c>
    </row>
    <row r="86" spans="1:6" x14ac:dyDescent="0.3">
      <c r="A86" s="4">
        <v>4</v>
      </c>
      <c r="B86" s="11">
        <v>2</v>
      </c>
      <c r="C86" s="11" t="s">
        <v>80</v>
      </c>
      <c r="D86" s="11" t="s">
        <v>29</v>
      </c>
      <c r="E86" s="4" t="s">
        <v>42</v>
      </c>
      <c r="F86" s="4" t="s">
        <v>59</v>
      </c>
    </row>
    <row r="87" spans="1:6" x14ac:dyDescent="0.3">
      <c r="A87" s="15">
        <v>4</v>
      </c>
      <c r="B87" s="15">
        <v>1</v>
      </c>
      <c r="C87" s="15" t="s">
        <v>81</v>
      </c>
      <c r="D87" s="15" t="s">
        <v>0</v>
      </c>
      <c r="E87" s="15" t="s">
        <v>41</v>
      </c>
      <c r="F87" s="15" t="s">
        <v>68</v>
      </c>
    </row>
    <row r="88" spans="1:6" x14ac:dyDescent="0.3">
      <c r="A88" s="4">
        <v>4</v>
      </c>
      <c r="B88" s="4">
        <v>2</v>
      </c>
      <c r="C88" s="4" t="s">
        <v>80</v>
      </c>
      <c r="D88" s="4" t="s">
        <v>40</v>
      </c>
      <c r="E88" s="4" t="s">
        <v>10</v>
      </c>
      <c r="F88" s="4" t="s">
        <v>68</v>
      </c>
    </row>
    <row r="89" spans="1:6" x14ac:dyDescent="0.3">
      <c r="A89" s="15">
        <v>4</v>
      </c>
      <c r="B89" s="15">
        <v>2</v>
      </c>
      <c r="C89" s="15" t="s">
        <v>80</v>
      </c>
      <c r="D89" s="15" t="s">
        <v>0</v>
      </c>
      <c r="E89" s="15" t="s">
        <v>41</v>
      </c>
      <c r="F89" s="15" t="s">
        <v>74</v>
      </c>
    </row>
    <row r="90" spans="1:6" x14ac:dyDescent="0.3">
      <c r="A90" s="4">
        <v>4</v>
      </c>
      <c r="B90" s="4">
        <v>2</v>
      </c>
      <c r="C90" s="4" t="s">
        <v>80</v>
      </c>
      <c r="D90" s="4" t="s">
        <v>40</v>
      </c>
      <c r="E90" s="4" t="s">
        <v>9</v>
      </c>
      <c r="F90" s="4" t="s">
        <v>74</v>
      </c>
    </row>
    <row r="91" spans="1:6" x14ac:dyDescent="0.3">
      <c r="A91" s="15">
        <v>4</v>
      </c>
      <c r="B91" s="11">
        <v>1</v>
      </c>
      <c r="C91" s="11" t="s">
        <v>81</v>
      </c>
      <c r="D91" s="11" t="s">
        <v>29</v>
      </c>
      <c r="E91" s="15" t="s">
        <v>42</v>
      </c>
      <c r="F91" s="15" t="s">
        <v>61</v>
      </c>
    </row>
    <row r="92" spans="1:6" x14ac:dyDescent="0.3">
      <c r="A92" s="4">
        <v>4</v>
      </c>
      <c r="B92" s="4">
        <v>2</v>
      </c>
      <c r="C92" s="4" t="s">
        <v>80</v>
      </c>
      <c r="D92" s="4" t="s">
        <v>0</v>
      </c>
      <c r="E92" s="4" t="s">
        <v>41</v>
      </c>
      <c r="F92" s="4" t="s">
        <v>69</v>
      </c>
    </row>
    <row r="93" spans="1:6" x14ac:dyDescent="0.3">
      <c r="A93" s="15">
        <v>4</v>
      </c>
      <c r="B93" s="15">
        <v>1</v>
      </c>
      <c r="C93" s="15" t="s">
        <v>81</v>
      </c>
      <c r="D93" s="15" t="s">
        <v>40</v>
      </c>
      <c r="E93" s="15" t="s">
        <v>10</v>
      </c>
      <c r="F93" s="15" t="s">
        <v>69</v>
      </c>
    </row>
    <row r="94" spans="1:6" x14ac:dyDescent="0.3">
      <c r="A94" s="4">
        <v>4</v>
      </c>
      <c r="B94" s="4">
        <v>1</v>
      </c>
      <c r="C94" s="4" t="s">
        <v>81</v>
      </c>
      <c r="D94" s="4" t="s">
        <v>0</v>
      </c>
      <c r="E94" s="4" t="s">
        <v>41</v>
      </c>
      <c r="F94" s="4" t="s">
        <v>70</v>
      </c>
    </row>
    <row r="95" spans="1:6" x14ac:dyDescent="0.3">
      <c r="A95" s="15">
        <v>4</v>
      </c>
      <c r="B95" s="15">
        <v>1</v>
      </c>
      <c r="C95" s="15" t="s">
        <v>81</v>
      </c>
      <c r="D95" s="15" t="s">
        <v>40</v>
      </c>
      <c r="E95" s="15" t="s">
        <v>9</v>
      </c>
      <c r="F95" s="15" t="s">
        <v>70</v>
      </c>
    </row>
    <row r="96" spans="1:6" x14ac:dyDescent="0.3">
      <c r="A96" s="4">
        <v>4</v>
      </c>
      <c r="B96" s="11">
        <v>2</v>
      </c>
      <c r="C96" s="11" t="s">
        <v>80</v>
      </c>
      <c r="D96" s="11" t="s">
        <v>29</v>
      </c>
      <c r="E96" s="4" t="s">
        <v>42</v>
      </c>
      <c r="F96" s="4" t="s">
        <v>63</v>
      </c>
    </row>
    <row r="97" spans="1:11" x14ac:dyDescent="0.3">
      <c r="A97" s="15">
        <v>4</v>
      </c>
      <c r="B97" s="11">
        <v>1</v>
      </c>
      <c r="C97" s="11" t="s">
        <v>81</v>
      </c>
      <c r="D97" s="11" t="s">
        <v>29</v>
      </c>
      <c r="E97" s="15" t="s">
        <v>42</v>
      </c>
      <c r="F97" s="15" t="s">
        <v>60</v>
      </c>
    </row>
    <row r="98" spans="1:11" x14ac:dyDescent="0.3">
      <c r="A98" s="2" t="s">
        <v>25</v>
      </c>
      <c r="B98" s="2"/>
      <c r="C98" s="2"/>
      <c r="D98" s="2"/>
      <c r="E98" s="2"/>
      <c r="F98" s="2"/>
    </row>
    <row r="99" spans="1:11" x14ac:dyDescent="0.3">
      <c r="A99" s="12">
        <v>1</v>
      </c>
      <c r="B99" s="14">
        <v>2</v>
      </c>
      <c r="C99" s="13" t="s">
        <v>80</v>
      </c>
      <c r="D99" s="8" t="s">
        <v>29</v>
      </c>
      <c r="E99" s="15" t="s">
        <v>42</v>
      </c>
      <c r="F99" s="15" t="s">
        <v>69</v>
      </c>
    </row>
    <row r="100" spans="1:11" x14ac:dyDescent="0.3">
      <c r="A100" s="28">
        <v>1</v>
      </c>
      <c r="B100" s="27">
        <v>2</v>
      </c>
      <c r="C100" s="27" t="s">
        <v>80</v>
      </c>
      <c r="D100" s="27" t="s">
        <v>0</v>
      </c>
      <c r="E100" s="27" t="s">
        <v>41</v>
      </c>
      <c r="F100" s="27" t="s">
        <v>47</v>
      </c>
    </row>
    <row r="101" spans="1:11" x14ac:dyDescent="0.3">
      <c r="A101" s="12">
        <v>1</v>
      </c>
      <c r="B101" s="15">
        <v>2</v>
      </c>
      <c r="C101" s="15" t="s">
        <v>80</v>
      </c>
      <c r="D101" s="15" t="s">
        <v>40</v>
      </c>
      <c r="E101" s="15" t="s">
        <v>9</v>
      </c>
      <c r="F101" s="15" t="s">
        <v>47</v>
      </c>
    </row>
    <row r="102" spans="1:11" x14ac:dyDescent="0.3">
      <c r="A102" s="28">
        <v>1</v>
      </c>
      <c r="B102" s="14">
        <v>1</v>
      </c>
      <c r="C102" s="14" t="s">
        <v>81</v>
      </c>
      <c r="D102" s="8" t="s">
        <v>29</v>
      </c>
      <c r="E102" s="27" t="s">
        <v>42</v>
      </c>
      <c r="F102" s="27" t="s">
        <v>72</v>
      </c>
      <c r="K102" t="s">
        <v>19</v>
      </c>
    </row>
    <row r="103" spans="1:11" x14ac:dyDescent="0.3">
      <c r="A103" s="12">
        <v>1</v>
      </c>
      <c r="B103" s="14">
        <v>2</v>
      </c>
      <c r="C103" s="13" t="s">
        <v>80</v>
      </c>
      <c r="D103" s="8" t="s">
        <v>29</v>
      </c>
      <c r="E103" s="15" t="s">
        <v>42</v>
      </c>
      <c r="F103" s="15" t="s">
        <v>70</v>
      </c>
    </row>
    <row r="104" spans="1:11" x14ac:dyDescent="0.3">
      <c r="A104" s="28">
        <v>1</v>
      </c>
      <c r="B104" s="14">
        <v>1</v>
      </c>
      <c r="C104" s="14" t="s">
        <v>81</v>
      </c>
      <c r="D104" s="8" t="s">
        <v>29</v>
      </c>
      <c r="E104" s="27" t="s">
        <v>42</v>
      </c>
      <c r="F104" s="27" t="s">
        <v>74</v>
      </c>
    </row>
    <row r="105" spans="1:11" x14ac:dyDescent="0.3">
      <c r="A105" s="12">
        <v>1</v>
      </c>
      <c r="B105" s="15">
        <v>2</v>
      </c>
      <c r="C105" s="15" t="s">
        <v>80</v>
      </c>
      <c r="D105" s="15" t="s">
        <v>0</v>
      </c>
      <c r="E105" s="15" t="s">
        <v>41</v>
      </c>
      <c r="F105" s="15" t="s">
        <v>50</v>
      </c>
    </row>
    <row r="106" spans="1:11" x14ac:dyDescent="0.3">
      <c r="A106" s="28">
        <v>1</v>
      </c>
      <c r="B106" s="27">
        <v>2</v>
      </c>
      <c r="C106" s="15" t="s">
        <v>80</v>
      </c>
      <c r="D106" s="27" t="s">
        <v>40</v>
      </c>
      <c r="E106" s="27" t="s">
        <v>9</v>
      </c>
      <c r="F106" s="27" t="s">
        <v>50</v>
      </c>
    </row>
    <row r="107" spans="1:11" x14ac:dyDescent="0.3">
      <c r="A107" s="12">
        <v>1</v>
      </c>
      <c r="B107" s="15">
        <v>2</v>
      </c>
      <c r="C107" s="15" t="s">
        <v>80</v>
      </c>
      <c r="D107" s="15" t="s">
        <v>0</v>
      </c>
      <c r="E107" s="15" t="s">
        <v>41</v>
      </c>
      <c r="F107" s="15" t="s">
        <v>49</v>
      </c>
    </row>
    <row r="108" spans="1:11" x14ac:dyDescent="0.3">
      <c r="A108" s="28">
        <v>1</v>
      </c>
      <c r="B108" s="27">
        <v>1</v>
      </c>
      <c r="C108" s="27" t="s">
        <v>81</v>
      </c>
      <c r="D108" s="27" t="s">
        <v>40</v>
      </c>
      <c r="E108" s="27" t="s">
        <v>10</v>
      </c>
      <c r="F108" s="27" t="s">
        <v>49</v>
      </c>
    </row>
    <row r="109" spans="1:11" x14ac:dyDescent="0.3">
      <c r="A109" s="12">
        <v>1</v>
      </c>
      <c r="B109" s="14">
        <v>1</v>
      </c>
      <c r="C109" s="13" t="s">
        <v>81</v>
      </c>
      <c r="D109" s="8" t="s">
        <v>29</v>
      </c>
      <c r="E109" s="15" t="s">
        <v>42</v>
      </c>
      <c r="F109" s="15" t="s">
        <v>71</v>
      </c>
    </row>
    <row r="110" spans="1:11" x14ac:dyDescent="0.3">
      <c r="A110" s="28">
        <v>1</v>
      </c>
      <c r="B110" s="27">
        <v>1</v>
      </c>
      <c r="C110" s="27" t="s">
        <v>81</v>
      </c>
      <c r="D110" s="27" t="s">
        <v>0</v>
      </c>
      <c r="E110" s="27" t="s">
        <v>41</v>
      </c>
      <c r="F110" s="27" t="s">
        <v>45</v>
      </c>
    </row>
    <row r="111" spans="1:11" x14ac:dyDescent="0.3">
      <c r="A111" s="12">
        <v>1</v>
      </c>
      <c r="B111" s="15">
        <v>2</v>
      </c>
      <c r="C111" s="15" t="s">
        <v>80</v>
      </c>
      <c r="D111" s="15" t="s">
        <v>40</v>
      </c>
      <c r="E111" s="15" t="s">
        <v>10</v>
      </c>
      <c r="F111" s="15" t="s">
        <v>45</v>
      </c>
    </row>
    <row r="112" spans="1:11" x14ac:dyDescent="0.3">
      <c r="A112" s="28">
        <v>1</v>
      </c>
      <c r="B112" s="27">
        <v>2</v>
      </c>
      <c r="C112" s="27" t="s">
        <v>80</v>
      </c>
      <c r="D112" s="27" t="s">
        <v>0</v>
      </c>
      <c r="E112" s="27" t="s">
        <v>41</v>
      </c>
      <c r="F112" s="27" t="s">
        <v>44</v>
      </c>
    </row>
    <row r="113" spans="1:6" x14ac:dyDescent="0.3">
      <c r="A113" s="12">
        <v>1</v>
      </c>
      <c r="B113" s="15">
        <v>1</v>
      </c>
      <c r="C113" s="15" t="s">
        <v>81</v>
      </c>
      <c r="D113" s="15" t="s">
        <v>40</v>
      </c>
      <c r="E113" s="15" t="s">
        <v>10</v>
      </c>
      <c r="F113" s="15" t="s">
        <v>44</v>
      </c>
    </row>
    <row r="114" spans="1:6" x14ac:dyDescent="0.3">
      <c r="A114" s="28">
        <v>1</v>
      </c>
      <c r="B114" s="14">
        <v>2</v>
      </c>
      <c r="C114" s="14" t="s">
        <v>80</v>
      </c>
      <c r="D114" s="8" t="s">
        <v>29</v>
      </c>
      <c r="E114" s="27" t="s">
        <v>42</v>
      </c>
      <c r="F114" s="27" t="s">
        <v>68</v>
      </c>
    </row>
    <row r="115" spans="1:6" x14ac:dyDescent="0.3">
      <c r="A115" s="12">
        <v>1</v>
      </c>
      <c r="B115" s="15">
        <v>1</v>
      </c>
      <c r="C115" s="15" t="s">
        <v>81</v>
      </c>
      <c r="D115" s="15" t="s">
        <v>0</v>
      </c>
      <c r="E115" s="15" t="s">
        <v>41</v>
      </c>
      <c r="F115" s="15" t="s">
        <v>46</v>
      </c>
    </row>
    <row r="116" spans="1:6" x14ac:dyDescent="0.3">
      <c r="A116" s="28">
        <v>1</v>
      </c>
      <c r="B116" s="27">
        <v>1</v>
      </c>
      <c r="C116" s="15" t="s">
        <v>81</v>
      </c>
      <c r="D116" s="27" t="s">
        <v>40</v>
      </c>
      <c r="E116" s="27" t="s">
        <v>9</v>
      </c>
      <c r="F116" s="27" t="s">
        <v>46</v>
      </c>
    </row>
    <row r="117" spans="1:6" x14ac:dyDescent="0.3">
      <c r="A117" s="12">
        <v>1</v>
      </c>
      <c r="B117" s="14">
        <v>1</v>
      </c>
      <c r="C117" s="13" t="s">
        <v>81</v>
      </c>
      <c r="D117" s="8" t="s">
        <v>29</v>
      </c>
      <c r="E117" s="15" t="s">
        <v>42</v>
      </c>
      <c r="F117" s="15" t="s">
        <v>67</v>
      </c>
    </row>
    <row r="118" spans="1:6" x14ac:dyDescent="0.3">
      <c r="A118" s="28">
        <v>1</v>
      </c>
      <c r="B118" s="14">
        <v>2</v>
      </c>
      <c r="C118" s="14" t="s">
        <v>80</v>
      </c>
      <c r="D118" s="8" t="s">
        <v>29</v>
      </c>
      <c r="E118" s="27" t="s">
        <v>42</v>
      </c>
      <c r="F118" s="27" t="s">
        <v>73</v>
      </c>
    </row>
    <row r="119" spans="1:6" x14ac:dyDescent="0.3">
      <c r="A119" s="12">
        <v>1</v>
      </c>
      <c r="B119" s="15">
        <v>1</v>
      </c>
      <c r="C119" s="15" t="s">
        <v>81</v>
      </c>
      <c r="D119" s="15" t="s">
        <v>0</v>
      </c>
      <c r="E119" s="15" t="s">
        <v>41</v>
      </c>
      <c r="F119" s="15" t="s">
        <v>43</v>
      </c>
    </row>
    <row r="120" spans="1:6" x14ac:dyDescent="0.3">
      <c r="A120" s="28">
        <v>1</v>
      </c>
      <c r="B120" s="27">
        <v>1</v>
      </c>
      <c r="C120" s="15" t="s">
        <v>81</v>
      </c>
      <c r="D120" s="27" t="s">
        <v>40</v>
      </c>
      <c r="E120" s="27" t="s">
        <v>9</v>
      </c>
      <c r="F120" s="27" t="s">
        <v>43</v>
      </c>
    </row>
    <row r="121" spans="1:6" x14ac:dyDescent="0.3">
      <c r="A121" s="12">
        <v>1</v>
      </c>
      <c r="B121" s="15">
        <v>1</v>
      </c>
      <c r="C121" s="15" t="s">
        <v>81</v>
      </c>
      <c r="D121" s="15" t="s">
        <v>0</v>
      </c>
      <c r="E121" s="15" t="s">
        <v>41</v>
      </c>
      <c r="F121" s="15" t="s">
        <v>48</v>
      </c>
    </row>
    <row r="122" spans="1:6" x14ac:dyDescent="0.3">
      <c r="A122" s="28">
        <v>1</v>
      </c>
      <c r="B122" s="27">
        <v>2</v>
      </c>
      <c r="C122" s="27" t="s">
        <v>80</v>
      </c>
      <c r="D122" s="27" t="s">
        <v>40</v>
      </c>
      <c r="E122" s="27" t="s">
        <v>10</v>
      </c>
      <c r="F122" s="27" t="s">
        <v>48</v>
      </c>
    </row>
    <row r="123" spans="1:6" x14ac:dyDescent="0.3">
      <c r="A123" s="4">
        <v>2</v>
      </c>
      <c r="B123" s="4">
        <v>1</v>
      </c>
      <c r="C123" s="4" t="s">
        <v>81</v>
      </c>
      <c r="D123" s="4" t="s">
        <v>0</v>
      </c>
      <c r="E123" s="4" t="s">
        <v>41</v>
      </c>
      <c r="F123" s="4" t="s">
        <v>51</v>
      </c>
    </row>
    <row r="124" spans="1:6" x14ac:dyDescent="0.3">
      <c r="A124" s="15">
        <v>2</v>
      </c>
      <c r="B124" s="15">
        <v>1</v>
      </c>
      <c r="C124" s="15" t="s">
        <v>81</v>
      </c>
      <c r="D124" s="15" t="s">
        <v>40</v>
      </c>
      <c r="E124" s="15" t="s">
        <v>9</v>
      </c>
      <c r="F124" s="15" t="s">
        <v>51</v>
      </c>
    </row>
    <row r="125" spans="1:6" x14ac:dyDescent="0.3">
      <c r="A125" s="4">
        <v>2</v>
      </c>
      <c r="B125" s="9">
        <v>2</v>
      </c>
      <c r="C125" s="9" t="s">
        <v>80</v>
      </c>
      <c r="D125" s="9" t="s">
        <v>29</v>
      </c>
      <c r="E125" s="4" t="s">
        <v>42</v>
      </c>
      <c r="F125" s="4" t="s">
        <v>47</v>
      </c>
    </row>
    <row r="126" spans="1:6" x14ac:dyDescent="0.3">
      <c r="A126" s="15">
        <v>2</v>
      </c>
      <c r="B126" s="15">
        <v>1</v>
      </c>
      <c r="C126" s="15" t="s">
        <v>81</v>
      </c>
      <c r="D126" s="15" t="s">
        <v>0</v>
      </c>
      <c r="E126" s="15" t="s">
        <v>41</v>
      </c>
      <c r="F126" s="15" t="s">
        <v>55</v>
      </c>
    </row>
    <row r="127" spans="1:6" x14ac:dyDescent="0.3">
      <c r="A127" s="4">
        <v>2</v>
      </c>
      <c r="B127" s="4">
        <v>1</v>
      </c>
      <c r="C127" s="4" t="s">
        <v>81</v>
      </c>
      <c r="D127" s="4" t="s">
        <v>40</v>
      </c>
      <c r="E127" s="4" t="s">
        <v>9</v>
      </c>
      <c r="F127" s="4" t="s">
        <v>55</v>
      </c>
    </row>
    <row r="128" spans="1:6" x14ac:dyDescent="0.3">
      <c r="A128" s="15">
        <v>2</v>
      </c>
      <c r="B128" s="9">
        <v>2</v>
      </c>
      <c r="C128" s="9" t="s">
        <v>80</v>
      </c>
      <c r="D128" s="9" t="s">
        <v>29</v>
      </c>
      <c r="E128" s="15" t="s">
        <v>42</v>
      </c>
      <c r="F128" s="15" t="s">
        <v>50</v>
      </c>
    </row>
    <row r="129" spans="1:6" x14ac:dyDescent="0.3">
      <c r="A129" s="15">
        <v>2</v>
      </c>
      <c r="B129" s="15">
        <v>1</v>
      </c>
      <c r="C129" s="15" t="s">
        <v>81</v>
      </c>
      <c r="D129" s="15" t="s">
        <v>0</v>
      </c>
      <c r="E129" s="15" t="s">
        <v>41</v>
      </c>
      <c r="F129" s="15" t="s">
        <v>53</v>
      </c>
    </row>
    <row r="130" spans="1:6" x14ac:dyDescent="0.3">
      <c r="A130" s="27">
        <v>2</v>
      </c>
      <c r="B130" s="27">
        <v>1</v>
      </c>
      <c r="C130" s="27" t="s">
        <v>80</v>
      </c>
      <c r="D130" s="27" t="s">
        <v>40</v>
      </c>
      <c r="E130" s="27" t="s">
        <v>10</v>
      </c>
      <c r="F130" s="27" t="s">
        <v>53</v>
      </c>
    </row>
    <row r="131" spans="1:6" x14ac:dyDescent="0.3">
      <c r="A131" s="4">
        <v>2</v>
      </c>
      <c r="B131" s="4">
        <v>2</v>
      </c>
      <c r="C131" s="4" t="s">
        <v>80</v>
      </c>
      <c r="D131" s="4" t="s">
        <v>0</v>
      </c>
      <c r="E131" s="4" t="s">
        <v>41</v>
      </c>
      <c r="F131" s="4" t="s">
        <v>57</v>
      </c>
    </row>
    <row r="132" spans="1:6" x14ac:dyDescent="0.3">
      <c r="A132" s="15">
        <v>2</v>
      </c>
      <c r="B132" s="15">
        <v>1</v>
      </c>
      <c r="C132" s="15" t="s">
        <v>81</v>
      </c>
      <c r="D132" s="15" t="s">
        <v>40</v>
      </c>
      <c r="E132" s="15" t="s">
        <v>10</v>
      </c>
      <c r="F132" s="15" t="s">
        <v>57</v>
      </c>
    </row>
    <row r="133" spans="1:6" x14ac:dyDescent="0.3">
      <c r="A133" s="4">
        <v>2</v>
      </c>
      <c r="B133" s="9">
        <v>1</v>
      </c>
      <c r="C133" s="9" t="s">
        <v>81</v>
      </c>
      <c r="D133" s="9" t="s">
        <v>29</v>
      </c>
      <c r="E133" s="4" t="s">
        <v>42</v>
      </c>
      <c r="F133" s="4" t="s">
        <v>49</v>
      </c>
    </row>
    <row r="134" spans="1:6" x14ac:dyDescent="0.3">
      <c r="A134" s="15">
        <v>2</v>
      </c>
      <c r="B134" s="9">
        <v>2</v>
      </c>
      <c r="C134" s="9" t="s">
        <v>80</v>
      </c>
      <c r="D134" s="9" t="s">
        <v>29</v>
      </c>
      <c r="E134" s="15" t="s">
        <v>42</v>
      </c>
      <c r="F134" s="15" t="s">
        <v>45</v>
      </c>
    </row>
    <row r="135" spans="1:6" x14ac:dyDescent="0.3">
      <c r="A135" s="4">
        <v>2</v>
      </c>
      <c r="B135" s="9">
        <v>1</v>
      </c>
      <c r="C135" s="9" t="s">
        <v>81</v>
      </c>
      <c r="D135" s="9" t="s">
        <v>29</v>
      </c>
      <c r="E135" s="4" t="s">
        <v>42</v>
      </c>
      <c r="F135" s="4" t="s">
        <v>44</v>
      </c>
    </row>
    <row r="136" spans="1:6" x14ac:dyDescent="0.3">
      <c r="A136" s="15">
        <v>2</v>
      </c>
      <c r="B136" s="15">
        <v>1</v>
      </c>
      <c r="C136" s="15" t="s">
        <v>81</v>
      </c>
      <c r="D136" s="15" t="s">
        <v>0</v>
      </c>
      <c r="E136" s="15" t="s">
        <v>41</v>
      </c>
      <c r="F136" s="15" t="s">
        <v>52</v>
      </c>
    </row>
    <row r="137" spans="1:6" x14ac:dyDescent="0.3">
      <c r="A137" s="4">
        <v>2</v>
      </c>
      <c r="B137" s="4">
        <v>2</v>
      </c>
      <c r="C137" s="4" t="s">
        <v>80</v>
      </c>
      <c r="D137" s="4" t="s">
        <v>40</v>
      </c>
      <c r="E137" s="4" t="s">
        <v>10</v>
      </c>
      <c r="F137" s="4" t="s">
        <v>52</v>
      </c>
    </row>
    <row r="138" spans="1:6" x14ac:dyDescent="0.3">
      <c r="A138" s="15">
        <v>2</v>
      </c>
      <c r="B138" s="15">
        <v>2</v>
      </c>
      <c r="C138" s="15" t="s">
        <v>80</v>
      </c>
      <c r="D138" s="15" t="s">
        <v>0</v>
      </c>
      <c r="E138" s="15" t="s">
        <v>41</v>
      </c>
      <c r="F138" s="15" t="s">
        <v>56</v>
      </c>
    </row>
    <row r="139" spans="1:6" x14ac:dyDescent="0.3">
      <c r="A139" s="4">
        <v>2</v>
      </c>
      <c r="B139" s="4">
        <v>2</v>
      </c>
      <c r="C139" s="4" t="s">
        <v>80</v>
      </c>
      <c r="D139" s="4" t="s">
        <v>40</v>
      </c>
      <c r="E139" s="4" t="s">
        <v>9</v>
      </c>
      <c r="F139" s="4" t="s">
        <v>56</v>
      </c>
    </row>
    <row r="140" spans="1:6" x14ac:dyDescent="0.3">
      <c r="A140" s="15">
        <v>2</v>
      </c>
      <c r="B140" s="9">
        <v>1</v>
      </c>
      <c r="C140" s="9" t="s">
        <v>81</v>
      </c>
      <c r="D140" s="9" t="s">
        <v>29</v>
      </c>
      <c r="E140" s="15" t="s">
        <v>42</v>
      </c>
      <c r="F140" s="15" t="s">
        <v>46</v>
      </c>
    </row>
    <row r="141" spans="1:6" x14ac:dyDescent="0.3">
      <c r="A141" s="4">
        <v>2</v>
      </c>
      <c r="B141" s="4">
        <v>2</v>
      </c>
      <c r="C141" s="4" t="s">
        <v>80</v>
      </c>
      <c r="D141" s="4" t="s">
        <v>0</v>
      </c>
      <c r="E141" s="4" t="s">
        <v>41</v>
      </c>
      <c r="F141" s="4" t="s">
        <v>54</v>
      </c>
    </row>
    <row r="142" spans="1:6" x14ac:dyDescent="0.3">
      <c r="A142" s="15">
        <v>2</v>
      </c>
      <c r="B142" s="15">
        <v>2</v>
      </c>
      <c r="C142" s="15" t="s">
        <v>80</v>
      </c>
      <c r="D142" s="15" t="s">
        <v>40</v>
      </c>
      <c r="E142" s="15" t="s">
        <v>9</v>
      </c>
      <c r="F142" s="15" t="s">
        <v>54</v>
      </c>
    </row>
    <row r="143" spans="1:6" x14ac:dyDescent="0.3">
      <c r="A143" s="4">
        <v>2</v>
      </c>
      <c r="B143" s="9">
        <v>1</v>
      </c>
      <c r="C143" s="9" t="s">
        <v>81</v>
      </c>
      <c r="D143" s="9" t="s">
        <v>29</v>
      </c>
      <c r="E143" s="4" t="s">
        <v>42</v>
      </c>
      <c r="F143" s="4" t="s">
        <v>43</v>
      </c>
    </row>
    <row r="144" spans="1:6" x14ac:dyDescent="0.3">
      <c r="A144" s="15">
        <v>2</v>
      </c>
      <c r="B144" s="9">
        <v>2</v>
      </c>
      <c r="C144" s="9" t="s">
        <v>80</v>
      </c>
      <c r="D144" s="9" t="s">
        <v>29</v>
      </c>
      <c r="E144" s="15" t="s">
        <v>42</v>
      </c>
      <c r="F144" s="15" t="s">
        <v>48</v>
      </c>
    </row>
    <row r="145" spans="1:6" x14ac:dyDescent="0.3">
      <c r="A145" s="4">
        <v>2</v>
      </c>
      <c r="B145" s="4">
        <v>2</v>
      </c>
      <c r="C145" s="4" t="s">
        <v>80</v>
      </c>
      <c r="D145" s="4" t="s">
        <v>0</v>
      </c>
      <c r="E145" s="4" t="s">
        <v>41</v>
      </c>
      <c r="F145" s="4" t="s">
        <v>58</v>
      </c>
    </row>
    <row r="146" spans="1:6" x14ac:dyDescent="0.3">
      <c r="A146" s="15">
        <v>2</v>
      </c>
      <c r="B146" s="15">
        <v>1</v>
      </c>
      <c r="C146" s="15" t="s">
        <v>81</v>
      </c>
      <c r="D146" s="15" t="s">
        <v>40</v>
      </c>
      <c r="E146" s="15" t="s">
        <v>10</v>
      </c>
      <c r="F146" s="15" t="s">
        <v>58</v>
      </c>
    </row>
    <row r="147" spans="1:6" x14ac:dyDescent="0.3">
      <c r="A147" s="12">
        <v>3</v>
      </c>
      <c r="B147" s="15">
        <v>1</v>
      </c>
      <c r="C147" s="15" t="s">
        <v>81</v>
      </c>
      <c r="D147" s="15" t="s">
        <v>0</v>
      </c>
      <c r="E147" s="15" t="s">
        <v>41</v>
      </c>
      <c r="F147" s="15" t="s">
        <v>63</v>
      </c>
    </row>
    <row r="148" spans="1:6" x14ac:dyDescent="0.3">
      <c r="A148" s="28">
        <v>3</v>
      </c>
      <c r="B148" s="27">
        <v>2</v>
      </c>
      <c r="C148" s="27" t="s">
        <v>80</v>
      </c>
      <c r="D148" s="27" t="s">
        <v>40</v>
      </c>
      <c r="E148" s="27" t="s">
        <v>10</v>
      </c>
      <c r="F148" s="27" t="s">
        <v>63</v>
      </c>
    </row>
    <row r="149" spans="1:6" x14ac:dyDescent="0.3">
      <c r="A149" s="12">
        <v>3</v>
      </c>
      <c r="B149" s="15">
        <v>2</v>
      </c>
      <c r="C149" s="15" t="s">
        <v>80</v>
      </c>
      <c r="D149" s="15" t="s">
        <v>0</v>
      </c>
      <c r="E149" s="15" t="s">
        <v>41</v>
      </c>
      <c r="F149" s="15" t="s">
        <v>59</v>
      </c>
    </row>
    <row r="150" spans="1:6" x14ac:dyDescent="0.3">
      <c r="A150" s="28">
        <v>3</v>
      </c>
      <c r="B150" s="27">
        <v>1</v>
      </c>
      <c r="C150" s="27" t="s">
        <v>81</v>
      </c>
      <c r="D150" s="27" t="s">
        <v>40</v>
      </c>
      <c r="E150" s="27" t="s">
        <v>10</v>
      </c>
      <c r="F150" s="27" t="s">
        <v>59</v>
      </c>
    </row>
    <row r="151" spans="1:6" x14ac:dyDescent="0.3">
      <c r="A151" s="12">
        <v>3</v>
      </c>
      <c r="B151" s="10">
        <v>2</v>
      </c>
      <c r="C151" s="10" t="s">
        <v>80</v>
      </c>
      <c r="D151" s="10" t="s">
        <v>29</v>
      </c>
      <c r="E151" s="15" t="s">
        <v>42</v>
      </c>
      <c r="F151" s="15" t="s">
        <v>51</v>
      </c>
    </row>
    <row r="152" spans="1:6" x14ac:dyDescent="0.3">
      <c r="A152" s="28">
        <v>3</v>
      </c>
      <c r="B152" s="10">
        <v>1</v>
      </c>
      <c r="C152" s="10" t="s">
        <v>81</v>
      </c>
      <c r="D152" s="10" t="s">
        <v>29</v>
      </c>
      <c r="E152" s="27" t="s">
        <v>42</v>
      </c>
      <c r="F152" s="27" t="s">
        <v>55</v>
      </c>
    </row>
    <row r="153" spans="1:6" x14ac:dyDescent="0.3">
      <c r="A153" s="12">
        <v>3</v>
      </c>
      <c r="B153" s="15">
        <v>1</v>
      </c>
      <c r="C153" s="15" t="s">
        <v>81</v>
      </c>
      <c r="D153" s="15" t="s">
        <v>0</v>
      </c>
      <c r="E153" s="15" t="s">
        <v>41</v>
      </c>
      <c r="F153" s="15" t="s">
        <v>65</v>
      </c>
    </row>
    <row r="154" spans="1:6" x14ac:dyDescent="0.3">
      <c r="A154" s="28">
        <v>3</v>
      </c>
      <c r="B154" s="27">
        <v>2</v>
      </c>
      <c r="C154" s="27" t="s">
        <v>80</v>
      </c>
      <c r="D154" s="27" t="s">
        <v>40</v>
      </c>
      <c r="E154" s="27" t="s">
        <v>10</v>
      </c>
      <c r="F154" s="27" t="s">
        <v>65</v>
      </c>
    </row>
    <row r="155" spans="1:6" x14ac:dyDescent="0.3">
      <c r="A155" s="12">
        <v>3</v>
      </c>
      <c r="B155" s="10">
        <v>1</v>
      </c>
      <c r="C155" s="10" t="s">
        <v>81</v>
      </c>
      <c r="D155" s="10" t="s">
        <v>29</v>
      </c>
      <c r="E155" s="15" t="s">
        <v>42</v>
      </c>
      <c r="F155" s="15" t="s">
        <v>53</v>
      </c>
    </row>
    <row r="156" spans="1:6" x14ac:dyDescent="0.3">
      <c r="A156" s="28">
        <v>3</v>
      </c>
      <c r="B156" s="27">
        <v>2</v>
      </c>
      <c r="C156" s="27" t="s">
        <v>80</v>
      </c>
      <c r="D156" s="27" t="s">
        <v>0</v>
      </c>
      <c r="E156" s="27" t="s">
        <v>41</v>
      </c>
      <c r="F156" s="27" t="s">
        <v>61</v>
      </c>
    </row>
    <row r="157" spans="1:6" x14ac:dyDescent="0.3">
      <c r="A157" s="12">
        <v>3</v>
      </c>
      <c r="B157" s="15">
        <v>2</v>
      </c>
      <c r="C157" s="15" t="s">
        <v>80</v>
      </c>
      <c r="D157" s="15" t="s">
        <v>40</v>
      </c>
      <c r="E157" s="15" t="s">
        <v>9</v>
      </c>
      <c r="F157" s="15" t="s">
        <v>61</v>
      </c>
    </row>
    <row r="158" spans="1:6" x14ac:dyDescent="0.3">
      <c r="A158" s="28">
        <v>3</v>
      </c>
      <c r="B158" s="10">
        <v>1</v>
      </c>
      <c r="C158" s="10" t="s">
        <v>81</v>
      </c>
      <c r="D158" s="10" t="s">
        <v>29</v>
      </c>
      <c r="E158" s="27" t="s">
        <v>42</v>
      </c>
      <c r="F158" s="27" t="s">
        <v>57</v>
      </c>
    </row>
    <row r="159" spans="1:6" x14ac:dyDescent="0.3">
      <c r="A159" s="12">
        <v>3</v>
      </c>
      <c r="B159" s="10">
        <v>1</v>
      </c>
      <c r="C159" s="10" t="s">
        <v>81</v>
      </c>
      <c r="D159" s="10" t="s">
        <v>29</v>
      </c>
      <c r="E159" s="15" t="s">
        <v>42</v>
      </c>
      <c r="F159" s="15" t="s">
        <v>52</v>
      </c>
    </row>
    <row r="160" spans="1:6" x14ac:dyDescent="0.3">
      <c r="A160" s="28">
        <v>3</v>
      </c>
      <c r="B160" s="27">
        <v>2</v>
      </c>
      <c r="C160" s="27" t="s">
        <v>80</v>
      </c>
      <c r="D160" s="27" t="s">
        <v>0</v>
      </c>
      <c r="E160" s="27" t="s">
        <v>41</v>
      </c>
      <c r="F160" s="27" t="s">
        <v>60</v>
      </c>
    </row>
    <row r="161" spans="1:6" x14ac:dyDescent="0.3">
      <c r="A161" s="12">
        <v>3</v>
      </c>
      <c r="B161" s="15">
        <v>2</v>
      </c>
      <c r="C161" s="15" t="s">
        <v>80</v>
      </c>
      <c r="D161" s="15" t="s">
        <v>40</v>
      </c>
      <c r="E161" s="15" t="s">
        <v>9</v>
      </c>
      <c r="F161" s="15" t="s">
        <v>60</v>
      </c>
    </row>
    <row r="162" spans="1:6" x14ac:dyDescent="0.3">
      <c r="A162" s="28">
        <v>3</v>
      </c>
      <c r="B162" s="27">
        <v>2</v>
      </c>
      <c r="C162" s="27" t="s">
        <v>80</v>
      </c>
      <c r="D162" s="27" t="s">
        <v>0</v>
      </c>
      <c r="E162" s="27" t="s">
        <v>41</v>
      </c>
      <c r="F162" s="27" t="s">
        <v>66</v>
      </c>
    </row>
    <row r="163" spans="1:6" x14ac:dyDescent="0.3">
      <c r="A163" s="12">
        <v>3</v>
      </c>
      <c r="B163" s="15">
        <v>1</v>
      </c>
      <c r="C163" s="15" t="s">
        <v>81</v>
      </c>
      <c r="D163" s="15" t="s">
        <v>40</v>
      </c>
      <c r="E163" s="15" t="s">
        <v>10</v>
      </c>
      <c r="F163" s="15" t="s">
        <v>66</v>
      </c>
    </row>
    <row r="164" spans="1:6" x14ac:dyDescent="0.3">
      <c r="A164" s="28">
        <v>3</v>
      </c>
      <c r="B164" s="10">
        <v>2</v>
      </c>
      <c r="C164" s="10" t="s">
        <v>80</v>
      </c>
      <c r="D164" s="10" t="s">
        <v>29</v>
      </c>
      <c r="E164" s="27" t="s">
        <v>42</v>
      </c>
      <c r="F164" s="27" t="s">
        <v>56</v>
      </c>
    </row>
    <row r="165" spans="1:6" x14ac:dyDescent="0.3">
      <c r="A165" s="12">
        <v>3</v>
      </c>
      <c r="B165" s="10">
        <v>2</v>
      </c>
      <c r="C165" s="10" t="s">
        <v>80</v>
      </c>
      <c r="D165" s="10" t="s">
        <v>29</v>
      </c>
      <c r="E165" s="15" t="s">
        <v>42</v>
      </c>
      <c r="F165" s="15" t="s">
        <v>54</v>
      </c>
    </row>
    <row r="166" spans="1:6" x14ac:dyDescent="0.3">
      <c r="A166" s="28">
        <v>3</v>
      </c>
      <c r="B166" s="27">
        <v>1</v>
      </c>
      <c r="C166" s="27" t="s">
        <v>81</v>
      </c>
      <c r="D166" s="27" t="s">
        <v>0</v>
      </c>
      <c r="E166" s="27" t="s">
        <v>41</v>
      </c>
      <c r="F166" s="27" t="s">
        <v>64</v>
      </c>
    </row>
    <row r="167" spans="1:6" x14ac:dyDescent="0.3">
      <c r="A167" s="12">
        <v>3</v>
      </c>
      <c r="B167" s="15">
        <v>1</v>
      </c>
      <c r="C167" s="15" t="s">
        <v>81</v>
      </c>
      <c r="D167" s="15" t="s">
        <v>40</v>
      </c>
      <c r="E167" s="15" t="s">
        <v>9</v>
      </c>
      <c r="F167" s="15" t="s">
        <v>64</v>
      </c>
    </row>
    <row r="168" spans="1:6" x14ac:dyDescent="0.3">
      <c r="A168" s="28">
        <v>3</v>
      </c>
      <c r="B168" s="10">
        <v>2</v>
      </c>
      <c r="C168" s="10" t="s">
        <v>80</v>
      </c>
      <c r="D168" s="10" t="s">
        <v>29</v>
      </c>
      <c r="E168" s="27" t="s">
        <v>42</v>
      </c>
      <c r="F168" s="27" t="s">
        <v>58</v>
      </c>
    </row>
    <row r="169" spans="1:6" x14ac:dyDescent="0.3">
      <c r="A169" s="12">
        <v>3</v>
      </c>
      <c r="B169" s="15">
        <v>1</v>
      </c>
      <c r="C169" s="15" t="s">
        <v>81</v>
      </c>
      <c r="D169" s="15" t="s">
        <v>0</v>
      </c>
      <c r="E169" s="15" t="s">
        <v>41</v>
      </c>
      <c r="F169" s="15" t="s">
        <v>62</v>
      </c>
    </row>
    <row r="170" spans="1:6" x14ac:dyDescent="0.3">
      <c r="A170" s="28">
        <v>3</v>
      </c>
      <c r="B170" s="27">
        <v>1</v>
      </c>
      <c r="C170" s="27" t="s">
        <v>81</v>
      </c>
      <c r="D170" s="27" t="s">
        <v>40</v>
      </c>
      <c r="E170" s="27" t="s">
        <v>9</v>
      </c>
      <c r="F170" s="27" t="s">
        <v>62</v>
      </c>
    </row>
    <row r="171" spans="1:6" x14ac:dyDescent="0.3">
      <c r="A171" s="4">
        <v>4</v>
      </c>
      <c r="B171" s="11">
        <v>2</v>
      </c>
      <c r="C171" s="11" t="s">
        <v>80</v>
      </c>
      <c r="D171" s="11" t="s">
        <v>29</v>
      </c>
      <c r="E171" s="4" t="s">
        <v>42</v>
      </c>
      <c r="F171" s="4" t="s">
        <v>63</v>
      </c>
    </row>
    <row r="172" spans="1:6" x14ac:dyDescent="0.3">
      <c r="A172" s="15">
        <v>4</v>
      </c>
      <c r="B172" s="11">
        <v>2</v>
      </c>
      <c r="C172" s="11" t="s">
        <v>80</v>
      </c>
      <c r="D172" s="11" t="s">
        <v>29</v>
      </c>
      <c r="E172" s="15" t="s">
        <v>42</v>
      </c>
      <c r="F172" s="15" t="s">
        <v>59</v>
      </c>
    </row>
    <row r="173" spans="1:6" x14ac:dyDescent="0.3">
      <c r="A173" s="4">
        <v>4</v>
      </c>
      <c r="B173" s="4">
        <v>1</v>
      </c>
      <c r="C173" s="4" t="s">
        <v>81</v>
      </c>
      <c r="D173" s="4" t="s">
        <v>0</v>
      </c>
      <c r="E173" s="4" t="s">
        <v>41</v>
      </c>
      <c r="F173" s="4" t="s">
        <v>69</v>
      </c>
    </row>
    <row r="174" spans="1:6" x14ac:dyDescent="0.3">
      <c r="A174" s="15">
        <v>4</v>
      </c>
      <c r="B174" s="15">
        <v>1</v>
      </c>
      <c r="C174" s="15" t="s">
        <v>81</v>
      </c>
      <c r="D174" s="15" t="s">
        <v>40</v>
      </c>
      <c r="E174" s="15" t="s">
        <v>9</v>
      </c>
      <c r="F174" s="15" t="s">
        <v>69</v>
      </c>
    </row>
    <row r="175" spans="1:6" x14ac:dyDescent="0.3">
      <c r="A175" s="4">
        <v>4</v>
      </c>
      <c r="B175" s="4">
        <v>1</v>
      </c>
      <c r="C175" s="4" t="s">
        <v>81</v>
      </c>
      <c r="D175" s="4" t="s">
        <v>0</v>
      </c>
      <c r="E175" s="4" t="s">
        <v>41</v>
      </c>
      <c r="F175" s="4" t="s">
        <v>72</v>
      </c>
    </row>
    <row r="176" spans="1:6" x14ac:dyDescent="0.3">
      <c r="A176" s="15">
        <v>4</v>
      </c>
      <c r="B176" s="15">
        <v>2</v>
      </c>
      <c r="C176" s="15" t="s">
        <v>80</v>
      </c>
      <c r="D176" s="15" t="s">
        <v>40</v>
      </c>
      <c r="E176" s="15" t="s">
        <v>10</v>
      </c>
      <c r="F176" s="15" t="s">
        <v>72</v>
      </c>
    </row>
    <row r="177" spans="1:6" x14ac:dyDescent="0.3">
      <c r="A177" s="4">
        <v>4</v>
      </c>
      <c r="B177" s="11">
        <v>1</v>
      </c>
      <c r="C177" s="11" t="s">
        <v>81</v>
      </c>
      <c r="D177" s="11" t="s">
        <v>29</v>
      </c>
      <c r="E177" s="4" t="s">
        <v>42</v>
      </c>
      <c r="F177" s="4" t="s">
        <v>65</v>
      </c>
    </row>
    <row r="178" spans="1:6" x14ac:dyDescent="0.3">
      <c r="A178" s="15">
        <v>4</v>
      </c>
      <c r="B178" s="15">
        <v>2</v>
      </c>
      <c r="C178" s="15" t="s">
        <v>80</v>
      </c>
      <c r="D178" s="15" t="s">
        <v>0</v>
      </c>
      <c r="E178" s="15" t="s">
        <v>41</v>
      </c>
      <c r="F178" s="15" t="s">
        <v>70</v>
      </c>
    </row>
    <row r="179" spans="1:6" x14ac:dyDescent="0.3">
      <c r="A179" s="4">
        <v>4</v>
      </c>
      <c r="B179" s="4">
        <v>2</v>
      </c>
      <c r="C179" s="4" t="s">
        <v>80</v>
      </c>
      <c r="D179" s="4" t="s">
        <v>40</v>
      </c>
      <c r="E179" s="4" t="s">
        <v>9</v>
      </c>
      <c r="F179" s="4" t="s">
        <v>70</v>
      </c>
    </row>
    <row r="180" spans="1:6" x14ac:dyDescent="0.3">
      <c r="A180" s="15">
        <v>4</v>
      </c>
      <c r="B180" s="15">
        <v>2</v>
      </c>
      <c r="C180" s="15" t="s">
        <v>80</v>
      </c>
      <c r="D180" s="15" t="s">
        <v>0</v>
      </c>
      <c r="E180" s="15" t="s">
        <v>41</v>
      </c>
      <c r="F180" s="15" t="s">
        <v>74</v>
      </c>
    </row>
    <row r="181" spans="1:6" x14ac:dyDescent="0.3">
      <c r="A181" s="4">
        <v>4</v>
      </c>
      <c r="B181" s="4">
        <v>1</v>
      </c>
      <c r="C181" s="4" t="s">
        <v>81</v>
      </c>
      <c r="D181" s="4" t="s">
        <v>40</v>
      </c>
      <c r="E181" s="4" t="s">
        <v>10</v>
      </c>
      <c r="F181" s="4" t="s">
        <v>74</v>
      </c>
    </row>
    <row r="182" spans="1:6" x14ac:dyDescent="0.3">
      <c r="A182" s="15">
        <v>4</v>
      </c>
      <c r="B182" s="11">
        <v>2</v>
      </c>
      <c r="C182" s="11" t="s">
        <v>80</v>
      </c>
      <c r="D182" s="11" t="s">
        <v>29</v>
      </c>
      <c r="E182" s="15" t="s">
        <v>42</v>
      </c>
      <c r="F182" s="15" t="s">
        <v>61</v>
      </c>
    </row>
    <row r="183" spans="1:6" x14ac:dyDescent="0.3">
      <c r="A183" s="4">
        <v>4</v>
      </c>
      <c r="B183" s="4">
        <v>1</v>
      </c>
      <c r="C183" s="4" t="s">
        <v>81</v>
      </c>
      <c r="D183" s="4" t="s">
        <v>0</v>
      </c>
      <c r="E183" s="4" t="s">
        <v>41</v>
      </c>
      <c r="F183" s="4" t="s">
        <v>71</v>
      </c>
    </row>
    <row r="184" spans="1:6" x14ac:dyDescent="0.3">
      <c r="A184" s="15">
        <v>4</v>
      </c>
      <c r="B184" s="15">
        <v>2</v>
      </c>
      <c r="C184" s="15" t="s">
        <v>80</v>
      </c>
      <c r="D184" s="15" t="s">
        <v>40</v>
      </c>
      <c r="E184" s="15" t="s">
        <v>10</v>
      </c>
      <c r="F184" s="15" t="s">
        <v>71</v>
      </c>
    </row>
    <row r="185" spans="1:6" x14ac:dyDescent="0.3">
      <c r="A185" s="4">
        <v>4</v>
      </c>
      <c r="B185" s="4">
        <v>2</v>
      </c>
      <c r="C185" s="4" t="s">
        <v>80</v>
      </c>
      <c r="D185" s="4" t="s">
        <v>0</v>
      </c>
      <c r="E185" s="4" t="s">
        <v>41</v>
      </c>
      <c r="F185" s="4" t="s">
        <v>68</v>
      </c>
    </row>
    <row r="186" spans="1:6" x14ac:dyDescent="0.3">
      <c r="A186" s="15">
        <v>4</v>
      </c>
      <c r="B186" s="15">
        <v>2</v>
      </c>
      <c r="C186" s="15" t="s">
        <v>80</v>
      </c>
      <c r="D186" s="15" t="s">
        <v>40</v>
      </c>
      <c r="E186" s="15" t="s">
        <v>9</v>
      </c>
      <c r="F186" s="15" t="s">
        <v>68</v>
      </c>
    </row>
    <row r="187" spans="1:6" x14ac:dyDescent="0.3">
      <c r="A187" s="15">
        <v>4</v>
      </c>
      <c r="B187" s="11">
        <v>1</v>
      </c>
      <c r="C187" s="11" t="s">
        <v>81</v>
      </c>
      <c r="D187" s="11" t="s">
        <v>29</v>
      </c>
      <c r="E187" s="15" t="s">
        <v>42</v>
      </c>
      <c r="F187" s="15" t="s">
        <v>60</v>
      </c>
    </row>
    <row r="188" spans="1:6" x14ac:dyDescent="0.3">
      <c r="A188" s="4">
        <v>4</v>
      </c>
      <c r="B188" s="11">
        <v>1</v>
      </c>
      <c r="C188" s="11" t="s">
        <v>81</v>
      </c>
      <c r="D188" s="11" t="s">
        <v>29</v>
      </c>
      <c r="E188" s="4" t="s">
        <v>42</v>
      </c>
      <c r="F188" s="4" t="s">
        <v>66</v>
      </c>
    </row>
    <row r="189" spans="1:6" x14ac:dyDescent="0.3">
      <c r="A189" s="4">
        <v>4</v>
      </c>
      <c r="B189" s="4">
        <v>2</v>
      </c>
      <c r="C189" s="4" t="s">
        <v>80</v>
      </c>
      <c r="D189" s="4" t="s">
        <v>0</v>
      </c>
      <c r="E189" s="4" t="s">
        <v>41</v>
      </c>
      <c r="F189" s="4" t="s">
        <v>67</v>
      </c>
    </row>
    <row r="190" spans="1:6" x14ac:dyDescent="0.3">
      <c r="A190" s="15">
        <v>4</v>
      </c>
      <c r="B190" s="15">
        <v>1</v>
      </c>
      <c r="C190" s="15" t="s">
        <v>81</v>
      </c>
      <c r="D190" s="15" t="s">
        <v>40</v>
      </c>
      <c r="E190" s="15" t="s">
        <v>10</v>
      </c>
      <c r="F190" s="15" t="s">
        <v>67</v>
      </c>
    </row>
    <row r="191" spans="1:6" x14ac:dyDescent="0.3">
      <c r="A191" s="4">
        <v>4</v>
      </c>
      <c r="B191" s="4">
        <v>1</v>
      </c>
      <c r="C191" s="4" t="s">
        <v>81</v>
      </c>
      <c r="D191" s="4" t="s">
        <v>0</v>
      </c>
      <c r="E191" s="4" t="s">
        <v>41</v>
      </c>
      <c r="F191" s="4" t="s">
        <v>73</v>
      </c>
    </row>
    <row r="192" spans="1:6" x14ac:dyDescent="0.3">
      <c r="A192" s="15">
        <v>4</v>
      </c>
      <c r="B192" s="15">
        <v>1</v>
      </c>
      <c r="C192" s="15" t="s">
        <v>81</v>
      </c>
      <c r="D192" s="15" t="s">
        <v>40</v>
      </c>
      <c r="E192" s="15" t="s">
        <v>9</v>
      </c>
      <c r="F192" s="15" t="s">
        <v>73</v>
      </c>
    </row>
    <row r="193" spans="1:6" x14ac:dyDescent="0.3">
      <c r="A193" s="4">
        <v>4</v>
      </c>
      <c r="B193" s="11">
        <v>2</v>
      </c>
      <c r="C193" s="11" t="s">
        <v>80</v>
      </c>
      <c r="D193" s="11" t="s">
        <v>29</v>
      </c>
      <c r="E193" s="4" t="s">
        <v>42</v>
      </c>
      <c r="F193" s="4" t="s">
        <v>64</v>
      </c>
    </row>
    <row r="194" spans="1:6" x14ac:dyDescent="0.3">
      <c r="A194" s="30">
        <v>4</v>
      </c>
      <c r="B194" s="31">
        <v>1</v>
      </c>
      <c r="C194" s="31" t="s">
        <v>81</v>
      </c>
      <c r="D194" s="31" t="s">
        <v>29</v>
      </c>
      <c r="E194" s="30" t="s">
        <v>42</v>
      </c>
      <c r="F194" s="30" t="s">
        <v>62</v>
      </c>
    </row>
    <row r="195" spans="1:6" x14ac:dyDescent="0.3">
      <c r="A195" s="2" t="s">
        <v>25</v>
      </c>
      <c r="B195" s="2"/>
      <c r="C195" s="2"/>
      <c r="D195" s="2"/>
      <c r="E195" s="2"/>
      <c r="F195" s="2"/>
    </row>
    <row r="196" spans="1:6" x14ac:dyDescent="0.3">
      <c r="A196" s="12">
        <v>1</v>
      </c>
      <c r="B196" s="12">
        <v>2</v>
      </c>
      <c r="C196" s="12" t="s">
        <v>80</v>
      </c>
      <c r="D196" s="15" t="s">
        <v>0</v>
      </c>
      <c r="E196" s="15" t="s">
        <v>41</v>
      </c>
      <c r="F196" s="15" t="s">
        <v>43</v>
      </c>
    </row>
    <row r="197" spans="1:6" x14ac:dyDescent="0.3">
      <c r="A197" s="7">
        <v>1</v>
      </c>
      <c r="B197" s="7">
        <v>2</v>
      </c>
      <c r="C197" s="7" t="s">
        <v>80</v>
      </c>
      <c r="D197" s="4" t="s">
        <v>40</v>
      </c>
      <c r="E197" s="4" t="s">
        <v>9</v>
      </c>
      <c r="F197" s="4" t="s">
        <v>43</v>
      </c>
    </row>
    <row r="198" spans="1:6" x14ac:dyDescent="0.3">
      <c r="A198" s="12">
        <v>1</v>
      </c>
      <c r="B198" s="14">
        <v>1</v>
      </c>
      <c r="C198" s="13" t="s">
        <v>81</v>
      </c>
      <c r="D198" s="8" t="s">
        <v>29</v>
      </c>
      <c r="E198" s="15" t="s">
        <v>42</v>
      </c>
      <c r="F198" s="15" t="s">
        <v>74</v>
      </c>
    </row>
    <row r="199" spans="1:6" x14ac:dyDescent="0.3">
      <c r="A199" s="7">
        <v>1</v>
      </c>
      <c r="B199" s="7">
        <v>2</v>
      </c>
      <c r="C199" s="7" t="s">
        <v>80</v>
      </c>
      <c r="D199" s="4" t="s">
        <v>0</v>
      </c>
      <c r="E199" s="4" t="s">
        <v>41</v>
      </c>
      <c r="F199" s="4" t="s">
        <v>44</v>
      </c>
    </row>
    <row r="200" spans="1:6" x14ac:dyDescent="0.3">
      <c r="A200" s="12">
        <v>1</v>
      </c>
      <c r="B200" s="12">
        <v>2</v>
      </c>
      <c r="C200" s="12" t="s">
        <v>80</v>
      </c>
      <c r="D200" s="15" t="s">
        <v>40</v>
      </c>
      <c r="E200" s="15" t="s">
        <v>9</v>
      </c>
      <c r="F200" s="15" t="s">
        <v>44</v>
      </c>
    </row>
    <row r="201" spans="1:6" x14ac:dyDescent="0.3">
      <c r="A201" s="7">
        <v>1</v>
      </c>
      <c r="B201" s="14">
        <v>1</v>
      </c>
      <c r="C201" s="14" t="s">
        <v>81</v>
      </c>
      <c r="D201" s="8" t="s">
        <v>29</v>
      </c>
      <c r="E201" s="4" t="s">
        <v>42</v>
      </c>
      <c r="F201" s="4" t="s">
        <v>73</v>
      </c>
    </row>
    <row r="202" spans="1:6" x14ac:dyDescent="0.3">
      <c r="A202" s="12">
        <v>1</v>
      </c>
      <c r="B202" s="12">
        <v>2</v>
      </c>
      <c r="C202" s="12" t="s">
        <v>80</v>
      </c>
      <c r="D202" s="15" t="s">
        <v>0</v>
      </c>
      <c r="E202" s="15" t="s">
        <v>41</v>
      </c>
      <c r="F202" s="15" t="s">
        <v>45</v>
      </c>
    </row>
    <row r="203" spans="1:6" x14ac:dyDescent="0.3">
      <c r="A203" s="7">
        <v>1</v>
      </c>
      <c r="B203" s="7">
        <v>1</v>
      </c>
      <c r="C203" s="7" t="s">
        <v>81</v>
      </c>
      <c r="D203" s="4" t="s">
        <v>40</v>
      </c>
      <c r="E203" s="4" t="s">
        <v>10</v>
      </c>
      <c r="F203" s="4" t="s">
        <v>45</v>
      </c>
    </row>
    <row r="204" spans="1:6" x14ac:dyDescent="0.3">
      <c r="A204" s="12">
        <v>1</v>
      </c>
      <c r="B204" s="12">
        <v>1</v>
      </c>
      <c r="C204" s="12" t="s">
        <v>81</v>
      </c>
      <c r="D204" s="15" t="s">
        <v>0</v>
      </c>
      <c r="E204" s="15" t="s">
        <v>41</v>
      </c>
      <c r="F204" s="15" t="s">
        <v>46</v>
      </c>
    </row>
    <row r="205" spans="1:6" x14ac:dyDescent="0.3">
      <c r="A205" s="7">
        <v>1</v>
      </c>
      <c r="B205" s="7">
        <v>2</v>
      </c>
      <c r="C205" s="7" t="s">
        <v>80</v>
      </c>
      <c r="D205" s="4" t="s">
        <v>40</v>
      </c>
      <c r="E205" s="4" t="s">
        <v>10</v>
      </c>
      <c r="F205" s="4" t="s">
        <v>46</v>
      </c>
    </row>
    <row r="206" spans="1:6" x14ac:dyDescent="0.3">
      <c r="A206" s="12">
        <v>1</v>
      </c>
      <c r="B206" s="14">
        <v>2</v>
      </c>
      <c r="C206" s="13" t="s">
        <v>80</v>
      </c>
      <c r="D206" s="8" t="s">
        <v>29</v>
      </c>
      <c r="E206" s="15" t="s">
        <v>42</v>
      </c>
      <c r="F206" s="15" t="s">
        <v>72</v>
      </c>
    </row>
    <row r="207" spans="1:6" x14ac:dyDescent="0.3">
      <c r="A207" s="7">
        <v>1</v>
      </c>
      <c r="B207" s="7">
        <v>2</v>
      </c>
      <c r="C207" s="7" t="s">
        <v>80</v>
      </c>
      <c r="D207" s="4" t="s">
        <v>0</v>
      </c>
      <c r="E207" s="4" t="s">
        <v>41</v>
      </c>
      <c r="F207" s="4" t="s">
        <v>47</v>
      </c>
    </row>
    <row r="208" spans="1:6" x14ac:dyDescent="0.3">
      <c r="A208" s="12">
        <v>1</v>
      </c>
      <c r="B208" s="12">
        <v>1</v>
      </c>
      <c r="C208" s="12" t="s">
        <v>81</v>
      </c>
      <c r="D208" s="15" t="s">
        <v>40</v>
      </c>
      <c r="E208" s="15" t="s">
        <v>10</v>
      </c>
      <c r="F208" s="15" t="s">
        <v>47</v>
      </c>
    </row>
    <row r="209" spans="1:6" x14ac:dyDescent="0.3">
      <c r="A209" s="7">
        <v>1</v>
      </c>
      <c r="B209" s="14">
        <v>2</v>
      </c>
      <c r="C209" s="14" t="s">
        <v>80</v>
      </c>
      <c r="D209" s="8" t="s">
        <v>29</v>
      </c>
      <c r="E209" s="4" t="s">
        <v>42</v>
      </c>
      <c r="F209" s="4" t="s">
        <v>71</v>
      </c>
    </row>
    <row r="210" spans="1:6" x14ac:dyDescent="0.3">
      <c r="A210" s="12">
        <v>1</v>
      </c>
      <c r="B210" s="12">
        <v>1</v>
      </c>
      <c r="C210" s="12" t="s">
        <v>81</v>
      </c>
      <c r="D210" s="15" t="s">
        <v>0</v>
      </c>
      <c r="E210" s="15" t="s">
        <v>41</v>
      </c>
      <c r="F210" s="15" t="s">
        <v>48</v>
      </c>
    </row>
    <row r="211" spans="1:6" x14ac:dyDescent="0.3">
      <c r="A211" s="7">
        <v>1</v>
      </c>
      <c r="B211" s="7">
        <v>1</v>
      </c>
      <c r="C211" s="7" t="s">
        <v>81</v>
      </c>
      <c r="D211" s="4" t="s">
        <v>40</v>
      </c>
      <c r="E211" s="4" t="s">
        <v>9</v>
      </c>
      <c r="F211" s="4" t="s">
        <v>48</v>
      </c>
    </row>
    <row r="212" spans="1:6" x14ac:dyDescent="0.3">
      <c r="A212" s="12">
        <v>1</v>
      </c>
      <c r="B212" s="14">
        <v>2</v>
      </c>
      <c r="C212" s="13" t="s">
        <v>80</v>
      </c>
      <c r="D212" s="8" t="s">
        <v>29</v>
      </c>
      <c r="E212" s="15" t="s">
        <v>42</v>
      </c>
      <c r="F212" s="15" t="s">
        <v>70</v>
      </c>
    </row>
    <row r="213" spans="1:6" x14ac:dyDescent="0.3">
      <c r="A213" s="7">
        <v>1</v>
      </c>
      <c r="B213" s="7">
        <v>1</v>
      </c>
      <c r="C213" s="7" t="s">
        <v>81</v>
      </c>
      <c r="D213" s="4" t="s">
        <v>0</v>
      </c>
      <c r="E213" s="4" t="s">
        <v>41</v>
      </c>
      <c r="F213" s="4" t="s">
        <v>49</v>
      </c>
    </row>
    <row r="214" spans="1:6" x14ac:dyDescent="0.3">
      <c r="A214" s="12">
        <v>1</v>
      </c>
      <c r="B214" s="12">
        <v>1</v>
      </c>
      <c r="C214" s="12" t="s">
        <v>81</v>
      </c>
      <c r="D214" s="15" t="s">
        <v>40</v>
      </c>
      <c r="E214" s="15" t="s">
        <v>9</v>
      </c>
      <c r="F214" s="15" t="s">
        <v>49</v>
      </c>
    </row>
    <row r="215" spans="1:6" x14ac:dyDescent="0.3">
      <c r="A215" s="7">
        <v>1</v>
      </c>
      <c r="B215" s="14">
        <v>2</v>
      </c>
      <c r="C215" s="14" t="s">
        <v>80</v>
      </c>
      <c r="D215" s="8" t="s">
        <v>29</v>
      </c>
      <c r="E215" s="4" t="s">
        <v>42</v>
      </c>
      <c r="F215" s="4" t="s">
        <v>69</v>
      </c>
    </row>
    <row r="216" spans="1:6" x14ac:dyDescent="0.3">
      <c r="A216" s="12">
        <v>1</v>
      </c>
      <c r="B216" s="12">
        <v>1</v>
      </c>
      <c r="C216" s="12" t="s">
        <v>81</v>
      </c>
      <c r="D216" s="15" t="s">
        <v>0</v>
      </c>
      <c r="E216" s="15" t="s">
        <v>41</v>
      </c>
      <c r="F216" s="15" t="s">
        <v>50</v>
      </c>
    </row>
    <row r="217" spans="1:6" x14ac:dyDescent="0.3">
      <c r="A217" s="7">
        <v>1</v>
      </c>
      <c r="B217" s="7">
        <v>2</v>
      </c>
      <c r="C217" s="7" t="s">
        <v>80</v>
      </c>
      <c r="D217" s="4" t="s">
        <v>40</v>
      </c>
      <c r="E217" s="4" t="s">
        <v>10</v>
      </c>
      <c r="F217" s="4" t="s">
        <v>50</v>
      </c>
    </row>
    <row r="218" spans="1:6" x14ac:dyDescent="0.3">
      <c r="A218" s="12">
        <v>1</v>
      </c>
      <c r="B218" s="14">
        <v>1</v>
      </c>
      <c r="C218" s="13" t="s">
        <v>81</v>
      </c>
      <c r="D218" s="8" t="s">
        <v>29</v>
      </c>
      <c r="E218" s="15" t="s">
        <v>42</v>
      </c>
      <c r="F218" s="15" t="s">
        <v>68</v>
      </c>
    </row>
    <row r="219" spans="1:6" x14ac:dyDescent="0.3">
      <c r="A219" s="7">
        <v>1</v>
      </c>
      <c r="B219" s="14">
        <v>1</v>
      </c>
      <c r="C219" s="14" t="s">
        <v>81</v>
      </c>
      <c r="D219" s="8" t="s">
        <v>29</v>
      </c>
      <c r="E219" s="4" t="s">
        <v>42</v>
      </c>
      <c r="F219" s="4" t="s">
        <v>67</v>
      </c>
    </row>
    <row r="220" spans="1:6" x14ac:dyDescent="0.3">
      <c r="A220" s="27">
        <v>2</v>
      </c>
      <c r="B220" s="9">
        <v>2</v>
      </c>
      <c r="C220" s="9" t="s">
        <v>80</v>
      </c>
      <c r="D220" s="9" t="s">
        <v>29</v>
      </c>
      <c r="E220" s="27" t="s">
        <v>42</v>
      </c>
      <c r="F220" s="27" t="s">
        <v>43</v>
      </c>
    </row>
    <row r="221" spans="1:6" x14ac:dyDescent="0.3">
      <c r="A221" s="15">
        <v>2</v>
      </c>
      <c r="B221" s="12">
        <v>1</v>
      </c>
      <c r="C221" s="12" t="s">
        <v>81</v>
      </c>
      <c r="D221" s="15" t="s">
        <v>0</v>
      </c>
      <c r="E221" s="15" t="s">
        <v>41</v>
      </c>
      <c r="F221" s="15" t="s">
        <v>58</v>
      </c>
    </row>
    <row r="222" spans="1:6" x14ac:dyDescent="0.3">
      <c r="A222" s="27">
        <v>2</v>
      </c>
      <c r="B222" s="28">
        <v>1</v>
      </c>
      <c r="C222" s="28" t="s">
        <v>81</v>
      </c>
      <c r="D222" s="27" t="s">
        <v>40</v>
      </c>
      <c r="E222" s="27" t="s">
        <v>9</v>
      </c>
      <c r="F222" s="27" t="s">
        <v>58</v>
      </c>
    </row>
    <row r="223" spans="1:6" x14ac:dyDescent="0.3">
      <c r="A223" s="15">
        <v>2</v>
      </c>
      <c r="B223" s="9">
        <v>2</v>
      </c>
      <c r="C223" s="9" t="s">
        <v>80</v>
      </c>
      <c r="D223" s="9" t="s">
        <v>29</v>
      </c>
      <c r="E223" s="15" t="s">
        <v>42</v>
      </c>
      <c r="F223" s="15" t="s">
        <v>44</v>
      </c>
    </row>
    <row r="224" spans="1:6" x14ac:dyDescent="0.3">
      <c r="A224" s="15">
        <v>2</v>
      </c>
      <c r="B224" s="12">
        <v>1</v>
      </c>
      <c r="C224" s="28" t="s">
        <v>81</v>
      </c>
      <c r="D224" s="15" t="s">
        <v>0</v>
      </c>
      <c r="E224" s="15" t="s">
        <v>41</v>
      </c>
      <c r="F224" s="15" t="s">
        <v>57</v>
      </c>
    </row>
    <row r="225" spans="1:6" x14ac:dyDescent="0.3">
      <c r="A225" s="4">
        <v>2</v>
      </c>
      <c r="B225" s="7">
        <v>1</v>
      </c>
      <c r="C225" s="7" t="s">
        <v>81</v>
      </c>
      <c r="D225" s="4" t="s">
        <v>40</v>
      </c>
      <c r="E225" s="4" t="s">
        <v>9</v>
      </c>
      <c r="F225" s="4" t="s">
        <v>57</v>
      </c>
    </row>
    <row r="226" spans="1:6" x14ac:dyDescent="0.3">
      <c r="A226" s="15">
        <v>2</v>
      </c>
      <c r="B226" s="12">
        <v>1</v>
      </c>
      <c r="C226" s="28" t="s">
        <v>81</v>
      </c>
      <c r="D226" s="15" t="s">
        <v>0</v>
      </c>
      <c r="E226" s="15" t="s">
        <v>41</v>
      </c>
      <c r="F226" s="15" t="s">
        <v>56</v>
      </c>
    </row>
    <row r="227" spans="1:6" x14ac:dyDescent="0.3">
      <c r="A227" s="4">
        <v>2</v>
      </c>
      <c r="B227" s="7">
        <v>2</v>
      </c>
      <c r="C227" s="7" t="s">
        <v>80</v>
      </c>
      <c r="D227" s="4" t="s">
        <v>40</v>
      </c>
      <c r="E227" s="4" t="s">
        <v>10</v>
      </c>
      <c r="F227" s="4" t="s">
        <v>56</v>
      </c>
    </row>
    <row r="228" spans="1:6" x14ac:dyDescent="0.3">
      <c r="A228" s="15">
        <v>2</v>
      </c>
      <c r="B228" s="12">
        <v>2</v>
      </c>
      <c r="C228" s="28" t="s">
        <v>80</v>
      </c>
      <c r="D228" s="15" t="s">
        <v>0</v>
      </c>
      <c r="E228" s="15" t="s">
        <v>41</v>
      </c>
      <c r="F228" s="15" t="s">
        <v>55</v>
      </c>
    </row>
    <row r="229" spans="1:6" x14ac:dyDescent="0.3">
      <c r="A229" s="4">
        <v>2</v>
      </c>
      <c r="B229" s="7">
        <v>1</v>
      </c>
      <c r="C229" s="7" t="s">
        <v>81</v>
      </c>
      <c r="D229" s="4" t="s">
        <v>40</v>
      </c>
      <c r="E229" s="4" t="s">
        <v>10</v>
      </c>
      <c r="F229" s="4" t="s">
        <v>55</v>
      </c>
    </row>
    <row r="230" spans="1:6" x14ac:dyDescent="0.3">
      <c r="A230" s="27">
        <v>2</v>
      </c>
      <c r="B230" s="9">
        <v>2</v>
      </c>
      <c r="C230" s="9" t="s">
        <v>80</v>
      </c>
      <c r="D230" s="9" t="s">
        <v>29</v>
      </c>
      <c r="E230" s="27" t="s">
        <v>42</v>
      </c>
      <c r="F230" s="27" t="s">
        <v>45</v>
      </c>
    </row>
    <row r="231" spans="1:6" x14ac:dyDescent="0.3">
      <c r="A231" s="15">
        <v>2</v>
      </c>
      <c r="B231" s="12">
        <v>1</v>
      </c>
      <c r="C231" s="7" t="s">
        <v>81</v>
      </c>
      <c r="D231" s="15" t="s">
        <v>0</v>
      </c>
      <c r="E231" s="15" t="s">
        <v>41</v>
      </c>
      <c r="F231" s="15" t="s">
        <v>54</v>
      </c>
    </row>
    <row r="232" spans="1:6" x14ac:dyDescent="0.3">
      <c r="A232" s="27">
        <v>2</v>
      </c>
      <c r="B232" s="28">
        <v>2</v>
      </c>
      <c r="C232" s="28" t="s">
        <v>80</v>
      </c>
      <c r="D232" s="27" t="s">
        <v>40</v>
      </c>
      <c r="E232" s="27" t="s">
        <v>10</v>
      </c>
      <c r="F232" s="27" t="s">
        <v>54</v>
      </c>
    </row>
    <row r="233" spans="1:6" x14ac:dyDescent="0.3">
      <c r="A233" s="15">
        <v>2</v>
      </c>
      <c r="B233" s="9">
        <v>1</v>
      </c>
      <c r="C233" s="9" t="s">
        <v>81</v>
      </c>
      <c r="D233" s="9" t="s">
        <v>29</v>
      </c>
      <c r="E233" s="15" t="s">
        <v>42</v>
      </c>
      <c r="F233" s="15" t="s">
        <v>46</v>
      </c>
    </row>
    <row r="234" spans="1:6" x14ac:dyDescent="0.3">
      <c r="A234" s="27">
        <v>2</v>
      </c>
      <c r="B234" s="9">
        <v>1</v>
      </c>
      <c r="C234" s="9" t="s">
        <v>81</v>
      </c>
      <c r="D234" s="9" t="s">
        <v>29</v>
      </c>
      <c r="E234" s="27" t="s">
        <v>42</v>
      </c>
      <c r="F234" s="27" t="s">
        <v>47</v>
      </c>
    </row>
    <row r="235" spans="1:6" x14ac:dyDescent="0.3">
      <c r="A235" s="15">
        <v>2</v>
      </c>
      <c r="B235" s="12">
        <v>2</v>
      </c>
      <c r="C235" s="12" t="s">
        <v>80</v>
      </c>
      <c r="D235" s="15" t="s">
        <v>0</v>
      </c>
      <c r="E235" s="15" t="s">
        <v>41</v>
      </c>
      <c r="F235" s="15" t="s">
        <v>53</v>
      </c>
    </row>
    <row r="236" spans="1:6" x14ac:dyDescent="0.3">
      <c r="A236" s="27">
        <v>2</v>
      </c>
      <c r="B236" s="28">
        <v>2</v>
      </c>
      <c r="C236" s="28" t="s">
        <v>80</v>
      </c>
      <c r="D236" s="27" t="s">
        <v>40</v>
      </c>
      <c r="E236" s="27" t="s">
        <v>9</v>
      </c>
      <c r="F236" s="27" t="s">
        <v>53</v>
      </c>
    </row>
    <row r="237" spans="1:6" x14ac:dyDescent="0.3">
      <c r="A237" s="15">
        <v>2</v>
      </c>
      <c r="B237" s="9">
        <v>1</v>
      </c>
      <c r="C237" s="9" t="s">
        <v>81</v>
      </c>
      <c r="D237" s="9" t="s">
        <v>29</v>
      </c>
      <c r="E237" s="15" t="s">
        <v>42</v>
      </c>
      <c r="F237" s="15" t="s">
        <v>48</v>
      </c>
    </row>
    <row r="238" spans="1:6" x14ac:dyDescent="0.3">
      <c r="A238" s="27">
        <v>2</v>
      </c>
      <c r="B238" s="28">
        <v>2</v>
      </c>
      <c r="C238" s="28" t="s">
        <v>80</v>
      </c>
      <c r="D238" s="27" t="s">
        <v>0</v>
      </c>
      <c r="E238" s="27" t="s">
        <v>41</v>
      </c>
      <c r="F238" s="27" t="s">
        <v>52</v>
      </c>
    </row>
    <row r="239" spans="1:6" x14ac:dyDescent="0.3">
      <c r="A239" s="15">
        <v>2</v>
      </c>
      <c r="B239" s="12">
        <v>2</v>
      </c>
      <c r="C239" s="12" t="s">
        <v>80</v>
      </c>
      <c r="D239" s="15" t="s">
        <v>40</v>
      </c>
      <c r="E239" s="15" t="s">
        <v>9</v>
      </c>
      <c r="F239" s="15" t="s">
        <v>52</v>
      </c>
    </row>
    <row r="240" spans="1:6" x14ac:dyDescent="0.3">
      <c r="A240" s="27">
        <v>2</v>
      </c>
      <c r="B240" s="9">
        <v>2</v>
      </c>
      <c r="C240" s="9" t="s">
        <v>80</v>
      </c>
      <c r="D240" s="9" t="s">
        <v>29</v>
      </c>
      <c r="E240" s="27" t="s">
        <v>42</v>
      </c>
      <c r="F240" s="27" t="s">
        <v>49</v>
      </c>
    </row>
    <row r="241" spans="1:6" x14ac:dyDescent="0.3">
      <c r="A241" s="15">
        <v>2</v>
      </c>
      <c r="B241" s="9">
        <v>1</v>
      </c>
      <c r="C241" s="9" t="s">
        <v>81</v>
      </c>
      <c r="D241" s="9" t="s">
        <v>29</v>
      </c>
      <c r="E241" s="15" t="s">
        <v>42</v>
      </c>
      <c r="F241" s="15" t="s">
        <v>50</v>
      </c>
    </row>
    <row r="242" spans="1:6" x14ac:dyDescent="0.3">
      <c r="A242" s="27">
        <v>2</v>
      </c>
      <c r="B242" s="28">
        <v>2</v>
      </c>
      <c r="C242" s="28" t="s">
        <v>80</v>
      </c>
      <c r="D242" s="27" t="s">
        <v>0</v>
      </c>
      <c r="E242" s="27" t="s">
        <v>41</v>
      </c>
      <c r="F242" s="27" t="s">
        <v>51</v>
      </c>
    </row>
    <row r="243" spans="1:6" x14ac:dyDescent="0.3">
      <c r="A243" s="15">
        <v>2</v>
      </c>
      <c r="B243" s="12">
        <v>1</v>
      </c>
      <c r="C243" s="12" t="s">
        <v>81</v>
      </c>
      <c r="D243" s="15" t="s">
        <v>40</v>
      </c>
      <c r="E243" s="15" t="s">
        <v>10</v>
      </c>
      <c r="F243" s="15" t="s">
        <v>51</v>
      </c>
    </row>
    <row r="244" spans="1:6" x14ac:dyDescent="0.3">
      <c r="A244" s="12">
        <v>3</v>
      </c>
      <c r="B244" s="12">
        <v>1</v>
      </c>
      <c r="C244" s="12" t="s">
        <v>81</v>
      </c>
      <c r="D244" s="15" t="s">
        <v>0</v>
      </c>
      <c r="E244" s="15" t="s">
        <v>41</v>
      </c>
      <c r="F244" s="15" t="s">
        <v>59</v>
      </c>
    </row>
    <row r="245" spans="1:6" x14ac:dyDescent="0.3">
      <c r="A245" s="7">
        <v>3</v>
      </c>
      <c r="B245" s="7">
        <v>2</v>
      </c>
      <c r="C245" s="7" t="s">
        <v>80</v>
      </c>
      <c r="D245" s="4" t="s">
        <v>40</v>
      </c>
      <c r="E245" s="4" t="s">
        <v>10</v>
      </c>
      <c r="F245" s="4" t="s">
        <v>59</v>
      </c>
    </row>
    <row r="246" spans="1:6" x14ac:dyDescent="0.3">
      <c r="A246" s="12">
        <v>3</v>
      </c>
      <c r="B246" s="12">
        <v>2</v>
      </c>
      <c r="C246" s="12" t="s">
        <v>80</v>
      </c>
      <c r="D246" s="15" t="s">
        <v>0</v>
      </c>
      <c r="E246" s="15" t="s">
        <v>41</v>
      </c>
      <c r="F246" s="15" t="s">
        <v>60</v>
      </c>
    </row>
    <row r="247" spans="1:6" x14ac:dyDescent="0.3">
      <c r="A247" s="7">
        <v>3</v>
      </c>
      <c r="B247" s="7">
        <v>1</v>
      </c>
      <c r="C247" s="7" t="s">
        <v>81</v>
      </c>
      <c r="D247" s="4" t="s">
        <v>40</v>
      </c>
      <c r="E247" s="4" t="s">
        <v>10</v>
      </c>
      <c r="F247" s="4" t="s">
        <v>60</v>
      </c>
    </row>
    <row r="248" spans="1:6" x14ac:dyDescent="0.3">
      <c r="A248" s="12">
        <v>3</v>
      </c>
      <c r="B248" s="10">
        <v>1</v>
      </c>
      <c r="C248" s="10" t="s">
        <v>81</v>
      </c>
      <c r="D248" s="10" t="s">
        <v>29</v>
      </c>
      <c r="E248" s="15" t="s">
        <v>42</v>
      </c>
      <c r="F248" s="15" t="s">
        <v>58</v>
      </c>
    </row>
    <row r="249" spans="1:6" x14ac:dyDescent="0.3">
      <c r="A249" s="7">
        <v>3</v>
      </c>
      <c r="B249" s="7">
        <v>1</v>
      </c>
      <c r="C249" s="7" t="s">
        <v>81</v>
      </c>
      <c r="D249" s="4" t="s">
        <v>0</v>
      </c>
      <c r="E249" s="4" t="s">
        <v>41</v>
      </c>
      <c r="F249" s="4" t="s">
        <v>61</v>
      </c>
    </row>
    <row r="250" spans="1:6" x14ac:dyDescent="0.3">
      <c r="A250" s="12">
        <v>3</v>
      </c>
      <c r="B250" s="12">
        <v>2</v>
      </c>
      <c r="C250" s="12" t="s">
        <v>80</v>
      </c>
      <c r="D250" s="15" t="s">
        <v>40</v>
      </c>
      <c r="E250" s="15" t="s">
        <v>10</v>
      </c>
      <c r="F250" s="15" t="s">
        <v>61</v>
      </c>
    </row>
    <row r="251" spans="1:6" x14ac:dyDescent="0.3">
      <c r="A251" s="7">
        <v>3</v>
      </c>
      <c r="B251" s="10">
        <v>1</v>
      </c>
      <c r="C251" s="10" t="s">
        <v>81</v>
      </c>
      <c r="D251" s="10" t="s">
        <v>29</v>
      </c>
      <c r="E251" s="4" t="s">
        <v>42</v>
      </c>
      <c r="F251" s="4" t="s">
        <v>57</v>
      </c>
    </row>
    <row r="252" spans="1:6" x14ac:dyDescent="0.3">
      <c r="A252" s="12">
        <v>3</v>
      </c>
      <c r="B252" s="12">
        <v>2</v>
      </c>
      <c r="C252" s="12" t="s">
        <v>80</v>
      </c>
      <c r="D252" s="15" t="s">
        <v>0</v>
      </c>
      <c r="E252" s="15" t="s">
        <v>41</v>
      </c>
      <c r="F252" s="15" t="s">
        <v>62</v>
      </c>
    </row>
    <row r="253" spans="1:6" x14ac:dyDescent="0.3">
      <c r="A253" s="7">
        <v>3</v>
      </c>
      <c r="B253" s="7">
        <v>2</v>
      </c>
      <c r="C253" s="7" t="s">
        <v>80</v>
      </c>
      <c r="D253" s="4" t="s">
        <v>40</v>
      </c>
      <c r="E253" s="4" t="s">
        <v>9</v>
      </c>
      <c r="F253" s="4" t="s">
        <v>62</v>
      </c>
    </row>
    <row r="254" spans="1:6" x14ac:dyDescent="0.3">
      <c r="A254" s="12">
        <v>3</v>
      </c>
      <c r="B254" s="10">
        <v>2</v>
      </c>
      <c r="C254" s="10" t="s">
        <v>80</v>
      </c>
      <c r="D254" s="10" t="s">
        <v>29</v>
      </c>
      <c r="E254" s="15" t="s">
        <v>42</v>
      </c>
      <c r="F254" s="15" t="s">
        <v>56</v>
      </c>
    </row>
    <row r="255" spans="1:6" x14ac:dyDescent="0.3">
      <c r="A255" s="7">
        <v>3</v>
      </c>
      <c r="B255" s="10">
        <v>1</v>
      </c>
      <c r="C255" s="10" t="s">
        <v>81</v>
      </c>
      <c r="D255" s="10" t="s">
        <v>29</v>
      </c>
      <c r="E255" s="4" t="s">
        <v>42</v>
      </c>
      <c r="F255" s="4" t="s">
        <v>55</v>
      </c>
    </row>
    <row r="256" spans="1:6" x14ac:dyDescent="0.3">
      <c r="A256" s="12">
        <v>3</v>
      </c>
      <c r="B256" s="10">
        <v>1</v>
      </c>
      <c r="C256" s="10" t="s">
        <v>81</v>
      </c>
      <c r="D256" s="10" t="s">
        <v>29</v>
      </c>
      <c r="E256" s="15" t="s">
        <v>42</v>
      </c>
      <c r="F256" s="15" t="s">
        <v>54</v>
      </c>
    </row>
    <row r="257" spans="1:6" x14ac:dyDescent="0.3">
      <c r="A257" s="7">
        <v>3</v>
      </c>
      <c r="B257" s="7">
        <v>2</v>
      </c>
      <c r="C257" s="7" t="s">
        <v>80</v>
      </c>
      <c r="D257" s="4" t="s">
        <v>0</v>
      </c>
      <c r="E257" s="4" t="s">
        <v>41</v>
      </c>
      <c r="F257" s="4" t="s">
        <v>63</v>
      </c>
    </row>
    <row r="258" spans="1:6" x14ac:dyDescent="0.3">
      <c r="A258" s="12">
        <v>3</v>
      </c>
      <c r="B258" s="12">
        <v>2</v>
      </c>
      <c r="C258" s="12" t="s">
        <v>80</v>
      </c>
      <c r="D258" s="15" t="s">
        <v>40</v>
      </c>
      <c r="E258" s="15" t="s">
        <v>9</v>
      </c>
      <c r="F258" s="15" t="s">
        <v>63</v>
      </c>
    </row>
    <row r="259" spans="1:6" x14ac:dyDescent="0.3">
      <c r="A259" s="7">
        <v>3</v>
      </c>
      <c r="B259" s="7">
        <v>2</v>
      </c>
      <c r="C259" s="7" t="s">
        <v>80</v>
      </c>
      <c r="D259" s="4" t="s">
        <v>0</v>
      </c>
      <c r="E259" s="4" t="s">
        <v>41</v>
      </c>
      <c r="F259" s="4" t="s">
        <v>64</v>
      </c>
    </row>
    <row r="260" spans="1:6" x14ac:dyDescent="0.3">
      <c r="A260" s="12">
        <v>3</v>
      </c>
      <c r="B260" s="12">
        <v>1</v>
      </c>
      <c r="C260" s="12" t="s">
        <v>81</v>
      </c>
      <c r="D260" s="15" t="s">
        <v>40</v>
      </c>
      <c r="E260" s="15" t="s">
        <v>10</v>
      </c>
      <c r="F260" s="15" t="s">
        <v>64</v>
      </c>
    </row>
    <row r="261" spans="1:6" x14ac:dyDescent="0.3">
      <c r="A261" s="7">
        <v>3</v>
      </c>
      <c r="B261" s="10">
        <v>2</v>
      </c>
      <c r="C261" s="10" t="s">
        <v>80</v>
      </c>
      <c r="D261" s="10" t="s">
        <v>29</v>
      </c>
      <c r="E261" s="4" t="s">
        <v>42</v>
      </c>
      <c r="F261" s="4" t="s">
        <v>53</v>
      </c>
    </row>
    <row r="262" spans="1:6" x14ac:dyDescent="0.3">
      <c r="A262" s="12">
        <v>3</v>
      </c>
      <c r="B262" s="12">
        <v>1</v>
      </c>
      <c r="C262" s="12" t="s">
        <v>81</v>
      </c>
      <c r="D262" s="15" t="s">
        <v>0</v>
      </c>
      <c r="E262" s="15" t="s">
        <v>41</v>
      </c>
      <c r="F262" s="15" t="s">
        <v>65</v>
      </c>
    </row>
    <row r="263" spans="1:6" x14ac:dyDescent="0.3">
      <c r="A263" s="7">
        <v>3</v>
      </c>
      <c r="B263" s="7">
        <v>1</v>
      </c>
      <c r="C263" s="7" t="s">
        <v>81</v>
      </c>
      <c r="D263" s="4" t="s">
        <v>40</v>
      </c>
      <c r="E263" s="4" t="s">
        <v>9</v>
      </c>
      <c r="F263" s="4" t="s">
        <v>65</v>
      </c>
    </row>
    <row r="264" spans="1:6" x14ac:dyDescent="0.3">
      <c r="A264" s="12">
        <v>3</v>
      </c>
      <c r="B264" s="10">
        <v>2</v>
      </c>
      <c r="C264" s="10" t="s">
        <v>80</v>
      </c>
      <c r="D264" s="10" t="s">
        <v>29</v>
      </c>
      <c r="E264" s="15" t="s">
        <v>42</v>
      </c>
      <c r="F264" s="15" t="s">
        <v>52</v>
      </c>
    </row>
    <row r="265" spans="1:6" x14ac:dyDescent="0.3">
      <c r="A265" s="7">
        <v>3</v>
      </c>
      <c r="B265" s="10">
        <v>2</v>
      </c>
      <c r="C265" s="10" t="s">
        <v>80</v>
      </c>
      <c r="D265" s="10" t="s">
        <v>29</v>
      </c>
      <c r="E265" s="4" t="s">
        <v>42</v>
      </c>
      <c r="F265" s="4" t="s">
        <v>51</v>
      </c>
    </row>
    <row r="266" spans="1:6" x14ac:dyDescent="0.3">
      <c r="A266" s="12">
        <v>3</v>
      </c>
      <c r="B266" s="12">
        <v>1</v>
      </c>
      <c r="C266" s="12" t="s">
        <v>81</v>
      </c>
      <c r="D266" s="15" t="s">
        <v>0</v>
      </c>
      <c r="E266" s="15" t="s">
        <v>41</v>
      </c>
      <c r="F266" s="15" t="s">
        <v>66</v>
      </c>
    </row>
    <row r="267" spans="1:6" x14ac:dyDescent="0.3">
      <c r="A267" s="7">
        <v>3</v>
      </c>
      <c r="B267" s="7">
        <v>1</v>
      </c>
      <c r="C267" s="7" t="s">
        <v>81</v>
      </c>
      <c r="D267" s="4" t="s">
        <v>40</v>
      </c>
      <c r="E267" s="4" t="s">
        <v>9</v>
      </c>
      <c r="F267" s="4" t="s">
        <v>66</v>
      </c>
    </row>
    <row r="268" spans="1:6" x14ac:dyDescent="0.3">
      <c r="A268" s="27">
        <v>4</v>
      </c>
      <c r="B268" s="11">
        <v>2</v>
      </c>
      <c r="C268" s="11" t="s">
        <v>80</v>
      </c>
      <c r="D268" s="11" t="s">
        <v>29</v>
      </c>
      <c r="E268" s="27" t="s">
        <v>42</v>
      </c>
      <c r="F268" s="27" t="s">
        <v>59</v>
      </c>
    </row>
    <row r="269" spans="1:6" x14ac:dyDescent="0.3">
      <c r="A269" s="15">
        <v>4</v>
      </c>
      <c r="B269" s="12">
        <v>1</v>
      </c>
      <c r="C269" s="12" t="s">
        <v>81</v>
      </c>
      <c r="D269" s="15" t="s">
        <v>0</v>
      </c>
      <c r="E269" s="15" t="s">
        <v>41</v>
      </c>
      <c r="F269" s="15" t="s">
        <v>74</v>
      </c>
    </row>
    <row r="270" spans="1:6" x14ac:dyDescent="0.3">
      <c r="A270" s="27">
        <v>4</v>
      </c>
      <c r="B270" s="28">
        <v>1</v>
      </c>
      <c r="C270" s="28" t="s">
        <v>81</v>
      </c>
      <c r="D270" s="27" t="s">
        <v>40</v>
      </c>
      <c r="E270" s="27" t="s">
        <v>9</v>
      </c>
      <c r="F270" s="27" t="s">
        <v>74</v>
      </c>
    </row>
    <row r="271" spans="1:6" x14ac:dyDescent="0.3">
      <c r="A271" s="15">
        <v>4</v>
      </c>
      <c r="B271" s="12">
        <v>1</v>
      </c>
      <c r="C271" s="12" t="s">
        <v>81</v>
      </c>
      <c r="D271" s="15" t="s">
        <v>0</v>
      </c>
      <c r="E271" s="15" t="s">
        <v>41</v>
      </c>
      <c r="F271" s="15" t="s">
        <v>73</v>
      </c>
    </row>
    <row r="272" spans="1:6" x14ac:dyDescent="0.3">
      <c r="A272" s="27">
        <v>4</v>
      </c>
      <c r="B272" s="28">
        <v>2</v>
      </c>
      <c r="C272" s="28" t="s">
        <v>80</v>
      </c>
      <c r="D272" s="27" t="s">
        <v>40</v>
      </c>
      <c r="E272" s="27" t="s">
        <v>10</v>
      </c>
      <c r="F272" s="27" t="s">
        <v>73</v>
      </c>
    </row>
    <row r="273" spans="1:6" x14ac:dyDescent="0.3">
      <c r="A273" s="15">
        <v>4</v>
      </c>
      <c r="B273" s="11">
        <v>1</v>
      </c>
      <c r="C273" s="11" t="s">
        <v>81</v>
      </c>
      <c r="D273" s="11" t="s">
        <v>29</v>
      </c>
      <c r="E273" s="15" t="s">
        <v>42</v>
      </c>
      <c r="F273" s="15" t="s">
        <v>60</v>
      </c>
    </row>
    <row r="274" spans="1:6" x14ac:dyDescent="0.3">
      <c r="A274" s="27">
        <v>4</v>
      </c>
      <c r="B274" s="11">
        <v>1</v>
      </c>
      <c r="C274" s="11" t="s">
        <v>81</v>
      </c>
      <c r="D274" s="11" t="s">
        <v>29</v>
      </c>
      <c r="E274" s="27" t="s">
        <v>42</v>
      </c>
      <c r="F274" s="27" t="s">
        <v>61</v>
      </c>
    </row>
    <row r="275" spans="1:6" x14ac:dyDescent="0.3">
      <c r="A275" s="15">
        <v>4</v>
      </c>
      <c r="B275" s="12">
        <v>2</v>
      </c>
      <c r="C275" s="12" t="s">
        <v>80</v>
      </c>
      <c r="D275" s="15" t="s">
        <v>0</v>
      </c>
      <c r="E275" s="15" t="s">
        <v>41</v>
      </c>
      <c r="F275" s="15" t="s">
        <v>72</v>
      </c>
    </row>
    <row r="276" spans="1:6" x14ac:dyDescent="0.3">
      <c r="A276" s="27">
        <v>4</v>
      </c>
      <c r="B276" s="28">
        <v>2</v>
      </c>
      <c r="C276" s="28" t="s">
        <v>80</v>
      </c>
      <c r="D276" s="27" t="s">
        <v>40</v>
      </c>
      <c r="E276" s="27" t="s">
        <v>9</v>
      </c>
      <c r="F276" s="27" t="s">
        <v>72</v>
      </c>
    </row>
    <row r="277" spans="1:6" x14ac:dyDescent="0.3">
      <c r="A277" s="15">
        <v>4</v>
      </c>
      <c r="B277" s="12">
        <v>2</v>
      </c>
      <c r="C277" s="12" t="s">
        <v>80</v>
      </c>
      <c r="D277" s="15" t="s">
        <v>0</v>
      </c>
      <c r="E277" s="15" t="s">
        <v>41</v>
      </c>
      <c r="F277" s="15" t="s">
        <v>71</v>
      </c>
    </row>
    <row r="278" spans="1:6" x14ac:dyDescent="0.3">
      <c r="A278" s="27">
        <v>4</v>
      </c>
      <c r="B278" s="28">
        <v>1</v>
      </c>
      <c r="C278" s="28" t="s">
        <v>81</v>
      </c>
      <c r="D278" s="27" t="s">
        <v>40</v>
      </c>
      <c r="E278" s="27" t="s">
        <v>10</v>
      </c>
      <c r="F278" s="27" t="s">
        <v>71</v>
      </c>
    </row>
    <row r="279" spans="1:6" x14ac:dyDescent="0.3">
      <c r="A279" s="15">
        <v>4</v>
      </c>
      <c r="B279" s="11">
        <v>2</v>
      </c>
      <c r="C279" s="11" t="s">
        <v>80</v>
      </c>
      <c r="D279" s="11" t="s">
        <v>29</v>
      </c>
      <c r="E279" s="15" t="s">
        <v>42</v>
      </c>
      <c r="F279" s="15" t="s">
        <v>62</v>
      </c>
    </row>
    <row r="280" spans="1:6" x14ac:dyDescent="0.3">
      <c r="A280" s="27">
        <v>4</v>
      </c>
      <c r="B280" s="28">
        <v>1</v>
      </c>
      <c r="C280" s="28" t="s">
        <v>81</v>
      </c>
      <c r="D280" s="27" t="s">
        <v>0</v>
      </c>
      <c r="E280" s="27" t="s">
        <v>41</v>
      </c>
      <c r="F280" s="27" t="s">
        <v>70</v>
      </c>
    </row>
    <row r="281" spans="1:6" x14ac:dyDescent="0.3">
      <c r="A281" s="15">
        <v>4</v>
      </c>
      <c r="B281" s="12">
        <v>2</v>
      </c>
      <c r="C281" s="12" t="s">
        <v>80</v>
      </c>
      <c r="D281" s="15" t="s">
        <v>40</v>
      </c>
      <c r="E281" s="15" t="s">
        <v>10</v>
      </c>
      <c r="F281" s="15" t="s">
        <v>70</v>
      </c>
    </row>
    <row r="282" spans="1:6" x14ac:dyDescent="0.3">
      <c r="A282" s="27">
        <v>4</v>
      </c>
      <c r="B282" s="28">
        <v>2</v>
      </c>
      <c r="C282" s="28" t="s">
        <v>80</v>
      </c>
      <c r="D282" s="27" t="s">
        <v>0</v>
      </c>
      <c r="E282" s="27" t="s">
        <v>41</v>
      </c>
      <c r="F282" s="27" t="s">
        <v>69</v>
      </c>
    </row>
    <row r="283" spans="1:6" x14ac:dyDescent="0.3">
      <c r="A283" s="15">
        <v>4</v>
      </c>
      <c r="B283" s="12">
        <v>2</v>
      </c>
      <c r="C283" s="12" t="s">
        <v>80</v>
      </c>
      <c r="D283" s="15" t="s">
        <v>40</v>
      </c>
      <c r="E283" s="15" t="s">
        <v>9</v>
      </c>
      <c r="F283" s="15" t="s">
        <v>69</v>
      </c>
    </row>
    <row r="284" spans="1:6" x14ac:dyDescent="0.3">
      <c r="A284" s="27">
        <v>4</v>
      </c>
      <c r="B284" s="11">
        <v>1</v>
      </c>
      <c r="C284" s="11" t="s">
        <v>81</v>
      </c>
      <c r="D284" s="11" t="s">
        <v>29</v>
      </c>
      <c r="E284" s="27" t="s">
        <v>42</v>
      </c>
      <c r="F284" s="27" t="s">
        <v>63</v>
      </c>
    </row>
    <row r="285" spans="1:6" x14ac:dyDescent="0.3">
      <c r="A285" s="15">
        <v>4</v>
      </c>
      <c r="B285" s="11">
        <v>2</v>
      </c>
      <c r="C285" s="11" t="s">
        <v>80</v>
      </c>
      <c r="D285" s="11" t="s">
        <v>29</v>
      </c>
      <c r="E285" s="15" t="s">
        <v>42</v>
      </c>
      <c r="F285" s="15" t="s">
        <v>64</v>
      </c>
    </row>
    <row r="286" spans="1:6" x14ac:dyDescent="0.3">
      <c r="A286" s="27">
        <v>4</v>
      </c>
      <c r="B286" s="11">
        <v>1</v>
      </c>
      <c r="C286" s="11" t="s">
        <v>81</v>
      </c>
      <c r="D286" s="11" t="s">
        <v>29</v>
      </c>
      <c r="E286" s="27" t="s">
        <v>42</v>
      </c>
      <c r="F286" s="27" t="s">
        <v>65</v>
      </c>
    </row>
    <row r="287" spans="1:6" x14ac:dyDescent="0.3">
      <c r="A287" s="15">
        <v>4</v>
      </c>
      <c r="B287" s="12">
        <v>2</v>
      </c>
      <c r="C287" s="12" t="s">
        <v>80</v>
      </c>
      <c r="D287" s="15" t="s">
        <v>0</v>
      </c>
      <c r="E287" s="15" t="s">
        <v>41</v>
      </c>
      <c r="F287" s="15" t="s">
        <v>68</v>
      </c>
    </row>
    <row r="288" spans="1:6" x14ac:dyDescent="0.3">
      <c r="A288" s="27">
        <v>4</v>
      </c>
      <c r="B288" s="28">
        <v>1</v>
      </c>
      <c r="C288" s="28" t="s">
        <v>81</v>
      </c>
      <c r="D288" s="27" t="s">
        <v>40</v>
      </c>
      <c r="E288" s="27" t="s">
        <v>10</v>
      </c>
      <c r="F288" s="27" t="s">
        <v>68</v>
      </c>
    </row>
    <row r="289" spans="1:6" x14ac:dyDescent="0.3">
      <c r="A289" s="15">
        <v>4</v>
      </c>
      <c r="B289" s="11">
        <v>1</v>
      </c>
      <c r="C289" s="11" t="s">
        <v>80</v>
      </c>
      <c r="D289" s="11" t="s">
        <v>29</v>
      </c>
      <c r="E289" s="15" t="s">
        <v>42</v>
      </c>
      <c r="F289" s="15" t="s">
        <v>66</v>
      </c>
    </row>
    <row r="290" spans="1:6" x14ac:dyDescent="0.3">
      <c r="A290" s="27">
        <v>4</v>
      </c>
      <c r="B290" s="28">
        <v>1</v>
      </c>
      <c r="C290" s="28" t="s">
        <v>81</v>
      </c>
      <c r="D290" s="27" t="s">
        <v>0</v>
      </c>
      <c r="E290" s="27" t="s">
        <v>41</v>
      </c>
      <c r="F290" s="27" t="s">
        <v>67</v>
      </c>
    </row>
    <row r="291" spans="1:6" x14ac:dyDescent="0.3">
      <c r="A291" s="15">
        <v>4</v>
      </c>
      <c r="B291" s="12">
        <v>1</v>
      </c>
      <c r="C291" s="12" t="s">
        <v>81</v>
      </c>
      <c r="D291" s="15" t="s">
        <v>40</v>
      </c>
      <c r="E291" s="15" t="s">
        <v>9</v>
      </c>
      <c r="F291" s="15" t="s">
        <v>67</v>
      </c>
    </row>
    <row r="292" spans="1:6" x14ac:dyDescent="0.3">
      <c r="A292" s="29" t="s">
        <v>25</v>
      </c>
      <c r="B292" s="29"/>
      <c r="C292" s="29"/>
      <c r="D292" s="29"/>
      <c r="E292" s="29"/>
      <c r="F292" s="29"/>
    </row>
    <row r="293" spans="1:6" x14ac:dyDescent="0.3">
      <c r="A293" s="12">
        <v>1</v>
      </c>
      <c r="B293" s="14">
        <v>2</v>
      </c>
      <c r="C293" s="13" t="s">
        <v>80</v>
      </c>
      <c r="D293" s="8" t="s">
        <v>29</v>
      </c>
      <c r="E293" s="15" t="s">
        <v>42</v>
      </c>
      <c r="F293" s="15" t="s">
        <v>71</v>
      </c>
    </row>
    <row r="294" spans="1:6" x14ac:dyDescent="0.3">
      <c r="A294" s="7">
        <v>1</v>
      </c>
      <c r="B294" s="7">
        <v>2</v>
      </c>
      <c r="C294" s="7" t="s">
        <v>80</v>
      </c>
      <c r="D294" s="4" t="s">
        <v>0</v>
      </c>
      <c r="E294" s="4" t="s">
        <v>41</v>
      </c>
      <c r="F294" s="4" t="s">
        <v>49</v>
      </c>
    </row>
    <row r="295" spans="1:6" x14ac:dyDescent="0.3">
      <c r="A295" s="12">
        <v>1</v>
      </c>
      <c r="B295" s="12">
        <v>2</v>
      </c>
      <c r="C295" s="12" t="s">
        <v>80</v>
      </c>
      <c r="D295" s="15" t="s">
        <v>40</v>
      </c>
      <c r="E295" s="15" t="s">
        <v>9</v>
      </c>
      <c r="F295" s="15" t="s">
        <v>49</v>
      </c>
    </row>
    <row r="296" spans="1:6" x14ac:dyDescent="0.3">
      <c r="A296" s="7">
        <v>1</v>
      </c>
      <c r="B296" s="14">
        <v>1</v>
      </c>
      <c r="C296" s="14" t="s">
        <v>81</v>
      </c>
      <c r="D296" s="8" t="s">
        <v>29</v>
      </c>
      <c r="E296" s="4" t="s">
        <v>42</v>
      </c>
      <c r="F296" s="4" t="s">
        <v>69</v>
      </c>
    </row>
    <row r="297" spans="1:6" x14ac:dyDescent="0.3">
      <c r="A297" s="12">
        <v>1</v>
      </c>
      <c r="B297" s="14">
        <v>1</v>
      </c>
      <c r="C297" s="14" t="s">
        <v>81</v>
      </c>
      <c r="D297" s="8" t="s">
        <v>29</v>
      </c>
      <c r="E297" s="15" t="s">
        <v>42</v>
      </c>
      <c r="F297" s="15" t="s">
        <v>73</v>
      </c>
    </row>
    <row r="298" spans="1:6" x14ac:dyDescent="0.3">
      <c r="A298" s="7">
        <v>1</v>
      </c>
      <c r="B298" s="7">
        <v>2</v>
      </c>
      <c r="C298" s="7" t="s">
        <v>80</v>
      </c>
      <c r="D298" s="4" t="s">
        <v>0</v>
      </c>
      <c r="E298" s="4" t="s">
        <v>41</v>
      </c>
      <c r="F298" s="4" t="s">
        <v>48</v>
      </c>
    </row>
    <row r="299" spans="1:6" x14ac:dyDescent="0.3">
      <c r="A299" s="12">
        <v>1</v>
      </c>
      <c r="B299" s="12">
        <v>2</v>
      </c>
      <c r="C299" s="12" t="s">
        <v>80</v>
      </c>
      <c r="D299" s="15" t="s">
        <v>40</v>
      </c>
      <c r="E299" s="15" t="s">
        <v>9</v>
      </c>
      <c r="F299" s="15" t="s">
        <v>48</v>
      </c>
    </row>
    <row r="300" spans="1:6" x14ac:dyDescent="0.3">
      <c r="A300" s="7">
        <v>1</v>
      </c>
      <c r="B300" s="7">
        <v>2</v>
      </c>
      <c r="C300" s="7" t="s">
        <v>80</v>
      </c>
      <c r="D300" s="4" t="s">
        <v>0</v>
      </c>
      <c r="E300" s="4" t="s">
        <v>41</v>
      </c>
      <c r="F300" s="4" t="s">
        <v>50</v>
      </c>
    </row>
    <row r="301" spans="1:6" x14ac:dyDescent="0.3">
      <c r="A301" s="12">
        <v>1</v>
      </c>
      <c r="B301" s="12">
        <v>1</v>
      </c>
      <c r="C301" s="12" t="s">
        <v>81</v>
      </c>
      <c r="D301" s="15" t="s">
        <v>40</v>
      </c>
      <c r="E301" s="15" t="s">
        <v>10</v>
      </c>
      <c r="F301" s="15" t="s">
        <v>50</v>
      </c>
    </row>
    <row r="302" spans="1:6" x14ac:dyDescent="0.3">
      <c r="A302" s="7">
        <v>1</v>
      </c>
      <c r="B302" s="14">
        <v>2</v>
      </c>
      <c r="C302" s="14" t="s">
        <v>80</v>
      </c>
      <c r="D302" s="8" t="s">
        <v>29</v>
      </c>
      <c r="E302" s="4" t="s">
        <v>42</v>
      </c>
      <c r="F302" s="4" t="s">
        <v>70</v>
      </c>
    </row>
    <row r="303" spans="1:6" x14ac:dyDescent="0.3">
      <c r="A303" s="12">
        <v>1</v>
      </c>
      <c r="B303" s="12">
        <v>1</v>
      </c>
      <c r="C303" s="12" t="s">
        <v>81</v>
      </c>
      <c r="D303" s="15" t="s">
        <v>0</v>
      </c>
      <c r="E303" s="15" t="s">
        <v>41</v>
      </c>
      <c r="F303" s="15" t="s">
        <v>43</v>
      </c>
    </row>
    <row r="304" spans="1:6" x14ac:dyDescent="0.3">
      <c r="A304" s="7">
        <v>1</v>
      </c>
      <c r="B304" s="7">
        <v>2</v>
      </c>
      <c r="C304" s="7" t="s">
        <v>80</v>
      </c>
      <c r="D304" s="4" t="s">
        <v>40</v>
      </c>
      <c r="E304" s="4" t="s">
        <v>10</v>
      </c>
      <c r="F304" s="4" t="s">
        <v>43</v>
      </c>
    </row>
    <row r="305" spans="1:6" x14ac:dyDescent="0.3">
      <c r="A305" s="12">
        <v>1</v>
      </c>
      <c r="B305" s="12">
        <v>2</v>
      </c>
      <c r="C305" s="12" t="s">
        <v>80</v>
      </c>
      <c r="D305" s="15" t="s">
        <v>0</v>
      </c>
      <c r="E305" s="15" t="s">
        <v>41</v>
      </c>
      <c r="F305" s="15" t="s">
        <v>46</v>
      </c>
    </row>
    <row r="306" spans="1:6" x14ac:dyDescent="0.3">
      <c r="A306" s="7">
        <v>1</v>
      </c>
      <c r="B306" s="7">
        <v>1</v>
      </c>
      <c r="C306" s="7" t="s">
        <v>81</v>
      </c>
      <c r="D306" s="4" t="s">
        <v>40</v>
      </c>
      <c r="E306" s="4" t="s">
        <v>10</v>
      </c>
      <c r="F306" s="4" t="s">
        <v>46</v>
      </c>
    </row>
    <row r="307" spans="1:6" x14ac:dyDescent="0.3">
      <c r="A307" s="12">
        <v>1</v>
      </c>
      <c r="B307" s="14">
        <v>1</v>
      </c>
      <c r="C307" s="13" t="s">
        <v>81</v>
      </c>
      <c r="D307" s="8" t="s">
        <v>29</v>
      </c>
      <c r="E307" s="15" t="s">
        <v>42</v>
      </c>
      <c r="F307" s="15" t="s">
        <v>74</v>
      </c>
    </row>
    <row r="308" spans="1:6" x14ac:dyDescent="0.3">
      <c r="A308" s="7">
        <v>1</v>
      </c>
      <c r="B308" s="14">
        <v>2</v>
      </c>
      <c r="C308" s="14" t="s">
        <v>80</v>
      </c>
      <c r="D308" s="8" t="s">
        <v>29</v>
      </c>
      <c r="E308" s="4" t="s">
        <v>42</v>
      </c>
      <c r="F308" s="4" t="s">
        <v>67</v>
      </c>
    </row>
    <row r="309" spans="1:6" x14ac:dyDescent="0.3">
      <c r="A309" s="12">
        <v>1</v>
      </c>
      <c r="B309" s="12">
        <v>1</v>
      </c>
      <c r="C309" s="12" t="s">
        <v>81</v>
      </c>
      <c r="D309" s="15" t="s">
        <v>0</v>
      </c>
      <c r="E309" s="15" t="s">
        <v>41</v>
      </c>
      <c r="F309" s="15" t="s">
        <v>44</v>
      </c>
    </row>
    <row r="310" spans="1:6" x14ac:dyDescent="0.3">
      <c r="A310" s="7">
        <v>1</v>
      </c>
      <c r="B310" s="7">
        <v>1</v>
      </c>
      <c r="C310" s="12" t="s">
        <v>81</v>
      </c>
      <c r="D310" s="4" t="s">
        <v>40</v>
      </c>
      <c r="E310" s="4" t="s">
        <v>9</v>
      </c>
      <c r="F310" s="4" t="s">
        <v>44</v>
      </c>
    </row>
    <row r="311" spans="1:6" x14ac:dyDescent="0.3">
      <c r="A311" s="12">
        <v>1</v>
      </c>
      <c r="B311" s="14">
        <v>1</v>
      </c>
      <c r="C311" s="13" t="s">
        <v>81</v>
      </c>
      <c r="D311" s="8" t="s">
        <v>29</v>
      </c>
      <c r="E311" s="15" t="s">
        <v>42</v>
      </c>
      <c r="F311" s="15" t="s">
        <v>72</v>
      </c>
    </row>
    <row r="312" spans="1:6" x14ac:dyDescent="0.3">
      <c r="A312" s="7">
        <v>1</v>
      </c>
      <c r="B312" s="14">
        <v>2</v>
      </c>
      <c r="C312" s="14" t="s">
        <v>80</v>
      </c>
      <c r="D312" s="8" t="s">
        <v>29</v>
      </c>
      <c r="E312" s="4" t="s">
        <v>42</v>
      </c>
      <c r="F312" s="4" t="s">
        <v>68</v>
      </c>
    </row>
    <row r="313" spans="1:6" x14ac:dyDescent="0.3">
      <c r="A313" s="12">
        <v>1</v>
      </c>
      <c r="B313" s="12">
        <v>1</v>
      </c>
      <c r="C313" s="12" t="s">
        <v>81</v>
      </c>
      <c r="D313" s="15" t="s">
        <v>0</v>
      </c>
      <c r="E313" s="15" t="s">
        <v>41</v>
      </c>
      <c r="F313" s="15" t="s">
        <v>45</v>
      </c>
    </row>
    <row r="314" spans="1:6" x14ac:dyDescent="0.3">
      <c r="A314" s="7">
        <v>1</v>
      </c>
      <c r="B314" s="7">
        <v>1</v>
      </c>
      <c r="C314" s="12" t="s">
        <v>81</v>
      </c>
      <c r="D314" s="4" t="s">
        <v>40</v>
      </c>
      <c r="E314" s="4" t="s">
        <v>9</v>
      </c>
      <c r="F314" s="4" t="s">
        <v>45</v>
      </c>
    </row>
    <row r="315" spans="1:6" x14ac:dyDescent="0.3">
      <c r="A315" s="12">
        <v>1</v>
      </c>
      <c r="B315" s="12">
        <v>1</v>
      </c>
      <c r="C315" s="12" t="s">
        <v>81</v>
      </c>
      <c r="D315" s="15" t="s">
        <v>0</v>
      </c>
      <c r="E315" s="15" t="s">
        <v>41</v>
      </c>
      <c r="F315" s="15" t="s">
        <v>47</v>
      </c>
    </row>
    <row r="316" spans="1:6" x14ac:dyDescent="0.3">
      <c r="A316" s="7">
        <v>1</v>
      </c>
      <c r="B316" s="7">
        <v>2</v>
      </c>
      <c r="C316" s="7" t="s">
        <v>80</v>
      </c>
      <c r="D316" s="4" t="s">
        <v>40</v>
      </c>
      <c r="E316" s="4" t="s">
        <v>10</v>
      </c>
      <c r="F316" s="4" t="s">
        <v>47</v>
      </c>
    </row>
    <row r="317" spans="1:6" x14ac:dyDescent="0.3">
      <c r="A317" s="27">
        <v>2</v>
      </c>
      <c r="B317" s="28">
        <v>1</v>
      </c>
      <c r="C317" s="27" t="s">
        <v>81</v>
      </c>
      <c r="D317" s="27" t="s">
        <v>0</v>
      </c>
      <c r="E317" s="27" t="s">
        <v>41</v>
      </c>
      <c r="F317" s="27" t="s">
        <v>52</v>
      </c>
    </row>
    <row r="318" spans="1:6" x14ac:dyDescent="0.3">
      <c r="A318" s="15">
        <v>2</v>
      </c>
      <c r="B318" s="12">
        <v>1</v>
      </c>
      <c r="C318" s="15" t="s">
        <v>81</v>
      </c>
      <c r="D318" s="15" t="s">
        <v>40</v>
      </c>
      <c r="E318" s="15" t="s">
        <v>9</v>
      </c>
      <c r="F318" s="15" t="s">
        <v>52</v>
      </c>
    </row>
    <row r="319" spans="1:6" x14ac:dyDescent="0.3">
      <c r="A319" s="27">
        <v>2</v>
      </c>
      <c r="B319" s="9">
        <v>2</v>
      </c>
      <c r="C319" s="9" t="s">
        <v>80</v>
      </c>
      <c r="D319" s="9" t="s">
        <v>29</v>
      </c>
      <c r="E319" s="27" t="s">
        <v>42</v>
      </c>
      <c r="F319" s="27" t="s">
        <v>49</v>
      </c>
    </row>
    <row r="320" spans="1:6" x14ac:dyDescent="0.3">
      <c r="A320" s="15">
        <v>2</v>
      </c>
      <c r="B320" s="9">
        <v>2</v>
      </c>
      <c r="C320" s="9" t="s">
        <v>80</v>
      </c>
      <c r="D320" s="9" t="s">
        <v>29</v>
      </c>
      <c r="E320" s="15" t="s">
        <v>42</v>
      </c>
      <c r="F320" s="15" t="s">
        <v>48</v>
      </c>
    </row>
    <row r="321" spans="1:6" x14ac:dyDescent="0.3">
      <c r="A321" s="27">
        <v>2</v>
      </c>
      <c r="B321" s="28">
        <v>1</v>
      </c>
      <c r="C321" s="28" t="s">
        <v>81</v>
      </c>
      <c r="D321" s="27" t="s">
        <v>0</v>
      </c>
      <c r="E321" s="27" t="s">
        <v>41</v>
      </c>
      <c r="F321" s="27" t="s">
        <v>53</v>
      </c>
    </row>
    <row r="322" spans="1:6" x14ac:dyDescent="0.3">
      <c r="A322" s="15">
        <v>2</v>
      </c>
      <c r="B322" s="12">
        <v>1</v>
      </c>
      <c r="C322" s="12" t="s">
        <v>81</v>
      </c>
      <c r="D322" s="15" t="s">
        <v>40</v>
      </c>
      <c r="E322" s="15" t="s">
        <v>9</v>
      </c>
      <c r="F322" s="15" t="s">
        <v>53</v>
      </c>
    </row>
    <row r="323" spans="1:6" x14ac:dyDescent="0.3">
      <c r="A323" s="27">
        <v>2</v>
      </c>
      <c r="B323" s="28">
        <v>1</v>
      </c>
      <c r="C323" s="28" t="s">
        <v>81</v>
      </c>
      <c r="D323" s="27" t="s">
        <v>0</v>
      </c>
      <c r="E323" s="27" t="s">
        <v>41</v>
      </c>
      <c r="F323" s="27" t="s">
        <v>55</v>
      </c>
    </row>
    <row r="324" spans="1:6" x14ac:dyDescent="0.3">
      <c r="A324" s="15">
        <v>2</v>
      </c>
      <c r="B324" s="12">
        <v>2</v>
      </c>
      <c r="C324" s="12" t="s">
        <v>80</v>
      </c>
      <c r="D324" s="15" t="s">
        <v>40</v>
      </c>
      <c r="E324" s="15" t="s">
        <v>10</v>
      </c>
      <c r="F324" s="15" t="s">
        <v>55</v>
      </c>
    </row>
    <row r="325" spans="1:6" x14ac:dyDescent="0.3">
      <c r="A325" s="27">
        <v>2</v>
      </c>
      <c r="B325" s="9">
        <v>1</v>
      </c>
      <c r="C325" s="9" t="s">
        <v>81</v>
      </c>
      <c r="D325" s="9" t="s">
        <v>29</v>
      </c>
      <c r="E325" s="27" t="s">
        <v>42</v>
      </c>
      <c r="F325" s="27" t="s">
        <v>50</v>
      </c>
    </row>
    <row r="326" spans="1:6" x14ac:dyDescent="0.3">
      <c r="A326" s="15">
        <v>2</v>
      </c>
      <c r="B326" s="12">
        <v>2</v>
      </c>
      <c r="C326" s="12" t="s">
        <v>80</v>
      </c>
      <c r="D326" s="15" t="s">
        <v>0</v>
      </c>
      <c r="E326" s="15" t="s">
        <v>41</v>
      </c>
      <c r="F326" s="15" t="s">
        <v>54</v>
      </c>
    </row>
    <row r="327" spans="1:6" x14ac:dyDescent="0.3">
      <c r="A327" s="27">
        <v>2</v>
      </c>
      <c r="B327" s="28">
        <v>1</v>
      </c>
      <c r="C327" s="28" t="s">
        <v>81</v>
      </c>
      <c r="D327" s="27" t="s">
        <v>40</v>
      </c>
      <c r="E327" s="27" t="s">
        <v>10</v>
      </c>
      <c r="F327" s="27" t="s">
        <v>54</v>
      </c>
    </row>
    <row r="328" spans="1:6" x14ac:dyDescent="0.3">
      <c r="A328" s="15">
        <v>2</v>
      </c>
      <c r="B328" s="12">
        <v>1</v>
      </c>
      <c r="C328" s="12" t="s">
        <v>81</v>
      </c>
      <c r="D328" s="15" t="s">
        <v>0</v>
      </c>
      <c r="E328" s="15" t="s">
        <v>41</v>
      </c>
      <c r="F328" s="15" t="s">
        <v>51</v>
      </c>
    </row>
    <row r="329" spans="1:6" x14ac:dyDescent="0.3">
      <c r="A329" s="27">
        <v>2</v>
      </c>
      <c r="B329" s="28">
        <v>2</v>
      </c>
      <c r="C329" s="28" t="s">
        <v>80</v>
      </c>
      <c r="D329" s="27" t="s">
        <v>40</v>
      </c>
      <c r="E329" s="27" t="s">
        <v>10</v>
      </c>
      <c r="F329" s="27" t="s">
        <v>51</v>
      </c>
    </row>
    <row r="330" spans="1:6" x14ac:dyDescent="0.3">
      <c r="A330" s="15">
        <v>2</v>
      </c>
      <c r="B330" s="9">
        <v>2</v>
      </c>
      <c r="C330" s="9" t="s">
        <v>80</v>
      </c>
      <c r="D330" s="9" t="s">
        <v>29</v>
      </c>
      <c r="E330" s="15" t="s">
        <v>42</v>
      </c>
      <c r="F330" s="15" t="s">
        <v>43</v>
      </c>
    </row>
    <row r="331" spans="1:6" x14ac:dyDescent="0.3">
      <c r="A331" s="27">
        <v>2</v>
      </c>
      <c r="B331" s="9">
        <v>1</v>
      </c>
      <c r="C331" s="9" t="s">
        <v>81</v>
      </c>
      <c r="D331" s="9" t="s">
        <v>29</v>
      </c>
      <c r="E331" s="27" t="s">
        <v>42</v>
      </c>
      <c r="F331" s="27" t="s">
        <v>46</v>
      </c>
    </row>
    <row r="332" spans="1:6" x14ac:dyDescent="0.3">
      <c r="A332" s="15">
        <v>2</v>
      </c>
      <c r="B332" s="12">
        <v>2</v>
      </c>
      <c r="C332" s="12" t="s">
        <v>80</v>
      </c>
      <c r="D332" s="15" t="s">
        <v>0</v>
      </c>
      <c r="E332" s="15" t="s">
        <v>41</v>
      </c>
      <c r="F332" s="15" t="s">
        <v>57</v>
      </c>
    </row>
    <row r="333" spans="1:6" x14ac:dyDescent="0.3">
      <c r="A333" s="27">
        <v>2</v>
      </c>
      <c r="B333" s="28">
        <v>2</v>
      </c>
      <c r="C333" s="28" t="s">
        <v>80</v>
      </c>
      <c r="D333" s="27" t="s">
        <v>40</v>
      </c>
      <c r="E333" s="27" t="s">
        <v>9</v>
      </c>
      <c r="F333" s="27" t="s">
        <v>57</v>
      </c>
    </row>
    <row r="334" spans="1:6" x14ac:dyDescent="0.3">
      <c r="A334" s="15">
        <v>2</v>
      </c>
      <c r="B334" s="9">
        <v>1</v>
      </c>
      <c r="C334" s="9" t="s">
        <v>81</v>
      </c>
      <c r="D334" s="9" t="s">
        <v>29</v>
      </c>
      <c r="E334" s="15" t="s">
        <v>42</v>
      </c>
      <c r="F334" s="15" t="s">
        <v>44</v>
      </c>
    </row>
    <row r="335" spans="1:6" x14ac:dyDescent="0.3">
      <c r="A335" s="27">
        <v>2</v>
      </c>
      <c r="B335" s="28">
        <v>2</v>
      </c>
      <c r="C335" s="28" t="s">
        <v>80</v>
      </c>
      <c r="D335" s="27" t="s">
        <v>0</v>
      </c>
      <c r="E335" s="27" t="s">
        <v>41</v>
      </c>
      <c r="F335" s="27" t="s">
        <v>58</v>
      </c>
    </row>
    <row r="336" spans="1:6" x14ac:dyDescent="0.3">
      <c r="A336" s="15">
        <v>2</v>
      </c>
      <c r="B336" s="12">
        <v>2</v>
      </c>
      <c r="C336" s="12" t="s">
        <v>80</v>
      </c>
      <c r="D336" s="15" t="s">
        <v>40</v>
      </c>
      <c r="E336" s="15" t="s">
        <v>9</v>
      </c>
      <c r="F336" s="15" t="s">
        <v>58</v>
      </c>
    </row>
    <row r="337" spans="1:6" x14ac:dyDescent="0.3">
      <c r="A337" s="27">
        <v>2</v>
      </c>
      <c r="B337" s="28">
        <v>2</v>
      </c>
      <c r="C337" s="28" t="s">
        <v>80</v>
      </c>
      <c r="D337" s="27" t="s">
        <v>0</v>
      </c>
      <c r="E337" s="27" t="s">
        <v>41</v>
      </c>
      <c r="F337" s="27" t="s">
        <v>56</v>
      </c>
    </row>
    <row r="338" spans="1:6" x14ac:dyDescent="0.3">
      <c r="A338" s="15">
        <v>2</v>
      </c>
      <c r="B338" s="12">
        <v>1</v>
      </c>
      <c r="C338" s="12" t="s">
        <v>81</v>
      </c>
      <c r="D338" s="15" t="s">
        <v>40</v>
      </c>
      <c r="E338" s="15" t="s">
        <v>10</v>
      </c>
      <c r="F338" s="15" t="s">
        <v>56</v>
      </c>
    </row>
    <row r="339" spans="1:6" x14ac:dyDescent="0.3">
      <c r="A339" s="27">
        <v>2</v>
      </c>
      <c r="B339" s="9">
        <v>1</v>
      </c>
      <c r="C339" s="9" t="s">
        <v>81</v>
      </c>
      <c r="D339" s="9" t="s">
        <v>29</v>
      </c>
      <c r="E339" s="27" t="s">
        <v>42</v>
      </c>
      <c r="F339" s="27" t="s">
        <v>45</v>
      </c>
    </row>
    <row r="340" spans="1:6" x14ac:dyDescent="0.3">
      <c r="A340" s="15">
        <v>2</v>
      </c>
      <c r="B340" s="9">
        <v>2</v>
      </c>
      <c r="C340" s="9" t="s">
        <v>80</v>
      </c>
      <c r="D340" s="9" t="s">
        <v>29</v>
      </c>
      <c r="E340" s="15" t="s">
        <v>42</v>
      </c>
      <c r="F340" s="15" t="s">
        <v>47</v>
      </c>
    </row>
    <row r="341" spans="1:6" x14ac:dyDescent="0.3">
      <c r="A341" s="12">
        <v>3</v>
      </c>
      <c r="B341" s="12">
        <v>1</v>
      </c>
      <c r="C341" s="12" t="s">
        <v>81</v>
      </c>
      <c r="D341" s="15" t="s">
        <v>0</v>
      </c>
      <c r="E341" s="15" t="s">
        <v>41</v>
      </c>
      <c r="F341" s="15" t="s">
        <v>62</v>
      </c>
    </row>
    <row r="342" spans="1:6" x14ac:dyDescent="0.3">
      <c r="A342" s="7">
        <v>3</v>
      </c>
      <c r="B342" s="7">
        <v>2</v>
      </c>
      <c r="C342" s="7" t="s">
        <v>80</v>
      </c>
      <c r="D342" s="4" t="s">
        <v>40</v>
      </c>
      <c r="E342" s="4" t="s">
        <v>10</v>
      </c>
      <c r="F342" s="4" t="s">
        <v>62</v>
      </c>
    </row>
    <row r="343" spans="1:6" x14ac:dyDescent="0.3">
      <c r="A343" s="12">
        <v>3</v>
      </c>
      <c r="B343" s="10">
        <v>2</v>
      </c>
      <c r="C343" s="10" t="s">
        <v>80</v>
      </c>
      <c r="D343" s="10" t="s">
        <v>29</v>
      </c>
      <c r="E343" s="15" t="s">
        <v>42</v>
      </c>
      <c r="F343" s="15" t="s">
        <v>52</v>
      </c>
    </row>
    <row r="344" spans="1:6" x14ac:dyDescent="0.3">
      <c r="A344" s="7">
        <v>3</v>
      </c>
      <c r="B344" s="10">
        <v>1</v>
      </c>
      <c r="C344" s="10" t="s">
        <v>81</v>
      </c>
      <c r="D344" s="10" t="s">
        <v>29</v>
      </c>
      <c r="E344" s="4" t="s">
        <v>42</v>
      </c>
      <c r="F344" s="4" t="s">
        <v>53</v>
      </c>
    </row>
    <row r="345" spans="1:6" x14ac:dyDescent="0.3">
      <c r="A345" s="12">
        <v>3</v>
      </c>
      <c r="B345" s="12">
        <v>2</v>
      </c>
      <c r="C345" s="12" t="s">
        <v>80</v>
      </c>
      <c r="D345" s="15" t="s">
        <v>0</v>
      </c>
      <c r="E345" s="15" t="s">
        <v>41</v>
      </c>
      <c r="F345" s="15" t="s">
        <v>65</v>
      </c>
    </row>
    <row r="346" spans="1:6" x14ac:dyDescent="0.3">
      <c r="A346" s="7">
        <v>3</v>
      </c>
      <c r="B346" s="7">
        <v>1</v>
      </c>
      <c r="C346" s="7" t="s">
        <v>81</v>
      </c>
      <c r="D346" s="4" t="s">
        <v>40</v>
      </c>
      <c r="E346" s="4" t="s">
        <v>10</v>
      </c>
      <c r="F346" s="4" t="s">
        <v>65</v>
      </c>
    </row>
    <row r="347" spans="1:6" x14ac:dyDescent="0.3">
      <c r="A347" s="12">
        <v>3</v>
      </c>
      <c r="B347" s="12">
        <v>1</v>
      </c>
      <c r="C347" s="12" t="s">
        <v>81</v>
      </c>
      <c r="D347" s="15" t="s">
        <v>0</v>
      </c>
      <c r="E347" s="15" t="s">
        <v>41</v>
      </c>
      <c r="F347" s="15" t="s">
        <v>60</v>
      </c>
    </row>
    <row r="348" spans="1:6" x14ac:dyDescent="0.3">
      <c r="A348" s="7">
        <v>3</v>
      </c>
      <c r="B348" s="7">
        <v>2</v>
      </c>
      <c r="C348" s="7" t="s">
        <v>80</v>
      </c>
      <c r="D348" s="4" t="s">
        <v>40</v>
      </c>
      <c r="E348" s="4" t="s">
        <v>10</v>
      </c>
      <c r="F348" s="4" t="s">
        <v>60</v>
      </c>
    </row>
    <row r="349" spans="1:6" x14ac:dyDescent="0.3">
      <c r="A349" s="12">
        <v>3</v>
      </c>
      <c r="B349" s="10">
        <v>1</v>
      </c>
      <c r="C349" s="10" t="s">
        <v>81</v>
      </c>
      <c r="D349" s="10" t="s">
        <v>29</v>
      </c>
      <c r="E349" s="15" t="s">
        <v>42</v>
      </c>
      <c r="F349" s="15" t="s">
        <v>55</v>
      </c>
    </row>
    <row r="350" spans="1:6" x14ac:dyDescent="0.3">
      <c r="A350" s="7">
        <v>3</v>
      </c>
      <c r="B350" s="7">
        <v>2</v>
      </c>
      <c r="C350" s="7" t="s">
        <v>80</v>
      </c>
      <c r="D350" s="4" t="s">
        <v>0</v>
      </c>
      <c r="E350" s="4" t="s">
        <v>41</v>
      </c>
      <c r="F350" s="4" t="s">
        <v>64</v>
      </c>
    </row>
    <row r="351" spans="1:6" x14ac:dyDescent="0.3">
      <c r="A351" s="12">
        <v>3</v>
      </c>
      <c r="B351" s="12">
        <v>2</v>
      </c>
      <c r="C351" s="12" t="s">
        <v>80</v>
      </c>
      <c r="D351" s="15" t="s">
        <v>40</v>
      </c>
      <c r="E351" s="15" t="s">
        <v>9</v>
      </c>
      <c r="F351" s="15" t="s">
        <v>64</v>
      </c>
    </row>
    <row r="352" spans="1:6" x14ac:dyDescent="0.3">
      <c r="A352" s="7">
        <v>3</v>
      </c>
      <c r="B352" s="10">
        <v>1</v>
      </c>
      <c r="C352" s="10" t="s">
        <v>81</v>
      </c>
      <c r="D352" s="10" t="s">
        <v>29</v>
      </c>
      <c r="E352" s="4" t="s">
        <v>42</v>
      </c>
      <c r="F352" s="4" t="s">
        <v>54</v>
      </c>
    </row>
    <row r="353" spans="1:6" x14ac:dyDescent="0.3">
      <c r="A353" s="12">
        <v>3</v>
      </c>
      <c r="B353" s="10">
        <v>2</v>
      </c>
      <c r="C353" s="10" t="s">
        <v>80</v>
      </c>
      <c r="D353" s="10" t="s">
        <v>29</v>
      </c>
      <c r="E353" s="15" t="s">
        <v>42</v>
      </c>
      <c r="F353" s="15" t="s">
        <v>51</v>
      </c>
    </row>
    <row r="354" spans="1:6" x14ac:dyDescent="0.3">
      <c r="A354" s="7">
        <v>3</v>
      </c>
      <c r="B354" s="10">
        <v>1</v>
      </c>
      <c r="C354" s="10" t="s">
        <v>81</v>
      </c>
      <c r="D354" s="10" t="s">
        <v>29</v>
      </c>
      <c r="E354" s="4" t="s">
        <v>42</v>
      </c>
      <c r="F354" s="4" t="s">
        <v>57</v>
      </c>
    </row>
    <row r="355" spans="1:6" x14ac:dyDescent="0.3">
      <c r="A355" s="12">
        <v>3</v>
      </c>
      <c r="B355" s="12">
        <v>2</v>
      </c>
      <c r="C355" s="12" t="s">
        <v>80</v>
      </c>
      <c r="D355" s="15" t="s">
        <v>0</v>
      </c>
      <c r="E355" s="15" t="s">
        <v>41</v>
      </c>
      <c r="F355" s="15" t="s">
        <v>66</v>
      </c>
    </row>
    <row r="356" spans="1:6" x14ac:dyDescent="0.3">
      <c r="A356" s="7">
        <v>3</v>
      </c>
      <c r="B356" s="7">
        <v>2</v>
      </c>
      <c r="C356" s="7" t="s">
        <v>80</v>
      </c>
      <c r="D356" s="4" t="s">
        <v>40</v>
      </c>
      <c r="E356" s="4" t="s">
        <v>9</v>
      </c>
      <c r="F356" s="4" t="s">
        <v>66</v>
      </c>
    </row>
    <row r="357" spans="1:6" x14ac:dyDescent="0.3">
      <c r="A357" s="12">
        <v>3</v>
      </c>
      <c r="B357" s="12">
        <v>2</v>
      </c>
      <c r="C357" s="12" t="s">
        <v>80</v>
      </c>
      <c r="D357" s="15" t="s">
        <v>0</v>
      </c>
      <c r="E357" s="15" t="s">
        <v>41</v>
      </c>
      <c r="F357" s="15" t="s">
        <v>63</v>
      </c>
    </row>
    <row r="358" spans="1:6" x14ac:dyDescent="0.3">
      <c r="A358" s="7">
        <v>3</v>
      </c>
      <c r="B358" s="7">
        <v>1</v>
      </c>
      <c r="C358" s="7" t="s">
        <v>81</v>
      </c>
      <c r="D358" s="4" t="s">
        <v>40</v>
      </c>
      <c r="E358" s="4" t="s">
        <v>10</v>
      </c>
      <c r="F358" s="4" t="s">
        <v>63</v>
      </c>
    </row>
    <row r="359" spans="1:6" x14ac:dyDescent="0.3">
      <c r="A359" s="28">
        <v>3</v>
      </c>
      <c r="B359" s="28">
        <v>1</v>
      </c>
      <c r="C359" s="28" t="s">
        <v>81</v>
      </c>
      <c r="D359" s="27" t="s">
        <v>0</v>
      </c>
      <c r="E359" s="27" t="s">
        <v>41</v>
      </c>
      <c r="F359" s="27" t="s">
        <v>61</v>
      </c>
    </row>
    <row r="360" spans="1:6" x14ac:dyDescent="0.3">
      <c r="A360" s="12">
        <v>3</v>
      </c>
      <c r="B360" s="12">
        <v>1</v>
      </c>
      <c r="C360" s="12" t="s">
        <v>81</v>
      </c>
      <c r="D360" s="15" t="s">
        <v>40</v>
      </c>
      <c r="E360" s="15" t="s">
        <v>9</v>
      </c>
      <c r="F360" s="15" t="s">
        <v>61</v>
      </c>
    </row>
    <row r="361" spans="1:6" x14ac:dyDescent="0.3">
      <c r="A361" s="28">
        <v>3</v>
      </c>
      <c r="B361" s="10">
        <v>2</v>
      </c>
      <c r="C361" s="10" t="s">
        <v>80</v>
      </c>
      <c r="D361" s="10" t="s">
        <v>29</v>
      </c>
      <c r="E361" s="27" t="s">
        <v>42</v>
      </c>
      <c r="F361" s="27" t="s">
        <v>56</v>
      </c>
    </row>
    <row r="362" spans="1:6" x14ac:dyDescent="0.3">
      <c r="A362" s="12">
        <v>3</v>
      </c>
      <c r="B362" s="12">
        <v>1</v>
      </c>
      <c r="C362" s="12" t="s">
        <v>81</v>
      </c>
      <c r="D362" s="15" t="s">
        <v>0</v>
      </c>
      <c r="E362" s="15" t="s">
        <v>41</v>
      </c>
      <c r="F362" s="15" t="s">
        <v>59</v>
      </c>
    </row>
    <row r="363" spans="1:6" x14ac:dyDescent="0.3">
      <c r="A363" s="28">
        <v>3</v>
      </c>
      <c r="B363" s="28">
        <v>1</v>
      </c>
      <c r="C363" s="28" t="s">
        <v>81</v>
      </c>
      <c r="D363" s="27" t="s">
        <v>40</v>
      </c>
      <c r="E363" s="27" t="s">
        <v>9</v>
      </c>
      <c r="F363" s="27" t="s">
        <v>59</v>
      </c>
    </row>
    <row r="364" spans="1:6" x14ac:dyDescent="0.3">
      <c r="A364" s="12">
        <v>3</v>
      </c>
      <c r="B364" s="10">
        <v>2</v>
      </c>
      <c r="C364" s="10" t="s">
        <v>80</v>
      </c>
      <c r="D364" s="10" t="s">
        <v>29</v>
      </c>
      <c r="E364" s="15" t="s">
        <v>42</v>
      </c>
      <c r="F364" s="15" t="s">
        <v>58</v>
      </c>
    </row>
    <row r="365" spans="1:6" x14ac:dyDescent="0.3">
      <c r="A365" s="27">
        <v>4</v>
      </c>
      <c r="B365" s="28">
        <v>1</v>
      </c>
      <c r="C365" s="28" t="s">
        <v>81</v>
      </c>
      <c r="D365" s="27" t="s">
        <v>0</v>
      </c>
      <c r="E365" s="27" t="s">
        <v>41</v>
      </c>
      <c r="F365" s="27" t="s">
        <v>71</v>
      </c>
    </row>
    <row r="366" spans="1:6" x14ac:dyDescent="0.3">
      <c r="A366" s="15">
        <v>4</v>
      </c>
      <c r="B366" s="12">
        <v>1</v>
      </c>
      <c r="C366" s="12" t="s">
        <v>81</v>
      </c>
      <c r="D366" s="15" t="s">
        <v>40</v>
      </c>
      <c r="E366" s="15" t="s">
        <v>9</v>
      </c>
      <c r="F366" s="15" t="s">
        <v>71</v>
      </c>
    </row>
    <row r="367" spans="1:6" x14ac:dyDescent="0.3">
      <c r="A367" s="27">
        <v>4</v>
      </c>
      <c r="B367" s="11">
        <v>2</v>
      </c>
      <c r="C367" s="11" t="s">
        <v>80</v>
      </c>
      <c r="D367" s="11" t="s">
        <v>29</v>
      </c>
      <c r="E367" s="27" t="s">
        <v>42</v>
      </c>
      <c r="F367" s="27" t="s">
        <v>62</v>
      </c>
    </row>
    <row r="368" spans="1:6" x14ac:dyDescent="0.3">
      <c r="A368" s="15">
        <v>4</v>
      </c>
      <c r="B368" s="12">
        <v>1</v>
      </c>
      <c r="C368" s="12" t="s">
        <v>81</v>
      </c>
      <c r="D368" s="15" t="s">
        <v>0</v>
      </c>
      <c r="E368" s="15" t="s">
        <v>41</v>
      </c>
      <c r="F368" s="15" t="s">
        <v>69</v>
      </c>
    </row>
    <row r="369" spans="1:6" x14ac:dyDescent="0.3">
      <c r="A369" s="27">
        <v>4</v>
      </c>
      <c r="B369" s="28">
        <v>2</v>
      </c>
      <c r="C369" s="28" t="s">
        <v>80</v>
      </c>
      <c r="D369" s="27" t="s">
        <v>40</v>
      </c>
      <c r="E369" s="27" t="s">
        <v>10</v>
      </c>
      <c r="F369" s="27" t="s">
        <v>69</v>
      </c>
    </row>
    <row r="370" spans="1:6" x14ac:dyDescent="0.3">
      <c r="A370" s="15">
        <v>4</v>
      </c>
      <c r="B370" s="12">
        <v>2</v>
      </c>
      <c r="C370" s="12" t="s">
        <v>80</v>
      </c>
      <c r="D370" s="15" t="s">
        <v>0</v>
      </c>
      <c r="E370" s="15" t="s">
        <v>41</v>
      </c>
      <c r="F370" s="15" t="s">
        <v>73</v>
      </c>
    </row>
    <row r="371" spans="1:6" x14ac:dyDescent="0.3">
      <c r="A371" s="27">
        <v>4</v>
      </c>
      <c r="B371" s="28">
        <v>2</v>
      </c>
      <c r="C371" s="28" t="s">
        <v>80</v>
      </c>
      <c r="D371" s="27" t="s">
        <v>40</v>
      </c>
      <c r="E371" s="27" t="s">
        <v>9</v>
      </c>
      <c r="F371" s="27" t="s">
        <v>73</v>
      </c>
    </row>
    <row r="372" spans="1:6" x14ac:dyDescent="0.3">
      <c r="A372" s="15">
        <v>4</v>
      </c>
      <c r="B372" s="11">
        <v>1</v>
      </c>
      <c r="C372" s="11" t="s">
        <v>81</v>
      </c>
      <c r="D372" s="11" t="s">
        <v>29</v>
      </c>
      <c r="E372" s="15" t="s">
        <v>42</v>
      </c>
      <c r="F372" s="15" t="s">
        <v>65</v>
      </c>
    </row>
    <row r="373" spans="1:6" x14ac:dyDescent="0.3">
      <c r="A373" s="27">
        <v>4</v>
      </c>
      <c r="B373" s="11">
        <v>2</v>
      </c>
      <c r="C373" s="11" t="s">
        <v>80</v>
      </c>
      <c r="D373" s="11" t="s">
        <v>29</v>
      </c>
      <c r="E373" s="27" t="s">
        <v>42</v>
      </c>
      <c r="F373" s="27" t="s">
        <v>60</v>
      </c>
    </row>
    <row r="374" spans="1:6" x14ac:dyDescent="0.3">
      <c r="A374" s="15">
        <v>4</v>
      </c>
      <c r="B374" s="12">
        <v>2</v>
      </c>
      <c r="C374" s="12" t="s">
        <v>80</v>
      </c>
      <c r="D374" s="15" t="s">
        <v>0</v>
      </c>
      <c r="E374" s="15" t="s">
        <v>41</v>
      </c>
      <c r="F374" s="15" t="s">
        <v>70</v>
      </c>
    </row>
    <row r="375" spans="1:6" x14ac:dyDescent="0.3">
      <c r="A375" s="27">
        <v>4</v>
      </c>
      <c r="B375" s="28">
        <v>1</v>
      </c>
      <c r="C375" s="28" t="s">
        <v>81</v>
      </c>
      <c r="D375" s="27" t="s">
        <v>40</v>
      </c>
      <c r="E375" s="27" t="s">
        <v>10</v>
      </c>
      <c r="F375" s="27" t="s">
        <v>70</v>
      </c>
    </row>
    <row r="376" spans="1:6" x14ac:dyDescent="0.3">
      <c r="A376" s="15">
        <v>4</v>
      </c>
      <c r="B376" s="12">
        <v>1</v>
      </c>
      <c r="C376" s="12" t="s">
        <v>81</v>
      </c>
      <c r="D376" s="15" t="s">
        <v>0</v>
      </c>
      <c r="E376" s="15" t="s">
        <v>41</v>
      </c>
      <c r="F376" s="15" t="s">
        <v>74</v>
      </c>
    </row>
    <row r="377" spans="1:6" x14ac:dyDescent="0.3">
      <c r="A377" s="27">
        <v>4</v>
      </c>
      <c r="B377" s="28">
        <v>2</v>
      </c>
      <c r="C377" s="28" t="s">
        <v>80</v>
      </c>
      <c r="D377" s="27" t="s">
        <v>40</v>
      </c>
      <c r="E377" s="27" t="s">
        <v>10</v>
      </c>
      <c r="F377" s="27" t="s">
        <v>74</v>
      </c>
    </row>
    <row r="378" spans="1:6" x14ac:dyDescent="0.3">
      <c r="A378" s="15">
        <v>4</v>
      </c>
      <c r="B378" s="11">
        <v>1</v>
      </c>
      <c r="C378" s="11" t="s">
        <v>81</v>
      </c>
      <c r="D378" s="11" t="s">
        <v>29</v>
      </c>
      <c r="E378" s="15" t="s">
        <v>42</v>
      </c>
      <c r="F378" s="15" t="s">
        <v>64</v>
      </c>
    </row>
    <row r="379" spans="1:6" x14ac:dyDescent="0.3">
      <c r="A379" s="27">
        <v>4</v>
      </c>
      <c r="B379" s="28">
        <v>2</v>
      </c>
      <c r="C379" s="28" t="s">
        <v>80</v>
      </c>
      <c r="D379" s="27" t="s">
        <v>0</v>
      </c>
      <c r="E379" s="27" t="s">
        <v>41</v>
      </c>
      <c r="F379" s="27" t="s">
        <v>67</v>
      </c>
    </row>
    <row r="380" spans="1:6" x14ac:dyDescent="0.3">
      <c r="A380" s="15">
        <v>4</v>
      </c>
      <c r="B380" s="12">
        <v>2</v>
      </c>
      <c r="C380" s="12" t="s">
        <v>80</v>
      </c>
      <c r="D380" s="15" t="s">
        <v>40</v>
      </c>
      <c r="E380" s="15" t="s">
        <v>9</v>
      </c>
      <c r="F380" s="15" t="s">
        <v>67</v>
      </c>
    </row>
    <row r="381" spans="1:6" x14ac:dyDescent="0.3">
      <c r="A381" s="27">
        <v>4</v>
      </c>
      <c r="B381" s="11">
        <v>1</v>
      </c>
      <c r="C381" s="11" t="s">
        <v>81</v>
      </c>
      <c r="D381" s="11" t="s">
        <v>29</v>
      </c>
      <c r="E381" s="27" t="s">
        <v>42</v>
      </c>
      <c r="F381" s="27" t="s">
        <v>66</v>
      </c>
    </row>
    <row r="382" spans="1:6" x14ac:dyDescent="0.3">
      <c r="A382" s="15">
        <v>4</v>
      </c>
      <c r="B382" s="12">
        <v>2</v>
      </c>
      <c r="C382" s="12" t="s">
        <v>80</v>
      </c>
      <c r="D382" s="15" t="s">
        <v>0</v>
      </c>
      <c r="E382" s="15" t="s">
        <v>41</v>
      </c>
      <c r="F382" s="15" t="s">
        <v>72</v>
      </c>
    </row>
    <row r="383" spans="1:6" x14ac:dyDescent="0.3">
      <c r="A383" s="27">
        <v>4</v>
      </c>
      <c r="B383" s="28">
        <v>1</v>
      </c>
      <c r="C383" s="28" t="s">
        <v>81</v>
      </c>
      <c r="D383" s="27" t="s">
        <v>40</v>
      </c>
      <c r="E383" s="27" t="s">
        <v>10</v>
      </c>
      <c r="F383" s="27" t="s">
        <v>72</v>
      </c>
    </row>
    <row r="384" spans="1:6" x14ac:dyDescent="0.3">
      <c r="A384" s="15">
        <v>4</v>
      </c>
      <c r="B384" s="12">
        <v>1</v>
      </c>
      <c r="C384" s="12" t="s">
        <v>81</v>
      </c>
      <c r="D384" s="15" t="s">
        <v>0</v>
      </c>
      <c r="E384" s="15" t="s">
        <v>41</v>
      </c>
      <c r="F384" s="15" t="s">
        <v>68</v>
      </c>
    </row>
    <row r="385" spans="1:6" x14ac:dyDescent="0.3">
      <c r="A385" s="27">
        <v>4</v>
      </c>
      <c r="B385" s="28">
        <v>1</v>
      </c>
      <c r="C385" s="28" t="s">
        <v>81</v>
      </c>
      <c r="D385" s="27" t="s">
        <v>40</v>
      </c>
      <c r="E385" s="27" t="s">
        <v>9</v>
      </c>
      <c r="F385" s="27" t="s">
        <v>68</v>
      </c>
    </row>
    <row r="386" spans="1:6" x14ac:dyDescent="0.3">
      <c r="A386" s="15">
        <v>4</v>
      </c>
      <c r="B386" s="11">
        <v>2</v>
      </c>
      <c r="C386" s="11" t="s">
        <v>80</v>
      </c>
      <c r="D386" s="11" t="s">
        <v>29</v>
      </c>
      <c r="E386" s="15" t="s">
        <v>42</v>
      </c>
      <c r="F386" s="15" t="s">
        <v>63</v>
      </c>
    </row>
    <row r="387" spans="1:6" x14ac:dyDescent="0.3">
      <c r="A387" s="27">
        <v>4</v>
      </c>
      <c r="B387" s="11">
        <v>1</v>
      </c>
      <c r="C387" s="11" t="s">
        <v>81</v>
      </c>
      <c r="D387" s="11" t="s">
        <v>29</v>
      </c>
      <c r="E387" s="27" t="s">
        <v>42</v>
      </c>
      <c r="F387" s="27" t="s">
        <v>61</v>
      </c>
    </row>
    <row r="388" spans="1:6" x14ac:dyDescent="0.3">
      <c r="A388" s="15">
        <v>4</v>
      </c>
      <c r="B388" s="11">
        <v>2</v>
      </c>
      <c r="C388" s="11" t="s">
        <v>80</v>
      </c>
      <c r="D388" s="11" t="s">
        <v>29</v>
      </c>
      <c r="E388" s="15" t="s">
        <v>42</v>
      </c>
      <c r="F388" s="15" t="s">
        <v>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8"/>
  <sheetViews>
    <sheetView zoomScaleNormal="100" workbookViewId="0">
      <selection activeCell="J17" sqref="J17"/>
    </sheetView>
  </sheetViews>
  <sheetFormatPr defaultRowHeight="14.4" x14ac:dyDescent="0.3"/>
  <cols>
    <col min="2" max="2" width="11.6640625" customWidth="1"/>
    <col min="3" max="3" width="11" customWidth="1"/>
    <col min="5" max="5" width="12" customWidth="1"/>
    <col min="6" max="6" width="10.6640625" customWidth="1"/>
  </cols>
  <sheetData>
    <row r="1" spans="1:6" x14ac:dyDescent="0.3">
      <c r="A1" s="21" t="s">
        <v>83</v>
      </c>
      <c r="B1" s="21" t="s">
        <v>75</v>
      </c>
      <c r="C1" s="21" t="s">
        <v>76</v>
      </c>
      <c r="D1" s="21" t="s">
        <v>77</v>
      </c>
      <c r="E1" s="21" t="s">
        <v>78</v>
      </c>
      <c r="F1" s="21" t="s">
        <v>79</v>
      </c>
    </row>
    <row r="2" spans="1:6" x14ac:dyDescent="0.3">
      <c r="A2" s="12">
        <v>1</v>
      </c>
      <c r="B2" s="14">
        <v>2</v>
      </c>
      <c r="C2" s="13" t="s">
        <v>80</v>
      </c>
      <c r="D2" s="8" t="s">
        <v>29</v>
      </c>
      <c r="E2" s="15" t="s">
        <v>42</v>
      </c>
      <c r="F2" s="15" t="s">
        <v>69</v>
      </c>
    </row>
    <row r="3" spans="1:6" x14ac:dyDescent="0.3">
      <c r="A3" s="28">
        <v>1</v>
      </c>
      <c r="B3" s="27">
        <v>2</v>
      </c>
      <c r="C3" s="27" t="s">
        <v>80</v>
      </c>
      <c r="D3" s="27" t="s">
        <v>0</v>
      </c>
      <c r="E3" s="27" t="s">
        <v>41</v>
      </c>
      <c r="F3" s="27" t="s">
        <v>47</v>
      </c>
    </row>
    <row r="4" spans="1:6" x14ac:dyDescent="0.3">
      <c r="A4" s="12">
        <v>1</v>
      </c>
      <c r="B4" s="15">
        <v>2</v>
      </c>
      <c r="C4" s="15" t="s">
        <v>80</v>
      </c>
      <c r="D4" s="15" t="s">
        <v>40</v>
      </c>
      <c r="E4" s="15" t="s">
        <v>9</v>
      </c>
      <c r="F4" s="15" t="s">
        <v>47</v>
      </c>
    </row>
    <row r="5" spans="1:6" x14ac:dyDescent="0.3">
      <c r="A5" s="28">
        <v>1</v>
      </c>
      <c r="B5" s="14">
        <v>1</v>
      </c>
      <c r="C5" s="14" t="s">
        <v>81</v>
      </c>
      <c r="D5" s="8" t="s">
        <v>29</v>
      </c>
      <c r="E5" s="27" t="s">
        <v>42</v>
      </c>
      <c r="F5" s="27" t="s">
        <v>72</v>
      </c>
    </row>
    <row r="6" spans="1:6" x14ac:dyDescent="0.3">
      <c r="A6" s="12">
        <v>1</v>
      </c>
      <c r="B6" s="14">
        <v>2</v>
      </c>
      <c r="C6" s="13" t="s">
        <v>80</v>
      </c>
      <c r="D6" s="8" t="s">
        <v>29</v>
      </c>
      <c r="E6" s="15" t="s">
        <v>42</v>
      </c>
      <c r="F6" s="15" t="s">
        <v>70</v>
      </c>
    </row>
    <row r="7" spans="1:6" x14ac:dyDescent="0.3">
      <c r="A7" s="28">
        <v>1</v>
      </c>
      <c r="B7" s="14">
        <v>1</v>
      </c>
      <c r="C7" s="14" t="s">
        <v>81</v>
      </c>
      <c r="D7" s="8" t="s">
        <v>29</v>
      </c>
      <c r="E7" s="27" t="s">
        <v>42</v>
      </c>
      <c r="F7" s="27" t="s">
        <v>74</v>
      </c>
    </row>
    <row r="8" spans="1:6" x14ac:dyDescent="0.3">
      <c r="A8" s="12">
        <v>1</v>
      </c>
      <c r="B8" s="15">
        <v>2</v>
      </c>
      <c r="C8" s="15" t="s">
        <v>80</v>
      </c>
      <c r="D8" s="15" t="s">
        <v>0</v>
      </c>
      <c r="E8" s="15" t="s">
        <v>41</v>
      </c>
      <c r="F8" s="15" t="s">
        <v>50</v>
      </c>
    </row>
    <row r="9" spans="1:6" x14ac:dyDescent="0.3">
      <c r="A9" s="28">
        <v>1</v>
      </c>
      <c r="B9" s="27">
        <v>2</v>
      </c>
      <c r="C9" s="15" t="s">
        <v>80</v>
      </c>
      <c r="D9" s="27" t="s">
        <v>40</v>
      </c>
      <c r="E9" s="27" t="s">
        <v>9</v>
      </c>
      <c r="F9" s="27" t="s">
        <v>50</v>
      </c>
    </row>
    <row r="10" spans="1:6" x14ac:dyDescent="0.3">
      <c r="A10" s="12">
        <v>1</v>
      </c>
      <c r="B10" s="15">
        <v>2</v>
      </c>
      <c r="C10" s="15" t="s">
        <v>80</v>
      </c>
      <c r="D10" s="15" t="s">
        <v>0</v>
      </c>
      <c r="E10" s="15" t="s">
        <v>41</v>
      </c>
      <c r="F10" s="15" t="s">
        <v>49</v>
      </c>
    </row>
    <row r="11" spans="1:6" x14ac:dyDescent="0.3">
      <c r="A11" s="28">
        <v>1</v>
      </c>
      <c r="B11" s="27">
        <v>1</v>
      </c>
      <c r="C11" s="27" t="s">
        <v>81</v>
      </c>
      <c r="D11" s="27" t="s">
        <v>40</v>
      </c>
      <c r="E11" s="27" t="s">
        <v>10</v>
      </c>
      <c r="F11" s="27" t="s">
        <v>49</v>
      </c>
    </row>
    <row r="12" spans="1:6" x14ac:dyDescent="0.3">
      <c r="A12" s="12">
        <v>1</v>
      </c>
      <c r="B12" s="14">
        <v>1</v>
      </c>
      <c r="C12" s="13" t="s">
        <v>81</v>
      </c>
      <c r="D12" s="8" t="s">
        <v>29</v>
      </c>
      <c r="E12" s="15" t="s">
        <v>42</v>
      </c>
      <c r="F12" s="15" t="s">
        <v>71</v>
      </c>
    </row>
    <row r="13" spans="1:6" x14ac:dyDescent="0.3">
      <c r="A13" s="28">
        <v>1</v>
      </c>
      <c r="B13" s="27">
        <v>1</v>
      </c>
      <c r="C13" s="27" t="s">
        <v>81</v>
      </c>
      <c r="D13" s="27" t="s">
        <v>0</v>
      </c>
      <c r="E13" s="27" t="s">
        <v>41</v>
      </c>
      <c r="F13" s="27" t="s">
        <v>45</v>
      </c>
    </row>
    <row r="14" spans="1:6" x14ac:dyDescent="0.3">
      <c r="A14" s="12">
        <v>1</v>
      </c>
      <c r="B14" s="15">
        <v>2</v>
      </c>
      <c r="C14" s="15" t="s">
        <v>80</v>
      </c>
      <c r="D14" s="15" t="s">
        <v>40</v>
      </c>
      <c r="E14" s="15" t="s">
        <v>10</v>
      </c>
      <c r="F14" s="15" t="s">
        <v>45</v>
      </c>
    </row>
    <row r="15" spans="1:6" x14ac:dyDescent="0.3">
      <c r="A15" s="28">
        <v>1</v>
      </c>
      <c r="B15" s="27">
        <v>2</v>
      </c>
      <c r="C15" s="27" t="s">
        <v>80</v>
      </c>
      <c r="D15" s="27" t="s">
        <v>0</v>
      </c>
      <c r="E15" s="27" t="s">
        <v>41</v>
      </c>
      <c r="F15" s="27" t="s">
        <v>44</v>
      </c>
    </row>
    <row r="16" spans="1:6" x14ac:dyDescent="0.3">
      <c r="A16" s="12">
        <v>1</v>
      </c>
      <c r="B16" s="15">
        <v>1</v>
      </c>
      <c r="C16" s="15" t="s">
        <v>81</v>
      </c>
      <c r="D16" s="15" t="s">
        <v>40</v>
      </c>
      <c r="E16" s="15" t="s">
        <v>10</v>
      </c>
      <c r="F16" s="15" t="s">
        <v>44</v>
      </c>
    </row>
    <row r="17" spans="1:6" x14ac:dyDescent="0.3">
      <c r="A17" s="28">
        <v>1</v>
      </c>
      <c r="B17" s="14">
        <v>2</v>
      </c>
      <c r="C17" s="14" t="s">
        <v>80</v>
      </c>
      <c r="D17" s="8" t="s">
        <v>29</v>
      </c>
      <c r="E17" s="27" t="s">
        <v>42</v>
      </c>
      <c r="F17" s="27" t="s">
        <v>68</v>
      </c>
    </row>
    <row r="18" spans="1:6" x14ac:dyDescent="0.3">
      <c r="A18" s="12">
        <v>1</v>
      </c>
      <c r="B18" s="15">
        <v>1</v>
      </c>
      <c r="C18" s="15" t="s">
        <v>81</v>
      </c>
      <c r="D18" s="15" t="s">
        <v>0</v>
      </c>
      <c r="E18" s="15" t="s">
        <v>41</v>
      </c>
      <c r="F18" s="15" t="s">
        <v>46</v>
      </c>
    </row>
    <row r="19" spans="1:6" x14ac:dyDescent="0.3">
      <c r="A19" s="28">
        <v>1</v>
      </c>
      <c r="B19" s="27">
        <v>1</v>
      </c>
      <c r="C19" s="15" t="s">
        <v>81</v>
      </c>
      <c r="D19" s="27" t="s">
        <v>40</v>
      </c>
      <c r="E19" s="27" t="s">
        <v>9</v>
      </c>
      <c r="F19" s="27" t="s">
        <v>46</v>
      </c>
    </row>
    <row r="20" spans="1:6" x14ac:dyDescent="0.3">
      <c r="A20" s="12">
        <v>1</v>
      </c>
      <c r="B20" s="14">
        <v>1</v>
      </c>
      <c r="C20" s="13" t="s">
        <v>81</v>
      </c>
      <c r="D20" s="8" t="s">
        <v>29</v>
      </c>
      <c r="E20" s="15" t="s">
        <v>42</v>
      </c>
      <c r="F20" s="15" t="s">
        <v>67</v>
      </c>
    </row>
    <row r="21" spans="1:6" x14ac:dyDescent="0.3">
      <c r="A21" s="28">
        <v>1</v>
      </c>
      <c r="B21" s="14">
        <v>2</v>
      </c>
      <c r="C21" s="14" t="s">
        <v>80</v>
      </c>
      <c r="D21" s="8" t="s">
        <v>29</v>
      </c>
      <c r="E21" s="27" t="s">
        <v>42</v>
      </c>
      <c r="F21" s="27" t="s">
        <v>73</v>
      </c>
    </row>
    <row r="22" spans="1:6" x14ac:dyDescent="0.3">
      <c r="A22" s="12">
        <v>1</v>
      </c>
      <c r="B22" s="15">
        <v>1</v>
      </c>
      <c r="C22" s="15" t="s">
        <v>81</v>
      </c>
      <c r="D22" s="15" t="s">
        <v>0</v>
      </c>
      <c r="E22" s="15" t="s">
        <v>41</v>
      </c>
      <c r="F22" s="15" t="s">
        <v>43</v>
      </c>
    </row>
    <row r="23" spans="1:6" x14ac:dyDescent="0.3">
      <c r="A23" s="28">
        <v>1</v>
      </c>
      <c r="B23" s="27">
        <v>1</v>
      </c>
      <c r="C23" s="15" t="s">
        <v>81</v>
      </c>
      <c r="D23" s="27" t="s">
        <v>40</v>
      </c>
      <c r="E23" s="27" t="s">
        <v>9</v>
      </c>
      <c r="F23" s="27" t="s">
        <v>43</v>
      </c>
    </row>
    <row r="24" spans="1:6" x14ac:dyDescent="0.3">
      <c r="A24" s="12">
        <v>1</v>
      </c>
      <c r="B24" s="15">
        <v>1</v>
      </c>
      <c r="C24" s="15" t="s">
        <v>81</v>
      </c>
      <c r="D24" s="15" t="s">
        <v>0</v>
      </c>
      <c r="E24" s="15" t="s">
        <v>41</v>
      </c>
      <c r="F24" s="15" t="s">
        <v>48</v>
      </c>
    </row>
    <row r="25" spans="1:6" x14ac:dyDescent="0.3">
      <c r="A25" s="28">
        <v>1</v>
      </c>
      <c r="B25" s="27">
        <v>2</v>
      </c>
      <c r="C25" s="27" t="s">
        <v>80</v>
      </c>
      <c r="D25" s="27" t="s">
        <v>40</v>
      </c>
      <c r="E25" s="27" t="s">
        <v>10</v>
      </c>
      <c r="F25" s="27" t="s">
        <v>48</v>
      </c>
    </row>
    <row r="26" spans="1:6" x14ac:dyDescent="0.3">
      <c r="A26" s="4">
        <v>2</v>
      </c>
      <c r="B26" s="4">
        <v>1</v>
      </c>
      <c r="C26" s="4" t="s">
        <v>81</v>
      </c>
      <c r="D26" s="4" t="s">
        <v>0</v>
      </c>
      <c r="E26" s="4" t="s">
        <v>41</v>
      </c>
      <c r="F26" s="4" t="s">
        <v>51</v>
      </c>
    </row>
    <row r="27" spans="1:6" x14ac:dyDescent="0.3">
      <c r="A27" s="15">
        <v>2</v>
      </c>
      <c r="B27" s="15">
        <v>1</v>
      </c>
      <c r="C27" s="15" t="s">
        <v>81</v>
      </c>
      <c r="D27" s="15" t="s">
        <v>40</v>
      </c>
      <c r="E27" s="15" t="s">
        <v>9</v>
      </c>
      <c r="F27" s="15" t="s">
        <v>51</v>
      </c>
    </row>
    <row r="28" spans="1:6" x14ac:dyDescent="0.3">
      <c r="A28" s="4">
        <v>2</v>
      </c>
      <c r="B28" s="9">
        <v>2</v>
      </c>
      <c r="C28" s="9" t="s">
        <v>80</v>
      </c>
      <c r="D28" s="9" t="s">
        <v>29</v>
      </c>
      <c r="E28" s="4" t="s">
        <v>42</v>
      </c>
      <c r="F28" s="4" t="s">
        <v>47</v>
      </c>
    </row>
    <row r="29" spans="1:6" x14ac:dyDescent="0.3">
      <c r="A29" s="15">
        <v>2</v>
      </c>
      <c r="B29" s="15">
        <v>1</v>
      </c>
      <c r="C29" s="15" t="s">
        <v>81</v>
      </c>
      <c r="D29" s="15" t="s">
        <v>0</v>
      </c>
      <c r="E29" s="15" t="s">
        <v>41</v>
      </c>
      <c r="F29" s="15" t="s">
        <v>55</v>
      </c>
    </row>
    <row r="30" spans="1:6" x14ac:dyDescent="0.3">
      <c r="A30" s="4">
        <v>2</v>
      </c>
      <c r="B30" s="4">
        <v>1</v>
      </c>
      <c r="C30" s="4" t="s">
        <v>81</v>
      </c>
      <c r="D30" s="4" t="s">
        <v>40</v>
      </c>
      <c r="E30" s="4" t="s">
        <v>9</v>
      </c>
      <c r="F30" s="4" t="s">
        <v>55</v>
      </c>
    </row>
    <row r="31" spans="1:6" x14ac:dyDescent="0.3">
      <c r="A31" s="15">
        <v>2</v>
      </c>
      <c r="B31" s="9">
        <v>2</v>
      </c>
      <c r="C31" s="9" t="s">
        <v>80</v>
      </c>
      <c r="D31" s="9" t="s">
        <v>29</v>
      </c>
      <c r="E31" s="15" t="s">
        <v>42</v>
      </c>
      <c r="F31" s="15" t="s">
        <v>50</v>
      </c>
    </row>
    <row r="32" spans="1:6" x14ac:dyDescent="0.3">
      <c r="A32" s="15">
        <v>2</v>
      </c>
      <c r="B32" s="15">
        <v>1</v>
      </c>
      <c r="C32" s="15" t="s">
        <v>81</v>
      </c>
      <c r="D32" s="15" t="s">
        <v>0</v>
      </c>
      <c r="E32" s="15" t="s">
        <v>41</v>
      </c>
      <c r="F32" s="15" t="s">
        <v>53</v>
      </c>
    </row>
    <row r="33" spans="1:6" x14ac:dyDescent="0.3">
      <c r="A33" s="27">
        <v>2</v>
      </c>
      <c r="B33" s="27">
        <v>1</v>
      </c>
      <c r="C33" s="27" t="s">
        <v>80</v>
      </c>
      <c r="D33" s="27" t="s">
        <v>40</v>
      </c>
      <c r="E33" s="27" t="s">
        <v>10</v>
      </c>
      <c r="F33" s="27" t="s">
        <v>53</v>
      </c>
    </row>
    <row r="34" spans="1:6" x14ac:dyDescent="0.3">
      <c r="A34" s="4">
        <v>2</v>
      </c>
      <c r="B34" s="4">
        <v>2</v>
      </c>
      <c r="C34" s="4" t="s">
        <v>80</v>
      </c>
      <c r="D34" s="4" t="s">
        <v>0</v>
      </c>
      <c r="E34" s="4" t="s">
        <v>41</v>
      </c>
      <c r="F34" s="4" t="s">
        <v>57</v>
      </c>
    </row>
    <row r="35" spans="1:6" x14ac:dyDescent="0.3">
      <c r="A35" s="15">
        <v>2</v>
      </c>
      <c r="B35" s="15">
        <v>1</v>
      </c>
      <c r="C35" s="15" t="s">
        <v>81</v>
      </c>
      <c r="D35" s="15" t="s">
        <v>40</v>
      </c>
      <c r="E35" s="15" t="s">
        <v>10</v>
      </c>
      <c r="F35" s="15" t="s">
        <v>57</v>
      </c>
    </row>
    <row r="36" spans="1:6" x14ac:dyDescent="0.3">
      <c r="A36" s="4">
        <v>2</v>
      </c>
      <c r="B36" s="9">
        <v>1</v>
      </c>
      <c r="C36" s="9" t="s">
        <v>81</v>
      </c>
      <c r="D36" s="9" t="s">
        <v>29</v>
      </c>
      <c r="E36" s="4" t="s">
        <v>42</v>
      </c>
      <c r="F36" s="4" t="s">
        <v>49</v>
      </c>
    </row>
    <row r="37" spans="1:6" x14ac:dyDescent="0.3">
      <c r="A37" s="15">
        <v>2</v>
      </c>
      <c r="B37" s="9">
        <v>2</v>
      </c>
      <c r="C37" s="9" t="s">
        <v>80</v>
      </c>
      <c r="D37" s="9" t="s">
        <v>29</v>
      </c>
      <c r="E37" s="15" t="s">
        <v>42</v>
      </c>
      <c r="F37" s="15" t="s">
        <v>45</v>
      </c>
    </row>
    <row r="38" spans="1:6" x14ac:dyDescent="0.3">
      <c r="A38" s="4">
        <v>2</v>
      </c>
      <c r="B38" s="9">
        <v>1</v>
      </c>
      <c r="C38" s="9" t="s">
        <v>81</v>
      </c>
      <c r="D38" s="9" t="s">
        <v>29</v>
      </c>
      <c r="E38" s="4" t="s">
        <v>42</v>
      </c>
      <c r="F38" s="4" t="s">
        <v>44</v>
      </c>
    </row>
    <row r="39" spans="1:6" x14ac:dyDescent="0.3">
      <c r="A39" s="15">
        <v>2</v>
      </c>
      <c r="B39" s="15">
        <v>1</v>
      </c>
      <c r="C39" s="15" t="s">
        <v>81</v>
      </c>
      <c r="D39" s="15" t="s">
        <v>0</v>
      </c>
      <c r="E39" s="15" t="s">
        <v>41</v>
      </c>
      <c r="F39" s="15" t="s">
        <v>52</v>
      </c>
    </row>
    <row r="40" spans="1:6" x14ac:dyDescent="0.3">
      <c r="A40" s="4">
        <v>2</v>
      </c>
      <c r="B40" s="4">
        <v>2</v>
      </c>
      <c r="C40" s="4" t="s">
        <v>80</v>
      </c>
      <c r="D40" s="4" t="s">
        <v>40</v>
      </c>
      <c r="E40" s="4" t="s">
        <v>10</v>
      </c>
      <c r="F40" s="4" t="s">
        <v>52</v>
      </c>
    </row>
    <row r="41" spans="1:6" x14ac:dyDescent="0.3">
      <c r="A41" s="15">
        <v>2</v>
      </c>
      <c r="B41" s="15">
        <v>2</v>
      </c>
      <c r="C41" s="15" t="s">
        <v>80</v>
      </c>
      <c r="D41" s="15" t="s">
        <v>0</v>
      </c>
      <c r="E41" s="15" t="s">
        <v>41</v>
      </c>
      <c r="F41" s="15" t="s">
        <v>56</v>
      </c>
    </row>
    <row r="42" spans="1:6" x14ac:dyDescent="0.3">
      <c r="A42" s="4">
        <v>2</v>
      </c>
      <c r="B42" s="4">
        <v>2</v>
      </c>
      <c r="C42" s="4" t="s">
        <v>80</v>
      </c>
      <c r="D42" s="4" t="s">
        <v>40</v>
      </c>
      <c r="E42" s="4" t="s">
        <v>9</v>
      </c>
      <c r="F42" s="4" t="s">
        <v>56</v>
      </c>
    </row>
    <row r="43" spans="1:6" x14ac:dyDescent="0.3">
      <c r="A43" s="15">
        <v>2</v>
      </c>
      <c r="B43" s="9">
        <v>1</v>
      </c>
      <c r="C43" s="9" t="s">
        <v>81</v>
      </c>
      <c r="D43" s="9" t="s">
        <v>29</v>
      </c>
      <c r="E43" s="15" t="s">
        <v>42</v>
      </c>
      <c r="F43" s="15" t="s">
        <v>46</v>
      </c>
    </row>
    <row r="44" spans="1:6" x14ac:dyDescent="0.3">
      <c r="A44" s="4">
        <v>2</v>
      </c>
      <c r="B44" s="4">
        <v>2</v>
      </c>
      <c r="C44" s="4" t="s">
        <v>80</v>
      </c>
      <c r="D44" s="4" t="s">
        <v>0</v>
      </c>
      <c r="E44" s="4" t="s">
        <v>41</v>
      </c>
      <c r="F44" s="4" t="s">
        <v>54</v>
      </c>
    </row>
    <row r="45" spans="1:6" x14ac:dyDescent="0.3">
      <c r="A45" s="15">
        <v>2</v>
      </c>
      <c r="B45" s="15">
        <v>2</v>
      </c>
      <c r="C45" s="15" t="s">
        <v>80</v>
      </c>
      <c r="D45" s="15" t="s">
        <v>40</v>
      </c>
      <c r="E45" s="15" t="s">
        <v>9</v>
      </c>
      <c r="F45" s="15" t="s">
        <v>54</v>
      </c>
    </row>
    <row r="46" spans="1:6" x14ac:dyDescent="0.3">
      <c r="A46" s="4">
        <v>2</v>
      </c>
      <c r="B46" s="9">
        <v>1</v>
      </c>
      <c r="C46" s="9" t="s">
        <v>81</v>
      </c>
      <c r="D46" s="9" t="s">
        <v>29</v>
      </c>
      <c r="E46" s="4" t="s">
        <v>42</v>
      </c>
      <c r="F46" s="4" t="s">
        <v>43</v>
      </c>
    </row>
    <row r="47" spans="1:6" x14ac:dyDescent="0.3">
      <c r="A47" s="15">
        <v>2</v>
      </c>
      <c r="B47" s="9">
        <v>2</v>
      </c>
      <c r="C47" s="9" t="s">
        <v>80</v>
      </c>
      <c r="D47" s="9" t="s">
        <v>29</v>
      </c>
      <c r="E47" s="15" t="s">
        <v>42</v>
      </c>
      <c r="F47" s="15" t="s">
        <v>48</v>
      </c>
    </row>
    <row r="48" spans="1:6" x14ac:dyDescent="0.3">
      <c r="A48" s="4">
        <v>2</v>
      </c>
      <c r="B48" s="4">
        <v>2</v>
      </c>
      <c r="C48" s="4" t="s">
        <v>80</v>
      </c>
      <c r="D48" s="4" t="s">
        <v>0</v>
      </c>
      <c r="E48" s="4" t="s">
        <v>41</v>
      </c>
      <c r="F48" s="4" t="s">
        <v>58</v>
      </c>
    </row>
    <row r="49" spans="1:6" x14ac:dyDescent="0.3">
      <c r="A49" s="15">
        <v>2</v>
      </c>
      <c r="B49" s="15">
        <v>1</v>
      </c>
      <c r="C49" s="15" t="s">
        <v>81</v>
      </c>
      <c r="D49" s="15" t="s">
        <v>40</v>
      </c>
      <c r="E49" s="15" t="s">
        <v>10</v>
      </c>
      <c r="F49" s="15" t="s">
        <v>58</v>
      </c>
    </row>
    <row r="50" spans="1:6" x14ac:dyDescent="0.3">
      <c r="A50" s="12">
        <v>3</v>
      </c>
      <c r="B50" s="15">
        <v>1</v>
      </c>
      <c r="C50" s="15" t="s">
        <v>81</v>
      </c>
      <c r="D50" s="15" t="s">
        <v>0</v>
      </c>
      <c r="E50" s="15" t="s">
        <v>41</v>
      </c>
      <c r="F50" s="15" t="s">
        <v>63</v>
      </c>
    </row>
    <row r="51" spans="1:6" x14ac:dyDescent="0.3">
      <c r="A51" s="28">
        <v>3</v>
      </c>
      <c r="B51" s="27">
        <v>2</v>
      </c>
      <c r="C51" s="27" t="s">
        <v>80</v>
      </c>
      <c r="D51" s="27" t="s">
        <v>40</v>
      </c>
      <c r="E51" s="27" t="s">
        <v>10</v>
      </c>
      <c r="F51" s="27" t="s">
        <v>63</v>
      </c>
    </row>
    <row r="52" spans="1:6" x14ac:dyDescent="0.3">
      <c r="A52" s="12">
        <v>3</v>
      </c>
      <c r="B52" s="15">
        <v>2</v>
      </c>
      <c r="C52" s="15" t="s">
        <v>80</v>
      </c>
      <c r="D52" s="15" t="s">
        <v>0</v>
      </c>
      <c r="E52" s="15" t="s">
        <v>41</v>
      </c>
      <c r="F52" s="15" t="s">
        <v>59</v>
      </c>
    </row>
    <row r="53" spans="1:6" x14ac:dyDescent="0.3">
      <c r="A53" s="28">
        <v>3</v>
      </c>
      <c r="B53" s="27">
        <v>1</v>
      </c>
      <c r="C53" s="27" t="s">
        <v>81</v>
      </c>
      <c r="D53" s="27" t="s">
        <v>40</v>
      </c>
      <c r="E53" s="27" t="s">
        <v>10</v>
      </c>
      <c r="F53" s="27" t="s">
        <v>59</v>
      </c>
    </row>
    <row r="54" spans="1:6" x14ac:dyDescent="0.3">
      <c r="A54" s="12">
        <v>3</v>
      </c>
      <c r="B54" s="10">
        <v>2</v>
      </c>
      <c r="C54" s="10" t="s">
        <v>80</v>
      </c>
      <c r="D54" s="10" t="s">
        <v>29</v>
      </c>
      <c r="E54" s="15" t="s">
        <v>42</v>
      </c>
      <c r="F54" s="15" t="s">
        <v>51</v>
      </c>
    </row>
    <row r="55" spans="1:6" x14ac:dyDescent="0.3">
      <c r="A55" s="28">
        <v>3</v>
      </c>
      <c r="B55" s="10">
        <v>1</v>
      </c>
      <c r="C55" s="10" t="s">
        <v>81</v>
      </c>
      <c r="D55" s="10" t="s">
        <v>29</v>
      </c>
      <c r="E55" s="27" t="s">
        <v>42</v>
      </c>
      <c r="F55" s="27" t="s">
        <v>55</v>
      </c>
    </row>
    <row r="56" spans="1:6" x14ac:dyDescent="0.3">
      <c r="A56" s="12">
        <v>3</v>
      </c>
      <c r="B56" s="15">
        <v>1</v>
      </c>
      <c r="C56" s="15" t="s">
        <v>81</v>
      </c>
      <c r="D56" s="15" t="s">
        <v>0</v>
      </c>
      <c r="E56" s="15" t="s">
        <v>41</v>
      </c>
      <c r="F56" s="15" t="s">
        <v>65</v>
      </c>
    </row>
    <row r="57" spans="1:6" x14ac:dyDescent="0.3">
      <c r="A57" s="28">
        <v>3</v>
      </c>
      <c r="B57" s="27">
        <v>2</v>
      </c>
      <c r="C57" s="27" t="s">
        <v>80</v>
      </c>
      <c r="D57" s="27" t="s">
        <v>40</v>
      </c>
      <c r="E57" s="27" t="s">
        <v>10</v>
      </c>
      <c r="F57" s="27" t="s">
        <v>65</v>
      </c>
    </row>
    <row r="58" spans="1:6" x14ac:dyDescent="0.3">
      <c r="A58" s="12">
        <v>3</v>
      </c>
      <c r="B58" s="10">
        <v>1</v>
      </c>
      <c r="C58" s="10" t="s">
        <v>81</v>
      </c>
      <c r="D58" s="10" t="s">
        <v>29</v>
      </c>
      <c r="E58" s="15" t="s">
        <v>42</v>
      </c>
      <c r="F58" s="15" t="s">
        <v>53</v>
      </c>
    </row>
    <row r="59" spans="1:6" x14ac:dyDescent="0.3">
      <c r="A59" s="28">
        <v>3</v>
      </c>
      <c r="B59" s="27">
        <v>2</v>
      </c>
      <c r="C59" s="27" t="s">
        <v>80</v>
      </c>
      <c r="D59" s="27" t="s">
        <v>0</v>
      </c>
      <c r="E59" s="27" t="s">
        <v>41</v>
      </c>
      <c r="F59" s="27" t="s">
        <v>61</v>
      </c>
    </row>
    <row r="60" spans="1:6" x14ac:dyDescent="0.3">
      <c r="A60" s="12">
        <v>3</v>
      </c>
      <c r="B60" s="15">
        <v>2</v>
      </c>
      <c r="C60" s="15" t="s">
        <v>80</v>
      </c>
      <c r="D60" s="15" t="s">
        <v>40</v>
      </c>
      <c r="E60" s="15" t="s">
        <v>9</v>
      </c>
      <c r="F60" s="15" t="s">
        <v>61</v>
      </c>
    </row>
    <row r="61" spans="1:6" x14ac:dyDescent="0.3">
      <c r="A61" s="28">
        <v>3</v>
      </c>
      <c r="B61" s="10">
        <v>1</v>
      </c>
      <c r="C61" s="10" t="s">
        <v>81</v>
      </c>
      <c r="D61" s="10" t="s">
        <v>29</v>
      </c>
      <c r="E61" s="27" t="s">
        <v>42</v>
      </c>
      <c r="F61" s="27" t="s">
        <v>57</v>
      </c>
    </row>
    <row r="62" spans="1:6" x14ac:dyDescent="0.3">
      <c r="A62" s="12">
        <v>3</v>
      </c>
      <c r="B62" s="10">
        <v>1</v>
      </c>
      <c r="C62" s="10" t="s">
        <v>81</v>
      </c>
      <c r="D62" s="10" t="s">
        <v>29</v>
      </c>
      <c r="E62" s="15" t="s">
        <v>42</v>
      </c>
      <c r="F62" s="15" t="s">
        <v>52</v>
      </c>
    </row>
    <row r="63" spans="1:6" x14ac:dyDescent="0.3">
      <c r="A63" s="28">
        <v>3</v>
      </c>
      <c r="B63" s="27">
        <v>2</v>
      </c>
      <c r="C63" s="27" t="s">
        <v>80</v>
      </c>
      <c r="D63" s="27" t="s">
        <v>0</v>
      </c>
      <c r="E63" s="27" t="s">
        <v>41</v>
      </c>
      <c r="F63" s="27" t="s">
        <v>60</v>
      </c>
    </row>
    <row r="64" spans="1:6" x14ac:dyDescent="0.3">
      <c r="A64" s="12">
        <v>3</v>
      </c>
      <c r="B64" s="15">
        <v>2</v>
      </c>
      <c r="C64" s="15" t="s">
        <v>80</v>
      </c>
      <c r="D64" s="15" t="s">
        <v>40</v>
      </c>
      <c r="E64" s="15" t="s">
        <v>9</v>
      </c>
      <c r="F64" s="15" t="s">
        <v>60</v>
      </c>
    </row>
    <row r="65" spans="1:6" x14ac:dyDescent="0.3">
      <c r="A65" s="28">
        <v>3</v>
      </c>
      <c r="B65" s="27">
        <v>2</v>
      </c>
      <c r="C65" s="27" t="s">
        <v>80</v>
      </c>
      <c r="D65" s="27" t="s">
        <v>0</v>
      </c>
      <c r="E65" s="27" t="s">
        <v>41</v>
      </c>
      <c r="F65" s="27" t="s">
        <v>66</v>
      </c>
    </row>
    <row r="66" spans="1:6" x14ac:dyDescent="0.3">
      <c r="A66" s="12">
        <v>3</v>
      </c>
      <c r="B66" s="15">
        <v>1</v>
      </c>
      <c r="C66" s="15" t="s">
        <v>81</v>
      </c>
      <c r="D66" s="15" t="s">
        <v>40</v>
      </c>
      <c r="E66" s="15" t="s">
        <v>10</v>
      </c>
      <c r="F66" s="15" t="s">
        <v>66</v>
      </c>
    </row>
    <row r="67" spans="1:6" x14ac:dyDescent="0.3">
      <c r="A67" s="28">
        <v>3</v>
      </c>
      <c r="B67" s="10">
        <v>2</v>
      </c>
      <c r="C67" s="10" t="s">
        <v>80</v>
      </c>
      <c r="D67" s="10" t="s">
        <v>29</v>
      </c>
      <c r="E67" s="27" t="s">
        <v>42</v>
      </c>
      <c r="F67" s="27" t="s">
        <v>56</v>
      </c>
    </row>
    <row r="68" spans="1:6" x14ac:dyDescent="0.3">
      <c r="A68" s="12">
        <v>3</v>
      </c>
      <c r="B68" s="10">
        <v>2</v>
      </c>
      <c r="C68" s="10" t="s">
        <v>80</v>
      </c>
      <c r="D68" s="10" t="s">
        <v>29</v>
      </c>
      <c r="E68" s="15" t="s">
        <v>42</v>
      </c>
      <c r="F68" s="15" t="s">
        <v>54</v>
      </c>
    </row>
    <row r="69" spans="1:6" x14ac:dyDescent="0.3">
      <c r="A69" s="28">
        <v>3</v>
      </c>
      <c r="B69" s="27">
        <v>1</v>
      </c>
      <c r="C69" s="27" t="s">
        <v>81</v>
      </c>
      <c r="D69" s="27" t="s">
        <v>0</v>
      </c>
      <c r="E69" s="27" t="s">
        <v>41</v>
      </c>
      <c r="F69" s="27" t="s">
        <v>64</v>
      </c>
    </row>
    <row r="70" spans="1:6" x14ac:dyDescent="0.3">
      <c r="A70" s="12">
        <v>3</v>
      </c>
      <c r="B70" s="15">
        <v>1</v>
      </c>
      <c r="C70" s="15" t="s">
        <v>81</v>
      </c>
      <c r="D70" s="15" t="s">
        <v>40</v>
      </c>
      <c r="E70" s="15" t="s">
        <v>9</v>
      </c>
      <c r="F70" s="15" t="s">
        <v>64</v>
      </c>
    </row>
    <row r="71" spans="1:6" x14ac:dyDescent="0.3">
      <c r="A71" s="28">
        <v>3</v>
      </c>
      <c r="B71" s="10">
        <v>2</v>
      </c>
      <c r="C71" s="10" t="s">
        <v>80</v>
      </c>
      <c r="D71" s="10" t="s">
        <v>29</v>
      </c>
      <c r="E71" s="27" t="s">
        <v>42</v>
      </c>
      <c r="F71" s="27" t="s">
        <v>58</v>
      </c>
    </row>
    <row r="72" spans="1:6" x14ac:dyDescent="0.3">
      <c r="A72" s="12">
        <v>3</v>
      </c>
      <c r="B72" s="15">
        <v>1</v>
      </c>
      <c r="C72" s="15" t="s">
        <v>81</v>
      </c>
      <c r="D72" s="15" t="s">
        <v>0</v>
      </c>
      <c r="E72" s="15" t="s">
        <v>41</v>
      </c>
      <c r="F72" s="15" t="s">
        <v>62</v>
      </c>
    </row>
    <row r="73" spans="1:6" x14ac:dyDescent="0.3">
      <c r="A73" s="28">
        <v>3</v>
      </c>
      <c r="B73" s="27">
        <v>1</v>
      </c>
      <c r="C73" s="27" t="s">
        <v>81</v>
      </c>
      <c r="D73" s="27" t="s">
        <v>40</v>
      </c>
      <c r="E73" s="27" t="s">
        <v>9</v>
      </c>
      <c r="F73" s="27" t="s">
        <v>62</v>
      </c>
    </row>
    <row r="74" spans="1:6" x14ac:dyDescent="0.3">
      <c r="A74" s="4">
        <v>4</v>
      </c>
      <c r="B74" s="11">
        <v>2</v>
      </c>
      <c r="C74" s="11" t="s">
        <v>80</v>
      </c>
      <c r="D74" s="11" t="s">
        <v>29</v>
      </c>
      <c r="E74" s="4" t="s">
        <v>42</v>
      </c>
      <c r="F74" s="4" t="s">
        <v>63</v>
      </c>
    </row>
    <row r="75" spans="1:6" x14ac:dyDescent="0.3">
      <c r="A75" s="15">
        <v>4</v>
      </c>
      <c r="B75" s="11">
        <v>2</v>
      </c>
      <c r="C75" s="11" t="s">
        <v>80</v>
      </c>
      <c r="D75" s="11" t="s">
        <v>29</v>
      </c>
      <c r="E75" s="15" t="s">
        <v>42</v>
      </c>
      <c r="F75" s="15" t="s">
        <v>59</v>
      </c>
    </row>
    <row r="76" spans="1:6" x14ac:dyDescent="0.3">
      <c r="A76" s="4">
        <v>4</v>
      </c>
      <c r="B76" s="4">
        <v>1</v>
      </c>
      <c r="C76" s="4" t="s">
        <v>81</v>
      </c>
      <c r="D76" s="4" t="s">
        <v>0</v>
      </c>
      <c r="E76" s="4" t="s">
        <v>41</v>
      </c>
      <c r="F76" s="4" t="s">
        <v>69</v>
      </c>
    </row>
    <row r="77" spans="1:6" x14ac:dyDescent="0.3">
      <c r="A77" s="15">
        <v>4</v>
      </c>
      <c r="B77" s="15">
        <v>1</v>
      </c>
      <c r="C77" s="15" t="s">
        <v>81</v>
      </c>
      <c r="D77" s="15" t="s">
        <v>40</v>
      </c>
      <c r="E77" s="15" t="s">
        <v>9</v>
      </c>
      <c r="F77" s="15" t="s">
        <v>69</v>
      </c>
    </row>
    <row r="78" spans="1:6" x14ac:dyDescent="0.3">
      <c r="A78" s="4">
        <v>4</v>
      </c>
      <c r="B78" s="4">
        <v>1</v>
      </c>
      <c r="C78" s="4" t="s">
        <v>81</v>
      </c>
      <c r="D78" s="4" t="s">
        <v>0</v>
      </c>
      <c r="E78" s="4" t="s">
        <v>41</v>
      </c>
      <c r="F78" s="4" t="s">
        <v>72</v>
      </c>
    </row>
    <row r="79" spans="1:6" x14ac:dyDescent="0.3">
      <c r="A79" s="15">
        <v>4</v>
      </c>
      <c r="B79" s="15">
        <v>2</v>
      </c>
      <c r="C79" s="15" t="s">
        <v>80</v>
      </c>
      <c r="D79" s="15" t="s">
        <v>40</v>
      </c>
      <c r="E79" s="15" t="s">
        <v>10</v>
      </c>
      <c r="F79" s="15" t="s">
        <v>72</v>
      </c>
    </row>
    <row r="80" spans="1:6" x14ac:dyDescent="0.3">
      <c r="A80" s="4">
        <v>4</v>
      </c>
      <c r="B80" s="11">
        <v>1</v>
      </c>
      <c r="C80" s="11" t="s">
        <v>81</v>
      </c>
      <c r="D80" s="11" t="s">
        <v>29</v>
      </c>
      <c r="E80" s="4" t="s">
        <v>42</v>
      </c>
      <c r="F80" s="4" t="s">
        <v>65</v>
      </c>
    </row>
    <row r="81" spans="1:6" x14ac:dyDescent="0.3">
      <c r="A81" s="15">
        <v>4</v>
      </c>
      <c r="B81" s="15">
        <v>2</v>
      </c>
      <c r="C81" s="15" t="s">
        <v>80</v>
      </c>
      <c r="D81" s="15" t="s">
        <v>0</v>
      </c>
      <c r="E81" s="15" t="s">
        <v>41</v>
      </c>
      <c r="F81" s="15" t="s">
        <v>70</v>
      </c>
    </row>
    <row r="82" spans="1:6" x14ac:dyDescent="0.3">
      <c r="A82" s="4">
        <v>4</v>
      </c>
      <c r="B82" s="4">
        <v>2</v>
      </c>
      <c r="C82" s="4" t="s">
        <v>80</v>
      </c>
      <c r="D82" s="4" t="s">
        <v>40</v>
      </c>
      <c r="E82" s="4" t="s">
        <v>9</v>
      </c>
      <c r="F82" s="4" t="s">
        <v>70</v>
      </c>
    </row>
    <row r="83" spans="1:6" x14ac:dyDescent="0.3">
      <c r="A83" s="15">
        <v>4</v>
      </c>
      <c r="B83" s="15">
        <v>2</v>
      </c>
      <c r="C83" s="15" t="s">
        <v>80</v>
      </c>
      <c r="D83" s="15" t="s">
        <v>0</v>
      </c>
      <c r="E83" s="15" t="s">
        <v>41</v>
      </c>
      <c r="F83" s="15" t="s">
        <v>74</v>
      </c>
    </row>
    <row r="84" spans="1:6" x14ac:dyDescent="0.3">
      <c r="A84" s="4">
        <v>4</v>
      </c>
      <c r="B84" s="4">
        <v>1</v>
      </c>
      <c r="C84" s="4" t="s">
        <v>81</v>
      </c>
      <c r="D84" s="4" t="s">
        <v>40</v>
      </c>
      <c r="E84" s="4" t="s">
        <v>10</v>
      </c>
      <c r="F84" s="4" t="s">
        <v>74</v>
      </c>
    </row>
    <row r="85" spans="1:6" x14ac:dyDescent="0.3">
      <c r="A85" s="15">
        <v>4</v>
      </c>
      <c r="B85" s="11">
        <v>2</v>
      </c>
      <c r="C85" s="11" t="s">
        <v>80</v>
      </c>
      <c r="D85" s="11" t="s">
        <v>29</v>
      </c>
      <c r="E85" s="15" t="s">
        <v>42</v>
      </c>
      <c r="F85" s="15" t="s">
        <v>61</v>
      </c>
    </row>
    <row r="86" spans="1:6" x14ac:dyDescent="0.3">
      <c r="A86" s="4">
        <v>4</v>
      </c>
      <c r="B86" s="4">
        <v>1</v>
      </c>
      <c r="C86" s="4" t="s">
        <v>81</v>
      </c>
      <c r="D86" s="4" t="s">
        <v>0</v>
      </c>
      <c r="E86" s="4" t="s">
        <v>41</v>
      </c>
      <c r="F86" s="4" t="s">
        <v>71</v>
      </c>
    </row>
    <row r="87" spans="1:6" x14ac:dyDescent="0.3">
      <c r="A87" s="15">
        <v>4</v>
      </c>
      <c r="B87" s="15">
        <v>2</v>
      </c>
      <c r="C87" s="15" t="s">
        <v>80</v>
      </c>
      <c r="D87" s="15" t="s">
        <v>40</v>
      </c>
      <c r="E87" s="15" t="s">
        <v>10</v>
      </c>
      <c r="F87" s="15" t="s">
        <v>71</v>
      </c>
    </row>
    <row r="88" spans="1:6" x14ac:dyDescent="0.3">
      <c r="A88" s="4">
        <v>4</v>
      </c>
      <c r="B88" s="4">
        <v>2</v>
      </c>
      <c r="C88" s="4" t="s">
        <v>80</v>
      </c>
      <c r="D88" s="4" t="s">
        <v>0</v>
      </c>
      <c r="E88" s="4" t="s">
        <v>41</v>
      </c>
      <c r="F88" s="4" t="s">
        <v>68</v>
      </c>
    </row>
    <row r="89" spans="1:6" x14ac:dyDescent="0.3">
      <c r="A89" s="15">
        <v>4</v>
      </c>
      <c r="B89" s="15">
        <v>2</v>
      </c>
      <c r="C89" s="15" t="s">
        <v>80</v>
      </c>
      <c r="D89" s="15" t="s">
        <v>40</v>
      </c>
      <c r="E89" s="15" t="s">
        <v>9</v>
      </c>
      <c r="F89" s="15" t="s">
        <v>68</v>
      </c>
    </row>
    <row r="90" spans="1:6" x14ac:dyDescent="0.3">
      <c r="A90" s="15">
        <v>4</v>
      </c>
      <c r="B90" s="11">
        <v>1</v>
      </c>
      <c r="C90" s="11" t="s">
        <v>81</v>
      </c>
      <c r="D90" s="11" t="s">
        <v>29</v>
      </c>
      <c r="E90" s="15" t="s">
        <v>42</v>
      </c>
      <c r="F90" s="15" t="s">
        <v>60</v>
      </c>
    </row>
    <row r="91" spans="1:6" x14ac:dyDescent="0.3">
      <c r="A91" s="4">
        <v>4</v>
      </c>
      <c r="B91" s="11">
        <v>1</v>
      </c>
      <c r="C91" s="11" t="s">
        <v>81</v>
      </c>
      <c r="D91" s="11" t="s">
        <v>29</v>
      </c>
      <c r="E91" s="4" t="s">
        <v>42</v>
      </c>
      <c r="F91" s="4" t="s">
        <v>66</v>
      </c>
    </row>
    <row r="92" spans="1:6" x14ac:dyDescent="0.3">
      <c r="A92" s="4">
        <v>4</v>
      </c>
      <c r="B92" s="4">
        <v>2</v>
      </c>
      <c r="C92" s="4" t="s">
        <v>80</v>
      </c>
      <c r="D92" s="4" t="s">
        <v>0</v>
      </c>
      <c r="E92" s="4" t="s">
        <v>41</v>
      </c>
      <c r="F92" s="4" t="s">
        <v>67</v>
      </c>
    </row>
    <row r="93" spans="1:6" x14ac:dyDescent="0.3">
      <c r="A93" s="15">
        <v>4</v>
      </c>
      <c r="B93" s="15">
        <v>1</v>
      </c>
      <c r="C93" s="15" t="s">
        <v>81</v>
      </c>
      <c r="D93" s="15" t="s">
        <v>40</v>
      </c>
      <c r="E93" s="15" t="s">
        <v>10</v>
      </c>
      <c r="F93" s="15" t="s">
        <v>67</v>
      </c>
    </row>
    <row r="94" spans="1:6" x14ac:dyDescent="0.3">
      <c r="A94" s="4">
        <v>4</v>
      </c>
      <c r="B94" s="4">
        <v>1</v>
      </c>
      <c r="C94" s="4" t="s">
        <v>81</v>
      </c>
      <c r="D94" s="4" t="s">
        <v>0</v>
      </c>
      <c r="E94" s="4" t="s">
        <v>41</v>
      </c>
      <c r="F94" s="4" t="s">
        <v>73</v>
      </c>
    </row>
    <row r="95" spans="1:6" x14ac:dyDescent="0.3">
      <c r="A95" s="15">
        <v>4</v>
      </c>
      <c r="B95" s="15">
        <v>1</v>
      </c>
      <c r="C95" s="15" t="s">
        <v>81</v>
      </c>
      <c r="D95" s="15" t="s">
        <v>40</v>
      </c>
      <c r="E95" s="15" t="s">
        <v>9</v>
      </c>
      <c r="F95" s="15" t="s">
        <v>73</v>
      </c>
    </row>
    <row r="96" spans="1:6" x14ac:dyDescent="0.3">
      <c r="A96" s="4">
        <v>4</v>
      </c>
      <c r="B96" s="11">
        <v>2</v>
      </c>
      <c r="C96" s="11" t="s">
        <v>80</v>
      </c>
      <c r="D96" s="11" t="s">
        <v>29</v>
      </c>
      <c r="E96" s="4" t="s">
        <v>42</v>
      </c>
      <c r="F96" s="4" t="s">
        <v>64</v>
      </c>
    </row>
    <row r="97" spans="1:6" x14ac:dyDescent="0.3">
      <c r="A97" s="30">
        <v>4</v>
      </c>
      <c r="B97" s="31">
        <v>1</v>
      </c>
      <c r="C97" s="31" t="s">
        <v>81</v>
      </c>
      <c r="D97" s="31" t="s">
        <v>29</v>
      </c>
      <c r="E97" s="30" t="s">
        <v>42</v>
      </c>
      <c r="F97" s="30" t="s">
        <v>62</v>
      </c>
    </row>
    <row r="98" spans="1:6" x14ac:dyDescent="0.3">
      <c r="A98" s="29" t="s">
        <v>25</v>
      </c>
      <c r="B98" s="29"/>
      <c r="C98" s="29"/>
      <c r="D98" s="29"/>
      <c r="E98" s="29"/>
      <c r="F98" s="29"/>
    </row>
    <row r="99" spans="1:6" x14ac:dyDescent="0.3">
      <c r="A99" s="12">
        <v>1</v>
      </c>
      <c r="B99" s="14">
        <v>2</v>
      </c>
      <c r="C99" s="13" t="s">
        <v>80</v>
      </c>
      <c r="D99" s="8" t="s">
        <v>29</v>
      </c>
      <c r="E99" s="15" t="s">
        <v>42</v>
      </c>
      <c r="F99" s="15" t="s">
        <v>71</v>
      </c>
    </row>
    <row r="100" spans="1:6" x14ac:dyDescent="0.3">
      <c r="A100" s="7">
        <v>1</v>
      </c>
      <c r="B100" s="7">
        <v>2</v>
      </c>
      <c r="C100" s="7" t="s">
        <v>80</v>
      </c>
      <c r="D100" s="4" t="s">
        <v>0</v>
      </c>
      <c r="E100" s="4" t="s">
        <v>41</v>
      </c>
      <c r="F100" s="4" t="s">
        <v>49</v>
      </c>
    </row>
    <row r="101" spans="1:6" x14ac:dyDescent="0.3">
      <c r="A101" s="12">
        <v>1</v>
      </c>
      <c r="B101" s="12">
        <v>2</v>
      </c>
      <c r="C101" s="12" t="s">
        <v>80</v>
      </c>
      <c r="D101" s="15" t="s">
        <v>40</v>
      </c>
      <c r="E101" s="15" t="s">
        <v>9</v>
      </c>
      <c r="F101" s="15" t="s">
        <v>49</v>
      </c>
    </row>
    <row r="102" spans="1:6" x14ac:dyDescent="0.3">
      <c r="A102" s="7">
        <v>1</v>
      </c>
      <c r="B102" s="14">
        <v>1</v>
      </c>
      <c r="C102" s="14" t="s">
        <v>81</v>
      </c>
      <c r="D102" s="8" t="s">
        <v>29</v>
      </c>
      <c r="E102" s="4" t="s">
        <v>42</v>
      </c>
      <c r="F102" s="4" t="s">
        <v>69</v>
      </c>
    </row>
    <row r="103" spans="1:6" x14ac:dyDescent="0.3">
      <c r="A103" s="12">
        <v>1</v>
      </c>
      <c r="B103" s="14">
        <v>1</v>
      </c>
      <c r="C103" s="14" t="s">
        <v>81</v>
      </c>
      <c r="D103" s="8" t="s">
        <v>29</v>
      </c>
      <c r="E103" s="15" t="s">
        <v>42</v>
      </c>
      <c r="F103" s="15" t="s">
        <v>73</v>
      </c>
    </row>
    <row r="104" spans="1:6" x14ac:dyDescent="0.3">
      <c r="A104" s="7">
        <v>1</v>
      </c>
      <c r="B104" s="7">
        <v>2</v>
      </c>
      <c r="C104" s="7" t="s">
        <v>80</v>
      </c>
      <c r="D104" s="4" t="s">
        <v>0</v>
      </c>
      <c r="E104" s="4" t="s">
        <v>41</v>
      </c>
      <c r="F104" s="4" t="s">
        <v>48</v>
      </c>
    </row>
    <row r="105" spans="1:6" x14ac:dyDescent="0.3">
      <c r="A105" s="12">
        <v>1</v>
      </c>
      <c r="B105" s="12">
        <v>2</v>
      </c>
      <c r="C105" s="12" t="s">
        <v>80</v>
      </c>
      <c r="D105" s="15" t="s">
        <v>40</v>
      </c>
      <c r="E105" s="15" t="s">
        <v>9</v>
      </c>
      <c r="F105" s="15" t="s">
        <v>48</v>
      </c>
    </row>
    <row r="106" spans="1:6" x14ac:dyDescent="0.3">
      <c r="A106" s="7">
        <v>1</v>
      </c>
      <c r="B106" s="7">
        <v>2</v>
      </c>
      <c r="C106" s="7" t="s">
        <v>80</v>
      </c>
      <c r="D106" s="4" t="s">
        <v>0</v>
      </c>
      <c r="E106" s="4" t="s">
        <v>41</v>
      </c>
      <c r="F106" s="4" t="s">
        <v>50</v>
      </c>
    </row>
    <row r="107" spans="1:6" x14ac:dyDescent="0.3">
      <c r="A107" s="12">
        <v>1</v>
      </c>
      <c r="B107" s="12">
        <v>1</v>
      </c>
      <c r="C107" s="12" t="s">
        <v>81</v>
      </c>
      <c r="D107" s="15" t="s">
        <v>40</v>
      </c>
      <c r="E107" s="15" t="s">
        <v>10</v>
      </c>
      <c r="F107" s="15" t="s">
        <v>50</v>
      </c>
    </row>
    <row r="108" spans="1:6" x14ac:dyDescent="0.3">
      <c r="A108" s="7">
        <v>1</v>
      </c>
      <c r="B108" s="14">
        <v>2</v>
      </c>
      <c r="C108" s="14" t="s">
        <v>80</v>
      </c>
      <c r="D108" s="8" t="s">
        <v>29</v>
      </c>
      <c r="E108" s="4" t="s">
        <v>42</v>
      </c>
      <c r="F108" s="4" t="s">
        <v>70</v>
      </c>
    </row>
    <row r="109" spans="1:6" x14ac:dyDescent="0.3">
      <c r="A109" s="12">
        <v>1</v>
      </c>
      <c r="B109" s="12">
        <v>1</v>
      </c>
      <c r="C109" s="12" t="s">
        <v>81</v>
      </c>
      <c r="D109" s="15" t="s">
        <v>0</v>
      </c>
      <c r="E109" s="15" t="s">
        <v>41</v>
      </c>
      <c r="F109" s="15" t="s">
        <v>43</v>
      </c>
    </row>
    <row r="110" spans="1:6" x14ac:dyDescent="0.3">
      <c r="A110" s="7">
        <v>1</v>
      </c>
      <c r="B110" s="7">
        <v>2</v>
      </c>
      <c r="C110" s="7" t="s">
        <v>80</v>
      </c>
      <c r="D110" s="4" t="s">
        <v>40</v>
      </c>
      <c r="E110" s="4" t="s">
        <v>10</v>
      </c>
      <c r="F110" s="4" t="s">
        <v>43</v>
      </c>
    </row>
    <row r="111" spans="1:6" x14ac:dyDescent="0.3">
      <c r="A111" s="12">
        <v>1</v>
      </c>
      <c r="B111" s="12">
        <v>2</v>
      </c>
      <c r="C111" s="12" t="s">
        <v>80</v>
      </c>
      <c r="D111" s="15" t="s">
        <v>0</v>
      </c>
      <c r="E111" s="15" t="s">
        <v>41</v>
      </c>
      <c r="F111" s="15" t="s">
        <v>46</v>
      </c>
    </row>
    <row r="112" spans="1:6" x14ac:dyDescent="0.3">
      <c r="A112" s="7">
        <v>1</v>
      </c>
      <c r="B112" s="7">
        <v>1</v>
      </c>
      <c r="C112" s="7" t="s">
        <v>81</v>
      </c>
      <c r="D112" s="4" t="s">
        <v>40</v>
      </c>
      <c r="E112" s="4" t="s">
        <v>10</v>
      </c>
      <c r="F112" s="4" t="s">
        <v>46</v>
      </c>
    </row>
    <row r="113" spans="1:6" x14ac:dyDescent="0.3">
      <c r="A113" s="12">
        <v>1</v>
      </c>
      <c r="B113" s="14">
        <v>1</v>
      </c>
      <c r="C113" s="13" t="s">
        <v>81</v>
      </c>
      <c r="D113" s="8" t="s">
        <v>29</v>
      </c>
      <c r="E113" s="15" t="s">
        <v>42</v>
      </c>
      <c r="F113" s="15" t="s">
        <v>74</v>
      </c>
    </row>
    <row r="114" spans="1:6" x14ac:dyDescent="0.3">
      <c r="A114" s="7">
        <v>1</v>
      </c>
      <c r="B114" s="14">
        <v>2</v>
      </c>
      <c r="C114" s="14" t="s">
        <v>80</v>
      </c>
      <c r="D114" s="8" t="s">
        <v>29</v>
      </c>
      <c r="E114" s="4" t="s">
        <v>42</v>
      </c>
      <c r="F114" s="4" t="s">
        <v>67</v>
      </c>
    </row>
    <row r="115" spans="1:6" x14ac:dyDescent="0.3">
      <c r="A115" s="12">
        <v>1</v>
      </c>
      <c r="B115" s="12">
        <v>1</v>
      </c>
      <c r="C115" s="12" t="s">
        <v>81</v>
      </c>
      <c r="D115" s="15" t="s">
        <v>0</v>
      </c>
      <c r="E115" s="15" t="s">
        <v>41</v>
      </c>
      <c r="F115" s="15" t="s">
        <v>44</v>
      </c>
    </row>
    <row r="116" spans="1:6" x14ac:dyDescent="0.3">
      <c r="A116" s="7">
        <v>1</v>
      </c>
      <c r="B116" s="7">
        <v>1</v>
      </c>
      <c r="C116" s="12" t="s">
        <v>81</v>
      </c>
      <c r="D116" s="4" t="s">
        <v>40</v>
      </c>
      <c r="E116" s="4" t="s">
        <v>9</v>
      </c>
      <c r="F116" s="4" t="s">
        <v>44</v>
      </c>
    </row>
    <row r="117" spans="1:6" x14ac:dyDescent="0.3">
      <c r="A117" s="12">
        <v>1</v>
      </c>
      <c r="B117" s="14">
        <v>1</v>
      </c>
      <c r="C117" s="13" t="s">
        <v>81</v>
      </c>
      <c r="D117" s="8" t="s">
        <v>29</v>
      </c>
      <c r="E117" s="15" t="s">
        <v>42</v>
      </c>
      <c r="F117" s="15" t="s">
        <v>72</v>
      </c>
    </row>
    <row r="118" spans="1:6" x14ac:dyDescent="0.3">
      <c r="A118" s="7">
        <v>1</v>
      </c>
      <c r="B118" s="14">
        <v>2</v>
      </c>
      <c r="C118" s="14" t="s">
        <v>80</v>
      </c>
      <c r="D118" s="8" t="s">
        <v>29</v>
      </c>
      <c r="E118" s="4" t="s">
        <v>42</v>
      </c>
      <c r="F118" s="4" t="s">
        <v>68</v>
      </c>
    </row>
    <row r="119" spans="1:6" x14ac:dyDescent="0.3">
      <c r="A119" s="12">
        <v>1</v>
      </c>
      <c r="B119" s="12">
        <v>1</v>
      </c>
      <c r="C119" s="12" t="s">
        <v>81</v>
      </c>
      <c r="D119" s="15" t="s">
        <v>0</v>
      </c>
      <c r="E119" s="15" t="s">
        <v>41</v>
      </c>
      <c r="F119" s="15" t="s">
        <v>45</v>
      </c>
    </row>
    <row r="120" spans="1:6" x14ac:dyDescent="0.3">
      <c r="A120" s="7">
        <v>1</v>
      </c>
      <c r="B120" s="7">
        <v>1</v>
      </c>
      <c r="C120" s="12" t="s">
        <v>81</v>
      </c>
      <c r="D120" s="4" t="s">
        <v>40</v>
      </c>
      <c r="E120" s="4" t="s">
        <v>9</v>
      </c>
      <c r="F120" s="4" t="s">
        <v>45</v>
      </c>
    </row>
    <row r="121" spans="1:6" x14ac:dyDescent="0.3">
      <c r="A121" s="12">
        <v>1</v>
      </c>
      <c r="B121" s="12">
        <v>1</v>
      </c>
      <c r="C121" s="12" t="s">
        <v>81</v>
      </c>
      <c r="D121" s="15" t="s">
        <v>0</v>
      </c>
      <c r="E121" s="15" t="s">
        <v>41</v>
      </c>
      <c r="F121" s="15" t="s">
        <v>47</v>
      </c>
    </row>
    <row r="122" spans="1:6" x14ac:dyDescent="0.3">
      <c r="A122" s="7">
        <v>1</v>
      </c>
      <c r="B122" s="7">
        <v>2</v>
      </c>
      <c r="C122" s="7" t="s">
        <v>80</v>
      </c>
      <c r="D122" s="4" t="s">
        <v>40</v>
      </c>
      <c r="E122" s="4" t="s">
        <v>10</v>
      </c>
      <c r="F122" s="4" t="s">
        <v>47</v>
      </c>
    </row>
    <row r="123" spans="1:6" x14ac:dyDescent="0.3">
      <c r="A123" s="27">
        <v>2</v>
      </c>
      <c r="B123" s="28">
        <v>1</v>
      </c>
      <c r="C123" s="27" t="s">
        <v>81</v>
      </c>
      <c r="D123" s="27" t="s">
        <v>0</v>
      </c>
      <c r="E123" s="27" t="s">
        <v>41</v>
      </c>
      <c r="F123" s="27" t="s">
        <v>52</v>
      </c>
    </row>
    <row r="124" spans="1:6" x14ac:dyDescent="0.3">
      <c r="A124" s="15">
        <v>2</v>
      </c>
      <c r="B124" s="12">
        <v>1</v>
      </c>
      <c r="C124" s="15" t="s">
        <v>81</v>
      </c>
      <c r="D124" s="15" t="s">
        <v>40</v>
      </c>
      <c r="E124" s="15" t="s">
        <v>9</v>
      </c>
      <c r="F124" s="15" t="s">
        <v>52</v>
      </c>
    </row>
    <row r="125" spans="1:6" x14ac:dyDescent="0.3">
      <c r="A125" s="27">
        <v>2</v>
      </c>
      <c r="B125" s="9">
        <v>2</v>
      </c>
      <c r="C125" s="9" t="s">
        <v>80</v>
      </c>
      <c r="D125" s="9" t="s">
        <v>29</v>
      </c>
      <c r="E125" s="27" t="s">
        <v>42</v>
      </c>
      <c r="F125" s="27" t="s">
        <v>49</v>
      </c>
    </row>
    <row r="126" spans="1:6" x14ac:dyDescent="0.3">
      <c r="A126" s="15">
        <v>2</v>
      </c>
      <c r="B126" s="9">
        <v>2</v>
      </c>
      <c r="C126" s="9" t="s">
        <v>80</v>
      </c>
      <c r="D126" s="9" t="s">
        <v>29</v>
      </c>
      <c r="E126" s="15" t="s">
        <v>42</v>
      </c>
      <c r="F126" s="15" t="s">
        <v>48</v>
      </c>
    </row>
    <row r="127" spans="1:6" x14ac:dyDescent="0.3">
      <c r="A127" s="27">
        <v>2</v>
      </c>
      <c r="B127" s="28">
        <v>1</v>
      </c>
      <c r="C127" s="28" t="s">
        <v>81</v>
      </c>
      <c r="D127" s="27" t="s">
        <v>0</v>
      </c>
      <c r="E127" s="27" t="s">
        <v>41</v>
      </c>
      <c r="F127" s="27" t="s">
        <v>53</v>
      </c>
    </row>
    <row r="128" spans="1:6" x14ac:dyDescent="0.3">
      <c r="A128" s="15">
        <v>2</v>
      </c>
      <c r="B128" s="12">
        <v>1</v>
      </c>
      <c r="C128" s="12" t="s">
        <v>81</v>
      </c>
      <c r="D128" s="15" t="s">
        <v>40</v>
      </c>
      <c r="E128" s="15" t="s">
        <v>9</v>
      </c>
      <c r="F128" s="15" t="s">
        <v>53</v>
      </c>
    </row>
    <row r="129" spans="1:6" x14ac:dyDescent="0.3">
      <c r="A129" s="27">
        <v>2</v>
      </c>
      <c r="B129" s="28">
        <v>1</v>
      </c>
      <c r="C129" s="28" t="s">
        <v>81</v>
      </c>
      <c r="D129" s="27" t="s">
        <v>0</v>
      </c>
      <c r="E129" s="27" t="s">
        <v>41</v>
      </c>
      <c r="F129" s="27" t="s">
        <v>55</v>
      </c>
    </row>
    <row r="130" spans="1:6" x14ac:dyDescent="0.3">
      <c r="A130" s="15">
        <v>2</v>
      </c>
      <c r="B130" s="12">
        <v>2</v>
      </c>
      <c r="C130" s="12" t="s">
        <v>80</v>
      </c>
      <c r="D130" s="15" t="s">
        <v>40</v>
      </c>
      <c r="E130" s="15" t="s">
        <v>10</v>
      </c>
      <c r="F130" s="15" t="s">
        <v>55</v>
      </c>
    </row>
    <row r="131" spans="1:6" x14ac:dyDescent="0.3">
      <c r="A131" s="27">
        <v>2</v>
      </c>
      <c r="B131" s="9">
        <v>1</v>
      </c>
      <c r="C131" s="9" t="s">
        <v>81</v>
      </c>
      <c r="D131" s="9" t="s">
        <v>29</v>
      </c>
      <c r="E131" s="27" t="s">
        <v>42</v>
      </c>
      <c r="F131" s="27" t="s">
        <v>50</v>
      </c>
    </row>
    <row r="132" spans="1:6" x14ac:dyDescent="0.3">
      <c r="A132" s="15">
        <v>2</v>
      </c>
      <c r="B132" s="12">
        <v>2</v>
      </c>
      <c r="C132" s="12" t="s">
        <v>80</v>
      </c>
      <c r="D132" s="15" t="s">
        <v>0</v>
      </c>
      <c r="E132" s="15" t="s">
        <v>41</v>
      </c>
      <c r="F132" s="15" t="s">
        <v>54</v>
      </c>
    </row>
    <row r="133" spans="1:6" x14ac:dyDescent="0.3">
      <c r="A133" s="27">
        <v>2</v>
      </c>
      <c r="B133" s="28">
        <v>1</v>
      </c>
      <c r="C133" s="28" t="s">
        <v>81</v>
      </c>
      <c r="D133" s="27" t="s">
        <v>40</v>
      </c>
      <c r="E133" s="27" t="s">
        <v>10</v>
      </c>
      <c r="F133" s="27" t="s">
        <v>54</v>
      </c>
    </row>
    <row r="134" spans="1:6" x14ac:dyDescent="0.3">
      <c r="A134" s="15">
        <v>2</v>
      </c>
      <c r="B134" s="12">
        <v>1</v>
      </c>
      <c r="C134" s="12" t="s">
        <v>81</v>
      </c>
      <c r="D134" s="15" t="s">
        <v>0</v>
      </c>
      <c r="E134" s="15" t="s">
        <v>41</v>
      </c>
      <c r="F134" s="15" t="s">
        <v>51</v>
      </c>
    </row>
    <row r="135" spans="1:6" x14ac:dyDescent="0.3">
      <c r="A135" s="27">
        <v>2</v>
      </c>
      <c r="B135" s="28">
        <v>2</v>
      </c>
      <c r="C135" s="28" t="s">
        <v>80</v>
      </c>
      <c r="D135" s="27" t="s">
        <v>40</v>
      </c>
      <c r="E135" s="27" t="s">
        <v>10</v>
      </c>
      <c r="F135" s="27" t="s">
        <v>51</v>
      </c>
    </row>
    <row r="136" spans="1:6" x14ac:dyDescent="0.3">
      <c r="A136" s="15">
        <v>2</v>
      </c>
      <c r="B136" s="9">
        <v>2</v>
      </c>
      <c r="C136" s="9" t="s">
        <v>80</v>
      </c>
      <c r="D136" s="9" t="s">
        <v>29</v>
      </c>
      <c r="E136" s="15" t="s">
        <v>42</v>
      </c>
      <c r="F136" s="15" t="s">
        <v>43</v>
      </c>
    </row>
    <row r="137" spans="1:6" x14ac:dyDescent="0.3">
      <c r="A137" s="27">
        <v>2</v>
      </c>
      <c r="B137" s="9">
        <v>1</v>
      </c>
      <c r="C137" s="9" t="s">
        <v>81</v>
      </c>
      <c r="D137" s="9" t="s">
        <v>29</v>
      </c>
      <c r="E137" s="27" t="s">
        <v>42</v>
      </c>
      <c r="F137" s="27" t="s">
        <v>46</v>
      </c>
    </row>
    <row r="138" spans="1:6" x14ac:dyDescent="0.3">
      <c r="A138" s="15">
        <v>2</v>
      </c>
      <c r="B138" s="12">
        <v>2</v>
      </c>
      <c r="C138" s="12" t="s">
        <v>80</v>
      </c>
      <c r="D138" s="15" t="s">
        <v>0</v>
      </c>
      <c r="E138" s="15" t="s">
        <v>41</v>
      </c>
      <c r="F138" s="15" t="s">
        <v>57</v>
      </c>
    </row>
    <row r="139" spans="1:6" x14ac:dyDescent="0.3">
      <c r="A139" s="27">
        <v>2</v>
      </c>
      <c r="B139" s="28">
        <v>2</v>
      </c>
      <c r="C139" s="28" t="s">
        <v>80</v>
      </c>
      <c r="D139" s="27" t="s">
        <v>40</v>
      </c>
      <c r="E139" s="27" t="s">
        <v>9</v>
      </c>
      <c r="F139" s="27" t="s">
        <v>57</v>
      </c>
    </row>
    <row r="140" spans="1:6" x14ac:dyDescent="0.3">
      <c r="A140" s="15">
        <v>2</v>
      </c>
      <c r="B140" s="9">
        <v>1</v>
      </c>
      <c r="C140" s="9" t="s">
        <v>81</v>
      </c>
      <c r="D140" s="9" t="s">
        <v>29</v>
      </c>
      <c r="E140" s="15" t="s">
        <v>42</v>
      </c>
      <c r="F140" s="15" t="s">
        <v>44</v>
      </c>
    </row>
    <row r="141" spans="1:6" x14ac:dyDescent="0.3">
      <c r="A141" s="27">
        <v>2</v>
      </c>
      <c r="B141" s="28">
        <v>2</v>
      </c>
      <c r="C141" s="28" t="s">
        <v>80</v>
      </c>
      <c r="D141" s="27" t="s">
        <v>0</v>
      </c>
      <c r="E141" s="27" t="s">
        <v>41</v>
      </c>
      <c r="F141" s="27" t="s">
        <v>58</v>
      </c>
    </row>
    <row r="142" spans="1:6" x14ac:dyDescent="0.3">
      <c r="A142" s="15">
        <v>2</v>
      </c>
      <c r="B142" s="12">
        <v>2</v>
      </c>
      <c r="C142" s="12" t="s">
        <v>80</v>
      </c>
      <c r="D142" s="15" t="s">
        <v>40</v>
      </c>
      <c r="E142" s="15" t="s">
        <v>9</v>
      </c>
      <c r="F142" s="15" t="s">
        <v>58</v>
      </c>
    </row>
    <row r="143" spans="1:6" x14ac:dyDescent="0.3">
      <c r="A143" s="27">
        <v>2</v>
      </c>
      <c r="B143" s="28">
        <v>2</v>
      </c>
      <c r="C143" s="28" t="s">
        <v>80</v>
      </c>
      <c r="D143" s="27" t="s">
        <v>0</v>
      </c>
      <c r="E143" s="27" t="s">
        <v>41</v>
      </c>
      <c r="F143" s="27" t="s">
        <v>56</v>
      </c>
    </row>
    <row r="144" spans="1:6" x14ac:dyDescent="0.3">
      <c r="A144" s="15">
        <v>2</v>
      </c>
      <c r="B144" s="12">
        <v>1</v>
      </c>
      <c r="C144" s="12" t="s">
        <v>81</v>
      </c>
      <c r="D144" s="15" t="s">
        <v>40</v>
      </c>
      <c r="E144" s="15" t="s">
        <v>10</v>
      </c>
      <c r="F144" s="15" t="s">
        <v>56</v>
      </c>
    </row>
    <row r="145" spans="1:6" x14ac:dyDescent="0.3">
      <c r="A145" s="27">
        <v>2</v>
      </c>
      <c r="B145" s="9">
        <v>1</v>
      </c>
      <c r="C145" s="9" t="s">
        <v>81</v>
      </c>
      <c r="D145" s="9" t="s">
        <v>29</v>
      </c>
      <c r="E145" s="27" t="s">
        <v>42</v>
      </c>
      <c r="F145" s="27" t="s">
        <v>45</v>
      </c>
    </row>
    <row r="146" spans="1:6" x14ac:dyDescent="0.3">
      <c r="A146" s="15">
        <v>2</v>
      </c>
      <c r="B146" s="9">
        <v>2</v>
      </c>
      <c r="C146" s="9" t="s">
        <v>80</v>
      </c>
      <c r="D146" s="9" t="s">
        <v>29</v>
      </c>
      <c r="E146" s="15" t="s">
        <v>42</v>
      </c>
      <c r="F146" s="15" t="s">
        <v>47</v>
      </c>
    </row>
    <row r="147" spans="1:6" x14ac:dyDescent="0.3">
      <c r="A147" s="12">
        <v>3</v>
      </c>
      <c r="B147" s="12">
        <v>1</v>
      </c>
      <c r="C147" s="12" t="s">
        <v>81</v>
      </c>
      <c r="D147" s="15" t="s">
        <v>0</v>
      </c>
      <c r="E147" s="15" t="s">
        <v>41</v>
      </c>
      <c r="F147" s="15" t="s">
        <v>62</v>
      </c>
    </row>
    <row r="148" spans="1:6" x14ac:dyDescent="0.3">
      <c r="A148" s="7">
        <v>3</v>
      </c>
      <c r="B148" s="7">
        <v>2</v>
      </c>
      <c r="C148" s="7" t="s">
        <v>80</v>
      </c>
      <c r="D148" s="4" t="s">
        <v>40</v>
      </c>
      <c r="E148" s="4" t="s">
        <v>10</v>
      </c>
      <c r="F148" s="4" t="s">
        <v>62</v>
      </c>
    </row>
    <row r="149" spans="1:6" x14ac:dyDescent="0.3">
      <c r="A149" s="12">
        <v>3</v>
      </c>
      <c r="B149" s="10">
        <v>2</v>
      </c>
      <c r="C149" s="10" t="s">
        <v>80</v>
      </c>
      <c r="D149" s="10" t="s">
        <v>29</v>
      </c>
      <c r="E149" s="15" t="s">
        <v>42</v>
      </c>
      <c r="F149" s="15" t="s">
        <v>52</v>
      </c>
    </row>
    <row r="150" spans="1:6" x14ac:dyDescent="0.3">
      <c r="A150" s="7">
        <v>3</v>
      </c>
      <c r="B150" s="10">
        <v>1</v>
      </c>
      <c r="C150" s="10" t="s">
        <v>81</v>
      </c>
      <c r="D150" s="10" t="s">
        <v>29</v>
      </c>
      <c r="E150" s="4" t="s">
        <v>42</v>
      </c>
      <c r="F150" s="4" t="s">
        <v>53</v>
      </c>
    </row>
    <row r="151" spans="1:6" x14ac:dyDescent="0.3">
      <c r="A151" s="12">
        <v>3</v>
      </c>
      <c r="B151" s="12">
        <v>2</v>
      </c>
      <c r="C151" s="12" t="s">
        <v>80</v>
      </c>
      <c r="D151" s="15" t="s">
        <v>0</v>
      </c>
      <c r="E151" s="15" t="s">
        <v>41</v>
      </c>
      <c r="F151" s="15" t="s">
        <v>65</v>
      </c>
    </row>
    <row r="152" spans="1:6" x14ac:dyDescent="0.3">
      <c r="A152" s="7">
        <v>3</v>
      </c>
      <c r="B152" s="7">
        <v>1</v>
      </c>
      <c r="C152" s="7" t="s">
        <v>81</v>
      </c>
      <c r="D152" s="4" t="s">
        <v>40</v>
      </c>
      <c r="E152" s="4" t="s">
        <v>10</v>
      </c>
      <c r="F152" s="4" t="s">
        <v>65</v>
      </c>
    </row>
    <row r="153" spans="1:6" x14ac:dyDescent="0.3">
      <c r="A153" s="12">
        <v>3</v>
      </c>
      <c r="B153" s="12">
        <v>1</v>
      </c>
      <c r="C153" s="12" t="s">
        <v>81</v>
      </c>
      <c r="D153" s="15" t="s">
        <v>0</v>
      </c>
      <c r="E153" s="15" t="s">
        <v>41</v>
      </c>
      <c r="F153" s="15" t="s">
        <v>60</v>
      </c>
    </row>
    <row r="154" spans="1:6" x14ac:dyDescent="0.3">
      <c r="A154" s="7">
        <v>3</v>
      </c>
      <c r="B154" s="7">
        <v>2</v>
      </c>
      <c r="C154" s="7" t="s">
        <v>80</v>
      </c>
      <c r="D154" s="4" t="s">
        <v>40</v>
      </c>
      <c r="E154" s="4" t="s">
        <v>10</v>
      </c>
      <c r="F154" s="4" t="s">
        <v>60</v>
      </c>
    </row>
    <row r="155" spans="1:6" x14ac:dyDescent="0.3">
      <c r="A155" s="12">
        <v>3</v>
      </c>
      <c r="B155" s="10">
        <v>1</v>
      </c>
      <c r="C155" s="10" t="s">
        <v>81</v>
      </c>
      <c r="D155" s="10" t="s">
        <v>29</v>
      </c>
      <c r="E155" s="15" t="s">
        <v>42</v>
      </c>
      <c r="F155" s="15" t="s">
        <v>55</v>
      </c>
    </row>
    <row r="156" spans="1:6" x14ac:dyDescent="0.3">
      <c r="A156" s="7">
        <v>3</v>
      </c>
      <c r="B156" s="7">
        <v>2</v>
      </c>
      <c r="C156" s="7" t="s">
        <v>80</v>
      </c>
      <c r="D156" s="4" t="s">
        <v>0</v>
      </c>
      <c r="E156" s="4" t="s">
        <v>41</v>
      </c>
      <c r="F156" s="4" t="s">
        <v>64</v>
      </c>
    </row>
    <row r="157" spans="1:6" x14ac:dyDescent="0.3">
      <c r="A157" s="12">
        <v>3</v>
      </c>
      <c r="B157" s="12">
        <v>2</v>
      </c>
      <c r="C157" s="12" t="s">
        <v>80</v>
      </c>
      <c r="D157" s="15" t="s">
        <v>40</v>
      </c>
      <c r="E157" s="15" t="s">
        <v>9</v>
      </c>
      <c r="F157" s="15" t="s">
        <v>64</v>
      </c>
    </row>
    <row r="158" spans="1:6" x14ac:dyDescent="0.3">
      <c r="A158" s="7">
        <v>3</v>
      </c>
      <c r="B158" s="10">
        <v>1</v>
      </c>
      <c r="C158" s="10" t="s">
        <v>81</v>
      </c>
      <c r="D158" s="10" t="s">
        <v>29</v>
      </c>
      <c r="E158" s="4" t="s">
        <v>42</v>
      </c>
      <c r="F158" s="4" t="s">
        <v>54</v>
      </c>
    </row>
    <row r="159" spans="1:6" x14ac:dyDescent="0.3">
      <c r="A159" s="12">
        <v>3</v>
      </c>
      <c r="B159" s="10">
        <v>2</v>
      </c>
      <c r="C159" s="10" t="s">
        <v>80</v>
      </c>
      <c r="D159" s="10" t="s">
        <v>29</v>
      </c>
      <c r="E159" s="15" t="s">
        <v>42</v>
      </c>
      <c r="F159" s="15" t="s">
        <v>51</v>
      </c>
    </row>
    <row r="160" spans="1:6" x14ac:dyDescent="0.3">
      <c r="A160" s="7">
        <v>3</v>
      </c>
      <c r="B160" s="10">
        <v>1</v>
      </c>
      <c r="C160" s="10" t="s">
        <v>81</v>
      </c>
      <c r="D160" s="10" t="s">
        <v>29</v>
      </c>
      <c r="E160" s="4" t="s">
        <v>42</v>
      </c>
      <c r="F160" s="4" t="s">
        <v>57</v>
      </c>
    </row>
    <row r="161" spans="1:6" x14ac:dyDescent="0.3">
      <c r="A161" s="12">
        <v>3</v>
      </c>
      <c r="B161" s="12">
        <v>2</v>
      </c>
      <c r="C161" s="12" t="s">
        <v>80</v>
      </c>
      <c r="D161" s="15" t="s">
        <v>0</v>
      </c>
      <c r="E161" s="15" t="s">
        <v>41</v>
      </c>
      <c r="F161" s="15" t="s">
        <v>66</v>
      </c>
    </row>
    <row r="162" spans="1:6" x14ac:dyDescent="0.3">
      <c r="A162" s="7">
        <v>3</v>
      </c>
      <c r="B162" s="7">
        <v>2</v>
      </c>
      <c r="C162" s="7" t="s">
        <v>80</v>
      </c>
      <c r="D162" s="4" t="s">
        <v>40</v>
      </c>
      <c r="E162" s="4" t="s">
        <v>9</v>
      </c>
      <c r="F162" s="4" t="s">
        <v>66</v>
      </c>
    </row>
    <row r="163" spans="1:6" x14ac:dyDescent="0.3">
      <c r="A163" s="12">
        <v>3</v>
      </c>
      <c r="B163" s="12">
        <v>2</v>
      </c>
      <c r="C163" s="12" t="s">
        <v>80</v>
      </c>
      <c r="D163" s="15" t="s">
        <v>0</v>
      </c>
      <c r="E163" s="15" t="s">
        <v>41</v>
      </c>
      <c r="F163" s="15" t="s">
        <v>63</v>
      </c>
    </row>
    <row r="164" spans="1:6" x14ac:dyDescent="0.3">
      <c r="A164" s="7">
        <v>3</v>
      </c>
      <c r="B164" s="7">
        <v>1</v>
      </c>
      <c r="C164" s="7" t="s">
        <v>81</v>
      </c>
      <c r="D164" s="4" t="s">
        <v>40</v>
      </c>
      <c r="E164" s="4" t="s">
        <v>10</v>
      </c>
      <c r="F164" s="4" t="s">
        <v>63</v>
      </c>
    </row>
    <row r="165" spans="1:6" x14ac:dyDescent="0.3">
      <c r="A165" s="28">
        <v>3</v>
      </c>
      <c r="B165" s="28">
        <v>1</v>
      </c>
      <c r="C165" s="28" t="s">
        <v>81</v>
      </c>
      <c r="D165" s="27" t="s">
        <v>0</v>
      </c>
      <c r="E165" s="27" t="s">
        <v>41</v>
      </c>
      <c r="F165" s="27" t="s">
        <v>61</v>
      </c>
    </row>
    <row r="166" spans="1:6" x14ac:dyDescent="0.3">
      <c r="A166" s="12">
        <v>3</v>
      </c>
      <c r="B166" s="12">
        <v>1</v>
      </c>
      <c r="C166" s="12" t="s">
        <v>81</v>
      </c>
      <c r="D166" s="15" t="s">
        <v>40</v>
      </c>
      <c r="E166" s="15" t="s">
        <v>9</v>
      </c>
      <c r="F166" s="15" t="s">
        <v>61</v>
      </c>
    </row>
    <row r="167" spans="1:6" x14ac:dyDescent="0.3">
      <c r="A167" s="28">
        <v>3</v>
      </c>
      <c r="B167" s="10">
        <v>2</v>
      </c>
      <c r="C167" s="10" t="s">
        <v>80</v>
      </c>
      <c r="D167" s="10" t="s">
        <v>29</v>
      </c>
      <c r="E167" s="27" t="s">
        <v>42</v>
      </c>
      <c r="F167" s="27" t="s">
        <v>56</v>
      </c>
    </row>
    <row r="168" spans="1:6" x14ac:dyDescent="0.3">
      <c r="A168" s="12">
        <v>3</v>
      </c>
      <c r="B168" s="12">
        <v>1</v>
      </c>
      <c r="C168" s="12" t="s">
        <v>81</v>
      </c>
      <c r="D168" s="15" t="s">
        <v>0</v>
      </c>
      <c r="E168" s="15" t="s">
        <v>41</v>
      </c>
      <c r="F168" s="15" t="s">
        <v>59</v>
      </c>
    </row>
    <row r="169" spans="1:6" x14ac:dyDescent="0.3">
      <c r="A169" s="28">
        <v>3</v>
      </c>
      <c r="B169" s="28">
        <v>1</v>
      </c>
      <c r="C169" s="28" t="s">
        <v>81</v>
      </c>
      <c r="D169" s="27" t="s">
        <v>40</v>
      </c>
      <c r="E169" s="27" t="s">
        <v>9</v>
      </c>
      <c r="F169" s="27" t="s">
        <v>59</v>
      </c>
    </row>
    <row r="170" spans="1:6" x14ac:dyDescent="0.3">
      <c r="A170" s="12">
        <v>3</v>
      </c>
      <c r="B170" s="10">
        <v>2</v>
      </c>
      <c r="C170" s="10" t="s">
        <v>80</v>
      </c>
      <c r="D170" s="10" t="s">
        <v>29</v>
      </c>
      <c r="E170" s="15" t="s">
        <v>42</v>
      </c>
      <c r="F170" s="15" t="s">
        <v>58</v>
      </c>
    </row>
    <row r="171" spans="1:6" x14ac:dyDescent="0.3">
      <c r="A171" s="27">
        <v>4</v>
      </c>
      <c r="B171" s="28">
        <v>1</v>
      </c>
      <c r="C171" s="28" t="s">
        <v>81</v>
      </c>
      <c r="D171" s="27" t="s">
        <v>0</v>
      </c>
      <c r="E171" s="27" t="s">
        <v>41</v>
      </c>
      <c r="F171" s="27" t="s">
        <v>71</v>
      </c>
    </row>
    <row r="172" spans="1:6" x14ac:dyDescent="0.3">
      <c r="A172" s="15">
        <v>4</v>
      </c>
      <c r="B172" s="12">
        <v>1</v>
      </c>
      <c r="C172" s="12" t="s">
        <v>81</v>
      </c>
      <c r="D172" s="15" t="s">
        <v>40</v>
      </c>
      <c r="E172" s="15" t="s">
        <v>9</v>
      </c>
      <c r="F172" s="15" t="s">
        <v>71</v>
      </c>
    </row>
    <row r="173" spans="1:6" x14ac:dyDescent="0.3">
      <c r="A173" s="27">
        <v>4</v>
      </c>
      <c r="B173" s="11">
        <v>2</v>
      </c>
      <c r="C173" s="11" t="s">
        <v>80</v>
      </c>
      <c r="D173" s="11" t="s">
        <v>29</v>
      </c>
      <c r="E173" s="27" t="s">
        <v>42</v>
      </c>
      <c r="F173" s="27" t="s">
        <v>62</v>
      </c>
    </row>
    <row r="174" spans="1:6" x14ac:dyDescent="0.3">
      <c r="A174" s="15">
        <v>4</v>
      </c>
      <c r="B174" s="12">
        <v>1</v>
      </c>
      <c r="C174" s="12" t="s">
        <v>81</v>
      </c>
      <c r="D174" s="15" t="s">
        <v>0</v>
      </c>
      <c r="E174" s="15" t="s">
        <v>41</v>
      </c>
      <c r="F174" s="15" t="s">
        <v>69</v>
      </c>
    </row>
    <row r="175" spans="1:6" x14ac:dyDescent="0.3">
      <c r="A175" s="27">
        <v>4</v>
      </c>
      <c r="B175" s="28">
        <v>2</v>
      </c>
      <c r="C175" s="28" t="s">
        <v>80</v>
      </c>
      <c r="D175" s="27" t="s">
        <v>40</v>
      </c>
      <c r="E175" s="27" t="s">
        <v>10</v>
      </c>
      <c r="F175" s="27" t="s">
        <v>69</v>
      </c>
    </row>
    <row r="176" spans="1:6" x14ac:dyDescent="0.3">
      <c r="A176" s="15">
        <v>4</v>
      </c>
      <c r="B176" s="12">
        <v>2</v>
      </c>
      <c r="C176" s="12" t="s">
        <v>80</v>
      </c>
      <c r="D176" s="15" t="s">
        <v>0</v>
      </c>
      <c r="E176" s="15" t="s">
        <v>41</v>
      </c>
      <c r="F176" s="15" t="s">
        <v>73</v>
      </c>
    </row>
    <row r="177" spans="1:6" x14ac:dyDescent="0.3">
      <c r="A177" s="27">
        <v>4</v>
      </c>
      <c r="B177" s="28">
        <v>2</v>
      </c>
      <c r="C177" s="28" t="s">
        <v>80</v>
      </c>
      <c r="D177" s="27" t="s">
        <v>40</v>
      </c>
      <c r="E177" s="27" t="s">
        <v>9</v>
      </c>
      <c r="F177" s="27" t="s">
        <v>73</v>
      </c>
    </row>
    <row r="178" spans="1:6" x14ac:dyDescent="0.3">
      <c r="A178" s="15">
        <v>4</v>
      </c>
      <c r="B178" s="11">
        <v>1</v>
      </c>
      <c r="C178" s="11" t="s">
        <v>81</v>
      </c>
      <c r="D178" s="11" t="s">
        <v>29</v>
      </c>
      <c r="E178" s="15" t="s">
        <v>42</v>
      </c>
      <c r="F178" s="15" t="s">
        <v>65</v>
      </c>
    </row>
    <row r="179" spans="1:6" x14ac:dyDescent="0.3">
      <c r="A179" s="27">
        <v>4</v>
      </c>
      <c r="B179" s="11">
        <v>2</v>
      </c>
      <c r="C179" s="11" t="s">
        <v>80</v>
      </c>
      <c r="D179" s="11" t="s">
        <v>29</v>
      </c>
      <c r="E179" s="27" t="s">
        <v>42</v>
      </c>
      <c r="F179" s="27" t="s">
        <v>60</v>
      </c>
    </row>
    <row r="180" spans="1:6" x14ac:dyDescent="0.3">
      <c r="A180" s="15">
        <v>4</v>
      </c>
      <c r="B180" s="12">
        <v>2</v>
      </c>
      <c r="C180" s="12" t="s">
        <v>80</v>
      </c>
      <c r="D180" s="15" t="s">
        <v>0</v>
      </c>
      <c r="E180" s="15" t="s">
        <v>41</v>
      </c>
      <c r="F180" s="15" t="s">
        <v>70</v>
      </c>
    </row>
    <row r="181" spans="1:6" x14ac:dyDescent="0.3">
      <c r="A181" s="27">
        <v>4</v>
      </c>
      <c r="B181" s="28">
        <v>1</v>
      </c>
      <c r="C181" s="28" t="s">
        <v>81</v>
      </c>
      <c r="D181" s="27" t="s">
        <v>40</v>
      </c>
      <c r="E181" s="27" t="s">
        <v>10</v>
      </c>
      <c r="F181" s="27" t="s">
        <v>70</v>
      </c>
    </row>
    <row r="182" spans="1:6" x14ac:dyDescent="0.3">
      <c r="A182" s="15">
        <v>4</v>
      </c>
      <c r="B182" s="12">
        <v>1</v>
      </c>
      <c r="C182" s="12" t="s">
        <v>81</v>
      </c>
      <c r="D182" s="15" t="s">
        <v>0</v>
      </c>
      <c r="E182" s="15" t="s">
        <v>41</v>
      </c>
      <c r="F182" s="15" t="s">
        <v>74</v>
      </c>
    </row>
    <row r="183" spans="1:6" x14ac:dyDescent="0.3">
      <c r="A183" s="27">
        <v>4</v>
      </c>
      <c r="B183" s="28">
        <v>2</v>
      </c>
      <c r="C183" s="28" t="s">
        <v>80</v>
      </c>
      <c r="D183" s="27" t="s">
        <v>40</v>
      </c>
      <c r="E183" s="27" t="s">
        <v>10</v>
      </c>
      <c r="F183" s="27" t="s">
        <v>74</v>
      </c>
    </row>
    <row r="184" spans="1:6" x14ac:dyDescent="0.3">
      <c r="A184" s="15">
        <v>4</v>
      </c>
      <c r="B184" s="11">
        <v>1</v>
      </c>
      <c r="C184" s="11" t="s">
        <v>81</v>
      </c>
      <c r="D184" s="11" t="s">
        <v>29</v>
      </c>
      <c r="E184" s="15" t="s">
        <v>42</v>
      </c>
      <c r="F184" s="15" t="s">
        <v>64</v>
      </c>
    </row>
    <row r="185" spans="1:6" x14ac:dyDescent="0.3">
      <c r="A185" s="27">
        <v>4</v>
      </c>
      <c r="B185" s="28">
        <v>2</v>
      </c>
      <c r="C185" s="28" t="s">
        <v>80</v>
      </c>
      <c r="D185" s="27" t="s">
        <v>0</v>
      </c>
      <c r="E185" s="27" t="s">
        <v>41</v>
      </c>
      <c r="F185" s="27" t="s">
        <v>67</v>
      </c>
    </row>
    <row r="186" spans="1:6" x14ac:dyDescent="0.3">
      <c r="A186" s="15">
        <v>4</v>
      </c>
      <c r="B186" s="12">
        <v>2</v>
      </c>
      <c r="C186" s="12" t="s">
        <v>80</v>
      </c>
      <c r="D186" s="15" t="s">
        <v>40</v>
      </c>
      <c r="E186" s="15" t="s">
        <v>9</v>
      </c>
      <c r="F186" s="15" t="s">
        <v>67</v>
      </c>
    </row>
    <row r="187" spans="1:6" x14ac:dyDescent="0.3">
      <c r="A187" s="27">
        <v>4</v>
      </c>
      <c r="B187" s="11">
        <v>1</v>
      </c>
      <c r="C187" s="11" t="s">
        <v>81</v>
      </c>
      <c r="D187" s="11" t="s">
        <v>29</v>
      </c>
      <c r="E187" s="27" t="s">
        <v>42</v>
      </c>
      <c r="F187" s="27" t="s">
        <v>66</v>
      </c>
    </row>
    <row r="188" spans="1:6" x14ac:dyDescent="0.3">
      <c r="A188" s="15">
        <v>4</v>
      </c>
      <c r="B188" s="12">
        <v>2</v>
      </c>
      <c r="C188" s="12" t="s">
        <v>80</v>
      </c>
      <c r="D188" s="15" t="s">
        <v>0</v>
      </c>
      <c r="E188" s="15" t="s">
        <v>41</v>
      </c>
      <c r="F188" s="15" t="s">
        <v>72</v>
      </c>
    </row>
    <row r="189" spans="1:6" x14ac:dyDescent="0.3">
      <c r="A189" s="27">
        <v>4</v>
      </c>
      <c r="B189" s="28">
        <v>1</v>
      </c>
      <c r="C189" s="28" t="s">
        <v>81</v>
      </c>
      <c r="D189" s="27" t="s">
        <v>40</v>
      </c>
      <c r="E189" s="27" t="s">
        <v>10</v>
      </c>
      <c r="F189" s="27" t="s">
        <v>72</v>
      </c>
    </row>
    <row r="190" spans="1:6" x14ac:dyDescent="0.3">
      <c r="A190" s="15">
        <v>4</v>
      </c>
      <c r="B190" s="12">
        <v>1</v>
      </c>
      <c r="C190" s="12" t="s">
        <v>81</v>
      </c>
      <c r="D190" s="15" t="s">
        <v>0</v>
      </c>
      <c r="E190" s="15" t="s">
        <v>41</v>
      </c>
      <c r="F190" s="15" t="s">
        <v>68</v>
      </c>
    </row>
    <row r="191" spans="1:6" x14ac:dyDescent="0.3">
      <c r="A191" s="27">
        <v>4</v>
      </c>
      <c r="B191" s="28">
        <v>1</v>
      </c>
      <c r="C191" s="28" t="s">
        <v>81</v>
      </c>
      <c r="D191" s="27" t="s">
        <v>40</v>
      </c>
      <c r="E191" s="27" t="s">
        <v>9</v>
      </c>
      <c r="F191" s="27" t="s">
        <v>68</v>
      </c>
    </row>
    <row r="192" spans="1:6" x14ac:dyDescent="0.3">
      <c r="A192" s="15">
        <v>4</v>
      </c>
      <c r="B192" s="11">
        <v>2</v>
      </c>
      <c r="C192" s="11" t="s">
        <v>80</v>
      </c>
      <c r="D192" s="11" t="s">
        <v>29</v>
      </c>
      <c r="E192" s="15" t="s">
        <v>42</v>
      </c>
      <c r="F192" s="15" t="s">
        <v>63</v>
      </c>
    </row>
    <row r="193" spans="1:6" x14ac:dyDescent="0.3">
      <c r="A193" s="27">
        <v>4</v>
      </c>
      <c r="B193" s="11">
        <v>1</v>
      </c>
      <c r="C193" s="11" t="s">
        <v>81</v>
      </c>
      <c r="D193" s="11" t="s">
        <v>29</v>
      </c>
      <c r="E193" s="27" t="s">
        <v>42</v>
      </c>
      <c r="F193" s="27" t="s">
        <v>61</v>
      </c>
    </row>
    <row r="194" spans="1:6" x14ac:dyDescent="0.3">
      <c r="A194" s="15">
        <v>4</v>
      </c>
      <c r="B194" s="11">
        <v>2</v>
      </c>
      <c r="C194" s="11" t="s">
        <v>80</v>
      </c>
      <c r="D194" s="11" t="s">
        <v>29</v>
      </c>
      <c r="E194" s="15" t="s">
        <v>42</v>
      </c>
      <c r="F194" s="15" t="s">
        <v>59</v>
      </c>
    </row>
    <row r="195" spans="1:6" x14ac:dyDescent="0.3">
      <c r="A195" s="29" t="s">
        <v>25</v>
      </c>
      <c r="B195" s="29"/>
      <c r="C195" s="29"/>
      <c r="D195" s="29"/>
      <c r="E195" s="29"/>
      <c r="F195" s="29"/>
    </row>
    <row r="196" spans="1:6" x14ac:dyDescent="0.3">
      <c r="A196" s="12">
        <v>1</v>
      </c>
      <c r="B196" s="15">
        <v>2</v>
      </c>
      <c r="C196" s="15" t="s">
        <v>80</v>
      </c>
      <c r="D196" s="15" t="s">
        <v>0</v>
      </c>
      <c r="E196" s="15" t="s">
        <v>41</v>
      </c>
      <c r="F196" s="15" t="s">
        <v>46</v>
      </c>
    </row>
    <row r="197" spans="1:6" x14ac:dyDescent="0.3">
      <c r="A197" s="28">
        <v>1</v>
      </c>
      <c r="B197" s="27">
        <v>2</v>
      </c>
      <c r="C197" s="15" t="s">
        <v>80</v>
      </c>
      <c r="D197" s="27" t="s">
        <v>40</v>
      </c>
      <c r="E197" s="27" t="s">
        <v>9</v>
      </c>
      <c r="F197" s="27" t="s">
        <v>46</v>
      </c>
    </row>
    <row r="198" spans="1:6" x14ac:dyDescent="0.3">
      <c r="A198" s="12">
        <v>1</v>
      </c>
      <c r="B198" s="14">
        <v>1</v>
      </c>
      <c r="C198" s="13" t="s">
        <v>81</v>
      </c>
      <c r="D198" s="8" t="s">
        <v>29</v>
      </c>
      <c r="E198" s="15" t="s">
        <v>42</v>
      </c>
      <c r="F198" s="15" t="s">
        <v>72</v>
      </c>
    </row>
    <row r="199" spans="1:6" x14ac:dyDescent="0.3">
      <c r="A199" s="28">
        <v>1</v>
      </c>
      <c r="B199" s="14">
        <v>1</v>
      </c>
      <c r="C199" s="14" t="s">
        <v>81</v>
      </c>
      <c r="D199" s="8" t="s">
        <v>29</v>
      </c>
      <c r="E199" s="27" t="s">
        <v>42</v>
      </c>
      <c r="F199" s="27" t="s">
        <v>67</v>
      </c>
    </row>
    <row r="200" spans="1:6" x14ac:dyDescent="0.3">
      <c r="A200" s="12">
        <v>1</v>
      </c>
      <c r="B200" s="15">
        <v>2</v>
      </c>
      <c r="C200" s="15" t="s">
        <v>80</v>
      </c>
      <c r="D200" s="15" t="s">
        <v>0</v>
      </c>
      <c r="E200" s="15" t="s">
        <v>41</v>
      </c>
      <c r="F200" s="15" t="s">
        <v>45</v>
      </c>
    </row>
    <row r="201" spans="1:6" x14ac:dyDescent="0.3">
      <c r="A201" s="28">
        <v>1</v>
      </c>
      <c r="B201" s="27">
        <v>2</v>
      </c>
      <c r="C201" s="15" t="s">
        <v>80</v>
      </c>
      <c r="D201" s="27" t="s">
        <v>40</v>
      </c>
      <c r="E201" s="27" t="s">
        <v>9</v>
      </c>
      <c r="F201" s="27" t="s">
        <v>45</v>
      </c>
    </row>
    <row r="202" spans="1:6" x14ac:dyDescent="0.3">
      <c r="A202" s="12">
        <v>1</v>
      </c>
      <c r="B202" s="15">
        <v>2</v>
      </c>
      <c r="C202" s="15" t="s">
        <v>80</v>
      </c>
      <c r="D202" s="15" t="s">
        <v>0</v>
      </c>
      <c r="E202" s="15" t="s">
        <v>41</v>
      </c>
      <c r="F202" s="15" t="s">
        <v>48</v>
      </c>
    </row>
    <row r="203" spans="1:6" x14ac:dyDescent="0.3">
      <c r="A203" s="28">
        <v>1</v>
      </c>
      <c r="B203" s="27">
        <v>1</v>
      </c>
      <c r="C203" s="27" t="s">
        <v>81</v>
      </c>
      <c r="D203" s="27" t="s">
        <v>40</v>
      </c>
      <c r="E203" s="27" t="s">
        <v>10</v>
      </c>
      <c r="F203" s="27" t="s">
        <v>48</v>
      </c>
    </row>
    <row r="204" spans="1:6" x14ac:dyDescent="0.3">
      <c r="A204" s="12">
        <v>1</v>
      </c>
      <c r="B204" s="14">
        <v>2</v>
      </c>
      <c r="C204" s="13" t="s">
        <v>80</v>
      </c>
      <c r="D204" s="8" t="s">
        <v>29</v>
      </c>
      <c r="E204" s="15" t="s">
        <v>42</v>
      </c>
      <c r="F204" s="15" t="s">
        <v>71</v>
      </c>
    </row>
    <row r="205" spans="1:6" x14ac:dyDescent="0.3">
      <c r="A205" s="28">
        <v>1</v>
      </c>
      <c r="B205" s="27">
        <v>1</v>
      </c>
      <c r="C205" s="27" t="s">
        <v>81</v>
      </c>
      <c r="D205" s="27" t="s">
        <v>0</v>
      </c>
      <c r="E205" s="27" t="s">
        <v>41</v>
      </c>
      <c r="F205" s="27" t="s">
        <v>44</v>
      </c>
    </row>
    <row r="206" spans="1:6" x14ac:dyDescent="0.3">
      <c r="A206" s="12">
        <v>1</v>
      </c>
      <c r="B206" s="15">
        <v>2</v>
      </c>
      <c r="C206" s="15" t="s">
        <v>80</v>
      </c>
      <c r="D206" s="15" t="s">
        <v>40</v>
      </c>
      <c r="E206" s="15" t="s">
        <v>10</v>
      </c>
      <c r="F206" s="15" t="s">
        <v>44</v>
      </c>
    </row>
    <row r="207" spans="1:6" x14ac:dyDescent="0.3">
      <c r="A207" s="28">
        <v>1</v>
      </c>
      <c r="B207" s="27">
        <v>2</v>
      </c>
      <c r="C207" s="27" t="s">
        <v>80</v>
      </c>
      <c r="D207" s="27" t="s">
        <v>0</v>
      </c>
      <c r="E207" s="27" t="s">
        <v>41</v>
      </c>
      <c r="F207" s="27" t="s">
        <v>43</v>
      </c>
    </row>
    <row r="208" spans="1:6" x14ac:dyDescent="0.3">
      <c r="A208" s="12">
        <v>1</v>
      </c>
      <c r="B208" s="15">
        <v>1</v>
      </c>
      <c r="C208" s="15" t="s">
        <v>81</v>
      </c>
      <c r="D208" s="15" t="s">
        <v>40</v>
      </c>
      <c r="E208" s="15" t="s">
        <v>10</v>
      </c>
      <c r="F208" s="15" t="s">
        <v>43</v>
      </c>
    </row>
    <row r="209" spans="1:6" x14ac:dyDescent="0.3">
      <c r="A209" s="28">
        <v>1</v>
      </c>
      <c r="B209" s="14">
        <v>2</v>
      </c>
      <c r="C209" s="14" t="s">
        <v>80</v>
      </c>
      <c r="D209" s="8" t="s">
        <v>29</v>
      </c>
      <c r="E209" s="27" t="s">
        <v>42</v>
      </c>
      <c r="F209" s="27" t="s">
        <v>73</v>
      </c>
    </row>
    <row r="210" spans="1:6" x14ac:dyDescent="0.3">
      <c r="A210" s="12">
        <v>1</v>
      </c>
      <c r="B210" s="15">
        <v>1</v>
      </c>
      <c r="C210" s="15" t="s">
        <v>81</v>
      </c>
      <c r="D210" s="15" t="s">
        <v>0</v>
      </c>
      <c r="E210" s="15" t="s">
        <v>41</v>
      </c>
      <c r="F210" s="15" t="s">
        <v>50</v>
      </c>
    </row>
    <row r="211" spans="1:6" x14ac:dyDescent="0.3">
      <c r="A211" s="28">
        <v>1</v>
      </c>
      <c r="B211" s="27">
        <v>1</v>
      </c>
      <c r="C211" s="15" t="s">
        <v>81</v>
      </c>
      <c r="D211" s="27" t="s">
        <v>40</v>
      </c>
      <c r="E211" s="27" t="s">
        <v>9</v>
      </c>
      <c r="F211" s="27" t="s">
        <v>50</v>
      </c>
    </row>
    <row r="212" spans="1:6" x14ac:dyDescent="0.3">
      <c r="A212" s="12">
        <v>1</v>
      </c>
      <c r="B212" s="14">
        <v>2</v>
      </c>
      <c r="C212" s="13" t="s">
        <v>80</v>
      </c>
      <c r="D212" s="8" t="s">
        <v>29</v>
      </c>
      <c r="E212" s="15" t="s">
        <v>42</v>
      </c>
      <c r="F212" s="15" t="s">
        <v>68</v>
      </c>
    </row>
    <row r="213" spans="1:6" x14ac:dyDescent="0.3">
      <c r="A213" s="28">
        <v>1</v>
      </c>
      <c r="B213" s="27">
        <v>1</v>
      </c>
      <c r="C213" s="27" t="s">
        <v>81</v>
      </c>
      <c r="D213" s="27" t="s">
        <v>0</v>
      </c>
      <c r="E213" s="27" t="s">
        <v>41</v>
      </c>
      <c r="F213" s="27" t="s">
        <v>47</v>
      </c>
    </row>
    <row r="214" spans="1:6" x14ac:dyDescent="0.3">
      <c r="A214" s="12">
        <v>1</v>
      </c>
      <c r="B214" s="15">
        <v>1</v>
      </c>
      <c r="C214" s="15" t="s">
        <v>81</v>
      </c>
      <c r="D214" s="15" t="s">
        <v>40</v>
      </c>
      <c r="E214" s="15" t="s">
        <v>9</v>
      </c>
      <c r="F214" s="15" t="s">
        <v>47</v>
      </c>
    </row>
    <row r="215" spans="1:6" x14ac:dyDescent="0.3">
      <c r="A215" s="28">
        <v>1</v>
      </c>
      <c r="B215" s="14">
        <v>1</v>
      </c>
      <c r="C215" s="14" t="s">
        <v>81</v>
      </c>
      <c r="D215" s="8" t="s">
        <v>29</v>
      </c>
      <c r="E215" s="27" t="s">
        <v>42</v>
      </c>
      <c r="F215" s="27" t="s">
        <v>74</v>
      </c>
    </row>
    <row r="216" spans="1:6" x14ac:dyDescent="0.3">
      <c r="A216" s="12">
        <v>1</v>
      </c>
      <c r="B216" s="14">
        <v>2</v>
      </c>
      <c r="C216" s="13" t="s">
        <v>80</v>
      </c>
      <c r="D216" s="8" t="s">
        <v>29</v>
      </c>
      <c r="E216" s="15" t="s">
        <v>42</v>
      </c>
      <c r="F216" s="15" t="s">
        <v>69</v>
      </c>
    </row>
    <row r="217" spans="1:6" x14ac:dyDescent="0.3">
      <c r="A217" s="28">
        <v>1</v>
      </c>
      <c r="B217" s="27">
        <v>1</v>
      </c>
      <c r="C217" s="27" t="s">
        <v>81</v>
      </c>
      <c r="D217" s="27" t="s">
        <v>0</v>
      </c>
      <c r="E217" s="27" t="s">
        <v>41</v>
      </c>
      <c r="F217" s="27" t="s">
        <v>49</v>
      </c>
    </row>
    <row r="218" spans="1:6" x14ac:dyDescent="0.3">
      <c r="A218" s="12">
        <v>1</v>
      </c>
      <c r="B218" s="15">
        <v>2</v>
      </c>
      <c r="C218" s="15" t="s">
        <v>80</v>
      </c>
      <c r="D218" s="15" t="s">
        <v>40</v>
      </c>
      <c r="E218" s="15" t="s">
        <v>10</v>
      </c>
      <c r="F218" s="15" t="s">
        <v>49</v>
      </c>
    </row>
    <row r="219" spans="1:6" x14ac:dyDescent="0.3">
      <c r="A219" s="28">
        <v>1</v>
      </c>
      <c r="B219" s="14">
        <v>1</v>
      </c>
      <c r="C219" s="14" t="s">
        <v>81</v>
      </c>
      <c r="D219" s="8" t="s">
        <v>29</v>
      </c>
      <c r="E219" s="27" t="s">
        <v>42</v>
      </c>
      <c r="F219" s="27" t="s">
        <v>70</v>
      </c>
    </row>
    <row r="220" spans="1:6" x14ac:dyDescent="0.3">
      <c r="A220" s="4">
        <v>2</v>
      </c>
      <c r="B220" s="4">
        <v>1</v>
      </c>
      <c r="C220" s="7" t="s">
        <v>81</v>
      </c>
      <c r="D220" s="4" t="s">
        <v>0</v>
      </c>
      <c r="E220" s="4" t="s">
        <v>41</v>
      </c>
      <c r="F220" s="4" t="s">
        <v>54</v>
      </c>
    </row>
    <row r="221" spans="1:6" x14ac:dyDescent="0.3">
      <c r="A221" s="15">
        <v>2</v>
      </c>
      <c r="B221" s="15">
        <v>1</v>
      </c>
      <c r="C221" s="12" t="s">
        <v>81</v>
      </c>
      <c r="D221" s="15" t="s">
        <v>40</v>
      </c>
      <c r="E221" s="15" t="s">
        <v>9</v>
      </c>
      <c r="F221" s="15" t="s">
        <v>54</v>
      </c>
    </row>
    <row r="222" spans="1:6" x14ac:dyDescent="0.3">
      <c r="A222" s="4">
        <v>2</v>
      </c>
      <c r="B222" s="9">
        <v>2</v>
      </c>
      <c r="C222" s="9" t="s">
        <v>80</v>
      </c>
      <c r="D222" s="9" t="s">
        <v>29</v>
      </c>
      <c r="E222" s="4" t="s">
        <v>42</v>
      </c>
      <c r="F222" s="4" t="s">
        <v>46</v>
      </c>
    </row>
    <row r="223" spans="1:6" x14ac:dyDescent="0.3">
      <c r="A223" s="15">
        <v>2</v>
      </c>
      <c r="B223" s="15">
        <v>1</v>
      </c>
      <c r="C223" s="15" t="s">
        <v>81</v>
      </c>
      <c r="D223" s="15" t="s">
        <v>0</v>
      </c>
      <c r="E223" s="15" t="s">
        <v>41</v>
      </c>
      <c r="F223" s="15" t="s">
        <v>56</v>
      </c>
    </row>
    <row r="224" spans="1:6" x14ac:dyDescent="0.3">
      <c r="A224" s="4">
        <v>2</v>
      </c>
      <c r="B224" s="4">
        <v>1</v>
      </c>
      <c r="C224" s="4" t="s">
        <v>81</v>
      </c>
      <c r="D224" s="4" t="s">
        <v>40</v>
      </c>
      <c r="E224" s="4" t="s">
        <v>9</v>
      </c>
      <c r="F224" s="4" t="s">
        <v>56</v>
      </c>
    </row>
    <row r="225" spans="1:6" x14ac:dyDescent="0.3">
      <c r="A225" s="15">
        <v>2</v>
      </c>
      <c r="B225" s="15">
        <v>1</v>
      </c>
      <c r="C225" s="15" t="s">
        <v>81</v>
      </c>
      <c r="D225" s="15" t="s">
        <v>0</v>
      </c>
      <c r="E225" s="15" t="s">
        <v>41</v>
      </c>
      <c r="F225" s="15" t="s">
        <v>58</v>
      </c>
    </row>
    <row r="226" spans="1:6" x14ac:dyDescent="0.3">
      <c r="A226" s="4">
        <v>2</v>
      </c>
      <c r="B226" s="4">
        <v>2</v>
      </c>
      <c r="C226" s="4" t="s">
        <v>80</v>
      </c>
      <c r="D226" s="4" t="s">
        <v>40</v>
      </c>
      <c r="E226" s="4" t="s">
        <v>10</v>
      </c>
      <c r="F226" s="4" t="s">
        <v>58</v>
      </c>
    </row>
    <row r="227" spans="1:6" x14ac:dyDescent="0.3">
      <c r="A227" s="15">
        <v>2</v>
      </c>
      <c r="B227" s="9">
        <v>2</v>
      </c>
      <c r="C227" s="9" t="s">
        <v>80</v>
      </c>
      <c r="D227" s="9" t="s">
        <v>29</v>
      </c>
      <c r="E227" s="15" t="s">
        <v>42</v>
      </c>
      <c r="F227" s="15" t="s">
        <v>45</v>
      </c>
    </row>
    <row r="228" spans="1:6" x14ac:dyDescent="0.3">
      <c r="A228" s="4">
        <v>2</v>
      </c>
      <c r="B228" s="4">
        <v>2</v>
      </c>
      <c r="C228" s="4" t="s">
        <v>80</v>
      </c>
      <c r="D228" s="4" t="s">
        <v>0</v>
      </c>
      <c r="E228" s="4" t="s">
        <v>41</v>
      </c>
      <c r="F228" s="4" t="s">
        <v>52</v>
      </c>
    </row>
    <row r="229" spans="1:6" x14ac:dyDescent="0.3">
      <c r="A229" s="15">
        <v>2</v>
      </c>
      <c r="B229" s="15">
        <v>1</v>
      </c>
      <c r="C229" s="15" t="s">
        <v>81</v>
      </c>
      <c r="D229" s="15" t="s">
        <v>40</v>
      </c>
      <c r="E229" s="15" t="s">
        <v>10</v>
      </c>
      <c r="F229" s="15" t="s">
        <v>52</v>
      </c>
    </row>
    <row r="230" spans="1:6" x14ac:dyDescent="0.3">
      <c r="A230" s="4">
        <v>2</v>
      </c>
      <c r="B230" s="4">
        <v>1</v>
      </c>
      <c r="C230" s="4" t="s">
        <v>81</v>
      </c>
      <c r="D230" s="4" t="s">
        <v>0</v>
      </c>
      <c r="E230" s="4" t="s">
        <v>41</v>
      </c>
      <c r="F230" s="4" t="s">
        <v>57</v>
      </c>
    </row>
    <row r="231" spans="1:6" x14ac:dyDescent="0.3">
      <c r="A231" s="15">
        <v>2</v>
      </c>
      <c r="B231" s="15">
        <v>2</v>
      </c>
      <c r="C231" s="15" t="s">
        <v>80</v>
      </c>
      <c r="D231" s="15" t="s">
        <v>40</v>
      </c>
      <c r="E231" s="15" t="s">
        <v>10</v>
      </c>
      <c r="F231" s="15" t="s">
        <v>57</v>
      </c>
    </row>
    <row r="232" spans="1:6" x14ac:dyDescent="0.3">
      <c r="A232" s="4">
        <v>2</v>
      </c>
      <c r="B232" s="9">
        <v>1</v>
      </c>
      <c r="C232" s="9" t="s">
        <v>81</v>
      </c>
      <c r="D232" s="9" t="s">
        <v>29</v>
      </c>
      <c r="E232" s="4" t="s">
        <v>42</v>
      </c>
      <c r="F232" s="4" t="s">
        <v>48</v>
      </c>
    </row>
    <row r="233" spans="1:6" x14ac:dyDescent="0.3">
      <c r="A233" s="15">
        <v>2</v>
      </c>
      <c r="B233" s="9">
        <v>1</v>
      </c>
      <c r="C233" s="9" t="s">
        <v>81</v>
      </c>
      <c r="D233" s="9" t="s">
        <v>29</v>
      </c>
      <c r="E233" s="15" t="s">
        <v>42</v>
      </c>
      <c r="F233" s="15" t="s">
        <v>44</v>
      </c>
    </row>
    <row r="234" spans="1:6" x14ac:dyDescent="0.3">
      <c r="A234" s="4">
        <v>2</v>
      </c>
      <c r="B234" s="4">
        <v>2</v>
      </c>
      <c r="C234" s="4" t="s">
        <v>80</v>
      </c>
      <c r="D234" s="4" t="s">
        <v>0</v>
      </c>
      <c r="E234" s="4" t="s">
        <v>41</v>
      </c>
      <c r="F234" s="4" t="s">
        <v>55</v>
      </c>
    </row>
    <row r="235" spans="1:6" x14ac:dyDescent="0.3">
      <c r="A235" s="15">
        <v>2</v>
      </c>
      <c r="B235" s="15">
        <v>2</v>
      </c>
      <c r="C235" s="15" t="s">
        <v>80</v>
      </c>
      <c r="D235" s="15" t="s">
        <v>40</v>
      </c>
      <c r="E235" s="15" t="s">
        <v>9</v>
      </c>
      <c r="F235" s="15" t="s">
        <v>55</v>
      </c>
    </row>
    <row r="236" spans="1:6" x14ac:dyDescent="0.3">
      <c r="A236" s="4">
        <v>2</v>
      </c>
      <c r="B236" s="9">
        <v>1</v>
      </c>
      <c r="C236" s="9" t="s">
        <v>81</v>
      </c>
      <c r="D236" s="9" t="s">
        <v>29</v>
      </c>
      <c r="E236" s="4" t="s">
        <v>42</v>
      </c>
      <c r="F236" s="4" t="s">
        <v>43</v>
      </c>
    </row>
    <row r="237" spans="1:6" x14ac:dyDescent="0.3">
      <c r="A237" s="15">
        <v>2</v>
      </c>
      <c r="B237" s="15">
        <v>2</v>
      </c>
      <c r="C237" s="15" t="s">
        <v>80</v>
      </c>
      <c r="D237" s="15" t="s">
        <v>0</v>
      </c>
      <c r="E237" s="15" t="s">
        <v>41</v>
      </c>
      <c r="F237" s="15" t="s">
        <v>51</v>
      </c>
    </row>
    <row r="238" spans="1:6" x14ac:dyDescent="0.3">
      <c r="A238" s="4">
        <v>2</v>
      </c>
      <c r="B238" s="4">
        <v>2</v>
      </c>
      <c r="C238" s="4" t="s">
        <v>80</v>
      </c>
      <c r="D238" s="4" t="s">
        <v>40</v>
      </c>
      <c r="E238" s="4" t="s">
        <v>9</v>
      </c>
      <c r="F238" s="4" t="s">
        <v>51</v>
      </c>
    </row>
    <row r="239" spans="1:6" x14ac:dyDescent="0.3">
      <c r="A239" s="15">
        <v>2</v>
      </c>
      <c r="B239" s="9">
        <v>2</v>
      </c>
      <c r="C239" s="9" t="s">
        <v>80</v>
      </c>
      <c r="D239" s="9" t="s">
        <v>29</v>
      </c>
      <c r="E239" s="15" t="s">
        <v>42</v>
      </c>
      <c r="F239" s="15" t="s">
        <v>50</v>
      </c>
    </row>
    <row r="240" spans="1:6" x14ac:dyDescent="0.3">
      <c r="A240" s="4">
        <v>2</v>
      </c>
      <c r="B240" s="9">
        <v>1</v>
      </c>
      <c r="C240" s="9" t="s">
        <v>81</v>
      </c>
      <c r="D240" s="9" t="s">
        <v>29</v>
      </c>
      <c r="E240" s="4" t="s">
        <v>42</v>
      </c>
      <c r="F240" s="4" t="s">
        <v>47</v>
      </c>
    </row>
    <row r="241" spans="1:6" x14ac:dyDescent="0.3">
      <c r="A241" s="15">
        <v>2</v>
      </c>
      <c r="B241" s="9">
        <v>2</v>
      </c>
      <c r="C241" s="9" t="s">
        <v>80</v>
      </c>
      <c r="D241" s="9" t="s">
        <v>29</v>
      </c>
      <c r="E241" s="15" t="s">
        <v>42</v>
      </c>
      <c r="F241" s="15" t="s">
        <v>49</v>
      </c>
    </row>
    <row r="242" spans="1:6" x14ac:dyDescent="0.3">
      <c r="A242" s="4">
        <v>2</v>
      </c>
      <c r="B242" s="4">
        <v>2</v>
      </c>
      <c r="C242" s="4" t="s">
        <v>80</v>
      </c>
      <c r="D242" s="4" t="s">
        <v>0</v>
      </c>
      <c r="E242" s="4" t="s">
        <v>41</v>
      </c>
      <c r="F242" s="4" t="s">
        <v>53</v>
      </c>
    </row>
    <row r="243" spans="1:6" x14ac:dyDescent="0.3">
      <c r="A243" s="15">
        <v>2</v>
      </c>
      <c r="B243" s="15">
        <v>1</v>
      </c>
      <c r="C243" s="15" t="s">
        <v>81</v>
      </c>
      <c r="D243" s="15" t="s">
        <v>40</v>
      </c>
      <c r="E243" s="15" t="s">
        <v>10</v>
      </c>
      <c r="F243" s="15" t="s">
        <v>53</v>
      </c>
    </row>
    <row r="244" spans="1:6" x14ac:dyDescent="0.3">
      <c r="A244" s="12">
        <v>3</v>
      </c>
      <c r="B244" s="10">
        <v>2</v>
      </c>
      <c r="C244" s="10" t="s">
        <v>80</v>
      </c>
      <c r="D244" s="10" t="s">
        <v>29</v>
      </c>
      <c r="E244" s="15" t="s">
        <v>42</v>
      </c>
      <c r="F244" s="15" t="s">
        <v>54</v>
      </c>
    </row>
    <row r="245" spans="1:6" x14ac:dyDescent="0.3">
      <c r="A245" s="28">
        <v>3</v>
      </c>
      <c r="B245" s="27">
        <v>1</v>
      </c>
      <c r="C245" s="27" t="s">
        <v>81</v>
      </c>
      <c r="D245" s="27" t="s">
        <v>0</v>
      </c>
      <c r="E245" s="27" t="s">
        <v>41</v>
      </c>
      <c r="F245" s="27" t="s">
        <v>64</v>
      </c>
    </row>
    <row r="246" spans="1:6" x14ac:dyDescent="0.3">
      <c r="A246" s="12">
        <v>3</v>
      </c>
      <c r="B246" s="15">
        <v>2</v>
      </c>
      <c r="C246" s="15" t="s">
        <v>80</v>
      </c>
      <c r="D246" s="15" t="s">
        <v>40</v>
      </c>
      <c r="E246" s="15" t="s">
        <v>10</v>
      </c>
      <c r="F246" s="15" t="s">
        <v>64</v>
      </c>
    </row>
    <row r="247" spans="1:6" x14ac:dyDescent="0.3">
      <c r="A247" s="28">
        <v>3</v>
      </c>
      <c r="B247" s="10">
        <v>2</v>
      </c>
      <c r="C247" s="10" t="s">
        <v>80</v>
      </c>
      <c r="D247" s="10" t="s">
        <v>29</v>
      </c>
      <c r="E247" s="27" t="s">
        <v>42</v>
      </c>
      <c r="F247" s="27" t="s">
        <v>56</v>
      </c>
    </row>
    <row r="248" spans="1:6" x14ac:dyDescent="0.3">
      <c r="A248" s="12">
        <v>3</v>
      </c>
      <c r="B248" s="15">
        <v>2</v>
      </c>
      <c r="C248" s="15" t="s">
        <v>80</v>
      </c>
      <c r="D248" s="15" t="s">
        <v>0</v>
      </c>
      <c r="E248" s="15" t="s">
        <v>41</v>
      </c>
      <c r="F248" s="15" t="s">
        <v>62</v>
      </c>
    </row>
    <row r="249" spans="1:6" x14ac:dyDescent="0.3">
      <c r="A249" s="28">
        <v>3</v>
      </c>
      <c r="B249" s="27">
        <v>1</v>
      </c>
      <c r="C249" s="27" t="s">
        <v>81</v>
      </c>
      <c r="D249" s="27" t="s">
        <v>40</v>
      </c>
      <c r="E249" s="27" t="s">
        <v>10</v>
      </c>
      <c r="F249" s="27" t="s">
        <v>62</v>
      </c>
    </row>
    <row r="250" spans="1:6" x14ac:dyDescent="0.3">
      <c r="A250" s="12">
        <v>3</v>
      </c>
      <c r="B250" s="15">
        <v>1</v>
      </c>
      <c r="C250" s="15" t="s">
        <v>81</v>
      </c>
      <c r="D250" s="15" t="s">
        <v>0</v>
      </c>
      <c r="E250" s="15" t="s">
        <v>41</v>
      </c>
      <c r="F250" s="15" t="s">
        <v>66</v>
      </c>
    </row>
    <row r="251" spans="1:6" x14ac:dyDescent="0.3">
      <c r="A251" s="28">
        <v>3</v>
      </c>
      <c r="B251" s="27">
        <v>2</v>
      </c>
      <c r="C251" s="27" t="s">
        <v>80</v>
      </c>
      <c r="D251" s="27" t="s">
        <v>40</v>
      </c>
      <c r="E251" s="27" t="s">
        <v>10</v>
      </c>
      <c r="F251" s="27" t="s">
        <v>66</v>
      </c>
    </row>
    <row r="252" spans="1:6" x14ac:dyDescent="0.3">
      <c r="A252" s="12">
        <v>3</v>
      </c>
      <c r="B252" s="10">
        <v>1</v>
      </c>
      <c r="C252" s="10" t="s">
        <v>81</v>
      </c>
      <c r="D252" s="10" t="s">
        <v>29</v>
      </c>
      <c r="E252" s="15" t="s">
        <v>42</v>
      </c>
      <c r="F252" s="15" t="s">
        <v>58</v>
      </c>
    </row>
    <row r="253" spans="1:6" x14ac:dyDescent="0.3">
      <c r="A253" s="28">
        <v>3</v>
      </c>
      <c r="B253" s="27">
        <v>2</v>
      </c>
      <c r="C253" s="27" t="s">
        <v>80</v>
      </c>
      <c r="D253" s="27" t="s">
        <v>0</v>
      </c>
      <c r="E253" s="27" t="s">
        <v>41</v>
      </c>
      <c r="F253" s="27" t="s">
        <v>65</v>
      </c>
    </row>
    <row r="254" spans="1:6" x14ac:dyDescent="0.3">
      <c r="A254" s="12">
        <v>3</v>
      </c>
      <c r="B254" s="15">
        <v>2</v>
      </c>
      <c r="C254" s="15" t="s">
        <v>80</v>
      </c>
      <c r="D254" s="15" t="s">
        <v>40</v>
      </c>
      <c r="E254" s="15" t="s">
        <v>9</v>
      </c>
      <c r="F254" s="15" t="s">
        <v>65</v>
      </c>
    </row>
    <row r="255" spans="1:6" x14ac:dyDescent="0.3">
      <c r="A255" s="28">
        <v>3</v>
      </c>
      <c r="B255" s="10">
        <v>1</v>
      </c>
      <c r="C255" s="10" t="s">
        <v>81</v>
      </c>
      <c r="D255" s="10" t="s">
        <v>29</v>
      </c>
      <c r="E255" s="27" t="s">
        <v>42</v>
      </c>
      <c r="F255" s="27" t="s">
        <v>52</v>
      </c>
    </row>
    <row r="256" spans="1:6" x14ac:dyDescent="0.3">
      <c r="A256" s="12">
        <v>3</v>
      </c>
      <c r="B256" s="10">
        <v>1</v>
      </c>
      <c r="C256" s="10" t="s">
        <v>81</v>
      </c>
      <c r="D256" s="10" t="s">
        <v>29</v>
      </c>
      <c r="E256" s="15" t="s">
        <v>42</v>
      </c>
      <c r="F256" s="15" t="s">
        <v>57</v>
      </c>
    </row>
    <row r="257" spans="1:6" x14ac:dyDescent="0.3">
      <c r="A257" s="28">
        <v>3</v>
      </c>
      <c r="B257" s="27">
        <v>2</v>
      </c>
      <c r="C257" s="27" t="s">
        <v>80</v>
      </c>
      <c r="D257" s="27" t="s">
        <v>0</v>
      </c>
      <c r="E257" s="27" t="s">
        <v>41</v>
      </c>
      <c r="F257" s="27" t="s">
        <v>59</v>
      </c>
    </row>
    <row r="258" spans="1:6" x14ac:dyDescent="0.3">
      <c r="A258" s="12">
        <v>3</v>
      </c>
      <c r="B258" s="15">
        <v>2</v>
      </c>
      <c r="C258" s="15" t="s">
        <v>80</v>
      </c>
      <c r="D258" s="15" t="s">
        <v>40</v>
      </c>
      <c r="E258" s="15" t="s">
        <v>9</v>
      </c>
      <c r="F258" s="15" t="s">
        <v>59</v>
      </c>
    </row>
    <row r="259" spans="1:6" x14ac:dyDescent="0.3">
      <c r="A259" s="28">
        <v>3</v>
      </c>
      <c r="B259" s="27">
        <v>2</v>
      </c>
      <c r="C259" s="27" t="s">
        <v>80</v>
      </c>
      <c r="D259" s="27" t="s">
        <v>0</v>
      </c>
      <c r="E259" s="27" t="s">
        <v>41</v>
      </c>
      <c r="F259" s="27" t="s">
        <v>61</v>
      </c>
    </row>
    <row r="260" spans="1:6" x14ac:dyDescent="0.3">
      <c r="A260" s="12">
        <v>3</v>
      </c>
      <c r="B260" s="15">
        <v>1</v>
      </c>
      <c r="C260" s="15" t="s">
        <v>81</v>
      </c>
      <c r="D260" s="15" t="s">
        <v>40</v>
      </c>
      <c r="E260" s="15" t="s">
        <v>10</v>
      </c>
      <c r="F260" s="15" t="s">
        <v>61</v>
      </c>
    </row>
    <row r="261" spans="1:6" x14ac:dyDescent="0.3">
      <c r="A261" s="28">
        <v>3</v>
      </c>
      <c r="B261" s="10">
        <v>2</v>
      </c>
      <c r="C261" s="10" t="s">
        <v>80</v>
      </c>
      <c r="D261" s="10" t="s">
        <v>29</v>
      </c>
      <c r="E261" s="27" t="s">
        <v>42</v>
      </c>
      <c r="F261" s="27" t="s">
        <v>55</v>
      </c>
    </row>
    <row r="262" spans="1:6" x14ac:dyDescent="0.3">
      <c r="A262" s="12">
        <v>3</v>
      </c>
      <c r="B262" s="15">
        <v>1</v>
      </c>
      <c r="C262" s="15" t="s">
        <v>81</v>
      </c>
      <c r="D262" s="15" t="s">
        <v>0</v>
      </c>
      <c r="E262" s="15" t="s">
        <v>41</v>
      </c>
      <c r="F262" s="15" t="s">
        <v>63</v>
      </c>
    </row>
    <row r="263" spans="1:6" x14ac:dyDescent="0.3">
      <c r="A263" s="28">
        <v>3</v>
      </c>
      <c r="B263" s="27">
        <v>1</v>
      </c>
      <c r="C263" s="27" t="s">
        <v>81</v>
      </c>
      <c r="D263" s="27" t="s">
        <v>40</v>
      </c>
      <c r="E263" s="27" t="s">
        <v>9</v>
      </c>
      <c r="F263" s="27" t="s">
        <v>63</v>
      </c>
    </row>
    <row r="264" spans="1:6" x14ac:dyDescent="0.3">
      <c r="A264" s="12">
        <v>3</v>
      </c>
      <c r="B264" s="10">
        <v>2</v>
      </c>
      <c r="C264" s="10" t="s">
        <v>80</v>
      </c>
      <c r="D264" s="10" t="s">
        <v>29</v>
      </c>
      <c r="E264" s="15" t="s">
        <v>42</v>
      </c>
      <c r="F264" s="15" t="s">
        <v>51</v>
      </c>
    </row>
    <row r="265" spans="1:6" x14ac:dyDescent="0.3">
      <c r="A265" s="28">
        <v>3</v>
      </c>
      <c r="B265" s="27">
        <v>1</v>
      </c>
      <c r="C265" s="27" t="s">
        <v>81</v>
      </c>
      <c r="D265" s="27" t="s">
        <v>0</v>
      </c>
      <c r="E265" s="27" t="s">
        <v>41</v>
      </c>
      <c r="F265" s="27" t="s">
        <v>60</v>
      </c>
    </row>
    <row r="266" spans="1:6" x14ac:dyDescent="0.3">
      <c r="A266" s="12">
        <v>3</v>
      </c>
      <c r="B266" s="15">
        <v>1</v>
      </c>
      <c r="C266" s="15" t="s">
        <v>81</v>
      </c>
      <c r="D266" s="15" t="s">
        <v>40</v>
      </c>
      <c r="E266" s="15" t="s">
        <v>9</v>
      </c>
      <c r="F266" s="15" t="s">
        <v>60</v>
      </c>
    </row>
    <row r="267" spans="1:6" x14ac:dyDescent="0.3">
      <c r="A267" s="28">
        <v>3</v>
      </c>
      <c r="B267" s="10">
        <v>1</v>
      </c>
      <c r="C267" s="10" t="s">
        <v>81</v>
      </c>
      <c r="D267" s="10" t="s">
        <v>29</v>
      </c>
      <c r="E267" s="27" t="s">
        <v>42</v>
      </c>
      <c r="F267" s="27" t="s">
        <v>53</v>
      </c>
    </row>
    <row r="268" spans="1:6" x14ac:dyDescent="0.3">
      <c r="A268" s="4">
        <v>4</v>
      </c>
      <c r="B268" s="11">
        <v>2</v>
      </c>
      <c r="C268" s="11" t="s">
        <v>80</v>
      </c>
      <c r="D268" s="11" t="s">
        <v>29</v>
      </c>
      <c r="E268" s="4" t="s">
        <v>42</v>
      </c>
      <c r="F268" s="4" t="s">
        <v>64</v>
      </c>
    </row>
    <row r="269" spans="1:6" x14ac:dyDescent="0.3">
      <c r="A269" s="15">
        <v>4</v>
      </c>
      <c r="B269" s="15">
        <v>1</v>
      </c>
      <c r="C269" s="15" t="s">
        <v>81</v>
      </c>
      <c r="D269" s="15" t="s">
        <v>0</v>
      </c>
      <c r="E269" s="15" t="s">
        <v>41</v>
      </c>
      <c r="F269" s="15" t="s">
        <v>72</v>
      </c>
    </row>
    <row r="270" spans="1:6" x14ac:dyDescent="0.3">
      <c r="A270" s="4">
        <v>4</v>
      </c>
      <c r="B270" s="4">
        <v>1</v>
      </c>
      <c r="C270" s="4" t="s">
        <v>81</v>
      </c>
      <c r="D270" s="4" t="s">
        <v>40</v>
      </c>
      <c r="E270" s="4" t="s">
        <v>9</v>
      </c>
      <c r="F270" s="4" t="s">
        <v>72</v>
      </c>
    </row>
    <row r="271" spans="1:6" x14ac:dyDescent="0.3">
      <c r="A271" s="15">
        <v>4</v>
      </c>
      <c r="B271" s="15">
        <v>1</v>
      </c>
      <c r="C271" s="15" t="s">
        <v>81</v>
      </c>
      <c r="D271" s="15" t="s">
        <v>0</v>
      </c>
      <c r="E271" s="15" t="s">
        <v>41</v>
      </c>
      <c r="F271" s="15" t="s">
        <v>67</v>
      </c>
    </row>
    <row r="272" spans="1:6" x14ac:dyDescent="0.3">
      <c r="A272" s="4">
        <v>4</v>
      </c>
      <c r="B272" s="4">
        <v>2</v>
      </c>
      <c r="C272" s="4" t="s">
        <v>80</v>
      </c>
      <c r="D272" s="4" t="s">
        <v>40</v>
      </c>
      <c r="E272" s="4" t="s">
        <v>10</v>
      </c>
      <c r="F272" s="4" t="s">
        <v>67</v>
      </c>
    </row>
    <row r="273" spans="1:6" x14ac:dyDescent="0.3">
      <c r="A273" s="15">
        <v>4</v>
      </c>
      <c r="B273" s="11">
        <v>1</v>
      </c>
      <c r="C273" s="11" t="s">
        <v>81</v>
      </c>
      <c r="D273" s="11" t="s">
        <v>29</v>
      </c>
      <c r="E273" s="15" t="s">
        <v>42</v>
      </c>
      <c r="F273" s="15" t="s">
        <v>62</v>
      </c>
    </row>
    <row r="274" spans="1:6" x14ac:dyDescent="0.3">
      <c r="A274" s="4">
        <v>4</v>
      </c>
      <c r="B274" s="4">
        <v>2</v>
      </c>
      <c r="C274" s="4" t="s">
        <v>80</v>
      </c>
      <c r="D274" s="4" t="s">
        <v>0</v>
      </c>
      <c r="E274" s="4" t="s">
        <v>41</v>
      </c>
      <c r="F274" s="4" t="s">
        <v>71</v>
      </c>
    </row>
    <row r="275" spans="1:6" x14ac:dyDescent="0.3">
      <c r="A275" s="15">
        <v>4</v>
      </c>
      <c r="B275" s="15">
        <v>2</v>
      </c>
      <c r="C275" s="15" t="s">
        <v>80</v>
      </c>
      <c r="D275" s="15" t="s">
        <v>40</v>
      </c>
      <c r="E275" s="15" t="s">
        <v>9</v>
      </c>
      <c r="F275" s="15" t="s">
        <v>71</v>
      </c>
    </row>
    <row r="276" spans="1:6" x14ac:dyDescent="0.3">
      <c r="A276" s="4">
        <v>4</v>
      </c>
      <c r="B276" s="4">
        <v>2</v>
      </c>
      <c r="C276" s="4" t="s">
        <v>80</v>
      </c>
      <c r="D276" s="4" t="s">
        <v>0</v>
      </c>
      <c r="E276" s="4" t="s">
        <v>41</v>
      </c>
      <c r="F276" s="4" t="s">
        <v>73</v>
      </c>
    </row>
    <row r="277" spans="1:6" x14ac:dyDescent="0.3">
      <c r="A277" s="15">
        <v>4</v>
      </c>
      <c r="B277" s="15">
        <v>1</v>
      </c>
      <c r="C277" s="15" t="s">
        <v>81</v>
      </c>
      <c r="D277" s="15" t="s">
        <v>40</v>
      </c>
      <c r="E277" s="15" t="s">
        <v>10</v>
      </c>
      <c r="F277" s="15" t="s">
        <v>73</v>
      </c>
    </row>
    <row r="278" spans="1:6" x14ac:dyDescent="0.3">
      <c r="A278" s="4">
        <v>4</v>
      </c>
      <c r="B278" s="11">
        <v>2</v>
      </c>
      <c r="C278" s="11" t="s">
        <v>80</v>
      </c>
      <c r="D278" s="11" t="s">
        <v>29</v>
      </c>
      <c r="E278" s="4" t="s">
        <v>42</v>
      </c>
      <c r="F278" s="4" t="s">
        <v>66</v>
      </c>
    </row>
    <row r="279" spans="1:6" x14ac:dyDescent="0.3">
      <c r="A279" s="15">
        <v>4</v>
      </c>
      <c r="B279" s="11">
        <v>1</v>
      </c>
      <c r="C279" s="11" t="s">
        <v>81</v>
      </c>
      <c r="D279" s="11" t="s">
        <v>29</v>
      </c>
      <c r="E279" s="15" t="s">
        <v>42</v>
      </c>
      <c r="F279" s="15" t="s">
        <v>65</v>
      </c>
    </row>
    <row r="280" spans="1:6" x14ac:dyDescent="0.3">
      <c r="A280" s="4">
        <v>4</v>
      </c>
      <c r="B280" s="11">
        <v>2</v>
      </c>
      <c r="C280" s="11" t="s">
        <v>80</v>
      </c>
      <c r="D280" s="11" t="s">
        <v>29</v>
      </c>
      <c r="E280" s="4" t="s">
        <v>42</v>
      </c>
      <c r="F280" s="4" t="s">
        <v>59</v>
      </c>
    </row>
    <row r="281" spans="1:6" x14ac:dyDescent="0.3">
      <c r="A281" s="15">
        <v>4</v>
      </c>
      <c r="B281" s="15">
        <v>1</v>
      </c>
      <c r="C281" s="15" t="s">
        <v>81</v>
      </c>
      <c r="D281" s="15" t="s">
        <v>0</v>
      </c>
      <c r="E281" s="15" t="s">
        <v>41</v>
      </c>
      <c r="F281" s="15" t="s">
        <v>68</v>
      </c>
    </row>
    <row r="282" spans="1:6" x14ac:dyDescent="0.3">
      <c r="A282" s="4">
        <v>4</v>
      </c>
      <c r="B282" s="4">
        <v>2</v>
      </c>
      <c r="C282" s="4" t="s">
        <v>80</v>
      </c>
      <c r="D282" s="4" t="s">
        <v>40</v>
      </c>
      <c r="E282" s="4" t="s">
        <v>10</v>
      </c>
      <c r="F282" s="4" t="s">
        <v>68</v>
      </c>
    </row>
    <row r="283" spans="1:6" x14ac:dyDescent="0.3">
      <c r="A283" s="15">
        <v>4</v>
      </c>
      <c r="B283" s="15">
        <v>2</v>
      </c>
      <c r="C283" s="15" t="s">
        <v>80</v>
      </c>
      <c r="D283" s="15" t="s">
        <v>0</v>
      </c>
      <c r="E283" s="15" t="s">
        <v>41</v>
      </c>
      <c r="F283" s="15" t="s">
        <v>74</v>
      </c>
    </row>
    <row r="284" spans="1:6" x14ac:dyDescent="0.3">
      <c r="A284" s="4">
        <v>4</v>
      </c>
      <c r="B284" s="4">
        <v>2</v>
      </c>
      <c r="C284" s="4" t="s">
        <v>80</v>
      </c>
      <c r="D284" s="4" t="s">
        <v>40</v>
      </c>
      <c r="E284" s="4" t="s">
        <v>9</v>
      </c>
      <c r="F284" s="4" t="s">
        <v>74</v>
      </c>
    </row>
    <row r="285" spans="1:6" x14ac:dyDescent="0.3">
      <c r="A285" s="15">
        <v>4</v>
      </c>
      <c r="B285" s="11">
        <v>1</v>
      </c>
      <c r="C285" s="11" t="s">
        <v>81</v>
      </c>
      <c r="D285" s="11" t="s">
        <v>29</v>
      </c>
      <c r="E285" s="15" t="s">
        <v>42</v>
      </c>
      <c r="F285" s="15" t="s">
        <v>61</v>
      </c>
    </row>
    <row r="286" spans="1:6" x14ac:dyDescent="0.3">
      <c r="A286" s="4">
        <v>4</v>
      </c>
      <c r="B286" s="4">
        <v>2</v>
      </c>
      <c r="C286" s="4" t="s">
        <v>80</v>
      </c>
      <c r="D286" s="4" t="s">
        <v>0</v>
      </c>
      <c r="E286" s="4" t="s">
        <v>41</v>
      </c>
      <c r="F286" s="4" t="s">
        <v>69</v>
      </c>
    </row>
    <row r="287" spans="1:6" x14ac:dyDescent="0.3">
      <c r="A287" s="15">
        <v>4</v>
      </c>
      <c r="B287" s="15">
        <v>1</v>
      </c>
      <c r="C287" s="15" t="s">
        <v>81</v>
      </c>
      <c r="D287" s="15" t="s">
        <v>40</v>
      </c>
      <c r="E287" s="15" t="s">
        <v>10</v>
      </c>
      <c r="F287" s="15" t="s">
        <v>69</v>
      </c>
    </row>
    <row r="288" spans="1:6" x14ac:dyDescent="0.3">
      <c r="A288" s="4">
        <v>4</v>
      </c>
      <c r="B288" s="4">
        <v>1</v>
      </c>
      <c r="C288" s="4" t="s">
        <v>81</v>
      </c>
      <c r="D288" s="4" t="s">
        <v>0</v>
      </c>
      <c r="E288" s="4" t="s">
        <v>41</v>
      </c>
      <c r="F288" s="4" t="s">
        <v>70</v>
      </c>
    </row>
    <row r="289" spans="1:6" x14ac:dyDescent="0.3">
      <c r="A289" s="15">
        <v>4</v>
      </c>
      <c r="B289" s="15">
        <v>1</v>
      </c>
      <c r="C289" s="15" t="s">
        <v>81</v>
      </c>
      <c r="D289" s="15" t="s">
        <v>40</v>
      </c>
      <c r="E289" s="15" t="s">
        <v>9</v>
      </c>
      <c r="F289" s="15" t="s">
        <v>70</v>
      </c>
    </row>
    <row r="290" spans="1:6" x14ac:dyDescent="0.3">
      <c r="A290" s="4">
        <v>4</v>
      </c>
      <c r="B290" s="11">
        <v>2</v>
      </c>
      <c r="C290" s="11" t="s">
        <v>80</v>
      </c>
      <c r="D290" s="11" t="s">
        <v>29</v>
      </c>
      <c r="E290" s="4" t="s">
        <v>42</v>
      </c>
      <c r="F290" s="4" t="s">
        <v>63</v>
      </c>
    </row>
    <row r="291" spans="1:6" x14ac:dyDescent="0.3">
      <c r="A291" s="15">
        <v>4</v>
      </c>
      <c r="B291" s="11">
        <v>1</v>
      </c>
      <c r="C291" s="11" t="s">
        <v>81</v>
      </c>
      <c r="D291" s="11" t="s">
        <v>29</v>
      </c>
      <c r="E291" s="15" t="s">
        <v>42</v>
      </c>
      <c r="F291" s="15" t="s">
        <v>60</v>
      </c>
    </row>
    <row r="292" spans="1:6" x14ac:dyDescent="0.3">
      <c r="A292" s="2" t="s">
        <v>25</v>
      </c>
      <c r="B292" s="2"/>
      <c r="C292" s="2"/>
      <c r="D292" s="2"/>
      <c r="E292" s="2"/>
      <c r="F292" s="2"/>
    </row>
    <row r="293" spans="1:6" x14ac:dyDescent="0.3">
      <c r="A293" s="12">
        <v>1</v>
      </c>
      <c r="B293" s="12">
        <v>2</v>
      </c>
      <c r="C293" s="12" t="s">
        <v>80</v>
      </c>
      <c r="D293" s="15" t="s">
        <v>0</v>
      </c>
      <c r="E293" s="15" t="s">
        <v>41</v>
      </c>
      <c r="F293" s="15" t="s">
        <v>43</v>
      </c>
    </row>
    <row r="294" spans="1:6" x14ac:dyDescent="0.3">
      <c r="A294" s="7">
        <v>1</v>
      </c>
      <c r="B294" s="7">
        <v>2</v>
      </c>
      <c r="C294" s="7" t="s">
        <v>80</v>
      </c>
      <c r="D294" s="4" t="s">
        <v>40</v>
      </c>
      <c r="E294" s="4" t="s">
        <v>9</v>
      </c>
      <c r="F294" s="4" t="s">
        <v>43</v>
      </c>
    </row>
    <row r="295" spans="1:6" x14ac:dyDescent="0.3">
      <c r="A295" s="12">
        <v>1</v>
      </c>
      <c r="B295" s="14">
        <v>1</v>
      </c>
      <c r="C295" s="13" t="s">
        <v>81</v>
      </c>
      <c r="D295" s="8" t="s">
        <v>29</v>
      </c>
      <c r="E295" s="15" t="s">
        <v>42</v>
      </c>
      <c r="F295" s="15" t="s">
        <v>74</v>
      </c>
    </row>
    <row r="296" spans="1:6" x14ac:dyDescent="0.3">
      <c r="A296" s="7">
        <v>1</v>
      </c>
      <c r="B296" s="7">
        <v>2</v>
      </c>
      <c r="C296" s="7" t="s">
        <v>80</v>
      </c>
      <c r="D296" s="4" t="s">
        <v>0</v>
      </c>
      <c r="E296" s="4" t="s">
        <v>41</v>
      </c>
      <c r="F296" s="4" t="s">
        <v>44</v>
      </c>
    </row>
    <row r="297" spans="1:6" x14ac:dyDescent="0.3">
      <c r="A297" s="12">
        <v>1</v>
      </c>
      <c r="B297" s="12">
        <v>2</v>
      </c>
      <c r="C297" s="12" t="s">
        <v>80</v>
      </c>
      <c r="D297" s="15" t="s">
        <v>40</v>
      </c>
      <c r="E297" s="15" t="s">
        <v>9</v>
      </c>
      <c r="F297" s="15" t="s">
        <v>44</v>
      </c>
    </row>
    <row r="298" spans="1:6" x14ac:dyDescent="0.3">
      <c r="A298" s="7">
        <v>1</v>
      </c>
      <c r="B298" s="14">
        <v>1</v>
      </c>
      <c r="C298" s="14" t="s">
        <v>81</v>
      </c>
      <c r="D298" s="8" t="s">
        <v>29</v>
      </c>
      <c r="E298" s="4" t="s">
        <v>42</v>
      </c>
      <c r="F298" s="4" t="s">
        <v>73</v>
      </c>
    </row>
    <row r="299" spans="1:6" x14ac:dyDescent="0.3">
      <c r="A299" s="12">
        <v>1</v>
      </c>
      <c r="B299" s="12">
        <v>2</v>
      </c>
      <c r="C299" s="12" t="s">
        <v>80</v>
      </c>
      <c r="D299" s="15" t="s">
        <v>0</v>
      </c>
      <c r="E299" s="15" t="s">
        <v>41</v>
      </c>
      <c r="F299" s="15" t="s">
        <v>45</v>
      </c>
    </row>
    <row r="300" spans="1:6" x14ac:dyDescent="0.3">
      <c r="A300" s="7">
        <v>1</v>
      </c>
      <c r="B300" s="7">
        <v>1</v>
      </c>
      <c r="C300" s="7" t="s">
        <v>81</v>
      </c>
      <c r="D300" s="4" t="s">
        <v>40</v>
      </c>
      <c r="E300" s="4" t="s">
        <v>10</v>
      </c>
      <c r="F300" s="4" t="s">
        <v>45</v>
      </c>
    </row>
    <row r="301" spans="1:6" x14ac:dyDescent="0.3">
      <c r="A301" s="12">
        <v>1</v>
      </c>
      <c r="B301" s="12">
        <v>1</v>
      </c>
      <c r="C301" s="12" t="s">
        <v>81</v>
      </c>
      <c r="D301" s="15" t="s">
        <v>0</v>
      </c>
      <c r="E301" s="15" t="s">
        <v>41</v>
      </c>
      <c r="F301" s="15" t="s">
        <v>46</v>
      </c>
    </row>
    <row r="302" spans="1:6" x14ac:dyDescent="0.3">
      <c r="A302" s="7">
        <v>1</v>
      </c>
      <c r="B302" s="7">
        <v>2</v>
      </c>
      <c r="C302" s="7" t="s">
        <v>80</v>
      </c>
      <c r="D302" s="4" t="s">
        <v>40</v>
      </c>
      <c r="E302" s="4" t="s">
        <v>10</v>
      </c>
      <c r="F302" s="4" t="s">
        <v>46</v>
      </c>
    </row>
    <row r="303" spans="1:6" x14ac:dyDescent="0.3">
      <c r="A303" s="12">
        <v>1</v>
      </c>
      <c r="B303" s="14">
        <v>2</v>
      </c>
      <c r="C303" s="13" t="s">
        <v>80</v>
      </c>
      <c r="D303" s="8" t="s">
        <v>29</v>
      </c>
      <c r="E303" s="15" t="s">
        <v>42</v>
      </c>
      <c r="F303" s="15" t="s">
        <v>72</v>
      </c>
    </row>
    <row r="304" spans="1:6" x14ac:dyDescent="0.3">
      <c r="A304" s="7">
        <v>1</v>
      </c>
      <c r="B304" s="7">
        <v>2</v>
      </c>
      <c r="C304" s="7" t="s">
        <v>80</v>
      </c>
      <c r="D304" s="4" t="s">
        <v>0</v>
      </c>
      <c r="E304" s="4" t="s">
        <v>41</v>
      </c>
      <c r="F304" s="4" t="s">
        <v>47</v>
      </c>
    </row>
    <row r="305" spans="1:6" x14ac:dyDescent="0.3">
      <c r="A305" s="12">
        <v>1</v>
      </c>
      <c r="B305" s="12">
        <v>1</v>
      </c>
      <c r="C305" s="12" t="s">
        <v>81</v>
      </c>
      <c r="D305" s="15" t="s">
        <v>40</v>
      </c>
      <c r="E305" s="15" t="s">
        <v>10</v>
      </c>
      <c r="F305" s="15" t="s">
        <v>47</v>
      </c>
    </row>
    <row r="306" spans="1:6" x14ac:dyDescent="0.3">
      <c r="A306" s="7">
        <v>1</v>
      </c>
      <c r="B306" s="14">
        <v>2</v>
      </c>
      <c r="C306" s="14" t="s">
        <v>80</v>
      </c>
      <c r="D306" s="8" t="s">
        <v>29</v>
      </c>
      <c r="E306" s="4" t="s">
        <v>42</v>
      </c>
      <c r="F306" s="4" t="s">
        <v>71</v>
      </c>
    </row>
    <row r="307" spans="1:6" x14ac:dyDescent="0.3">
      <c r="A307" s="12">
        <v>1</v>
      </c>
      <c r="B307" s="12">
        <v>1</v>
      </c>
      <c r="C307" s="12" t="s">
        <v>81</v>
      </c>
      <c r="D307" s="15" t="s">
        <v>0</v>
      </c>
      <c r="E307" s="15" t="s">
        <v>41</v>
      </c>
      <c r="F307" s="15" t="s">
        <v>48</v>
      </c>
    </row>
    <row r="308" spans="1:6" x14ac:dyDescent="0.3">
      <c r="A308" s="7">
        <v>1</v>
      </c>
      <c r="B308" s="7">
        <v>1</v>
      </c>
      <c r="C308" s="7" t="s">
        <v>81</v>
      </c>
      <c r="D308" s="4" t="s">
        <v>40</v>
      </c>
      <c r="E308" s="4" t="s">
        <v>9</v>
      </c>
      <c r="F308" s="4" t="s">
        <v>48</v>
      </c>
    </row>
    <row r="309" spans="1:6" x14ac:dyDescent="0.3">
      <c r="A309" s="12">
        <v>1</v>
      </c>
      <c r="B309" s="14">
        <v>2</v>
      </c>
      <c r="C309" s="13" t="s">
        <v>80</v>
      </c>
      <c r="D309" s="8" t="s">
        <v>29</v>
      </c>
      <c r="E309" s="15" t="s">
        <v>42</v>
      </c>
      <c r="F309" s="15" t="s">
        <v>70</v>
      </c>
    </row>
    <row r="310" spans="1:6" x14ac:dyDescent="0.3">
      <c r="A310" s="7">
        <v>1</v>
      </c>
      <c r="B310" s="7">
        <v>1</v>
      </c>
      <c r="C310" s="7" t="s">
        <v>81</v>
      </c>
      <c r="D310" s="4" t="s">
        <v>0</v>
      </c>
      <c r="E310" s="4" t="s">
        <v>41</v>
      </c>
      <c r="F310" s="4" t="s">
        <v>49</v>
      </c>
    </row>
    <row r="311" spans="1:6" x14ac:dyDescent="0.3">
      <c r="A311" s="12">
        <v>1</v>
      </c>
      <c r="B311" s="12">
        <v>1</v>
      </c>
      <c r="C311" s="12" t="s">
        <v>81</v>
      </c>
      <c r="D311" s="15" t="s">
        <v>40</v>
      </c>
      <c r="E311" s="15" t="s">
        <v>9</v>
      </c>
      <c r="F311" s="15" t="s">
        <v>49</v>
      </c>
    </row>
    <row r="312" spans="1:6" x14ac:dyDescent="0.3">
      <c r="A312" s="7">
        <v>1</v>
      </c>
      <c r="B312" s="14">
        <v>2</v>
      </c>
      <c r="C312" s="14" t="s">
        <v>80</v>
      </c>
      <c r="D312" s="8" t="s">
        <v>29</v>
      </c>
      <c r="E312" s="4" t="s">
        <v>42</v>
      </c>
      <c r="F312" s="4" t="s">
        <v>69</v>
      </c>
    </row>
    <row r="313" spans="1:6" x14ac:dyDescent="0.3">
      <c r="A313" s="12">
        <v>1</v>
      </c>
      <c r="B313" s="12">
        <v>1</v>
      </c>
      <c r="C313" s="12" t="s">
        <v>81</v>
      </c>
      <c r="D313" s="15" t="s">
        <v>0</v>
      </c>
      <c r="E313" s="15" t="s">
        <v>41</v>
      </c>
      <c r="F313" s="15" t="s">
        <v>50</v>
      </c>
    </row>
    <row r="314" spans="1:6" x14ac:dyDescent="0.3">
      <c r="A314" s="7">
        <v>1</v>
      </c>
      <c r="B314" s="7">
        <v>2</v>
      </c>
      <c r="C314" s="7" t="s">
        <v>80</v>
      </c>
      <c r="D314" s="4" t="s">
        <v>40</v>
      </c>
      <c r="E314" s="4" t="s">
        <v>10</v>
      </c>
      <c r="F314" s="4" t="s">
        <v>50</v>
      </c>
    </row>
    <row r="315" spans="1:6" x14ac:dyDescent="0.3">
      <c r="A315" s="12">
        <v>1</v>
      </c>
      <c r="B315" s="14">
        <v>1</v>
      </c>
      <c r="C315" s="13" t="s">
        <v>81</v>
      </c>
      <c r="D315" s="8" t="s">
        <v>29</v>
      </c>
      <c r="E315" s="15" t="s">
        <v>42</v>
      </c>
      <c r="F315" s="15" t="s">
        <v>68</v>
      </c>
    </row>
    <row r="316" spans="1:6" x14ac:dyDescent="0.3">
      <c r="A316" s="7">
        <v>1</v>
      </c>
      <c r="B316" s="14">
        <v>1</v>
      </c>
      <c r="C316" s="14" t="s">
        <v>81</v>
      </c>
      <c r="D316" s="8" t="s">
        <v>29</v>
      </c>
      <c r="E316" s="4" t="s">
        <v>42</v>
      </c>
      <c r="F316" s="4" t="s">
        <v>67</v>
      </c>
    </row>
    <row r="317" spans="1:6" x14ac:dyDescent="0.3">
      <c r="A317" s="27">
        <v>2</v>
      </c>
      <c r="B317" s="9">
        <v>2</v>
      </c>
      <c r="C317" s="9" t="s">
        <v>80</v>
      </c>
      <c r="D317" s="9" t="s">
        <v>29</v>
      </c>
      <c r="E317" s="27" t="s">
        <v>42</v>
      </c>
      <c r="F317" s="27" t="s">
        <v>43</v>
      </c>
    </row>
    <row r="318" spans="1:6" x14ac:dyDescent="0.3">
      <c r="A318" s="15">
        <v>2</v>
      </c>
      <c r="B318" s="12">
        <v>1</v>
      </c>
      <c r="C318" s="12" t="s">
        <v>81</v>
      </c>
      <c r="D318" s="15" t="s">
        <v>0</v>
      </c>
      <c r="E318" s="15" t="s">
        <v>41</v>
      </c>
      <c r="F318" s="15" t="s">
        <v>58</v>
      </c>
    </row>
    <row r="319" spans="1:6" x14ac:dyDescent="0.3">
      <c r="A319" s="27">
        <v>2</v>
      </c>
      <c r="B319" s="28">
        <v>1</v>
      </c>
      <c r="C319" s="28" t="s">
        <v>81</v>
      </c>
      <c r="D319" s="27" t="s">
        <v>40</v>
      </c>
      <c r="E319" s="27" t="s">
        <v>9</v>
      </c>
      <c r="F319" s="27" t="s">
        <v>58</v>
      </c>
    </row>
    <row r="320" spans="1:6" x14ac:dyDescent="0.3">
      <c r="A320" s="15">
        <v>2</v>
      </c>
      <c r="B320" s="9">
        <v>2</v>
      </c>
      <c r="C320" s="9" t="s">
        <v>80</v>
      </c>
      <c r="D320" s="9" t="s">
        <v>29</v>
      </c>
      <c r="E320" s="15" t="s">
        <v>42</v>
      </c>
      <c r="F320" s="15" t="s">
        <v>44</v>
      </c>
    </row>
    <row r="321" spans="1:6" x14ac:dyDescent="0.3">
      <c r="A321" s="15">
        <v>2</v>
      </c>
      <c r="B321" s="12">
        <v>1</v>
      </c>
      <c r="C321" s="28" t="s">
        <v>81</v>
      </c>
      <c r="D321" s="15" t="s">
        <v>0</v>
      </c>
      <c r="E321" s="15" t="s">
        <v>41</v>
      </c>
      <c r="F321" s="15" t="s">
        <v>57</v>
      </c>
    </row>
    <row r="322" spans="1:6" x14ac:dyDescent="0.3">
      <c r="A322" s="4">
        <v>2</v>
      </c>
      <c r="B322" s="7">
        <v>1</v>
      </c>
      <c r="C322" s="7" t="s">
        <v>81</v>
      </c>
      <c r="D322" s="4" t="s">
        <v>40</v>
      </c>
      <c r="E322" s="4" t="s">
        <v>9</v>
      </c>
      <c r="F322" s="4" t="s">
        <v>57</v>
      </c>
    </row>
    <row r="323" spans="1:6" x14ac:dyDescent="0.3">
      <c r="A323" s="15">
        <v>2</v>
      </c>
      <c r="B323" s="12">
        <v>1</v>
      </c>
      <c r="C323" s="28" t="s">
        <v>81</v>
      </c>
      <c r="D323" s="15" t="s">
        <v>0</v>
      </c>
      <c r="E323" s="15" t="s">
        <v>41</v>
      </c>
      <c r="F323" s="15" t="s">
        <v>56</v>
      </c>
    </row>
    <row r="324" spans="1:6" x14ac:dyDescent="0.3">
      <c r="A324" s="4">
        <v>2</v>
      </c>
      <c r="B324" s="7">
        <v>2</v>
      </c>
      <c r="C324" s="7" t="s">
        <v>80</v>
      </c>
      <c r="D324" s="4" t="s">
        <v>40</v>
      </c>
      <c r="E324" s="4" t="s">
        <v>10</v>
      </c>
      <c r="F324" s="4" t="s">
        <v>56</v>
      </c>
    </row>
    <row r="325" spans="1:6" x14ac:dyDescent="0.3">
      <c r="A325" s="15">
        <v>2</v>
      </c>
      <c r="B325" s="12">
        <v>2</v>
      </c>
      <c r="C325" s="28" t="s">
        <v>80</v>
      </c>
      <c r="D325" s="15" t="s">
        <v>0</v>
      </c>
      <c r="E325" s="15" t="s">
        <v>41</v>
      </c>
      <c r="F325" s="15" t="s">
        <v>55</v>
      </c>
    </row>
    <row r="326" spans="1:6" x14ac:dyDescent="0.3">
      <c r="A326" s="4">
        <v>2</v>
      </c>
      <c r="B326" s="7">
        <v>1</v>
      </c>
      <c r="C326" s="7" t="s">
        <v>81</v>
      </c>
      <c r="D326" s="4" t="s">
        <v>40</v>
      </c>
      <c r="E326" s="4" t="s">
        <v>10</v>
      </c>
      <c r="F326" s="4" t="s">
        <v>55</v>
      </c>
    </row>
    <row r="327" spans="1:6" x14ac:dyDescent="0.3">
      <c r="A327" s="27">
        <v>2</v>
      </c>
      <c r="B327" s="9">
        <v>2</v>
      </c>
      <c r="C327" s="9" t="s">
        <v>80</v>
      </c>
      <c r="D327" s="9" t="s">
        <v>29</v>
      </c>
      <c r="E327" s="27" t="s">
        <v>42</v>
      </c>
      <c r="F327" s="27" t="s">
        <v>45</v>
      </c>
    </row>
    <row r="328" spans="1:6" x14ac:dyDescent="0.3">
      <c r="A328" s="15">
        <v>2</v>
      </c>
      <c r="B328" s="12">
        <v>1</v>
      </c>
      <c r="C328" s="7" t="s">
        <v>81</v>
      </c>
      <c r="D328" s="15" t="s">
        <v>0</v>
      </c>
      <c r="E328" s="15" t="s">
        <v>41</v>
      </c>
      <c r="F328" s="15" t="s">
        <v>54</v>
      </c>
    </row>
    <row r="329" spans="1:6" x14ac:dyDescent="0.3">
      <c r="A329" s="27">
        <v>2</v>
      </c>
      <c r="B329" s="28">
        <v>2</v>
      </c>
      <c r="C329" s="28" t="s">
        <v>80</v>
      </c>
      <c r="D329" s="27" t="s">
        <v>40</v>
      </c>
      <c r="E329" s="27" t="s">
        <v>10</v>
      </c>
      <c r="F329" s="27" t="s">
        <v>54</v>
      </c>
    </row>
    <row r="330" spans="1:6" x14ac:dyDescent="0.3">
      <c r="A330" s="15">
        <v>2</v>
      </c>
      <c r="B330" s="9">
        <v>1</v>
      </c>
      <c r="C330" s="9" t="s">
        <v>81</v>
      </c>
      <c r="D330" s="9" t="s">
        <v>29</v>
      </c>
      <c r="E330" s="15" t="s">
        <v>42</v>
      </c>
      <c r="F330" s="15" t="s">
        <v>46</v>
      </c>
    </row>
    <row r="331" spans="1:6" x14ac:dyDescent="0.3">
      <c r="A331" s="27">
        <v>2</v>
      </c>
      <c r="B331" s="9">
        <v>1</v>
      </c>
      <c r="C331" s="9" t="s">
        <v>81</v>
      </c>
      <c r="D331" s="9" t="s">
        <v>29</v>
      </c>
      <c r="E331" s="27" t="s">
        <v>42</v>
      </c>
      <c r="F331" s="27" t="s">
        <v>47</v>
      </c>
    </row>
    <row r="332" spans="1:6" x14ac:dyDescent="0.3">
      <c r="A332" s="15">
        <v>2</v>
      </c>
      <c r="B332" s="12">
        <v>2</v>
      </c>
      <c r="C332" s="12" t="s">
        <v>80</v>
      </c>
      <c r="D332" s="15" t="s">
        <v>0</v>
      </c>
      <c r="E332" s="15" t="s">
        <v>41</v>
      </c>
      <c r="F332" s="15" t="s">
        <v>53</v>
      </c>
    </row>
    <row r="333" spans="1:6" x14ac:dyDescent="0.3">
      <c r="A333" s="27">
        <v>2</v>
      </c>
      <c r="B333" s="28">
        <v>2</v>
      </c>
      <c r="C333" s="28" t="s">
        <v>80</v>
      </c>
      <c r="D333" s="27" t="s">
        <v>40</v>
      </c>
      <c r="E333" s="27" t="s">
        <v>9</v>
      </c>
      <c r="F333" s="27" t="s">
        <v>53</v>
      </c>
    </row>
    <row r="334" spans="1:6" x14ac:dyDescent="0.3">
      <c r="A334" s="15">
        <v>2</v>
      </c>
      <c r="B334" s="9">
        <v>1</v>
      </c>
      <c r="C334" s="9" t="s">
        <v>81</v>
      </c>
      <c r="D334" s="9" t="s">
        <v>29</v>
      </c>
      <c r="E334" s="15" t="s">
        <v>42</v>
      </c>
      <c r="F334" s="15" t="s">
        <v>48</v>
      </c>
    </row>
    <row r="335" spans="1:6" x14ac:dyDescent="0.3">
      <c r="A335" s="27">
        <v>2</v>
      </c>
      <c r="B335" s="28">
        <v>2</v>
      </c>
      <c r="C335" s="28" t="s">
        <v>80</v>
      </c>
      <c r="D335" s="27" t="s">
        <v>0</v>
      </c>
      <c r="E335" s="27" t="s">
        <v>41</v>
      </c>
      <c r="F335" s="27" t="s">
        <v>52</v>
      </c>
    </row>
    <row r="336" spans="1:6" x14ac:dyDescent="0.3">
      <c r="A336" s="15">
        <v>2</v>
      </c>
      <c r="B336" s="12">
        <v>2</v>
      </c>
      <c r="C336" s="12" t="s">
        <v>80</v>
      </c>
      <c r="D336" s="15" t="s">
        <v>40</v>
      </c>
      <c r="E336" s="15" t="s">
        <v>9</v>
      </c>
      <c r="F336" s="15" t="s">
        <v>52</v>
      </c>
    </row>
    <row r="337" spans="1:6" x14ac:dyDescent="0.3">
      <c r="A337" s="27">
        <v>2</v>
      </c>
      <c r="B337" s="9">
        <v>2</v>
      </c>
      <c r="C337" s="9" t="s">
        <v>80</v>
      </c>
      <c r="D337" s="9" t="s">
        <v>29</v>
      </c>
      <c r="E337" s="27" t="s">
        <v>42</v>
      </c>
      <c r="F337" s="27" t="s">
        <v>49</v>
      </c>
    </row>
    <row r="338" spans="1:6" x14ac:dyDescent="0.3">
      <c r="A338" s="15">
        <v>2</v>
      </c>
      <c r="B338" s="9">
        <v>1</v>
      </c>
      <c r="C338" s="9" t="s">
        <v>81</v>
      </c>
      <c r="D338" s="9" t="s">
        <v>29</v>
      </c>
      <c r="E338" s="15" t="s">
        <v>42</v>
      </c>
      <c r="F338" s="15" t="s">
        <v>50</v>
      </c>
    </row>
    <row r="339" spans="1:6" x14ac:dyDescent="0.3">
      <c r="A339" s="27">
        <v>2</v>
      </c>
      <c r="B339" s="28">
        <v>2</v>
      </c>
      <c r="C339" s="28" t="s">
        <v>80</v>
      </c>
      <c r="D339" s="27" t="s">
        <v>0</v>
      </c>
      <c r="E339" s="27" t="s">
        <v>41</v>
      </c>
      <c r="F339" s="27" t="s">
        <v>51</v>
      </c>
    </row>
    <row r="340" spans="1:6" x14ac:dyDescent="0.3">
      <c r="A340" s="15">
        <v>2</v>
      </c>
      <c r="B340" s="12">
        <v>1</v>
      </c>
      <c r="C340" s="12" t="s">
        <v>81</v>
      </c>
      <c r="D340" s="15" t="s">
        <v>40</v>
      </c>
      <c r="E340" s="15" t="s">
        <v>10</v>
      </c>
      <c r="F340" s="15" t="s">
        <v>51</v>
      </c>
    </row>
    <row r="341" spans="1:6" x14ac:dyDescent="0.3">
      <c r="A341" s="12">
        <v>3</v>
      </c>
      <c r="B341" s="12">
        <v>1</v>
      </c>
      <c r="C341" s="12" t="s">
        <v>81</v>
      </c>
      <c r="D341" s="15" t="s">
        <v>0</v>
      </c>
      <c r="E341" s="15" t="s">
        <v>41</v>
      </c>
      <c r="F341" s="15" t="s">
        <v>59</v>
      </c>
    </row>
    <row r="342" spans="1:6" x14ac:dyDescent="0.3">
      <c r="A342" s="7">
        <v>3</v>
      </c>
      <c r="B342" s="7">
        <v>2</v>
      </c>
      <c r="C342" s="7" t="s">
        <v>80</v>
      </c>
      <c r="D342" s="4" t="s">
        <v>40</v>
      </c>
      <c r="E342" s="4" t="s">
        <v>10</v>
      </c>
      <c r="F342" s="4" t="s">
        <v>59</v>
      </c>
    </row>
    <row r="343" spans="1:6" x14ac:dyDescent="0.3">
      <c r="A343" s="12">
        <v>3</v>
      </c>
      <c r="B343" s="12">
        <v>2</v>
      </c>
      <c r="C343" s="12" t="s">
        <v>80</v>
      </c>
      <c r="D343" s="15" t="s">
        <v>0</v>
      </c>
      <c r="E343" s="15" t="s">
        <v>41</v>
      </c>
      <c r="F343" s="15" t="s">
        <v>60</v>
      </c>
    </row>
    <row r="344" spans="1:6" x14ac:dyDescent="0.3">
      <c r="A344" s="7">
        <v>3</v>
      </c>
      <c r="B344" s="7">
        <v>1</v>
      </c>
      <c r="C344" s="7" t="s">
        <v>81</v>
      </c>
      <c r="D344" s="4" t="s">
        <v>40</v>
      </c>
      <c r="E344" s="4" t="s">
        <v>10</v>
      </c>
      <c r="F344" s="4" t="s">
        <v>60</v>
      </c>
    </row>
    <row r="345" spans="1:6" x14ac:dyDescent="0.3">
      <c r="A345" s="12">
        <v>3</v>
      </c>
      <c r="B345" s="10">
        <v>1</v>
      </c>
      <c r="C345" s="10" t="s">
        <v>81</v>
      </c>
      <c r="D345" s="10" t="s">
        <v>29</v>
      </c>
      <c r="E345" s="15" t="s">
        <v>42</v>
      </c>
      <c r="F345" s="15" t="s">
        <v>58</v>
      </c>
    </row>
    <row r="346" spans="1:6" x14ac:dyDescent="0.3">
      <c r="A346" s="7">
        <v>3</v>
      </c>
      <c r="B346" s="7">
        <v>1</v>
      </c>
      <c r="C346" s="7" t="s">
        <v>81</v>
      </c>
      <c r="D346" s="4" t="s">
        <v>0</v>
      </c>
      <c r="E346" s="4" t="s">
        <v>41</v>
      </c>
      <c r="F346" s="4" t="s">
        <v>61</v>
      </c>
    </row>
    <row r="347" spans="1:6" x14ac:dyDescent="0.3">
      <c r="A347" s="12">
        <v>3</v>
      </c>
      <c r="B347" s="12">
        <v>2</v>
      </c>
      <c r="C347" s="12" t="s">
        <v>80</v>
      </c>
      <c r="D347" s="15" t="s">
        <v>40</v>
      </c>
      <c r="E347" s="15" t="s">
        <v>10</v>
      </c>
      <c r="F347" s="15" t="s">
        <v>61</v>
      </c>
    </row>
    <row r="348" spans="1:6" x14ac:dyDescent="0.3">
      <c r="A348" s="7">
        <v>3</v>
      </c>
      <c r="B348" s="10">
        <v>1</v>
      </c>
      <c r="C348" s="10" t="s">
        <v>81</v>
      </c>
      <c r="D348" s="10" t="s">
        <v>29</v>
      </c>
      <c r="E348" s="4" t="s">
        <v>42</v>
      </c>
      <c r="F348" s="4" t="s">
        <v>57</v>
      </c>
    </row>
    <row r="349" spans="1:6" x14ac:dyDescent="0.3">
      <c r="A349" s="12">
        <v>3</v>
      </c>
      <c r="B349" s="12">
        <v>2</v>
      </c>
      <c r="C349" s="12" t="s">
        <v>80</v>
      </c>
      <c r="D349" s="15" t="s">
        <v>0</v>
      </c>
      <c r="E349" s="15" t="s">
        <v>41</v>
      </c>
      <c r="F349" s="15" t="s">
        <v>62</v>
      </c>
    </row>
    <row r="350" spans="1:6" x14ac:dyDescent="0.3">
      <c r="A350" s="7">
        <v>3</v>
      </c>
      <c r="B350" s="7">
        <v>2</v>
      </c>
      <c r="C350" s="7" t="s">
        <v>80</v>
      </c>
      <c r="D350" s="4" t="s">
        <v>40</v>
      </c>
      <c r="E350" s="4" t="s">
        <v>9</v>
      </c>
      <c r="F350" s="4" t="s">
        <v>62</v>
      </c>
    </row>
    <row r="351" spans="1:6" x14ac:dyDescent="0.3">
      <c r="A351" s="12">
        <v>3</v>
      </c>
      <c r="B351" s="10">
        <v>2</v>
      </c>
      <c r="C351" s="10" t="s">
        <v>80</v>
      </c>
      <c r="D351" s="10" t="s">
        <v>29</v>
      </c>
      <c r="E351" s="15" t="s">
        <v>42</v>
      </c>
      <c r="F351" s="15" t="s">
        <v>56</v>
      </c>
    </row>
    <row r="352" spans="1:6" x14ac:dyDescent="0.3">
      <c r="A352" s="7">
        <v>3</v>
      </c>
      <c r="B352" s="10">
        <v>1</v>
      </c>
      <c r="C352" s="10" t="s">
        <v>81</v>
      </c>
      <c r="D352" s="10" t="s">
        <v>29</v>
      </c>
      <c r="E352" s="4" t="s">
        <v>42</v>
      </c>
      <c r="F352" s="4" t="s">
        <v>55</v>
      </c>
    </row>
    <row r="353" spans="1:6" x14ac:dyDescent="0.3">
      <c r="A353" s="12">
        <v>3</v>
      </c>
      <c r="B353" s="10">
        <v>1</v>
      </c>
      <c r="C353" s="10" t="s">
        <v>81</v>
      </c>
      <c r="D353" s="10" t="s">
        <v>29</v>
      </c>
      <c r="E353" s="15" t="s">
        <v>42</v>
      </c>
      <c r="F353" s="15" t="s">
        <v>54</v>
      </c>
    </row>
    <row r="354" spans="1:6" x14ac:dyDescent="0.3">
      <c r="A354" s="7">
        <v>3</v>
      </c>
      <c r="B354" s="7">
        <v>2</v>
      </c>
      <c r="C354" s="7" t="s">
        <v>80</v>
      </c>
      <c r="D354" s="4" t="s">
        <v>0</v>
      </c>
      <c r="E354" s="4" t="s">
        <v>41</v>
      </c>
      <c r="F354" s="4" t="s">
        <v>63</v>
      </c>
    </row>
    <row r="355" spans="1:6" x14ac:dyDescent="0.3">
      <c r="A355" s="12">
        <v>3</v>
      </c>
      <c r="B355" s="12">
        <v>2</v>
      </c>
      <c r="C355" s="12" t="s">
        <v>80</v>
      </c>
      <c r="D355" s="15" t="s">
        <v>40</v>
      </c>
      <c r="E355" s="15" t="s">
        <v>9</v>
      </c>
      <c r="F355" s="15" t="s">
        <v>63</v>
      </c>
    </row>
    <row r="356" spans="1:6" x14ac:dyDescent="0.3">
      <c r="A356" s="7">
        <v>3</v>
      </c>
      <c r="B356" s="7">
        <v>2</v>
      </c>
      <c r="C356" s="7" t="s">
        <v>80</v>
      </c>
      <c r="D356" s="4" t="s">
        <v>0</v>
      </c>
      <c r="E356" s="4" t="s">
        <v>41</v>
      </c>
      <c r="F356" s="4" t="s">
        <v>64</v>
      </c>
    </row>
    <row r="357" spans="1:6" x14ac:dyDescent="0.3">
      <c r="A357" s="12">
        <v>3</v>
      </c>
      <c r="B357" s="12">
        <v>1</v>
      </c>
      <c r="C357" s="12" t="s">
        <v>81</v>
      </c>
      <c r="D357" s="15" t="s">
        <v>40</v>
      </c>
      <c r="E357" s="15" t="s">
        <v>10</v>
      </c>
      <c r="F357" s="15" t="s">
        <v>64</v>
      </c>
    </row>
    <row r="358" spans="1:6" x14ac:dyDescent="0.3">
      <c r="A358" s="7">
        <v>3</v>
      </c>
      <c r="B358" s="10">
        <v>2</v>
      </c>
      <c r="C358" s="10" t="s">
        <v>80</v>
      </c>
      <c r="D358" s="10" t="s">
        <v>29</v>
      </c>
      <c r="E358" s="4" t="s">
        <v>42</v>
      </c>
      <c r="F358" s="4" t="s">
        <v>53</v>
      </c>
    </row>
    <row r="359" spans="1:6" x14ac:dyDescent="0.3">
      <c r="A359" s="12">
        <v>3</v>
      </c>
      <c r="B359" s="12">
        <v>1</v>
      </c>
      <c r="C359" s="12" t="s">
        <v>81</v>
      </c>
      <c r="D359" s="15" t="s">
        <v>0</v>
      </c>
      <c r="E359" s="15" t="s">
        <v>41</v>
      </c>
      <c r="F359" s="15" t="s">
        <v>65</v>
      </c>
    </row>
    <row r="360" spans="1:6" x14ac:dyDescent="0.3">
      <c r="A360" s="7">
        <v>3</v>
      </c>
      <c r="B360" s="7">
        <v>1</v>
      </c>
      <c r="C360" s="7" t="s">
        <v>81</v>
      </c>
      <c r="D360" s="4" t="s">
        <v>40</v>
      </c>
      <c r="E360" s="4" t="s">
        <v>9</v>
      </c>
      <c r="F360" s="4" t="s">
        <v>65</v>
      </c>
    </row>
    <row r="361" spans="1:6" x14ac:dyDescent="0.3">
      <c r="A361" s="12">
        <v>3</v>
      </c>
      <c r="B361" s="10">
        <v>2</v>
      </c>
      <c r="C361" s="10" t="s">
        <v>80</v>
      </c>
      <c r="D361" s="10" t="s">
        <v>29</v>
      </c>
      <c r="E361" s="15" t="s">
        <v>42</v>
      </c>
      <c r="F361" s="15" t="s">
        <v>52</v>
      </c>
    </row>
    <row r="362" spans="1:6" x14ac:dyDescent="0.3">
      <c r="A362" s="7">
        <v>3</v>
      </c>
      <c r="B362" s="10">
        <v>2</v>
      </c>
      <c r="C362" s="10" t="s">
        <v>80</v>
      </c>
      <c r="D362" s="10" t="s">
        <v>29</v>
      </c>
      <c r="E362" s="4" t="s">
        <v>42</v>
      </c>
      <c r="F362" s="4" t="s">
        <v>51</v>
      </c>
    </row>
    <row r="363" spans="1:6" x14ac:dyDescent="0.3">
      <c r="A363" s="12">
        <v>3</v>
      </c>
      <c r="B363" s="12">
        <v>1</v>
      </c>
      <c r="C363" s="12" t="s">
        <v>81</v>
      </c>
      <c r="D363" s="15" t="s">
        <v>0</v>
      </c>
      <c r="E363" s="15" t="s">
        <v>41</v>
      </c>
      <c r="F363" s="15" t="s">
        <v>66</v>
      </c>
    </row>
    <row r="364" spans="1:6" x14ac:dyDescent="0.3">
      <c r="A364" s="7">
        <v>3</v>
      </c>
      <c r="B364" s="7">
        <v>1</v>
      </c>
      <c r="C364" s="7" t="s">
        <v>81</v>
      </c>
      <c r="D364" s="4" t="s">
        <v>40</v>
      </c>
      <c r="E364" s="4" t="s">
        <v>9</v>
      </c>
      <c r="F364" s="4" t="s">
        <v>66</v>
      </c>
    </row>
    <row r="365" spans="1:6" x14ac:dyDescent="0.3">
      <c r="A365" s="27">
        <v>4</v>
      </c>
      <c r="B365" s="11">
        <v>2</v>
      </c>
      <c r="C365" s="11" t="s">
        <v>80</v>
      </c>
      <c r="D365" s="11" t="s">
        <v>29</v>
      </c>
      <c r="E365" s="27" t="s">
        <v>42</v>
      </c>
      <c r="F365" s="27" t="s">
        <v>59</v>
      </c>
    </row>
    <row r="366" spans="1:6" x14ac:dyDescent="0.3">
      <c r="A366" s="15">
        <v>4</v>
      </c>
      <c r="B366" s="12">
        <v>1</v>
      </c>
      <c r="C366" s="12" t="s">
        <v>81</v>
      </c>
      <c r="D366" s="15" t="s">
        <v>0</v>
      </c>
      <c r="E366" s="15" t="s">
        <v>41</v>
      </c>
      <c r="F366" s="15" t="s">
        <v>74</v>
      </c>
    </row>
    <row r="367" spans="1:6" x14ac:dyDescent="0.3">
      <c r="A367" s="27">
        <v>4</v>
      </c>
      <c r="B367" s="28">
        <v>1</v>
      </c>
      <c r="C367" s="28" t="s">
        <v>81</v>
      </c>
      <c r="D367" s="27" t="s">
        <v>40</v>
      </c>
      <c r="E367" s="27" t="s">
        <v>9</v>
      </c>
      <c r="F367" s="27" t="s">
        <v>74</v>
      </c>
    </row>
    <row r="368" spans="1:6" x14ac:dyDescent="0.3">
      <c r="A368" s="15">
        <v>4</v>
      </c>
      <c r="B368" s="12">
        <v>1</v>
      </c>
      <c r="C368" s="12" t="s">
        <v>81</v>
      </c>
      <c r="D368" s="15" t="s">
        <v>0</v>
      </c>
      <c r="E368" s="15" t="s">
        <v>41</v>
      </c>
      <c r="F368" s="15" t="s">
        <v>73</v>
      </c>
    </row>
    <row r="369" spans="1:6" x14ac:dyDescent="0.3">
      <c r="A369" s="27">
        <v>4</v>
      </c>
      <c r="B369" s="28">
        <v>2</v>
      </c>
      <c r="C369" s="28" t="s">
        <v>80</v>
      </c>
      <c r="D369" s="27" t="s">
        <v>40</v>
      </c>
      <c r="E369" s="27" t="s">
        <v>10</v>
      </c>
      <c r="F369" s="27" t="s">
        <v>73</v>
      </c>
    </row>
    <row r="370" spans="1:6" x14ac:dyDescent="0.3">
      <c r="A370" s="15">
        <v>4</v>
      </c>
      <c r="B370" s="11">
        <v>1</v>
      </c>
      <c r="C370" s="11" t="s">
        <v>81</v>
      </c>
      <c r="D370" s="11" t="s">
        <v>29</v>
      </c>
      <c r="E370" s="15" t="s">
        <v>42</v>
      </c>
      <c r="F370" s="15" t="s">
        <v>60</v>
      </c>
    </row>
    <row r="371" spans="1:6" x14ac:dyDescent="0.3">
      <c r="A371" s="27">
        <v>4</v>
      </c>
      <c r="B371" s="11">
        <v>1</v>
      </c>
      <c r="C371" s="11" t="s">
        <v>81</v>
      </c>
      <c r="D371" s="11" t="s">
        <v>29</v>
      </c>
      <c r="E371" s="27" t="s">
        <v>42</v>
      </c>
      <c r="F371" s="27" t="s">
        <v>61</v>
      </c>
    </row>
    <row r="372" spans="1:6" x14ac:dyDescent="0.3">
      <c r="A372" s="15">
        <v>4</v>
      </c>
      <c r="B372" s="12">
        <v>2</v>
      </c>
      <c r="C372" s="12" t="s">
        <v>80</v>
      </c>
      <c r="D372" s="15" t="s">
        <v>0</v>
      </c>
      <c r="E372" s="15" t="s">
        <v>41</v>
      </c>
      <c r="F372" s="15" t="s">
        <v>72</v>
      </c>
    </row>
    <row r="373" spans="1:6" x14ac:dyDescent="0.3">
      <c r="A373" s="27">
        <v>4</v>
      </c>
      <c r="B373" s="28">
        <v>2</v>
      </c>
      <c r="C373" s="28" t="s">
        <v>80</v>
      </c>
      <c r="D373" s="27" t="s">
        <v>40</v>
      </c>
      <c r="E373" s="27" t="s">
        <v>9</v>
      </c>
      <c r="F373" s="27" t="s">
        <v>72</v>
      </c>
    </row>
    <row r="374" spans="1:6" x14ac:dyDescent="0.3">
      <c r="A374" s="15">
        <v>4</v>
      </c>
      <c r="B374" s="12">
        <v>2</v>
      </c>
      <c r="C374" s="12" t="s">
        <v>80</v>
      </c>
      <c r="D374" s="15" t="s">
        <v>0</v>
      </c>
      <c r="E374" s="15" t="s">
        <v>41</v>
      </c>
      <c r="F374" s="15" t="s">
        <v>71</v>
      </c>
    </row>
    <row r="375" spans="1:6" x14ac:dyDescent="0.3">
      <c r="A375" s="27">
        <v>4</v>
      </c>
      <c r="B375" s="28">
        <v>1</v>
      </c>
      <c r="C375" s="28" t="s">
        <v>81</v>
      </c>
      <c r="D375" s="27" t="s">
        <v>40</v>
      </c>
      <c r="E375" s="27" t="s">
        <v>10</v>
      </c>
      <c r="F375" s="27" t="s">
        <v>71</v>
      </c>
    </row>
    <row r="376" spans="1:6" x14ac:dyDescent="0.3">
      <c r="A376" s="15">
        <v>4</v>
      </c>
      <c r="B376" s="11">
        <v>2</v>
      </c>
      <c r="C376" s="11" t="s">
        <v>80</v>
      </c>
      <c r="D376" s="11" t="s">
        <v>29</v>
      </c>
      <c r="E376" s="15" t="s">
        <v>42</v>
      </c>
      <c r="F376" s="15" t="s">
        <v>62</v>
      </c>
    </row>
    <row r="377" spans="1:6" x14ac:dyDescent="0.3">
      <c r="A377" s="27">
        <v>4</v>
      </c>
      <c r="B377" s="28">
        <v>1</v>
      </c>
      <c r="C377" s="28" t="s">
        <v>81</v>
      </c>
      <c r="D377" s="27" t="s">
        <v>0</v>
      </c>
      <c r="E377" s="27" t="s">
        <v>41</v>
      </c>
      <c r="F377" s="27" t="s">
        <v>70</v>
      </c>
    </row>
    <row r="378" spans="1:6" x14ac:dyDescent="0.3">
      <c r="A378" s="15">
        <v>4</v>
      </c>
      <c r="B378" s="12">
        <v>2</v>
      </c>
      <c r="C378" s="12" t="s">
        <v>80</v>
      </c>
      <c r="D378" s="15" t="s">
        <v>40</v>
      </c>
      <c r="E378" s="15" t="s">
        <v>10</v>
      </c>
      <c r="F378" s="15" t="s">
        <v>70</v>
      </c>
    </row>
    <row r="379" spans="1:6" x14ac:dyDescent="0.3">
      <c r="A379" s="27">
        <v>4</v>
      </c>
      <c r="B379" s="28">
        <v>2</v>
      </c>
      <c r="C379" s="28" t="s">
        <v>80</v>
      </c>
      <c r="D379" s="27" t="s">
        <v>0</v>
      </c>
      <c r="E379" s="27" t="s">
        <v>41</v>
      </c>
      <c r="F379" s="27" t="s">
        <v>69</v>
      </c>
    </row>
    <row r="380" spans="1:6" x14ac:dyDescent="0.3">
      <c r="A380" s="15">
        <v>4</v>
      </c>
      <c r="B380" s="12">
        <v>2</v>
      </c>
      <c r="C380" s="12" t="s">
        <v>80</v>
      </c>
      <c r="D380" s="15" t="s">
        <v>40</v>
      </c>
      <c r="E380" s="15" t="s">
        <v>9</v>
      </c>
      <c r="F380" s="15" t="s">
        <v>69</v>
      </c>
    </row>
    <row r="381" spans="1:6" x14ac:dyDescent="0.3">
      <c r="A381" s="27">
        <v>4</v>
      </c>
      <c r="B381" s="11">
        <v>1</v>
      </c>
      <c r="C381" s="11" t="s">
        <v>81</v>
      </c>
      <c r="D381" s="11" t="s">
        <v>29</v>
      </c>
      <c r="E381" s="27" t="s">
        <v>42</v>
      </c>
      <c r="F381" s="27" t="s">
        <v>63</v>
      </c>
    </row>
    <row r="382" spans="1:6" x14ac:dyDescent="0.3">
      <c r="A382" s="15">
        <v>4</v>
      </c>
      <c r="B382" s="11">
        <v>2</v>
      </c>
      <c r="C382" s="11" t="s">
        <v>80</v>
      </c>
      <c r="D382" s="11" t="s">
        <v>29</v>
      </c>
      <c r="E382" s="15" t="s">
        <v>42</v>
      </c>
      <c r="F382" s="15" t="s">
        <v>64</v>
      </c>
    </row>
    <row r="383" spans="1:6" x14ac:dyDescent="0.3">
      <c r="A383" s="27">
        <v>4</v>
      </c>
      <c r="B383" s="11">
        <v>1</v>
      </c>
      <c r="C383" s="11" t="s">
        <v>81</v>
      </c>
      <c r="D383" s="11" t="s">
        <v>29</v>
      </c>
      <c r="E383" s="27" t="s">
        <v>42</v>
      </c>
      <c r="F383" s="27" t="s">
        <v>65</v>
      </c>
    </row>
    <row r="384" spans="1:6" x14ac:dyDescent="0.3">
      <c r="A384" s="15">
        <v>4</v>
      </c>
      <c r="B384" s="12">
        <v>2</v>
      </c>
      <c r="C384" s="12" t="s">
        <v>80</v>
      </c>
      <c r="D384" s="15" t="s">
        <v>0</v>
      </c>
      <c r="E384" s="15" t="s">
        <v>41</v>
      </c>
      <c r="F384" s="15" t="s">
        <v>68</v>
      </c>
    </row>
    <row r="385" spans="1:6" x14ac:dyDescent="0.3">
      <c r="A385" s="27">
        <v>4</v>
      </c>
      <c r="B385" s="28">
        <v>1</v>
      </c>
      <c r="C385" s="28" t="s">
        <v>81</v>
      </c>
      <c r="D385" s="27" t="s">
        <v>40</v>
      </c>
      <c r="E385" s="27" t="s">
        <v>10</v>
      </c>
      <c r="F385" s="27" t="s">
        <v>68</v>
      </c>
    </row>
    <row r="386" spans="1:6" x14ac:dyDescent="0.3">
      <c r="A386" s="15">
        <v>4</v>
      </c>
      <c r="B386" s="11">
        <v>1</v>
      </c>
      <c r="C386" s="11" t="s">
        <v>80</v>
      </c>
      <c r="D386" s="11" t="s">
        <v>29</v>
      </c>
      <c r="E386" s="15" t="s">
        <v>42</v>
      </c>
      <c r="F386" s="15" t="s">
        <v>66</v>
      </c>
    </row>
    <row r="387" spans="1:6" x14ac:dyDescent="0.3">
      <c r="A387" s="27">
        <v>4</v>
      </c>
      <c r="B387" s="28">
        <v>1</v>
      </c>
      <c r="C387" s="28" t="s">
        <v>81</v>
      </c>
      <c r="D387" s="27" t="s">
        <v>0</v>
      </c>
      <c r="E387" s="27" t="s">
        <v>41</v>
      </c>
      <c r="F387" s="27" t="s">
        <v>67</v>
      </c>
    </row>
    <row r="388" spans="1:6" x14ac:dyDescent="0.3">
      <c r="A388" s="15">
        <v>4</v>
      </c>
      <c r="B388" s="12">
        <v>1</v>
      </c>
      <c r="C388" s="12" t="s">
        <v>81</v>
      </c>
      <c r="D388" s="15" t="s">
        <v>40</v>
      </c>
      <c r="E388" s="15" t="s">
        <v>9</v>
      </c>
      <c r="F388" s="15" t="s">
        <v>67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B380-2395-4939-AA54-5623083A0B37}">
  <dimension ref="A1:N394"/>
  <sheetViews>
    <sheetView topLeftCell="E1" workbookViewId="0">
      <selection activeCell="M385" sqref="M385"/>
    </sheetView>
  </sheetViews>
  <sheetFormatPr defaultRowHeight="14.4" x14ac:dyDescent="0.3"/>
  <cols>
    <col min="1" max="1" width="12.33203125" customWidth="1"/>
    <col min="2" max="2" width="11.21875" style="5" bestFit="1" customWidth="1"/>
    <col min="3" max="3" width="10.6640625" style="5" bestFit="1" customWidth="1"/>
    <col min="4" max="4" width="12" style="5" customWidth="1"/>
    <col min="5" max="5" width="11.5546875" bestFit="1" customWidth="1"/>
    <col min="6" max="6" width="10.21875" bestFit="1" customWidth="1"/>
  </cols>
  <sheetData>
    <row r="1" spans="1:7" x14ac:dyDescent="0.3">
      <c r="A1" s="21" t="s">
        <v>83</v>
      </c>
      <c r="B1" s="34" t="s">
        <v>75</v>
      </c>
      <c r="C1" s="34" t="s">
        <v>76</v>
      </c>
      <c r="D1" s="34" t="s">
        <v>77</v>
      </c>
      <c r="E1" s="21" t="s">
        <v>78</v>
      </c>
      <c r="F1" s="21" t="s">
        <v>79</v>
      </c>
      <c r="G1" s="48" t="s">
        <v>128</v>
      </c>
    </row>
    <row r="2" spans="1:7" x14ac:dyDescent="0.3">
      <c r="A2" s="12">
        <v>1</v>
      </c>
      <c r="B2" s="35">
        <v>2</v>
      </c>
      <c r="C2" s="35" t="s">
        <v>80</v>
      </c>
      <c r="D2" s="41" t="s">
        <v>0</v>
      </c>
      <c r="E2" s="15" t="s">
        <v>41</v>
      </c>
      <c r="F2" s="15" t="s">
        <v>43</v>
      </c>
      <c r="G2" s="5"/>
    </row>
    <row r="3" spans="1:7" x14ac:dyDescent="0.3">
      <c r="A3" s="7">
        <v>1</v>
      </c>
      <c r="B3" s="36">
        <v>2</v>
      </c>
      <c r="C3" s="36" t="s">
        <v>80</v>
      </c>
      <c r="D3" s="42" t="s">
        <v>40</v>
      </c>
      <c r="E3" s="4" t="s">
        <v>9</v>
      </c>
      <c r="F3" s="4" t="s">
        <v>43</v>
      </c>
      <c r="G3" s="5"/>
    </row>
    <row r="4" spans="1:7" x14ac:dyDescent="0.3">
      <c r="A4" s="12">
        <v>1</v>
      </c>
      <c r="B4" s="37">
        <v>1</v>
      </c>
      <c r="C4" s="43" t="s">
        <v>81</v>
      </c>
      <c r="D4" s="45" t="s">
        <v>29</v>
      </c>
      <c r="E4" s="15" t="s">
        <v>42</v>
      </c>
      <c r="F4" s="15" t="s">
        <v>74</v>
      </c>
      <c r="G4" s="5"/>
    </row>
    <row r="5" spans="1:7" x14ac:dyDescent="0.3">
      <c r="A5" s="7">
        <v>1</v>
      </c>
      <c r="B5" s="36">
        <v>2</v>
      </c>
      <c r="C5" s="36" t="s">
        <v>80</v>
      </c>
      <c r="D5" s="42" t="s">
        <v>0</v>
      </c>
      <c r="E5" s="4" t="s">
        <v>41</v>
      </c>
      <c r="F5" s="4" t="s">
        <v>44</v>
      </c>
      <c r="G5" s="5"/>
    </row>
    <row r="6" spans="1:7" x14ac:dyDescent="0.3">
      <c r="A6" s="12">
        <v>1</v>
      </c>
      <c r="B6" s="35">
        <v>2</v>
      </c>
      <c r="C6" s="35" t="s">
        <v>80</v>
      </c>
      <c r="D6" s="41" t="s">
        <v>40</v>
      </c>
      <c r="E6" s="15" t="s">
        <v>9</v>
      </c>
      <c r="F6" s="15" t="s">
        <v>44</v>
      </c>
      <c r="G6" s="5"/>
    </row>
    <row r="7" spans="1:7" x14ac:dyDescent="0.3">
      <c r="A7" s="7">
        <v>1</v>
      </c>
      <c r="B7" s="37">
        <v>1</v>
      </c>
      <c r="C7" s="37" t="s">
        <v>81</v>
      </c>
      <c r="D7" s="45" t="s">
        <v>29</v>
      </c>
      <c r="E7" s="4" t="s">
        <v>42</v>
      </c>
      <c r="F7" s="4" t="s">
        <v>73</v>
      </c>
      <c r="G7" s="5"/>
    </row>
    <row r="8" spans="1:7" x14ac:dyDescent="0.3">
      <c r="A8" s="12">
        <v>1</v>
      </c>
      <c r="B8" s="35">
        <v>2</v>
      </c>
      <c r="C8" s="35" t="s">
        <v>80</v>
      </c>
      <c r="D8" s="41" t="s">
        <v>0</v>
      </c>
      <c r="E8" s="15" t="s">
        <v>41</v>
      </c>
      <c r="F8" s="15" t="s">
        <v>45</v>
      </c>
      <c r="G8" s="5"/>
    </row>
    <row r="9" spans="1:7" x14ac:dyDescent="0.3">
      <c r="A9" s="7">
        <v>1</v>
      </c>
      <c r="B9" s="36">
        <v>1</v>
      </c>
      <c r="C9" s="36" t="s">
        <v>81</v>
      </c>
      <c r="D9" s="42" t="s">
        <v>40</v>
      </c>
      <c r="E9" s="4" t="s">
        <v>10</v>
      </c>
      <c r="F9" s="4" t="s">
        <v>45</v>
      </c>
      <c r="G9" s="5"/>
    </row>
    <row r="10" spans="1:7" x14ac:dyDescent="0.3">
      <c r="A10" s="12">
        <v>1</v>
      </c>
      <c r="B10" s="35">
        <v>1</v>
      </c>
      <c r="C10" s="35" t="s">
        <v>81</v>
      </c>
      <c r="D10" s="41" t="s">
        <v>0</v>
      </c>
      <c r="E10" s="15" t="s">
        <v>41</v>
      </c>
      <c r="F10" s="15" t="s">
        <v>46</v>
      </c>
      <c r="G10" s="5"/>
    </row>
    <row r="11" spans="1:7" x14ac:dyDescent="0.3">
      <c r="A11" s="7">
        <v>1</v>
      </c>
      <c r="B11" s="36">
        <v>2</v>
      </c>
      <c r="C11" s="36" t="s">
        <v>80</v>
      </c>
      <c r="D11" s="42" t="s">
        <v>40</v>
      </c>
      <c r="E11" s="4" t="s">
        <v>10</v>
      </c>
      <c r="F11" s="4" t="s">
        <v>46</v>
      </c>
      <c r="G11" s="5"/>
    </row>
    <row r="12" spans="1:7" x14ac:dyDescent="0.3">
      <c r="A12" s="12">
        <v>1</v>
      </c>
      <c r="B12" s="37">
        <v>2</v>
      </c>
      <c r="C12" s="43" t="s">
        <v>80</v>
      </c>
      <c r="D12" s="45" t="s">
        <v>29</v>
      </c>
      <c r="E12" s="15" t="s">
        <v>42</v>
      </c>
      <c r="F12" s="15" t="s">
        <v>72</v>
      </c>
      <c r="G12" s="5"/>
    </row>
    <row r="13" spans="1:7" x14ac:dyDescent="0.3">
      <c r="A13" s="7">
        <v>1</v>
      </c>
      <c r="B13" s="36">
        <v>2</v>
      </c>
      <c r="C13" s="36" t="s">
        <v>80</v>
      </c>
      <c r="D13" s="42" t="s">
        <v>0</v>
      </c>
      <c r="E13" s="4" t="s">
        <v>41</v>
      </c>
      <c r="F13" s="4" t="s">
        <v>47</v>
      </c>
      <c r="G13" s="5"/>
    </row>
    <row r="14" spans="1:7" x14ac:dyDescent="0.3">
      <c r="A14" s="12">
        <v>1</v>
      </c>
      <c r="B14" s="35">
        <v>1</v>
      </c>
      <c r="C14" s="35" t="s">
        <v>81</v>
      </c>
      <c r="D14" s="41" t="s">
        <v>40</v>
      </c>
      <c r="E14" s="15" t="s">
        <v>10</v>
      </c>
      <c r="F14" s="15" t="s">
        <v>47</v>
      </c>
      <c r="G14" s="5"/>
    </row>
    <row r="15" spans="1:7" x14ac:dyDescent="0.3">
      <c r="A15" s="7">
        <v>1</v>
      </c>
      <c r="B15" s="37">
        <v>2</v>
      </c>
      <c r="C15" s="37" t="s">
        <v>80</v>
      </c>
      <c r="D15" s="45" t="s">
        <v>29</v>
      </c>
      <c r="E15" s="4" t="s">
        <v>42</v>
      </c>
      <c r="F15" s="4" t="s">
        <v>71</v>
      </c>
      <c r="G15" s="5"/>
    </row>
    <row r="16" spans="1:7" x14ac:dyDescent="0.3">
      <c r="A16" s="12">
        <v>1</v>
      </c>
      <c r="B16" s="35">
        <v>1</v>
      </c>
      <c r="C16" s="35" t="s">
        <v>81</v>
      </c>
      <c r="D16" s="41" t="s">
        <v>0</v>
      </c>
      <c r="E16" s="15" t="s">
        <v>41</v>
      </c>
      <c r="F16" s="15" t="s">
        <v>48</v>
      </c>
      <c r="G16" s="5"/>
    </row>
    <row r="17" spans="1:9" x14ac:dyDescent="0.3">
      <c r="A17" s="7">
        <v>1</v>
      </c>
      <c r="B17" s="36">
        <v>1</v>
      </c>
      <c r="C17" s="36" t="s">
        <v>81</v>
      </c>
      <c r="D17" s="42" t="s">
        <v>40</v>
      </c>
      <c r="E17" s="4" t="s">
        <v>9</v>
      </c>
      <c r="F17" s="4" t="s">
        <v>48</v>
      </c>
      <c r="G17" s="5"/>
    </row>
    <row r="18" spans="1:9" x14ac:dyDescent="0.3">
      <c r="A18" s="12">
        <v>1</v>
      </c>
      <c r="B18" s="37">
        <v>2</v>
      </c>
      <c r="C18" s="43" t="s">
        <v>80</v>
      </c>
      <c r="D18" s="45" t="s">
        <v>29</v>
      </c>
      <c r="E18" s="15" t="s">
        <v>42</v>
      </c>
      <c r="F18" s="15" t="s">
        <v>70</v>
      </c>
      <c r="G18" s="5"/>
    </row>
    <row r="19" spans="1:9" x14ac:dyDescent="0.3">
      <c r="A19" s="46">
        <v>1</v>
      </c>
      <c r="B19" s="37">
        <v>1</v>
      </c>
      <c r="C19" s="43" t="s">
        <v>81</v>
      </c>
      <c r="D19" s="45" t="s">
        <v>29</v>
      </c>
      <c r="E19" s="47" t="s">
        <v>42</v>
      </c>
      <c r="F19" s="15" t="s">
        <v>68</v>
      </c>
      <c r="G19" s="6"/>
    </row>
    <row r="20" spans="1:9" x14ac:dyDescent="0.3">
      <c r="A20" s="7">
        <v>1</v>
      </c>
      <c r="B20" s="36">
        <v>1</v>
      </c>
      <c r="C20" s="36" t="s">
        <v>81</v>
      </c>
      <c r="D20" s="42" t="s">
        <v>0</v>
      </c>
      <c r="E20" s="4" t="s">
        <v>41</v>
      </c>
      <c r="F20" s="4" t="s">
        <v>49</v>
      </c>
      <c r="G20" s="5"/>
    </row>
    <row r="21" spans="1:9" x14ac:dyDescent="0.3">
      <c r="A21" s="12">
        <v>1</v>
      </c>
      <c r="B21" s="35">
        <v>1</v>
      </c>
      <c r="C21" s="35" t="s">
        <v>81</v>
      </c>
      <c r="D21" s="41" t="s">
        <v>40</v>
      </c>
      <c r="E21" s="15" t="s">
        <v>9</v>
      </c>
      <c r="F21" s="15" t="s">
        <v>49</v>
      </c>
      <c r="G21" s="5"/>
    </row>
    <row r="22" spans="1:9" x14ac:dyDescent="0.3">
      <c r="A22" s="7">
        <v>1</v>
      </c>
      <c r="B22" s="37">
        <v>2</v>
      </c>
      <c r="C22" s="37" t="s">
        <v>80</v>
      </c>
      <c r="D22" s="45" t="s">
        <v>29</v>
      </c>
      <c r="E22" s="4" t="s">
        <v>42</v>
      </c>
      <c r="F22" s="4" t="s">
        <v>69</v>
      </c>
      <c r="G22" s="5"/>
    </row>
    <row r="23" spans="1:9" x14ac:dyDescent="0.3">
      <c r="A23" s="15">
        <v>1</v>
      </c>
      <c r="B23" s="37">
        <v>1</v>
      </c>
      <c r="C23" s="37" t="s">
        <v>81</v>
      </c>
      <c r="D23" s="45" t="s">
        <v>29</v>
      </c>
      <c r="E23" s="15" t="s">
        <v>42</v>
      </c>
      <c r="F23" s="4" t="s">
        <v>67</v>
      </c>
      <c r="G23" s="6"/>
    </row>
    <row r="24" spans="1:9" x14ac:dyDescent="0.3">
      <c r="A24" s="12">
        <v>1</v>
      </c>
      <c r="B24" s="35">
        <v>1</v>
      </c>
      <c r="C24" s="35" t="s">
        <v>81</v>
      </c>
      <c r="D24" s="41" t="s">
        <v>0</v>
      </c>
      <c r="E24" s="15" t="s">
        <v>41</v>
      </c>
      <c r="F24" s="15" t="s">
        <v>50</v>
      </c>
      <c r="G24" s="5"/>
    </row>
    <row r="25" spans="1:9" x14ac:dyDescent="0.3">
      <c r="A25" s="7">
        <v>1</v>
      </c>
      <c r="B25" s="36">
        <v>2</v>
      </c>
      <c r="C25" s="36" t="s">
        <v>80</v>
      </c>
      <c r="D25" s="42" t="s">
        <v>40</v>
      </c>
      <c r="E25" s="4" t="s">
        <v>10</v>
      </c>
      <c r="F25" s="4" t="s">
        <v>50</v>
      </c>
      <c r="G25" s="5"/>
    </row>
    <row r="26" spans="1:9" x14ac:dyDescent="0.3">
      <c r="A26" s="4">
        <v>2</v>
      </c>
      <c r="B26" s="38">
        <v>2</v>
      </c>
      <c r="C26" s="38" t="s">
        <v>80</v>
      </c>
      <c r="D26" s="38" t="s">
        <v>29</v>
      </c>
      <c r="E26" s="4" t="s">
        <v>42</v>
      </c>
      <c r="F26" s="4" t="s">
        <v>43</v>
      </c>
      <c r="G26" s="5"/>
      <c r="I26" t="s">
        <v>19</v>
      </c>
    </row>
    <row r="27" spans="1:9" x14ac:dyDescent="0.3">
      <c r="A27" s="15">
        <v>2</v>
      </c>
      <c r="B27" s="35">
        <v>1</v>
      </c>
      <c r="C27" s="35" t="s">
        <v>81</v>
      </c>
      <c r="D27" s="41" t="s">
        <v>0</v>
      </c>
      <c r="E27" s="15" t="s">
        <v>41</v>
      </c>
      <c r="F27" s="15" t="s">
        <v>58</v>
      </c>
      <c r="G27" s="5"/>
    </row>
    <row r="28" spans="1:9" x14ac:dyDescent="0.3">
      <c r="A28" s="4">
        <v>2</v>
      </c>
      <c r="B28" s="36">
        <v>1</v>
      </c>
      <c r="C28" s="36" t="s">
        <v>81</v>
      </c>
      <c r="D28" s="42" t="s">
        <v>40</v>
      </c>
      <c r="E28" s="4" t="s">
        <v>9</v>
      </c>
      <c r="F28" s="4" t="s">
        <v>58</v>
      </c>
      <c r="G28" s="5"/>
    </row>
    <row r="29" spans="1:9" x14ac:dyDescent="0.3">
      <c r="A29" s="15">
        <v>2</v>
      </c>
      <c r="B29" s="38">
        <v>2</v>
      </c>
      <c r="C29" s="38" t="s">
        <v>80</v>
      </c>
      <c r="D29" s="38" t="s">
        <v>29</v>
      </c>
      <c r="E29" s="15" t="s">
        <v>42</v>
      </c>
      <c r="F29" s="15" t="s">
        <v>44</v>
      </c>
      <c r="G29" s="5"/>
    </row>
    <row r="30" spans="1:9" x14ac:dyDescent="0.3">
      <c r="A30" s="15">
        <v>2</v>
      </c>
      <c r="B30" s="35">
        <v>1</v>
      </c>
      <c r="C30" s="36" t="s">
        <v>81</v>
      </c>
      <c r="D30" s="41" t="s">
        <v>0</v>
      </c>
      <c r="E30" s="15" t="s">
        <v>41</v>
      </c>
      <c r="F30" s="15" t="s">
        <v>57</v>
      </c>
      <c r="G30" s="5"/>
    </row>
    <row r="31" spans="1:9" x14ac:dyDescent="0.3">
      <c r="A31" s="4">
        <v>2</v>
      </c>
      <c r="B31" s="36">
        <v>1</v>
      </c>
      <c r="C31" s="36" t="s">
        <v>81</v>
      </c>
      <c r="D31" s="42" t="s">
        <v>40</v>
      </c>
      <c r="E31" s="4" t="s">
        <v>9</v>
      </c>
      <c r="F31" s="4" t="s">
        <v>57</v>
      </c>
      <c r="G31" s="5"/>
    </row>
    <row r="32" spans="1:9" x14ac:dyDescent="0.3">
      <c r="A32" s="15">
        <v>2</v>
      </c>
      <c r="B32" s="35">
        <v>1</v>
      </c>
      <c r="C32" s="36" t="s">
        <v>81</v>
      </c>
      <c r="D32" s="41" t="s">
        <v>0</v>
      </c>
      <c r="E32" s="15" t="s">
        <v>41</v>
      </c>
      <c r="F32" s="15" t="s">
        <v>56</v>
      </c>
      <c r="G32" s="5"/>
    </row>
    <row r="33" spans="1:7" x14ac:dyDescent="0.3">
      <c r="A33" s="4">
        <v>2</v>
      </c>
      <c r="B33" s="36">
        <v>2</v>
      </c>
      <c r="C33" s="36" t="s">
        <v>80</v>
      </c>
      <c r="D33" s="42" t="s">
        <v>40</v>
      </c>
      <c r="E33" s="4" t="s">
        <v>10</v>
      </c>
      <c r="F33" s="4" t="s">
        <v>56</v>
      </c>
      <c r="G33" s="5"/>
    </row>
    <row r="34" spans="1:7" x14ac:dyDescent="0.3">
      <c r="A34" s="15">
        <v>2</v>
      </c>
      <c r="B34" s="35">
        <v>2</v>
      </c>
      <c r="C34" s="36" t="s">
        <v>80</v>
      </c>
      <c r="D34" s="41" t="s">
        <v>0</v>
      </c>
      <c r="E34" s="15" t="s">
        <v>41</v>
      </c>
      <c r="F34" s="15" t="s">
        <v>55</v>
      </c>
      <c r="G34" s="5"/>
    </row>
    <row r="35" spans="1:7" x14ac:dyDescent="0.3">
      <c r="A35" s="4">
        <v>2</v>
      </c>
      <c r="B35" s="36">
        <v>1</v>
      </c>
      <c r="C35" s="36" t="s">
        <v>81</v>
      </c>
      <c r="D35" s="42" t="s">
        <v>40</v>
      </c>
      <c r="E35" s="4" t="s">
        <v>10</v>
      </c>
      <c r="F35" s="4" t="s">
        <v>55</v>
      </c>
      <c r="G35" s="5"/>
    </row>
    <row r="36" spans="1:7" x14ac:dyDescent="0.3">
      <c r="A36" s="4">
        <v>2</v>
      </c>
      <c r="B36" s="38">
        <v>1</v>
      </c>
      <c r="C36" s="38" t="s">
        <v>81</v>
      </c>
      <c r="D36" s="38" t="s">
        <v>29</v>
      </c>
      <c r="E36" s="4" t="s">
        <v>42</v>
      </c>
      <c r="F36" s="4" t="s">
        <v>45</v>
      </c>
      <c r="G36" s="5"/>
    </row>
    <row r="37" spans="1:7" x14ac:dyDescent="0.3">
      <c r="A37" s="15">
        <v>2</v>
      </c>
      <c r="B37" s="35">
        <v>1</v>
      </c>
      <c r="C37" s="36" t="s">
        <v>81</v>
      </c>
      <c r="D37" s="41" t="s">
        <v>0</v>
      </c>
      <c r="E37" s="15" t="s">
        <v>41</v>
      </c>
      <c r="F37" s="15" t="s">
        <v>54</v>
      </c>
      <c r="G37" s="5"/>
    </row>
    <row r="38" spans="1:7" x14ac:dyDescent="0.3">
      <c r="A38" s="4">
        <v>2</v>
      </c>
      <c r="B38" s="36">
        <v>2</v>
      </c>
      <c r="C38" s="36" t="s">
        <v>80</v>
      </c>
      <c r="D38" s="42" t="s">
        <v>40</v>
      </c>
      <c r="E38" s="4" t="s">
        <v>10</v>
      </c>
      <c r="F38" s="4" t="s">
        <v>54</v>
      </c>
      <c r="G38" s="5"/>
    </row>
    <row r="39" spans="1:7" x14ac:dyDescent="0.3">
      <c r="A39" s="15">
        <v>2</v>
      </c>
      <c r="B39" s="38">
        <v>1</v>
      </c>
      <c r="C39" s="38" t="s">
        <v>81</v>
      </c>
      <c r="D39" s="38" t="s">
        <v>29</v>
      </c>
      <c r="E39" s="15" t="s">
        <v>42</v>
      </c>
      <c r="F39" s="15" t="s">
        <v>46</v>
      </c>
      <c r="G39" s="5"/>
    </row>
    <row r="40" spans="1:7" x14ac:dyDescent="0.3">
      <c r="A40" s="4">
        <v>2</v>
      </c>
      <c r="B40" s="38">
        <v>2</v>
      </c>
      <c r="C40" s="38" t="s">
        <v>80</v>
      </c>
      <c r="D40" s="38" t="s">
        <v>29</v>
      </c>
      <c r="E40" s="4" t="s">
        <v>42</v>
      </c>
      <c r="F40" s="4" t="s">
        <v>47</v>
      </c>
      <c r="G40" s="5"/>
    </row>
    <row r="41" spans="1:7" x14ac:dyDescent="0.3">
      <c r="A41" s="15">
        <v>2</v>
      </c>
      <c r="B41" s="35">
        <v>2</v>
      </c>
      <c r="C41" s="35" t="s">
        <v>80</v>
      </c>
      <c r="D41" s="41" t="s">
        <v>0</v>
      </c>
      <c r="E41" s="15" t="s">
        <v>41</v>
      </c>
      <c r="F41" s="15" t="s">
        <v>53</v>
      </c>
      <c r="G41" s="5"/>
    </row>
    <row r="42" spans="1:7" x14ac:dyDescent="0.3">
      <c r="A42" s="4">
        <v>2</v>
      </c>
      <c r="B42" s="36">
        <v>2</v>
      </c>
      <c r="C42" s="36" t="s">
        <v>80</v>
      </c>
      <c r="D42" s="42" t="s">
        <v>40</v>
      </c>
      <c r="E42" s="4" t="s">
        <v>9</v>
      </c>
      <c r="F42" s="4" t="s">
        <v>53</v>
      </c>
      <c r="G42" s="5"/>
    </row>
    <row r="43" spans="1:7" x14ac:dyDescent="0.3">
      <c r="A43" s="15">
        <v>2</v>
      </c>
      <c r="B43" s="38">
        <v>1</v>
      </c>
      <c r="C43" s="38" t="s">
        <v>81</v>
      </c>
      <c r="D43" s="38" t="s">
        <v>29</v>
      </c>
      <c r="E43" s="15" t="s">
        <v>42</v>
      </c>
      <c r="F43" s="15" t="s">
        <v>48</v>
      </c>
      <c r="G43" s="5"/>
    </row>
    <row r="44" spans="1:7" x14ac:dyDescent="0.3">
      <c r="A44" s="4">
        <v>2</v>
      </c>
      <c r="B44" s="36">
        <v>2</v>
      </c>
      <c r="C44" s="36" t="s">
        <v>80</v>
      </c>
      <c r="D44" s="42" t="s">
        <v>0</v>
      </c>
      <c r="E44" s="4" t="s">
        <v>41</v>
      </c>
      <c r="F44" s="4" t="s">
        <v>52</v>
      </c>
      <c r="G44" s="5"/>
    </row>
    <row r="45" spans="1:7" x14ac:dyDescent="0.3">
      <c r="A45" s="15">
        <v>2</v>
      </c>
      <c r="B45" s="35">
        <v>2</v>
      </c>
      <c r="C45" s="35" t="s">
        <v>80</v>
      </c>
      <c r="D45" s="41" t="s">
        <v>40</v>
      </c>
      <c r="E45" s="15" t="s">
        <v>9</v>
      </c>
      <c r="F45" s="15" t="s">
        <v>52</v>
      </c>
      <c r="G45" s="5"/>
    </row>
    <row r="46" spans="1:7" x14ac:dyDescent="0.3">
      <c r="A46" s="4">
        <v>2</v>
      </c>
      <c r="B46" s="38">
        <v>1</v>
      </c>
      <c r="C46" s="38" t="s">
        <v>81</v>
      </c>
      <c r="D46" s="38" t="s">
        <v>29</v>
      </c>
      <c r="E46" s="4" t="s">
        <v>42</v>
      </c>
      <c r="F46" s="4" t="s">
        <v>49</v>
      </c>
      <c r="G46" s="5"/>
    </row>
    <row r="47" spans="1:7" x14ac:dyDescent="0.3">
      <c r="A47" s="15">
        <v>2</v>
      </c>
      <c r="B47" s="38">
        <v>2</v>
      </c>
      <c r="C47" s="38" t="s">
        <v>80</v>
      </c>
      <c r="D47" s="38" t="s">
        <v>29</v>
      </c>
      <c r="E47" s="15" t="s">
        <v>42</v>
      </c>
      <c r="F47" s="15" t="s">
        <v>50</v>
      </c>
      <c r="G47" s="5"/>
    </row>
    <row r="48" spans="1:7" x14ac:dyDescent="0.3">
      <c r="A48" s="4">
        <v>2</v>
      </c>
      <c r="B48" s="36">
        <v>2</v>
      </c>
      <c r="C48" s="36" t="s">
        <v>80</v>
      </c>
      <c r="D48" s="42" t="s">
        <v>0</v>
      </c>
      <c r="E48" s="4" t="s">
        <v>41</v>
      </c>
      <c r="F48" s="4" t="s">
        <v>51</v>
      </c>
      <c r="G48" s="5"/>
    </row>
    <row r="49" spans="1:9" x14ac:dyDescent="0.3">
      <c r="A49" s="15">
        <v>2</v>
      </c>
      <c r="B49" s="35">
        <v>1</v>
      </c>
      <c r="C49" s="35" t="s">
        <v>81</v>
      </c>
      <c r="D49" s="41" t="s">
        <v>40</v>
      </c>
      <c r="E49" s="15" t="s">
        <v>10</v>
      </c>
      <c r="F49" s="15" t="s">
        <v>51</v>
      </c>
      <c r="G49" s="5"/>
    </row>
    <row r="50" spans="1:9" x14ac:dyDescent="0.3">
      <c r="A50" s="15">
        <v>3</v>
      </c>
      <c r="B50" s="35">
        <v>2</v>
      </c>
      <c r="C50" s="35" t="s">
        <v>80</v>
      </c>
      <c r="D50" s="41" t="s">
        <v>29</v>
      </c>
      <c r="E50" s="15" t="s">
        <v>42</v>
      </c>
      <c r="F50" s="15"/>
      <c r="G50" s="49" t="s">
        <v>127</v>
      </c>
    </row>
    <row r="51" spans="1:9" x14ac:dyDescent="0.3">
      <c r="A51" s="12">
        <v>3</v>
      </c>
      <c r="B51" s="35">
        <v>1</v>
      </c>
      <c r="C51" s="35" t="s">
        <v>81</v>
      </c>
      <c r="D51" s="41" t="s">
        <v>0</v>
      </c>
      <c r="E51" s="15" t="s">
        <v>41</v>
      </c>
      <c r="F51" s="15" t="s">
        <v>59</v>
      </c>
      <c r="G51" s="5"/>
    </row>
    <row r="52" spans="1:9" x14ac:dyDescent="0.3">
      <c r="A52" s="7">
        <v>3</v>
      </c>
      <c r="B52" s="36">
        <v>2</v>
      </c>
      <c r="C52" s="36" t="s">
        <v>80</v>
      </c>
      <c r="D52" s="42" t="s">
        <v>40</v>
      </c>
      <c r="E52" s="4" t="s">
        <v>10</v>
      </c>
      <c r="F52" s="4" t="s">
        <v>59</v>
      </c>
      <c r="G52" s="5"/>
    </row>
    <row r="53" spans="1:9" x14ac:dyDescent="0.3">
      <c r="A53" s="15">
        <v>3</v>
      </c>
      <c r="B53" s="35">
        <v>2</v>
      </c>
      <c r="C53" s="35" t="s">
        <v>80</v>
      </c>
      <c r="D53" s="41" t="s">
        <v>29</v>
      </c>
      <c r="E53" s="15" t="s">
        <v>42</v>
      </c>
      <c r="F53" s="15"/>
      <c r="G53" s="49" t="s">
        <v>127</v>
      </c>
    </row>
    <row r="54" spans="1:9" x14ac:dyDescent="0.3">
      <c r="A54" s="12">
        <v>3</v>
      </c>
      <c r="B54" s="35">
        <v>2</v>
      </c>
      <c r="C54" s="35" t="s">
        <v>80</v>
      </c>
      <c r="D54" s="41" t="s">
        <v>0</v>
      </c>
      <c r="E54" s="15" t="s">
        <v>41</v>
      </c>
      <c r="F54" s="15" t="s">
        <v>60</v>
      </c>
      <c r="G54" s="5"/>
    </row>
    <row r="55" spans="1:9" x14ac:dyDescent="0.3">
      <c r="A55" s="7">
        <v>3</v>
      </c>
      <c r="B55" s="36">
        <v>1</v>
      </c>
      <c r="C55" s="36" t="s">
        <v>81</v>
      </c>
      <c r="D55" s="42" t="s">
        <v>40</v>
      </c>
      <c r="E55" s="4" t="s">
        <v>10</v>
      </c>
      <c r="F55" s="4" t="s">
        <v>60</v>
      </c>
      <c r="G55" s="5"/>
    </row>
    <row r="56" spans="1:9" x14ac:dyDescent="0.3">
      <c r="A56" s="12">
        <v>3</v>
      </c>
      <c r="B56" s="39">
        <v>1</v>
      </c>
      <c r="C56" s="39" t="s">
        <v>81</v>
      </c>
      <c r="D56" s="39" t="s">
        <v>29</v>
      </c>
      <c r="E56" s="15" t="s">
        <v>42</v>
      </c>
      <c r="F56" s="15" t="s">
        <v>58</v>
      </c>
      <c r="G56" s="5"/>
    </row>
    <row r="57" spans="1:9" x14ac:dyDescent="0.3">
      <c r="A57" s="7">
        <v>3</v>
      </c>
      <c r="B57" s="36">
        <v>1</v>
      </c>
      <c r="C57" s="36" t="s">
        <v>81</v>
      </c>
      <c r="D57" s="42" t="s">
        <v>0</v>
      </c>
      <c r="E57" s="4" t="s">
        <v>41</v>
      </c>
      <c r="F57" s="4" t="s">
        <v>61</v>
      </c>
      <c r="G57" s="5"/>
      <c r="I57" t="s">
        <v>19</v>
      </c>
    </row>
    <row r="58" spans="1:9" x14ac:dyDescent="0.3">
      <c r="A58" s="12">
        <v>3</v>
      </c>
      <c r="B58" s="35">
        <v>2</v>
      </c>
      <c r="C58" s="35" t="s">
        <v>80</v>
      </c>
      <c r="D58" s="41" t="s">
        <v>40</v>
      </c>
      <c r="E58" s="15" t="s">
        <v>10</v>
      </c>
      <c r="F58" s="15" t="s">
        <v>61</v>
      </c>
      <c r="G58" s="5"/>
    </row>
    <row r="59" spans="1:9" x14ac:dyDescent="0.3">
      <c r="A59" s="7">
        <v>3</v>
      </c>
      <c r="B59" s="39">
        <v>1</v>
      </c>
      <c r="C59" s="39" t="s">
        <v>81</v>
      </c>
      <c r="D59" s="39" t="s">
        <v>29</v>
      </c>
      <c r="E59" s="4" t="s">
        <v>42</v>
      </c>
      <c r="F59" s="4" t="s">
        <v>57</v>
      </c>
      <c r="G59" s="5"/>
    </row>
    <row r="60" spans="1:9" x14ac:dyDescent="0.3">
      <c r="A60" s="12">
        <v>3</v>
      </c>
      <c r="B60" s="35">
        <v>2</v>
      </c>
      <c r="C60" s="35" t="s">
        <v>80</v>
      </c>
      <c r="D60" s="41" t="s">
        <v>0</v>
      </c>
      <c r="E60" s="15" t="s">
        <v>41</v>
      </c>
      <c r="F60" s="15" t="s">
        <v>62</v>
      </c>
      <c r="G60" s="5"/>
    </row>
    <row r="61" spans="1:9" x14ac:dyDescent="0.3">
      <c r="A61" s="7">
        <v>3</v>
      </c>
      <c r="B61" s="36">
        <v>2</v>
      </c>
      <c r="C61" s="36" t="s">
        <v>80</v>
      </c>
      <c r="D61" s="42" t="s">
        <v>40</v>
      </c>
      <c r="E61" s="4" t="s">
        <v>9</v>
      </c>
      <c r="F61" s="4" t="s">
        <v>62</v>
      </c>
      <c r="G61" s="5"/>
    </row>
    <row r="62" spans="1:9" x14ac:dyDescent="0.3">
      <c r="A62" s="12">
        <v>3</v>
      </c>
      <c r="B62" s="39">
        <v>2</v>
      </c>
      <c r="C62" s="39" t="s">
        <v>80</v>
      </c>
      <c r="D62" s="39" t="s">
        <v>29</v>
      </c>
      <c r="E62" s="15" t="s">
        <v>42</v>
      </c>
      <c r="F62" s="15" t="s">
        <v>56</v>
      </c>
      <c r="G62" s="5"/>
    </row>
    <row r="63" spans="1:9" x14ac:dyDescent="0.3">
      <c r="A63" s="7">
        <v>3</v>
      </c>
      <c r="B63" s="39">
        <v>1</v>
      </c>
      <c r="C63" s="39" t="s">
        <v>81</v>
      </c>
      <c r="D63" s="39" t="s">
        <v>29</v>
      </c>
      <c r="E63" s="4" t="s">
        <v>42</v>
      </c>
      <c r="F63" s="4" t="s">
        <v>55</v>
      </c>
      <c r="G63" s="5"/>
    </row>
    <row r="64" spans="1:9" x14ac:dyDescent="0.3">
      <c r="A64" s="12">
        <v>3</v>
      </c>
      <c r="B64" s="39">
        <v>2</v>
      </c>
      <c r="C64" s="39" t="s">
        <v>80</v>
      </c>
      <c r="D64" s="39" t="s">
        <v>29</v>
      </c>
      <c r="E64" s="15" t="s">
        <v>42</v>
      </c>
      <c r="F64" s="15" t="s">
        <v>54</v>
      </c>
      <c r="G64" s="5"/>
    </row>
    <row r="65" spans="1:7" x14ac:dyDescent="0.3">
      <c r="A65" s="7">
        <v>3</v>
      </c>
      <c r="B65" s="36">
        <v>2</v>
      </c>
      <c r="C65" s="36" t="s">
        <v>80</v>
      </c>
      <c r="D65" s="42" t="s">
        <v>0</v>
      </c>
      <c r="E65" s="4" t="s">
        <v>41</v>
      </c>
      <c r="F65" s="4" t="s">
        <v>63</v>
      </c>
      <c r="G65" s="5"/>
    </row>
    <row r="66" spans="1:7" x14ac:dyDescent="0.3">
      <c r="A66" s="12">
        <v>3</v>
      </c>
      <c r="B66" s="35">
        <v>2</v>
      </c>
      <c r="C66" s="35" t="s">
        <v>80</v>
      </c>
      <c r="D66" s="41" t="s">
        <v>40</v>
      </c>
      <c r="E66" s="15" t="s">
        <v>9</v>
      </c>
      <c r="F66" s="15" t="s">
        <v>63</v>
      </c>
      <c r="G66" s="5"/>
    </row>
    <row r="67" spans="1:7" x14ac:dyDescent="0.3">
      <c r="A67" s="15">
        <v>3</v>
      </c>
      <c r="B67" s="35">
        <v>1</v>
      </c>
      <c r="C67" s="35" t="s">
        <v>81</v>
      </c>
      <c r="D67" s="41" t="s">
        <v>29</v>
      </c>
      <c r="E67" s="15" t="s">
        <v>42</v>
      </c>
      <c r="F67" s="15"/>
      <c r="G67" s="49" t="s">
        <v>127</v>
      </c>
    </row>
    <row r="68" spans="1:7" x14ac:dyDescent="0.3">
      <c r="A68" s="7">
        <v>3</v>
      </c>
      <c r="B68" s="36">
        <v>2</v>
      </c>
      <c r="C68" s="36" t="s">
        <v>80</v>
      </c>
      <c r="D68" s="42" t="s">
        <v>0</v>
      </c>
      <c r="E68" s="4" t="s">
        <v>41</v>
      </c>
      <c r="F68" s="4" t="s">
        <v>64</v>
      </c>
      <c r="G68" s="5"/>
    </row>
    <row r="69" spans="1:7" x14ac:dyDescent="0.3">
      <c r="A69" s="12">
        <v>3</v>
      </c>
      <c r="B69" s="35">
        <v>1</v>
      </c>
      <c r="C69" s="35" t="s">
        <v>81</v>
      </c>
      <c r="D69" s="41" t="s">
        <v>40</v>
      </c>
      <c r="E69" s="15" t="s">
        <v>10</v>
      </c>
      <c r="F69" s="15" t="s">
        <v>64</v>
      </c>
      <c r="G69" s="5"/>
    </row>
    <row r="70" spans="1:7" x14ac:dyDescent="0.3">
      <c r="A70" s="7">
        <v>3</v>
      </c>
      <c r="B70" s="39">
        <v>2</v>
      </c>
      <c r="C70" s="39" t="s">
        <v>80</v>
      </c>
      <c r="D70" s="39" t="s">
        <v>29</v>
      </c>
      <c r="E70" s="4" t="s">
        <v>42</v>
      </c>
      <c r="F70" s="4" t="s">
        <v>53</v>
      </c>
      <c r="G70" s="5"/>
    </row>
    <row r="71" spans="1:7" x14ac:dyDescent="0.3">
      <c r="A71" s="12">
        <v>3</v>
      </c>
      <c r="B71" s="35">
        <v>1</v>
      </c>
      <c r="C71" s="35" t="s">
        <v>81</v>
      </c>
      <c r="D71" s="41" t="s">
        <v>0</v>
      </c>
      <c r="E71" s="15" t="s">
        <v>41</v>
      </c>
      <c r="F71" s="15" t="s">
        <v>65</v>
      </c>
      <c r="G71" s="5"/>
    </row>
    <row r="72" spans="1:7" x14ac:dyDescent="0.3">
      <c r="A72" s="7">
        <v>3</v>
      </c>
      <c r="B72" s="36">
        <v>1</v>
      </c>
      <c r="C72" s="36" t="s">
        <v>81</v>
      </c>
      <c r="D72" s="42" t="s">
        <v>40</v>
      </c>
      <c r="E72" s="4" t="s">
        <v>9</v>
      </c>
      <c r="F72" s="4" t="s">
        <v>65</v>
      </c>
      <c r="G72" s="5"/>
    </row>
    <row r="73" spans="1:7" x14ac:dyDescent="0.3">
      <c r="A73" s="12">
        <v>3</v>
      </c>
      <c r="B73" s="39">
        <v>2</v>
      </c>
      <c r="C73" s="39" t="s">
        <v>80</v>
      </c>
      <c r="D73" s="39" t="s">
        <v>29</v>
      </c>
      <c r="E73" s="15" t="s">
        <v>42</v>
      </c>
      <c r="F73" s="15" t="s">
        <v>52</v>
      </c>
      <c r="G73" s="5"/>
    </row>
    <row r="74" spans="1:7" x14ac:dyDescent="0.3">
      <c r="A74" s="7">
        <v>3</v>
      </c>
      <c r="B74" s="39">
        <v>1</v>
      </c>
      <c r="C74" s="39" t="s">
        <v>81</v>
      </c>
      <c r="D74" s="39" t="s">
        <v>29</v>
      </c>
      <c r="E74" s="4" t="s">
        <v>42</v>
      </c>
      <c r="F74" s="4" t="s">
        <v>51</v>
      </c>
      <c r="G74" s="5"/>
    </row>
    <row r="75" spans="1:7" x14ac:dyDescent="0.3">
      <c r="A75" s="12">
        <v>3</v>
      </c>
      <c r="B75" s="35">
        <v>1</v>
      </c>
      <c r="C75" s="35" t="s">
        <v>81</v>
      </c>
      <c r="D75" s="41" t="s">
        <v>0</v>
      </c>
      <c r="E75" s="15" t="s">
        <v>41</v>
      </c>
      <c r="F75" s="15" t="s">
        <v>66</v>
      </c>
      <c r="G75" s="5"/>
    </row>
    <row r="76" spans="1:7" x14ac:dyDescent="0.3">
      <c r="A76" s="7">
        <v>3</v>
      </c>
      <c r="B76" s="36">
        <v>1</v>
      </c>
      <c r="C76" s="36" t="s">
        <v>81</v>
      </c>
      <c r="D76" s="42" t="s">
        <v>40</v>
      </c>
      <c r="E76" s="4" t="s">
        <v>9</v>
      </c>
      <c r="F76" s="4" t="s">
        <v>66</v>
      </c>
      <c r="G76" s="5"/>
    </row>
    <row r="77" spans="1:7" x14ac:dyDescent="0.3">
      <c r="A77" s="4">
        <v>4</v>
      </c>
      <c r="B77" s="40">
        <v>2</v>
      </c>
      <c r="C77" s="40" t="s">
        <v>80</v>
      </c>
      <c r="D77" s="40" t="s">
        <v>29</v>
      </c>
      <c r="E77" s="4" t="s">
        <v>42</v>
      </c>
      <c r="F77" s="4" t="s">
        <v>59</v>
      </c>
      <c r="G77" s="5"/>
    </row>
    <row r="78" spans="1:7" x14ac:dyDescent="0.3">
      <c r="A78" s="15">
        <v>4</v>
      </c>
      <c r="B78" s="35">
        <v>1</v>
      </c>
      <c r="C78" s="35" t="s">
        <v>81</v>
      </c>
      <c r="D78" s="41" t="s">
        <v>0</v>
      </c>
      <c r="E78" s="15" t="s">
        <v>41</v>
      </c>
      <c r="F78" s="15" t="s">
        <v>74</v>
      </c>
      <c r="G78" s="5"/>
    </row>
    <row r="79" spans="1:7" x14ac:dyDescent="0.3">
      <c r="A79" s="4">
        <v>4</v>
      </c>
      <c r="B79" s="36">
        <v>1</v>
      </c>
      <c r="C79" s="36" t="s">
        <v>81</v>
      </c>
      <c r="D79" s="42" t="s">
        <v>40</v>
      </c>
      <c r="E79" s="4" t="s">
        <v>9</v>
      </c>
      <c r="F79" s="4" t="s">
        <v>74</v>
      </c>
      <c r="G79" s="5"/>
    </row>
    <row r="80" spans="1:7" x14ac:dyDescent="0.3">
      <c r="A80" s="15">
        <v>4</v>
      </c>
      <c r="B80" s="35">
        <v>1</v>
      </c>
      <c r="C80" s="35" t="s">
        <v>81</v>
      </c>
      <c r="D80" s="41" t="s">
        <v>0</v>
      </c>
      <c r="E80" s="15" t="s">
        <v>41</v>
      </c>
      <c r="F80" s="15" t="s">
        <v>73</v>
      </c>
      <c r="G80" s="5"/>
    </row>
    <row r="81" spans="1:9" x14ac:dyDescent="0.3">
      <c r="A81" s="4">
        <v>4</v>
      </c>
      <c r="B81" s="36">
        <v>2</v>
      </c>
      <c r="C81" s="36" t="s">
        <v>80</v>
      </c>
      <c r="D81" s="42" t="s">
        <v>40</v>
      </c>
      <c r="E81" s="4" t="s">
        <v>10</v>
      </c>
      <c r="F81" s="4" t="s">
        <v>73</v>
      </c>
      <c r="G81" s="5"/>
    </row>
    <row r="82" spans="1:9" x14ac:dyDescent="0.3">
      <c r="A82" s="15">
        <v>4</v>
      </c>
      <c r="B82" s="40">
        <v>1</v>
      </c>
      <c r="C82" s="40" t="s">
        <v>81</v>
      </c>
      <c r="D82" s="40" t="s">
        <v>29</v>
      </c>
      <c r="E82" s="15" t="s">
        <v>42</v>
      </c>
      <c r="F82" s="15" t="s">
        <v>60</v>
      </c>
      <c r="G82" s="5"/>
    </row>
    <row r="83" spans="1:9" x14ac:dyDescent="0.3">
      <c r="A83" s="4">
        <v>4</v>
      </c>
      <c r="B83" s="40">
        <v>1</v>
      </c>
      <c r="C83" s="40" t="s">
        <v>81</v>
      </c>
      <c r="D83" s="40" t="s">
        <v>29</v>
      </c>
      <c r="E83" s="4" t="s">
        <v>42</v>
      </c>
      <c r="F83" s="4" t="s">
        <v>61</v>
      </c>
      <c r="G83" s="5"/>
    </row>
    <row r="84" spans="1:9" x14ac:dyDescent="0.3">
      <c r="A84" s="15">
        <v>4</v>
      </c>
      <c r="B84" s="35">
        <v>2</v>
      </c>
      <c r="C84" s="35" t="s">
        <v>80</v>
      </c>
      <c r="D84" s="41" t="s">
        <v>0</v>
      </c>
      <c r="E84" s="15" t="s">
        <v>41</v>
      </c>
      <c r="F84" s="15" t="s">
        <v>72</v>
      </c>
      <c r="G84" s="5"/>
    </row>
    <row r="85" spans="1:9" x14ac:dyDescent="0.3">
      <c r="A85" s="4">
        <v>4</v>
      </c>
      <c r="B85" s="36">
        <v>2</v>
      </c>
      <c r="C85" s="36" t="s">
        <v>80</v>
      </c>
      <c r="D85" s="42" t="s">
        <v>40</v>
      </c>
      <c r="E85" s="4" t="s">
        <v>9</v>
      </c>
      <c r="F85" s="4" t="s">
        <v>72</v>
      </c>
      <c r="G85" s="5"/>
    </row>
    <row r="86" spans="1:9" x14ac:dyDescent="0.3">
      <c r="A86" s="15">
        <v>4</v>
      </c>
      <c r="B86" s="35">
        <v>2</v>
      </c>
      <c r="C86" s="35" t="s">
        <v>80</v>
      </c>
      <c r="D86" s="41" t="s">
        <v>0</v>
      </c>
      <c r="E86" s="15" t="s">
        <v>41</v>
      </c>
      <c r="F86" s="15" t="s">
        <v>71</v>
      </c>
      <c r="G86" s="5"/>
    </row>
    <row r="87" spans="1:9" x14ac:dyDescent="0.3">
      <c r="A87" s="4">
        <v>4</v>
      </c>
      <c r="B87" s="36">
        <v>1</v>
      </c>
      <c r="C87" s="36" t="s">
        <v>81</v>
      </c>
      <c r="D87" s="42" t="s">
        <v>40</v>
      </c>
      <c r="E87" s="4" t="s">
        <v>10</v>
      </c>
      <c r="F87" s="4" t="s">
        <v>71</v>
      </c>
      <c r="G87" s="5"/>
    </row>
    <row r="88" spans="1:9" x14ac:dyDescent="0.3">
      <c r="A88" s="15">
        <v>4</v>
      </c>
      <c r="B88" s="40">
        <v>1</v>
      </c>
      <c r="C88" s="40" t="s">
        <v>81</v>
      </c>
      <c r="D88" s="40" t="s">
        <v>29</v>
      </c>
      <c r="E88" s="15" t="s">
        <v>42</v>
      </c>
      <c r="F88" s="15" t="s">
        <v>62</v>
      </c>
      <c r="G88" s="5"/>
    </row>
    <row r="89" spans="1:9" x14ac:dyDescent="0.3">
      <c r="A89" s="4">
        <v>4</v>
      </c>
      <c r="B89" s="36">
        <v>1</v>
      </c>
      <c r="C89" s="36" t="s">
        <v>81</v>
      </c>
      <c r="D89" s="42" t="s">
        <v>0</v>
      </c>
      <c r="E89" s="4" t="s">
        <v>41</v>
      </c>
      <c r="F89" s="4" t="s">
        <v>70</v>
      </c>
      <c r="G89" s="5"/>
    </row>
    <row r="90" spans="1:9" x14ac:dyDescent="0.3">
      <c r="A90" s="15">
        <v>4</v>
      </c>
      <c r="B90" s="35">
        <v>2</v>
      </c>
      <c r="C90" s="35" t="s">
        <v>80</v>
      </c>
      <c r="D90" s="41" t="s">
        <v>40</v>
      </c>
      <c r="E90" s="15" t="s">
        <v>10</v>
      </c>
      <c r="F90" s="15" t="s">
        <v>70</v>
      </c>
      <c r="G90" s="5"/>
    </row>
    <row r="91" spans="1:9" x14ac:dyDescent="0.3">
      <c r="A91" s="4">
        <v>4</v>
      </c>
      <c r="B91" s="36">
        <v>2</v>
      </c>
      <c r="C91" s="36" t="s">
        <v>80</v>
      </c>
      <c r="D91" s="42" t="s">
        <v>0</v>
      </c>
      <c r="E91" s="4" t="s">
        <v>41</v>
      </c>
      <c r="F91" s="4" t="s">
        <v>69</v>
      </c>
      <c r="G91" s="5"/>
    </row>
    <row r="92" spans="1:9" x14ac:dyDescent="0.3">
      <c r="A92" s="15">
        <v>4</v>
      </c>
      <c r="B92" s="35">
        <v>2</v>
      </c>
      <c r="C92" s="35" t="s">
        <v>80</v>
      </c>
      <c r="D92" s="41" t="s">
        <v>40</v>
      </c>
      <c r="E92" s="15" t="s">
        <v>9</v>
      </c>
      <c r="F92" s="15" t="s">
        <v>69</v>
      </c>
      <c r="G92" s="5"/>
      <c r="I92" t="s">
        <v>19</v>
      </c>
    </row>
    <row r="93" spans="1:9" x14ac:dyDescent="0.3">
      <c r="A93" s="4">
        <v>4</v>
      </c>
      <c r="B93" s="40">
        <v>1</v>
      </c>
      <c r="C93" s="40" t="s">
        <v>81</v>
      </c>
      <c r="D93" s="40" t="s">
        <v>29</v>
      </c>
      <c r="E93" s="4" t="s">
        <v>42</v>
      </c>
      <c r="F93" s="4" t="s">
        <v>63</v>
      </c>
      <c r="G93" s="5"/>
    </row>
    <row r="94" spans="1:9" x14ac:dyDescent="0.3">
      <c r="A94" s="4">
        <v>4</v>
      </c>
      <c r="B94" s="40">
        <v>2</v>
      </c>
      <c r="C94" s="40" t="s">
        <v>80</v>
      </c>
      <c r="D94" s="40" t="s">
        <v>29</v>
      </c>
      <c r="E94" s="4" t="s">
        <v>42</v>
      </c>
      <c r="F94" s="4" t="s">
        <v>65</v>
      </c>
      <c r="G94" s="5"/>
    </row>
    <row r="95" spans="1:9" x14ac:dyDescent="0.3">
      <c r="A95" s="15">
        <v>4</v>
      </c>
      <c r="B95" s="35">
        <v>2</v>
      </c>
      <c r="C95" s="35" t="s">
        <v>80</v>
      </c>
      <c r="D95" s="41" t="s">
        <v>0</v>
      </c>
      <c r="E95" s="15" t="s">
        <v>41</v>
      </c>
      <c r="F95" s="15" t="s">
        <v>68</v>
      </c>
      <c r="G95" s="5"/>
    </row>
    <row r="96" spans="1:9" x14ac:dyDescent="0.3">
      <c r="A96" s="4">
        <v>4</v>
      </c>
      <c r="B96" s="36">
        <v>1</v>
      </c>
      <c r="C96" s="36" t="s">
        <v>81</v>
      </c>
      <c r="D96" s="42" t="s">
        <v>40</v>
      </c>
      <c r="E96" s="4" t="s">
        <v>10</v>
      </c>
      <c r="F96" s="4" t="s">
        <v>68</v>
      </c>
      <c r="G96" s="5"/>
    </row>
    <row r="97" spans="1:7" x14ac:dyDescent="0.3">
      <c r="A97" s="4">
        <v>4</v>
      </c>
      <c r="B97" s="36">
        <v>1</v>
      </c>
      <c r="C97" s="36" t="s">
        <v>81</v>
      </c>
      <c r="D97" s="42" t="s">
        <v>0</v>
      </c>
      <c r="E97" s="4" t="s">
        <v>41</v>
      </c>
      <c r="F97" s="4" t="s">
        <v>67</v>
      </c>
      <c r="G97" s="5"/>
    </row>
    <row r="98" spans="1:7" x14ac:dyDescent="0.3">
      <c r="A98" s="15">
        <v>4</v>
      </c>
      <c r="B98" s="35">
        <v>1</v>
      </c>
      <c r="C98" s="35" t="s">
        <v>81</v>
      </c>
      <c r="D98" s="41" t="s">
        <v>40</v>
      </c>
      <c r="E98" s="15" t="s">
        <v>9</v>
      </c>
      <c r="F98" s="15" t="s">
        <v>67</v>
      </c>
      <c r="G98" s="5"/>
    </row>
    <row r="99" spans="1:7" x14ac:dyDescent="0.3">
      <c r="A99" s="15">
        <v>4</v>
      </c>
      <c r="B99" s="40">
        <v>1</v>
      </c>
      <c r="C99" s="40" t="s">
        <v>80</v>
      </c>
      <c r="D99" s="40" t="s">
        <v>29</v>
      </c>
      <c r="E99" s="15" t="s">
        <v>42</v>
      </c>
      <c r="F99" s="15" t="s">
        <v>66</v>
      </c>
      <c r="G99" s="5"/>
    </row>
    <row r="100" spans="1:7" x14ac:dyDescent="0.3">
      <c r="A100" s="15">
        <v>4</v>
      </c>
      <c r="B100" s="40">
        <v>1</v>
      </c>
      <c r="C100" s="40" t="s">
        <v>81</v>
      </c>
      <c r="D100" s="40" t="s">
        <v>29</v>
      </c>
      <c r="E100" s="15" t="s">
        <v>42</v>
      </c>
      <c r="F100" s="15" t="s">
        <v>64</v>
      </c>
      <c r="G100" s="5"/>
    </row>
    <row r="101" spans="1:7" x14ac:dyDescent="0.3">
      <c r="A101" t="s">
        <v>25</v>
      </c>
      <c r="G101" s="5"/>
    </row>
    <row r="102" spans="1:7" x14ac:dyDescent="0.3">
      <c r="A102" s="12">
        <v>1</v>
      </c>
      <c r="B102" s="41">
        <v>2</v>
      </c>
      <c r="C102" s="41" t="s">
        <v>80</v>
      </c>
      <c r="D102" s="41" t="s">
        <v>0</v>
      </c>
      <c r="E102" s="15" t="s">
        <v>41</v>
      </c>
      <c r="F102" s="15" t="s">
        <v>46</v>
      </c>
      <c r="G102" s="5"/>
    </row>
    <row r="103" spans="1:7" x14ac:dyDescent="0.3">
      <c r="A103" s="7">
        <v>1</v>
      </c>
      <c r="B103" s="42">
        <v>2</v>
      </c>
      <c r="C103" s="41" t="s">
        <v>80</v>
      </c>
      <c r="D103" s="42" t="s">
        <v>40</v>
      </c>
      <c r="E103" s="4" t="s">
        <v>9</v>
      </c>
      <c r="F103" s="4" t="s">
        <v>46</v>
      </c>
      <c r="G103" s="5"/>
    </row>
    <row r="104" spans="1:7" x14ac:dyDescent="0.3">
      <c r="A104" s="12">
        <v>1</v>
      </c>
      <c r="B104" s="37">
        <v>1</v>
      </c>
      <c r="C104" s="43" t="s">
        <v>81</v>
      </c>
      <c r="D104" s="45" t="s">
        <v>29</v>
      </c>
      <c r="E104" s="15" t="s">
        <v>42</v>
      </c>
      <c r="F104" s="15" t="s">
        <v>72</v>
      </c>
      <c r="G104" s="5"/>
    </row>
    <row r="105" spans="1:7" x14ac:dyDescent="0.3">
      <c r="A105" s="12">
        <v>1</v>
      </c>
      <c r="B105" s="41">
        <v>2</v>
      </c>
      <c r="C105" s="41" t="s">
        <v>80</v>
      </c>
      <c r="D105" s="41" t="s">
        <v>0</v>
      </c>
      <c r="E105" s="15" t="s">
        <v>41</v>
      </c>
      <c r="F105" s="15" t="s">
        <v>45</v>
      </c>
      <c r="G105" s="5"/>
    </row>
    <row r="106" spans="1:7" x14ac:dyDescent="0.3">
      <c r="A106" s="7">
        <v>1</v>
      </c>
      <c r="B106" s="42">
        <v>2</v>
      </c>
      <c r="C106" s="41" t="s">
        <v>80</v>
      </c>
      <c r="D106" s="42" t="s">
        <v>40</v>
      </c>
      <c r="E106" s="4" t="s">
        <v>9</v>
      </c>
      <c r="F106" s="4" t="s">
        <v>45</v>
      </c>
      <c r="G106" s="5"/>
    </row>
    <row r="107" spans="1:7" x14ac:dyDescent="0.3">
      <c r="A107" s="15">
        <v>1</v>
      </c>
      <c r="B107" s="42">
        <v>1</v>
      </c>
      <c r="C107" s="41" t="s">
        <v>81</v>
      </c>
      <c r="D107" s="42" t="s">
        <v>29</v>
      </c>
      <c r="E107" s="15" t="s">
        <v>42</v>
      </c>
      <c r="F107" s="15"/>
      <c r="G107" s="49" t="s">
        <v>127</v>
      </c>
    </row>
    <row r="108" spans="1:7" x14ac:dyDescent="0.3">
      <c r="A108" s="7">
        <v>1</v>
      </c>
      <c r="B108" s="37">
        <v>2</v>
      </c>
      <c r="C108" s="37" t="s">
        <v>80</v>
      </c>
      <c r="D108" s="45" t="s">
        <v>29</v>
      </c>
      <c r="E108" s="4" t="s">
        <v>42</v>
      </c>
      <c r="F108" s="4" t="s">
        <v>67</v>
      </c>
      <c r="G108" s="5"/>
    </row>
    <row r="109" spans="1:7" x14ac:dyDescent="0.3">
      <c r="A109" s="12">
        <v>1</v>
      </c>
      <c r="B109" s="41">
        <v>2</v>
      </c>
      <c r="C109" s="41" t="s">
        <v>80</v>
      </c>
      <c r="D109" s="41" t="s">
        <v>0</v>
      </c>
      <c r="E109" s="15" t="s">
        <v>41</v>
      </c>
      <c r="F109" s="15" t="s">
        <v>48</v>
      </c>
      <c r="G109" s="5"/>
    </row>
    <row r="110" spans="1:7" x14ac:dyDescent="0.3">
      <c r="A110" s="7">
        <v>1</v>
      </c>
      <c r="B110" s="42">
        <v>1</v>
      </c>
      <c r="C110" s="42" t="s">
        <v>81</v>
      </c>
      <c r="D110" s="42" t="s">
        <v>40</v>
      </c>
      <c r="E110" s="4" t="s">
        <v>10</v>
      </c>
      <c r="F110" s="4" t="s">
        <v>48</v>
      </c>
      <c r="G110" s="5"/>
    </row>
    <row r="111" spans="1:7" x14ac:dyDescent="0.3">
      <c r="A111" s="12">
        <v>1</v>
      </c>
      <c r="B111" s="37">
        <v>1</v>
      </c>
      <c r="C111" s="43" t="s">
        <v>81</v>
      </c>
      <c r="D111" s="45" t="s">
        <v>29</v>
      </c>
      <c r="E111" s="15" t="s">
        <v>42</v>
      </c>
      <c r="F111" s="15" t="s">
        <v>71</v>
      </c>
      <c r="G111" s="5"/>
    </row>
    <row r="112" spans="1:7" x14ac:dyDescent="0.3">
      <c r="A112" s="7">
        <v>1</v>
      </c>
      <c r="B112" s="42">
        <v>1</v>
      </c>
      <c r="C112" s="42" t="s">
        <v>81</v>
      </c>
      <c r="D112" s="42" t="s">
        <v>0</v>
      </c>
      <c r="E112" s="4" t="s">
        <v>41</v>
      </c>
      <c r="F112" s="4" t="s">
        <v>44</v>
      </c>
      <c r="G112" s="5"/>
    </row>
    <row r="113" spans="1:7" x14ac:dyDescent="0.3">
      <c r="A113" s="12">
        <v>1</v>
      </c>
      <c r="B113" s="41">
        <v>2</v>
      </c>
      <c r="C113" s="41" t="s">
        <v>80</v>
      </c>
      <c r="D113" s="41" t="s">
        <v>40</v>
      </c>
      <c r="E113" s="15" t="s">
        <v>10</v>
      </c>
      <c r="F113" s="15" t="s">
        <v>44</v>
      </c>
      <c r="G113" s="5"/>
    </row>
    <row r="114" spans="1:7" x14ac:dyDescent="0.3">
      <c r="A114" s="7">
        <v>1</v>
      </c>
      <c r="B114" s="42">
        <v>2</v>
      </c>
      <c r="C114" s="42" t="s">
        <v>80</v>
      </c>
      <c r="D114" s="42" t="s">
        <v>0</v>
      </c>
      <c r="E114" s="4" t="s">
        <v>41</v>
      </c>
      <c r="F114" s="4" t="s">
        <v>43</v>
      </c>
      <c r="G114" s="5"/>
    </row>
    <row r="115" spans="1:7" x14ac:dyDescent="0.3">
      <c r="A115" s="12">
        <v>1</v>
      </c>
      <c r="B115" s="41">
        <v>1</v>
      </c>
      <c r="C115" s="41" t="s">
        <v>81</v>
      </c>
      <c r="D115" s="41" t="s">
        <v>40</v>
      </c>
      <c r="E115" s="15" t="s">
        <v>10</v>
      </c>
      <c r="F115" s="15" t="s">
        <v>43</v>
      </c>
      <c r="G115" s="5"/>
    </row>
    <row r="116" spans="1:7" x14ac:dyDescent="0.3">
      <c r="A116" s="7">
        <v>1</v>
      </c>
      <c r="B116" s="37">
        <v>2</v>
      </c>
      <c r="C116" s="37" t="s">
        <v>80</v>
      </c>
      <c r="D116" s="45" t="s">
        <v>29</v>
      </c>
      <c r="E116" s="4" t="s">
        <v>42</v>
      </c>
      <c r="F116" s="4" t="s">
        <v>73</v>
      </c>
      <c r="G116" s="5"/>
    </row>
    <row r="117" spans="1:7" x14ac:dyDescent="0.3">
      <c r="A117" s="12">
        <v>1</v>
      </c>
      <c r="B117" s="41">
        <v>1</v>
      </c>
      <c r="C117" s="41" t="s">
        <v>81</v>
      </c>
      <c r="D117" s="41" t="s">
        <v>0</v>
      </c>
      <c r="E117" s="15" t="s">
        <v>41</v>
      </c>
      <c r="F117" s="15" t="s">
        <v>50</v>
      </c>
      <c r="G117" s="5"/>
    </row>
    <row r="118" spans="1:7" x14ac:dyDescent="0.3">
      <c r="A118" s="7">
        <v>1</v>
      </c>
      <c r="B118" s="42">
        <v>1</v>
      </c>
      <c r="C118" s="41" t="s">
        <v>81</v>
      </c>
      <c r="D118" s="42" t="s">
        <v>40</v>
      </c>
      <c r="E118" s="4" t="s">
        <v>9</v>
      </c>
      <c r="F118" s="4" t="s">
        <v>50</v>
      </c>
      <c r="G118" s="5"/>
    </row>
    <row r="119" spans="1:7" x14ac:dyDescent="0.3">
      <c r="A119" s="12">
        <v>1</v>
      </c>
      <c r="B119" s="37">
        <v>2</v>
      </c>
      <c r="C119" s="43" t="s">
        <v>80</v>
      </c>
      <c r="D119" s="45" t="s">
        <v>29</v>
      </c>
      <c r="E119" s="15" t="s">
        <v>42</v>
      </c>
      <c r="F119" s="15" t="s">
        <v>68</v>
      </c>
      <c r="G119" s="5"/>
    </row>
    <row r="120" spans="1:7" x14ac:dyDescent="0.3">
      <c r="A120" s="7">
        <v>1</v>
      </c>
      <c r="B120" s="42">
        <v>1</v>
      </c>
      <c r="C120" s="42" t="s">
        <v>81</v>
      </c>
      <c r="D120" s="42" t="s">
        <v>0</v>
      </c>
      <c r="E120" s="4" t="s">
        <v>41</v>
      </c>
      <c r="F120" s="4" t="s">
        <v>47</v>
      </c>
      <c r="G120" s="5"/>
    </row>
    <row r="121" spans="1:7" x14ac:dyDescent="0.3">
      <c r="A121" s="12">
        <v>1</v>
      </c>
      <c r="B121" s="41">
        <v>1</v>
      </c>
      <c r="C121" s="41" t="s">
        <v>81</v>
      </c>
      <c r="D121" s="41" t="s">
        <v>40</v>
      </c>
      <c r="E121" s="15" t="s">
        <v>9</v>
      </c>
      <c r="F121" s="15" t="s">
        <v>47</v>
      </c>
      <c r="G121" s="5"/>
    </row>
    <row r="122" spans="1:7" x14ac:dyDescent="0.3">
      <c r="A122" s="7">
        <v>1</v>
      </c>
      <c r="B122" s="37">
        <v>2</v>
      </c>
      <c r="C122" s="37" t="s">
        <v>80</v>
      </c>
      <c r="D122" s="45" t="s">
        <v>29</v>
      </c>
      <c r="E122" s="4" t="s">
        <v>42</v>
      </c>
      <c r="F122" s="4" t="s">
        <v>74</v>
      </c>
      <c r="G122" s="5"/>
    </row>
    <row r="123" spans="1:7" x14ac:dyDescent="0.3">
      <c r="A123" s="12">
        <v>1</v>
      </c>
      <c r="B123" s="37">
        <v>1</v>
      </c>
      <c r="C123" s="43" t="s">
        <v>81</v>
      </c>
      <c r="D123" s="45" t="s">
        <v>29</v>
      </c>
      <c r="E123" s="15" t="s">
        <v>42</v>
      </c>
      <c r="F123" s="15" t="s">
        <v>69</v>
      </c>
      <c r="G123" s="5"/>
    </row>
    <row r="124" spans="1:7" x14ac:dyDescent="0.3">
      <c r="A124" s="7">
        <v>1</v>
      </c>
      <c r="B124" s="42">
        <v>1</v>
      </c>
      <c r="C124" s="42" t="s">
        <v>81</v>
      </c>
      <c r="D124" s="42" t="s">
        <v>0</v>
      </c>
      <c r="E124" s="4" t="s">
        <v>41</v>
      </c>
      <c r="F124" s="4" t="s">
        <v>49</v>
      </c>
      <c r="G124" s="5"/>
    </row>
    <row r="125" spans="1:7" x14ac:dyDescent="0.3">
      <c r="A125" s="12">
        <v>1</v>
      </c>
      <c r="B125" s="41">
        <v>2</v>
      </c>
      <c r="C125" s="41" t="s">
        <v>80</v>
      </c>
      <c r="D125" s="41" t="s">
        <v>40</v>
      </c>
      <c r="E125" s="15" t="s">
        <v>10</v>
      </c>
      <c r="F125" s="15" t="s">
        <v>49</v>
      </c>
      <c r="G125" s="5"/>
    </row>
    <row r="126" spans="1:7" x14ac:dyDescent="0.3">
      <c r="A126" s="7">
        <v>1</v>
      </c>
      <c r="B126" s="37">
        <v>1</v>
      </c>
      <c r="C126" s="37" t="s">
        <v>81</v>
      </c>
      <c r="D126" s="45" t="s">
        <v>29</v>
      </c>
      <c r="E126" s="4" t="s">
        <v>42</v>
      </c>
      <c r="F126" s="4" t="s">
        <v>70</v>
      </c>
      <c r="G126" s="5"/>
    </row>
    <row r="127" spans="1:7" x14ac:dyDescent="0.3">
      <c r="A127" s="4">
        <v>2</v>
      </c>
      <c r="B127" s="42">
        <v>1</v>
      </c>
      <c r="C127" s="36" t="s">
        <v>81</v>
      </c>
      <c r="D127" s="42" t="s">
        <v>0</v>
      </c>
      <c r="E127" s="4" t="s">
        <v>41</v>
      </c>
      <c r="F127" s="4" t="s">
        <v>54</v>
      </c>
      <c r="G127" s="5"/>
    </row>
    <row r="128" spans="1:7" x14ac:dyDescent="0.3">
      <c r="A128" s="15">
        <v>2</v>
      </c>
      <c r="B128" s="41">
        <v>1</v>
      </c>
      <c r="C128" s="35" t="s">
        <v>81</v>
      </c>
      <c r="D128" s="41" t="s">
        <v>40</v>
      </c>
      <c r="E128" s="15" t="s">
        <v>9</v>
      </c>
      <c r="F128" s="15" t="s">
        <v>54</v>
      </c>
      <c r="G128" s="5"/>
    </row>
    <row r="129" spans="1:7" x14ac:dyDescent="0.3">
      <c r="A129" s="4">
        <v>2</v>
      </c>
      <c r="B129" s="38">
        <v>2</v>
      </c>
      <c r="C129" s="38" t="s">
        <v>80</v>
      </c>
      <c r="D129" s="38" t="s">
        <v>29</v>
      </c>
      <c r="E129" s="4" t="s">
        <v>42</v>
      </c>
      <c r="F129" s="4" t="s">
        <v>46</v>
      </c>
      <c r="G129" s="5"/>
    </row>
    <row r="130" spans="1:7" x14ac:dyDescent="0.3">
      <c r="A130" s="15">
        <v>2</v>
      </c>
      <c r="B130" s="41">
        <v>1</v>
      </c>
      <c r="C130" s="41" t="s">
        <v>81</v>
      </c>
      <c r="D130" s="41" t="s">
        <v>0</v>
      </c>
      <c r="E130" s="15" t="s">
        <v>41</v>
      </c>
      <c r="F130" s="15" t="s">
        <v>56</v>
      </c>
      <c r="G130" s="5"/>
    </row>
    <row r="131" spans="1:7" x14ac:dyDescent="0.3">
      <c r="A131" s="4">
        <v>2</v>
      </c>
      <c r="B131" s="42">
        <v>1</v>
      </c>
      <c r="C131" s="42" t="s">
        <v>81</v>
      </c>
      <c r="D131" s="42" t="s">
        <v>40</v>
      </c>
      <c r="E131" s="4" t="s">
        <v>9</v>
      </c>
      <c r="F131" s="4" t="s">
        <v>56</v>
      </c>
      <c r="G131" s="5"/>
    </row>
    <row r="132" spans="1:7" x14ac:dyDescent="0.3">
      <c r="A132" s="15">
        <v>2</v>
      </c>
      <c r="B132" s="41">
        <v>1</v>
      </c>
      <c r="C132" s="41" t="s">
        <v>81</v>
      </c>
      <c r="D132" s="41" t="s">
        <v>0</v>
      </c>
      <c r="E132" s="15" t="s">
        <v>41</v>
      </c>
      <c r="F132" s="15" t="s">
        <v>58</v>
      </c>
      <c r="G132" s="5"/>
    </row>
    <row r="133" spans="1:7" x14ac:dyDescent="0.3">
      <c r="A133" s="4">
        <v>2</v>
      </c>
      <c r="B133" s="42">
        <v>2</v>
      </c>
      <c r="C133" s="42" t="s">
        <v>80</v>
      </c>
      <c r="D133" s="42" t="s">
        <v>40</v>
      </c>
      <c r="E133" s="4" t="s">
        <v>10</v>
      </c>
      <c r="F133" s="4" t="s">
        <v>58</v>
      </c>
      <c r="G133" s="5"/>
    </row>
    <row r="134" spans="1:7" x14ac:dyDescent="0.3">
      <c r="A134" s="15">
        <v>2</v>
      </c>
      <c r="B134" s="38">
        <v>2</v>
      </c>
      <c r="C134" s="38" t="s">
        <v>80</v>
      </c>
      <c r="D134" s="38" t="s">
        <v>29</v>
      </c>
      <c r="E134" s="15" t="s">
        <v>42</v>
      </c>
      <c r="F134" s="15" t="s">
        <v>45</v>
      </c>
      <c r="G134" s="5"/>
    </row>
    <row r="135" spans="1:7" x14ac:dyDescent="0.3">
      <c r="A135" s="4">
        <v>2</v>
      </c>
      <c r="B135" s="42">
        <v>2</v>
      </c>
      <c r="C135" s="42" t="s">
        <v>80</v>
      </c>
      <c r="D135" s="42" t="s">
        <v>0</v>
      </c>
      <c r="E135" s="4" t="s">
        <v>41</v>
      </c>
      <c r="F135" s="4" t="s">
        <v>52</v>
      </c>
      <c r="G135" s="5"/>
    </row>
    <row r="136" spans="1:7" x14ac:dyDescent="0.3">
      <c r="A136" s="15">
        <v>2</v>
      </c>
      <c r="B136" s="41">
        <v>1</v>
      </c>
      <c r="C136" s="41" t="s">
        <v>81</v>
      </c>
      <c r="D136" s="41" t="s">
        <v>40</v>
      </c>
      <c r="E136" s="15" t="s">
        <v>10</v>
      </c>
      <c r="F136" s="15" t="s">
        <v>52</v>
      </c>
      <c r="G136" s="5"/>
    </row>
    <row r="137" spans="1:7" x14ac:dyDescent="0.3">
      <c r="A137" s="4">
        <v>2</v>
      </c>
      <c r="B137" s="42">
        <v>1</v>
      </c>
      <c r="C137" s="42" t="s">
        <v>81</v>
      </c>
      <c r="D137" s="42" t="s">
        <v>0</v>
      </c>
      <c r="E137" s="4" t="s">
        <v>41</v>
      </c>
      <c r="F137" s="4" t="s">
        <v>57</v>
      </c>
      <c r="G137" s="5"/>
    </row>
    <row r="138" spans="1:7" x14ac:dyDescent="0.3">
      <c r="A138" s="15">
        <v>2</v>
      </c>
      <c r="B138" s="41">
        <v>2</v>
      </c>
      <c r="C138" s="41" t="s">
        <v>80</v>
      </c>
      <c r="D138" s="41" t="s">
        <v>40</v>
      </c>
      <c r="E138" s="15" t="s">
        <v>10</v>
      </c>
      <c r="F138" s="15" t="s">
        <v>57</v>
      </c>
      <c r="G138" s="5"/>
    </row>
    <row r="139" spans="1:7" x14ac:dyDescent="0.3">
      <c r="A139" s="4">
        <v>2</v>
      </c>
      <c r="B139" s="38">
        <v>1</v>
      </c>
      <c r="C139" s="38" t="s">
        <v>81</v>
      </c>
      <c r="D139" s="38" t="s">
        <v>29</v>
      </c>
      <c r="E139" s="4" t="s">
        <v>42</v>
      </c>
      <c r="F139" s="4" t="s">
        <v>48</v>
      </c>
      <c r="G139" s="5"/>
    </row>
    <row r="140" spans="1:7" x14ac:dyDescent="0.3">
      <c r="A140" s="15">
        <v>2</v>
      </c>
      <c r="B140" s="38">
        <v>1</v>
      </c>
      <c r="C140" s="38" t="s">
        <v>81</v>
      </c>
      <c r="D140" s="38" t="s">
        <v>29</v>
      </c>
      <c r="E140" s="15" t="s">
        <v>42</v>
      </c>
      <c r="F140" s="15" t="s">
        <v>44</v>
      </c>
      <c r="G140" s="5"/>
    </row>
    <row r="141" spans="1:7" x14ac:dyDescent="0.3">
      <c r="A141" s="4">
        <v>2</v>
      </c>
      <c r="B141" s="42">
        <v>2</v>
      </c>
      <c r="C141" s="42" t="s">
        <v>80</v>
      </c>
      <c r="D141" s="42" t="s">
        <v>0</v>
      </c>
      <c r="E141" s="4" t="s">
        <v>41</v>
      </c>
      <c r="F141" s="4" t="s">
        <v>55</v>
      </c>
      <c r="G141" s="5"/>
    </row>
    <row r="142" spans="1:7" x14ac:dyDescent="0.3">
      <c r="A142" s="15">
        <v>2</v>
      </c>
      <c r="B142" s="41">
        <v>2</v>
      </c>
      <c r="C142" s="41" t="s">
        <v>80</v>
      </c>
      <c r="D142" s="41" t="s">
        <v>40</v>
      </c>
      <c r="E142" s="15" t="s">
        <v>9</v>
      </c>
      <c r="F142" s="15" t="s">
        <v>55</v>
      </c>
      <c r="G142" s="5"/>
    </row>
    <row r="143" spans="1:7" x14ac:dyDescent="0.3">
      <c r="A143" s="4">
        <v>2</v>
      </c>
      <c r="B143" s="38">
        <v>1</v>
      </c>
      <c r="C143" s="38" t="s">
        <v>81</v>
      </c>
      <c r="D143" s="38" t="s">
        <v>29</v>
      </c>
      <c r="E143" s="4" t="s">
        <v>42</v>
      </c>
      <c r="F143" s="4" t="s">
        <v>43</v>
      </c>
      <c r="G143" s="5"/>
    </row>
    <row r="144" spans="1:7" x14ac:dyDescent="0.3">
      <c r="A144" s="15">
        <v>2</v>
      </c>
      <c r="B144" s="41">
        <v>2</v>
      </c>
      <c r="C144" s="41" t="s">
        <v>80</v>
      </c>
      <c r="D144" s="41" t="s">
        <v>0</v>
      </c>
      <c r="E144" s="15" t="s">
        <v>41</v>
      </c>
      <c r="F144" s="15" t="s">
        <v>51</v>
      </c>
      <c r="G144" s="5"/>
    </row>
    <row r="145" spans="1:7" x14ac:dyDescent="0.3">
      <c r="A145" s="4">
        <v>2</v>
      </c>
      <c r="B145" s="42">
        <v>2</v>
      </c>
      <c r="C145" s="42" t="s">
        <v>80</v>
      </c>
      <c r="D145" s="42" t="s">
        <v>40</v>
      </c>
      <c r="E145" s="4" t="s">
        <v>9</v>
      </c>
      <c r="F145" s="4" t="s">
        <v>51</v>
      </c>
      <c r="G145" s="5"/>
    </row>
    <row r="146" spans="1:7" x14ac:dyDescent="0.3">
      <c r="A146" s="15">
        <v>2</v>
      </c>
      <c r="B146" s="38">
        <v>2</v>
      </c>
      <c r="C146" s="38" t="s">
        <v>80</v>
      </c>
      <c r="D146" s="38" t="s">
        <v>29</v>
      </c>
      <c r="E146" s="15" t="s">
        <v>42</v>
      </c>
      <c r="F146" s="15" t="s">
        <v>50</v>
      </c>
      <c r="G146" s="5"/>
    </row>
    <row r="147" spans="1:7" x14ac:dyDescent="0.3">
      <c r="A147" s="4">
        <v>2</v>
      </c>
      <c r="B147" s="38">
        <v>1</v>
      </c>
      <c r="C147" s="38" t="s">
        <v>81</v>
      </c>
      <c r="D147" s="38" t="s">
        <v>29</v>
      </c>
      <c r="E147" s="4" t="s">
        <v>42</v>
      </c>
      <c r="F147" s="4" t="s">
        <v>47</v>
      </c>
      <c r="G147" s="5"/>
    </row>
    <row r="148" spans="1:7" x14ac:dyDescent="0.3">
      <c r="A148" s="15">
        <v>2</v>
      </c>
      <c r="B148" s="38">
        <v>2</v>
      </c>
      <c r="C148" s="38" t="s">
        <v>80</v>
      </c>
      <c r="D148" s="38" t="s">
        <v>29</v>
      </c>
      <c r="E148" s="15" t="s">
        <v>42</v>
      </c>
      <c r="F148" s="15" t="s">
        <v>49</v>
      </c>
      <c r="G148" s="5"/>
    </row>
    <row r="149" spans="1:7" x14ac:dyDescent="0.3">
      <c r="A149" s="4">
        <v>2</v>
      </c>
      <c r="B149" s="42">
        <v>2</v>
      </c>
      <c r="C149" s="42" t="s">
        <v>80</v>
      </c>
      <c r="D149" s="42" t="s">
        <v>0</v>
      </c>
      <c r="E149" s="4" t="s">
        <v>41</v>
      </c>
      <c r="F149" s="4" t="s">
        <v>53</v>
      </c>
      <c r="G149" s="5"/>
    </row>
    <row r="150" spans="1:7" x14ac:dyDescent="0.3">
      <c r="A150" s="15">
        <v>2</v>
      </c>
      <c r="B150" s="41">
        <v>1</v>
      </c>
      <c r="C150" s="41" t="s">
        <v>81</v>
      </c>
      <c r="D150" s="41" t="s">
        <v>40</v>
      </c>
      <c r="E150" s="15" t="s">
        <v>10</v>
      </c>
      <c r="F150" s="15" t="s">
        <v>53</v>
      </c>
      <c r="G150" s="5"/>
    </row>
    <row r="151" spans="1:7" x14ac:dyDescent="0.3">
      <c r="A151" s="12">
        <v>3</v>
      </c>
      <c r="B151" s="39">
        <v>1</v>
      </c>
      <c r="C151" s="39" t="s">
        <v>81</v>
      </c>
      <c r="D151" s="39" t="s">
        <v>29</v>
      </c>
      <c r="E151" s="15" t="s">
        <v>42</v>
      </c>
      <c r="F151" s="15" t="s">
        <v>54</v>
      </c>
      <c r="G151" s="5"/>
    </row>
    <row r="152" spans="1:7" x14ac:dyDescent="0.3">
      <c r="A152" s="7">
        <v>3</v>
      </c>
      <c r="B152" s="42">
        <v>1</v>
      </c>
      <c r="C152" s="42" t="s">
        <v>81</v>
      </c>
      <c r="D152" s="42" t="s">
        <v>0</v>
      </c>
      <c r="E152" s="4" t="s">
        <v>41</v>
      </c>
      <c r="F152" s="4" t="s">
        <v>64</v>
      </c>
      <c r="G152" s="5"/>
    </row>
    <row r="153" spans="1:7" x14ac:dyDescent="0.3">
      <c r="A153" s="12">
        <v>3</v>
      </c>
      <c r="B153" s="41">
        <v>2</v>
      </c>
      <c r="C153" s="41" t="s">
        <v>80</v>
      </c>
      <c r="D153" s="41" t="s">
        <v>40</v>
      </c>
      <c r="E153" s="15" t="s">
        <v>10</v>
      </c>
      <c r="F153" s="15" t="s">
        <v>64</v>
      </c>
      <c r="G153" s="5"/>
    </row>
    <row r="154" spans="1:7" x14ac:dyDescent="0.3">
      <c r="A154" s="7">
        <v>3</v>
      </c>
      <c r="B154" s="39">
        <v>2</v>
      </c>
      <c r="C154" s="39" t="s">
        <v>80</v>
      </c>
      <c r="D154" s="39" t="s">
        <v>29</v>
      </c>
      <c r="E154" s="4" t="s">
        <v>42</v>
      </c>
      <c r="F154" s="4" t="s">
        <v>56</v>
      </c>
      <c r="G154" s="5"/>
    </row>
    <row r="155" spans="1:7" x14ac:dyDescent="0.3">
      <c r="A155" s="12">
        <v>3</v>
      </c>
      <c r="B155" s="41">
        <v>2</v>
      </c>
      <c r="C155" s="41" t="s">
        <v>80</v>
      </c>
      <c r="D155" s="41" t="s">
        <v>0</v>
      </c>
      <c r="E155" s="15" t="s">
        <v>41</v>
      </c>
      <c r="F155" s="15" t="s">
        <v>62</v>
      </c>
      <c r="G155" s="5"/>
    </row>
    <row r="156" spans="1:7" x14ac:dyDescent="0.3">
      <c r="A156" s="7">
        <v>3</v>
      </c>
      <c r="B156" s="42">
        <v>1</v>
      </c>
      <c r="C156" s="42" t="s">
        <v>81</v>
      </c>
      <c r="D156" s="42" t="s">
        <v>40</v>
      </c>
      <c r="E156" s="4" t="s">
        <v>10</v>
      </c>
      <c r="F156" s="4" t="s">
        <v>62</v>
      </c>
      <c r="G156" s="5"/>
    </row>
    <row r="157" spans="1:7" x14ac:dyDescent="0.3">
      <c r="A157" s="15">
        <v>3</v>
      </c>
      <c r="B157" s="42">
        <v>1</v>
      </c>
      <c r="C157" s="42" t="s">
        <v>81</v>
      </c>
      <c r="D157" s="42" t="s">
        <v>29</v>
      </c>
      <c r="E157" s="15" t="s">
        <v>42</v>
      </c>
      <c r="F157" s="15"/>
      <c r="G157" s="49" t="s">
        <v>127</v>
      </c>
    </row>
    <row r="158" spans="1:7" x14ac:dyDescent="0.3">
      <c r="A158" s="12">
        <v>3</v>
      </c>
      <c r="B158" s="41">
        <v>1</v>
      </c>
      <c r="C158" s="41" t="s">
        <v>81</v>
      </c>
      <c r="D158" s="41" t="s">
        <v>0</v>
      </c>
      <c r="E158" s="15" t="s">
        <v>41</v>
      </c>
      <c r="F158" s="15" t="s">
        <v>66</v>
      </c>
      <c r="G158" s="5"/>
    </row>
    <row r="159" spans="1:7" x14ac:dyDescent="0.3">
      <c r="A159" s="7">
        <v>3</v>
      </c>
      <c r="B159" s="42">
        <v>2</v>
      </c>
      <c r="C159" s="42" t="s">
        <v>80</v>
      </c>
      <c r="D159" s="42" t="s">
        <v>40</v>
      </c>
      <c r="E159" s="4" t="s">
        <v>10</v>
      </c>
      <c r="F159" s="4" t="s">
        <v>66</v>
      </c>
      <c r="G159" s="5"/>
    </row>
    <row r="160" spans="1:7" x14ac:dyDescent="0.3">
      <c r="A160" s="12">
        <v>3</v>
      </c>
      <c r="B160" s="39">
        <v>1</v>
      </c>
      <c r="C160" s="39" t="s">
        <v>81</v>
      </c>
      <c r="D160" s="39" t="s">
        <v>29</v>
      </c>
      <c r="E160" s="15" t="s">
        <v>42</v>
      </c>
      <c r="F160" s="15" t="s">
        <v>58</v>
      </c>
      <c r="G160" s="5"/>
    </row>
    <row r="161" spans="1:14" x14ac:dyDescent="0.3">
      <c r="A161" s="7">
        <v>3</v>
      </c>
      <c r="B161" s="42">
        <v>2</v>
      </c>
      <c r="C161" s="42" t="s">
        <v>80</v>
      </c>
      <c r="D161" s="42" t="s">
        <v>0</v>
      </c>
      <c r="E161" s="4" t="s">
        <v>41</v>
      </c>
      <c r="F161" s="4" t="s">
        <v>65</v>
      </c>
      <c r="G161" s="5"/>
    </row>
    <row r="162" spans="1:14" x14ac:dyDescent="0.3">
      <c r="A162" s="12">
        <v>3</v>
      </c>
      <c r="B162" s="41">
        <v>2</v>
      </c>
      <c r="C162" s="41" t="s">
        <v>80</v>
      </c>
      <c r="D162" s="41" t="s">
        <v>40</v>
      </c>
      <c r="E162" s="15" t="s">
        <v>9</v>
      </c>
      <c r="F162" s="15" t="s">
        <v>65</v>
      </c>
      <c r="G162" s="5"/>
    </row>
    <row r="163" spans="1:14" x14ac:dyDescent="0.3">
      <c r="A163" s="7">
        <v>3</v>
      </c>
      <c r="B163" s="39">
        <v>1</v>
      </c>
      <c r="C163" s="39" t="s">
        <v>81</v>
      </c>
      <c r="D163" s="39" t="s">
        <v>29</v>
      </c>
      <c r="E163" s="4" t="s">
        <v>42</v>
      </c>
      <c r="F163" s="4" t="s">
        <v>52</v>
      </c>
      <c r="G163" s="5"/>
    </row>
    <row r="164" spans="1:14" x14ac:dyDescent="0.3">
      <c r="A164" s="12">
        <v>3</v>
      </c>
      <c r="B164" s="39">
        <v>1</v>
      </c>
      <c r="C164" s="39" t="s">
        <v>81</v>
      </c>
      <c r="D164" s="39" t="s">
        <v>29</v>
      </c>
      <c r="E164" s="15" t="s">
        <v>42</v>
      </c>
      <c r="F164" s="15" t="s">
        <v>57</v>
      </c>
      <c r="G164" s="5"/>
    </row>
    <row r="165" spans="1:14" x14ac:dyDescent="0.3">
      <c r="A165" s="7">
        <v>3</v>
      </c>
      <c r="B165" s="42">
        <v>2</v>
      </c>
      <c r="C165" s="42" t="s">
        <v>80</v>
      </c>
      <c r="D165" s="42" t="s">
        <v>0</v>
      </c>
      <c r="E165" s="4" t="s">
        <v>41</v>
      </c>
      <c r="F165" s="4" t="s">
        <v>59</v>
      </c>
      <c r="G165" s="5"/>
    </row>
    <row r="166" spans="1:14" x14ac:dyDescent="0.3">
      <c r="A166" s="12">
        <v>3</v>
      </c>
      <c r="B166" s="41">
        <v>2</v>
      </c>
      <c r="C166" s="41" t="s">
        <v>80</v>
      </c>
      <c r="D166" s="41" t="s">
        <v>40</v>
      </c>
      <c r="E166" s="15" t="s">
        <v>9</v>
      </c>
      <c r="F166" s="15" t="s">
        <v>59</v>
      </c>
      <c r="G166" s="5"/>
    </row>
    <row r="167" spans="1:14" x14ac:dyDescent="0.3">
      <c r="A167" s="7">
        <v>3</v>
      </c>
      <c r="B167" s="42">
        <v>2</v>
      </c>
      <c r="C167" s="42" t="s">
        <v>80</v>
      </c>
      <c r="D167" s="42" t="s">
        <v>0</v>
      </c>
      <c r="E167" s="4" t="s">
        <v>41</v>
      </c>
      <c r="F167" s="4" t="s">
        <v>61</v>
      </c>
      <c r="G167" s="5"/>
      <c r="N167" t="s">
        <v>19</v>
      </c>
    </row>
    <row r="168" spans="1:14" x14ac:dyDescent="0.3">
      <c r="A168" s="12">
        <v>3</v>
      </c>
      <c r="B168" s="41">
        <v>1</v>
      </c>
      <c r="C168" s="41" t="s">
        <v>81</v>
      </c>
      <c r="D168" s="41" t="s">
        <v>40</v>
      </c>
      <c r="E168" s="15" t="s">
        <v>10</v>
      </c>
      <c r="F168" s="15" t="s">
        <v>61</v>
      </c>
      <c r="G168" s="5"/>
    </row>
    <row r="169" spans="1:14" x14ac:dyDescent="0.3">
      <c r="A169" s="7">
        <v>3</v>
      </c>
      <c r="B169" s="39">
        <v>2</v>
      </c>
      <c r="C169" s="39" t="s">
        <v>80</v>
      </c>
      <c r="D169" s="39" t="s">
        <v>29</v>
      </c>
      <c r="E169" s="4" t="s">
        <v>42</v>
      </c>
      <c r="F169" s="4" t="s">
        <v>55</v>
      </c>
      <c r="G169" s="5"/>
    </row>
    <row r="170" spans="1:14" x14ac:dyDescent="0.3">
      <c r="A170" s="15">
        <v>3</v>
      </c>
      <c r="B170" s="42">
        <v>1</v>
      </c>
      <c r="C170" s="42" t="s">
        <v>81</v>
      </c>
      <c r="D170" s="42" t="s">
        <v>29</v>
      </c>
      <c r="E170" s="15" t="s">
        <v>42</v>
      </c>
      <c r="F170" s="15"/>
      <c r="G170" s="49" t="s">
        <v>127</v>
      </c>
    </row>
    <row r="171" spans="1:14" x14ac:dyDescent="0.3">
      <c r="A171" s="12">
        <v>3</v>
      </c>
      <c r="B171" s="41">
        <v>1</v>
      </c>
      <c r="C171" s="41" t="s">
        <v>81</v>
      </c>
      <c r="D171" s="41" t="s">
        <v>0</v>
      </c>
      <c r="E171" s="15" t="s">
        <v>41</v>
      </c>
      <c r="F171" s="15" t="s">
        <v>63</v>
      </c>
      <c r="G171" s="5"/>
    </row>
    <row r="172" spans="1:14" x14ac:dyDescent="0.3">
      <c r="A172" s="7">
        <v>3</v>
      </c>
      <c r="B172" s="42">
        <v>1</v>
      </c>
      <c r="C172" s="42" t="s">
        <v>81</v>
      </c>
      <c r="D172" s="42" t="s">
        <v>40</v>
      </c>
      <c r="E172" s="4" t="s">
        <v>9</v>
      </c>
      <c r="F172" s="4" t="s">
        <v>63</v>
      </c>
      <c r="G172" s="5"/>
    </row>
    <row r="173" spans="1:14" x14ac:dyDescent="0.3">
      <c r="A173" s="12">
        <v>3</v>
      </c>
      <c r="B173" s="39">
        <v>2</v>
      </c>
      <c r="C173" s="39" t="s">
        <v>80</v>
      </c>
      <c r="D173" s="39" t="s">
        <v>29</v>
      </c>
      <c r="E173" s="15" t="s">
        <v>42</v>
      </c>
      <c r="F173" s="15" t="s">
        <v>51</v>
      </c>
      <c r="G173" s="5"/>
    </row>
    <row r="174" spans="1:14" x14ac:dyDescent="0.3">
      <c r="A174" s="7">
        <v>3</v>
      </c>
      <c r="B174" s="42">
        <v>1</v>
      </c>
      <c r="C174" s="42" t="s">
        <v>81</v>
      </c>
      <c r="D174" s="42" t="s">
        <v>0</v>
      </c>
      <c r="E174" s="4" t="s">
        <v>41</v>
      </c>
      <c r="F174" s="4" t="s">
        <v>60</v>
      </c>
      <c r="G174" s="5"/>
    </row>
    <row r="175" spans="1:14" x14ac:dyDescent="0.3">
      <c r="A175" s="12">
        <v>3</v>
      </c>
      <c r="B175" s="41">
        <v>1</v>
      </c>
      <c r="C175" s="41" t="s">
        <v>81</v>
      </c>
      <c r="D175" s="41" t="s">
        <v>40</v>
      </c>
      <c r="E175" s="15" t="s">
        <v>9</v>
      </c>
      <c r="F175" s="15" t="s">
        <v>60</v>
      </c>
      <c r="G175" s="5"/>
    </row>
    <row r="176" spans="1:14" x14ac:dyDescent="0.3">
      <c r="A176" s="7">
        <v>3</v>
      </c>
      <c r="B176" s="39">
        <v>1</v>
      </c>
      <c r="C176" s="39" t="s">
        <v>81</v>
      </c>
      <c r="D176" s="39" t="s">
        <v>29</v>
      </c>
      <c r="E176" s="4" t="s">
        <v>42</v>
      </c>
      <c r="F176" s="4" t="s">
        <v>53</v>
      </c>
      <c r="G176" s="5"/>
    </row>
    <row r="177" spans="1:7" x14ac:dyDescent="0.3">
      <c r="A177" s="4">
        <v>4</v>
      </c>
      <c r="B177" s="40">
        <v>2</v>
      </c>
      <c r="C177" s="40" t="s">
        <v>80</v>
      </c>
      <c r="D177" s="40" t="s">
        <v>29</v>
      </c>
      <c r="E177" s="4" t="s">
        <v>42</v>
      </c>
      <c r="F177" s="4" t="s">
        <v>64</v>
      </c>
      <c r="G177" s="5"/>
    </row>
    <row r="178" spans="1:7" x14ac:dyDescent="0.3">
      <c r="A178" s="15">
        <v>4</v>
      </c>
      <c r="B178" s="41">
        <v>1</v>
      </c>
      <c r="C178" s="41" t="s">
        <v>81</v>
      </c>
      <c r="D178" s="41" t="s">
        <v>0</v>
      </c>
      <c r="E178" s="15" t="s">
        <v>41</v>
      </c>
      <c r="F178" s="15" t="s">
        <v>72</v>
      </c>
      <c r="G178" s="5"/>
    </row>
    <row r="179" spans="1:7" x14ac:dyDescent="0.3">
      <c r="A179" s="4">
        <v>4</v>
      </c>
      <c r="B179" s="42">
        <v>1</v>
      </c>
      <c r="C179" s="42" t="s">
        <v>81</v>
      </c>
      <c r="D179" s="42" t="s">
        <v>40</v>
      </c>
      <c r="E179" s="4" t="s">
        <v>9</v>
      </c>
      <c r="F179" s="4" t="s">
        <v>72</v>
      </c>
      <c r="G179" s="5"/>
    </row>
    <row r="180" spans="1:7" x14ac:dyDescent="0.3">
      <c r="A180" s="15">
        <v>4</v>
      </c>
      <c r="B180" s="41">
        <v>1</v>
      </c>
      <c r="C180" s="41" t="s">
        <v>81</v>
      </c>
      <c r="D180" s="41" t="s">
        <v>0</v>
      </c>
      <c r="E180" s="15" t="s">
        <v>41</v>
      </c>
      <c r="F180" s="15" t="s">
        <v>67</v>
      </c>
      <c r="G180" s="5"/>
    </row>
    <row r="181" spans="1:7" x14ac:dyDescent="0.3">
      <c r="A181" s="4">
        <v>4</v>
      </c>
      <c r="B181" s="42">
        <v>2</v>
      </c>
      <c r="C181" s="42" t="s">
        <v>80</v>
      </c>
      <c r="D181" s="42" t="s">
        <v>40</v>
      </c>
      <c r="E181" s="4" t="s">
        <v>10</v>
      </c>
      <c r="F181" s="4" t="s">
        <v>67</v>
      </c>
      <c r="G181" s="5"/>
    </row>
    <row r="182" spans="1:7" x14ac:dyDescent="0.3">
      <c r="A182" s="15">
        <v>4</v>
      </c>
      <c r="B182" s="40">
        <v>1</v>
      </c>
      <c r="C182" s="40" t="s">
        <v>81</v>
      </c>
      <c r="D182" s="40" t="s">
        <v>29</v>
      </c>
      <c r="E182" s="15" t="s">
        <v>42</v>
      </c>
      <c r="F182" s="15" t="s">
        <v>62</v>
      </c>
      <c r="G182" s="5"/>
    </row>
    <row r="183" spans="1:7" x14ac:dyDescent="0.3">
      <c r="A183" s="4">
        <v>4</v>
      </c>
      <c r="B183" s="42">
        <v>2</v>
      </c>
      <c r="C183" s="42" t="s">
        <v>80</v>
      </c>
      <c r="D183" s="42" t="s">
        <v>0</v>
      </c>
      <c r="E183" s="4" t="s">
        <v>41</v>
      </c>
      <c r="F183" s="4" t="s">
        <v>71</v>
      </c>
      <c r="G183" s="5"/>
    </row>
    <row r="184" spans="1:7" x14ac:dyDescent="0.3">
      <c r="A184" s="15">
        <v>4</v>
      </c>
      <c r="B184" s="41">
        <v>2</v>
      </c>
      <c r="C184" s="41" t="s">
        <v>80</v>
      </c>
      <c r="D184" s="41" t="s">
        <v>40</v>
      </c>
      <c r="E184" s="15" t="s">
        <v>9</v>
      </c>
      <c r="F184" s="15" t="s">
        <v>71</v>
      </c>
      <c r="G184" s="5"/>
    </row>
    <row r="185" spans="1:7" x14ac:dyDescent="0.3">
      <c r="A185" s="4">
        <v>4</v>
      </c>
      <c r="B185" s="42">
        <v>2</v>
      </c>
      <c r="C185" s="42" t="s">
        <v>80</v>
      </c>
      <c r="D185" s="42" t="s">
        <v>0</v>
      </c>
      <c r="E185" s="4" t="s">
        <v>41</v>
      </c>
      <c r="F185" s="4" t="s">
        <v>73</v>
      </c>
      <c r="G185" s="5"/>
    </row>
    <row r="186" spans="1:7" x14ac:dyDescent="0.3">
      <c r="A186" s="15">
        <v>4</v>
      </c>
      <c r="B186" s="41">
        <v>1</v>
      </c>
      <c r="C186" s="41" t="s">
        <v>81</v>
      </c>
      <c r="D186" s="41" t="s">
        <v>40</v>
      </c>
      <c r="E186" s="15" t="s">
        <v>10</v>
      </c>
      <c r="F186" s="15" t="s">
        <v>73</v>
      </c>
      <c r="G186" s="5"/>
    </row>
    <row r="187" spans="1:7" x14ac:dyDescent="0.3">
      <c r="A187" s="4">
        <v>4</v>
      </c>
      <c r="B187" s="40">
        <v>2</v>
      </c>
      <c r="C187" s="40" t="s">
        <v>80</v>
      </c>
      <c r="D187" s="40" t="s">
        <v>29</v>
      </c>
      <c r="E187" s="4" t="s">
        <v>42</v>
      </c>
      <c r="F187" s="4" t="s">
        <v>66</v>
      </c>
      <c r="G187" s="5"/>
    </row>
    <row r="188" spans="1:7" x14ac:dyDescent="0.3">
      <c r="A188" s="15">
        <v>4</v>
      </c>
      <c r="B188" s="41">
        <v>1</v>
      </c>
      <c r="C188" s="41" t="s">
        <v>81</v>
      </c>
      <c r="D188" s="41" t="s">
        <v>0</v>
      </c>
      <c r="E188" s="15" t="s">
        <v>41</v>
      </c>
      <c r="F188" s="15" t="s">
        <v>68</v>
      </c>
      <c r="G188" s="5"/>
    </row>
    <row r="189" spans="1:7" x14ac:dyDescent="0.3">
      <c r="A189" s="4">
        <v>4</v>
      </c>
      <c r="B189" s="42">
        <v>2</v>
      </c>
      <c r="C189" s="42" t="s">
        <v>80</v>
      </c>
      <c r="D189" s="42" t="s">
        <v>40</v>
      </c>
      <c r="E189" s="4" t="s">
        <v>10</v>
      </c>
      <c r="F189" s="4" t="s">
        <v>68</v>
      </c>
      <c r="G189" s="5"/>
    </row>
    <row r="190" spans="1:7" x14ac:dyDescent="0.3">
      <c r="A190" s="15">
        <v>4</v>
      </c>
      <c r="B190" s="40">
        <v>1</v>
      </c>
      <c r="C190" s="40" t="s">
        <v>81</v>
      </c>
      <c r="D190" s="40" t="s">
        <v>29</v>
      </c>
      <c r="E190" s="15" t="s">
        <v>42</v>
      </c>
      <c r="F190" s="15" t="s">
        <v>65</v>
      </c>
      <c r="G190" s="5"/>
    </row>
    <row r="191" spans="1:7" x14ac:dyDescent="0.3">
      <c r="A191" s="4">
        <v>4</v>
      </c>
      <c r="B191" s="40">
        <v>2</v>
      </c>
      <c r="C191" s="40" t="s">
        <v>80</v>
      </c>
      <c r="D191" s="40" t="s">
        <v>29</v>
      </c>
      <c r="E191" s="4" t="s">
        <v>42</v>
      </c>
      <c r="F191" s="4" t="s">
        <v>59</v>
      </c>
      <c r="G191" s="5"/>
    </row>
    <row r="192" spans="1:7" x14ac:dyDescent="0.3">
      <c r="A192" s="15">
        <v>4</v>
      </c>
      <c r="B192" s="41">
        <v>2</v>
      </c>
      <c r="C192" s="41" t="s">
        <v>80</v>
      </c>
      <c r="D192" s="41" t="s">
        <v>0</v>
      </c>
      <c r="E192" s="15" t="s">
        <v>41</v>
      </c>
      <c r="F192" s="15" t="s">
        <v>74</v>
      </c>
      <c r="G192" s="5"/>
    </row>
    <row r="193" spans="1:7" x14ac:dyDescent="0.3">
      <c r="A193" s="4">
        <v>4</v>
      </c>
      <c r="B193" s="42">
        <v>2</v>
      </c>
      <c r="C193" s="42" t="s">
        <v>80</v>
      </c>
      <c r="D193" s="42" t="s">
        <v>40</v>
      </c>
      <c r="E193" s="4" t="s">
        <v>9</v>
      </c>
      <c r="F193" s="4" t="s">
        <v>74</v>
      </c>
      <c r="G193" s="5"/>
    </row>
    <row r="194" spans="1:7" x14ac:dyDescent="0.3">
      <c r="A194" s="15">
        <v>4</v>
      </c>
      <c r="B194" s="40">
        <v>1</v>
      </c>
      <c r="C194" s="40" t="s">
        <v>81</v>
      </c>
      <c r="D194" s="40" t="s">
        <v>29</v>
      </c>
      <c r="E194" s="15" t="s">
        <v>42</v>
      </c>
      <c r="F194" s="15" t="s">
        <v>61</v>
      </c>
      <c r="G194" s="5"/>
    </row>
    <row r="195" spans="1:7" x14ac:dyDescent="0.3">
      <c r="A195" s="4">
        <v>4</v>
      </c>
      <c r="B195" s="40">
        <v>2</v>
      </c>
      <c r="C195" s="40" t="s">
        <v>80</v>
      </c>
      <c r="D195" s="40" t="s">
        <v>29</v>
      </c>
      <c r="E195" s="4" t="s">
        <v>42</v>
      </c>
      <c r="F195" s="4" t="s">
        <v>63</v>
      </c>
      <c r="G195" s="5"/>
    </row>
    <row r="196" spans="1:7" x14ac:dyDescent="0.3">
      <c r="A196" s="4">
        <v>4</v>
      </c>
      <c r="B196" s="42">
        <v>2</v>
      </c>
      <c r="C196" s="42" t="s">
        <v>80</v>
      </c>
      <c r="D196" s="42" t="s">
        <v>0</v>
      </c>
      <c r="E196" s="4" t="s">
        <v>41</v>
      </c>
      <c r="F196" s="4" t="s">
        <v>69</v>
      </c>
      <c r="G196" s="5"/>
    </row>
    <row r="197" spans="1:7" x14ac:dyDescent="0.3">
      <c r="A197" s="15">
        <v>4</v>
      </c>
      <c r="B197" s="41">
        <v>1</v>
      </c>
      <c r="C197" s="41" t="s">
        <v>81</v>
      </c>
      <c r="D197" s="41" t="s">
        <v>40</v>
      </c>
      <c r="E197" s="15" t="s">
        <v>10</v>
      </c>
      <c r="F197" s="15" t="s">
        <v>69</v>
      </c>
      <c r="G197" s="5"/>
    </row>
    <row r="198" spans="1:7" x14ac:dyDescent="0.3">
      <c r="A198" s="4">
        <v>4</v>
      </c>
      <c r="B198" s="42">
        <v>1</v>
      </c>
      <c r="C198" s="42" t="s">
        <v>81</v>
      </c>
      <c r="D198" s="42" t="s">
        <v>0</v>
      </c>
      <c r="E198" s="4" t="s">
        <v>41</v>
      </c>
      <c r="F198" s="4" t="s">
        <v>70</v>
      </c>
      <c r="G198" s="5"/>
    </row>
    <row r="199" spans="1:7" x14ac:dyDescent="0.3">
      <c r="A199" s="15">
        <v>4</v>
      </c>
      <c r="B199" s="41">
        <v>1</v>
      </c>
      <c r="C199" s="41" t="s">
        <v>81</v>
      </c>
      <c r="D199" s="41" t="s">
        <v>40</v>
      </c>
      <c r="E199" s="15" t="s">
        <v>9</v>
      </c>
      <c r="F199" s="15" t="s">
        <v>70</v>
      </c>
      <c r="G199" s="5"/>
    </row>
    <row r="200" spans="1:7" x14ac:dyDescent="0.3">
      <c r="A200" s="15">
        <v>4</v>
      </c>
      <c r="B200" s="40">
        <v>2</v>
      </c>
      <c r="C200" s="40" t="s">
        <v>80</v>
      </c>
      <c r="D200" s="40" t="s">
        <v>29</v>
      </c>
      <c r="E200" s="15" t="s">
        <v>42</v>
      </c>
      <c r="F200" s="15" t="s">
        <v>60</v>
      </c>
      <c r="G200" s="5"/>
    </row>
    <row r="201" spans="1:7" x14ac:dyDescent="0.3">
      <c r="A201" t="s">
        <v>25</v>
      </c>
      <c r="G201" s="5"/>
    </row>
    <row r="202" spans="1:7" x14ac:dyDescent="0.3">
      <c r="A202" s="12">
        <v>1</v>
      </c>
      <c r="B202" s="37">
        <v>2</v>
      </c>
      <c r="C202" s="43" t="s">
        <v>80</v>
      </c>
      <c r="D202" s="45" t="s">
        <v>29</v>
      </c>
      <c r="E202" s="15" t="s">
        <v>42</v>
      </c>
      <c r="F202" s="15" t="s">
        <v>71</v>
      </c>
      <c r="G202" s="5"/>
    </row>
    <row r="203" spans="1:7" x14ac:dyDescent="0.3">
      <c r="A203" s="7">
        <v>1</v>
      </c>
      <c r="B203" s="36">
        <v>2</v>
      </c>
      <c r="C203" s="36" t="s">
        <v>80</v>
      </c>
      <c r="D203" s="42" t="s">
        <v>0</v>
      </c>
      <c r="E203" s="4" t="s">
        <v>41</v>
      </c>
      <c r="F203" s="4" t="s">
        <v>49</v>
      </c>
      <c r="G203" s="5"/>
    </row>
    <row r="204" spans="1:7" x14ac:dyDescent="0.3">
      <c r="A204" s="12">
        <v>1</v>
      </c>
      <c r="B204" s="35">
        <v>2</v>
      </c>
      <c r="C204" s="35" t="s">
        <v>80</v>
      </c>
      <c r="D204" s="41" t="s">
        <v>40</v>
      </c>
      <c r="E204" s="15" t="s">
        <v>9</v>
      </c>
      <c r="F204" s="15" t="s">
        <v>49</v>
      </c>
      <c r="G204" s="5"/>
    </row>
    <row r="205" spans="1:7" x14ac:dyDescent="0.3">
      <c r="A205" s="7">
        <v>1</v>
      </c>
      <c r="B205" s="37">
        <v>1</v>
      </c>
      <c r="C205" s="37" t="s">
        <v>81</v>
      </c>
      <c r="D205" s="45" t="s">
        <v>29</v>
      </c>
      <c r="E205" s="4" t="s">
        <v>42</v>
      </c>
      <c r="F205" s="4" t="s">
        <v>69</v>
      </c>
      <c r="G205" s="5"/>
    </row>
    <row r="206" spans="1:7" x14ac:dyDescent="0.3">
      <c r="A206" s="12">
        <v>1</v>
      </c>
      <c r="B206" s="37">
        <v>1</v>
      </c>
      <c r="C206" s="37" t="s">
        <v>81</v>
      </c>
      <c r="D206" s="45" t="s">
        <v>29</v>
      </c>
      <c r="E206" s="15" t="s">
        <v>42</v>
      </c>
      <c r="F206" s="15" t="s">
        <v>73</v>
      </c>
      <c r="G206" s="5"/>
    </row>
    <row r="207" spans="1:7" x14ac:dyDescent="0.3">
      <c r="A207" s="7">
        <v>1</v>
      </c>
      <c r="B207" s="36">
        <v>2</v>
      </c>
      <c r="C207" s="36" t="s">
        <v>80</v>
      </c>
      <c r="D207" s="42" t="s">
        <v>0</v>
      </c>
      <c r="E207" s="4" t="s">
        <v>41</v>
      </c>
      <c r="F207" s="4" t="s">
        <v>48</v>
      </c>
      <c r="G207" s="5"/>
    </row>
    <row r="208" spans="1:7" x14ac:dyDescent="0.3">
      <c r="A208" s="12">
        <v>1</v>
      </c>
      <c r="B208" s="35">
        <v>2</v>
      </c>
      <c r="C208" s="35" t="s">
        <v>80</v>
      </c>
      <c r="D208" s="41" t="s">
        <v>40</v>
      </c>
      <c r="E208" s="15" t="s">
        <v>9</v>
      </c>
      <c r="F208" s="15" t="s">
        <v>48</v>
      </c>
      <c r="G208" s="5"/>
    </row>
    <row r="209" spans="1:7" x14ac:dyDescent="0.3">
      <c r="A209" s="7">
        <v>1</v>
      </c>
      <c r="B209" s="36">
        <v>2</v>
      </c>
      <c r="C209" s="36" t="s">
        <v>80</v>
      </c>
      <c r="D209" s="42" t="s">
        <v>0</v>
      </c>
      <c r="E209" s="4" t="s">
        <v>41</v>
      </c>
      <c r="F209" s="4" t="s">
        <v>50</v>
      </c>
      <c r="G209" s="5"/>
    </row>
    <row r="210" spans="1:7" x14ac:dyDescent="0.3">
      <c r="A210" s="12">
        <v>1</v>
      </c>
      <c r="B210" s="35">
        <v>1</v>
      </c>
      <c r="C210" s="35" t="s">
        <v>81</v>
      </c>
      <c r="D210" s="41" t="s">
        <v>40</v>
      </c>
      <c r="E210" s="15" t="s">
        <v>10</v>
      </c>
      <c r="F210" s="15" t="s">
        <v>50</v>
      </c>
      <c r="G210" s="5"/>
    </row>
    <row r="211" spans="1:7" x14ac:dyDescent="0.3">
      <c r="A211" s="7">
        <v>1</v>
      </c>
      <c r="B211" s="37">
        <v>1</v>
      </c>
      <c r="C211" s="37" t="s">
        <v>81</v>
      </c>
      <c r="D211" s="45" t="s">
        <v>29</v>
      </c>
      <c r="E211" s="4" t="s">
        <v>42</v>
      </c>
      <c r="F211" s="4" t="s">
        <v>70</v>
      </c>
      <c r="G211" s="5"/>
    </row>
    <row r="212" spans="1:7" x14ac:dyDescent="0.3">
      <c r="A212" s="12">
        <v>1</v>
      </c>
      <c r="B212" s="35">
        <v>1</v>
      </c>
      <c r="C212" s="35" t="s">
        <v>81</v>
      </c>
      <c r="D212" s="41" t="s">
        <v>0</v>
      </c>
      <c r="E212" s="15" t="s">
        <v>41</v>
      </c>
      <c r="F212" s="15" t="s">
        <v>43</v>
      </c>
      <c r="G212" s="5"/>
    </row>
    <row r="213" spans="1:7" x14ac:dyDescent="0.3">
      <c r="A213" s="7">
        <v>1</v>
      </c>
      <c r="B213" s="36">
        <v>2</v>
      </c>
      <c r="C213" s="36" t="s">
        <v>80</v>
      </c>
      <c r="D213" s="42" t="s">
        <v>40</v>
      </c>
      <c r="E213" s="4" t="s">
        <v>10</v>
      </c>
      <c r="F213" s="4" t="s">
        <v>43</v>
      </c>
      <c r="G213" s="5"/>
    </row>
    <row r="214" spans="1:7" x14ac:dyDescent="0.3">
      <c r="A214" s="12">
        <v>1</v>
      </c>
      <c r="B214" s="35">
        <v>2</v>
      </c>
      <c r="C214" s="35" t="s">
        <v>80</v>
      </c>
      <c r="D214" s="41" t="s">
        <v>0</v>
      </c>
      <c r="E214" s="15" t="s">
        <v>41</v>
      </c>
      <c r="F214" s="15" t="s">
        <v>46</v>
      </c>
      <c r="G214" s="5"/>
    </row>
    <row r="215" spans="1:7" x14ac:dyDescent="0.3">
      <c r="A215" s="7">
        <v>1</v>
      </c>
      <c r="B215" s="36">
        <v>1</v>
      </c>
      <c r="C215" s="36" t="s">
        <v>81</v>
      </c>
      <c r="D215" s="42" t="s">
        <v>40</v>
      </c>
      <c r="E215" s="4" t="s">
        <v>10</v>
      </c>
      <c r="F215" s="4" t="s">
        <v>46</v>
      </c>
      <c r="G215" s="5"/>
    </row>
    <row r="216" spans="1:7" x14ac:dyDescent="0.3">
      <c r="A216" s="12">
        <v>1</v>
      </c>
      <c r="B216" s="37">
        <v>1</v>
      </c>
      <c r="C216" s="43" t="s">
        <v>81</v>
      </c>
      <c r="D216" s="45" t="s">
        <v>29</v>
      </c>
      <c r="E216" s="15" t="s">
        <v>42</v>
      </c>
      <c r="F216" s="15" t="s">
        <v>74</v>
      </c>
      <c r="G216" s="5"/>
    </row>
    <row r="217" spans="1:7" x14ac:dyDescent="0.3">
      <c r="A217" s="7">
        <v>1</v>
      </c>
      <c r="B217" s="37">
        <v>2</v>
      </c>
      <c r="C217" s="37" t="s">
        <v>80</v>
      </c>
      <c r="D217" s="45" t="s">
        <v>29</v>
      </c>
      <c r="E217" s="4" t="s">
        <v>42</v>
      </c>
      <c r="F217" s="4" t="s">
        <v>67</v>
      </c>
      <c r="G217" s="5"/>
    </row>
    <row r="218" spans="1:7" x14ac:dyDescent="0.3">
      <c r="A218" s="12">
        <v>1</v>
      </c>
      <c r="B218" s="35">
        <v>1</v>
      </c>
      <c r="C218" s="35" t="s">
        <v>81</v>
      </c>
      <c r="D218" s="41" t="s">
        <v>0</v>
      </c>
      <c r="E218" s="15" t="s">
        <v>41</v>
      </c>
      <c r="F218" s="15" t="s">
        <v>44</v>
      </c>
      <c r="G218" s="5"/>
    </row>
    <row r="219" spans="1:7" x14ac:dyDescent="0.3">
      <c r="A219" s="7">
        <v>1</v>
      </c>
      <c r="B219" s="36">
        <v>1</v>
      </c>
      <c r="C219" s="35" t="s">
        <v>81</v>
      </c>
      <c r="D219" s="42" t="s">
        <v>40</v>
      </c>
      <c r="E219" s="4" t="s">
        <v>9</v>
      </c>
      <c r="F219" s="4" t="s">
        <v>44</v>
      </c>
      <c r="G219" s="5"/>
    </row>
    <row r="220" spans="1:7" x14ac:dyDescent="0.3">
      <c r="A220" s="12">
        <v>1</v>
      </c>
      <c r="B220" s="37">
        <v>1</v>
      </c>
      <c r="C220" s="43" t="s">
        <v>81</v>
      </c>
      <c r="D220" s="45" t="s">
        <v>29</v>
      </c>
      <c r="E220" s="15" t="s">
        <v>42</v>
      </c>
      <c r="F220" s="15" t="s">
        <v>72</v>
      </c>
      <c r="G220" s="5"/>
    </row>
    <row r="221" spans="1:7" x14ac:dyDescent="0.3">
      <c r="A221" s="7">
        <v>1</v>
      </c>
      <c r="B221" s="37">
        <v>2</v>
      </c>
      <c r="C221" s="37" t="s">
        <v>80</v>
      </c>
      <c r="D221" s="45" t="s">
        <v>29</v>
      </c>
      <c r="E221" s="4" t="s">
        <v>42</v>
      </c>
      <c r="F221" s="4" t="s">
        <v>68</v>
      </c>
      <c r="G221" s="5"/>
    </row>
    <row r="222" spans="1:7" x14ac:dyDescent="0.3">
      <c r="A222" s="12">
        <v>1</v>
      </c>
      <c r="B222" s="35">
        <v>1</v>
      </c>
      <c r="C222" s="35" t="s">
        <v>81</v>
      </c>
      <c r="D222" s="41" t="s">
        <v>0</v>
      </c>
      <c r="E222" s="15" t="s">
        <v>41</v>
      </c>
      <c r="F222" s="15" t="s">
        <v>45</v>
      </c>
      <c r="G222" s="5"/>
    </row>
    <row r="223" spans="1:7" x14ac:dyDescent="0.3">
      <c r="A223" s="7">
        <v>1</v>
      </c>
      <c r="B223" s="36">
        <v>1</v>
      </c>
      <c r="C223" s="35" t="s">
        <v>81</v>
      </c>
      <c r="D223" s="42" t="s">
        <v>40</v>
      </c>
      <c r="E223" s="4" t="s">
        <v>9</v>
      </c>
      <c r="F223" s="4" t="s">
        <v>45</v>
      </c>
      <c r="G223" s="5"/>
    </row>
    <row r="224" spans="1:7" x14ac:dyDescent="0.3">
      <c r="A224" s="12">
        <v>1</v>
      </c>
      <c r="B224" s="35">
        <v>1</v>
      </c>
      <c r="C224" s="35" t="s">
        <v>81</v>
      </c>
      <c r="D224" s="41" t="s">
        <v>0</v>
      </c>
      <c r="E224" s="15" t="s">
        <v>41</v>
      </c>
      <c r="F224" s="15" t="s">
        <v>47</v>
      </c>
      <c r="G224" s="5"/>
    </row>
    <row r="225" spans="1:7" x14ac:dyDescent="0.3">
      <c r="A225" s="7">
        <v>1</v>
      </c>
      <c r="B225" s="36">
        <v>2</v>
      </c>
      <c r="C225" s="36" t="s">
        <v>80</v>
      </c>
      <c r="D225" s="42" t="s">
        <v>40</v>
      </c>
      <c r="E225" s="4" t="s">
        <v>10</v>
      </c>
      <c r="F225" s="4" t="s">
        <v>47</v>
      </c>
      <c r="G225" s="5"/>
    </row>
    <row r="226" spans="1:7" x14ac:dyDescent="0.3">
      <c r="A226" s="4">
        <v>2</v>
      </c>
      <c r="B226" s="38">
        <v>1</v>
      </c>
      <c r="C226" s="38" t="s">
        <v>81</v>
      </c>
      <c r="D226" s="38" t="s">
        <v>29</v>
      </c>
      <c r="E226" s="4" t="s">
        <v>42</v>
      </c>
      <c r="F226" s="4" t="s">
        <v>49</v>
      </c>
      <c r="G226" s="5"/>
    </row>
    <row r="227" spans="1:7" x14ac:dyDescent="0.3">
      <c r="A227" s="4">
        <v>2</v>
      </c>
      <c r="B227" s="36">
        <v>1</v>
      </c>
      <c r="C227" s="42" t="s">
        <v>81</v>
      </c>
      <c r="D227" s="42" t="s">
        <v>0</v>
      </c>
      <c r="E227" s="4" t="s">
        <v>41</v>
      </c>
      <c r="F227" s="4" t="s">
        <v>52</v>
      </c>
      <c r="G227" s="5"/>
    </row>
    <row r="228" spans="1:7" x14ac:dyDescent="0.3">
      <c r="A228" s="15">
        <v>2</v>
      </c>
      <c r="B228" s="35">
        <v>1</v>
      </c>
      <c r="C228" s="41" t="s">
        <v>81</v>
      </c>
      <c r="D228" s="41" t="s">
        <v>40</v>
      </c>
      <c r="E228" s="15" t="s">
        <v>9</v>
      </c>
      <c r="F228" s="15" t="s">
        <v>52</v>
      </c>
      <c r="G228" s="5"/>
    </row>
    <row r="229" spans="1:7" x14ac:dyDescent="0.3">
      <c r="A229" s="15">
        <v>2</v>
      </c>
      <c r="B229" s="38">
        <v>2</v>
      </c>
      <c r="C229" s="38" t="s">
        <v>80</v>
      </c>
      <c r="D229" s="38" t="s">
        <v>29</v>
      </c>
      <c r="E229" s="15" t="s">
        <v>42</v>
      </c>
      <c r="F229" s="15" t="s">
        <v>48</v>
      </c>
      <c r="G229" s="5"/>
    </row>
    <row r="230" spans="1:7" x14ac:dyDescent="0.3">
      <c r="A230" s="4">
        <v>2</v>
      </c>
      <c r="B230" s="36">
        <v>1</v>
      </c>
      <c r="C230" s="36" t="s">
        <v>81</v>
      </c>
      <c r="D230" s="42" t="s">
        <v>0</v>
      </c>
      <c r="E230" s="4" t="s">
        <v>41</v>
      </c>
      <c r="F230" s="4" t="s">
        <v>53</v>
      </c>
      <c r="G230" s="5"/>
    </row>
    <row r="231" spans="1:7" x14ac:dyDescent="0.3">
      <c r="A231" s="15">
        <v>2</v>
      </c>
      <c r="B231" s="35">
        <v>1</v>
      </c>
      <c r="C231" s="35" t="s">
        <v>81</v>
      </c>
      <c r="D231" s="41" t="s">
        <v>40</v>
      </c>
      <c r="E231" s="15" t="s">
        <v>9</v>
      </c>
      <c r="F231" s="15" t="s">
        <v>53</v>
      </c>
      <c r="G231" s="5"/>
    </row>
    <row r="232" spans="1:7" x14ac:dyDescent="0.3">
      <c r="A232" s="4">
        <v>2</v>
      </c>
      <c r="B232" s="36">
        <v>1</v>
      </c>
      <c r="C232" s="36" t="s">
        <v>81</v>
      </c>
      <c r="D232" s="42" t="s">
        <v>0</v>
      </c>
      <c r="E232" s="4" t="s">
        <v>41</v>
      </c>
      <c r="F232" s="4" t="s">
        <v>55</v>
      </c>
      <c r="G232" s="5"/>
    </row>
    <row r="233" spans="1:7" x14ac:dyDescent="0.3">
      <c r="A233" s="15">
        <v>2</v>
      </c>
      <c r="B233" s="35">
        <v>2</v>
      </c>
      <c r="C233" s="35" t="s">
        <v>80</v>
      </c>
      <c r="D233" s="41" t="s">
        <v>40</v>
      </c>
      <c r="E233" s="15" t="s">
        <v>10</v>
      </c>
      <c r="F233" s="15" t="s">
        <v>55</v>
      </c>
      <c r="G233" s="5"/>
    </row>
    <row r="234" spans="1:7" x14ac:dyDescent="0.3">
      <c r="A234" s="4">
        <v>2</v>
      </c>
      <c r="B234" s="38">
        <v>2</v>
      </c>
      <c r="C234" s="38" t="s">
        <v>80</v>
      </c>
      <c r="D234" s="38" t="s">
        <v>29</v>
      </c>
      <c r="E234" s="4" t="s">
        <v>42</v>
      </c>
      <c r="F234" s="4" t="s">
        <v>50</v>
      </c>
      <c r="G234" s="5"/>
    </row>
    <row r="235" spans="1:7" x14ac:dyDescent="0.3">
      <c r="A235" s="15">
        <v>2</v>
      </c>
      <c r="B235" s="35">
        <v>2</v>
      </c>
      <c r="C235" s="35" t="s">
        <v>80</v>
      </c>
      <c r="D235" s="41" t="s">
        <v>0</v>
      </c>
      <c r="E235" s="15" t="s">
        <v>41</v>
      </c>
      <c r="F235" s="15" t="s">
        <v>54</v>
      </c>
      <c r="G235" s="5"/>
    </row>
    <row r="236" spans="1:7" x14ac:dyDescent="0.3">
      <c r="A236" s="4">
        <v>2</v>
      </c>
      <c r="B236" s="36">
        <v>1</v>
      </c>
      <c r="C236" s="36" t="s">
        <v>81</v>
      </c>
      <c r="D236" s="42" t="s">
        <v>40</v>
      </c>
      <c r="E236" s="4" t="s">
        <v>10</v>
      </c>
      <c r="F236" s="4" t="s">
        <v>54</v>
      </c>
      <c r="G236" s="5"/>
    </row>
    <row r="237" spans="1:7" x14ac:dyDescent="0.3">
      <c r="A237" s="15">
        <v>2</v>
      </c>
      <c r="B237" s="38">
        <v>1</v>
      </c>
      <c r="C237" s="38" t="s">
        <v>81</v>
      </c>
      <c r="D237" s="38" t="s">
        <v>29</v>
      </c>
      <c r="E237" s="15" t="s">
        <v>42</v>
      </c>
      <c r="F237" s="15" t="s">
        <v>43</v>
      </c>
      <c r="G237" s="5"/>
    </row>
    <row r="238" spans="1:7" x14ac:dyDescent="0.3">
      <c r="A238" s="15">
        <v>2</v>
      </c>
      <c r="B238" s="35">
        <v>1</v>
      </c>
      <c r="C238" s="35" t="s">
        <v>81</v>
      </c>
      <c r="D238" s="41" t="s">
        <v>0</v>
      </c>
      <c r="E238" s="15" t="s">
        <v>41</v>
      </c>
      <c r="F238" s="15" t="s">
        <v>51</v>
      </c>
      <c r="G238" s="5"/>
    </row>
    <row r="239" spans="1:7" x14ac:dyDescent="0.3">
      <c r="A239" s="4">
        <v>2</v>
      </c>
      <c r="B239" s="36">
        <v>2</v>
      </c>
      <c r="C239" s="36" t="s">
        <v>80</v>
      </c>
      <c r="D239" s="42" t="s">
        <v>40</v>
      </c>
      <c r="E239" s="4" t="s">
        <v>10</v>
      </c>
      <c r="F239" s="4" t="s">
        <v>51</v>
      </c>
      <c r="G239" s="5"/>
    </row>
    <row r="240" spans="1:7" x14ac:dyDescent="0.3">
      <c r="A240" s="4">
        <v>2</v>
      </c>
      <c r="B240" s="38">
        <v>1</v>
      </c>
      <c r="C240" s="38" t="s">
        <v>81</v>
      </c>
      <c r="D240" s="38" t="s">
        <v>29</v>
      </c>
      <c r="E240" s="4" t="s">
        <v>42</v>
      </c>
      <c r="F240" s="4" t="s">
        <v>46</v>
      </c>
      <c r="G240" s="5"/>
    </row>
    <row r="241" spans="1:7" x14ac:dyDescent="0.3">
      <c r="A241" s="15">
        <v>2</v>
      </c>
      <c r="B241" s="35">
        <v>2</v>
      </c>
      <c r="C241" s="35" t="s">
        <v>80</v>
      </c>
      <c r="D241" s="41" t="s">
        <v>0</v>
      </c>
      <c r="E241" s="15" t="s">
        <v>41</v>
      </c>
      <c r="F241" s="15" t="s">
        <v>57</v>
      </c>
      <c r="G241" s="5"/>
    </row>
    <row r="242" spans="1:7" x14ac:dyDescent="0.3">
      <c r="A242" s="4">
        <v>2</v>
      </c>
      <c r="B242" s="36">
        <v>2</v>
      </c>
      <c r="C242" s="36" t="s">
        <v>80</v>
      </c>
      <c r="D242" s="42" t="s">
        <v>40</v>
      </c>
      <c r="E242" s="4" t="s">
        <v>9</v>
      </c>
      <c r="F242" s="4" t="s">
        <v>57</v>
      </c>
      <c r="G242" s="5"/>
    </row>
    <row r="243" spans="1:7" x14ac:dyDescent="0.3">
      <c r="A243" s="15">
        <v>2</v>
      </c>
      <c r="B243" s="38">
        <v>1</v>
      </c>
      <c r="C243" s="38" t="s">
        <v>81</v>
      </c>
      <c r="D243" s="38" t="s">
        <v>29</v>
      </c>
      <c r="E243" s="15" t="s">
        <v>42</v>
      </c>
      <c r="F243" s="15" t="s">
        <v>44</v>
      </c>
      <c r="G243" s="5"/>
    </row>
    <row r="244" spans="1:7" x14ac:dyDescent="0.3">
      <c r="A244" s="4">
        <v>2</v>
      </c>
      <c r="B244" s="36">
        <v>2</v>
      </c>
      <c r="C244" s="36" t="s">
        <v>80</v>
      </c>
      <c r="D244" s="42" t="s">
        <v>0</v>
      </c>
      <c r="E244" s="4" t="s">
        <v>41</v>
      </c>
      <c r="F244" s="4" t="s">
        <v>58</v>
      </c>
      <c r="G244" s="5"/>
    </row>
    <row r="245" spans="1:7" x14ac:dyDescent="0.3">
      <c r="A245" s="15">
        <v>2</v>
      </c>
      <c r="B245" s="35">
        <v>2</v>
      </c>
      <c r="C245" s="35" t="s">
        <v>80</v>
      </c>
      <c r="D245" s="41" t="s">
        <v>40</v>
      </c>
      <c r="E245" s="15" t="s">
        <v>9</v>
      </c>
      <c r="F245" s="15" t="s">
        <v>58</v>
      </c>
      <c r="G245" s="5"/>
    </row>
    <row r="246" spans="1:7" x14ac:dyDescent="0.3">
      <c r="A246" s="4">
        <v>2</v>
      </c>
      <c r="B246" s="38">
        <v>1</v>
      </c>
      <c r="C246" s="38" t="s">
        <v>81</v>
      </c>
      <c r="D246" s="38" t="s">
        <v>29</v>
      </c>
      <c r="E246" s="4" t="s">
        <v>42</v>
      </c>
      <c r="F246" s="4" t="s">
        <v>45</v>
      </c>
      <c r="G246" s="5"/>
    </row>
    <row r="247" spans="1:7" x14ac:dyDescent="0.3">
      <c r="A247" s="15">
        <v>2</v>
      </c>
      <c r="B247" s="38">
        <v>2</v>
      </c>
      <c r="C247" s="38" t="s">
        <v>80</v>
      </c>
      <c r="D247" s="38" t="s">
        <v>29</v>
      </c>
      <c r="E247" s="15" t="s">
        <v>42</v>
      </c>
      <c r="F247" s="15" t="s">
        <v>47</v>
      </c>
      <c r="G247" s="5"/>
    </row>
    <row r="248" spans="1:7" x14ac:dyDescent="0.3">
      <c r="A248" s="4">
        <v>2</v>
      </c>
      <c r="B248" s="36">
        <v>2</v>
      </c>
      <c r="C248" s="36" t="s">
        <v>80</v>
      </c>
      <c r="D248" s="42" t="s">
        <v>0</v>
      </c>
      <c r="E248" s="4" t="s">
        <v>41</v>
      </c>
      <c r="F248" s="4" t="s">
        <v>56</v>
      </c>
      <c r="G248" s="5"/>
    </row>
    <row r="249" spans="1:7" x14ac:dyDescent="0.3">
      <c r="A249" s="15">
        <v>2</v>
      </c>
      <c r="B249" s="35">
        <v>1</v>
      </c>
      <c r="C249" s="35" t="s">
        <v>81</v>
      </c>
      <c r="D249" s="41" t="s">
        <v>40</v>
      </c>
      <c r="E249" s="15" t="s">
        <v>10</v>
      </c>
      <c r="F249" s="15" t="s">
        <v>56</v>
      </c>
      <c r="G249" s="5"/>
    </row>
    <row r="250" spans="1:7" x14ac:dyDescent="0.3">
      <c r="A250" s="12">
        <v>3</v>
      </c>
      <c r="B250" s="39">
        <v>1</v>
      </c>
      <c r="C250" s="39" t="s">
        <v>81</v>
      </c>
      <c r="D250" s="39" t="s">
        <v>29</v>
      </c>
      <c r="E250" s="15" t="s">
        <v>42</v>
      </c>
      <c r="F250" s="15" t="s">
        <v>52</v>
      </c>
      <c r="G250" s="5"/>
    </row>
    <row r="251" spans="1:7" x14ac:dyDescent="0.3">
      <c r="A251" s="12">
        <v>3</v>
      </c>
      <c r="B251" s="35">
        <v>1</v>
      </c>
      <c r="C251" s="35" t="s">
        <v>81</v>
      </c>
      <c r="D251" s="41" t="s">
        <v>0</v>
      </c>
      <c r="E251" s="15" t="s">
        <v>41</v>
      </c>
      <c r="F251" s="15" t="s">
        <v>62</v>
      </c>
      <c r="G251" s="5"/>
    </row>
    <row r="252" spans="1:7" x14ac:dyDescent="0.3">
      <c r="A252" s="7">
        <v>3</v>
      </c>
      <c r="B252" s="36">
        <v>2</v>
      </c>
      <c r="C252" s="36" t="s">
        <v>80</v>
      </c>
      <c r="D252" s="42" t="s">
        <v>40</v>
      </c>
      <c r="E252" s="4" t="s">
        <v>10</v>
      </c>
      <c r="F252" s="4" t="s">
        <v>62</v>
      </c>
      <c r="G252" s="5"/>
    </row>
    <row r="253" spans="1:7" x14ac:dyDescent="0.3">
      <c r="A253" s="7">
        <v>3</v>
      </c>
      <c r="B253" s="39">
        <v>2</v>
      </c>
      <c r="C253" s="39" t="s">
        <v>80</v>
      </c>
      <c r="D253" s="39" t="s">
        <v>29</v>
      </c>
      <c r="E253" s="4" t="s">
        <v>42</v>
      </c>
      <c r="F253" s="4" t="s">
        <v>53</v>
      </c>
      <c r="G253" s="5"/>
    </row>
    <row r="254" spans="1:7" x14ac:dyDescent="0.3">
      <c r="A254" s="12">
        <v>3</v>
      </c>
      <c r="B254" s="35">
        <v>2</v>
      </c>
      <c r="C254" s="35" t="s">
        <v>80</v>
      </c>
      <c r="D254" s="41" t="s">
        <v>0</v>
      </c>
      <c r="E254" s="15" t="s">
        <v>41</v>
      </c>
      <c r="F254" s="15" t="s">
        <v>65</v>
      </c>
      <c r="G254" s="5"/>
    </row>
    <row r="255" spans="1:7" x14ac:dyDescent="0.3">
      <c r="A255" s="7">
        <v>3</v>
      </c>
      <c r="B255" s="36">
        <v>1</v>
      </c>
      <c r="C255" s="36" t="s">
        <v>81</v>
      </c>
      <c r="D255" s="42" t="s">
        <v>40</v>
      </c>
      <c r="E255" s="4" t="s">
        <v>10</v>
      </c>
      <c r="F255" s="4" t="s">
        <v>65</v>
      </c>
      <c r="G255" s="5"/>
    </row>
    <row r="256" spans="1:7" x14ac:dyDescent="0.3">
      <c r="A256" s="12">
        <v>3</v>
      </c>
      <c r="B256" s="35">
        <v>1</v>
      </c>
      <c r="C256" s="35" t="s">
        <v>81</v>
      </c>
      <c r="D256" s="41" t="s">
        <v>0</v>
      </c>
      <c r="E256" s="15" t="s">
        <v>41</v>
      </c>
      <c r="F256" s="15" t="s">
        <v>60</v>
      </c>
      <c r="G256" s="5"/>
    </row>
    <row r="257" spans="1:7" x14ac:dyDescent="0.3">
      <c r="A257" s="7">
        <v>3</v>
      </c>
      <c r="B257" s="36">
        <v>2</v>
      </c>
      <c r="C257" s="36" t="s">
        <v>80</v>
      </c>
      <c r="D257" s="42" t="s">
        <v>40</v>
      </c>
      <c r="E257" s="4" t="s">
        <v>10</v>
      </c>
      <c r="F257" s="4" t="s">
        <v>60</v>
      </c>
      <c r="G257" s="5"/>
    </row>
    <row r="258" spans="1:7" x14ac:dyDescent="0.3">
      <c r="A258" s="12">
        <v>3</v>
      </c>
      <c r="B258" s="39">
        <v>1</v>
      </c>
      <c r="C258" s="39" t="s">
        <v>81</v>
      </c>
      <c r="D258" s="39" t="s">
        <v>29</v>
      </c>
      <c r="E258" s="15" t="s">
        <v>42</v>
      </c>
      <c r="F258" s="15" t="s">
        <v>55</v>
      </c>
      <c r="G258" s="5"/>
    </row>
    <row r="259" spans="1:7" x14ac:dyDescent="0.3">
      <c r="A259" s="7">
        <v>3</v>
      </c>
      <c r="B259" s="36">
        <v>2</v>
      </c>
      <c r="C259" s="36" t="s">
        <v>80</v>
      </c>
      <c r="D259" s="42" t="s">
        <v>0</v>
      </c>
      <c r="E259" s="4" t="s">
        <v>41</v>
      </c>
      <c r="F259" s="4" t="s">
        <v>64</v>
      </c>
      <c r="G259" s="5"/>
    </row>
    <row r="260" spans="1:7" x14ac:dyDescent="0.3">
      <c r="A260" s="12">
        <v>3</v>
      </c>
      <c r="B260" s="35">
        <v>2</v>
      </c>
      <c r="C260" s="35" t="s">
        <v>80</v>
      </c>
      <c r="D260" s="41" t="s">
        <v>40</v>
      </c>
      <c r="E260" s="15" t="s">
        <v>9</v>
      </c>
      <c r="F260" s="15" t="s">
        <v>64</v>
      </c>
      <c r="G260" s="5"/>
    </row>
    <row r="261" spans="1:7" x14ac:dyDescent="0.3">
      <c r="A261" s="7">
        <v>3</v>
      </c>
      <c r="B261" s="39">
        <v>1</v>
      </c>
      <c r="C261" s="39" t="s">
        <v>81</v>
      </c>
      <c r="D261" s="39" t="s">
        <v>29</v>
      </c>
      <c r="E261" s="4" t="s">
        <v>42</v>
      </c>
      <c r="F261" s="4" t="s">
        <v>57</v>
      </c>
      <c r="G261" s="5"/>
    </row>
    <row r="262" spans="1:7" x14ac:dyDescent="0.3">
      <c r="A262" s="12">
        <v>3</v>
      </c>
      <c r="B262" s="35">
        <v>2</v>
      </c>
      <c r="C262" s="35" t="s">
        <v>80</v>
      </c>
      <c r="D262" s="41" t="s">
        <v>0</v>
      </c>
      <c r="E262" s="15" t="s">
        <v>41</v>
      </c>
      <c r="F262" s="15" t="s">
        <v>66</v>
      </c>
      <c r="G262" s="5"/>
    </row>
    <row r="263" spans="1:7" x14ac:dyDescent="0.3">
      <c r="A263" s="7">
        <v>3</v>
      </c>
      <c r="B263" s="36">
        <v>2</v>
      </c>
      <c r="C263" s="36" t="s">
        <v>80</v>
      </c>
      <c r="D263" s="42" t="s">
        <v>40</v>
      </c>
      <c r="E263" s="4" t="s">
        <v>9</v>
      </c>
      <c r="F263" s="4" t="s">
        <v>66</v>
      </c>
      <c r="G263" s="5"/>
    </row>
    <row r="264" spans="1:7" x14ac:dyDescent="0.3">
      <c r="A264" s="12">
        <v>3</v>
      </c>
      <c r="B264" s="35">
        <v>2</v>
      </c>
      <c r="C264" s="35" t="s">
        <v>80</v>
      </c>
      <c r="D264" s="41" t="s">
        <v>0</v>
      </c>
      <c r="E264" s="15" t="s">
        <v>41</v>
      </c>
      <c r="F264" s="15" t="s">
        <v>63</v>
      </c>
      <c r="G264" s="5"/>
    </row>
    <row r="265" spans="1:7" x14ac:dyDescent="0.3">
      <c r="A265" s="7">
        <v>3</v>
      </c>
      <c r="B265" s="36">
        <v>1</v>
      </c>
      <c r="C265" s="36" t="s">
        <v>81</v>
      </c>
      <c r="D265" s="42" t="s">
        <v>40</v>
      </c>
      <c r="E265" s="4" t="s">
        <v>10</v>
      </c>
      <c r="F265" s="4" t="s">
        <v>63</v>
      </c>
      <c r="G265" s="5"/>
    </row>
    <row r="266" spans="1:7" x14ac:dyDescent="0.3">
      <c r="A266" s="12">
        <v>3</v>
      </c>
      <c r="B266" s="39">
        <v>2</v>
      </c>
      <c r="C266" s="39" t="s">
        <v>80</v>
      </c>
      <c r="D266" s="39" t="s">
        <v>29</v>
      </c>
      <c r="E266" s="15" t="s">
        <v>42</v>
      </c>
      <c r="F266" s="15" t="s">
        <v>51</v>
      </c>
      <c r="G266" s="5"/>
    </row>
    <row r="267" spans="1:7" x14ac:dyDescent="0.3">
      <c r="A267" s="7">
        <v>3</v>
      </c>
      <c r="B267" s="39">
        <v>1</v>
      </c>
      <c r="C267" s="39" t="s">
        <v>81</v>
      </c>
      <c r="D267" s="39" t="s">
        <v>29</v>
      </c>
      <c r="E267" s="4" t="s">
        <v>42</v>
      </c>
      <c r="F267" s="4" t="s">
        <v>54</v>
      </c>
      <c r="G267" s="5"/>
    </row>
    <row r="268" spans="1:7" x14ac:dyDescent="0.3">
      <c r="A268" s="7">
        <v>3</v>
      </c>
      <c r="B268" s="36">
        <v>1</v>
      </c>
      <c r="C268" s="36" t="s">
        <v>81</v>
      </c>
      <c r="D268" s="42" t="s">
        <v>0</v>
      </c>
      <c r="E268" s="4" t="s">
        <v>41</v>
      </c>
      <c r="F268" s="4" t="s">
        <v>61</v>
      </c>
      <c r="G268" s="5"/>
    </row>
    <row r="269" spans="1:7" x14ac:dyDescent="0.3">
      <c r="A269" s="12">
        <v>3</v>
      </c>
      <c r="B269" s="35">
        <v>1</v>
      </c>
      <c r="C269" s="35" t="s">
        <v>81</v>
      </c>
      <c r="D269" s="41" t="s">
        <v>40</v>
      </c>
      <c r="E269" s="15" t="s">
        <v>9</v>
      </c>
      <c r="F269" s="15" t="s">
        <v>61</v>
      </c>
      <c r="G269" s="5"/>
    </row>
    <row r="270" spans="1:7" x14ac:dyDescent="0.3">
      <c r="A270" s="7">
        <v>3</v>
      </c>
      <c r="B270" s="39">
        <v>2</v>
      </c>
      <c r="C270" s="39" t="s">
        <v>80</v>
      </c>
      <c r="D270" s="39" t="s">
        <v>29</v>
      </c>
      <c r="E270" s="4" t="s">
        <v>42</v>
      </c>
      <c r="F270" s="4" t="s">
        <v>56</v>
      </c>
      <c r="G270" s="5"/>
    </row>
    <row r="271" spans="1:7" x14ac:dyDescent="0.3">
      <c r="A271" s="12">
        <v>3</v>
      </c>
      <c r="B271" s="35">
        <v>1</v>
      </c>
      <c r="C271" s="35" t="s">
        <v>81</v>
      </c>
      <c r="D271" s="41" t="s">
        <v>0</v>
      </c>
      <c r="E271" s="15" t="s">
        <v>41</v>
      </c>
      <c r="F271" s="15" t="s">
        <v>59</v>
      </c>
      <c r="G271" s="5"/>
    </row>
    <row r="272" spans="1:7" x14ac:dyDescent="0.3">
      <c r="A272" s="7">
        <v>3</v>
      </c>
      <c r="B272" s="36">
        <v>1</v>
      </c>
      <c r="C272" s="36" t="s">
        <v>81</v>
      </c>
      <c r="D272" s="42" t="s">
        <v>40</v>
      </c>
      <c r="E272" s="4" t="s">
        <v>9</v>
      </c>
      <c r="F272" s="4" t="s">
        <v>59</v>
      </c>
      <c r="G272" s="5"/>
    </row>
    <row r="273" spans="1:7" x14ac:dyDescent="0.3">
      <c r="A273" s="12">
        <v>3</v>
      </c>
      <c r="B273" s="39">
        <v>2</v>
      </c>
      <c r="C273" s="39" t="s">
        <v>80</v>
      </c>
      <c r="D273" s="39" t="s">
        <v>29</v>
      </c>
      <c r="E273" s="15" t="s">
        <v>42</v>
      </c>
      <c r="F273" s="15" t="s">
        <v>58</v>
      </c>
      <c r="G273" s="5"/>
    </row>
    <row r="274" spans="1:7" x14ac:dyDescent="0.3">
      <c r="A274" s="4">
        <v>4</v>
      </c>
      <c r="B274" s="36">
        <v>1</v>
      </c>
      <c r="C274" s="36" t="s">
        <v>81</v>
      </c>
      <c r="D274" s="42" t="s">
        <v>0</v>
      </c>
      <c r="E274" s="4" t="s">
        <v>41</v>
      </c>
      <c r="F274" s="4" t="s">
        <v>71</v>
      </c>
      <c r="G274" s="5"/>
    </row>
    <row r="275" spans="1:7" x14ac:dyDescent="0.3">
      <c r="A275" s="15">
        <v>4</v>
      </c>
      <c r="B275" s="35">
        <v>1</v>
      </c>
      <c r="C275" s="35" t="s">
        <v>81</v>
      </c>
      <c r="D275" s="41" t="s">
        <v>40</v>
      </c>
      <c r="E275" s="15" t="s">
        <v>9</v>
      </c>
      <c r="F275" s="15" t="s">
        <v>71</v>
      </c>
      <c r="G275" s="5"/>
    </row>
    <row r="276" spans="1:7" x14ac:dyDescent="0.3">
      <c r="A276" s="4">
        <v>4</v>
      </c>
      <c r="B276" s="40">
        <v>2</v>
      </c>
      <c r="C276" s="40" t="s">
        <v>80</v>
      </c>
      <c r="D276" s="40" t="s">
        <v>29</v>
      </c>
      <c r="E276" s="4" t="s">
        <v>42</v>
      </c>
      <c r="F276" s="4" t="s">
        <v>62</v>
      </c>
      <c r="G276" s="5"/>
    </row>
    <row r="277" spans="1:7" x14ac:dyDescent="0.3">
      <c r="A277" s="15">
        <v>4</v>
      </c>
      <c r="B277" s="35">
        <v>1</v>
      </c>
      <c r="C277" s="35" t="s">
        <v>81</v>
      </c>
      <c r="D277" s="41" t="s">
        <v>0</v>
      </c>
      <c r="E277" s="15" t="s">
        <v>41</v>
      </c>
      <c r="F277" s="15" t="s">
        <v>69</v>
      </c>
      <c r="G277" s="5"/>
    </row>
    <row r="278" spans="1:7" x14ac:dyDescent="0.3">
      <c r="A278" s="4">
        <v>4</v>
      </c>
      <c r="B278" s="36">
        <v>2</v>
      </c>
      <c r="C278" s="36" t="s">
        <v>80</v>
      </c>
      <c r="D278" s="42" t="s">
        <v>40</v>
      </c>
      <c r="E278" s="4" t="s">
        <v>10</v>
      </c>
      <c r="F278" s="4" t="s">
        <v>69</v>
      </c>
      <c r="G278" s="5"/>
    </row>
    <row r="279" spans="1:7" x14ac:dyDescent="0.3">
      <c r="A279" s="15">
        <v>4</v>
      </c>
      <c r="B279" s="35">
        <v>2</v>
      </c>
      <c r="C279" s="35" t="s">
        <v>80</v>
      </c>
      <c r="D279" s="41" t="s">
        <v>0</v>
      </c>
      <c r="E279" s="15" t="s">
        <v>41</v>
      </c>
      <c r="F279" s="15" t="s">
        <v>73</v>
      </c>
      <c r="G279" s="5"/>
    </row>
    <row r="280" spans="1:7" x14ac:dyDescent="0.3">
      <c r="A280" s="4">
        <v>4</v>
      </c>
      <c r="B280" s="36">
        <v>2</v>
      </c>
      <c r="C280" s="36" t="s">
        <v>80</v>
      </c>
      <c r="D280" s="42" t="s">
        <v>40</v>
      </c>
      <c r="E280" s="4" t="s">
        <v>9</v>
      </c>
      <c r="F280" s="4" t="s">
        <v>73</v>
      </c>
      <c r="G280" s="5"/>
    </row>
    <row r="281" spans="1:7" x14ac:dyDescent="0.3">
      <c r="A281" s="15">
        <v>4</v>
      </c>
      <c r="B281" s="40">
        <v>1</v>
      </c>
      <c r="C281" s="40" t="s">
        <v>81</v>
      </c>
      <c r="D281" s="40" t="s">
        <v>29</v>
      </c>
      <c r="E281" s="15" t="s">
        <v>42</v>
      </c>
      <c r="F281" s="15" t="s">
        <v>65</v>
      </c>
      <c r="G281" s="5"/>
    </row>
    <row r="282" spans="1:7" x14ac:dyDescent="0.3">
      <c r="A282" s="4">
        <v>4</v>
      </c>
      <c r="B282" s="40">
        <v>2</v>
      </c>
      <c r="C282" s="40" t="s">
        <v>80</v>
      </c>
      <c r="D282" s="40" t="s">
        <v>29</v>
      </c>
      <c r="E282" s="4" t="s">
        <v>42</v>
      </c>
      <c r="F282" s="4" t="s">
        <v>60</v>
      </c>
      <c r="G282" s="5"/>
    </row>
    <row r="283" spans="1:7" x14ac:dyDescent="0.3">
      <c r="A283" s="15">
        <v>4</v>
      </c>
      <c r="B283" s="35">
        <v>2</v>
      </c>
      <c r="C283" s="35" t="s">
        <v>80</v>
      </c>
      <c r="D283" s="41" t="s">
        <v>0</v>
      </c>
      <c r="E283" s="15" t="s">
        <v>41</v>
      </c>
      <c r="F283" s="15" t="s">
        <v>70</v>
      </c>
      <c r="G283" s="5"/>
    </row>
    <row r="284" spans="1:7" x14ac:dyDescent="0.3">
      <c r="A284" s="4">
        <v>4</v>
      </c>
      <c r="B284" s="36">
        <v>1</v>
      </c>
      <c r="C284" s="36" t="s">
        <v>81</v>
      </c>
      <c r="D284" s="42" t="s">
        <v>40</v>
      </c>
      <c r="E284" s="4" t="s">
        <v>10</v>
      </c>
      <c r="F284" s="4" t="s">
        <v>70</v>
      </c>
      <c r="G284" s="5"/>
    </row>
    <row r="285" spans="1:7" x14ac:dyDescent="0.3">
      <c r="A285" s="15">
        <v>4</v>
      </c>
      <c r="B285" s="35">
        <v>1</v>
      </c>
      <c r="C285" s="35" t="s">
        <v>81</v>
      </c>
      <c r="D285" s="41" t="s">
        <v>0</v>
      </c>
      <c r="E285" s="15" t="s">
        <v>41</v>
      </c>
      <c r="F285" s="15" t="s">
        <v>74</v>
      </c>
      <c r="G285" s="5"/>
    </row>
    <row r="286" spans="1:7" x14ac:dyDescent="0.3">
      <c r="A286" s="4">
        <v>4</v>
      </c>
      <c r="B286" s="36">
        <v>2</v>
      </c>
      <c r="C286" s="36" t="s">
        <v>80</v>
      </c>
      <c r="D286" s="42" t="s">
        <v>40</v>
      </c>
      <c r="E286" s="4" t="s">
        <v>10</v>
      </c>
      <c r="F286" s="4" t="s">
        <v>74</v>
      </c>
      <c r="G286" s="5"/>
    </row>
    <row r="287" spans="1:7" x14ac:dyDescent="0.3">
      <c r="A287" s="15">
        <v>4</v>
      </c>
      <c r="B287" s="40">
        <v>1</v>
      </c>
      <c r="C287" s="40" t="s">
        <v>81</v>
      </c>
      <c r="D287" s="40" t="s">
        <v>29</v>
      </c>
      <c r="E287" s="15" t="s">
        <v>42</v>
      </c>
      <c r="F287" s="15" t="s">
        <v>64</v>
      </c>
      <c r="G287" s="5"/>
    </row>
    <row r="288" spans="1:7" x14ac:dyDescent="0.3">
      <c r="A288" s="4">
        <v>4</v>
      </c>
      <c r="B288" s="36">
        <v>2</v>
      </c>
      <c r="C288" s="36" t="s">
        <v>80</v>
      </c>
      <c r="D288" s="42" t="s">
        <v>0</v>
      </c>
      <c r="E288" s="4" t="s">
        <v>41</v>
      </c>
      <c r="F288" s="4" t="s">
        <v>67</v>
      </c>
      <c r="G288" s="5"/>
    </row>
    <row r="289" spans="1:7" x14ac:dyDescent="0.3">
      <c r="A289" s="15">
        <v>4</v>
      </c>
      <c r="B289" s="35">
        <v>2</v>
      </c>
      <c r="C289" s="35" t="s">
        <v>80</v>
      </c>
      <c r="D289" s="41" t="s">
        <v>40</v>
      </c>
      <c r="E289" s="15" t="s">
        <v>9</v>
      </c>
      <c r="F289" s="15" t="s">
        <v>67</v>
      </c>
      <c r="G289" s="5"/>
    </row>
    <row r="290" spans="1:7" x14ac:dyDescent="0.3">
      <c r="A290" s="4">
        <v>4</v>
      </c>
      <c r="B290" s="40">
        <v>1</v>
      </c>
      <c r="C290" s="40" t="s">
        <v>81</v>
      </c>
      <c r="D290" s="40" t="s">
        <v>29</v>
      </c>
      <c r="E290" s="4" t="s">
        <v>42</v>
      </c>
      <c r="F290" s="4" t="s">
        <v>66</v>
      </c>
      <c r="G290" s="5"/>
    </row>
    <row r="291" spans="1:7" x14ac:dyDescent="0.3">
      <c r="A291" s="15">
        <v>4</v>
      </c>
      <c r="B291" s="40">
        <v>2</v>
      </c>
      <c r="C291" s="40" t="s">
        <v>80</v>
      </c>
      <c r="D291" s="40" t="s">
        <v>29</v>
      </c>
      <c r="E291" s="15" t="s">
        <v>42</v>
      </c>
      <c r="F291" s="15" t="s">
        <v>59</v>
      </c>
      <c r="G291" s="5"/>
    </row>
    <row r="292" spans="1:7" x14ac:dyDescent="0.3">
      <c r="A292" s="15">
        <v>4</v>
      </c>
      <c r="B292" s="35">
        <v>2</v>
      </c>
      <c r="C292" s="35" t="s">
        <v>80</v>
      </c>
      <c r="D292" s="41" t="s">
        <v>0</v>
      </c>
      <c r="E292" s="15" t="s">
        <v>41</v>
      </c>
      <c r="F292" s="15" t="s">
        <v>72</v>
      </c>
      <c r="G292" s="5"/>
    </row>
    <row r="293" spans="1:7" x14ac:dyDescent="0.3">
      <c r="A293" s="4">
        <v>4</v>
      </c>
      <c r="B293" s="36">
        <v>1</v>
      </c>
      <c r="C293" s="36" t="s">
        <v>81</v>
      </c>
      <c r="D293" s="42" t="s">
        <v>40</v>
      </c>
      <c r="E293" s="4" t="s">
        <v>10</v>
      </c>
      <c r="F293" s="4" t="s">
        <v>72</v>
      </c>
      <c r="G293" s="5"/>
    </row>
    <row r="294" spans="1:7" x14ac:dyDescent="0.3">
      <c r="A294" s="15">
        <v>4</v>
      </c>
      <c r="B294" s="40">
        <v>2</v>
      </c>
      <c r="C294" s="40" t="s">
        <v>80</v>
      </c>
      <c r="D294" s="40" t="s">
        <v>29</v>
      </c>
      <c r="E294" s="15" t="s">
        <v>42</v>
      </c>
      <c r="F294" s="15" t="s">
        <v>63</v>
      </c>
      <c r="G294" s="5"/>
    </row>
    <row r="295" spans="1:7" x14ac:dyDescent="0.3">
      <c r="A295" s="4">
        <v>4</v>
      </c>
      <c r="B295" s="40">
        <v>1</v>
      </c>
      <c r="C295" s="40" t="s">
        <v>81</v>
      </c>
      <c r="D295" s="40" t="s">
        <v>29</v>
      </c>
      <c r="E295" s="4" t="s">
        <v>42</v>
      </c>
      <c r="F295" s="4" t="s">
        <v>61</v>
      </c>
      <c r="G295" s="5"/>
    </row>
    <row r="296" spans="1:7" x14ac:dyDescent="0.3">
      <c r="A296" s="15">
        <v>4</v>
      </c>
      <c r="B296" s="35">
        <v>1</v>
      </c>
      <c r="C296" s="35" t="s">
        <v>81</v>
      </c>
      <c r="D296" s="41" t="s">
        <v>0</v>
      </c>
      <c r="E296" s="15" t="s">
        <v>41</v>
      </c>
      <c r="F296" s="15" t="s">
        <v>68</v>
      </c>
      <c r="G296" s="5"/>
    </row>
    <row r="297" spans="1:7" x14ac:dyDescent="0.3">
      <c r="A297" s="4">
        <v>4</v>
      </c>
      <c r="B297" s="36">
        <v>1</v>
      </c>
      <c r="C297" s="36" t="s">
        <v>81</v>
      </c>
      <c r="D297" s="42" t="s">
        <v>40</v>
      </c>
      <c r="E297" s="4" t="s">
        <v>9</v>
      </c>
      <c r="F297" s="4" t="s">
        <v>68</v>
      </c>
      <c r="G297" s="5"/>
    </row>
    <row r="298" spans="1:7" x14ac:dyDescent="0.3">
      <c r="A298" t="s">
        <v>25</v>
      </c>
      <c r="G298" s="5"/>
    </row>
    <row r="299" spans="1:7" x14ac:dyDescent="0.3">
      <c r="A299" s="12">
        <v>1</v>
      </c>
      <c r="B299" s="37">
        <v>2</v>
      </c>
      <c r="C299" s="43" t="s">
        <v>80</v>
      </c>
      <c r="D299" s="45" t="s">
        <v>29</v>
      </c>
      <c r="E299" s="15" t="s">
        <v>42</v>
      </c>
      <c r="F299" s="15" t="s">
        <v>69</v>
      </c>
      <c r="G299" s="5"/>
    </row>
    <row r="300" spans="1:7" x14ac:dyDescent="0.3">
      <c r="A300" s="7">
        <v>1</v>
      </c>
      <c r="B300" s="42">
        <v>2</v>
      </c>
      <c r="C300" s="42" t="s">
        <v>80</v>
      </c>
      <c r="D300" s="42" t="s">
        <v>0</v>
      </c>
      <c r="E300" s="4" t="s">
        <v>41</v>
      </c>
      <c r="F300" s="4" t="s">
        <v>47</v>
      </c>
      <c r="G300" s="5"/>
    </row>
    <row r="301" spans="1:7" x14ac:dyDescent="0.3">
      <c r="A301" s="12">
        <v>1</v>
      </c>
      <c r="B301" s="41">
        <v>2</v>
      </c>
      <c r="C301" s="41" t="s">
        <v>80</v>
      </c>
      <c r="D301" s="41" t="s">
        <v>40</v>
      </c>
      <c r="E301" s="15" t="s">
        <v>9</v>
      </c>
      <c r="F301" s="15" t="s">
        <v>47</v>
      </c>
      <c r="G301" s="5"/>
    </row>
    <row r="302" spans="1:7" x14ac:dyDescent="0.3">
      <c r="A302" s="7">
        <v>1</v>
      </c>
      <c r="B302" s="37">
        <v>1</v>
      </c>
      <c r="C302" s="37" t="s">
        <v>81</v>
      </c>
      <c r="D302" s="45" t="s">
        <v>29</v>
      </c>
      <c r="E302" s="4" t="s">
        <v>42</v>
      </c>
      <c r="F302" s="4" t="s">
        <v>72</v>
      </c>
      <c r="G302" s="5"/>
    </row>
    <row r="303" spans="1:7" x14ac:dyDescent="0.3">
      <c r="A303" s="12">
        <v>1</v>
      </c>
      <c r="B303" s="37">
        <v>2</v>
      </c>
      <c r="C303" s="43" t="s">
        <v>80</v>
      </c>
      <c r="D303" s="45" t="s">
        <v>29</v>
      </c>
      <c r="E303" s="15" t="s">
        <v>42</v>
      </c>
      <c r="F303" s="15" t="s">
        <v>70</v>
      </c>
      <c r="G303" s="5"/>
    </row>
    <row r="304" spans="1:7" x14ac:dyDescent="0.3">
      <c r="A304" s="7">
        <v>1</v>
      </c>
      <c r="B304" s="37">
        <v>1</v>
      </c>
      <c r="C304" s="37" t="s">
        <v>81</v>
      </c>
      <c r="D304" s="45" t="s">
        <v>29</v>
      </c>
      <c r="E304" s="4" t="s">
        <v>42</v>
      </c>
      <c r="F304" s="4" t="s">
        <v>74</v>
      </c>
      <c r="G304" s="5"/>
    </row>
    <row r="305" spans="1:7" x14ac:dyDescent="0.3">
      <c r="A305" s="12">
        <v>1</v>
      </c>
      <c r="B305" s="41">
        <v>2</v>
      </c>
      <c r="C305" s="41" t="s">
        <v>80</v>
      </c>
      <c r="D305" s="41" t="s">
        <v>0</v>
      </c>
      <c r="E305" s="15" t="s">
        <v>41</v>
      </c>
      <c r="F305" s="15" t="s">
        <v>50</v>
      </c>
      <c r="G305" s="5"/>
    </row>
    <row r="306" spans="1:7" x14ac:dyDescent="0.3">
      <c r="A306" s="7">
        <v>1</v>
      </c>
      <c r="B306" s="42">
        <v>2</v>
      </c>
      <c r="C306" s="41" t="s">
        <v>80</v>
      </c>
      <c r="D306" s="42" t="s">
        <v>40</v>
      </c>
      <c r="E306" s="4" t="s">
        <v>9</v>
      </c>
      <c r="F306" s="4" t="s">
        <v>50</v>
      </c>
      <c r="G306" s="5"/>
    </row>
    <row r="307" spans="1:7" x14ac:dyDescent="0.3">
      <c r="A307" s="12">
        <v>1</v>
      </c>
      <c r="B307" s="37">
        <v>1</v>
      </c>
      <c r="C307" s="43" t="s">
        <v>81</v>
      </c>
      <c r="D307" s="45" t="s">
        <v>29</v>
      </c>
      <c r="E307" s="15" t="s">
        <v>42</v>
      </c>
      <c r="F307" s="15" t="s">
        <v>67</v>
      </c>
      <c r="G307" s="5"/>
    </row>
    <row r="308" spans="1:7" x14ac:dyDescent="0.3">
      <c r="A308" s="12">
        <v>1</v>
      </c>
      <c r="B308" s="41">
        <v>2</v>
      </c>
      <c r="C308" s="41" t="s">
        <v>80</v>
      </c>
      <c r="D308" s="41" t="s">
        <v>0</v>
      </c>
      <c r="E308" s="15" t="s">
        <v>41</v>
      </c>
      <c r="F308" s="15" t="s">
        <v>49</v>
      </c>
      <c r="G308" s="5"/>
    </row>
    <row r="309" spans="1:7" x14ac:dyDescent="0.3">
      <c r="A309" s="7">
        <v>1</v>
      </c>
      <c r="B309" s="42">
        <v>1</v>
      </c>
      <c r="C309" s="42" t="s">
        <v>81</v>
      </c>
      <c r="D309" s="42" t="s">
        <v>40</v>
      </c>
      <c r="E309" s="4" t="s">
        <v>10</v>
      </c>
      <c r="F309" s="4" t="s">
        <v>49</v>
      </c>
      <c r="G309" s="5"/>
    </row>
    <row r="310" spans="1:7" x14ac:dyDescent="0.3">
      <c r="A310" s="12">
        <v>1</v>
      </c>
      <c r="B310" s="37">
        <v>1</v>
      </c>
      <c r="C310" s="43" t="s">
        <v>81</v>
      </c>
      <c r="D310" s="45" t="s">
        <v>29</v>
      </c>
      <c r="E310" s="15" t="s">
        <v>42</v>
      </c>
      <c r="F310" s="15" t="s">
        <v>71</v>
      </c>
      <c r="G310" s="5"/>
    </row>
    <row r="311" spans="1:7" x14ac:dyDescent="0.3">
      <c r="A311" s="7">
        <v>1</v>
      </c>
      <c r="B311" s="42">
        <v>1</v>
      </c>
      <c r="C311" s="42" t="s">
        <v>81</v>
      </c>
      <c r="D311" s="42" t="s">
        <v>0</v>
      </c>
      <c r="E311" s="4" t="s">
        <v>41</v>
      </c>
      <c r="F311" s="4" t="s">
        <v>45</v>
      </c>
      <c r="G311" s="5"/>
    </row>
    <row r="312" spans="1:7" x14ac:dyDescent="0.3">
      <c r="A312" s="12">
        <v>1</v>
      </c>
      <c r="B312" s="41">
        <v>2</v>
      </c>
      <c r="C312" s="41" t="s">
        <v>80</v>
      </c>
      <c r="D312" s="41" t="s">
        <v>40</v>
      </c>
      <c r="E312" s="15" t="s">
        <v>10</v>
      </c>
      <c r="F312" s="15" t="s">
        <v>45</v>
      </c>
      <c r="G312" s="5"/>
    </row>
    <row r="313" spans="1:7" x14ac:dyDescent="0.3">
      <c r="A313" s="7">
        <v>1</v>
      </c>
      <c r="B313" s="42">
        <v>2</v>
      </c>
      <c r="C313" s="42" t="s">
        <v>80</v>
      </c>
      <c r="D313" s="42" t="s">
        <v>0</v>
      </c>
      <c r="E313" s="4" t="s">
        <v>41</v>
      </c>
      <c r="F313" s="4" t="s">
        <v>44</v>
      </c>
      <c r="G313" s="5"/>
    </row>
    <row r="314" spans="1:7" x14ac:dyDescent="0.3">
      <c r="A314" s="12">
        <v>1</v>
      </c>
      <c r="B314" s="41">
        <v>1</v>
      </c>
      <c r="C314" s="41" t="s">
        <v>81</v>
      </c>
      <c r="D314" s="41" t="s">
        <v>40</v>
      </c>
      <c r="E314" s="15" t="s">
        <v>10</v>
      </c>
      <c r="F314" s="15" t="s">
        <v>44</v>
      </c>
      <c r="G314" s="5"/>
    </row>
    <row r="315" spans="1:7" x14ac:dyDescent="0.3">
      <c r="A315" s="7">
        <v>1</v>
      </c>
      <c r="B315" s="37">
        <v>2</v>
      </c>
      <c r="C315" s="37" t="s">
        <v>80</v>
      </c>
      <c r="D315" s="45" t="s">
        <v>29</v>
      </c>
      <c r="E315" s="4" t="s">
        <v>42</v>
      </c>
      <c r="F315" s="4" t="s">
        <v>68</v>
      </c>
      <c r="G315" s="5"/>
    </row>
    <row r="316" spans="1:7" x14ac:dyDescent="0.3">
      <c r="A316" s="12">
        <v>1</v>
      </c>
      <c r="B316" s="41">
        <v>1</v>
      </c>
      <c r="C316" s="41" t="s">
        <v>81</v>
      </c>
      <c r="D316" s="41" t="s">
        <v>0</v>
      </c>
      <c r="E316" s="15" t="s">
        <v>41</v>
      </c>
      <c r="F316" s="15" t="s">
        <v>46</v>
      </c>
      <c r="G316" s="5"/>
    </row>
    <row r="317" spans="1:7" x14ac:dyDescent="0.3">
      <c r="A317" s="7">
        <v>1</v>
      </c>
      <c r="B317" s="42">
        <v>1</v>
      </c>
      <c r="C317" s="41" t="s">
        <v>81</v>
      </c>
      <c r="D317" s="42" t="s">
        <v>40</v>
      </c>
      <c r="E317" s="4" t="s">
        <v>9</v>
      </c>
      <c r="F317" s="4" t="s">
        <v>46</v>
      </c>
      <c r="G317" s="5"/>
    </row>
    <row r="318" spans="1:7" x14ac:dyDescent="0.3">
      <c r="A318" s="7">
        <v>1</v>
      </c>
      <c r="B318" s="37">
        <v>2</v>
      </c>
      <c r="C318" s="37" t="s">
        <v>80</v>
      </c>
      <c r="D318" s="45" t="s">
        <v>29</v>
      </c>
      <c r="E318" s="4" t="s">
        <v>42</v>
      </c>
      <c r="F318" s="4" t="s">
        <v>73</v>
      </c>
      <c r="G318" s="5"/>
    </row>
    <row r="319" spans="1:7" x14ac:dyDescent="0.3">
      <c r="A319" s="12">
        <v>1</v>
      </c>
      <c r="B319" s="41">
        <v>1</v>
      </c>
      <c r="C319" s="41" t="s">
        <v>81</v>
      </c>
      <c r="D319" s="41" t="s">
        <v>0</v>
      </c>
      <c r="E319" s="15" t="s">
        <v>41</v>
      </c>
      <c r="F319" s="15" t="s">
        <v>43</v>
      </c>
      <c r="G319" s="5"/>
    </row>
    <row r="320" spans="1:7" x14ac:dyDescent="0.3">
      <c r="A320" s="7">
        <v>1</v>
      </c>
      <c r="B320" s="42">
        <v>1</v>
      </c>
      <c r="C320" s="41" t="s">
        <v>81</v>
      </c>
      <c r="D320" s="42" t="s">
        <v>40</v>
      </c>
      <c r="E320" s="4" t="s">
        <v>9</v>
      </c>
      <c r="F320" s="4" t="s">
        <v>43</v>
      </c>
      <c r="G320" s="5"/>
    </row>
    <row r="321" spans="1:7" x14ac:dyDescent="0.3">
      <c r="A321" s="12">
        <v>1</v>
      </c>
      <c r="B321" s="41">
        <v>1</v>
      </c>
      <c r="C321" s="41" t="s">
        <v>81</v>
      </c>
      <c r="D321" s="41" t="s">
        <v>0</v>
      </c>
      <c r="E321" s="15" t="s">
        <v>41</v>
      </c>
      <c r="F321" s="15" t="s">
        <v>48</v>
      </c>
      <c r="G321" s="5"/>
    </row>
    <row r="322" spans="1:7" x14ac:dyDescent="0.3">
      <c r="A322" s="7">
        <v>1</v>
      </c>
      <c r="B322" s="42">
        <v>2</v>
      </c>
      <c r="C322" s="42" t="s">
        <v>80</v>
      </c>
      <c r="D322" s="42" t="s">
        <v>40</v>
      </c>
      <c r="E322" s="4" t="s">
        <v>10</v>
      </c>
      <c r="F322" s="4" t="s">
        <v>48</v>
      </c>
      <c r="G322" s="5"/>
    </row>
    <row r="323" spans="1:7" x14ac:dyDescent="0.3">
      <c r="A323" s="4">
        <v>2</v>
      </c>
      <c r="B323" s="42">
        <v>1</v>
      </c>
      <c r="C323" s="42" t="s">
        <v>81</v>
      </c>
      <c r="D323" s="42" t="s">
        <v>0</v>
      </c>
      <c r="E323" s="4" t="s">
        <v>41</v>
      </c>
      <c r="F323" s="4" t="s">
        <v>51</v>
      </c>
      <c r="G323" s="5"/>
    </row>
    <row r="324" spans="1:7" x14ac:dyDescent="0.3">
      <c r="A324" s="4">
        <v>2</v>
      </c>
      <c r="B324" s="42">
        <v>1</v>
      </c>
      <c r="C324" s="42" t="s">
        <v>81</v>
      </c>
      <c r="D324" s="42" t="s">
        <v>40</v>
      </c>
      <c r="E324" s="4" t="s">
        <v>9</v>
      </c>
      <c r="F324" s="4" t="s">
        <v>51</v>
      </c>
      <c r="G324" s="5"/>
    </row>
    <row r="325" spans="1:7" x14ac:dyDescent="0.3">
      <c r="A325" s="4">
        <v>2</v>
      </c>
      <c r="B325" s="38">
        <v>2</v>
      </c>
      <c r="C325" s="38" t="s">
        <v>80</v>
      </c>
      <c r="D325" s="38" t="s">
        <v>29</v>
      </c>
      <c r="E325" s="4" t="s">
        <v>42</v>
      </c>
      <c r="F325" s="4" t="s">
        <v>47</v>
      </c>
      <c r="G325" s="5"/>
    </row>
    <row r="326" spans="1:7" x14ac:dyDescent="0.3">
      <c r="A326" s="15">
        <v>2</v>
      </c>
      <c r="B326" s="41">
        <v>1</v>
      </c>
      <c r="C326" s="41" t="s">
        <v>81</v>
      </c>
      <c r="D326" s="41" t="s">
        <v>0</v>
      </c>
      <c r="E326" s="15" t="s">
        <v>41</v>
      </c>
      <c r="F326" s="15" t="s">
        <v>55</v>
      </c>
      <c r="G326" s="5"/>
    </row>
    <row r="327" spans="1:7" x14ac:dyDescent="0.3">
      <c r="A327" s="4">
        <v>2</v>
      </c>
      <c r="B327" s="42">
        <v>1</v>
      </c>
      <c r="C327" s="42" t="s">
        <v>81</v>
      </c>
      <c r="D327" s="42" t="s">
        <v>40</v>
      </c>
      <c r="E327" s="4" t="s">
        <v>9</v>
      </c>
      <c r="F327" s="4" t="s">
        <v>55</v>
      </c>
      <c r="G327" s="5"/>
    </row>
    <row r="328" spans="1:7" x14ac:dyDescent="0.3">
      <c r="A328" s="15">
        <v>2</v>
      </c>
      <c r="B328" s="38">
        <v>2</v>
      </c>
      <c r="C328" s="38" t="s">
        <v>80</v>
      </c>
      <c r="D328" s="38" t="s">
        <v>29</v>
      </c>
      <c r="E328" s="15" t="s">
        <v>42</v>
      </c>
      <c r="F328" s="15" t="s">
        <v>50</v>
      </c>
      <c r="G328" s="5"/>
    </row>
    <row r="329" spans="1:7" x14ac:dyDescent="0.3">
      <c r="A329" s="4">
        <v>2</v>
      </c>
      <c r="B329" s="38">
        <v>1</v>
      </c>
      <c r="C329" s="38" t="s">
        <v>81</v>
      </c>
      <c r="D329" s="38" t="s">
        <v>29</v>
      </c>
      <c r="E329" s="4" t="s">
        <v>42</v>
      </c>
      <c r="F329" s="4" t="s">
        <v>49</v>
      </c>
      <c r="G329" s="5"/>
    </row>
    <row r="330" spans="1:7" x14ac:dyDescent="0.3">
      <c r="A330" s="15">
        <v>2</v>
      </c>
      <c r="B330" s="41">
        <v>1</v>
      </c>
      <c r="C330" s="41" t="s">
        <v>81</v>
      </c>
      <c r="D330" s="41" t="s">
        <v>0</v>
      </c>
      <c r="E330" s="15" t="s">
        <v>41</v>
      </c>
      <c r="F330" s="15" t="s">
        <v>53</v>
      </c>
      <c r="G330" s="5"/>
    </row>
    <row r="331" spans="1:7" x14ac:dyDescent="0.3">
      <c r="A331" s="4">
        <v>2</v>
      </c>
      <c r="B331" s="42">
        <v>1</v>
      </c>
      <c r="C331" s="44" t="s">
        <v>80</v>
      </c>
      <c r="D331" s="42" t="s">
        <v>40</v>
      </c>
      <c r="E331" s="4" t="s">
        <v>10</v>
      </c>
      <c r="F331" s="4" t="s">
        <v>53</v>
      </c>
      <c r="G331" s="5"/>
    </row>
    <row r="332" spans="1:7" x14ac:dyDescent="0.3">
      <c r="A332" s="15">
        <v>2</v>
      </c>
      <c r="B332" s="38">
        <v>2</v>
      </c>
      <c r="C332" s="38" t="s">
        <v>80</v>
      </c>
      <c r="D332" s="38" t="s">
        <v>29</v>
      </c>
      <c r="E332" s="15" t="s">
        <v>42</v>
      </c>
      <c r="F332" s="15" t="s">
        <v>45</v>
      </c>
      <c r="G332" s="5"/>
    </row>
    <row r="333" spans="1:7" x14ac:dyDescent="0.3">
      <c r="A333" s="4">
        <v>2</v>
      </c>
      <c r="B333" s="42">
        <v>2</v>
      </c>
      <c r="C333" s="42" t="s">
        <v>80</v>
      </c>
      <c r="D333" s="42" t="s">
        <v>0</v>
      </c>
      <c r="E333" s="4" t="s">
        <v>41</v>
      </c>
      <c r="F333" s="4" t="s">
        <v>57</v>
      </c>
      <c r="G333" s="5"/>
    </row>
    <row r="334" spans="1:7" x14ac:dyDescent="0.3">
      <c r="A334" s="4">
        <v>2</v>
      </c>
      <c r="B334" s="42">
        <v>1</v>
      </c>
      <c r="C334" s="42" t="s">
        <v>81</v>
      </c>
      <c r="D334" s="42" t="s">
        <v>40</v>
      </c>
      <c r="E334" s="4" t="s">
        <v>10</v>
      </c>
      <c r="F334" s="4" t="s">
        <v>57</v>
      </c>
      <c r="G334" s="5"/>
    </row>
    <row r="335" spans="1:7" x14ac:dyDescent="0.3">
      <c r="A335" s="4">
        <v>2</v>
      </c>
      <c r="B335" s="38">
        <v>1</v>
      </c>
      <c r="C335" s="38" t="s">
        <v>81</v>
      </c>
      <c r="D335" s="38" t="s">
        <v>29</v>
      </c>
      <c r="E335" s="4" t="s">
        <v>42</v>
      </c>
      <c r="F335" s="4" t="s">
        <v>44</v>
      </c>
      <c r="G335" s="5"/>
    </row>
    <row r="336" spans="1:7" x14ac:dyDescent="0.3">
      <c r="A336" s="15">
        <v>2</v>
      </c>
      <c r="B336" s="41">
        <v>1</v>
      </c>
      <c r="C336" s="41" t="s">
        <v>81</v>
      </c>
      <c r="D336" s="41" t="s">
        <v>0</v>
      </c>
      <c r="E336" s="15" t="s">
        <v>41</v>
      </c>
      <c r="F336" s="15" t="s">
        <v>52</v>
      </c>
      <c r="G336" s="5"/>
    </row>
    <row r="337" spans="1:7" x14ac:dyDescent="0.3">
      <c r="A337" s="4">
        <v>2</v>
      </c>
      <c r="B337" s="42">
        <v>2</v>
      </c>
      <c r="C337" s="42" t="s">
        <v>80</v>
      </c>
      <c r="D337" s="42" t="s">
        <v>40</v>
      </c>
      <c r="E337" s="4" t="s">
        <v>10</v>
      </c>
      <c r="F337" s="4" t="s">
        <v>52</v>
      </c>
      <c r="G337" s="5"/>
    </row>
    <row r="338" spans="1:7" x14ac:dyDescent="0.3">
      <c r="A338" s="15">
        <v>2</v>
      </c>
      <c r="B338" s="41">
        <v>2</v>
      </c>
      <c r="C338" s="41" t="s">
        <v>80</v>
      </c>
      <c r="D338" s="41" t="s">
        <v>0</v>
      </c>
      <c r="E338" s="15" t="s">
        <v>41</v>
      </c>
      <c r="F338" s="15" t="s">
        <v>56</v>
      </c>
      <c r="G338" s="5"/>
    </row>
    <row r="339" spans="1:7" x14ac:dyDescent="0.3">
      <c r="A339" s="4">
        <v>2</v>
      </c>
      <c r="B339" s="42">
        <v>2</v>
      </c>
      <c r="C339" s="42" t="s">
        <v>80</v>
      </c>
      <c r="D339" s="42" t="s">
        <v>40</v>
      </c>
      <c r="E339" s="4" t="s">
        <v>9</v>
      </c>
      <c r="F339" s="4" t="s">
        <v>56</v>
      </c>
      <c r="G339" s="5"/>
    </row>
    <row r="340" spans="1:7" x14ac:dyDescent="0.3">
      <c r="A340" s="15">
        <v>2</v>
      </c>
      <c r="B340" s="38">
        <v>1</v>
      </c>
      <c r="C340" s="38" t="s">
        <v>81</v>
      </c>
      <c r="D340" s="38" t="s">
        <v>29</v>
      </c>
      <c r="E340" s="15" t="s">
        <v>42</v>
      </c>
      <c r="F340" s="15" t="s">
        <v>46</v>
      </c>
      <c r="G340" s="5"/>
    </row>
    <row r="341" spans="1:7" x14ac:dyDescent="0.3">
      <c r="A341" s="4">
        <v>2</v>
      </c>
      <c r="B341" s="42">
        <v>2</v>
      </c>
      <c r="C341" s="42" t="s">
        <v>80</v>
      </c>
      <c r="D341" s="42" t="s">
        <v>0</v>
      </c>
      <c r="E341" s="4" t="s">
        <v>41</v>
      </c>
      <c r="F341" s="4" t="s">
        <v>54</v>
      </c>
      <c r="G341" s="5"/>
    </row>
    <row r="342" spans="1:7" x14ac:dyDescent="0.3">
      <c r="A342" s="4">
        <v>2</v>
      </c>
      <c r="B342" s="42">
        <v>2</v>
      </c>
      <c r="C342" s="42" t="s">
        <v>80</v>
      </c>
      <c r="D342" s="42" t="s">
        <v>40</v>
      </c>
      <c r="E342" s="4" t="s">
        <v>9</v>
      </c>
      <c r="F342" s="4" t="s">
        <v>54</v>
      </c>
      <c r="G342" s="5"/>
    </row>
    <row r="343" spans="1:7" x14ac:dyDescent="0.3">
      <c r="A343" s="4">
        <v>2</v>
      </c>
      <c r="B343" s="38">
        <v>1</v>
      </c>
      <c r="C343" s="38" t="s">
        <v>81</v>
      </c>
      <c r="D343" s="38" t="s">
        <v>29</v>
      </c>
      <c r="E343" s="4" t="s">
        <v>42</v>
      </c>
      <c r="F343" s="4" t="s">
        <v>43</v>
      </c>
      <c r="G343" s="5"/>
    </row>
    <row r="344" spans="1:7" x14ac:dyDescent="0.3">
      <c r="A344" s="15">
        <v>2</v>
      </c>
      <c r="B344" s="38">
        <v>2</v>
      </c>
      <c r="C344" s="38" t="s">
        <v>80</v>
      </c>
      <c r="D344" s="38" t="s">
        <v>29</v>
      </c>
      <c r="E344" s="15" t="s">
        <v>42</v>
      </c>
      <c r="F344" s="15" t="s">
        <v>48</v>
      </c>
      <c r="G344" s="5"/>
    </row>
    <row r="345" spans="1:7" x14ac:dyDescent="0.3">
      <c r="A345" s="4">
        <v>2</v>
      </c>
      <c r="B345" s="42">
        <v>2</v>
      </c>
      <c r="C345" s="42" t="s">
        <v>80</v>
      </c>
      <c r="D345" s="42" t="s">
        <v>0</v>
      </c>
      <c r="E345" s="4" t="s">
        <v>41</v>
      </c>
      <c r="F345" s="4" t="s">
        <v>58</v>
      </c>
      <c r="G345" s="5"/>
    </row>
    <row r="346" spans="1:7" x14ac:dyDescent="0.3">
      <c r="A346" s="4">
        <v>2</v>
      </c>
      <c r="B346" s="42">
        <v>1</v>
      </c>
      <c r="C346" s="42" t="s">
        <v>81</v>
      </c>
      <c r="D346" s="42" t="s">
        <v>40</v>
      </c>
      <c r="E346" s="4" t="s">
        <v>10</v>
      </c>
      <c r="F346" s="4" t="s">
        <v>58</v>
      </c>
      <c r="G346" s="5"/>
    </row>
    <row r="347" spans="1:7" x14ac:dyDescent="0.3">
      <c r="A347" s="12">
        <v>3</v>
      </c>
      <c r="B347" s="41">
        <v>1</v>
      </c>
      <c r="C347" s="41" t="s">
        <v>81</v>
      </c>
      <c r="D347" s="41" t="s">
        <v>0</v>
      </c>
      <c r="E347" s="15" t="s">
        <v>41</v>
      </c>
      <c r="F347" s="15" t="s">
        <v>63</v>
      </c>
      <c r="G347" s="5"/>
    </row>
    <row r="348" spans="1:7" x14ac:dyDescent="0.3">
      <c r="A348" s="7">
        <v>3</v>
      </c>
      <c r="B348" s="42">
        <v>2</v>
      </c>
      <c r="C348" s="42" t="s">
        <v>80</v>
      </c>
      <c r="D348" s="42" t="s">
        <v>40</v>
      </c>
      <c r="E348" s="4" t="s">
        <v>10</v>
      </c>
      <c r="F348" s="4" t="s">
        <v>63</v>
      </c>
      <c r="G348" s="5"/>
    </row>
    <row r="349" spans="1:7" x14ac:dyDescent="0.3">
      <c r="A349" s="12">
        <v>3</v>
      </c>
      <c r="B349" s="39">
        <v>2</v>
      </c>
      <c r="C349" s="39" t="s">
        <v>80</v>
      </c>
      <c r="D349" s="39" t="s">
        <v>29</v>
      </c>
      <c r="E349" s="15" t="s">
        <v>42</v>
      </c>
      <c r="F349" s="15" t="s">
        <v>51</v>
      </c>
      <c r="G349" s="5"/>
    </row>
    <row r="350" spans="1:7" x14ac:dyDescent="0.3">
      <c r="A350" s="12">
        <v>3</v>
      </c>
      <c r="B350" s="41">
        <v>2</v>
      </c>
      <c r="C350" s="41" t="s">
        <v>80</v>
      </c>
      <c r="D350" s="41" t="s">
        <v>0</v>
      </c>
      <c r="E350" s="15" t="s">
        <v>41</v>
      </c>
      <c r="F350" s="15" t="s">
        <v>59</v>
      </c>
      <c r="G350" s="5"/>
    </row>
    <row r="351" spans="1:7" x14ac:dyDescent="0.3">
      <c r="A351" s="7">
        <v>3</v>
      </c>
      <c r="B351" s="42">
        <v>1</v>
      </c>
      <c r="C351" s="42" t="s">
        <v>81</v>
      </c>
      <c r="D351" s="42" t="s">
        <v>40</v>
      </c>
      <c r="E351" s="4" t="s">
        <v>10</v>
      </c>
      <c r="F351" s="4" t="s">
        <v>59</v>
      </c>
      <c r="G351" s="5"/>
    </row>
    <row r="352" spans="1:7" x14ac:dyDescent="0.3">
      <c r="A352" s="7">
        <v>3</v>
      </c>
      <c r="B352" s="39">
        <v>1</v>
      </c>
      <c r="C352" s="39" t="s">
        <v>81</v>
      </c>
      <c r="D352" s="39" t="s">
        <v>29</v>
      </c>
      <c r="E352" s="4" t="s">
        <v>42</v>
      </c>
      <c r="F352" s="4" t="s">
        <v>55</v>
      </c>
      <c r="G352" s="5"/>
    </row>
    <row r="353" spans="1:7" x14ac:dyDescent="0.3">
      <c r="A353" s="12">
        <v>3</v>
      </c>
      <c r="B353" s="41">
        <v>1</v>
      </c>
      <c r="C353" s="41" t="s">
        <v>81</v>
      </c>
      <c r="D353" s="41" t="s">
        <v>0</v>
      </c>
      <c r="E353" s="15" t="s">
        <v>41</v>
      </c>
      <c r="F353" s="15" t="s">
        <v>65</v>
      </c>
      <c r="G353" s="5"/>
    </row>
    <row r="354" spans="1:7" x14ac:dyDescent="0.3">
      <c r="A354" s="7">
        <v>3</v>
      </c>
      <c r="B354" s="42">
        <v>2</v>
      </c>
      <c r="C354" s="42" t="s">
        <v>80</v>
      </c>
      <c r="D354" s="42" t="s">
        <v>40</v>
      </c>
      <c r="E354" s="4" t="s">
        <v>10</v>
      </c>
      <c r="F354" s="4" t="s">
        <v>65</v>
      </c>
      <c r="G354" s="5"/>
    </row>
    <row r="355" spans="1:7" x14ac:dyDescent="0.3">
      <c r="A355" s="12">
        <v>3</v>
      </c>
      <c r="B355" s="39">
        <v>1</v>
      </c>
      <c r="C355" s="39" t="s">
        <v>81</v>
      </c>
      <c r="D355" s="39" t="s">
        <v>29</v>
      </c>
      <c r="E355" s="15" t="s">
        <v>42</v>
      </c>
      <c r="F355" s="15" t="s">
        <v>53</v>
      </c>
      <c r="G355" s="5"/>
    </row>
    <row r="356" spans="1:7" x14ac:dyDescent="0.3">
      <c r="A356" s="7">
        <v>3</v>
      </c>
      <c r="B356" s="42">
        <v>2</v>
      </c>
      <c r="C356" s="42" t="s">
        <v>80</v>
      </c>
      <c r="D356" s="42" t="s">
        <v>0</v>
      </c>
      <c r="E356" s="4" t="s">
        <v>41</v>
      </c>
      <c r="F356" s="4" t="s">
        <v>61</v>
      </c>
      <c r="G356" s="5"/>
    </row>
    <row r="357" spans="1:7" x14ac:dyDescent="0.3">
      <c r="A357" s="12">
        <v>3</v>
      </c>
      <c r="B357" s="41">
        <v>2</v>
      </c>
      <c r="C357" s="41" t="s">
        <v>80</v>
      </c>
      <c r="D357" s="41" t="s">
        <v>40</v>
      </c>
      <c r="E357" s="15" t="s">
        <v>9</v>
      </c>
      <c r="F357" s="15" t="s">
        <v>61</v>
      </c>
      <c r="G357" s="5"/>
    </row>
    <row r="358" spans="1:7" x14ac:dyDescent="0.3">
      <c r="A358" s="7">
        <v>3</v>
      </c>
      <c r="B358" s="39">
        <v>1</v>
      </c>
      <c r="C358" s="39" t="s">
        <v>81</v>
      </c>
      <c r="D358" s="39" t="s">
        <v>29</v>
      </c>
      <c r="E358" s="4" t="s">
        <v>42</v>
      </c>
      <c r="F358" s="4" t="s">
        <v>57</v>
      </c>
      <c r="G358" s="5"/>
    </row>
    <row r="359" spans="1:7" x14ac:dyDescent="0.3">
      <c r="A359" s="12">
        <v>3</v>
      </c>
      <c r="B359" s="39">
        <v>1</v>
      </c>
      <c r="C359" s="39" t="s">
        <v>81</v>
      </c>
      <c r="D359" s="39" t="s">
        <v>29</v>
      </c>
      <c r="E359" s="15" t="s">
        <v>42</v>
      </c>
      <c r="F359" s="15" t="s">
        <v>52</v>
      </c>
      <c r="G359" s="5"/>
    </row>
    <row r="360" spans="1:7" x14ac:dyDescent="0.3">
      <c r="A360" s="7">
        <v>3</v>
      </c>
      <c r="B360" s="42">
        <v>2</v>
      </c>
      <c r="C360" s="42" t="s">
        <v>80</v>
      </c>
      <c r="D360" s="42" t="s">
        <v>0</v>
      </c>
      <c r="E360" s="4" t="s">
        <v>41</v>
      </c>
      <c r="F360" s="4" t="s">
        <v>60</v>
      </c>
      <c r="G360" s="5"/>
    </row>
    <row r="361" spans="1:7" x14ac:dyDescent="0.3">
      <c r="A361" s="12">
        <v>3</v>
      </c>
      <c r="B361" s="41">
        <v>2</v>
      </c>
      <c r="C361" s="41" t="s">
        <v>80</v>
      </c>
      <c r="D361" s="41" t="s">
        <v>40</v>
      </c>
      <c r="E361" s="15" t="s">
        <v>9</v>
      </c>
      <c r="F361" s="15" t="s">
        <v>60</v>
      </c>
      <c r="G361" s="5"/>
    </row>
    <row r="362" spans="1:7" x14ac:dyDescent="0.3">
      <c r="A362" s="7">
        <v>3</v>
      </c>
      <c r="B362" s="42">
        <v>2</v>
      </c>
      <c r="C362" s="42" t="s">
        <v>80</v>
      </c>
      <c r="D362" s="42" t="s">
        <v>0</v>
      </c>
      <c r="E362" s="4" t="s">
        <v>41</v>
      </c>
      <c r="F362" s="4" t="s">
        <v>66</v>
      </c>
      <c r="G362" s="5"/>
    </row>
    <row r="363" spans="1:7" x14ac:dyDescent="0.3">
      <c r="A363" s="12">
        <v>3</v>
      </c>
      <c r="B363" s="41">
        <v>1</v>
      </c>
      <c r="C363" s="41" t="s">
        <v>81</v>
      </c>
      <c r="D363" s="41" t="s">
        <v>40</v>
      </c>
      <c r="E363" s="15" t="s">
        <v>10</v>
      </c>
      <c r="F363" s="15" t="s">
        <v>66</v>
      </c>
      <c r="G363" s="5"/>
    </row>
    <row r="364" spans="1:7" x14ac:dyDescent="0.3">
      <c r="A364" s="7">
        <v>3</v>
      </c>
      <c r="B364" s="39">
        <v>2</v>
      </c>
      <c r="C364" s="39" t="s">
        <v>80</v>
      </c>
      <c r="D364" s="39" t="s">
        <v>29</v>
      </c>
      <c r="E364" s="4" t="s">
        <v>42</v>
      </c>
      <c r="F364" s="4" t="s">
        <v>56</v>
      </c>
      <c r="G364" s="5"/>
    </row>
    <row r="365" spans="1:7" x14ac:dyDescent="0.3">
      <c r="A365" s="12">
        <v>3</v>
      </c>
      <c r="B365" s="39">
        <v>1</v>
      </c>
      <c r="C365" s="39" t="s">
        <v>81</v>
      </c>
      <c r="D365" s="39" t="s">
        <v>29</v>
      </c>
      <c r="E365" s="15" t="s">
        <v>42</v>
      </c>
      <c r="F365" s="15" t="s">
        <v>54</v>
      </c>
      <c r="G365" s="5"/>
    </row>
    <row r="366" spans="1:7" x14ac:dyDescent="0.3">
      <c r="A366" s="7">
        <v>3</v>
      </c>
      <c r="B366" s="42">
        <v>1</v>
      </c>
      <c r="C366" s="42" t="s">
        <v>81</v>
      </c>
      <c r="D366" s="42" t="s">
        <v>0</v>
      </c>
      <c r="E366" s="4" t="s">
        <v>41</v>
      </c>
      <c r="F366" s="4" t="s">
        <v>64</v>
      </c>
      <c r="G366" s="5"/>
    </row>
    <row r="367" spans="1:7" x14ac:dyDescent="0.3">
      <c r="A367" s="12">
        <v>3</v>
      </c>
      <c r="B367" s="41">
        <v>1</v>
      </c>
      <c r="C367" s="41" t="s">
        <v>81</v>
      </c>
      <c r="D367" s="41" t="s">
        <v>40</v>
      </c>
      <c r="E367" s="15" t="s">
        <v>9</v>
      </c>
      <c r="F367" s="15" t="s">
        <v>64</v>
      </c>
      <c r="G367" s="5"/>
    </row>
    <row r="368" spans="1:7" x14ac:dyDescent="0.3">
      <c r="A368" s="7">
        <v>3</v>
      </c>
      <c r="B368" s="39">
        <v>2</v>
      </c>
      <c r="C368" s="39" t="s">
        <v>80</v>
      </c>
      <c r="D368" s="39" t="s">
        <v>29</v>
      </c>
      <c r="E368" s="4" t="s">
        <v>42</v>
      </c>
      <c r="F368" s="4" t="s">
        <v>58</v>
      </c>
      <c r="G368" s="5"/>
    </row>
    <row r="369" spans="1:7" x14ac:dyDescent="0.3">
      <c r="A369" s="12">
        <v>3</v>
      </c>
      <c r="B369" s="41">
        <v>1</v>
      </c>
      <c r="C369" s="41" t="s">
        <v>81</v>
      </c>
      <c r="D369" s="41" t="s">
        <v>0</v>
      </c>
      <c r="E369" s="15" t="s">
        <v>41</v>
      </c>
      <c r="F369" s="15" t="s">
        <v>62</v>
      </c>
      <c r="G369" s="5"/>
    </row>
    <row r="370" spans="1:7" x14ac:dyDescent="0.3">
      <c r="A370" s="7">
        <v>3</v>
      </c>
      <c r="B370" s="42">
        <v>1</v>
      </c>
      <c r="C370" s="42" t="s">
        <v>81</v>
      </c>
      <c r="D370" s="42" t="s">
        <v>40</v>
      </c>
      <c r="E370" s="4" t="s">
        <v>9</v>
      </c>
      <c r="F370" s="4" t="s">
        <v>62</v>
      </c>
      <c r="G370" s="5"/>
    </row>
    <row r="371" spans="1:7" x14ac:dyDescent="0.3">
      <c r="A371" s="4">
        <v>4</v>
      </c>
      <c r="B371" s="40">
        <v>2</v>
      </c>
      <c r="C371" s="40" t="s">
        <v>80</v>
      </c>
      <c r="D371" s="40" t="s">
        <v>29</v>
      </c>
      <c r="E371" s="4" t="s">
        <v>42</v>
      </c>
      <c r="F371" s="4" t="s">
        <v>63</v>
      </c>
      <c r="G371" s="5"/>
    </row>
    <row r="372" spans="1:7" x14ac:dyDescent="0.3">
      <c r="A372" s="15">
        <v>4</v>
      </c>
      <c r="B372" s="40">
        <v>2</v>
      </c>
      <c r="C372" s="40" t="s">
        <v>80</v>
      </c>
      <c r="D372" s="40" t="s">
        <v>29</v>
      </c>
      <c r="E372" s="15" t="s">
        <v>42</v>
      </c>
      <c r="F372" s="15" t="s">
        <v>59</v>
      </c>
      <c r="G372" s="5"/>
    </row>
    <row r="373" spans="1:7" x14ac:dyDescent="0.3">
      <c r="A373" s="4">
        <v>4</v>
      </c>
      <c r="B373" s="42">
        <v>1</v>
      </c>
      <c r="C373" s="42" t="s">
        <v>81</v>
      </c>
      <c r="D373" s="42" t="s">
        <v>0</v>
      </c>
      <c r="E373" s="4" t="s">
        <v>41</v>
      </c>
      <c r="F373" s="4" t="s">
        <v>69</v>
      </c>
      <c r="G373" s="5"/>
    </row>
    <row r="374" spans="1:7" x14ac:dyDescent="0.3">
      <c r="A374" s="15">
        <v>4</v>
      </c>
      <c r="B374" s="41">
        <v>1</v>
      </c>
      <c r="C374" s="41" t="s">
        <v>81</v>
      </c>
      <c r="D374" s="41" t="s">
        <v>40</v>
      </c>
      <c r="E374" s="15" t="s">
        <v>9</v>
      </c>
      <c r="F374" s="15" t="s">
        <v>69</v>
      </c>
      <c r="G374" s="5"/>
    </row>
    <row r="375" spans="1:7" x14ac:dyDescent="0.3">
      <c r="A375" s="4">
        <v>4</v>
      </c>
      <c r="B375" s="42">
        <v>1</v>
      </c>
      <c r="C375" s="42" t="s">
        <v>81</v>
      </c>
      <c r="D375" s="42" t="s">
        <v>0</v>
      </c>
      <c r="E375" s="4" t="s">
        <v>41</v>
      </c>
      <c r="F375" s="4" t="s">
        <v>72</v>
      </c>
      <c r="G375" s="5"/>
    </row>
    <row r="376" spans="1:7" x14ac:dyDescent="0.3">
      <c r="A376" s="15">
        <v>4</v>
      </c>
      <c r="B376" s="41">
        <v>2</v>
      </c>
      <c r="C376" s="41" t="s">
        <v>80</v>
      </c>
      <c r="D376" s="41" t="s">
        <v>40</v>
      </c>
      <c r="E376" s="15" t="s">
        <v>10</v>
      </c>
      <c r="F376" s="15" t="s">
        <v>72</v>
      </c>
      <c r="G376" s="5"/>
    </row>
    <row r="377" spans="1:7" x14ac:dyDescent="0.3">
      <c r="A377" s="4">
        <v>4</v>
      </c>
      <c r="B377" s="40">
        <v>1</v>
      </c>
      <c r="C377" s="40" t="s">
        <v>81</v>
      </c>
      <c r="D377" s="40" t="s">
        <v>29</v>
      </c>
      <c r="E377" s="4" t="s">
        <v>42</v>
      </c>
      <c r="F377" s="4" t="s">
        <v>65</v>
      </c>
      <c r="G377" s="5"/>
    </row>
    <row r="378" spans="1:7" x14ac:dyDescent="0.3">
      <c r="A378" s="15">
        <v>4</v>
      </c>
      <c r="B378" s="41">
        <v>2</v>
      </c>
      <c r="C378" s="41" t="s">
        <v>80</v>
      </c>
      <c r="D378" s="41" t="s">
        <v>0</v>
      </c>
      <c r="E378" s="15" t="s">
        <v>41</v>
      </c>
      <c r="F378" s="15" t="s">
        <v>70</v>
      </c>
      <c r="G378" s="5"/>
    </row>
    <row r="379" spans="1:7" x14ac:dyDescent="0.3">
      <c r="A379" s="4">
        <v>4</v>
      </c>
      <c r="B379" s="42">
        <v>2</v>
      </c>
      <c r="C379" s="42" t="s">
        <v>80</v>
      </c>
      <c r="D379" s="42" t="s">
        <v>40</v>
      </c>
      <c r="E379" s="4" t="s">
        <v>9</v>
      </c>
      <c r="F379" s="4" t="s">
        <v>70</v>
      </c>
      <c r="G379" s="5"/>
    </row>
    <row r="380" spans="1:7" x14ac:dyDescent="0.3">
      <c r="A380" s="15">
        <v>4</v>
      </c>
      <c r="B380" s="41">
        <v>2</v>
      </c>
      <c r="C380" s="41" t="s">
        <v>80</v>
      </c>
      <c r="D380" s="41" t="s">
        <v>0</v>
      </c>
      <c r="E380" s="15" t="s">
        <v>41</v>
      </c>
      <c r="F380" s="15" t="s">
        <v>74</v>
      </c>
      <c r="G380" s="5"/>
    </row>
    <row r="381" spans="1:7" x14ac:dyDescent="0.3">
      <c r="A381" s="4">
        <v>4</v>
      </c>
      <c r="B381" s="42">
        <v>1</v>
      </c>
      <c r="C381" s="42" t="s">
        <v>81</v>
      </c>
      <c r="D381" s="42" t="s">
        <v>40</v>
      </c>
      <c r="E381" s="4" t="s">
        <v>10</v>
      </c>
      <c r="F381" s="4" t="s">
        <v>74</v>
      </c>
      <c r="G381" s="5"/>
    </row>
    <row r="382" spans="1:7" x14ac:dyDescent="0.3">
      <c r="A382" s="15">
        <v>4</v>
      </c>
      <c r="B382" s="40">
        <v>2</v>
      </c>
      <c r="C382" s="40" t="s">
        <v>80</v>
      </c>
      <c r="D382" s="40" t="s">
        <v>29</v>
      </c>
      <c r="E382" s="15" t="s">
        <v>42</v>
      </c>
      <c r="F382" s="15" t="s">
        <v>61</v>
      </c>
      <c r="G382" s="5"/>
    </row>
    <row r="383" spans="1:7" x14ac:dyDescent="0.3">
      <c r="A383" s="4">
        <v>4</v>
      </c>
      <c r="B383" s="42">
        <v>1</v>
      </c>
      <c r="C383" s="42" t="s">
        <v>81</v>
      </c>
      <c r="D383" s="42" t="s">
        <v>0</v>
      </c>
      <c r="E383" s="4" t="s">
        <v>41</v>
      </c>
      <c r="F383" s="4" t="s">
        <v>71</v>
      </c>
      <c r="G383" s="5"/>
    </row>
    <row r="384" spans="1:7" x14ac:dyDescent="0.3">
      <c r="A384" s="15">
        <v>4</v>
      </c>
      <c r="B384" s="41">
        <v>2</v>
      </c>
      <c r="C384" s="41" t="s">
        <v>80</v>
      </c>
      <c r="D384" s="41" t="s">
        <v>40</v>
      </c>
      <c r="E384" s="15" t="s">
        <v>10</v>
      </c>
      <c r="F384" s="15" t="s">
        <v>71</v>
      </c>
      <c r="G384" s="5"/>
    </row>
    <row r="385" spans="1:7" x14ac:dyDescent="0.3">
      <c r="A385" s="15">
        <v>4</v>
      </c>
      <c r="B385" s="40">
        <v>2</v>
      </c>
      <c r="C385" s="40" t="s">
        <v>80</v>
      </c>
      <c r="D385" s="40" t="s">
        <v>29</v>
      </c>
      <c r="E385" s="15" t="s">
        <v>42</v>
      </c>
      <c r="F385" s="15" t="s">
        <v>60</v>
      </c>
      <c r="G385" s="5"/>
    </row>
    <row r="386" spans="1:7" x14ac:dyDescent="0.3">
      <c r="A386" s="4">
        <v>4</v>
      </c>
      <c r="B386" s="42">
        <v>2</v>
      </c>
      <c r="C386" s="42" t="s">
        <v>80</v>
      </c>
      <c r="D386" s="42" t="s">
        <v>0</v>
      </c>
      <c r="E386" s="4" t="s">
        <v>41</v>
      </c>
      <c r="F386" s="4" t="s">
        <v>68</v>
      </c>
      <c r="G386" s="5"/>
    </row>
    <row r="387" spans="1:7" x14ac:dyDescent="0.3">
      <c r="A387" s="15">
        <v>4</v>
      </c>
      <c r="B387" s="41">
        <v>2</v>
      </c>
      <c r="C387" s="41" t="s">
        <v>80</v>
      </c>
      <c r="D387" s="41" t="s">
        <v>40</v>
      </c>
      <c r="E387" s="15" t="s">
        <v>9</v>
      </c>
      <c r="F387" s="15" t="s">
        <v>68</v>
      </c>
      <c r="G387" s="5"/>
    </row>
    <row r="388" spans="1:7" x14ac:dyDescent="0.3">
      <c r="A388" s="4">
        <v>4</v>
      </c>
      <c r="B388" s="40">
        <v>1</v>
      </c>
      <c r="C388" s="40" t="s">
        <v>81</v>
      </c>
      <c r="D388" s="40" t="s">
        <v>29</v>
      </c>
      <c r="E388" s="4" t="s">
        <v>42</v>
      </c>
      <c r="F388" s="4" t="s">
        <v>66</v>
      </c>
      <c r="G388" s="5"/>
    </row>
    <row r="389" spans="1:7" x14ac:dyDescent="0.3">
      <c r="A389" s="4">
        <v>4</v>
      </c>
      <c r="B389" s="40">
        <v>2</v>
      </c>
      <c r="C389" s="40" t="s">
        <v>80</v>
      </c>
      <c r="D389" s="40" t="s">
        <v>29</v>
      </c>
      <c r="E389" s="4" t="s">
        <v>42</v>
      </c>
      <c r="F389" s="4" t="s">
        <v>64</v>
      </c>
      <c r="G389" s="5"/>
    </row>
    <row r="390" spans="1:7" x14ac:dyDescent="0.3">
      <c r="A390" s="4">
        <v>4</v>
      </c>
      <c r="B390" s="42">
        <v>2</v>
      </c>
      <c r="C390" s="42" t="s">
        <v>80</v>
      </c>
      <c r="D390" s="42" t="s">
        <v>0</v>
      </c>
      <c r="E390" s="4" t="s">
        <v>41</v>
      </c>
      <c r="F390" s="4" t="s">
        <v>67</v>
      </c>
      <c r="G390" s="5"/>
    </row>
    <row r="391" spans="1:7" x14ac:dyDescent="0.3">
      <c r="A391" s="15">
        <v>4</v>
      </c>
      <c r="B391" s="41">
        <v>1</v>
      </c>
      <c r="C391" s="41" t="s">
        <v>81</v>
      </c>
      <c r="D391" s="41" t="s">
        <v>40</v>
      </c>
      <c r="E391" s="15" t="s">
        <v>10</v>
      </c>
      <c r="F391" s="15" t="s">
        <v>67</v>
      </c>
      <c r="G391" s="5"/>
    </row>
    <row r="392" spans="1:7" x14ac:dyDescent="0.3">
      <c r="A392" s="15">
        <v>4</v>
      </c>
      <c r="B392" s="40">
        <v>1</v>
      </c>
      <c r="C392" s="40" t="s">
        <v>81</v>
      </c>
      <c r="D392" s="40" t="s">
        <v>29</v>
      </c>
      <c r="E392" s="15" t="s">
        <v>42</v>
      </c>
      <c r="F392" s="15" t="s">
        <v>62</v>
      </c>
      <c r="G392" s="5"/>
    </row>
    <row r="393" spans="1:7" x14ac:dyDescent="0.3">
      <c r="A393" s="4">
        <v>4</v>
      </c>
      <c r="B393" s="42">
        <v>1</v>
      </c>
      <c r="C393" s="42" t="s">
        <v>81</v>
      </c>
      <c r="D393" s="42" t="s">
        <v>0</v>
      </c>
      <c r="E393" s="4" t="s">
        <v>41</v>
      </c>
      <c r="F393" s="4" t="s">
        <v>73</v>
      </c>
      <c r="G393" s="5"/>
    </row>
    <row r="394" spans="1:7" x14ac:dyDescent="0.3">
      <c r="A394" s="15">
        <v>4</v>
      </c>
      <c r="B394" s="41">
        <v>1</v>
      </c>
      <c r="C394" s="41" t="s">
        <v>81</v>
      </c>
      <c r="D394" s="41" t="s">
        <v>40</v>
      </c>
      <c r="E394" s="15" t="s">
        <v>9</v>
      </c>
      <c r="F394" s="15" t="s">
        <v>73</v>
      </c>
      <c r="G394" s="5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81D4-8157-4C94-9563-DAA05669BE7A}">
  <dimension ref="A1:Q452"/>
  <sheetViews>
    <sheetView zoomScale="107" workbookViewId="0">
      <selection activeCell="C335" sqref="C335"/>
    </sheetView>
  </sheetViews>
  <sheetFormatPr defaultRowHeight="14.4" x14ac:dyDescent="0.3"/>
  <cols>
    <col min="8" max="8" width="10.21875" bestFit="1" customWidth="1"/>
    <col min="11" max="11" width="24.6640625" bestFit="1" customWidth="1"/>
    <col min="12" max="12" width="24.5546875" bestFit="1" customWidth="1"/>
    <col min="13" max="13" width="22.109375" bestFit="1" customWidth="1"/>
    <col min="14" max="14" width="17.44140625" bestFit="1" customWidth="1"/>
    <col min="17" max="17" width="30.44140625" bestFit="1" customWidth="1"/>
    <col min="18" max="18" width="15.5546875" bestFit="1" customWidth="1"/>
    <col min="19" max="19" width="3" bestFit="1" customWidth="1"/>
    <col min="20" max="20" width="6.6640625" bestFit="1" customWidth="1"/>
    <col min="21" max="21" width="4" bestFit="1" customWidth="1"/>
    <col min="22" max="22" width="3" bestFit="1" customWidth="1"/>
    <col min="23" max="23" width="6.6640625" bestFit="1" customWidth="1"/>
    <col min="24" max="24" width="10.77734375" bestFit="1" customWidth="1"/>
    <col min="25" max="25" width="30.44140625" bestFit="1" customWidth="1"/>
    <col min="26" max="26" width="15.5546875" bestFit="1" customWidth="1"/>
    <col min="27" max="27" width="3" bestFit="1" customWidth="1"/>
    <col min="28" max="28" width="6.6640625" bestFit="1" customWidth="1"/>
    <col min="29" max="29" width="4" bestFit="1" customWidth="1"/>
    <col min="30" max="30" width="3" bestFit="1" customWidth="1"/>
    <col min="31" max="31" width="6.6640625" bestFit="1" customWidth="1"/>
    <col min="32" max="32" width="10.77734375" bestFit="1" customWidth="1"/>
  </cols>
  <sheetData>
    <row r="1" spans="1:14" x14ac:dyDescent="0.3">
      <c r="A1" s="48" t="s">
        <v>83</v>
      </c>
      <c r="B1" s="59" t="s">
        <v>157</v>
      </c>
      <c r="C1" s="60" t="s">
        <v>136</v>
      </c>
      <c r="D1" s="61" t="s">
        <v>75</v>
      </c>
      <c r="E1" s="61" t="s">
        <v>76</v>
      </c>
      <c r="F1" s="61" t="s">
        <v>77</v>
      </c>
      <c r="G1" s="48" t="s">
        <v>78</v>
      </c>
      <c r="H1" s="48" t="s">
        <v>79</v>
      </c>
      <c r="I1" s="48" t="s">
        <v>128</v>
      </c>
      <c r="J1" s="48" t="s">
        <v>140</v>
      </c>
      <c r="K1" s="48" t="s">
        <v>137</v>
      </c>
      <c r="L1" s="62" t="s">
        <v>138</v>
      </c>
      <c r="M1" s="62" t="s">
        <v>139</v>
      </c>
      <c r="N1" s="48" t="s">
        <v>141</v>
      </c>
    </row>
    <row r="2" spans="1:14" x14ac:dyDescent="0.3">
      <c r="A2" s="58">
        <v>1</v>
      </c>
      <c r="B2" s="58">
        <v>1</v>
      </c>
      <c r="C2" s="63">
        <v>1</v>
      </c>
      <c r="D2" s="64">
        <v>2</v>
      </c>
      <c r="E2" s="64" t="s">
        <v>80</v>
      </c>
      <c r="F2" s="64" t="s">
        <v>29</v>
      </c>
      <c r="G2" s="52" t="s">
        <v>42</v>
      </c>
      <c r="H2" s="52"/>
      <c r="I2" s="57"/>
      <c r="J2" s="65" t="s">
        <v>150</v>
      </c>
      <c r="K2" s="57">
        <f>IF(Table121413[[#This Row],[modality]]=E1,1,0)</f>
        <v>0</v>
      </c>
      <c r="L2" s="66">
        <f>IF(Table121413[[#This Row],[stimulus]]=H3, 1, 0)</f>
        <v>0</v>
      </c>
      <c r="M2" s="66">
        <f>IF(F1="T",1,0)</f>
        <v>0</v>
      </c>
      <c r="N2" s="66">
        <f>IF(F1="F",1,0)</f>
        <v>0</v>
      </c>
    </row>
    <row r="3" spans="1:14" x14ac:dyDescent="0.3">
      <c r="A3" s="58">
        <v>1</v>
      </c>
      <c r="B3" s="58">
        <v>1</v>
      </c>
      <c r="C3" s="63">
        <v>2</v>
      </c>
      <c r="D3" s="67">
        <v>2</v>
      </c>
      <c r="E3" s="67" t="s">
        <v>80</v>
      </c>
      <c r="F3" s="68" t="s">
        <v>0</v>
      </c>
      <c r="G3" s="47" t="s">
        <v>41</v>
      </c>
      <c r="H3" s="47" t="s">
        <v>43</v>
      </c>
      <c r="I3" s="66"/>
      <c r="J3" s="66" t="s">
        <v>151</v>
      </c>
      <c r="K3" s="57">
        <f>IF(Table121413[[#This Row],[modality]]=E2,1,0)</f>
        <v>1</v>
      </c>
      <c r="L3" s="66">
        <f>IF(Table121413[[#This Row],[stimulus]]=H4, 1, 0)</f>
        <v>1</v>
      </c>
      <c r="M3" s="66">
        <f t="shared" ref="M3:M66" si="0">IF(F2="T",1,0)</f>
        <v>0</v>
      </c>
      <c r="N3" s="66">
        <f t="shared" ref="N3:N66" si="1">IF(F2="F",1,0)</f>
        <v>1</v>
      </c>
    </row>
    <row r="4" spans="1:14" x14ac:dyDescent="0.3">
      <c r="A4" s="58">
        <v>1</v>
      </c>
      <c r="B4" s="58">
        <v>1</v>
      </c>
      <c r="C4" s="63">
        <v>3</v>
      </c>
      <c r="D4" s="69">
        <v>2</v>
      </c>
      <c r="E4" s="69" t="s">
        <v>80</v>
      </c>
      <c r="F4" s="70" t="s">
        <v>40</v>
      </c>
      <c r="G4" s="71" t="s">
        <v>9</v>
      </c>
      <c r="H4" s="71" t="s">
        <v>43</v>
      </c>
      <c r="I4" s="66"/>
      <c r="J4" s="66" t="s">
        <v>150</v>
      </c>
      <c r="K4" s="57">
        <f>IF(Table121413[[#This Row],[modality]]=E3,1,0)</f>
        <v>1</v>
      </c>
      <c r="L4" s="66">
        <f>IF(Table121413[[#This Row],[stimulus]]=H5, 1, 0)</f>
        <v>0</v>
      </c>
      <c r="M4" s="66">
        <f t="shared" si="0"/>
        <v>0</v>
      </c>
      <c r="N4" s="66">
        <f t="shared" si="1"/>
        <v>0</v>
      </c>
    </row>
    <row r="5" spans="1:14" x14ac:dyDescent="0.3">
      <c r="A5" s="58">
        <v>1</v>
      </c>
      <c r="B5" s="58">
        <v>1</v>
      </c>
      <c r="C5" s="63">
        <v>4</v>
      </c>
      <c r="D5" s="72">
        <v>1</v>
      </c>
      <c r="E5" s="73" t="s">
        <v>81</v>
      </c>
      <c r="F5" s="74" t="s">
        <v>29</v>
      </c>
      <c r="G5" s="47" t="s">
        <v>42</v>
      </c>
      <c r="H5" s="47" t="s">
        <v>74</v>
      </c>
      <c r="I5" s="66"/>
      <c r="J5" s="66" t="s">
        <v>150</v>
      </c>
      <c r="K5" s="57">
        <f>IF(Table121413[[#This Row],[modality]]=E4,1,0)</f>
        <v>0</v>
      </c>
      <c r="L5" s="66">
        <f>IF(Table121413[[#This Row],[stimulus]]=H6, 1, 0)</f>
        <v>0</v>
      </c>
      <c r="M5" s="66">
        <f t="shared" si="0"/>
        <v>1</v>
      </c>
      <c r="N5" s="66">
        <f t="shared" si="1"/>
        <v>0</v>
      </c>
    </row>
    <row r="6" spans="1:14" x14ac:dyDescent="0.3">
      <c r="A6" s="58">
        <v>1</v>
      </c>
      <c r="B6" s="58">
        <v>1</v>
      </c>
      <c r="C6" s="63">
        <v>5</v>
      </c>
      <c r="D6" s="69">
        <v>2</v>
      </c>
      <c r="E6" s="69" t="s">
        <v>80</v>
      </c>
      <c r="F6" s="70" t="s">
        <v>0</v>
      </c>
      <c r="G6" s="71" t="s">
        <v>41</v>
      </c>
      <c r="H6" s="71" t="s">
        <v>44</v>
      </c>
      <c r="I6" s="66"/>
      <c r="J6" s="66" t="s">
        <v>151</v>
      </c>
      <c r="K6" s="57">
        <f>IF(Table121413[[#This Row],[modality]]=E5,1,0)</f>
        <v>0</v>
      </c>
      <c r="L6" s="66">
        <f>IF(Table121413[[#This Row],[stimulus]]=H7, 1, 0)</f>
        <v>1</v>
      </c>
      <c r="M6" s="66">
        <f t="shared" si="0"/>
        <v>0</v>
      </c>
      <c r="N6" s="66">
        <f t="shared" si="1"/>
        <v>1</v>
      </c>
    </row>
    <row r="7" spans="1:14" x14ac:dyDescent="0.3">
      <c r="A7" s="58">
        <v>1</v>
      </c>
      <c r="B7" s="58">
        <v>1</v>
      </c>
      <c r="C7" s="63">
        <v>6</v>
      </c>
      <c r="D7" s="67">
        <v>2</v>
      </c>
      <c r="E7" s="67" t="s">
        <v>80</v>
      </c>
      <c r="F7" s="68" t="s">
        <v>40</v>
      </c>
      <c r="G7" s="47" t="s">
        <v>9</v>
      </c>
      <c r="H7" s="47" t="s">
        <v>44</v>
      </c>
      <c r="I7" s="66"/>
      <c r="J7" s="66" t="s">
        <v>150</v>
      </c>
      <c r="K7" s="57">
        <f>IF(Table121413[[#This Row],[modality]]=E6,1,0)</f>
        <v>1</v>
      </c>
      <c r="L7" s="66">
        <f>IF(Table121413[[#This Row],[stimulus]]=H8, 1, 0)</f>
        <v>0</v>
      </c>
      <c r="M7" s="66">
        <f t="shared" si="0"/>
        <v>0</v>
      </c>
      <c r="N7" s="66">
        <f t="shared" si="1"/>
        <v>0</v>
      </c>
    </row>
    <row r="8" spans="1:14" x14ac:dyDescent="0.3">
      <c r="A8" s="58">
        <v>1</v>
      </c>
      <c r="B8" s="58">
        <v>1</v>
      </c>
      <c r="C8" s="63">
        <v>7</v>
      </c>
      <c r="D8" s="72">
        <v>1</v>
      </c>
      <c r="E8" s="72" t="s">
        <v>81</v>
      </c>
      <c r="F8" s="74" t="s">
        <v>29</v>
      </c>
      <c r="G8" s="71" t="s">
        <v>42</v>
      </c>
      <c r="H8" s="71" t="s">
        <v>73</v>
      </c>
      <c r="I8" s="66"/>
      <c r="J8" s="66" t="s">
        <v>150</v>
      </c>
      <c r="K8" s="57">
        <f>IF(Table121413[[#This Row],[modality]]=E7,1,0)</f>
        <v>0</v>
      </c>
      <c r="L8" s="66">
        <f>IF(Table121413[[#This Row],[stimulus]]=H9, 1, 0)</f>
        <v>0</v>
      </c>
      <c r="M8" s="66">
        <f t="shared" si="0"/>
        <v>1</v>
      </c>
      <c r="N8" s="66">
        <f t="shared" si="1"/>
        <v>0</v>
      </c>
    </row>
    <row r="9" spans="1:14" x14ac:dyDescent="0.3">
      <c r="A9" s="58">
        <v>1</v>
      </c>
      <c r="B9" s="58">
        <v>1</v>
      </c>
      <c r="C9" s="63">
        <v>8</v>
      </c>
      <c r="D9" s="65">
        <v>1</v>
      </c>
      <c r="E9" s="65" t="s">
        <v>81</v>
      </c>
      <c r="F9" s="65" t="s">
        <v>29</v>
      </c>
      <c r="G9" s="58" t="s">
        <v>42</v>
      </c>
      <c r="H9" s="58" t="s">
        <v>69</v>
      </c>
      <c r="I9" s="66"/>
      <c r="J9" s="66" t="s">
        <v>151</v>
      </c>
      <c r="K9" s="57">
        <f>IF(Table121413[[#This Row],[modality]]=E8,1,0)</f>
        <v>1</v>
      </c>
      <c r="L9" s="66">
        <f>IF(Table121413[[#This Row],[stimulus]]=H10, 1, 0)</f>
        <v>0</v>
      </c>
      <c r="M9" s="66">
        <f t="shared" si="0"/>
        <v>0</v>
      </c>
      <c r="N9" s="66">
        <f t="shared" si="1"/>
        <v>1</v>
      </c>
    </row>
    <row r="10" spans="1:14" x14ac:dyDescent="0.3">
      <c r="A10" s="58">
        <v>1</v>
      </c>
      <c r="B10" s="58">
        <v>1</v>
      </c>
      <c r="C10" s="63">
        <v>9</v>
      </c>
      <c r="D10" s="67">
        <v>2</v>
      </c>
      <c r="E10" s="67" t="s">
        <v>80</v>
      </c>
      <c r="F10" s="68" t="s">
        <v>0</v>
      </c>
      <c r="G10" s="47" t="s">
        <v>41</v>
      </c>
      <c r="H10" s="47" t="s">
        <v>45</v>
      </c>
      <c r="I10" s="66"/>
      <c r="J10" s="66" t="s">
        <v>151</v>
      </c>
      <c r="K10" s="57">
        <f>IF(Table121413[[#This Row],[modality]]=E9,1,0)</f>
        <v>0</v>
      </c>
      <c r="L10" s="66">
        <f>IF(Table121413[[#This Row],[stimulus]]=H11, 1, 0)</f>
        <v>1</v>
      </c>
      <c r="M10" s="66">
        <f t="shared" si="0"/>
        <v>0</v>
      </c>
      <c r="N10" s="66">
        <f t="shared" si="1"/>
        <v>1</v>
      </c>
    </row>
    <row r="11" spans="1:14" x14ac:dyDescent="0.3">
      <c r="A11" s="58">
        <v>1</v>
      </c>
      <c r="B11" s="58">
        <v>1</v>
      </c>
      <c r="C11" s="63">
        <v>10</v>
      </c>
      <c r="D11" s="69">
        <v>1</v>
      </c>
      <c r="E11" s="69" t="s">
        <v>81</v>
      </c>
      <c r="F11" s="70" t="s">
        <v>40</v>
      </c>
      <c r="G11" s="71" t="s">
        <v>10</v>
      </c>
      <c r="H11" s="71" t="s">
        <v>45</v>
      </c>
      <c r="I11" s="66"/>
      <c r="J11" s="66" t="s">
        <v>150</v>
      </c>
      <c r="K11" s="57">
        <f>IF(Table121413[[#This Row],[modality]]=E10,1,0)</f>
        <v>0</v>
      </c>
      <c r="L11" s="66">
        <f>IF(Table121413[[#This Row],[stimulus]]=H12, 1, 0)</f>
        <v>0</v>
      </c>
      <c r="M11" s="66">
        <f t="shared" si="0"/>
        <v>0</v>
      </c>
      <c r="N11" s="66">
        <f t="shared" si="1"/>
        <v>0</v>
      </c>
    </row>
    <row r="12" spans="1:14" x14ac:dyDescent="0.3">
      <c r="A12" s="59">
        <v>1</v>
      </c>
      <c r="B12" s="58">
        <v>1</v>
      </c>
      <c r="C12" s="63">
        <v>11</v>
      </c>
      <c r="D12" s="72">
        <v>2</v>
      </c>
      <c r="E12" s="73" t="s">
        <v>80</v>
      </c>
      <c r="F12" s="74" t="s">
        <v>29</v>
      </c>
      <c r="G12" s="47" t="s">
        <v>42</v>
      </c>
      <c r="H12" s="47" t="s">
        <v>70</v>
      </c>
      <c r="I12" s="66"/>
      <c r="J12" s="66" t="s">
        <v>150</v>
      </c>
      <c r="K12" s="57">
        <f>IF(Table121413[[#This Row],[modality]]=E11,1,0)</f>
        <v>0</v>
      </c>
      <c r="L12" s="66">
        <f>IF(Table121413[[#This Row],[stimulus]]=H13, 1, 0)</f>
        <v>0</v>
      </c>
      <c r="M12" s="66">
        <f t="shared" si="0"/>
        <v>1</v>
      </c>
      <c r="N12" s="66">
        <f t="shared" si="1"/>
        <v>0</v>
      </c>
    </row>
    <row r="13" spans="1:14" x14ac:dyDescent="0.3">
      <c r="A13" s="58">
        <v>1</v>
      </c>
      <c r="B13" s="58">
        <v>1</v>
      </c>
      <c r="C13" s="63">
        <v>12</v>
      </c>
      <c r="D13" s="67">
        <v>1</v>
      </c>
      <c r="E13" s="67" t="s">
        <v>81</v>
      </c>
      <c r="F13" s="68" t="s">
        <v>0</v>
      </c>
      <c r="G13" s="47" t="s">
        <v>41</v>
      </c>
      <c r="H13" s="47" t="s">
        <v>46</v>
      </c>
      <c r="I13" s="66"/>
      <c r="J13" s="66" t="s">
        <v>151</v>
      </c>
      <c r="K13" s="57">
        <f>IF(Table121413[[#This Row],[modality]]=E12,1,0)</f>
        <v>0</v>
      </c>
      <c r="L13" s="66">
        <f>IF(Table121413[[#This Row],[stimulus]]=H14, 1, 0)</f>
        <v>1</v>
      </c>
      <c r="M13" s="66">
        <f t="shared" si="0"/>
        <v>0</v>
      </c>
      <c r="N13" s="66">
        <f t="shared" si="1"/>
        <v>1</v>
      </c>
    </row>
    <row r="14" spans="1:14" x14ac:dyDescent="0.3">
      <c r="A14" s="58">
        <v>1</v>
      </c>
      <c r="B14" s="58">
        <v>1</v>
      </c>
      <c r="C14" s="63">
        <v>13</v>
      </c>
      <c r="D14" s="69">
        <v>2</v>
      </c>
      <c r="E14" s="69" t="s">
        <v>80</v>
      </c>
      <c r="F14" s="70" t="s">
        <v>40</v>
      </c>
      <c r="G14" s="71" t="s">
        <v>10</v>
      </c>
      <c r="H14" s="71" t="s">
        <v>46</v>
      </c>
      <c r="I14" s="66"/>
      <c r="J14" s="66" t="s">
        <v>150</v>
      </c>
      <c r="K14" s="57">
        <f>IF(Table121413[[#This Row],[modality]]=E13,1,0)</f>
        <v>0</v>
      </c>
      <c r="L14" s="66">
        <f>IF(Table121413[[#This Row],[stimulus]]=H15, 1, 0)</f>
        <v>0</v>
      </c>
      <c r="M14" s="66">
        <f t="shared" si="0"/>
        <v>0</v>
      </c>
      <c r="N14" s="66">
        <f t="shared" si="1"/>
        <v>0</v>
      </c>
    </row>
    <row r="15" spans="1:14" x14ac:dyDescent="0.3">
      <c r="A15" s="58">
        <v>1</v>
      </c>
      <c r="B15" s="58">
        <v>1</v>
      </c>
      <c r="C15" s="63">
        <v>14</v>
      </c>
      <c r="D15" s="72">
        <v>2</v>
      </c>
      <c r="E15" s="73" t="s">
        <v>80</v>
      </c>
      <c r="F15" s="74" t="s">
        <v>29</v>
      </c>
      <c r="G15" s="47" t="s">
        <v>42</v>
      </c>
      <c r="H15" s="47" t="s">
        <v>72</v>
      </c>
      <c r="I15" s="66"/>
      <c r="J15" s="66" t="s">
        <v>150</v>
      </c>
      <c r="K15" s="57">
        <f>IF(Table121413[[#This Row],[modality]]=E14,1,0)</f>
        <v>1</v>
      </c>
      <c r="L15" s="66">
        <f>IF(Table121413[[#This Row],[stimulus]]=H16, 1, 0)</f>
        <v>0</v>
      </c>
      <c r="M15" s="66">
        <f t="shared" si="0"/>
        <v>1</v>
      </c>
      <c r="N15" s="66">
        <f t="shared" si="1"/>
        <v>0</v>
      </c>
    </row>
    <row r="16" spans="1:14" x14ac:dyDescent="0.3">
      <c r="A16" s="59">
        <v>1</v>
      </c>
      <c r="B16" s="58">
        <v>1</v>
      </c>
      <c r="C16" s="63">
        <v>15</v>
      </c>
      <c r="D16" s="69">
        <v>2</v>
      </c>
      <c r="E16" s="69" t="s">
        <v>80</v>
      </c>
      <c r="F16" s="70" t="s">
        <v>0</v>
      </c>
      <c r="G16" s="71" t="s">
        <v>41</v>
      </c>
      <c r="H16" s="71" t="s">
        <v>47</v>
      </c>
      <c r="I16" s="66"/>
      <c r="J16" s="66" t="s">
        <v>151</v>
      </c>
      <c r="K16" s="57">
        <f>IF(Table121413[[#This Row],[modality]]=E15,1,0)</f>
        <v>1</v>
      </c>
      <c r="L16" s="66">
        <f>IF(Table121413[[#This Row],[stimulus]]=H17, 1, 0)</f>
        <v>1</v>
      </c>
      <c r="M16" s="66">
        <f t="shared" si="0"/>
        <v>0</v>
      </c>
      <c r="N16" s="66">
        <f t="shared" si="1"/>
        <v>1</v>
      </c>
    </row>
    <row r="17" spans="1:14" x14ac:dyDescent="0.3">
      <c r="A17" s="59">
        <v>1</v>
      </c>
      <c r="B17" s="58">
        <v>1</v>
      </c>
      <c r="C17" s="63">
        <v>16</v>
      </c>
      <c r="D17" s="67">
        <v>1</v>
      </c>
      <c r="E17" s="67" t="s">
        <v>81</v>
      </c>
      <c r="F17" s="68" t="s">
        <v>40</v>
      </c>
      <c r="G17" s="47" t="s">
        <v>10</v>
      </c>
      <c r="H17" s="47" t="s">
        <v>47</v>
      </c>
      <c r="I17" s="66"/>
      <c r="J17" s="66" t="s">
        <v>150</v>
      </c>
      <c r="K17" s="57">
        <f>IF(Table121413[[#This Row],[modality]]=E16,1,0)</f>
        <v>0</v>
      </c>
      <c r="L17" s="66">
        <f>IF(Table121413[[#This Row],[stimulus]]=H18, 1, 0)</f>
        <v>0</v>
      </c>
      <c r="M17" s="66">
        <f t="shared" si="0"/>
        <v>0</v>
      </c>
      <c r="N17" s="66">
        <f t="shared" si="1"/>
        <v>0</v>
      </c>
    </row>
    <row r="18" spans="1:14" x14ac:dyDescent="0.3">
      <c r="A18" s="59">
        <v>1</v>
      </c>
      <c r="B18" s="58">
        <v>1</v>
      </c>
      <c r="C18" s="63">
        <v>17</v>
      </c>
      <c r="D18" s="72">
        <v>2</v>
      </c>
      <c r="E18" s="72" t="s">
        <v>80</v>
      </c>
      <c r="F18" s="74" t="s">
        <v>29</v>
      </c>
      <c r="G18" s="71" t="s">
        <v>42</v>
      </c>
      <c r="H18" s="71" t="s">
        <v>71</v>
      </c>
      <c r="I18" s="66"/>
      <c r="J18" s="66" t="s">
        <v>150</v>
      </c>
      <c r="K18" s="57">
        <f>IF(Table121413[[#This Row],[modality]]=E17,1,0)</f>
        <v>0</v>
      </c>
      <c r="L18" s="66">
        <f>IF(Table121413[[#This Row],[stimulus]]=H19, 1, 0)</f>
        <v>0</v>
      </c>
      <c r="M18" s="66">
        <f t="shared" si="0"/>
        <v>1</v>
      </c>
      <c r="N18" s="66">
        <f t="shared" si="1"/>
        <v>0</v>
      </c>
    </row>
    <row r="19" spans="1:14" x14ac:dyDescent="0.3">
      <c r="A19" s="59">
        <v>1</v>
      </c>
      <c r="B19" s="58">
        <v>1</v>
      </c>
      <c r="C19" s="63">
        <v>18</v>
      </c>
      <c r="D19" s="67">
        <v>1</v>
      </c>
      <c r="E19" s="67" t="s">
        <v>81</v>
      </c>
      <c r="F19" s="68" t="s">
        <v>0</v>
      </c>
      <c r="G19" s="47" t="s">
        <v>41</v>
      </c>
      <c r="H19" s="47" t="s">
        <v>48</v>
      </c>
      <c r="I19" s="66"/>
      <c r="J19" s="66" t="s">
        <v>151</v>
      </c>
      <c r="K19" s="57">
        <f>IF(Table121413[[#This Row],[modality]]=E18,1,0)</f>
        <v>0</v>
      </c>
      <c r="L19" s="66">
        <f>IF(Table121413[[#This Row],[stimulus]]=H20, 1, 0)</f>
        <v>1</v>
      </c>
      <c r="M19" s="66">
        <f t="shared" si="0"/>
        <v>0</v>
      </c>
      <c r="N19" s="66">
        <f t="shared" si="1"/>
        <v>1</v>
      </c>
    </row>
    <row r="20" spans="1:14" x14ac:dyDescent="0.3">
      <c r="A20" s="59">
        <v>1</v>
      </c>
      <c r="B20" s="58">
        <v>1</v>
      </c>
      <c r="C20" s="63">
        <v>19</v>
      </c>
      <c r="D20" s="69">
        <v>1</v>
      </c>
      <c r="E20" s="69" t="s">
        <v>81</v>
      </c>
      <c r="F20" s="70" t="s">
        <v>40</v>
      </c>
      <c r="G20" s="71" t="s">
        <v>9</v>
      </c>
      <c r="H20" s="71" t="s">
        <v>48</v>
      </c>
      <c r="I20" s="66"/>
      <c r="J20" s="66" t="s">
        <v>150</v>
      </c>
      <c r="K20" s="57">
        <f>IF(Table121413[[#This Row],[modality]]=E19,1,0)</f>
        <v>1</v>
      </c>
      <c r="L20" s="66">
        <f>IF(Table121413[[#This Row],[stimulus]]=H21, 1, 0)</f>
        <v>0</v>
      </c>
      <c r="M20" s="66">
        <f t="shared" si="0"/>
        <v>0</v>
      </c>
      <c r="N20" s="66">
        <f t="shared" si="1"/>
        <v>0</v>
      </c>
    </row>
    <row r="21" spans="1:14" x14ac:dyDescent="0.3">
      <c r="A21" s="58">
        <v>1</v>
      </c>
      <c r="B21" s="58">
        <v>1</v>
      </c>
      <c r="C21" s="63">
        <v>20</v>
      </c>
      <c r="D21" s="72">
        <v>1</v>
      </c>
      <c r="E21" s="73" t="s">
        <v>81</v>
      </c>
      <c r="F21" s="74" t="s">
        <v>29</v>
      </c>
      <c r="G21" s="47" t="s">
        <v>42</v>
      </c>
      <c r="H21" s="47" t="s">
        <v>68</v>
      </c>
      <c r="I21" s="75"/>
      <c r="J21" s="75" t="s">
        <v>150</v>
      </c>
      <c r="K21" s="57">
        <f>IF(Table121413[[#This Row],[modality]]=E20,1,0)</f>
        <v>1</v>
      </c>
      <c r="L21" s="66">
        <f>IF(Table121413[[#This Row],[stimulus]]=H22, 1, 0)</f>
        <v>0</v>
      </c>
      <c r="M21" s="66">
        <f t="shared" si="0"/>
        <v>1</v>
      </c>
      <c r="N21" s="66">
        <f t="shared" si="1"/>
        <v>0</v>
      </c>
    </row>
    <row r="22" spans="1:14" x14ac:dyDescent="0.3">
      <c r="A22" s="59">
        <v>1</v>
      </c>
      <c r="B22" s="58">
        <v>1</v>
      </c>
      <c r="C22" s="63">
        <v>21</v>
      </c>
      <c r="D22" s="57">
        <v>1</v>
      </c>
      <c r="E22" s="57" t="s">
        <v>81</v>
      </c>
      <c r="F22" s="65" t="s">
        <v>0</v>
      </c>
      <c r="G22" s="58" t="s">
        <v>41</v>
      </c>
      <c r="H22" s="58" t="s">
        <v>49</v>
      </c>
      <c r="I22" s="66"/>
      <c r="J22" s="66" t="s">
        <v>151</v>
      </c>
      <c r="K22" s="57">
        <f>IF(Table121413[[#This Row],[modality]]=E21,1,0)</f>
        <v>1</v>
      </c>
      <c r="L22" s="66">
        <f>IF(Table121413[[#This Row],[stimulus]]=H23, 1, 0)</f>
        <v>1</v>
      </c>
      <c r="M22" s="66">
        <f t="shared" si="0"/>
        <v>0</v>
      </c>
      <c r="N22" s="66">
        <f t="shared" si="1"/>
        <v>1</v>
      </c>
    </row>
    <row r="23" spans="1:14" x14ac:dyDescent="0.3">
      <c r="A23" s="59">
        <v>1</v>
      </c>
      <c r="B23" s="58">
        <v>1</v>
      </c>
      <c r="C23" s="63">
        <v>22</v>
      </c>
      <c r="D23" s="67">
        <v>1</v>
      </c>
      <c r="E23" s="67" t="s">
        <v>81</v>
      </c>
      <c r="F23" s="68" t="s">
        <v>40</v>
      </c>
      <c r="G23" s="47" t="s">
        <v>9</v>
      </c>
      <c r="H23" s="47" t="s">
        <v>49</v>
      </c>
      <c r="I23" s="66"/>
      <c r="J23" s="66" t="s">
        <v>150</v>
      </c>
      <c r="K23" s="57">
        <f>IF(Table121413[[#This Row],[modality]]=E22,1,0)</f>
        <v>1</v>
      </c>
      <c r="L23" s="66">
        <f>IF(Table121413[[#This Row],[stimulus]]=H24, 1, 0)</f>
        <v>0</v>
      </c>
      <c r="M23" s="66">
        <f t="shared" si="0"/>
        <v>0</v>
      </c>
      <c r="N23" s="66">
        <f t="shared" si="1"/>
        <v>0</v>
      </c>
    </row>
    <row r="24" spans="1:14" x14ac:dyDescent="0.3">
      <c r="A24" s="59">
        <v>1</v>
      </c>
      <c r="B24" s="58">
        <v>1</v>
      </c>
      <c r="C24" s="63">
        <v>23</v>
      </c>
      <c r="D24" s="72">
        <v>2</v>
      </c>
      <c r="E24" s="72" t="s">
        <v>80</v>
      </c>
      <c r="F24" s="74" t="s">
        <v>29</v>
      </c>
      <c r="G24" s="58" t="s">
        <v>42</v>
      </c>
      <c r="H24" s="58" t="s">
        <v>69</v>
      </c>
      <c r="I24" s="66"/>
      <c r="J24" s="66" t="s">
        <v>150</v>
      </c>
      <c r="K24" s="57">
        <f>IF(Table121413[[#This Row],[modality]]=E23,1,0)</f>
        <v>0</v>
      </c>
      <c r="L24" s="66">
        <f>IF(Table121413[[#This Row],[stimulus]]=H25, 1, 0)</f>
        <v>0</v>
      </c>
      <c r="M24" s="66">
        <f t="shared" si="0"/>
        <v>1</v>
      </c>
      <c r="N24" s="66">
        <f t="shared" si="1"/>
        <v>0</v>
      </c>
    </row>
    <row r="25" spans="1:14" x14ac:dyDescent="0.3">
      <c r="A25" s="58">
        <v>1</v>
      </c>
      <c r="B25" s="58">
        <v>1</v>
      </c>
      <c r="C25" s="63">
        <v>24</v>
      </c>
      <c r="D25" s="76">
        <v>2</v>
      </c>
      <c r="E25" s="76" t="s">
        <v>80</v>
      </c>
      <c r="F25" s="76" t="s">
        <v>29</v>
      </c>
      <c r="G25" s="77" t="s">
        <v>42</v>
      </c>
      <c r="H25" s="77" t="s">
        <v>73</v>
      </c>
      <c r="I25" s="66"/>
      <c r="J25" s="66" t="s">
        <v>151</v>
      </c>
      <c r="K25" s="57">
        <f>IF(Table121413[[#This Row],[modality]]=E24,1,0)</f>
        <v>1</v>
      </c>
      <c r="L25" s="66">
        <f>IF(Table121413[[#This Row],[stimulus]]=H26, 1, 0)</f>
        <v>0</v>
      </c>
      <c r="M25" s="66">
        <f t="shared" si="0"/>
        <v>0</v>
      </c>
      <c r="N25" s="66">
        <f t="shared" si="1"/>
        <v>1</v>
      </c>
    </row>
    <row r="26" spans="1:14" x14ac:dyDescent="0.3">
      <c r="A26" s="58">
        <v>1</v>
      </c>
      <c r="B26" s="58">
        <v>1</v>
      </c>
      <c r="C26" s="63">
        <v>25</v>
      </c>
      <c r="D26" s="72">
        <v>1</v>
      </c>
      <c r="E26" s="72" t="s">
        <v>81</v>
      </c>
      <c r="F26" s="74" t="s">
        <v>29</v>
      </c>
      <c r="G26" s="47" t="s">
        <v>42</v>
      </c>
      <c r="H26" s="71" t="s">
        <v>67</v>
      </c>
      <c r="I26" s="75"/>
      <c r="J26" s="66" t="s">
        <v>150</v>
      </c>
      <c r="K26" s="57">
        <f>IF(Table121413[[#This Row],[modality]]=E25,1,0)</f>
        <v>0</v>
      </c>
      <c r="L26" s="66">
        <f>IF(Table121413[[#This Row],[stimulus]]=H27, 1, 0)</f>
        <v>0</v>
      </c>
      <c r="M26" s="66">
        <f t="shared" si="0"/>
        <v>0</v>
      </c>
      <c r="N26" s="66">
        <f t="shared" si="1"/>
        <v>1</v>
      </c>
    </row>
    <row r="27" spans="1:14" x14ac:dyDescent="0.3">
      <c r="A27" s="59">
        <v>1</v>
      </c>
      <c r="B27" s="58">
        <v>1</v>
      </c>
      <c r="C27" s="63">
        <v>26</v>
      </c>
      <c r="D27" s="67">
        <v>1</v>
      </c>
      <c r="E27" s="67" t="s">
        <v>81</v>
      </c>
      <c r="F27" s="68" t="s">
        <v>0</v>
      </c>
      <c r="G27" s="47" t="s">
        <v>41</v>
      </c>
      <c r="H27" s="47" t="s">
        <v>50</v>
      </c>
      <c r="I27" s="66"/>
      <c r="J27" s="66" t="s">
        <v>151</v>
      </c>
      <c r="K27" s="57">
        <f>IF(Table121413[[#This Row],[modality]]=E26,1,0)</f>
        <v>1</v>
      </c>
      <c r="L27" s="66">
        <f>IF(Table121413[[#This Row],[stimulus]]=H28, 1, 0)</f>
        <v>1</v>
      </c>
      <c r="M27" s="66">
        <f t="shared" si="0"/>
        <v>0</v>
      </c>
      <c r="N27" s="66">
        <f t="shared" si="1"/>
        <v>1</v>
      </c>
    </row>
    <row r="28" spans="1:14" x14ac:dyDescent="0.3">
      <c r="A28" s="59">
        <v>1</v>
      </c>
      <c r="B28" s="58">
        <v>1</v>
      </c>
      <c r="C28" s="63">
        <v>27</v>
      </c>
      <c r="D28" s="69">
        <v>2</v>
      </c>
      <c r="E28" s="69" t="s">
        <v>80</v>
      </c>
      <c r="F28" s="70" t="s">
        <v>40</v>
      </c>
      <c r="G28" s="71" t="s">
        <v>10</v>
      </c>
      <c r="H28" s="71" t="s">
        <v>50</v>
      </c>
      <c r="I28" s="66"/>
      <c r="J28" s="66" t="s">
        <v>150</v>
      </c>
      <c r="K28" s="57">
        <f>IF(Table121413[[#This Row],[modality]]=E27,1,0)</f>
        <v>0</v>
      </c>
      <c r="L28" s="66">
        <f>IF(Table121413[[#This Row],[stimulus]]=H29, 1, 0)</f>
        <v>0</v>
      </c>
      <c r="M28" s="66">
        <f t="shared" si="0"/>
        <v>0</v>
      </c>
      <c r="N28" s="66">
        <f t="shared" si="1"/>
        <v>0</v>
      </c>
    </row>
    <row r="29" spans="1:14" x14ac:dyDescent="0.3">
      <c r="A29" s="58">
        <v>2</v>
      </c>
      <c r="B29" s="58">
        <v>1</v>
      </c>
      <c r="C29" s="63">
        <v>28</v>
      </c>
      <c r="D29" s="78">
        <v>2</v>
      </c>
      <c r="E29" s="78" t="s">
        <v>80</v>
      </c>
      <c r="F29" s="78" t="s">
        <v>29</v>
      </c>
      <c r="G29" s="58" t="s">
        <v>42</v>
      </c>
      <c r="H29" s="58" t="s">
        <v>43</v>
      </c>
      <c r="I29" s="66"/>
      <c r="J29" s="66" t="s">
        <v>150</v>
      </c>
      <c r="K29" s="57">
        <f>IF(Table121413[[#This Row],[modality]]=E28,1,0)</f>
        <v>1</v>
      </c>
      <c r="L29" s="66">
        <f>IF(Table121413[[#This Row],[stimulus]]=H30, 1, 0)</f>
        <v>0</v>
      </c>
      <c r="M29" s="66">
        <f t="shared" si="0"/>
        <v>1</v>
      </c>
      <c r="N29" s="66">
        <f t="shared" si="1"/>
        <v>0</v>
      </c>
    </row>
    <row r="30" spans="1:14" x14ac:dyDescent="0.3">
      <c r="A30" s="58">
        <v>2</v>
      </c>
      <c r="B30" s="58">
        <v>1</v>
      </c>
      <c r="C30" s="63">
        <v>29</v>
      </c>
      <c r="D30" s="67">
        <v>1</v>
      </c>
      <c r="E30" s="67" t="s">
        <v>81</v>
      </c>
      <c r="F30" s="68" t="s">
        <v>0</v>
      </c>
      <c r="G30" s="47" t="s">
        <v>41</v>
      </c>
      <c r="H30" s="47" t="s">
        <v>58</v>
      </c>
      <c r="I30" s="66"/>
      <c r="J30" s="66" t="s">
        <v>151</v>
      </c>
      <c r="K30" s="57">
        <f>IF(Table121413[[#This Row],[modality]]=E29,1,0)</f>
        <v>0</v>
      </c>
      <c r="L30" s="66">
        <f>IF(Table121413[[#This Row],[stimulus]]=H31, 1, 0)</f>
        <v>1</v>
      </c>
      <c r="M30" s="66">
        <f t="shared" si="0"/>
        <v>0</v>
      </c>
      <c r="N30" s="66">
        <f t="shared" si="1"/>
        <v>1</v>
      </c>
    </row>
    <row r="31" spans="1:14" x14ac:dyDescent="0.3">
      <c r="A31" s="58">
        <v>2</v>
      </c>
      <c r="B31" s="58">
        <v>1</v>
      </c>
      <c r="C31" s="63">
        <v>30</v>
      </c>
      <c r="D31" s="57">
        <v>1</v>
      </c>
      <c r="E31" s="57" t="s">
        <v>81</v>
      </c>
      <c r="F31" s="65" t="s">
        <v>40</v>
      </c>
      <c r="G31" s="58" t="s">
        <v>9</v>
      </c>
      <c r="H31" s="58" t="s">
        <v>58</v>
      </c>
      <c r="I31" s="66"/>
      <c r="J31" s="66" t="s">
        <v>150</v>
      </c>
      <c r="K31" s="57">
        <f>IF(Table121413[[#This Row],[modality]]=E30,1,0)</f>
        <v>1</v>
      </c>
      <c r="L31" s="66">
        <f>IF(Table121413[[#This Row],[stimulus]]=H32, 1, 0)</f>
        <v>0</v>
      </c>
      <c r="M31" s="66">
        <f t="shared" si="0"/>
        <v>0</v>
      </c>
      <c r="N31" s="66">
        <f t="shared" si="1"/>
        <v>0</v>
      </c>
    </row>
    <row r="32" spans="1:14" x14ac:dyDescent="0.3">
      <c r="A32" s="58">
        <v>2</v>
      </c>
      <c r="B32" s="58">
        <v>1</v>
      </c>
      <c r="C32" s="63">
        <v>31</v>
      </c>
      <c r="D32" s="78">
        <v>2</v>
      </c>
      <c r="E32" s="78" t="s">
        <v>80</v>
      </c>
      <c r="F32" s="78" t="s">
        <v>29</v>
      </c>
      <c r="G32" s="47" t="s">
        <v>42</v>
      </c>
      <c r="H32" s="47" t="s">
        <v>44</v>
      </c>
      <c r="I32" s="66"/>
      <c r="J32" s="66" t="s">
        <v>150</v>
      </c>
      <c r="K32" s="57">
        <f>IF(Table121413[[#This Row],[modality]]=E31,1,0)</f>
        <v>0</v>
      </c>
      <c r="L32" s="66">
        <f>IF(Table121413[[#This Row],[stimulus]]=H33, 1, 0)</f>
        <v>0</v>
      </c>
      <c r="M32" s="66">
        <f t="shared" si="0"/>
        <v>1</v>
      </c>
      <c r="N32" s="66">
        <f t="shared" si="1"/>
        <v>0</v>
      </c>
    </row>
    <row r="33" spans="1:14" x14ac:dyDescent="0.3">
      <c r="A33" s="58">
        <v>2</v>
      </c>
      <c r="B33" s="58">
        <v>1</v>
      </c>
      <c r="C33" s="63">
        <v>32</v>
      </c>
      <c r="D33" s="67">
        <v>1</v>
      </c>
      <c r="E33" s="57" t="s">
        <v>81</v>
      </c>
      <c r="F33" s="68" t="s">
        <v>0</v>
      </c>
      <c r="G33" s="47" t="s">
        <v>41</v>
      </c>
      <c r="H33" s="47" t="s">
        <v>57</v>
      </c>
      <c r="I33" s="66"/>
      <c r="J33" s="66" t="s">
        <v>151</v>
      </c>
      <c r="K33" s="57">
        <f>IF(Table121413[[#This Row],[modality]]=E32,1,0)</f>
        <v>0</v>
      </c>
      <c r="L33" s="66">
        <f>IF(Table121413[[#This Row],[stimulus]]=H34, 1, 0)</f>
        <v>1</v>
      </c>
      <c r="M33" s="66">
        <f t="shared" si="0"/>
        <v>0</v>
      </c>
      <c r="N33" s="66">
        <f t="shared" si="1"/>
        <v>1</v>
      </c>
    </row>
    <row r="34" spans="1:14" x14ac:dyDescent="0.3">
      <c r="A34" s="58">
        <v>2</v>
      </c>
      <c r="B34" s="58">
        <v>1</v>
      </c>
      <c r="C34" s="63">
        <v>33</v>
      </c>
      <c r="D34" s="69">
        <v>1</v>
      </c>
      <c r="E34" s="69" t="s">
        <v>81</v>
      </c>
      <c r="F34" s="70" t="s">
        <v>40</v>
      </c>
      <c r="G34" s="71" t="s">
        <v>9</v>
      </c>
      <c r="H34" s="71" t="s">
        <v>57</v>
      </c>
      <c r="I34" s="66"/>
      <c r="J34" s="66" t="s">
        <v>150</v>
      </c>
      <c r="K34" s="57">
        <f>IF(Table121413[[#This Row],[modality]]=E33,1,0)</f>
        <v>1</v>
      </c>
      <c r="L34" s="66">
        <f>IF(Table121413[[#This Row],[stimulus]]=H35, 1, 0)</f>
        <v>0</v>
      </c>
      <c r="M34" s="66">
        <f t="shared" si="0"/>
        <v>0</v>
      </c>
      <c r="N34" s="66">
        <f t="shared" si="1"/>
        <v>0</v>
      </c>
    </row>
    <row r="35" spans="1:14" x14ac:dyDescent="0.3">
      <c r="A35" s="58">
        <v>2</v>
      </c>
      <c r="B35" s="58">
        <v>1</v>
      </c>
      <c r="C35" s="63">
        <v>34</v>
      </c>
      <c r="D35" s="78">
        <v>2</v>
      </c>
      <c r="E35" s="78" t="s">
        <v>80</v>
      </c>
      <c r="F35" s="78" t="s">
        <v>29</v>
      </c>
      <c r="G35" s="47" t="s">
        <v>42</v>
      </c>
      <c r="H35" s="47" t="s">
        <v>46</v>
      </c>
      <c r="I35" s="66"/>
      <c r="J35" s="66" t="s">
        <v>150</v>
      </c>
      <c r="K35" s="57">
        <f>IF(Table121413[[#This Row],[modality]]=E34,1,0)</f>
        <v>0</v>
      </c>
      <c r="L35" s="66">
        <f>IF(Table121413[[#This Row],[stimulus]]=H36, 1, 0)</f>
        <v>0</v>
      </c>
      <c r="M35" s="66">
        <f t="shared" si="0"/>
        <v>1</v>
      </c>
      <c r="N35" s="66">
        <f t="shared" si="1"/>
        <v>0</v>
      </c>
    </row>
    <row r="36" spans="1:14" x14ac:dyDescent="0.3">
      <c r="A36" s="58">
        <v>2</v>
      </c>
      <c r="B36" s="58">
        <v>1</v>
      </c>
      <c r="C36" s="63">
        <v>35</v>
      </c>
      <c r="D36" s="76">
        <v>2</v>
      </c>
      <c r="E36" s="76" t="s">
        <v>80</v>
      </c>
      <c r="F36" s="76" t="s">
        <v>29</v>
      </c>
      <c r="G36" s="77" t="s">
        <v>42</v>
      </c>
      <c r="H36" s="77" t="s">
        <v>45</v>
      </c>
      <c r="I36" s="66"/>
      <c r="J36" s="66" t="s">
        <v>151</v>
      </c>
      <c r="K36" s="57">
        <f>IF(Table121413[[#This Row],[modality]]=E35,1,0)</f>
        <v>1</v>
      </c>
      <c r="L36" s="66">
        <f>IF(Table121413[[#This Row],[stimulus]]=H37, 1, 0)</f>
        <v>0</v>
      </c>
      <c r="M36" s="66">
        <f t="shared" si="0"/>
        <v>0</v>
      </c>
      <c r="N36" s="66">
        <f t="shared" si="1"/>
        <v>1</v>
      </c>
    </row>
    <row r="37" spans="1:14" x14ac:dyDescent="0.3">
      <c r="A37" s="58">
        <v>2</v>
      </c>
      <c r="B37" s="58">
        <v>1</v>
      </c>
      <c r="C37" s="63">
        <v>36</v>
      </c>
      <c r="D37" s="67">
        <v>1</v>
      </c>
      <c r="E37" s="57" t="s">
        <v>81</v>
      </c>
      <c r="F37" s="68" t="s">
        <v>0</v>
      </c>
      <c r="G37" s="47" t="s">
        <v>41</v>
      </c>
      <c r="H37" s="47" t="s">
        <v>56</v>
      </c>
      <c r="I37" s="66"/>
      <c r="J37" s="66" t="s">
        <v>151</v>
      </c>
      <c r="K37" s="57">
        <f>IF(Table121413[[#This Row],[modality]]=E36,1,0)</f>
        <v>0</v>
      </c>
      <c r="L37" s="66">
        <f>IF(Table121413[[#This Row],[stimulus]]=H38, 1, 0)</f>
        <v>1</v>
      </c>
      <c r="M37" s="66">
        <f t="shared" si="0"/>
        <v>0</v>
      </c>
      <c r="N37" s="66">
        <f t="shared" si="1"/>
        <v>1</v>
      </c>
    </row>
    <row r="38" spans="1:14" x14ac:dyDescent="0.3">
      <c r="A38" s="58">
        <v>2</v>
      </c>
      <c r="B38" s="58">
        <v>1</v>
      </c>
      <c r="C38" s="63">
        <v>37</v>
      </c>
      <c r="D38" s="69">
        <v>2</v>
      </c>
      <c r="E38" s="69" t="s">
        <v>80</v>
      </c>
      <c r="F38" s="70" t="s">
        <v>40</v>
      </c>
      <c r="G38" s="71" t="s">
        <v>10</v>
      </c>
      <c r="H38" s="71" t="s">
        <v>56</v>
      </c>
      <c r="I38" s="66"/>
      <c r="J38" s="66" t="s">
        <v>150</v>
      </c>
      <c r="K38" s="57">
        <f>IF(Table121413[[#This Row],[modality]]=E37,1,0)</f>
        <v>0</v>
      </c>
      <c r="L38" s="66">
        <f>IF(Table121413[[#This Row],[stimulus]]=H39, 1, 0)</f>
        <v>0</v>
      </c>
      <c r="M38" s="66">
        <f t="shared" si="0"/>
        <v>0</v>
      </c>
      <c r="N38" s="66">
        <f t="shared" si="1"/>
        <v>0</v>
      </c>
    </row>
    <row r="39" spans="1:14" x14ac:dyDescent="0.3">
      <c r="A39" s="58">
        <v>2</v>
      </c>
      <c r="B39" s="58">
        <v>1</v>
      </c>
      <c r="C39" s="63">
        <v>38</v>
      </c>
      <c r="D39" s="67">
        <v>2</v>
      </c>
      <c r="E39" s="57" t="s">
        <v>80</v>
      </c>
      <c r="F39" s="68" t="s">
        <v>0</v>
      </c>
      <c r="G39" s="47" t="s">
        <v>41</v>
      </c>
      <c r="H39" s="47" t="s">
        <v>55</v>
      </c>
      <c r="I39" s="66"/>
      <c r="J39" s="66" t="s">
        <v>151</v>
      </c>
      <c r="K39" s="57">
        <f>IF(Table121413[[#This Row],[modality]]=E38,1,0)</f>
        <v>1</v>
      </c>
      <c r="L39" s="66">
        <f>IF(Table121413[[#This Row],[stimulus]]=H40, 1, 0)</f>
        <v>1</v>
      </c>
      <c r="M39" s="66">
        <f t="shared" si="0"/>
        <v>1</v>
      </c>
      <c r="N39" s="66">
        <f t="shared" si="1"/>
        <v>0</v>
      </c>
    </row>
    <row r="40" spans="1:14" x14ac:dyDescent="0.3">
      <c r="A40" s="58">
        <v>2</v>
      </c>
      <c r="B40" s="58">
        <v>1</v>
      </c>
      <c r="C40" s="63">
        <v>39</v>
      </c>
      <c r="D40" s="69">
        <v>1</v>
      </c>
      <c r="E40" s="69" t="s">
        <v>81</v>
      </c>
      <c r="F40" s="70" t="s">
        <v>40</v>
      </c>
      <c r="G40" s="71" t="s">
        <v>10</v>
      </c>
      <c r="H40" s="71" t="s">
        <v>55</v>
      </c>
      <c r="I40" s="66"/>
      <c r="J40" s="66" t="s">
        <v>150</v>
      </c>
      <c r="K40" s="57">
        <f>IF(Table121413[[#This Row],[modality]]=E39,1,0)</f>
        <v>0</v>
      </c>
      <c r="L40" s="66">
        <f>IF(Table121413[[#This Row],[stimulus]]=H41, 1, 0)</f>
        <v>0</v>
      </c>
      <c r="M40" s="66">
        <f t="shared" si="0"/>
        <v>0</v>
      </c>
      <c r="N40" s="66">
        <f t="shared" si="1"/>
        <v>0</v>
      </c>
    </row>
    <row r="41" spans="1:14" x14ac:dyDescent="0.3">
      <c r="A41" s="58">
        <v>2</v>
      </c>
      <c r="B41" s="58">
        <v>1</v>
      </c>
      <c r="C41" s="63">
        <v>40</v>
      </c>
      <c r="D41" s="78">
        <v>1</v>
      </c>
      <c r="E41" s="78" t="s">
        <v>81</v>
      </c>
      <c r="F41" s="78" t="s">
        <v>29</v>
      </c>
      <c r="G41" s="58" t="s">
        <v>42</v>
      </c>
      <c r="H41" s="58" t="s">
        <v>45</v>
      </c>
      <c r="I41" s="66"/>
      <c r="J41" s="66" t="s">
        <v>150</v>
      </c>
      <c r="K41" s="57">
        <f>IF(Table121413[[#This Row],[modality]]=E40,1,0)</f>
        <v>1</v>
      </c>
      <c r="L41" s="66">
        <f>IF(Table121413[[#This Row],[stimulus]]=H42, 1, 0)</f>
        <v>0</v>
      </c>
      <c r="M41" s="66">
        <f t="shared" si="0"/>
        <v>1</v>
      </c>
      <c r="N41" s="66">
        <f t="shared" si="1"/>
        <v>0</v>
      </c>
    </row>
    <row r="42" spans="1:14" x14ac:dyDescent="0.3">
      <c r="A42" s="58">
        <v>2</v>
      </c>
      <c r="B42" s="58">
        <v>1</v>
      </c>
      <c r="C42" s="63">
        <v>41</v>
      </c>
      <c r="D42" s="67">
        <v>1</v>
      </c>
      <c r="E42" s="69" t="s">
        <v>81</v>
      </c>
      <c r="F42" s="68" t="s">
        <v>0</v>
      </c>
      <c r="G42" s="47" t="s">
        <v>41</v>
      </c>
      <c r="H42" s="47" t="s">
        <v>54</v>
      </c>
      <c r="I42" s="66"/>
      <c r="J42" s="66" t="s">
        <v>151</v>
      </c>
      <c r="K42" s="57">
        <f>IF(Table121413[[#This Row],[modality]]=E41,1,0)</f>
        <v>1</v>
      </c>
      <c r="L42" s="66">
        <f>IF(Table121413[[#This Row],[stimulus]]=H43, 1, 0)</f>
        <v>1</v>
      </c>
      <c r="M42" s="66">
        <f t="shared" si="0"/>
        <v>0</v>
      </c>
      <c r="N42" s="66">
        <f t="shared" si="1"/>
        <v>1</v>
      </c>
    </row>
    <row r="43" spans="1:14" x14ac:dyDescent="0.3">
      <c r="A43" s="58">
        <v>2</v>
      </c>
      <c r="B43" s="58">
        <v>1</v>
      </c>
      <c r="C43" s="63">
        <v>42</v>
      </c>
      <c r="D43" s="57">
        <v>2</v>
      </c>
      <c r="E43" s="57" t="s">
        <v>80</v>
      </c>
      <c r="F43" s="65" t="s">
        <v>40</v>
      </c>
      <c r="G43" s="58" t="s">
        <v>10</v>
      </c>
      <c r="H43" s="58" t="s">
        <v>54</v>
      </c>
      <c r="I43" s="66"/>
      <c r="J43" s="66" t="s">
        <v>150</v>
      </c>
      <c r="K43" s="57">
        <f>IF(Table121413[[#This Row],[modality]]=E42,1,0)</f>
        <v>0</v>
      </c>
      <c r="L43" s="66">
        <f>IF(Table121413[[#This Row],[stimulus]]=H44, 1, 0)</f>
        <v>0</v>
      </c>
      <c r="M43" s="66">
        <f t="shared" si="0"/>
        <v>0</v>
      </c>
      <c r="N43" s="66">
        <f t="shared" si="1"/>
        <v>0</v>
      </c>
    </row>
    <row r="44" spans="1:14" x14ac:dyDescent="0.3">
      <c r="A44" s="58">
        <v>2</v>
      </c>
      <c r="B44" s="58">
        <v>1</v>
      </c>
      <c r="C44" s="63">
        <v>43</v>
      </c>
      <c r="D44" s="78">
        <v>1</v>
      </c>
      <c r="E44" s="78" t="s">
        <v>81</v>
      </c>
      <c r="F44" s="78" t="s">
        <v>29</v>
      </c>
      <c r="G44" s="58" t="s">
        <v>42</v>
      </c>
      <c r="H44" s="58" t="s">
        <v>49</v>
      </c>
      <c r="I44" s="66"/>
      <c r="J44" s="66" t="s">
        <v>150</v>
      </c>
      <c r="K44" s="57">
        <f>IF(Table121413[[#This Row],[modality]]=E43,1,0)</f>
        <v>0</v>
      </c>
      <c r="L44" s="66">
        <f>IF(Table121413[[#This Row],[stimulus]]=H45, 1, 0)</f>
        <v>0</v>
      </c>
      <c r="M44" s="66">
        <f t="shared" si="0"/>
        <v>1</v>
      </c>
      <c r="N44" s="66">
        <f t="shared" si="1"/>
        <v>0</v>
      </c>
    </row>
    <row r="45" spans="1:14" x14ac:dyDescent="0.3">
      <c r="A45" s="58">
        <v>2</v>
      </c>
      <c r="B45" s="58">
        <v>1</v>
      </c>
      <c r="C45" s="63">
        <v>44</v>
      </c>
      <c r="D45" s="78">
        <v>2</v>
      </c>
      <c r="E45" s="78" t="s">
        <v>80</v>
      </c>
      <c r="F45" s="78" t="s">
        <v>29</v>
      </c>
      <c r="G45" s="71" t="s">
        <v>42</v>
      </c>
      <c r="H45" s="71" t="s">
        <v>47</v>
      </c>
      <c r="I45" s="66"/>
      <c r="J45" s="66" t="s">
        <v>151</v>
      </c>
      <c r="K45" s="57">
        <f>IF(Table121413[[#This Row],[modality]]=E44,1,0)</f>
        <v>0</v>
      </c>
      <c r="L45" s="66">
        <f>IF(Table121413[[#This Row],[stimulus]]=H46, 1, 0)</f>
        <v>0</v>
      </c>
      <c r="M45" s="66">
        <f t="shared" si="0"/>
        <v>0</v>
      </c>
      <c r="N45" s="66">
        <f t="shared" si="1"/>
        <v>1</v>
      </c>
    </row>
    <row r="46" spans="1:14" x14ac:dyDescent="0.3">
      <c r="A46" s="58">
        <v>2</v>
      </c>
      <c r="B46" s="58">
        <v>1</v>
      </c>
      <c r="C46" s="63">
        <v>45</v>
      </c>
      <c r="D46" s="67">
        <v>2</v>
      </c>
      <c r="E46" s="67" t="s">
        <v>80</v>
      </c>
      <c r="F46" s="68" t="s">
        <v>0</v>
      </c>
      <c r="G46" s="47" t="s">
        <v>41</v>
      </c>
      <c r="H46" s="47" t="s">
        <v>53</v>
      </c>
      <c r="I46" s="66"/>
      <c r="J46" s="66" t="s">
        <v>151</v>
      </c>
      <c r="K46" s="57">
        <f>IF(Table121413[[#This Row],[modality]]=E45,1,0)</f>
        <v>1</v>
      </c>
      <c r="L46" s="66">
        <f>IF(Table121413[[#This Row],[stimulus]]=H47, 1, 0)</f>
        <v>1</v>
      </c>
      <c r="M46" s="66">
        <f t="shared" si="0"/>
        <v>0</v>
      </c>
      <c r="N46" s="66">
        <f t="shared" si="1"/>
        <v>1</v>
      </c>
    </row>
    <row r="47" spans="1:14" x14ac:dyDescent="0.3">
      <c r="A47" s="58">
        <v>2</v>
      </c>
      <c r="B47" s="58">
        <v>1</v>
      </c>
      <c r="C47" s="63">
        <v>46</v>
      </c>
      <c r="D47" s="69">
        <v>2</v>
      </c>
      <c r="E47" s="69" t="s">
        <v>80</v>
      </c>
      <c r="F47" s="70" t="s">
        <v>40</v>
      </c>
      <c r="G47" s="71" t="s">
        <v>9</v>
      </c>
      <c r="H47" s="71" t="s">
        <v>53</v>
      </c>
      <c r="I47" s="66"/>
      <c r="J47" s="66" t="s">
        <v>150</v>
      </c>
      <c r="K47" s="57">
        <f>IF(Table121413[[#This Row],[modality]]=E46,1,0)</f>
        <v>1</v>
      </c>
      <c r="L47" s="66">
        <f>IF(Table121413[[#This Row],[stimulus]]=H48, 1, 0)</f>
        <v>0</v>
      </c>
      <c r="M47" s="66">
        <f t="shared" si="0"/>
        <v>0</v>
      </c>
      <c r="N47" s="66">
        <f t="shared" si="1"/>
        <v>0</v>
      </c>
    </row>
    <row r="48" spans="1:14" x14ac:dyDescent="0.3">
      <c r="A48" s="58">
        <v>2</v>
      </c>
      <c r="B48" s="58">
        <v>1</v>
      </c>
      <c r="C48" s="63">
        <v>47</v>
      </c>
      <c r="D48" s="78">
        <v>1</v>
      </c>
      <c r="E48" s="78" t="s">
        <v>81</v>
      </c>
      <c r="F48" s="78" t="s">
        <v>29</v>
      </c>
      <c r="G48" s="47" t="s">
        <v>42</v>
      </c>
      <c r="H48" s="47" t="s">
        <v>48</v>
      </c>
      <c r="I48" s="66"/>
      <c r="J48" s="66" t="s">
        <v>150</v>
      </c>
      <c r="K48" s="57">
        <f>IF(Table121413[[#This Row],[modality]]=E47,1,0)</f>
        <v>0</v>
      </c>
      <c r="L48" s="66">
        <f>IF(Table121413[[#This Row],[stimulus]]=H49, 1, 0)</f>
        <v>0</v>
      </c>
      <c r="M48" s="66">
        <f t="shared" si="0"/>
        <v>1</v>
      </c>
      <c r="N48" s="66">
        <f t="shared" si="1"/>
        <v>0</v>
      </c>
    </row>
    <row r="49" spans="1:14" x14ac:dyDescent="0.3">
      <c r="A49" s="58">
        <v>2</v>
      </c>
      <c r="B49" s="58">
        <v>1</v>
      </c>
      <c r="C49" s="63">
        <v>48</v>
      </c>
      <c r="D49" s="69">
        <v>2</v>
      </c>
      <c r="E49" s="69" t="s">
        <v>80</v>
      </c>
      <c r="F49" s="70" t="s">
        <v>0</v>
      </c>
      <c r="G49" s="71" t="s">
        <v>41</v>
      </c>
      <c r="H49" s="71" t="s">
        <v>52</v>
      </c>
      <c r="I49" s="66"/>
      <c r="J49" s="66" t="s">
        <v>151</v>
      </c>
      <c r="K49" s="57">
        <f>IF(Table121413[[#This Row],[modality]]=E48,1,0)</f>
        <v>0</v>
      </c>
      <c r="L49" s="66">
        <f>IF(Table121413[[#This Row],[stimulus]]=H50, 1, 0)</f>
        <v>1</v>
      </c>
      <c r="M49" s="66">
        <f t="shared" si="0"/>
        <v>0</v>
      </c>
      <c r="N49" s="66">
        <f t="shared" si="1"/>
        <v>1</v>
      </c>
    </row>
    <row r="50" spans="1:14" x14ac:dyDescent="0.3">
      <c r="A50" s="58">
        <v>2</v>
      </c>
      <c r="B50" s="58">
        <v>1</v>
      </c>
      <c r="C50" s="63">
        <v>49</v>
      </c>
      <c r="D50" s="67">
        <v>2</v>
      </c>
      <c r="E50" s="67" t="s">
        <v>80</v>
      </c>
      <c r="F50" s="68" t="s">
        <v>40</v>
      </c>
      <c r="G50" s="47" t="s">
        <v>9</v>
      </c>
      <c r="H50" s="47" t="s">
        <v>52</v>
      </c>
      <c r="I50" s="66"/>
      <c r="J50" s="66" t="s">
        <v>150</v>
      </c>
      <c r="K50" s="57">
        <f>IF(Table121413[[#This Row],[modality]]=E49,1,0)</f>
        <v>1</v>
      </c>
      <c r="L50" s="66">
        <f>IF(Table121413[[#This Row],[stimulus]]=H51, 1, 0)</f>
        <v>0</v>
      </c>
      <c r="M50" s="66">
        <f t="shared" si="0"/>
        <v>0</v>
      </c>
      <c r="N50" s="66">
        <f t="shared" si="1"/>
        <v>0</v>
      </c>
    </row>
    <row r="51" spans="1:14" x14ac:dyDescent="0.3">
      <c r="A51" s="58">
        <v>2</v>
      </c>
      <c r="B51" s="58">
        <v>1</v>
      </c>
      <c r="C51" s="63">
        <v>50</v>
      </c>
      <c r="D51" s="79">
        <v>1</v>
      </c>
      <c r="E51" s="79" t="s">
        <v>81</v>
      </c>
      <c r="F51" s="80" t="s">
        <v>29</v>
      </c>
      <c r="G51" s="52" t="s">
        <v>42</v>
      </c>
      <c r="H51" s="52"/>
      <c r="I51" s="75" t="s">
        <v>127</v>
      </c>
      <c r="J51" s="66" t="s">
        <v>150</v>
      </c>
      <c r="K51" s="57">
        <f>IF(Table121413[[#This Row],[modality]]=E50,1,0)</f>
        <v>0</v>
      </c>
      <c r="L51" s="66">
        <f>IF(Table121413[[#This Row],[stimulus]]=H52, 1, 0)</f>
        <v>0</v>
      </c>
      <c r="M51" s="66">
        <f t="shared" si="0"/>
        <v>1</v>
      </c>
      <c r="N51" s="66">
        <f t="shared" si="1"/>
        <v>0</v>
      </c>
    </row>
    <row r="52" spans="1:14" x14ac:dyDescent="0.3">
      <c r="A52" s="58">
        <v>2</v>
      </c>
      <c r="B52" s="58">
        <v>1</v>
      </c>
      <c r="C52" s="63">
        <v>51</v>
      </c>
      <c r="D52" s="65">
        <v>1</v>
      </c>
      <c r="E52" s="65" t="s">
        <v>81</v>
      </c>
      <c r="F52" s="65" t="s">
        <v>29</v>
      </c>
      <c r="G52" s="58" t="s">
        <v>42</v>
      </c>
      <c r="H52" s="58" t="s">
        <v>47</v>
      </c>
      <c r="I52" s="66"/>
      <c r="J52" s="66" t="s">
        <v>151</v>
      </c>
      <c r="K52" s="57">
        <f>IF(Table121413[[#This Row],[modality]]=E51,1,0)</f>
        <v>1</v>
      </c>
      <c r="L52" s="66">
        <f>IF(Table121413[[#This Row],[stimulus]]=H53, 1, 0)</f>
        <v>0</v>
      </c>
      <c r="M52" s="66">
        <f t="shared" si="0"/>
        <v>0</v>
      </c>
      <c r="N52" s="66">
        <f t="shared" si="1"/>
        <v>1</v>
      </c>
    </row>
    <row r="53" spans="1:14" x14ac:dyDescent="0.3">
      <c r="A53" s="58">
        <v>2</v>
      </c>
      <c r="B53" s="58">
        <v>1</v>
      </c>
      <c r="C53" s="63">
        <v>52</v>
      </c>
      <c r="D53" s="78">
        <v>2</v>
      </c>
      <c r="E53" s="78" t="s">
        <v>80</v>
      </c>
      <c r="F53" s="78" t="s">
        <v>29</v>
      </c>
      <c r="G53" s="47" t="s">
        <v>42</v>
      </c>
      <c r="H53" s="47" t="s">
        <v>50</v>
      </c>
      <c r="I53" s="66"/>
      <c r="J53" s="66" t="s">
        <v>151</v>
      </c>
      <c r="K53" s="57">
        <f>IF(Table121413[[#This Row],[modality]]=E52,1,0)</f>
        <v>0</v>
      </c>
      <c r="L53" s="66">
        <f>IF(Table121413[[#This Row],[stimulus]]=H54, 1, 0)</f>
        <v>0</v>
      </c>
      <c r="M53" s="66">
        <f t="shared" si="0"/>
        <v>0</v>
      </c>
      <c r="N53" s="66">
        <f t="shared" si="1"/>
        <v>1</v>
      </c>
    </row>
    <row r="54" spans="1:14" x14ac:dyDescent="0.3">
      <c r="A54" s="58">
        <v>2</v>
      </c>
      <c r="B54" s="58">
        <v>1</v>
      </c>
      <c r="C54" s="63">
        <v>53</v>
      </c>
      <c r="D54" s="69">
        <v>2</v>
      </c>
      <c r="E54" s="69" t="s">
        <v>80</v>
      </c>
      <c r="F54" s="70" t="s">
        <v>0</v>
      </c>
      <c r="G54" s="71" t="s">
        <v>41</v>
      </c>
      <c r="H54" s="71" t="s">
        <v>51</v>
      </c>
      <c r="I54" s="66"/>
      <c r="J54" s="66" t="s">
        <v>151</v>
      </c>
      <c r="K54" s="57">
        <f>IF(Table121413[[#This Row],[modality]]=E53,1,0)</f>
        <v>1</v>
      </c>
      <c r="L54" s="66">
        <f>IF(Table121413[[#This Row],[stimulus]]=H55, 1, 0)</f>
        <v>1</v>
      </c>
      <c r="M54" s="66">
        <f t="shared" si="0"/>
        <v>0</v>
      </c>
      <c r="N54" s="66">
        <f t="shared" si="1"/>
        <v>1</v>
      </c>
    </row>
    <row r="55" spans="1:14" x14ac:dyDescent="0.3">
      <c r="A55" s="58">
        <v>2</v>
      </c>
      <c r="B55" s="58">
        <v>1</v>
      </c>
      <c r="C55" s="63">
        <v>54</v>
      </c>
      <c r="D55" s="67">
        <v>1</v>
      </c>
      <c r="E55" s="67" t="s">
        <v>81</v>
      </c>
      <c r="F55" s="68" t="s">
        <v>40</v>
      </c>
      <c r="G55" s="47" t="s">
        <v>10</v>
      </c>
      <c r="H55" s="47" t="s">
        <v>51</v>
      </c>
      <c r="I55" s="66"/>
      <c r="J55" s="66" t="s">
        <v>150</v>
      </c>
      <c r="K55" s="57">
        <f>IF(Table121413[[#This Row],[modality]]=E54,1,0)</f>
        <v>0</v>
      </c>
      <c r="L55" s="66">
        <f>IF(Table121413[[#This Row],[stimulus]]=H56, 1, 0)</f>
        <v>0</v>
      </c>
      <c r="M55" s="66">
        <f t="shared" si="0"/>
        <v>0</v>
      </c>
      <c r="N55" s="66">
        <f t="shared" si="1"/>
        <v>0</v>
      </c>
    </row>
    <row r="56" spans="1:14" x14ac:dyDescent="0.3">
      <c r="A56" s="59">
        <v>3</v>
      </c>
      <c r="B56" s="58">
        <v>1</v>
      </c>
      <c r="C56" s="63">
        <v>55</v>
      </c>
      <c r="D56" s="67">
        <v>1</v>
      </c>
      <c r="E56" s="67" t="s">
        <v>81</v>
      </c>
      <c r="F56" s="68" t="s">
        <v>0</v>
      </c>
      <c r="G56" s="47" t="s">
        <v>41</v>
      </c>
      <c r="H56" s="47" t="s">
        <v>59</v>
      </c>
      <c r="I56" s="66"/>
      <c r="J56" s="66" t="s">
        <v>151</v>
      </c>
      <c r="K56" s="57">
        <f>IF(Table121413[[#This Row],[modality]]=E55,1,0)</f>
        <v>1</v>
      </c>
      <c r="L56" s="66">
        <f>IF(Table121413[[#This Row],[stimulus]]=H57, 1, 0)</f>
        <v>1</v>
      </c>
      <c r="M56" s="66">
        <f t="shared" si="0"/>
        <v>1</v>
      </c>
      <c r="N56" s="66">
        <f t="shared" si="1"/>
        <v>0</v>
      </c>
    </row>
    <row r="57" spans="1:14" x14ac:dyDescent="0.3">
      <c r="A57" s="59">
        <v>3</v>
      </c>
      <c r="B57" s="58">
        <v>1</v>
      </c>
      <c r="C57" s="63">
        <v>56</v>
      </c>
      <c r="D57" s="57">
        <v>2</v>
      </c>
      <c r="E57" s="57" t="s">
        <v>80</v>
      </c>
      <c r="F57" s="65" t="s">
        <v>40</v>
      </c>
      <c r="G57" s="58" t="s">
        <v>10</v>
      </c>
      <c r="H57" s="58" t="s">
        <v>59</v>
      </c>
      <c r="I57" s="66"/>
      <c r="J57" s="66" t="s">
        <v>150</v>
      </c>
      <c r="K57" s="57">
        <f>IF(Table121413[[#This Row],[modality]]=E56,1,0)</f>
        <v>0</v>
      </c>
      <c r="L57" s="66">
        <f>IF(Table121413[[#This Row],[stimulus]]=H58, 1, 0)</f>
        <v>0</v>
      </c>
      <c r="M57" s="66">
        <f t="shared" si="0"/>
        <v>0</v>
      </c>
      <c r="N57" s="66">
        <f t="shared" si="1"/>
        <v>0</v>
      </c>
    </row>
    <row r="58" spans="1:14" x14ac:dyDescent="0.3">
      <c r="A58" s="58">
        <v>3</v>
      </c>
      <c r="B58" s="58">
        <v>1</v>
      </c>
      <c r="C58" s="63">
        <v>57</v>
      </c>
      <c r="D58" s="81">
        <v>2</v>
      </c>
      <c r="E58" s="81" t="s">
        <v>80</v>
      </c>
      <c r="F58" s="82" t="s">
        <v>29</v>
      </c>
      <c r="G58" s="83" t="s">
        <v>42</v>
      </c>
      <c r="H58" s="83"/>
      <c r="I58" s="75" t="s">
        <v>127</v>
      </c>
      <c r="J58" s="75" t="s">
        <v>150</v>
      </c>
      <c r="K58" s="57">
        <f>IF(Table121413[[#This Row],[modality]]=E57,1,0)</f>
        <v>1</v>
      </c>
      <c r="L58" s="66">
        <f>IF(Table121413[[#This Row],[stimulus]]=H59, 1, 0)</f>
        <v>0</v>
      </c>
      <c r="M58" s="66">
        <f t="shared" si="0"/>
        <v>1</v>
      </c>
      <c r="N58" s="66">
        <f t="shared" si="1"/>
        <v>0</v>
      </c>
    </row>
    <row r="59" spans="1:14" x14ac:dyDescent="0.3">
      <c r="A59" s="59">
        <v>3</v>
      </c>
      <c r="B59" s="58">
        <v>1</v>
      </c>
      <c r="C59" s="63">
        <v>58</v>
      </c>
      <c r="D59" s="67">
        <v>2</v>
      </c>
      <c r="E59" s="67" t="s">
        <v>80</v>
      </c>
      <c r="F59" s="68" t="s">
        <v>0</v>
      </c>
      <c r="G59" s="47" t="s">
        <v>41</v>
      </c>
      <c r="H59" s="47" t="s">
        <v>60</v>
      </c>
      <c r="I59" s="66"/>
      <c r="J59" s="66" t="s">
        <v>151</v>
      </c>
      <c r="K59" s="57">
        <f>IF(Table121413[[#This Row],[modality]]=E58,1,0)</f>
        <v>1</v>
      </c>
      <c r="L59" s="66">
        <f>IF(Table121413[[#This Row],[stimulus]]=H60, 1, 0)</f>
        <v>1</v>
      </c>
      <c r="M59" s="66">
        <f t="shared" si="0"/>
        <v>0</v>
      </c>
      <c r="N59" s="66">
        <f t="shared" si="1"/>
        <v>1</v>
      </c>
    </row>
    <row r="60" spans="1:14" x14ac:dyDescent="0.3">
      <c r="A60" s="59">
        <v>3</v>
      </c>
      <c r="B60" s="58">
        <v>1</v>
      </c>
      <c r="C60" s="63">
        <v>59</v>
      </c>
      <c r="D60" s="69">
        <v>1</v>
      </c>
      <c r="E60" s="69" t="s">
        <v>81</v>
      </c>
      <c r="F60" s="70" t="s">
        <v>40</v>
      </c>
      <c r="G60" s="71" t="s">
        <v>10</v>
      </c>
      <c r="H60" s="71" t="s">
        <v>60</v>
      </c>
      <c r="I60" s="66"/>
      <c r="J60" s="66" t="s">
        <v>150</v>
      </c>
      <c r="K60" s="57">
        <f>IF(Table121413[[#This Row],[modality]]=E59,1,0)</f>
        <v>0</v>
      </c>
      <c r="L60" s="66">
        <f>IF(Table121413[[#This Row],[stimulus]]=H61, 1, 0)</f>
        <v>0</v>
      </c>
      <c r="M60" s="66">
        <f t="shared" si="0"/>
        <v>0</v>
      </c>
      <c r="N60" s="66">
        <f t="shared" si="1"/>
        <v>0</v>
      </c>
    </row>
    <row r="61" spans="1:14" x14ac:dyDescent="0.3">
      <c r="A61" s="59">
        <v>3</v>
      </c>
      <c r="B61" s="58">
        <v>1</v>
      </c>
      <c r="C61" s="63">
        <v>60</v>
      </c>
      <c r="D61" s="84">
        <v>1</v>
      </c>
      <c r="E61" s="84" t="s">
        <v>81</v>
      </c>
      <c r="F61" s="84" t="s">
        <v>29</v>
      </c>
      <c r="G61" s="47" t="s">
        <v>42</v>
      </c>
      <c r="H61" s="47" t="s">
        <v>58</v>
      </c>
      <c r="I61" s="66"/>
      <c r="J61" s="66" t="s">
        <v>150</v>
      </c>
      <c r="K61" s="57">
        <f>IF(Table121413[[#This Row],[modality]]=E60,1,0)</f>
        <v>1</v>
      </c>
      <c r="L61" s="66">
        <f>IF(Table121413[[#This Row],[stimulus]]=H62, 1, 0)</f>
        <v>0</v>
      </c>
      <c r="M61" s="66">
        <f t="shared" si="0"/>
        <v>1</v>
      </c>
      <c r="N61" s="66">
        <f t="shared" si="1"/>
        <v>0</v>
      </c>
    </row>
    <row r="62" spans="1:14" x14ac:dyDescent="0.3">
      <c r="A62" s="59">
        <v>3</v>
      </c>
      <c r="B62" s="58">
        <v>1</v>
      </c>
      <c r="C62" s="63">
        <v>61</v>
      </c>
      <c r="D62" s="69">
        <v>1</v>
      </c>
      <c r="E62" s="69" t="s">
        <v>81</v>
      </c>
      <c r="F62" s="70" t="s">
        <v>0</v>
      </c>
      <c r="G62" s="71" t="s">
        <v>41</v>
      </c>
      <c r="H62" s="71" t="s">
        <v>61</v>
      </c>
      <c r="I62" s="66"/>
      <c r="J62" s="66" t="s">
        <v>151</v>
      </c>
      <c r="K62" s="57">
        <f>IF(Table121413[[#This Row],[modality]]=E61,1,0)</f>
        <v>1</v>
      </c>
      <c r="L62" s="66">
        <f>IF(Table121413[[#This Row],[stimulus]]=H63, 1, 0)</f>
        <v>1</v>
      </c>
      <c r="M62" s="66">
        <f t="shared" si="0"/>
        <v>0</v>
      </c>
      <c r="N62" s="66">
        <f t="shared" si="1"/>
        <v>1</v>
      </c>
    </row>
    <row r="63" spans="1:14" x14ac:dyDescent="0.3">
      <c r="A63" s="59">
        <v>3</v>
      </c>
      <c r="B63" s="58">
        <v>1</v>
      </c>
      <c r="C63" s="63">
        <v>62</v>
      </c>
      <c r="D63" s="67">
        <v>2</v>
      </c>
      <c r="E63" s="67" t="s">
        <v>80</v>
      </c>
      <c r="F63" s="68" t="s">
        <v>40</v>
      </c>
      <c r="G63" s="47" t="s">
        <v>10</v>
      </c>
      <c r="H63" s="47" t="s">
        <v>61</v>
      </c>
      <c r="I63" s="66"/>
      <c r="J63" s="66" t="s">
        <v>150</v>
      </c>
      <c r="K63" s="57">
        <f>IF(Table121413[[#This Row],[modality]]=E62,1,0)</f>
        <v>0</v>
      </c>
      <c r="L63" s="66">
        <f>IF(Table121413[[#This Row],[stimulus]]=H64, 1, 0)</f>
        <v>0</v>
      </c>
      <c r="M63" s="66">
        <f t="shared" si="0"/>
        <v>0</v>
      </c>
      <c r="N63" s="66">
        <f t="shared" si="1"/>
        <v>0</v>
      </c>
    </row>
    <row r="64" spans="1:14" x14ac:dyDescent="0.3">
      <c r="A64" s="59">
        <v>3</v>
      </c>
      <c r="B64" s="58">
        <v>1</v>
      </c>
      <c r="C64" s="63">
        <v>63</v>
      </c>
      <c r="D64" s="84">
        <v>2</v>
      </c>
      <c r="E64" s="84" t="s">
        <v>80</v>
      </c>
      <c r="F64" s="84" t="s">
        <v>29</v>
      </c>
      <c r="G64" s="71" t="s">
        <v>42</v>
      </c>
      <c r="H64" s="71" t="s">
        <v>57</v>
      </c>
      <c r="I64" s="66"/>
      <c r="J64" s="66" t="s">
        <v>150</v>
      </c>
      <c r="K64" s="57">
        <f>IF(Table121413[[#This Row],[modality]]=E63,1,0)</f>
        <v>1</v>
      </c>
      <c r="L64" s="66">
        <f>IF(Table121413[[#This Row],[stimulus]]=H65, 1, 0)</f>
        <v>0</v>
      </c>
      <c r="M64" s="66">
        <f t="shared" si="0"/>
        <v>1</v>
      </c>
      <c r="N64" s="66">
        <f t="shared" si="1"/>
        <v>0</v>
      </c>
    </row>
    <row r="65" spans="1:14" x14ac:dyDescent="0.3">
      <c r="A65" s="59">
        <v>3</v>
      </c>
      <c r="B65" s="58">
        <v>1</v>
      </c>
      <c r="C65" s="63">
        <v>64</v>
      </c>
      <c r="D65" s="84">
        <v>1</v>
      </c>
      <c r="E65" s="84" t="s">
        <v>81</v>
      </c>
      <c r="F65" s="84" t="s">
        <v>29</v>
      </c>
      <c r="G65" s="58" t="s">
        <v>42</v>
      </c>
      <c r="H65" s="58" t="s">
        <v>55</v>
      </c>
      <c r="I65" s="66"/>
      <c r="J65" s="66" t="s">
        <v>150</v>
      </c>
      <c r="K65" s="57">
        <f>IF(Table121413[[#This Row],[modality]]=E64,1,0)</f>
        <v>0</v>
      </c>
      <c r="L65" s="66">
        <f>IF(Table121413[[#This Row],[stimulus]]=H66, 1, 0)</f>
        <v>0</v>
      </c>
      <c r="M65" s="66">
        <f t="shared" si="0"/>
        <v>0</v>
      </c>
      <c r="N65" s="66">
        <f t="shared" si="1"/>
        <v>1</v>
      </c>
    </row>
    <row r="66" spans="1:14" x14ac:dyDescent="0.3">
      <c r="A66" s="59">
        <v>3</v>
      </c>
      <c r="B66" s="58">
        <v>1</v>
      </c>
      <c r="C66" s="63">
        <v>65</v>
      </c>
      <c r="D66" s="67">
        <v>2</v>
      </c>
      <c r="E66" s="67" t="s">
        <v>80</v>
      </c>
      <c r="F66" s="68" t="s">
        <v>0</v>
      </c>
      <c r="G66" s="47" t="s">
        <v>41</v>
      </c>
      <c r="H66" s="47" t="s">
        <v>62</v>
      </c>
      <c r="I66" s="66"/>
      <c r="J66" s="66" t="s">
        <v>151</v>
      </c>
      <c r="K66" s="57">
        <f>IF(Table121413[[#This Row],[modality]]=E65,1,0)</f>
        <v>0</v>
      </c>
      <c r="L66" s="66">
        <f>IF(Table121413[[#This Row],[stimulus]]=H67, 1, 0)</f>
        <v>1</v>
      </c>
      <c r="M66" s="66">
        <f t="shared" si="0"/>
        <v>0</v>
      </c>
      <c r="N66" s="66">
        <f t="shared" si="1"/>
        <v>1</v>
      </c>
    </row>
    <row r="67" spans="1:14" x14ac:dyDescent="0.3">
      <c r="A67" s="59">
        <v>3</v>
      </c>
      <c r="B67" s="58">
        <v>1</v>
      </c>
      <c r="C67" s="63">
        <v>66</v>
      </c>
      <c r="D67" s="57">
        <v>2</v>
      </c>
      <c r="E67" s="57" t="s">
        <v>80</v>
      </c>
      <c r="F67" s="65" t="s">
        <v>40</v>
      </c>
      <c r="G67" s="58" t="s">
        <v>9</v>
      </c>
      <c r="H67" s="58" t="s">
        <v>62</v>
      </c>
      <c r="I67" s="66"/>
      <c r="J67" s="66" t="s">
        <v>150</v>
      </c>
      <c r="K67" s="57">
        <f>IF(Table121413[[#This Row],[modality]]=E66,1,0)</f>
        <v>1</v>
      </c>
      <c r="L67" s="66">
        <f>IF(Table121413[[#This Row],[stimulus]]=H68, 1, 0)</f>
        <v>0</v>
      </c>
      <c r="M67" s="66">
        <f t="shared" ref="M67:M130" si="2">IF(F66="T",1,0)</f>
        <v>0</v>
      </c>
      <c r="N67" s="66">
        <f t="shared" ref="N67:N130" si="3">IF(F66="F",1,0)</f>
        <v>0</v>
      </c>
    </row>
    <row r="68" spans="1:14" x14ac:dyDescent="0.3">
      <c r="A68" s="59">
        <v>3</v>
      </c>
      <c r="B68" s="58">
        <v>1</v>
      </c>
      <c r="C68" s="63">
        <v>67</v>
      </c>
      <c r="D68" s="84">
        <v>1</v>
      </c>
      <c r="E68" s="84" t="s">
        <v>81</v>
      </c>
      <c r="F68" s="84" t="s">
        <v>29</v>
      </c>
      <c r="G68" s="47" t="s">
        <v>42</v>
      </c>
      <c r="H68" s="47" t="s">
        <v>56</v>
      </c>
      <c r="I68" s="66"/>
      <c r="J68" s="66" t="s">
        <v>150</v>
      </c>
      <c r="K68" s="57">
        <f>IF(Table121413[[#This Row],[modality]]=E67,1,0)</f>
        <v>0</v>
      </c>
      <c r="L68" s="66">
        <f>IF(Table121413[[#This Row],[stimulus]]=H69, 1, 0)</f>
        <v>0</v>
      </c>
      <c r="M68" s="66">
        <f t="shared" si="2"/>
        <v>1</v>
      </c>
      <c r="N68" s="66">
        <f t="shared" si="3"/>
        <v>0</v>
      </c>
    </row>
    <row r="69" spans="1:14" x14ac:dyDescent="0.3">
      <c r="A69" s="59">
        <v>3</v>
      </c>
      <c r="B69" s="58">
        <v>1</v>
      </c>
      <c r="C69" s="63">
        <v>68</v>
      </c>
      <c r="D69" s="84">
        <v>2</v>
      </c>
      <c r="E69" s="84" t="s">
        <v>80</v>
      </c>
      <c r="F69" s="84" t="s">
        <v>29</v>
      </c>
      <c r="G69" s="47" t="s">
        <v>42</v>
      </c>
      <c r="H69" s="47" t="s">
        <v>54</v>
      </c>
      <c r="I69" s="66"/>
      <c r="J69" s="66" t="s">
        <v>151</v>
      </c>
      <c r="K69" s="57">
        <f>IF(Table121413[[#This Row],[modality]]=E68,1,0)</f>
        <v>0</v>
      </c>
      <c r="L69" s="66">
        <f>IF(Table121413[[#This Row],[stimulus]]=H70, 1, 0)</f>
        <v>0</v>
      </c>
      <c r="M69" s="66">
        <f t="shared" si="2"/>
        <v>0</v>
      </c>
      <c r="N69" s="66">
        <f t="shared" si="3"/>
        <v>1</v>
      </c>
    </row>
    <row r="70" spans="1:14" x14ac:dyDescent="0.3">
      <c r="A70" s="59">
        <v>3</v>
      </c>
      <c r="B70" s="58">
        <v>1</v>
      </c>
      <c r="C70" s="63">
        <v>69</v>
      </c>
      <c r="D70" s="69">
        <v>2</v>
      </c>
      <c r="E70" s="69" t="s">
        <v>80</v>
      </c>
      <c r="F70" s="70" t="s">
        <v>0</v>
      </c>
      <c r="G70" s="71" t="s">
        <v>41</v>
      </c>
      <c r="H70" s="71" t="s">
        <v>63</v>
      </c>
      <c r="I70" s="66"/>
      <c r="J70" s="66" t="s">
        <v>151</v>
      </c>
      <c r="K70" s="57">
        <f>IF(Table121413[[#This Row],[modality]]=E69,1,0)</f>
        <v>1</v>
      </c>
      <c r="L70" s="66">
        <f>IF(Table121413[[#This Row],[stimulus]]=H71, 1, 0)</f>
        <v>1</v>
      </c>
      <c r="M70" s="66">
        <f t="shared" si="2"/>
        <v>0</v>
      </c>
      <c r="N70" s="66">
        <f t="shared" si="3"/>
        <v>1</v>
      </c>
    </row>
    <row r="71" spans="1:14" x14ac:dyDescent="0.3">
      <c r="A71" s="59">
        <v>3</v>
      </c>
      <c r="B71" s="58">
        <v>1</v>
      </c>
      <c r="C71" s="63">
        <v>70</v>
      </c>
      <c r="D71" s="67">
        <v>2</v>
      </c>
      <c r="E71" s="67" t="s">
        <v>80</v>
      </c>
      <c r="F71" s="68" t="s">
        <v>40</v>
      </c>
      <c r="G71" s="47" t="s">
        <v>9</v>
      </c>
      <c r="H71" s="47" t="s">
        <v>63</v>
      </c>
      <c r="I71" s="66"/>
      <c r="J71" s="66" t="s">
        <v>150</v>
      </c>
      <c r="K71" s="57">
        <f>IF(Table121413[[#This Row],[modality]]=E70,1,0)</f>
        <v>1</v>
      </c>
      <c r="L71" s="66">
        <f>IF(Table121413[[#This Row],[stimulus]]=H72, 1, 0)</f>
        <v>0</v>
      </c>
      <c r="M71" s="66">
        <f t="shared" si="2"/>
        <v>0</v>
      </c>
      <c r="N71" s="66">
        <f t="shared" si="3"/>
        <v>0</v>
      </c>
    </row>
    <row r="72" spans="1:14" x14ac:dyDescent="0.3">
      <c r="A72" s="58">
        <v>3</v>
      </c>
      <c r="B72" s="58">
        <v>1</v>
      </c>
      <c r="C72" s="63">
        <v>71</v>
      </c>
      <c r="D72" s="79">
        <v>1</v>
      </c>
      <c r="E72" s="79" t="s">
        <v>81</v>
      </c>
      <c r="F72" s="80" t="s">
        <v>29</v>
      </c>
      <c r="G72" s="52" t="s">
        <v>42</v>
      </c>
      <c r="H72" s="52"/>
      <c r="I72" s="75" t="s">
        <v>127</v>
      </c>
      <c r="J72" s="75" t="s">
        <v>150</v>
      </c>
      <c r="K72" s="57">
        <f>IF(Table121413[[#This Row],[modality]]=E71,1,0)</f>
        <v>0</v>
      </c>
      <c r="L72" s="66">
        <f>IF(Table121413[[#This Row],[stimulus]]=H73, 1, 0)</f>
        <v>0</v>
      </c>
      <c r="M72" s="66">
        <f t="shared" si="2"/>
        <v>1</v>
      </c>
      <c r="N72" s="66">
        <f t="shared" si="3"/>
        <v>0</v>
      </c>
    </row>
    <row r="73" spans="1:14" x14ac:dyDescent="0.3">
      <c r="A73" s="58">
        <v>3</v>
      </c>
      <c r="B73" s="58">
        <v>1</v>
      </c>
      <c r="C73" s="63">
        <v>72</v>
      </c>
      <c r="D73" s="85">
        <v>2</v>
      </c>
      <c r="E73" s="85" t="s">
        <v>80</v>
      </c>
      <c r="F73" s="86" t="s">
        <v>29</v>
      </c>
      <c r="G73" s="87" t="s">
        <v>42</v>
      </c>
      <c r="H73" s="87" t="s">
        <v>56</v>
      </c>
      <c r="I73" s="66"/>
      <c r="J73" s="66" t="s">
        <v>151</v>
      </c>
      <c r="K73" s="57">
        <f>IF(Table121413[[#This Row],[modality]]=E72,1,0)</f>
        <v>0</v>
      </c>
      <c r="L73" s="66">
        <f>IF(Table121413[[#This Row],[stimulus]]=H74, 1, 0)</f>
        <v>0</v>
      </c>
      <c r="M73" s="66">
        <f t="shared" si="2"/>
        <v>0</v>
      </c>
      <c r="N73" s="66">
        <f t="shared" si="3"/>
        <v>1</v>
      </c>
    </row>
    <row r="74" spans="1:14" x14ac:dyDescent="0.3">
      <c r="A74" s="58">
        <v>3</v>
      </c>
      <c r="B74" s="58">
        <v>1</v>
      </c>
      <c r="C74" s="63">
        <v>73</v>
      </c>
      <c r="D74" s="88">
        <v>1</v>
      </c>
      <c r="E74" s="88" t="s">
        <v>81</v>
      </c>
      <c r="F74" s="89" t="s">
        <v>29</v>
      </c>
      <c r="G74" s="90" t="s">
        <v>42</v>
      </c>
      <c r="H74" s="90" t="s">
        <v>57</v>
      </c>
      <c r="I74" s="66"/>
      <c r="J74" s="66" t="s">
        <v>151</v>
      </c>
      <c r="K74" s="57">
        <f>IF(Table121413[[#This Row],[modality]]=E73,1,0)</f>
        <v>0</v>
      </c>
      <c r="L74" s="66">
        <f>IF(Table121413[[#This Row],[stimulus]]=H75, 1, 0)</f>
        <v>0</v>
      </c>
      <c r="M74" s="66">
        <f t="shared" si="2"/>
        <v>0</v>
      </c>
      <c r="N74" s="66">
        <f t="shared" si="3"/>
        <v>1</v>
      </c>
    </row>
    <row r="75" spans="1:14" x14ac:dyDescent="0.3">
      <c r="A75" s="59">
        <v>3</v>
      </c>
      <c r="B75" s="58">
        <v>1</v>
      </c>
      <c r="C75" s="63">
        <v>74</v>
      </c>
      <c r="D75" s="57">
        <v>2</v>
      </c>
      <c r="E75" s="57" t="s">
        <v>80</v>
      </c>
      <c r="F75" s="65" t="s">
        <v>0</v>
      </c>
      <c r="G75" s="58" t="s">
        <v>41</v>
      </c>
      <c r="H75" s="58" t="s">
        <v>64</v>
      </c>
      <c r="I75" s="66"/>
      <c r="J75" s="66" t="s">
        <v>151</v>
      </c>
      <c r="K75" s="57">
        <f>IF(Table121413[[#This Row],[modality]]=E74,1,0)</f>
        <v>0</v>
      </c>
      <c r="L75" s="66">
        <f>IF(Table121413[[#This Row],[stimulus]]=H76, 1, 0)</f>
        <v>1</v>
      </c>
      <c r="M75" s="66">
        <f t="shared" si="2"/>
        <v>0</v>
      </c>
      <c r="N75" s="66">
        <f t="shared" si="3"/>
        <v>1</v>
      </c>
    </row>
    <row r="76" spans="1:14" x14ac:dyDescent="0.3">
      <c r="A76" s="59">
        <v>3</v>
      </c>
      <c r="B76" s="58">
        <v>1</v>
      </c>
      <c r="C76" s="63">
        <v>75</v>
      </c>
      <c r="D76" s="67">
        <v>1</v>
      </c>
      <c r="E76" s="67" t="s">
        <v>81</v>
      </c>
      <c r="F76" s="68" t="s">
        <v>40</v>
      </c>
      <c r="G76" s="47" t="s">
        <v>10</v>
      </c>
      <c r="H76" s="47" t="s">
        <v>64</v>
      </c>
      <c r="I76" s="66"/>
      <c r="J76" s="66" t="s">
        <v>150</v>
      </c>
      <c r="K76" s="57">
        <f>IF(Table121413[[#This Row],[modality]]=E75,1,0)</f>
        <v>0</v>
      </c>
      <c r="L76" s="66">
        <f>IF(Table121413[[#This Row],[stimulus]]=H77, 1, 0)</f>
        <v>0</v>
      </c>
      <c r="M76" s="66">
        <f t="shared" si="2"/>
        <v>0</v>
      </c>
      <c r="N76" s="66">
        <f t="shared" si="3"/>
        <v>0</v>
      </c>
    </row>
    <row r="77" spans="1:14" x14ac:dyDescent="0.3">
      <c r="A77" s="59">
        <v>3</v>
      </c>
      <c r="B77" s="58">
        <v>1</v>
      </c>
      <c r="C77" s="63">
        <v>76</v>
      </c>
      <c r="D77" s="84">
        <v>2</v>
      </c>
      <c r="E77" s="84" t="s">
        <v>80</v>
      </c>
      <c r="F77" s="84" t="s">
        <v>29</v>
      </c>
      <c r="G77" s="58" t="s">
        <v>42</v>
      </c>
      <c r="H77" s="58" t="s">
        <v>53</v>
      </c>
      <c r="I77" s="66"/>
      <c r="J77" s="66" t="s">
        <v>150</v>
      </c>
      <c r="K77" s="57">
        <f>IF(Table121413[[#This Row],[modality]]=E76,1,0)</f>
        <v>0</v>
      </c>
      <c r="L77" s="66">
        <f>IF(Table121413[[#This Row],[stimulus]]=H78, 1, 0)</f>
        <v>0</v>
      </c>
      <c r="M77" s="66">
        <f t="shared" si="2"/>
        <v>1</v>
      </c>
      <c r="N77" s="66">
        <f t="shared" si="3"/>
        <v>0</v>
      </c>
    </row>
    <row r="78" spans="1:14" x14ac:dyDescent="0.3">
      <c r="A78" s="59">
        <v>3</v>
      </c>
      <c r="B78" s="58">
        <v>1</v>
      </c>
      <c r="C78" s="63">
        <v>77</v>
      </c>
      <c r="D78" s="67">
        <v>1</v>
      </c>
      <c r="E78" s="67" t="s">
        <v>81</v>
      </c>
      <c r="F78" s="68" t="s">
        <v>0</v>
      </c>
      <c r="G78" s="47" t="s">
        <v>41</v>
      </c>
      <c r="H78" s="47" t="s">
        <v>65</v>
      </c>
      <c r="I78" s="66"/>
      <c r="J78" s="66" t="s">
        <v>151</v>
      </c>
      <c r="K78" s="57">
        <f>IF(Table121413[[#This Row],[modality]]=E77,1,0)</f>
        <v>0</v>
      </c>
      <c r="L78" s="66">
        <f>IF(Table121413[[#This Row],[stimulus]]=H79, 1, 0)</f>
        <v>1</v>
      </c>
      <c r="M78" s="66">
        <f t="shared" si="2"/>
        <v>0</v>
      </c>
      <c r="N78" s="66">
        <f t="shared" si="3"/>
        <v>1</v>
      </c>
    </row>
    <row r="79" spans="1:14" x14ac:dyDescent="0.3">
      <c r="A79" s="59">
        <v>3</v>
      </c>
      <c r="B79" s="58">
        <v>1</v>
      </c>
      <c r="C79" s="63">
        <v>78</v>
      </c>
      <c r="D79" s="57">
        <v>1</v>
      </c>
      <c r="E79" s="57" t="s">
        <v>81</v>
      </c>
      <c r="F79" s="65" t="s">
        <v>40</v>
      </c>
      <c r="G79" s="58" t="s">
        <v>9</v>
      </c>
      <c r="H79" s="58" t="s">
        <v>65</v>
      </c>
      <c r="I79" s="66"/>
      <c r="J79" s="66" t="s">
        <v>150</v>
      </c>
      <c r="K79" s="57">
        <f>IF(Table121413[[#This Row],[modality]]=E78,1,0)</f>
        <v>1</v>
      </c>
      <c r="L79" s="66">
        <f>IF(Table121413[[#This Row],[stimulus]]=H80, 1, 0)</f>
        <v>0</v>
      </c>
      <c r="M79" s="66">
        <f t="shared" si="2"/>
        <v>0</v>
      </c>
      <c r="N79" s="66">
        <f t="shared" si="3"/>
        <v>0</v>
      </c>
    </row>
    <row r="80" spans="1:14" x14ac:dyDescent="0.3">
      <c r="A80" s="59">
        <v>3</v>
      </c>
      <c r="B80" s="58">
        <v>1</v>
      </c>
      <c r="C80" s="63">
        <v>79</v>
      </c>
      <c r="D80" s="84">
        <v>2</v>
      </c>
      <c r="E80" s="84" t="s">
        <v>80</v>
      </c>
      <c r="F80" s="84" t="s">
        <v>29</v>
      </c>
      <c r="G80" s="47" t="s">
        <v>42</v>
      </c>
      <c r="H80" s="47" t="s">
        <v>52</v>
      </c>
      <c r="I80" s="66"/>
      <c r="J80" s="66" t="s">
        <v>150</v>
      </c>
      <c r="K80" s="57">
        <f>IF(Table121413[[#This Row],[modality]]=E79,1,0)</f>
        <v>0</v>
      </c>
      <c r="L80" s="66">
        <f>IF(Table121413[[#This Row],[stimulus]]=H81, 1, 0)</f>
        <v>0</v>
      </c>
      <c r="M80" s="66">
        <f t="shared" si="2"/>
        <v>1</v>
      </c>
      <c r="N80" s="66">
        <f t="shared" si="3"/>
        <v>0</v>
      </c>
    </row>
    <row r="81" spans="1:17" x14ac:dyDescent="0.3">
      <c r="A81" s="59">
        <v>3</v>
      </c>
      <c r="B81" s="58">
        <v>1</v>
      </c>
      <c r="C81" s="63">
        <v>80</v>
      </c>
      <c r="D81" s="84">
        <v>1</v>
      </c>
      <c r="E81" s="84" t="s">
        <v>81</v>
      </c>
      <c r="F81" s="84" t="s">
        <v>29</v>
      </c>
      <c r="G81" s="58" t="s">
        <v>42</v>
      </c>
      <c r="H81" s="58" t="s">
        <v>51</v>
      </c>
      <c r="I81" s="66"/>
      <c r="J81" s="66" t="s">
        <v>151</v>
      </c>
      <c r="K81" s="57">
        <f>IF(Table121413[[#This Row],[modality]]=E80,1,0)</f>
        <v>0</v>
      </c>
      <c r="L81" s="66">
        <f>IF(Table121413[[#This Row],[stimulus]]=H82, 1, 0)</f>
        <v>0</v>
      </c>
      <c r="M81" s="66">
        <f t="shared" si="2"/>
        <v>0</v>
      </c>
      <c r="N81" s="66">
        <f t="shared" si="3"/>
        <v>1</v>
      </c>
    </row>
    <row r="82" spans="1:17" x14ac:dyDescent="0.3">
      <c r="A82" s="59">
        <v>3</v>
      </c>
      <c r="B82" s="58">
        <v>1</v>
      </c>
      <c r="C82" s="63">
        <v>81</v>
      </c>
      <c r="D82" s="69">
        <v>1</v>
      </c>
      <c r="E82" s="69" t="s">
        <v>81</v>
      </c>
      <c r="F82" s="70" t="s">
        <v>0</v>
      </c>
      <c r="G82" s="71" t="s">
        <v>41</v>
      </c>
      <c r="H82" s="71" t="s">
        <v>66</v>
      </c>
      <c r="I82" s="66"/>
      <c r="J82" s="66" t="s">
        <v>151</v>
      </c>
      <c r="K82" s="57">
        <f>IF(Table121413[[#This Row],[modality]]=E81,1,0)</f>
        <v>1</v>
      </c>
      <c r="L82" s="66">
        <f>IF(Table121413[[#This Row],[stimulus]]=H83, 1, 0)</f>
        <v>1</v>
      </c>
      <c r="M82" s="66">
        <f t="shared" si="2"/>
        <v>0</v>
      </c>
      <c r="N82" s="66">
        <f t="shared" si="3"/>
        <v>1</v>
      </c>
    </row>
    <row r="83" spans="1:17" x14ac:dyDescent="0.3">
      <c r="A83" s="59">
        <v>3</v>
      </c>
      <c r="B83" s="58">
        <v>1</v>
      </c>
      <c r="C83" s="63">
        <v>82</v>
      </c>
      <c r="D83" s="57">
        <v>1</v>
      </c>
      <c r="E83" s="57" t="s">
        <v>81</v>
      </c>
      <c r="F83" s="65" t="s">
        <v>40</v>
      </c>
      <c r="G83" s="58" t="s">
        <v>9</v>
      </c>
      <c r="H83" s="58" t="s">
        <v>66</v>
      </c>
      <c r="I83" s="66"/>
      <c r="J83" s="66" t="s">
        <v>150</v>
      </c>
      <c r="K83" s="57">
        <f>IF(Table121413[[#This Row],[modality]]=E82,1,0)</f>
        <v>1</v>
      </c>
      <c r="L83" s="66">
        <f>IF(Table121413[[#This Row],[stimulus]]=H84, 1, 0)</f>
        <v>0</v>
      </c>
      <c r="M83" s="66">
        <f t="shared" si="2"/>
        <v>0</v>
      </c>
      <c r="N83" s="66">
        <f t="shared" si="3"/>
        <v>0</v>
      </c>
    </row>
    <row r="84" spans="1:17" x14ac:dyDescent="0.3">
      <c r="A84" s="58">
        <v>4</v>
      </c>
      <c r="B84" s="58">
        <v>1</v>
      </c>
      <c r="C84" s="63">
        <v>83</v>
      </c>
      <c r="D84" s="91">
        <v>2</v>
      </c>
      <c r="E84" s="91" t="s">
        <v>80</v>
      </c>
      <c r="F84" s="91" t="s">
        <v>29</v>
      </c>
      <c r="G84" s="71" t="s">
        <v>42</v>
      </c>
      <c r="H84" s="71" t="s">
        <v>59</v>
      </c>
      <c r="I84" s="66"/>
      <c r="J84" s="66" t="s">
        <v>150</v>
      </c>
      <c r="K84" s="57">
        <f>IF(Table121413[[#This Row],[modality]]=E83,1,0)</f>
        <v>0</v>
      </c>
      <c r="L84" s="66">
        <f>IF(Table121413[[#This Row],[stimulus]]=H85, 1, 0)</f>
        <v>0</v>
      </c>
      <c r="M84" s="66">
        <f t="shared" si="2"/>
        <v>1</v>
      </c>
      <c r="N84" s="66">
        <f t="shared" si="3"/>
        <v>0</v>
      </c>
    </row>
    <row r="85" spans="1:17" x14ac:dyDescent="0.3">
      <c r="A85" s="58">
        <v>4</v>
      </c>
      <c r="B85" s="58">
        <v>1</v>
      </c>
      <c r="C85" s="63">
        <v>84</v>
      </c>
      <c r="D85" s="67">
        <v>1</v>
      </c>
      <c r="E85" s="67" t="s">
        <v>81</v>
      </c>
      <c r="F85" s="68" t="s">
        <v>0</v>
      </c>
      <c r="G85" s="47" t="s">
        <v>41</v>
      </c>
      <c r="H85" s="47" t="s">
        <v>74</v>
      </c>
      <c r="I85" s="66"/>
      <c r="J85" s="66" t="s">
        <v>151</v>
      </c>
      <c r="K85" s="57">
        <f>IF(Table121413[[#This Row],[modality]]=E84,1,0)</f>
        <v>0</v>
      </c>
      <c r="L85" s="66">
        <f>IF(Table121413[[#This Row],[stimulus]]=H86, 1, 0)</f>
        <v>1</v>
      </c>
      <c r="M85" s="66">
        <f t="shared" si="2"/>
        <v>0</v>
      </c>
      <c r="N85" s="66">
        <f t="shared" si="3"/>
        <v>1</v>
      </c>
    </row>
    <row r="86" spans="1:17" x14ac:dyDescent="0.3">
      <c r="A86" s="58">
        <v>4</v>
      </c>
      <c r="B86" s="58">
        <v>1</v>
      </c>
      <c r="C86" s="63">
        <v>85</v>
      </c>
      <c r="D86" s="69">
        <v>1</v>
      </c>
      <c r="E86" s="69" t="s">
        <v>81</v>
      </c>
      <c r="F86" s="70" t="s">
        <v>40</v>
      </c>
      <c r="G86" s="71" t="s">
        <v>9</v>
      </c>
      <c r="H86" s="71" t="s">
        <v>74</v>
      </c>
      <c r="I86" s="66"/>
      <c r="J86" s="66" t="s">
        <v>150</v>
      </c>
      <c r="K86" s="57">
        <f>IF(Table121413[[#This Row],[modality]]=E85,1,0)</f>
        <v>1</v>
      </c>
      <c r="L86" s="66">
        <f>IF(Table121413[[#This Row],[stimulus]]=H87, 1, 0)</f>
        <v>0</v>
      </c>
      <c r="M86" s="66">
        <f t="shared" si="2"/>
        <v>0</v>
      </c>
      <c r="N86" s="66">
        <f t="shared" si="3"/>
        <v>0</v>
      </c>
    </row>
    <row r="87" spans="1:17" x14ac:dyDescent="0.3">
      <c r="A87" s="58">
        <v>4</v>
      </c>
      <c r="B87" s="58">
        <v>1</v>
      </c>
      <c r="C87" s="63">
        <v>86</v>
      </c>
      <c r="D87" s="67">
        <v>1</v>
      </c>
      <c r="E87" s="67" t="s">
        <v>81</v>
      </c>
      <c r="F87" s="68" t="s">
        <v>0</v>
      </c>
      <c r="G87" s="47" t="s">
        <v>41</v>
      </c>
      <c r="H87" s="47" t="s">
        <v>73</v>
      </c>
      <c r="I87" s="66"/>
      <c r="J87" s="66" t="s">
        <v>151</v>
      </c>
      <c r="K87" s="57">
        <f>IF(Table121413[[#This Row],[modality]]=E86,1,0)</f>
        <v>1</v>
      </c>
      <c r="L87" s="66">
        <f>IF(Table121413[[#This Row],[stimulus]]=H88, 1, 0)</f>
        <v>1</v>
      </c>
      <c r="M87" s="66">
        <f t="shared" si="2"/>
        <v>1</v>
      </c>
      <c r="N87" s="66">
        <f t="shared" si="3"/>
        <v>0</v>
      </c>
    </row>
    <row r="88" spans="1:17" x14ac:dyDescent="0.3">
      <c r="A88" s="58">
        <v>4</v>
      </c>
      <c r="B88" s="58">
        <v>1</v>
      </c>
      <c r="C88" s="63">
        <v>87</v>
      </c>
      <c r="D88" s="69">
        <v>2</v>
      </c>
      <c r="E88" s="69" t="s">
        <v>80</v>
      </c>
      <c r="F88" s="70" t="s">
        <v>40</v>
      </c>
      <c r="G88" s="71" t="s">
        <v>10</v>
      </c>
      <c r="H88" s="71" t="s">
        <v>73</v>
      </c>
      <c r="I88" s="66"/>
      <c r="J88" s="66" t="s">
        <v>150</v>
      </c>
      <c r="K88" s="57">
        <f>IF(Table121413[[#This Row],[modality]]=E87,1,0)</f>
        <v>0</v>
      </c>
      <c r="L88" s="66">
        <f>IF(Table121413[[#This Row],[stimulus]]=H89, 1, 0)</f>
        <v>0</v>
      </c>
      <c r="M88" s="66">
        <f t="shared" si="2"/>
        <v>0</v>
      </c>
      <c r="N88" s="66">
        <f t="shared" si="3"/>
        <v>0</v>
      </c>
    </row>
    <row r="89" spans="1:17" x14ac:dyDescent="0.3">
      <c r="A89" s="58">
        <v>4</v>
      </c>
      <c r="B89" s="58">
        <v>1</v>
      </c>
      <c r="C89" s="63">
        <v>88</v>
      </c>
      <c r="D89" s="91">
        <v>2</v>
      </c>
      <c r="E89" s="91" t="s">
        <v>80</v>
      </c>
      <c r="F89" s="91" t="s">
        <v>29</v>
      </c>
      <c r="G89" s="58" t="s">
        <v>42</v>
      </c>
      <c r="H89" s="58" t="s">
        <v>61</v>
      </c>
      <c r="I89" s="66"/>
      <c r="J89" s="66" t="s">
        <v>150</v>
      </c>
      <c r="K89" s="57">
        <f>IF(Table121413[[#This Row],[modality]]=E88,1,0)</f>
        <v>1</v>
      </c>
      <c r="L89" s="66">
        <f>IF(Table121413[[#This Row],[stimulus]]=H90, 1, 0)</f>
        <v>0</v>
      </c>
      <c r="M89" s="66">
        <f t="shared" si="2"/>
        <v>1</v>
      </c>
      <c r="N89" s="66">
        <f t="shared" si="3"/>
        <v>0</v>
      </c>
    </row>
    <row r="90" spans="1:17" x14ac:dyDescent="0.3">
      <c r="A90" s="58">
        <v>4</v>
      </c>
      <c r="B90" s="58">
        <v>1</v>
      </c>
      <c r="C90" s="63">
        <v>89</v>
      </c>
      <c r="D90" s="91">
        <v>1</v>
      </c>
      <c r="E90" s="91" t="s">
        <v>81</v>
      </c>
      <c r="F90" s="91" t="s">
        <v>29</v>
      </c>
      <c r="G90" s="47" t="s">
        <v>42</v>
      </c>
      <c r="H90" s="47" t="s">
        <v>60</v>
      </c>
      <c r="I90" s="66"/>
      <c r="J90" s="66" t="s">
        <v>150</v>
      </c>
      <c r="K90" s="57">
        <f>IF(Table121413[[#This Row],[modality]]=E89,1,0)</f>
        <v>0</v>
      </c>
      <c r="L90" s="66">
        <f>IF(Table121413[[#This Row],[stimulus]]=H91, 1, 0)</f>
        <v>0</v>
      </c>
      <c r="M90" s="66">
        <f t="shared" si="2"/>
        <v>0</v>
      </c>
      <c r="N90" s="66">
        <f t="shared" si="3"/>
        <v>1</v>
      </c>
    </row>
    <row r="91" spans="1:17" x14ac:dyDescent="0.3">
      <c r="A91" s="58">
        <v>4</v>
      </c>
      <c r="B91" s="58">
        <v>1</v>
      </c>
      <c r="C91" s="63">
        <v>90</v>
      </c>
      <c r="D91" s="67">
        <v>2</v>
      </c>
      <c r="E91" s="67" t="s">
        <v>80</v>
      </c>
      <c r="F91" s="68" t="s">
        <v>0</v>
      </c>
      <c r="G91" s="47" t="s">
        <v>41</v>
      </c>
      <c r="H91" s="47" t="s">
        <v>72</v>
      </c>
      <c r="I91" s="66"/>
      <c r="J91" s="66" t="s">
        <v>151</v>
      </c>
      <c r="K91" s="57">
        <f>IF(Table121413[[#This Row],[modality]]=E90,1,0)</f>
        <v>0</v>
      </c>
      <c r="L91" s="66">
        <f>IF(Table121413[[#This Row],[stimulus]]=H92, 1, 0)</f>
        <v>1</v>
      </c>
      <c r="M91" s="66">
        <f t="shared" si="2"/>
        <v>0</v>
      </c>
      <c r="N91" s="66">
        <f t="shared" si="3"/>
        <v>1</v>
      </c>
    </row>
    <row r="92" spans="1:17" x14ac:dyDescent="0.3">
      <c r="A92" s="58">
        <v>4</v>
      </c>
      <c r="B92" s="58">
        <v>1</v>
      </c>
      <c r="C92" s="63">
        <v>91</v>
      </c>
      <c r="D92" s="69">
        <v>2</v>
      </c>
      <c r="E92" s="69" t="s">
        <v>80</v>
      </c>
      <c r="F92" s="70" t="s">
        <v>40</v>
      </c>
      <c r="G92" s="71" t="s">
        <v>9</v>
      </c>
      <c r="H92" s="71" t="s">
        <v>72</v>
      </c>
      <c r="I92" s="66"/>
      <c r="J92" s="66" t="s">
        <v>150</v>
      </c>
      <c r="K92" s="57">
        <f>IF(Table121413[[#This Row],[modality]]=E91,1,0)</f>
        <v>1</v>
      </c>
      <c r="L92" s="66">
        <f>IF(Table121413[[#This Row],[stimulus]]=H93, 1, 0)</f>
        <v>0</v>
      </c>
      <c r="M92" s="66">
        <f t="shared" si="2"/>
        <v>0</v>
      </c>
      <c r="N92" s="66">
        <f t="shared" si="3"/>
        <v>0</v>
      </c>
    </row>
    <row r="93" spans="1:17" x14ac:dyDescent="0.3">
      <c r="A93" s="58">
        <v>4</v>
      </c>
      <c r="B93" s="58">
        <v>1</v>
      </c>
      <c r="C93" s="63">
        <v>92</v>
      </c>
      <c r="D93" s="67">
        <v>2</v>
      </c>
      <c r="E93" s="67" t="s">
        <v>80</v>
      </c>
      <c r="F93" s="68" t="s">
        <v>0</v>
      </c>
      <c r="G93" s="47" t="s">
        <v>41</v>
      </c>
      <c r="H93" s="47" t="s">
        <v>71</v>
      </c>
      <c r="I93" s="66"/>
      <c r="J93" s="66" t="s">
        <v>151</v>
      </c>
      <c r="K93" s="57">
        <f>IF(Table121413[[#This Row],[modality]]=E92,1,0)</f>
        <v>1</v>
      </c>
      <c r="L93" s="66">
        <f>IF(Table121413[[#This Row],[stimulus]]=H94, 1, 0)</f>
        <v>1</v>
      </c>
      <c r="M93" s="66">
        <f t="shared" si="2"/>
        <v>1</v>
      </c>
      <c r="N93" s="66">
        <f t="shared" si="3"/>
        <v>0</v>
      </c>
    </row>
    <row r="94" spans="1:17" x14ac:dyDescent="0.3">
      <c r="A94" s="58">
        <v>4</v>
      </c>
      <c r="B94" s="58">
        <v>1</v>
      </c>
      <c r="C94" s="63">
        <v>93</v>
      </c>
      <c r="D94" s="69">
        <v>1</v>
      </c>
      <c r="E94" s="69" t="s">
        <v>81</v>
      </c>
      <c r="F94" s="70" t="s">
        <v>40</v>
      </c>
      <c r="G94" s="71" t="s">
        <v>10</v>
      </c>
      <c r="H94" s="71" t="s">
        <v>71</v>
      </c>
      <c r="I94" s="66"/>
      <c r="J94" s="66" t="s">
        <v>150</v>
      </c>
      <c r="K94" s="57">
        <f>IF(Table121413[[#This Row],[modality]]=E93,1,0)</f>
        <v>0</v>
      </c>
      <c r="L94" s="66">
        <f>IF(Table121413[[#This Row],[stimulus]]=H95, 1, 0)</f>
        <v>0</v>
      </c>
      <c r="M94" s="66">
        <f t="shared" si="2"/>
        <v>0</v>
      </c>
      <c r="N94" s="66">
        <f t="shared" si="3"/>
        <v>0</v>
      </c>
      <c r="Q94" t="s">
        <v>19</v>
      </c>
    </row>
    <row r="95" spans="1:17" x14ac:dyDescent="0.3">
      <c r="A95" s="58">
        <v>4</v>
      </c>
      <c r="B95" s="58">
        <v>1</v>
      </c>
      <c r="C95" s="63">
        <v>94</v>
      </c>
      <c r="D95" s="91">
        <v>2</v>
      </c>
      <c r="E95" s="91" t="s">
        <v>80</v>
      </c>
      <c r="F95" s="91" t="s">
        <v>29</v>
      </c>
      <c r="G95" s="47" t="s">
        <v>42</v>
      </c>
      <c r="H95" s="47" t="s">
        <v>62</v>
      </c>
      <c r="I95" s="66"/>
      <c r="J95" s="66" t="s">
        <v>150</v>
      </c>
      <c r="K95" s="57">
        <f>IF(Table121413[[#This Row],[modality]]=E94,1,0)</f>
        <v>0</v>
      </c>
      <c r="L95" s="66">
        <f>IF(Table121413[[#This Row],[stimulus]]=H96, 1, 0)</f>
        <v>0</v>
      </c>
      <c r="M95" s="66">
        <f t="shared" si="2"/>
        <v>1</v>
      </c>
      <c r="N95" s="66">
        <f t="shared" si="3"/>
        <v>0</v>
      </c>
    </row>
    <row r="96" spans="1:17" x14ac:dyDescent="0.3">
      <c r="A96" s="58">
        <v>4</v>
      </c>
      <c r="B96" s="58">
        <v>1</v>
      </c>
      <c r="C96" s="63">
        <v>95</v>
      </c>
      <c r="D96" s="76">
        <v>2</v>
      </c>
      <c r="E96" s="76" t="s">
        <v>80</v>
      </c>
      <c r="F96" s="76" t="s">
        <v>29</v>
      </c>
      <c r="G96" s="77" t="s">
        <v>42</v>
      </c>
      <c r="H96" s="77" t="s">
        <v>64</v>
      </c>
      <c r="I96" s="66"/>
      <c r="J96" s="66" t="s">
        <v>151</v>
      </c>
      <c r="K96" s="57">
        <f>IF(Table121413[[#This Row],[modality]]=E95,1,0)</f>
        <v>1</v>
      </c>
      <c r="L96" s="66">
        <f>IF(Table121413[[#This Row],[stimulus]]=H97, 1, 0)</f>
        <v>0</v>
      </c>
      <c r="M96" s="66">
        <f t="shared" si="2"/>
        <v>0</v>
      </c>
      <c r="N96" s="66">
        <f t="shared" si="3"/>
        <v>1</v>
      </c>
    </row>
    <row r="97" spans="1:14" x14ac:dyDescent="0.3">
      <c r="A97" s="58">
        <v>4</v>
      </c>
      <c r="B97" s="58">
        <v>1</v>
      </c>
      <c r="C97" s="63">
        <v>96</v>
      </c>
      <c r="D97" s="91">
        <v>1</v>
      </c>
      <c r="E97" s="91" t="s">
        <v>81</v>
      </c>
      <c r="F97" s="91" t="s">
        <v>29</v>
      </c>
      <c r="G97" s="71" t="s">
        <v>42</v>
      </c>
      <c r="H97" s="71" t="s">
        <v>63</v>
      </c>
      <c r="I97" s="66"/>
      <c r="J97" s="66" t="s">
        <v>151</v>
      </c>
      <c r="K97" s="57">
        <f>IF(Table121413[[#This Row],[modality]]=E96,1,0)</f>
        <v>0</v>
      </c>
      <c r="L97" s="66">
        <f>IF(Table121413[[#This Row],[stimulus]]=H98, 1, 0)</f>
        <v>0</v>
      </c>
      <c r="M97" s="66">
        <f t="shared" si="2"/>
        <v>0</v>
      </c>
      <c r="N97" s="66">
        <f t="shared" si="3"/>
        <v>1</v>
      </c>
    </row>
    <row r="98" spans="1:14" x14ac:dyDescent="0.3">
      <c r="A98" s="58">
        <v>4</v>
      </c>
      <c r="B98" s="58">
        <v>1</v>
      </c>
      <c r="C98" s="63">
        <v>97</v>
      </c>
      <c r="D98" s="57">
        <v>1</v>
      </c>
      <c r="E98" s="57" t="s">
        <v>81</v>
      </c>
      <c r="F98" s="65" t="s">
        <v>0</v>
      </c>
      <c r="G98" s="58" t="s">
        <v>41</v>
      </c>
      <c r="H98" s="58" t="s">
        <v>70</v>
      </c>
      <c r="I98" s="66"/>
      <c r="J98" s="66" t="s">
        <v>151</v>
      </c>
      <c r="K98" s="57">
        <f>IF(Table121413[[#This Row],[modality]]=E97,1,0)</f>
        <v>1</v>
      </c>
      <c r="L98" s="66">
        <f>IF(Table121413[[#This Row],[stimulus]]=H99, 1, 0)</f>
        <v>1</v>
      </c>
      <c r="M98" s="66">
        <f t="shared" si="2"/>
        <v>0</v>
      </c>
      <c r="N98" s="66">
        <f t="shared" si="3"/>
        <v>1</v>
      </c>
    </row>
    <row r="99" spans="1:14" x14ac:dyDescent="0.3">
      <c r="A99" s="58">
        <v>4</v>
      </c>
      <c r="B99" s="58">
        <v>1</v>
      </c>
      <c r="C99" s="63">
        <v>98</v>
      </c>
      <c r="D99" s="67">
        <v>2</v>
      </c>
      <c r="E99" s="67" t="s">
        <v>80</v>
      </c>
      <c r="F99" s="68" t="s">
        <v>40</v>
      </c>
      <c r="G99" s="47" t="s">
        <v>10</v>
      </c>
      <c r="H99" s="47" t="s">
        <v>70</v>
      </c>
      <c r="I99" s="66"/>
      <c r="J99" s="66" t="s">
        <v>150</v>
      </c>
      <c r="K99" s="57">
        <f>IF(Table121413[[#This Row],[modality]]=E98,1,0)</f>
        <v>0</v>
      </c>
      <c r="L99" s="66">
        <f>IF(Table121413[[#This Row],[stimulus]]=H100, 1, 0)</f>
        <v>0</v>
      </c>
      <c r="M99" s="66">
        <f t="shared" si="2"/>
        <v>0</v>
      </c>
      <c r="N99" s="66">
        <f t="shared" si="3"/>
        <v>0</v>
      </c>
    </row>
    <row r="100" spans="1:14" x14ac:dyDescent="0.3">
      <c r="A100" s="58">
        <v>4</v>
      </c>
      <c r="B100" s="58">
        <v>1</v>
      </c>
      <c r="C100" s="63">
        <v>99</v>
      </c>
      <c r="D100" s="57">
        <v>2</v>
      </c>
      <c r="E100" s="57" t="s">
        <v>80</v>
      </c>
      <c r="F100" s="65" t="s">
        <v>0</v>
      </c>
      <c r="G100" s="58" t="s">
        <v>41</v>
      </c>
      <c r="H100" s="58" t="s">
        <v>69</v>
      </c>
      <c r="I100" s="66"/>
      <c r="J100" s="66" t="s">
        <v>151</v>
      </c>
      <c r="K100" s="57">
        <f>IF(Table121413[[#This Row],[modality]]=E99,1,0)</f>
        <v>1</v>
      </c>
      <c r="L100" s="66">
        <f>IF(Table121413[[#This Row],[stimulus]]=H101, 1, 0)</f>
        <v>1</v>
      </c>
      <c r="M100" s="66">
        <f t="shared" si="2"/>
        <v>1</v>
      </c>
      <c r="N100" s="66">
        <f t="shared" si="3"/>
        <v>0</v>
      </c>
    </row>
    <row r="101" spans="1:14" x14ac:dyDescent="0.3">
      <c r="A101" s="58">
        <v>4</v>
      </c>
      <c r="B101" s="58">
        <v>1</v>
      </c>
      <c r="C101" s="63">
        <v>100</v>
      </c>
      <c r="D101" s="67">
        <v>2</v>
      </c>
      <c r="E101" s="67" t="s">
        <v>80</v>
      </c>
      <c r="F101" s="68" t="s">
        <v>40</v>
      </c>
      <c r="G101" s="47" t="s">
        <v>9</v>
      </c>
      <c r="H101" s="47" t="s">
        <v>69</v>
      </c>
      <c r="I101" s="66"/>
      <c r="J101" s="66" t="s">
        <v>150</v>
      </c>
      <c r="K101" s="57">
        <f>IF(Table121413[[#This Row],[modality]]=E100,1,0)</f>
        <v>1</v>
      </c>
      <c r="L101" s="66">
        <f>IF(Table121413[[#This Row],[stimulus]]=H102, 1, 0)</f>
        <v>0</v>
      </c>
      <c r="M101" s="66">
        <f t="shared" si="2"/>
        <v>0</v>
      </c>
      <c r="N101" s="66">
        <f t="shared" si="3"/>
        <v>0</v>
      </c>
    </row>
    <row r="102" spans="1:14" x14ac:dyDescent="0.3">
      <c r="A102" s="58">
        <v>4</v>
      </c>
      <c r="B102" s="58">
        <v>1</v>
      </c>
      <c r="C102" s="63">
        <v>101</v>
      </c>
      <c r="D102" s="79">
        <v>1</v>
      </c>
      <c r="E102" s="79" t="s">
        <v>81</v>
      </c>
      <c r="F102" s="80" t="s">
        <v>29</v>
      </c>
      <c r="G102" s="52" t="s">
        <v>42</v>
      </c>
      <c r="H102" s="52"/>
      <c r="I102" s="75" t="s">
        <v>127</v>
      </c>
      <c r="J102" s="66" t="s">
        <v>150</v>
      </c>
      <c r="K102" s="57">
        <f>IF(Table121413[[#This Row],[modality]]=E101,1,0)</f>
        <v>0</v>
      </c>
      <c r="L102" s="66">
        <f>IF(Table121413[[#This Row],[stimulus]]=H103, 1, 0)</f>
        <v>0</v>
      </c>
      <c r="M102" s="66">
        <f t="shared" si="2"/>
        <v>1</v>
      </c>
      <c r="N102" s="66">
        <f t="shared" si="3"/>
        <v>0</v>
      </c>
    </row>
    <row r="103" spans="1:14" x14ac:dyDescent="0.3">
      <c r="A103" s="58">
        <v>4</v>
      </c>
      <c r="B103" s="58">
        <v>1</v>
      </c>
      <c r="C103" s="63">
        <v>102</v>
      </c>
      <c r="D103" s="91">
        <v>2</v>
      </c>
      <c r="E103" s="91" t="s">
        <v>80</v>
      </c>
      <c r="F103" s="91" t="s">
        <v>29</v>
      </c>
      <c r="G103" s="71" t="s">
        <v>42</v>
      </c>
      <c r="H103" s="71" t="s">
        <v>65</v>
      </c>
      <c r="I103" s="66"/>
      <c r="J103" s="66" t="s">
        <v>151</v>
      </c>
      <c r="K103" s="57">
        <f>IF(Table121413[[#This Row],[modality]]=E102,1,0)</f>
        <v>0</v>
      </c>
      <c r="L103" s="66">
        <f>IF(Table121413[[#This Row],[stimulus]]=H104, 1, 0)</f>
        <v>0</v>
      </c>
      <c r="M103" s="66">
        <f t="shared" si="2"/>
        <v>0</v>
      </c>
      <c r="N103" s="66">
        <f t="shared" si="3"/>
        <v>1</v>
      </c>
    </row>
    <row r="104" spans="1:14" x14ac:dyDescent="0.3">
      <c r="A104" s="58">
        <v>4</v>
      </c>
      <c r="B104" s="58">
        <v>1</v>
      </c>
      <c r="C104" s="63">
        <v>103</v>
      </c>
      <c r="D104" s="67">
        <v>2</v>
      </c>
      <c r="E104" s="67" t="s">
        <v>80</v>
      </c>
      <c r="F104" s="68" t="s">
        <v>0</v>
      </c>
      <c r="G104" s="47" t="s">
        <v>41</v>
      </c>
      <c r="H104" s="47" t="s">
        <v>68</v>
      </c>
      <c r="I104" s="66"/>
      <c r="J104" s="66" t="s">
        <v>151</v>
      </c>
      <c r="K104" s="57">
        <f>IF(Table121413[[#This Row],[modality]]=E103,1,0)</f>
        <v>1</v>
      </c>
      <c r="L104" s="66">
        <f>IF(Table121413[[#This Row],[stimulus]]=H105, 1, 0)</f>
        <v>1</v>
      </c>
      <c r="M104" s="66">
        <f t="shared" si="2"/>
        <v>0</v>
      </c>
      <c r="N104" s="66">
        <f t="shared" si="3"/>
        <v>1</v>
      </c>
    </row>
    <row r="105" spans="1:14" x14ac:dyDescent="0.3">
      <c r="A105" s="58">
        <v>4</v>
      </c>
      <c r="B105" s="58">
        <v>1</v>
      </c>
      <c r="C105" s="63">
        <v>104</v>
      </c>
      <c r="D105" s="69">
        <v>1</v>
      </c>
      <c r="E105" s="69" t="s">
        <v>81</v>
      </c>
      <c r="F105" s="70" t="s">
        <v>40</v>
      </c>
      <c r="G105" s="71" t="s">
        <v>10</v>
      </c>
      <c r="H105" s="71" t="s">
        <v>68</v>
      </c>
      <c r="I105" s="66"/>
      <c r="J105" s="66" t="s">
        <v>150</v>
      </c>
      <c r="K105" s="57">
        <f>IF(Table121413[[#This Row],[modality]]=E104,1,0)</f>
        <v>0</v>
      </c>
      <c r="L105" s="66">
        <f>IF(Table121413[[#This Row],[stimulus]]=H106, 1, 0)</f>
        <v>0</v>
      </c>
      <c r="M105" s="66">
        <f t="shared" si="2"/>
        <v>0</v>
      </c>
      <c r="N105" s="66">
        <f t="shared" si="3"/>
        <v>0</v>
      </c>
    </row>
    <row r="106" spans="1:14" x14ac:dyDescent="0.3">
      <c r="A106" s="58">
        <v>4</v>
      </c>
      <c r="B106" s="58">
        <v>1</v>
      </c>
      <c r="C106" s="63">
        <v>105</v>
      </c>
      <c r="D106" s="57">
        <v>1</v>
      </c>
      <c r="E106" s="57" t="s">
        <v>81</v>
      </c>
      <c r="F106" s="65" t="s">
        <v>0</v>
      </c>
      <c r="G106" s="58" t="s">
        <v>41</v>
      </c>
      <c r="H106" s="58" t="s">
        <v>67</v>
      </c>
      <c r="I106" s="66"/>
      <c r="J106" s="66" t="s">
        <v>151</v>
      </c>
      <c r="K106" s="57">
        <f>IF(Table121413[[#This Row],[modality]]=E105,1,0)</f>
        <v>1</v>
      </c>
      <c r="L106" s="66">
        <f>IF(Table121413[[#This Row],[stimulus]]=H107, 1, 0)</f>
        <v>1</v>
      </c>
      <c r="M106" s="66">
        <f t="shared" si="2"/>
        <v>1</v>
      </c>
      <c r="N106" s="66">
        <f t="shared" si="3"/>
        <v>0</v>
      </c>
    </row>
    <row r="107" spans="1:14" x14ac:dyDescent="0.3">
      <c r="A107" s="58">
        <v>4</v>
      </c>
      <c r="B107" s="58">
        <v>1</v>
      </c>
      <c r="C107" s="63">
        <v>106</v>
      </c>
      <c r="D107" s="67">
        <v>1</v>
      </c>
      <c r="E107" s="67" t="s">
        <v>81</v>
      </c>
      <c r="F107" s="68" t="s">
        <v>40</v>
      </c>
      <c r="G107" s="47" t="s">
        <v>9</v>
      </c>
      <c r="H107" s="47" t="s">
        <v>67</v>
      </c>
      <c r="I107" s="66"/>
      <c r="J107" s="66" t="s">
        <v>150</v>
      </c>
      <c r="K107" s="57">
        <f>IF(Table121413[[#This Row],[modality]]=E106,1,0)</f>
        <v>1</v>
      </c>
      <c r="L107" s="66">
        <f>IF(Table121413[[#This Row],[stimulus]]=H108, 1, 0)</f>
        <v>0</v>
      </c>
      <c r="M107" s="66">
        <f t="shared" si="2"/>
        <v>0</v>
      </c>
      <c r="N107" s="66">
        <f t="shared" si="3"/>
        <v>0</v>
      </c>
    </row>
    <row r="108" spans="1:14" x14ac:dyDescent="0.3">
      <c r="A108" s="58">
        <v>4</v>
      </c>
      <c r="B108" s="58">
        <v>1</v>
      </c>
      <c r="C108" s="63">
        <v>107</v>
      </c>
      <c r="D108" s="91">
        <v>1</v>
      </c>
      <c r="E108" s="91" t="s">
        <v>80</v>
      </c>
      <c r="F108" s="91" t="s">
        <v>29</v>
      </c>
      <c r="G108" s="47" t="s">
        <v>42</v>
      </c>
      <c r="H108" s="47" t="s">
        <v>66</v>
      </c>
      <c r="I108" s="66"/>
      <c r="J108" s="66" t="s">
        <v>150</v>
      </c>
      <c r="K108" s="57">
        <f>IF(Table121413[[#This Row],[modality]]=E107,1,0)</f>
        <v>0</v>
      </c>
      <c r="L108" s="66">
        <f>IF(Table121413[[#This Row],[stimulus]]=H109, 1, 0)</f>
        <v>0</v>
      </c>
      <c r="M108" s="66">
        <f t="shared" si="2"/>
        <v>1</v>
      </c>
      <c r="N108" s="66">
        <f t="shared" si="3"/>
        <v>0</v>
      </c>
    </row>
    <row r="109" spans="1:14" x14ac:dyDescent="0.3">
      <c r="A109" s="58">
        <v>4</v>
      </c>
      <c r="B109" s="58">
        <v>1</v>
      </c>
      <c r="C109" s="63">
        <v>108</v>
      </c>
      <c r="D109" s="91">
        <v>1</v>
      </c>
      <c r="E109" s="91" t="s">
        <v>81</v>
      </c>
      <c r="F109" s="91" t="s">
        <v>29</v>
      </c>
      <c r="G109" s="47" t="s">
        <v>42</v>
      </c>
      <c r="H109" s="47" t="s">
        <v>64</v>
      </c>
      <c r="I109" s="66"/>
      <c r="J109" s="92" t="s">
        <v>155</v>
      </c>
      <c r="K109" s="57">
        <f>IF(Table121413[[#This Row],[modality]]=E108,1,0)</f>
        <v>0</v>
      </c>
      <c r="L109" s="66">
        <f>IF(Table121413[[#This Row],[stimulus]]=H110, 1, 0)</f>
        <v>0</v>
      </c>
      <c r="M109" s="66">
        <f t="shared" si="2"/>
        <v>0</v>
      </c>
      <c r="N109" s="66">
        <f t="shared" si="3"/>
        <v>1</v>
      </c>
    </row>
    <row r="110" spans="1:14" x14ac:dyDescent="0.3">
      <c r="A110" s="63" t="s">
        <v>25</v>
      </c>
      <c r="B110" s="63"/>
      <c r="C110" s="63">
        <v>109</v>
      </c>
      <c r="D110" s="66"/>
      <c r="E110" s="66" t="s">
        <v>142</v>
      </c>
      <c r="F110" s="66" t="s">
        <v>142</v>
      </c>
      <c r="G110" s="63"/>
      <c r="H110" s="63"/>
      <c r="I110" s="66"/>
      <c r="J110" s="66" t="s">
        <v>150</v>
      </c>
      <c r="K110" s="57">
        <f>IF(Table121413[[#This Row],[modality]]=E109,1,0)</f>
        <v>0</v>
      </c>
      <c r="L110" s="66">
        <f>IF(Table121413[[#This Row],[stimulus]]=H111, 1, 0)</f>
        <v>0</v>
      </c>
      <c r="M110" s="66">
        <f t="shared" si="2"/>
        <v>0</v>
      </c>
      <c r="N110" s="66">
        <f t="shared" si="3"/>
        <v>1</v>
      </c>
    </row>
    <row r="111" spans="1:14" x14ac:dyDescent="0.3">
      <c r="A111" s="59">
        <v>1</v>
      </c>
      <c r="B111" s="59">
        <v>2</v>
      </c>
      <c r="C111" s="63">
        <v>110</v>
      </c>
      <c r="D111" s="68">
        <v>2</v>
      </c>
      <c r="E111" s="68" t="s">
        <v>80</v>
      </c>
      <c r="F111" s="68" t="s">
        <v>0</v>
      </c>
      <c r="G111" s="47" t="s">
        <v>41</v>
      </c>
      <c r="H111" s="47" t="s">
        <v>46</v>
      </c>
      <c r="I111" s="66"/>
      <c r="J111" s="66" t="s">
        <v>151</v>
      </c>
      <c r="K111" s="57">
        <f>IF(Table121413[[#This Row],[modality]]=E110,1,0)</f>
        <v>0</v>
      </c>
      <c r="L111" s="66">
        <f>IF(Table121413[[#This Row],[stimulus]]=H112, 1, 0)</f>
        <v>1</v>
      </c>
      <c r="M111" s="66">
        <f t="shared" si="2"/>
        <v>0</v>
      </c>
      <c r="N111" s="66">
        <f t="shared" si="3"/>
        <v>0</v>
      </c>
    </row>
    <row r="112" spans="1:14" x14ac:dyDescent="0.3">
      <c r="A112" s="59">
        <v>1</v>
      </c>
      <c r="B112" s="59">
        <v>2</v>
      </c>
      <c r="C112" s="63">
        <v>111</v>
      </c>
      <c r="D112" s="65">
        <v>2</v>
      </c>
      <c r="E112" s="68" t="s">
        <v>80</v>
      </c>
      <c r="F112" s="65" t="s">
        <v>40</v>
      </c>
      <c r="G112" s="58" t="s">
        <v>9</v>
      </c>
      <c r="H112" s="58" t="s">
        <v>46</v>
      </c>
      <c r="I112" s="66"/>
      <c r="J112" s="66" t="s">
        <v>150</v>
      </c>
      <c r="K112" s="57">
        <f>IF(Table121413[[#This Row],[modality]]=E111,1,0)</f>
        <v>1</v>
      </c>
      <c r="L112" s="66">
        <f>IF(Table121413[[#This Row],[stimulus]]=H113, 1, 0)</f>
        <v>0</v>
      </c>
      <c r="M112" s="66">
        <f t="shared" si="2"/>
        <v>0</v>
      </c>
      <c r="N112" s="66">
        <f t="shared" si="3"/>
        <v>0</v>
      </c>
    </row>
    <row r="113" spans="1:14" x14ac:dyDescent="0.3">
      <c r="A113" s="59">
        <v>1</v>
      </c>
      <c r="B113" s="59">
        <v>2</v>
      </c>
      <c r="C113" s="63">
        <v>112</v>
      </c>
      <c r="D113" s="72">
        <v>1</v>
      </c>
      <c r="E113" s="73" t="s">
        <v>81</v>
      </c>
      <c r="F113" s="74" t="s">
        <v>29</v>
      </c>
      <c r="G113" s="47" t="s">
        <v>42</v>
      </c>
      <c r="H113" s="47" t="s">
        <v>72</v>
      </c>
      <c r="I113" s="66"/>
      <c r="J113" s="66" t="s">
        <v>150</v>
      </c>
      <c r="K113" s="57">
        <f>IF(Table121413[[#This Row],[modality]]=E112,1,0)</f>
        <v>0</v>
      </c>
      <c r="L113" s="66">
        <f>IF(Table121413[[#This Row],[stimulus]]=H114, 1, 0)</f>
        <v>0</v>
      </c>
      <c r="M113" s="66">
        <f t="shared" si="2"/>
        <v>1</v>
      </c>
      <c r="N113" s="66">
        <f t="shared" si="3"/>
        <v>0</v>
      </c>
    </row>
    <row r="114" spans="1:14" x14ac:dyDescent="0.3">
      <c r="A114" s="59">
        <v>1</v>
      </c>
      <c r="B114" s="59">
        <v>2</v>
      </c>
      <c r="C114" s="63">
        <v>113</v>
      </c>
      <c r="D114" s="68">
        <v>2</v>
      </c>
      <c r="E114" s="68" t="s">
        <v>80</v>
      </c>
      <c r="F114" s="68" t="s">
        <v>0</v>
      </c>
      <c r="G114" s="47" t="s">
        <v>41</v>
      </c>
      <c r="H114" s="47" t="s">
        <v>45</v>
      </c>
      <c r="I114" s="66"/>
      <c r="J114" s="66" t="s">
        <v>151</v>
      </c>
      <c r="K114" s="57">
        <f>IF(Table121413[[#This Row],[modality]]=E113,1,0)</f>
        <v>0</v>
      </c>
      <c r="L114" s="66">
        <f>IF(Table121413[[#This Row],[stimulus]]=H115, 1, 0)</f>
        <v>1</v>
      </c>
      <c r="M114" s="66">
        <f t="shared" si="2"/>
        <v>0</v>
      </c>
      <c r="N114" s="66">
        <f t="shared" si="3"/>
        <v>1</v>
      </c>
    </row>
    <row r="115" spans="1:14" x14ac:dyDescent="0.3">
      <c r="A115" s="59">
        <v>1</v>
      </c>
      <c r="B115" s="59">
        <v>2</v>
      </c>
      <c r="C115" s="63">
        <v>114</v>
      </c>
      <c r="D115" s="70">
        <v>2</v>
      </c>
      <c r="E115" s="68" t="s">
        <v>80</v>
      </c>
      <c r="F115" s="70" t="s">
        <v>40</v>
      </c>
      <c r="G115" s="71" t="s">
        <v>9</v>
      </c>
      <c r="H115" s="71" t="s">
        <v>45</v>
      </c>
      <c r="I115" s="66"/>
      <c r="J115" s="66" t="s">
        <v>150</v>
      </c>
      <c r="K115" s="57">
        <f>IF(Table121413[[#This Row],[modality]]=E114,1,0)</f>
        <v>1</v>
      </c>
      <c r="L115" s="66">
        <f>IF(Table121413[[#This Row],[stimulus]]=H116, 1, 0)</f>
        <v>0</v>
      </c>
      <c r="M115" s="66">
        <f t="shared" si="2"/>
        <v>0</v>
      </c>
      <c r="N115" s="66">
        <f t="shared" si="3"/>
        <v>0</v>
      </c>
    </row>
    <row r="116" spans="1:14" x14ac:dyDescent="0.3">
      <c r="A116" s="58">
        <v>1</v>
      </c>
      <c r="B116" s="59">
        <v>2</v>
      </c>
      <c r="C116" s="63">
        <v>115</v>
      </c>
      <c r="D116" s="93">
        <v>1</v>
      </c>
      <c r="E116" s="93" t="s">
        <v>81</v>
      </c>
      <c r="F116" s="93" t="s">
        <v>29</v>
      </c>
      <c r="G116" s="53" t="s">
        <v>42</v>
      </c>
      <c r="H116" s="53"/>
      <c r="I116" s="75" t="s">
        <v>127</v>
      </c>
      <c r="J116" s="75" t="s">
        <v>150</v>
      </c>
      <c r="K116" s="57">
        <f>IF(Table121413[[#This Row],[modality]]=E115,1,0)</f>
        <v>0</v>
      </c>
      <c r="L116" s="66">
        <f>IF(Table121413[[#This Row],[stimulus]]=H117, 1, 0)</f>
        <v>0</v>
      </c>
      <c r="M116" s="66">
        <f t="shared" si="2"/>
        <v>1</v>
      </c>
      <c r="N116" s="66">
        <f t="shared" si="3"/>
        <v>0</v>
      </c>
    </row>
    <row r="117" spans="1:14" x14ac:dyDescent="0.3">
      <c r="A117" s="59">
        <v>1</v>
      </c>
      <c r="B117" s="59">
        <v>2</v>
      </c>
      <c r="C117" s="63">
        <v>116</v>
      </c>
      <c r="D117" s="72">
        <v>2</v>
      </c>
      <c r="E117" s="72" t="s">
        <v>80</v>
      </c>
      <c r="F117" s="74" t="s">
        <v>29</v>
      </c>
      <c r="G117" s="71" t="s">
        <v>42</v>
      </c>
      <c r="H117" s="71" t="s">
        <v>67</v>
      </c>
      <c r="I117" s="66"/>
      <c r="J117" s="66" t="s">
        <v>151</v>
      </c>
      <c r="K117" s="57">
        <f>IF(Table121413[[#This Row],[modality]]=E116,1,0)</f>
        <v>0</v>
      </c>
      <c r="L117" s="66">
        <f>IF(Table121413[[#This Row],[stimulus]]=H118, 1, 0)</f>
        <v>0</v>
      </c>
      <c r="M117" s="66">
        <f t="shared" si="2"/>
        <v>0</v>
      </c>
      <c r="N117" s="66">
        <f t="shared" si="3"/>
        <v>1</v>
      </c>
    </row>
    <row r="118" spans="1:14" x14ac:dyDescent="0.3">
      <c r="A118" s="59">
        <v>1</v>
      </c>
      <c r="B118" s="59">
        <v>2</v>
      </c>
      <c r="C118" s="63">
        <v>117</v>
      </c>
      <c r="D118" s="68">
        <v>2</v>
      </c>
      <c r="E118" s="68" t="s">
        <v>80</v>
      </c>
      <c r="F118" s="68" t="s">
        <v>0</v>
      </c>
      <c r="G118" s="47" t="s">
        <v>41</v>
      </c>
      <c r="H118" s="47" t="s">
        <v>48</v>
      </c>
      <c r="I118" s="66"/>
      <c r="J118" s="66" t="s">
        <v>151</v>
      </c>
      <c r="K118" s="57">
        <f>IF(Table121413[[#This Row],[modality]]=E117,1,0)</f>
        <v>1</v>
      </c>
      <c r="L118" s="66">
        <f>IF(Table121413[[#This Row],[stimulus]]=H119, 1, 0)</f>
        <v>1</v>
      </c>
      <c r="M118" s="66">
        <f t="shared" si="2"/>
        <v>0</v>
      </c>
      <c r="N118" s="66">
        <f t="shared" si="3"/>
        <v>1</v>
      </c>
    </row>
    <row r="119" spans="1:14" x14ac:dyDescent="0.3">
      <c r="A119" s="59">
        <v>1</v>
      </c>
      <c r="B119" s="59">
        <v>2</v>
      </c>
      <c r="C119" s="63">
        <v>118</v>
      </c>
      <c r="D119" s="70">
        <v>1</v>
      </c>
      <c r="E119" s="70" t="s">
        <v>81</v>
      </c>
      <c r="F119" s="70" t="s">
        <v>40</v>
      </c>
      <c r="G119" s="71" t="s">
        <v>10</v>
      </c>
      <c r="H119" s="71" t="s">
        <v>48</v>
      </c>
      <c r="I119" s="66"/>
      <c r="J119" s="66" t="s">
        <v>150</v>
      </c>
      <c r="K119" s="57">
        <f>IF(Table121413[[#This Row],[modality]]=E118,1,0)</f>
        <v>0</v>
      </c>
      <c r="L119" s="66">
        <f>IF(Table121413[[#This Row],[stimulus]]=H120, 1, 0)</f>
        <v>0</v>
      </c>
      <c r="M119" s="66">
        <f t="shared" si="2"/>
        <v>0</v>
      </c>
      <c r="N119" s="66">
        <f t="shared" si="3"/>
        <v>0</v>
      </c>
    </row>
    <row r="120" spans="1:14" x14ac:dyDescent="0.3">
      <c r="A120" s="59">
        <v>1</v>
      </c>
      <c r="B120" s="59">
        <v>2</v>
      </c>
      <c r="C120" s="63">
        <v>119</v>
      </c>
      <c r="D120" s="72">
        <v>1</v>
      </c>
      <c r="E120" s="73" t="s">
        <v>81</v>
      </c>
      <c r="F120" s="74" t="s">
        <v>29</v>
      </c>
      <c r="G120" s="47" t="s">
        <v>42</v>
      </c>
      <c r="H120" s="47" t="s">
        <v>71</v>
      </c>
      <c r="I120" s="66"/>
      <c r="J120" s="66" t="s">
        <v>150</v>
      </c>
      <c r="K120" s="57">
        <f>IF(Table121413[[#This Row],[modality]]=E119,1,0)</f>
        <v>1</v>
      </c>
      <c r="L120" s="66">
        <f>IF(Table121413[[#This Row],[stimulus]]=H121, 1, 0)</f>
        <v>0</v>
      </c>
      <c r="M120" s="66">
        <f t="shared" si="2"/>
        <v>1</v>
      </c>
      <c r="N120" s="66">
        <f t="shared" si="3"/>
        <v>0</v>
      </c>
    </row>
    <row r="121" spans="1:14" x14ac:dyDescent="0.3">
      <c r="A121" s="59">
        <v>1</v>
      </c>
      <c r="B121" s="59">
        <v>2</v>
      </c>
      <c r="C121" s="63">
        <v>120</v>
      </c>
      <c r="D121" s="70">
        <v>1</v>
      </c>
      <c r="E121" s="70" t="s">
        <v>81</v>
      </c>
      <c r="F121" s="70" t="s">
        <v>0</v>
      </c>
      <c r="G121" s="71" t="s">
        <v>41</v>
      </c>
      <c r="H121" s="71" t="s">
        <v>44</v>
      </c>
      <c r="I121" s="66"/>
      <c r="J121" s="66" t="s">
        <v>151</v>
      </c>
      <c r="K121" s="57">
        <f>IF(Table121413[[#This Row],[modality]]=E120,1,0)</f>
        <v>1</v>
      </c>
      <c r="L121" s="66">
        <f>IF(Table121413[[#This Row],[stimulus]]=H122, 1, 0)</f>
        <v>1</v>
      </c>
      <c r="M121" s="66">
        <f t="shared" si="2"/>
        <v>0</v>
      </c>
      <c r="N121" s="66">
        <f t="shared" si="3"/>
        <v>1</v>
      </c>
    </row>
    <row r="122" spans="1:14" x14ac:dyDescent="0.3">
      <c r="A122" s="59">
        <v>1</v>
      </c>
      <c r="B122" s="59">
        <v>2</v>
      </c>
      <c r="C122" s="63">
        <v>121</v>
      </c>
      <c r="D122" s="68">
        <v>2</v>
      </c>
      <c r="E122" s="68" t="s">
        <v>80</v>
      </c>
      <c r="F122" s="68" t="s">
        <v>40</v>
      </c>
      <c r="G122" s="47" t="s">
        <v>10</v>
      </c>
      <c r="H122" s="47" t="s">
        <v>44</v>
      </c>
      <c r="I122" s="66"/>
      <c r="J122" s="66" t="s">
        <v>150</v>
      </c>
      <c r="K122" s="57">
        <f>IF(Table121413[[#This Row],[modality]]=E121,1,0)</f>
        <v>0</v>
      </c>
      <c r="L122" s="66">
        <f>IF(Table121413[[#This Row],[stimulus]]=H123, 1, 0)</f>
        <v>0</v>
      </c>
      <c r="M122" s="66">
        <f t="shared" si="2"/>
        <v>0</v>
      </c>
      <c r="N122" s="66">
        <f t="shared" si="3"/>
        <v>0</v>
      </c>
    </row>
    <row r="123" spans="1:14" x14ac:dyDescent="0.3">
      <c r="A123" s="59">
        <v>1</v>
      </c>
      <c r="B123" s="59">
        <v>2</v>
      </c>
      <c r="C123" s="63">
        <v>122</v>
      </c>
      <c r="D123" s="70">
        <v>2</v>
      </c>
      <c r="E123" s="70" t="s">
        <v>80</v>
      </c>
      <c r="F123" s="70" t="s">
        <v>0</v>
      </c>
      <c r="G123" s="71" t="s">
        <v>41</v>
      </c>
      <c r="H123" s="71" t="s">
        <v>43</v>
      </c>
      <c r="I123" s="66"/>
      <c r="J123" s="66" t="s">
        <v>151</v>
      </c>
      <c r="K123" s="57">
        <f>IF(Table121413[[#This Row],[modality]]=E122,1,0)</f>
        <v>1</v>
      </c>
      <c r="L123" s="66">
        <f>IF(Table121413[[#This Row],[stimulus]]=H124, 1, 0)</f>
        <v>1</v>
      </c>
      <c r="M123" s="66">
        <f t="shared" si="2"/>
        <v>1</v>
      </c>
      <c r="N123" s="66">
        <f t="shared" si="3"/>
        <v>0</v>
      </c>
    </row>
    <row r="124" spans="1:14" x14ac:dyDescent="0.3">
      <c r="A124" s="59">
        <v>1</v>
      </c>
      <c r="B124" s="59">
        <v>2</v>
      </c>
      <c r="C124" s="63">
        <v>123</v>
      </c>
      <c r="D124" s="68">
        <v>1</v>
      </c>
      <c r="E124" s="68" t="s">
        <v>81</v>
      </c>
      <c r="F124" s="68" t="s">
        <v>40</v>
      </c>
      <c r="G124" s="47" t="s">
        <v>10</v>
      </c>
      <c r="H124" s="47" t="s">
        <v>43</v>
      </c>
      <c r="I124" s="66"/>
      <c r="J124" s="66" t="s">
        <v>150</v>
      </c>
      <c r="K124" s="57">
        <f>IF(Table121413[[#This Row],[modality]]=E123,1,0)</f>
        <v>0</v>
      </c>
      <c r="L124" s="66">
        <f>IF(Table121413[[#This Row],[stimulus]]=H125, 1, 0)</f>
        <v>0</v>
      </c>
      <c r="M124" s="66">
        <f t="shared" si="2"/>
        <v>0</v>
      </c>
      <c r="N124" s="66">
        <f t="shared" si="3"/>
        <v>0</v>
      </c>
    </row>
    <row r="125" spans="1:14" x14ac:dyDescent="0.3">
      <c r="A125" s="59">
        <v>1</v>
      </c>
      <c r="B125" s="59">
        <v>2</v>
      </c>
      <c r="C125" s="63">
        <v>124</v>
      </c>
      <c r="D125" s="72">
        <v>2</v>
      </c>
      <c r="E125" s="72" t="s">
        <v>80</v>
      </c>
      <c r="F125" s="74" t="s">
        <v>29</v>
      </c>
      <c r="G125" s="71" t="s">
        <v>42</v>
      </c>
      <c r="H125" s="71" t="s">
        <v>73</v>
      </c>
      <c r="I125" s="66"/>
      <c r="J125" s="66" t="s">
        <v>150</v>
      </c>
      <c r="K125" s="57">
        <f>IF(Table121413[[#This Row],[modality]]=E124,1,0)</f>
        <v>0</v>
      </c>
      <c r="L125" s="66">
        <f>IF(Table121413[[#This Row],[stimulus]]=H126, 1, 0)</f>
        <v>0</v>
      </c>
      <c r="M125" s="66">
        <f t="shared" si="2"/>
        <v>1</v>
      </c>
      <c r="N125" s="66">
        <f t="shared" si="3"/>
        <v>0</v>
      </c>
    </row>
    <row r="126" spans="1:14" x14ac:dyDescent="0.3">
      <c r="A126" s="59">
        <v>1</v>
      </c>
      <c r="B126" s="59">
        <v>2</v>
      </c>
      <c r="C126" s="63">
        <v>125</v>
      </c>
      <c r="D126" s="68">
        <v>1</v>
      </c>
      <c r="E126" s="68" t="s">
        <v>81</v>
      </c>
      <c r="F126" s="68" t="s">
        <v>0</v>
      </c>
      <c r="G126" s="47" t="s">
        <v>41</v>
      </c>
      <c r="H126" s="47" t="s">
        <v>50</v>
      </c>
      <c r="I126" s="66"/>
      <c r="J126" s="66" t="s">
        <v>151</v>
      </c>
      <c r="K126" s="57">
        <f>IF(Table121413[[#This Row],[modality]]=E125,1,0)</f>
        <v>0</v>
      </c>
      <c r="L126" s="66">
        <f>IF(Table121413[[#This Row],[stimulus]]=H127, 1, 0)</f>
        <v>1</v>
      </c>
      <c r="M126" s="66">
        <f t="shared" si="2"/>
        <v>0</v>
      </c>
      <c r="N126" s="66">
        <f t="shared" si="3"/>
        <v>1</v>
      </c>
    </row>
    <row r="127" spans="1:14" x14ac:dyDescent="0.3">
      <c r="A127" s="59">
        <v>1</v>
      </c>
      <c r="B127" s="59">
        <v>2</v>
      </c>
      <c r="C127" s="63">
        <v>126</v>
      </c>
      <c r="D127" s="70">
        <v>1</v>
      </c>
      <c r="E127" s="68" t="s">
        <v>81</v>
      </c>
      <c r="F127" s="70" t="s">
        <v>40</v>
      </c>
      <c r="G127" s="71" t="s">
        <v>9</v>
      </c>
      <c r="H127" s="71" t="s">
        <v>50</v>
      </c>
      <c r="I127" s="66"/>
      <c r="J127" s="66" t="s">
        <v>150</v>
      </c>
      <c r="K127" s="57">
        <f>IF(Table121413[[#This Row],[modality]]=E126,1,0)</f>
        <v>1</v>
      </c>
      <c r="L127" s="66">
        <f>IF(Table121413[[#This Row],[stimulus]]=H128, 1, 0)</f>
        <v>0</v>
      </c>
      <c r="M127" s="66">
        <f t="shared" si="2"/>
        <v>0</v>
      </c>
      <c r="N127" s="66">
        <f t="shared" si="3"/>
        <v>0</v>
      </c>
    </row>
    <row r="128" spans="1:14" x14ac:dyDescent="0.3">
      <c r="A128" s="59">
        <v>1</v>
      </c>
      <c r="B128" s="59">
        <v>2</v>
      </c>
      <c r="C128" s="63">
        <v>127</v>
      </c>
      <c r="D128" s="72">
        <v>2</v>
      </c>
      <c r="E128" s="73" t="s">
        <v>80</v>
      </c>
      <c r="F128" s="74" t="s">
        <v>29</v>
      </c>
      <c r="G128" s="47" t="s">
        <v>42</v>
      </c>
      <c r="H128" s="47" t="s">
        <v>68</v>
      </c>
      <c r="I128" s="66"/>
      <c r="J128" s="66" t="s">
        <v>150</v>
      </c>
      <c r="K128" s="57">
        <f>IF(Table121413[[#This Row],[modality]]=E127,1,0)</f>
        <v>0</v>
      </c>
      <c r="L128" s="66">
        <f>IF(Table121413[[#This Row],[stimulus]]=H129, 1, 0)</f>
        <v>0</v>
      </c>
      <c r="M128" s="66">
        <f t="shared" si="2"/>
        <v>1</v>
      </c>
      <c r="N128" s="66">
        <f t="shared" si="3"/>
        <v>0</v>
      </c>
    </row>
    <row r="129" spans="1:14" x14ac:dyDescent="0.3">
      <c r="A129" s="59">
        <v>1</v>
      </c>
      <c r="B129" s="59">
        <v>2</v>
      </c>
      <c r="C129" s="63">
        <v>128</v>
      </c>
      <c r="D129" s="70">
        <v>1</v>
      </c>
      <c r="E129" s="70" t="s">
        <v>81</v>
      </c>
      <c r="F129" s="70" t="s">
        <v>0</v>
      </c>
      <c r="G129" s="71" t="s">
        <v>41</v>
      </c>
      <c r="H129" s="71" t="s">
        <v>47</v>
      </c>
      <c r="I129" s="66"/>
      <c r="J129" s="66" t="s">
        <v>151</v>
      </c>
      <c r="K129" s="57">
        <f>IF(Table121413[[#This Row],[modality]]=E128,1,0)</f>
        <v>0</v>
      </c>
      <c r="L129" s="66">
        <f>IF(Table121413[[#This Row],[stimulus]]=H130, 1, 0)</f>
        <v>1</v>
      </c>
      <c r="M129" s="66">
        <f t="shared" si="2"/>
        <v>0</v>
      </c>
      <c r="N129" s="66">
        <f t="shared" si="3"/>
        <v>1</v>
      </c>
    </row>
    <row r="130" spans="1:14" x14ac:dyDescent="0.3">
      <c r="A130" s="59">
        <v>1</v>
      </c>
      <c r="B130" s="59">
        <v>2</v>
      </c>
      <c r="C130" s="63">
        <v>129</v>
      </c>
      <c r="D130" s="68">
        <v>1</v>
      </c>
      <c r="E130" s="68" t="s">
        <v>81</v>
      </c>
      <c r="F130" s="68" t="s">
        <v>40</v>
      </c>
      <c r="G130" s="47" t="s">
        <v>9</v>
      </c>
      <c r="H130" s="47" t="s">
        <v>47</v>
      </c>
      <c r="I130" s="66"/>
      <c r="J130" s="66" t="s">
        <v>150</v>
      </c>
      <c r="K130" s="57">
        <f>IF(Table121413[[#This Row],[modality]]=E129,1,0)</f>
        <v>1</v>
      </c>
      <c r="L130" s="66">
        <f>IF(Table121413[[#This Row],[stimulus]]=H131, 1, 0)</f>
        <v>0</v>
      </c>
      <c r="M130" s="66">
        <f t="shared" si="2"/>
        <v>0</v>
      </c>
      <c r="N130" s="66">
        <f t="shared" si="3"/>
        <v>0</v>
      </c>
    </row>
    <row r="131" spans="1:14" x14ac:dyDescent="0.3">
      <c r="A131" s="59">
        <v>1</v>
      </c>
      <c r="B131" s="59">
        <v>2</v>
      </c>
      <c r="C131" s="63">
        <v>130</v>
      </c>
      <c r="D131" s="72">
        <v>2</v>
      </c>
      <c r="E131" s="72" t="s">
        <v>80</v>
      </c>
      <c r="F131" s="74" t="s">
        <v>29</v>
      </c>
      <c r="G131" s="71" t="s">
        <v>42</v>
      </c>
      <c r="H131" s="71" t="s">
        <v>74</v>
      </c>
      <c r="I131" s="66"/>
      <c r="J131" s="66" t="s">
        <v>150</v>
      </c>
      <c r="K131" s="57">
        <f>IF(Table121413[[#This Row],[modality]]=E130,1,0)</f>
        <v>0</v>
      </c>
      <c r="L131" s="66">
        <f>IF(Table121413[[#This Row],[stimulus]]=H132, 1, 0)</f>
        <v>0</v>
      </c>
      <c r="M131" s="66">
        <f t="shared" ref="M131:M194" si="4">IF(F130="T",1,0)</f>
        <v>1</v>
      </c>
      <c r="N131" s="66">
        <f t="shared" ref="N131:N194" si="5">IF(F130="F",1,0)</f>
        <v>0</v>
      </c>
    </row>
    <row r="132" spans="1:14" x14ac:dyDescent="0.3">
      <c r="A132" s="58">
        <v>1</v>
      </c>
      <c r="B132" s="59">
        <v>2</v>
      </c>
      <c r="C132" s="63">
        <v>131</v>
      </c>
      <c r="D132" s="76">
        <v>2</v>
      </c>
      <c r="E132" s="76" t="s">
        <v>80</v>
      </c>
      <c r="F132" s="76" t="s">
        <v>29</v>
      </c>
      <c r="G132" s="94" t="s">
        <v>42</v>
      </c>
      <c r="H132" s="77" t="s">
        <v>71</v>
      </c>
      <c r="I132" s="66"/>
      <c r="J132" s="66" t="s">
        <v>151</v>
      </c>
      <c r="K132" s="57">
        <f>IF(Table121413[[#This Row],[modality]]=E131,1,0)</f>
        <v>1</v>
      </c>
      <c r="L132" s="66">
        <f>IF(Table121413[[#This Row],[stimulus]]=H133, 1, 0)</f>
        <v>0</v>
      </c>
      <c r="M132" s="66">
        <f t="shared" si="4"/>
        <v>0</v>
      </c>
      <c r="N132" s="66">
        <f t="shared" si="5"/>
        <v>1</v>
      </c>
    </row>
    <row r="133" spans="1:14" x14ac:dyDescent="0.3">
      <c r="A133" s="59">
        <v>1</v>
      </c>
      <c r="B133" s="59">
        <v>2</v>
      </c>
      <c r="C133" s="63">
        <v>132</v>
      </c>
      <c r="D133" s="72">
        <v>1</v>
      </c>
      <c r="E133" s="73" t="s">
        <v>81</v>
      </c>
      <c r="F133" s="74" t="s">
        <v>29</v>
      </c>
      <c r="G133" s="47" t="s">
        <v>42</v>
      </c>
      <c r="H133" s="47" t="s">
        <v>69</v>
      </c>
      <c r="I133" s="66"/>
      <c r="J133" s="66" t="s">
        <v>150</v>
      </c>
      <c r="K133" s="57">
        <f>IF(Table121413[[#This Row],[modality]]=E132,1,0)</f>
        <v>0</v>
      </c>
      <c r="L133" s="66">
        <f>IF(Table121413[[#This Row],[stimulus]]=H134, 1, 0)</f>
        <v>0</v>
      </c>
      <c r="M133" s="66">
        <f t="shared" si="4"/>
        <v>0</v>
      </c>
      <c r="N133" s="66">
        <f t="shared" si="5"/>
        <v>1</v>
      </c>
    </row>
    <row r="134" spans="1:14" x14ac:dyDescent="0.3">
      <c r="A134" s="59">
        <v>1</v>
      </c>
      <c r="B134" s="59">
        <v>2</v>
      </c>
      <c r="C134" s="63">
        <v>133</v>
      </c>
      <c r="D134" s="70">
        <v>1</v>
      </c>
      <c r="E134" s="70" t="s">
        <v>81</v>
      </c>
      <c r="F134" s="70" t="s">
        <v>0</v>
      </c>
      <c r="G134" s="71" t="s">
        <v>41</v>
      </c>
      <c r="H134" s="71" t="s">
        <v>49</v>
      </c>
      <c r="I134" s="66"/>
      <c r="J134" s="66" t="s">
        <v>151</v>
      </c>
      <c r="K134" s="57">
        <f>IF(Table121413[[#This Row],[modality]]=E133,1,0)</f>
        <v>1</v>
      </c>
      <c r="L134" s="66">
        <f>IF(Table121413[[#This Row],[stimulus]]=H135, 1, 0)</f>
        <v>1</v>
      </c>
      <c r="M134" s="66">
        <f t="shared" si="4"/>
        <v>0</v>
      </c>
      <c r="N134" s="66">
        <f t="shared" si="5"/>
        <v>1</v>
      </c>
    </row>
    <row r="135" spans="1:14" x14ac:dyDescent="0.3">
      <c r="A135" s="59">
        <v>1</v>
      </c>
      <c r="B135" s="59">
        <v>2</v>
      </c>
      <c r="C135" s="63">
        <v>134</v>
      </c>
      <c r="D135" s="68">
        <v>2</v>
      </c>
      <c r="E135" s="68" t="s">
        <v>80</v>
      </c>
      <c r="F135" s="68" t="s">
        <v>40</v>
      </c>
      <c r="G135" s="47" t="s">
        <v>10</v>
      </c>
      <c r="H135" s="47" t="s">
        <v>49</v>
      </c>
      <c r="I135" s="66"/>
      <c r="J135" s="66" t="s">
        <v>150</v>
      </c>
      <c r="K135" s="57">
        <f>IF(Table121413[[#This Row],[modality]]=E134,1,0)</f>
        <v>0</v>
      </c>
      <c r="L135" s="66">
        <f>IF(Table121413[[#This Row],[stimulus]]=H136, 1, 0)</f>
        <v>0</v>
      </c>
      <c r="M135" s="66">
        <f t="shared" si="4"/>
        <v>0</v>
      </c>
      <c r="N135" s="66">
        <f t="shared" si="5"/>
        <v>0</v>
      </c>
    </row>
    <row r="136" spans="1:14" x14ac:dyDescent="0.3">
      <c r="A136" s="59">
        <v>1</v>
      </c>
      <c r="B136" s="59">
        <v>2</v>
      </c>
      <c r="C136" s="63">
        <v>135</v>
      </c>
      <c r="D136" s="72">
        <v>1</v>
      </c>
      <c r="E136" s="72" t="s">
        <v>81</v>
      </c>
      <c r="F136" s="74" t="s">
        <v>29</v>
      </c>
      <c r="G136" s="71" t="s">
        <v>42</v>
      </c>
      <c r="H136" s="71" t="s">
        <v>70</v>
      </c>
      <c r="I136" s="66"/>
      <c r="J136" s="66" t="s">
        <v>150</v>
      </c>
      <c r="K136" s="57">
        <f>IF(Table121413[[#This Row],[modality]]=E135,1,0)</f>
        <v>0</v>
      </c>
      <c r="L136" s="66">
        <f>IF(Table121413[[#This Row],[stimulus]]=H137, 1, 0)</f>
        <v>0</v>
      </c>
      <c r="M136" s="66">
        <f t="shared" si="4"/>
        <v>1</v>
      </c>
      <c r="N136" s="66">
        <f t="shared" si="5"/>
        <v>0</v>
      </c>
    </row>
    <row r="137" spans="1:14" x14ac:dyDescent="0.3">
      <c r="A137" s="58">
        <v>1</v>
      </c>
      <c r="B137" s="59">
        <v>2</v>
      </c>
      <c r="C137" s="63">
        <v>136</v>
      </c>
      <c r="D137" s="95">
        <v>1</v>
      </c>
      <c r="E137" s="95" t="s">
        <v>81</v>
      </c>
      <c r="F137" s="95" t="s">
        <v>29</v>
      </c>
      <c r="G137" s="90" t="s">
        <v>42</v>
      </c>
      <c r="H137" s="90" t="s">
        <v>72</v>
      </c>
      <c r="I137" s="66"/>
      <c r="J137" s="66" t="s">
        <v>151</v>
      </c>
      <c r="K137" s="57">
        <f>IF(Table121413[[#This Row],[modality]]=E136,1,0)</f>
        <v>1</v>
      </c>
      <c r="L137" s="66">
        <f>IF(Table121413[[#This Row],[stimulus]]=H138, 1, 0)</f>
        <v>0</v>
      </c>
      <c r="M137" s="66">
        <f t="shared" si="4"/>
        <v>0</v>
      </c>
      <c r="N137" s="66">
        <f t="shared" si="5"/>
        <v>1</v>
      </c>
    </row>
    <row r="138" spans="1:14" x14ac:dyDescent="0.3">
      <c r="A138" s="58">
        <v>2</v>
      </c>
      <c r="B138" s="59">
        <v>2</v>
      </c>
      <c r="C138" s="63">
        <v>137</v>
      </c>
      <c r="D138" s="65">
        <v>1</v>
      </c>
      <c r="E138" s="57" t="s">
        <v>81</v>
      </c>
      <c r="F138" s="65" t="s">
        <v>0</v>
      </c>
      <c r="G138" s="58" t="s">
        <v>41</v>
      </c>
      <c r="H138" s="58" t="s">
        <v>54</v>
      </c>
      <c r="I138" s="66"/>
      <c r="J138" s="66" t="s">
        <v>151</v>
      </c>
      <c r="K138" s="57">
        <f>IF(Table121413[[#This Row],[modality]]=E137,1,0)</f>
        <v>1</v>
      </c>
      <c r="L138" s="66">
        <f>IF(Table121413[[#This Row],[stimulus]]=H139, 1, 0)</f>
        <v>1</v>
      </c>
      <c r="M138" s="66">
        <f t="shared" si="4"/>
        <v>0</v>
      </c>
      <c r="N138" s="66">
        <f t="shared" si="5"/>
        <v>1</v>
      </c>
    </row>
    <row r="139" spans="1:14" x14ac:dyDescent="0.3">
      <c r="A139" s="58">
        <v>2</v>
      </c>
      <c r="B139" s="59">
        <v>2</v>
      </c>
      <c r="C139" s="63">
        <v>138</v>
      </c>
      <c r="D139" s="68">
        <v>1</v>
      </c>
      <c r="E139" s="67" t="s">
        <v>81</v>
      </c>
      <c r="F139" s="68" t="s">
        <v>40</v>
      </c>
      <c r="G139" s="47" t="s">
        <v>9</v>
      </c>
      <c r="H139" s="47" t="s">
        <v>54</v>
      </c>
      <c r="I139" s="66"/>
      <c r="J139" s="66" t="s">
        <v>150</v>
      </c>
      <c r="K139" s="57">
        <f>IF(Table121413[[#This Row],[modality]]=E138,1,0)</f>
        <v>1</v>
      </c>
      <c r="L139" s="66">
        <f>IF(Table121413[[#This Row],[stimulus]]=H140, 1, 0)</f>
        <v>0</v>
      </c>
      <c r="M139" s="66">
        <f t="shared" si="4"/>
        <v>0</v>
      </c>
      <c r="N139" s="66">
        <f t="shared" si="5"/>
        <v>0</v>
      </c>
    </row>
    <row r="140" spans="1:14" x14ac:dyDescent="0.3">
      <c r="A140" s="58">
        <v>2</v>
      </c>
      <c r="B140" s="59">
        <v>2</v>
      </c>
      <c r="C140" s="63">
        <v>139</v>
      </c>
      <c r="D140" s="78">
        <v>2</v>
      </c>
      <c r="E140" s="78" t="s">
        <v>80</v>
      </c>
      <c r="F140" s="78" t="s">
        <v>29</v>
      </c>
      <c r="G140" s="58" t="s">
        <v>42</v>
      </c>
      <c r="H140" s="58" t="s">
        <v>46</v>
      </c>
      <c r="I140" s="66"/>
      <c r="J140" s="66" t="s">
        <v>150</v>
      </c>
      <c r="K140" s="57">
        <f>IF(Table121413[[#This Row],[modality]]=E139,1,0)</f>
        <v>0</v>
      </c>
      <c r="L140" s="66">
        <f>IF(Table121413[[#This Row],[stimulus]]=H141, 1, 0)</f>
        <v>0</v>
      </c>
      <c r="M140" s="66">
        <f t="shared" si="4"/>
        <v>1</v>
      </c>
      <c r="N140" s="66">
        <f t="shared" si="5"/>
        <v>0</v>
      </c>
    </row>
    <row r="141" spans="1:14" x14ac:dyDescent="0.3">
      <c r="A141" s="58">
        <v>2</v>
      </c>
      <c r="B141" s="59">
        <v>2</v>
      </c>
      <c r="C141" s="63">
        <v>140</v>
      </c>
      <c r="D141" s="68">
        <v>1</v>
      </c>
      <c r="E141" s="68" t="s">
        <v>81</v>
      </c>
      <c r="F141" s="68" t="s">
        <v>0</v>
      </c>
      <c r="G141" s="47" t="s">
        <v>41</v>
      </c>
      <c r="H141" s="47" t="s">
        <v>56</v>
      </c>
      <c r="I141" s="66"/>
      <c r="J141" s="66" t="s">
        <v>151</v>
      </c>
      <c r="K141" s="57">
        <f>IF(Table121413[[#This Row],[modality]]=E140,1,0)</f>
        <v>0</v>
      </c>
      <c r="L141" s="66">
        <f>IF(Table121413[[#This Row],[stimulus]]=H142, 1, 0)</f>
        <v>1</v>
      </c>
      <c r="M141" s="66">
        <f t="shared" si="4"/>
        <v>0</v>
      </c>
      <c r="N141" s="66">
        <f t="shared" si="5"/>
        <v>1</v>
      </c>
    </row>
    <row r="142" spans="1:14" x14ac:dyDescent="0.3">
      <c r="A142" s="58">
        <v>2</v>
      </c>
      <c r="B142" s="59">
        <v>2</v>
      </c>
      <c r="C142" s="63">
        <v>141</v>
      </c>
      <c r="D142" s="65">
        <v>1</v>
      </c>
      <c r="E142" s="65" t="s">
        <v>81</v>
      </c>
      <c r="F142" s="65" t="s">
        <v>40</v>
      </c>
      <c r="G142" s="58" t="s">
        <v>9</v>
      </c>
      <c r="H142" s="58" t="s">
        <v>56</v>
      </c>
      <c r="I142" s="66"/>
      <c r="J142" s="66" t="s">
        <v>150</v>
      </c>
      <c r="K142" s="57">
        <f>IF(Table121413[[#This Row],[modality]]=E141,1,0)</f>
        <v>1</v>
      </c>
      <c r="L142" s="66">
        <f>IF(Table121413[[#This Row],[stimulus]]=H143, 1, 0)</f>
        <v>0</v>
      </c>
      <c r="M142" s="66">
        <f t="shared" si="4"/>
        <v>0</v>
      </c>
      <c r="N142" s="66">
        <f t="shared" si="5"/>
        <v>0</v>
      </c>
    </row>
    <row r="143" spans="1:14" x14ac:dyDescent="0.3">
      <c r="A143" s="58">
        <v>2</v>
      </c>
      <c r="B143" s="59">
        <v>2</v>
      </c>
      <c r="C143" s="63">
        <v>142</v>
      </c>
      <c r="D143" s="68">
        <v>1</v>
      </c>
      <c r="E143" s="68" t="s">
        <v>81</v>
      </c>
      <c r="F143" s="68" t="s">
        <v>0</v>
      </c>
      <c r="G143" s="47" t="s">
        <v>41</v>
      </c>
      <c r="H143" s="47" t="s">
        <v>58</v>
      </c>
      <c r="I143" s="66"/>
      <c r="J143" s="66" t="s">
        <v>151</v>
      </c>
      <c r="K143" s="57">
        <f>IF(Table121413[[#This Row],[modality]]=E142,1,0)</f>
        <v>1</v>
      </c>
      <c r="L143" s="66">
        <f>IF(Table121413[[#This Row],[stimulus]]=H144, 1, 0)</f>
        <v>1</v>
      </c>
      <c r="M143" s="66">
        <f t="shared" si="4"/>
        <v>1</v>
      </c>
      <c r="N143" s="66">
        <f t="shared" si="5"/>
        <v>0</v>
      </c>
    </row>
    <row r="144" spans="1:14" x14ac:dyDescent="0.3">
      <c r="A144" s="58">
        <v>2</v>
      </c>
      <c r="B144" s="59">
        <v>2</v>
      </c>
      <c r="C144" s="63">
        <v>143</v>
      </c>
      <c r="D144" s="65">
        <v>2</v>
      </c>
      <c r="E144" s="65" t="s">
        <v>80</v>
      </c>
      <c r="F144" s="65" t="s">
        <v>40</v>
      </c>
      <c r="G144" s="58" t="s">
        <v>10</v>
      </c>
      <c r="H144" s="58" t="s">
        <v>58</v>
      </c>
      <c r="I144" s="66"/>
      <c r="J144" s="66" t="s">
        <v>150</v>
      </c>
      <c r="K144" s="57">
        <f>IF(Table121413[[#This Row],[modality]]=E143,1,0)</f>
        <v>0</v>
      </c>
      <c r="L144" s="66">
        <f>IF(Table121413[[#This Row],[stimulus]]=H145, 1, 0)</f>
        <v>0</v>
      </c>
      <c r="M144" s="66">
        <f t="shared" si="4"/>
        <v>0</v>
      </c>
      <c r="N144" s="66">
        <f t="shared" si="5"/>
        <v>0</v>
      </c>
    </row>
    <row r="145" spans="1:14" x14ac:dyDescent="0.3">
      <c r="A145" s="58">
        <v>2</v>
      </c>
      <c r="B145" s="59">
        <v>2</v>
      </c>
      <c r="C145" s="63">
        <v>144</v>
      </c>
      <c r="D145" s="78">
        <v>2</v>
      </c>
      <c r="E145" s="78" t="s">
        <v>80</v>
      </c>
      <c r="F145" s="78" t="s">
        <v>29</v>
      </c>
      <c r="G145" s="47" t="s">
        <v>42</v>
      </c>
      <c r="H145" s="47" t="s">
        <v>45</v>
      </c>
      <c r="I145" s="66"/>
      <c r="J145" s="66" t="s">
        <v>150</v>
      </c>
      <c r="K145" s="57">
        <f>IF(Table121413[[#This Row],[modality]]=E144,1,0)</f>
        <v>1</v>
      </c>
      <c r="L145" s="66">
        <f>IF(Table121413[[#This Row],[stimulus]]=H146, 1, 0)</f>
        <v>0</v>
      </c>
      <c r="M145" s="66">
        <f t="shared" si="4"/>
        <v>1</v>
      </c>
      <c r="N145" s="66">
        <f t="shared" si="5"/>
        <v>0</v>
      </c>
    </row>
    <row r="146" spans="1:14" x14ac:dyDescent="0.3">
      <c r="A146" s="58">
        <v>2</v>
      </c>
      <c r="B146" s="59">
        <v>2</v>
      </c>
      <c r="C146" s="63">
        <v>145</v>
      </c>
      <c r="D146" s="76">
        <v>2</v>
      </c>
      <c r="E146" s="76" t="s">
        <v>80</v>
      </c>
      <c r="F146" s="76" t="s">
        <v>29</v>
      </c>
      <c r="G146" s="77" t="s">
        <v>42</v>
      </c>
      <c r="H146" s="77" t="s">
        <v>50</v>
      </c>
      <c r="I146" s="66"/>
      <c r="J146" s="66" t="s">
        <v>151</v>
      </c>
      <c r="K146" s="57">
        <f>IF(Table121413[[#This Row],[modality]]=E145,1,0)</f>
        <v>1</v>
      </c>
      <c r="L146" s="66">
        <f>IF(Table121413[[#This Row],[stimulus]]=H147, 1, 0)</f>
        <v>0</v>
      </c>
      <c r="M146" s="66">
        <f t="shared" si="4"/>
        <v>0</v>
      </c>
      <c r="N146" s="66">
        <f t="shared" si="5"/>
        <v>1</v>
      </c>
    </row>
    <row r="147" spans="1:14" x14ac:dyDescent="0.3">
      <c r="A147" s="58">
        <v>2</v>
      </c>
      <c r="B147" s="59">
        <v>2</v>
      </c>
      <c r="C147" s="63">
        <v>146</v>
      </c>
      <c r="D147" s="65">
        <v>2</v>
      </c>
      <c r="E147" s="65" t="s">
        <v>80</v>
      </c>
      <c r="F147" s="65" t="s">
        <v>0</v>
      </c>
      <c r="G147" s="58" t="s">
        <v>41</v>
      </c>
      <c r="H147" s="58" t="s">
        <v>52</v>
      </c>
      <c r="I147" s="66"/>
      <c r="J147" s="66" t="s">
        <v>151</v>
      </c>
      <c r="K147" s="57">
        <f>IF(Table121413[[#This Row],[modality]]=E146,1,0)</f>
        <v>1</v>
      </c>
      <c r="L147" s="66">
        <f>IF(Table121413[[#This Row],[stimulus]]=H148, 1, 0)</f>
        <v>1</v>
      </c>
      <c r="M147" s="66">
        <f t="shared" si="4"/>
        <v>0</v>
      </c>
      <c r="N147" s="66">
        <f t="shared" si="5"/>
        <v>1</v>
      </c>
    </row>
    <row r="148" spans="1:14" x14ac:dyDescent="0.3">
      <c r="A148" s="58">
        <v>2</v>
      </c>
      <c r="B148" s="59">
        <v>2</v>
      </c>
      <c r="C148" s="63">
        <v>147</v>
      </c>
      <c r="D148" s="68">
        <v>1</v>
      </c>
      <c r="E148" s="68" t="s">
        <v>81</v>
      </c>
      <c r="F148" s="68" t="s">
        <v>40</v>
      </c>
      <c r="G148" s="47" t="s">
        <v>10</v>
      </c>
      <c r="H148" s="47" t="s">
        <v>52</v>
      </c>
      <c r="I148" s="66"/>
      <c r="J148" s="66" t="s">
        <v>150</v>
      </c>
      <c r="K148" s="57">
        <f>IF(Table121413[[#This Row],[modality]]=E147,1,0)</f>
        <v>0</v>
      </c>
      <c r="L148" s="66">
        <f>IF(Table121413[[#This Row],[stimulus]]=H149, 1, 0)</f>
        <v>0</v>
      </c>
      <c r="M148" s="66">
        <f t="shared" si="4"/>
        <v>0</v>
      </c>
      <c r="N148" s="66">
        <f t="shared" si="5"/>
        <v>0</v>
      </c>
    </row>
    <row r="149" spans="1:14" x14ac:dyDescent="0.3">
      <c r="A149" s="58">
        <v>2</v>
      </c>
      <c r="B149" s="59">
        <v>2</v>
      </c>
      <c r="C149" s="63">
        <v>148</v>
      </c>
      <c r="D149" s="65">
        <v>1</v>
      </c>
      <c r="E149" s="65" t="s">
        <v>81</v>
      </c>
      <c r="F149" s="65" t="s">
        <v>0</v>
      </c>
      <c r="G149" s="58" t="s">
        <v>41</v>
      </c>
      <c r="H149" s="58" t="s">
        <v>57</v>
      </c>
      <c r="I149" s="66"/>
      <c r="J149" s="66" t="s">
        <v>151</v>
      </c>
      <c r="K149" s="57">
        <f>IF(Table121413[[#This Row],[modality]]=E148,1,0)</f>
        <v>1</v>
      </c>
      <c r="L149" s="66">
        <f>IF(Table121413[[#This Row],[stimulus]]=H150, 1, 0)</f>
        <v>1</v>
      </c>
      <c r="M149" s="66">
        <f t="shared" si="4"/>
        <v>1</v>
      </c>
      <c r="N149" s="66">
        <f t="shared" si="5"/>
        <v>0</v>
      </c>
    </row>
    <row r="150" spans="1:14" x14ac:dyDescent="0.3">
      <c r="A150" s="58">
        <v>2</v>
      </c>
      <c r="B150" s="59">
        <v>2</v>
      </c>
      <c r="C150" s="63">
        <v>149</v>
      </c>
      <c r="D150" s="68">
        <v>2</v>
      </c>
      <c r="E150" s="68" t="s">
        <v>80</v>
      </c>
      <c r="F150" s="68" t="s">
        <v>40</v>
      </c>
      <c r="G150" s="47" t="s">
        <v>10</v>
      </c>
      <c r="H150" s="47" t="s">
        <v>57</v>
      </c>
      <c r="I150" s="66"/>
      <c r="J150" s="66" t="s">
        <v>150</v>
      </c>
      <c r="K150" s="57">
        <f>IF(Table121413[[#This Row],[modality]]=E149,1,0)</f>
        <v>0</v>
      </c>
      <c r="L150" s="66">
        <f>IF(Table121413[[#This Row],[stimulus]]=H151, 1, 0)</f>
        <v>0</v>
      </c>
      <c r="M150" s="66">
        <f t="shared" si="4"/>
        <v>0</v>
      </c>
      <c r="N150" s="66">
        <f t="shared" si="5"/>
        <v>0</v>
      </c>
    </row>
    <row r="151" spans="1:14" x14ac:dyDescent="0.3">
      <c r="A151" s="58">
        <v>2</v>
      </c>
      <c r="B151" s="59">
        <v>2</v>
      </c>
      <c r="C151" s="63">
        <v>150</v>
      </c>
      <c r="D151" s="78">
        <v>1</v>
      </c>
      <c r="E151" s="78" t="s">
        <v>81</v>
      </c>
      <c r="F151" s="78" t="s">
        <v>29</v>
      </c>
      <c r="G151" s="58" t="s">
        <v>42</v>
      </c>
      <c r="H151" s="58" t="s">
        <v>48</v>
      </c>
      <c r="I151" s="66"/>
      <c r="J151" s="66" t="s">
        <v>150</v>
      </c>
      <c r="K151" s="57">
        <f>IF(Table121413[[#This Row],[modality]]=E150,1,0)</f>
        <v>0</v>
      </c>
      <c r="L151" s="66">
        <f>IF(Table121413[[#This Row],[stimulus]]=H152, 1, 0)</f>
        <v>0</v>
      </c>
      <c r="M151" s="66">
        <f t="shared" si="4"/>
        <v>1</v>
      </c>
      <c r="N151" s="66">
        <f t="shared" si="5"/>
        <v>0</v>
      </c>
    </row>
    <row r="152" spans="1:14" x14ac:dyDescent="0.3">
      <c r="A152" s="58">
        <v>2</v>
      </c>
      <c r="B152" s="59">
        <v>2</v>
      </c>
      <c r="C152" s="63">
        <v>151</v>
      </c>
      <c r="D152" s="78">
        <v>2</v>
      </c>
      <c r="E152" s="78" t="s">
        <v>80</v>
      </c>
      <c r="F152" s="78" t="s">
        <v>29</v>
      </c>
      <c r="G152" s="47" t="s">
        <v>42</v>
      </c>
      <c r="H152" s="47" t="s">
        <v>44</v>
      </c>
      <c r="I152" s="66"/>
      <c r="J152" s="66" t="s">
        <v>151</v>
      </c>
      <c r="K152" s="57">
        <f>IF(Table121413[[#This Row],[modality]]=E151,1,0)</f>
        <v>0</v>
      </c>
      <c r="L152" s="66">
        <f>IF(Table121413[[#This Row],[stimulus]]=H153, 1, 0)</f>
        <v>0</v>
      </c>
      <c r="M152" s="66">
        <f t="shared" si="4"/>
        <v>0</v>
      </c>
      <c r="N152" s="66">
        <f t="shared" si="5"/>
        <v>1</v>
      </c>
    </row>
    <row r="153" spans="1:14" x14ac:dyDescent="0.3">
      <c r="A153" s="58">
        <v>2</v>
      </c>
      <c r="B153" s="59">
        <v>2</v>
      </c>
      <c r="C153" s="63">
        <v>152</v>
      </c>
      <c r="D153" s="78">
        <v>1</v>
      </c>
      <c r="E153" s="78" t="s">
        <v>81</v>
      </c>
      <c r="F153" s="78" t="s">
        <v>29</v>
      </c>
      <c r="G153" s="58" t="s">
        <v>42</v>
      </c>
      <c r="H153" s="58" t="s">
        <v>47</v>
      </c>
      <c r="I153" s="66"/>
      <c r="J153" s="66" t="s">
        <v>150</v>
      </c>
      <c r="K153" s="57">
        <f>IF(Table121413[[#This Row],[modality]]=E152,1,0)</f>
        <v>0</v>
      </c>
      <c r="L153" s="66">
        <f>IF(Table121413[[#This Row],[stimulus]]=H154, 1, 0)</f>
        <v>0</v>
      </c>
      <c r="M153" s="66">
        <f t="shared" si="4"/>
        <v>0</v>
      </c>
      <c r="N153" s="66">
        <f t="shared" si="5"/>
        <v>1</v>
      </c>
    </row>
    <row r="154" spans="1:14" x14ac:dyDescent="0.3">
      <c r="A154" s="58">
        <v>2</v>
      </c>
      <c r="B154" s="59">
        <v>2</v>
      </c>
      <c r="C154" s="63">
        <v>153</v>
      </c>
      <c r="D154" s="70">
        <v>2</v>
      </c>
      <c r="E154" s="70" t="s">
        <v>80</v>
      </c>
      <c r="F154" s="70" t="s">
        <v>0</v>
      </c>
      <c r="G154" s="71" t="s">
        <v>41</v>
      </c>
      <c r="H154" s="71" t="s">
        <v>55</v>
      </c>
      <c r="I154" s="66"/>
      <c r="J154" s="66" t="s">
        <v>151</v>
      </c>
      <c r="K154" s="57">
        <f>IF(Table121413[[#This Row],[modality]]=E153,1,0)</f>
        <v>0</v>
      </c>
      <c r="L154" s="66">
        <f>IF(Table121413[[#This Row],[stimulus]]=H155, 1, 0)</f>
        <v>1</v>
      </c>
      <c r="M154" s="66">
        <f t="shared" si="4"/>
        <v>0</v>
      </c>
      <c r="N154" s="66">
        <f t="shared" si="5"/>
        <v>1</v>
      </c>
    </row>
    <row r="155" spans="1:14" x14ac:dyDescent="0.3">
      <c r="A155" s="58">
        <v>2</v>
      </c>
      <c r="B155" s="59">
        <v>2</v>
      </c>
      <c r="C155" s="63">
        <v>154</v>
      </c>
      <c r="D155" s="68">
        <v>2</v>
      </c>
      <c r="E155" s="68" t="s">
        <v>80</v>
      </c>
      <c r="F155" s="68" t="s">
        <v>40</v>
      </c>
      <c r="G155" s="47" t="s">
        <v>9</v>
      </c>
      <c r="H155" s="47" t="s">
        <v>55</v>
      </c>
      <c r="I155" s="66"/>
      <c r="J155" s="66" t="s">
        <v>150</v>
      </c>
      <c r="K155" s="57">
        <f>IF(Table121413[[#This Row],[modality]]=E154,1,0)</f>
        <v>1</v>
      </c>
      <c r="L155" s="66">
        <f>IF(Table121413[[#This Row],[stimulus]]=H156, 1, 0)</f>
        <v>0</v>
      </c>
      <c r="M155" s="66">
        <f t="shared" si="4"/>
        <v>0</v>
      </c>
      <c r="N155" s="66">
        <f t="shared" si="5"/>
        <v>0</v>
      </c>
    </row>
    <row r="156" spans="1:14" x14ac:dyDescent="0.3">
      <c r="A156" s="58">
        <v>2</v>
      </c>
      <c r="B156" s="59">
        <v>2</v>
      </c>
      <c r="C156" s="63">
        <v>155</v>
      </c>
      <c r="D156" s="78">
        <v>1</v>
      </c>
      <c r="E156" s="78" t="s">
        <v>81</v>
      </c>
      <c r="F156" s="78" t="s">
        <v>29</v>
      </c>
      <c r="G156" s="71" t="s">
        <v>42</v>
      </c>
      <c r="H156" s="71" t="s">
        <v>43</v>
      </c>
      <c r="I156" s="66"/>
      <c r="J156" s="66" t="s">
        <v>150</v>
      </c>
      <c r="K156" s="57">
        <f>IF(Table121413[[#This Row],[modality]]=E155,1,0)</f>
        <v>0</v>
      </c>
      <c r="L156" s="66">
        <f>IF(Table121413[[#This Row],[stimulus]]=H157, 1, 0)</f>
        <v>0</v>
      </c>
      <c r="M156" s="66">
        <f t="shared" si="4"/>
        <v>1</v>
      </c>
      <c r="N156" s="66">
        <f t="shared" si="5"/>
        <v>0</v>
      </c>
    </row>
    <row r="157" spans="1:14" x14ac:dyDescent="0.3">
      <c r="A157" s="58">
        <v>2</v>
      </c>
      <c r="B157" s="59">
        <v>2</v>
      </c>
      <c r="C157" s="63">
        <v>156</v>
      </c>
      <c r="D157" s="68">
        <v>2</v>
      </c>
      <c r="E157" s="68" t="s">
        <v>80</v>
      </c>
      <c r="F157" s="68" t="s">
        <v>0</v>
      </c>
      <c r="G157" s="47" t="s">
        <v>41</v>
      </c>
      <c r="H157" s="47" t="s">
        <v>51</v>
      </c>
      <c r="I157" s="66"/>
      <c r="J157" s="66" t="s">
        <v>151</v>
      </c>
      <c r="K157" s="57">
        <f>IF(Table121413[[#This Row],[modality]]=E156,1,0)</f>
        <v>0</v>
      </c>
      <c r="L157" s="66">
        <f>IF(Table121413[[#This Row],[stimulus]]=H158, 1, 0)</f>
        <v>1</v>
      </c>
      <c r="M157" s="66">
        <f t="shared" si="4"/>
        <v>0</v>
      </c>
      <c r="N157" s="66">
        <f t="shared" si="5"/>
        <v>1</v>
      </c>
    </row>
    <row r="158" spans="1:14" x14ac:dyDescent="0.3">
      <c r="A158" s="58">
        <v>2</v>
      </c>
      <c r="B158" s="59">
        <v>2</v>
      </c>
      <c r="C158" s="63">
        <v>157</v>
      </c>
      <c r="D158" s="70">
        <v>2</v>
      </c>
      <c r="E158" s="70" t="s">
        <v>80</v>
      </c>
      <c r="F158" s="70" t="s">
        <v>40</v>
      </c>
      <c r="G158" s="71" t="s">
        <v>9</v>
      </c>
      <c r="H158" s="71" t="s">
        <v>51</v>
      </c>
      <c r="I158" s="66"/>
      <c r="J158" s="66" t="s">
        <v>150</v>
      </c>
      <c r="K158" s="57">
        <f>IF(Table121413[[#This Row],[modality]]=E157,1,0)</f>
        <v>1</v>
      </c>
      <c r="L158" s="66">
        <f>IF(Table121413[[#This Row],[stimulus]]=H159, 1, 0)</f>
        <v>0</v>
      </c>
      <c r="M158" s="66">
        <f t="shared" si="4"/>
        <v>0</v>
      </c>
      <c r="N158" s="66">
        <f t="shared" si="5"/>
        <v>0</v>
      </c>
    </row>
    <row r="159" spans="1:14" x14ac:dyDescent="0.3">
      <c r="A159" s="58">
        <v>2</v>
      </c>
      <c r="B159" s="59">
        <v>2</v>
      </c>
      <c r="C159" s="63">
        <v>158</v>
      </c>
      <c r="D159" s="78">
        <v>1</v>
      </c>
      <c r="E159" s="78" t="s">
        <v>81</v>
      </c>
      <c r="F159" s="78" t="s">
        <v>29</v>
      </c>
      <c r="G159" s="47" t="s">
        <v>42</v>
      </c>
      <c r="H159" s="47" t="s">
        <v>50</v>
      </c>
      <c r="I159" s="66"/>
      <c r="J159" s="66" t="s">
        <v>150</v>
      </c>
      <c r="K159" s="57">
        <f>IF(Table121413[[#This Row],[modality]]=E158,1,0)</f>
        <v>0</v>
      </c>
      <c r="L159" s="66">
        <f>IF(Table121413[[#This Row],[stimulus]]=H160, 1, 0)</f>
        <v>0</v>
      </c>
      <c r="M159" s="66">
        <f t="shared" si="4"/>
        <v>1</v>
      </c>
      <c r="N159" s="66">
        <f t="shared" si="5"/>
        <v>0</v>
      </c>
    </row>
    <row r="160" spans="1:14" x14ac:dyDescent="0.3">
      <c r="A160" s="58">
        <v>2</v>
      </c>
      <c r="B160" s="59">
        <v>2</v>
      </c>
      <c r="C160" s="63">
        <v>159</v>
      </c>
      <c r="D160" s="96">
        <v>2</v>
      </c>
      <c r="E160" s="96" t="s">
        <v>80</v>
      </c>
      <c r="F160" s="96" t="s">
        <v>29</v>
      </c>
      <c r="G160" s="87" t="s">
        <v>42</v>
      </c>
      <c r="H160" s="87" t="s">
        <v>43</v>
      </c>
      <c r="I160" s="66"/>
      <c r="J160" s="66" t="s">
        <v>151</v>
      </c>
      <c r="K160" s="57">
        <f>IF(Table121413[[#This Row],[modality]]=E159,1,0)</f>
        <v>0</v>
      </c>
      <c r="L160" s="66">
        <f>IF(Table121413[[#This Row],[stimulus]]=H161, 1, 0)</f>
        <v>0</v>
      </c>
      <c r="M160" s="66">
        <f t="shared" si="4"/>
        <v>0</v>
      </c>
      <c r="N160" s="66">
        <f t="shared" si="5"/>
        <v>1</v>
      </c>
    </row>
    <row r="161" spans="1:14" x14ac:dyDescent="0.3">
      <c r="A161" s="58">
        <v>2</v>
      </c>
      <c r="B161" s="59">
        <v>2</v>
      </c>
      <c r="C161" s="63">
        <v>160</v>
      </c>
      <c r="D161" s="95">
        <v>1</v>
      </c>
      <c r="E161" s="95" t="s">
        <v>81</v>
      </c>
      <c r="F161" s="95" t="s">
        <v>29</v>
      </c>
      <c r="G161" s="90" t="s">
        <v>42</v>
      </c>
      <c r="H161" s="90" t="s">
        <v>46</v>
      </c>
      <c r="I161" s="66"/>
      <c r="J161" s="66" t="s">
        <v>151</v>
      </c>
      <c r="K161" s="57">
        <f>IF(Table121413[[#This Row],[modality]]=E160,1,0)</f>
        <v>0</v>
      </c>
      <c r="L161" s="66">
        <f>IF(Table121413[[#This Row],[stimulus]]=H162, 1, 0)</f>
        <v>0</v>
      </c>
      <c r="M161" s="66">
        <f t="shared" si="4"/>
        <v>0</v>
      </c>
      <c r="N161" s="66">
        <f t="shared" si="5"/>
        <v>1</v>
      </c>
    </row>
    <row r="162" spans="1:14" x14ac:dyDescent="0.3">
      <c r="A162" s="58">
        <v>2</v>
      </c>
      <c r="B162" s="59">
        <v>2</v>
      </c>
      <c r="C162" s="63">
        <v>161</v>
      </c>
      <c r="D162" s="78">
        <v>2</v>
      </c>
      <c r="E162" s="78" t="s">
        <v>80</v>
      </c>
      <c r="F162" s="78" t="s">
        <v>29</v>
      </c>
      <c r="G162" s="47" t="s">
        <v>42</v>
      </c>
      <c r="H162" s="47" t="s">
        <v>49</v>
      </c>
      <c r="I162" s="66"/>
      <c r="J162" s="66" t="s">
        <v>151</v>
      </c>
      <c r="K162" s="57">
        <f>IF(Table121413[[#This Row],[modality]]=E161,1,0)</f>
        <v>0</v>
      </c>
      <c r="L162" s="66">
        <f>IF(Table121413[[#This Row],[stimulus]]=H163, 1, 0)</f>
        <v>0</v>
      </c>
      <c r="M162" s="66">
        <f t="shared" si="4"/>
        <v>0</v>
      </c>
      <c r="N162" s="66">
        <f t="shared" si="5"/>
        <v>1</v>
      </c>
    </row>
    <row r="163" spans="1:14" x14ac:dyDescent="0.3">
      <c r="A163" s="58">
        <v>2</v>
      </c>
      <c r="B163" s="59">
        <v>2</v>
      </c>
      <c r="C163" s="63">
        <v>162</v>
      </c>
      <c r="D163" s="65">
        <v>2</v>
      </c>
      <c r="E163" s="65" t="s">
        <v>80</v>
      </c>
      <c r="F163" s="65" t="s">
        <v>0</v>
      </c>
      <c r="G163" s="58" t="s">
        <v>41</v>
      </c>
      <c r="H163" s="58" t="s">
        <v>53</v>
      </c>
      <c r="I163" s="66"/>
      <c r="J163" s="66" t="s">
        <v>151</v>
      </c>
      <c r="K163" s="57">
        <f>IF(Table121413[[#This Row],[modality]]=E162,1,0)</f>
        <v>1</v>
      </c>
      <c r="L163" s="66">
        <f>IF(Table121413[[#This Row],[stimulus]]=H164, 1, 0)</f>
        <v>1</v>
      </c>
      <c r="M163" s="66">
        <f t="shared" si="4"/>
        <v>0</v>
      </c>
      <c r="N163" s="66">
        <f t="shared" si="5"/>
        <v>1</v>
      </c>
    </row>
    <row r="164" spans="1:14" x14ac:dyDescent="0.3">
      <c r="A164" s="58">
        <v>2</v>
      </c>
      <c r="B164" s="59">
        <v>2</v>
      </c>
      <c r="C164" s="63">
        <v>163</v>
      </c>
      <c r="D164" s="68">
        <v>1</v>
      </c>
      <c r="E164" s="68" t="s">
        <v>81</v>
      </c>
      <c r="F164" s="68" t="s">
        <v>40</v>
      </c>
      <c r="G164" s="47" t="s">
        <v>10</v>
      </c>
      <c r="H164" s="47" t="s">
        <v>53</v>
      </c>
      <c r="I164" s="66"/>
      <c r="J164" s="66" t="s">
        <v>150</v>
      </c>
      <c r="K164" s="57">
        <f>IF(Table121413[[#This Row],[modality]]=E163,1,0)</f>
        <v>0</v>
      </c>
      <c r="L164" s="66">
        <f>IF(Table121413[[#This Row],[stimulus]]=H165, 1, 0)</f>
        <v>0</v>
      </c>
      <c r="M164" s="66">
        <f t="shared" si="4"/>
        <v>0</v>
      </c>
      <c r="N164" s="66">
        <f t="shared" si="5"/>
        <v>0</v>
      </c>
    </row>
    <row r="165" spans="1:14" x14ac:dyDescent="0.3">
      <c r="A165" s="59">
        <v>3</v>
      </c>
      <c r="B165" s="59">
        <v>2</v>
      </c>
      <c r="C165" s="63">
        <v>164</v>
      </c>
      <c r="D165" s="84">
        <v>1</v>
      </c>
      <c r="E165" s="84" t="s">
        <v>81</v>
      </c>
      <c r="F165" s="84" t="s">
        <v>29</v>
      </c>
      <c r="G165" s="47" t="s">
        <v>42</v>
      </c>
      <c r="H165" s="47" t="s">
        <v>54</v>
      </c>
      <c r="I165" s="66"/>
      <c r="J165" s="66" t="s">
        <v>150</v>
      </c>
      <c r="K165" s="57">
        <f>IF(Table121413[[#This Row],[modality]]=E164,1,0)</f>
        <v>1</v>
      </c>
      <c r="L165" s="66">
        <f>IF(Table121413[[#This Row],[stimulus]]=H166, 1, 0)</f>
        <v>0</v>
      </c>
      <c r="M165" s="66">
        <f t="shared" si="4"/>
        <v>1</v>
      </c>
      <c r="N165" s="66">
        <f t="shared" si="5"/>
        <v>0</v>
      </c>
    </row>
    <row r="166" spans="1:14" x14ac:dyDescent="0.3">
      <c r="A166" s="59">
        <v>3</v>
      </c>
      <c r="B166" s="59">
        <v>2</v>
      </c>
      <c r="C166" s="63">
        <v>165</v>
      </c>
      <c r="D166" s="70">
        <v>1</v>
      </c>
      <c r="E166" s="70" t="s">
        <v>81</v>
      </c>
      <c r="F166" s="70" t="s">
        <v>0</v>
      </c>
      <c r="G166" s="71" t="s">
        <v>41</v>
      </c>
      <c r="H166" s="71" t="s">
        <v>64</v>
      </c>
      <c r="I166" s="66"/>
      <c r="J166" s="66" t="s">
        <v>151</v>
      </c>
      <c r="K166" s="57">
        <f>IF(Table121413[[#This Row],[modality]]=E165,1,0)</f>
        <v>1</v>
      </c>
      <c r="L166" s="66">
        <f>IF(Table121413[[#This Row],[stimulus]]=H167, 1, 0)</f>
        <v>1</v>
      </c>
      <c r="M166" s="66">
        <f t="shared" si="4"/>
        <v>0</v>
      </c>
      <c r="N166" s="66">
        <f t="shared" si="5"/>
        <v>1</v>
      </c>
    </row>
    <row r="167" spans="1:14" x14ac:dyDescent="0.3">
      <c r="A167" s="59">
        <v>3</v>
      </c>
      <c r="B167" s="59">
        <v>2</v>
      </c>
      <c r="C167" s="63">
        <v>166</v>
      </c>
      <c r="D167" s="68">
        <v>2</v>
      </c>
      <c r="E167" s="68" t="s">
        <v>80</v>
      </c>
      <c r="F167" s="68" t="s">
        <v>40</v>
      </c>
      <c r="G167" s="47" t="s">
        <v>10</v>
      </c>
      <c r="H167" s="47" t="s">
        <v>64</v>
      </c>
      <c r="I167" s="66"/>
      <c r="J167" s="66" t="s">
        <v>150</v>
      </c>
      <c r="K167" s="57">
        <f>IF(Table121413[[#This Row],[modality]]=E166,1,0)</f>
        <v>0</v>
      </c>
      <c r="L167" s="66">
        <f>IF(Table121413[[#This Row],[stimulus]]=H168, 1, 0)</f>
        <v>0</v>
      </c>
      <c r="M167" s="66">
        <f t="shared" si="4"/>
        <v>0</v>
      </c>
      <c r="N167" s="66">
        <f t="shared" si="5"/>
        <v>0</v>
      </c>
    </row>
    <row r="168" spans="1:14" x14ac:dyDescent="0.3">
      <c r="A168" s="59">
        <v>3</v>
      </c>
      <c r="B168" s="59">
        <v>2</v>
      </c>
      <c r="C168" s="63">
        <v>167</v>
      </c>
      <c r="D168" s="84">
        <v>2</v>
      </c>
      <c r="E168" s="84" t="s">
        <v>80</v>
      </c>
      <c r="F168" s="84" t="s">
        <v>29</v>
      </c>
      <c r="G168" s="71" t="s">
        <v>42</v>
      </c>
      <c r="H168" s="71" t="s">
        <v>56</v>
      </c>
      <c r="I168" s="66"/>
      <c r="J168" s="66" t="s">
        <v>150</v>
      </c>
      <c r="K168" s="57">
        <f>IF(Table121413[[#This Row],[modality]]=E167,1,0)</f>
        <v>1</v>
      </c>
      <c r="L168" s="66">
        <f>IF(Table121413[[#This Row],[stimulus]]=H169, 1, 0)</f>
        <v>0</v>
      </c>
      <c r="M168" s="66">
        <f t="shared" si="4"/>
        <v>1</v>
      </c>
      <c r="N168" s="66">
        <f t="shared" si="5"/>
        <v>0</v>
      </c>
    </row>
    <row r="169" spans="1:14" x14ac:dyDescent="0.3">
      <c r="A169" s="59">
        <v>3</v>
      </c>
      <c r="B169" s="59">
        <v>2</v>
      </c>
      <c r="C169" s="63">
        <v>168</v>
      </c>
      <c r="D169" s="68">
        <v>2</v>
      </c>
      <c r="E169" s="68" t="s">
        <v>80</v>
      </c>
      <c r="F169" s="68" t="s">
        <v>0</v>
      </c>
      <c r="G169" s="47" t="s">
        <v>41</v>
      </c>
      <c r="H169" s="47" t="s">
        <v>62</v>
      </c>
      <c r="I169" s="66"/>
      <c r="J169" s="66" t="s">
        <v>151</v>
      </c>
      <c r="K169" s="57">
        <f>IF(Table121413[[#This Row],[modality]]=E168,1,0)</f>
        <v>1</v>
      </c>
      <c r="L169" s="66">
        <f>IF(Table121413[[#This Row],[stimulus]]=H170, 1, 0)</f>
        <v>1</v>
      </c>
      <c r="M169" s="66">
        <f t="shared" si="4"/>
        <v>0</v>
      </c>
      <c r="N169" s="66">
        <f t="shared" si="5"/>
        <v>1</v>
      </c>
    </row>
    <row r="170" spans="1:14" x14ac:dyDescent="0.3">
      <c r="A170" s="59">
        <v>3</v>
      </c>
      <c r="B170" s="59">
        <v>2</v>
      </c>
      <c r="C170" s="63">
        <v>169</v>
      </c>
      <c r="D170" s="70">
        <v>1</v>
      </c>
      <c r="E170" s="70" t="s">
        <v>81</v>
      </c>
      <c r="F170" s="70" t="s">
        <v>40</v>
      </c>
      <c r="G170" s="71" t="s">
        <v>10</v>
      </c>
      <c r="H170" s="71" t="s">
        <v>62</v>
      </c>
      <c r="I170" s="66"/>
      <c r="J170" s="66" t="s">
        <v>150</v>
      </c>
      <c r="K170" s="57">
        <f>IF(Table121413[[#This Row],[modality]]=E169,1,0)</f>
        <v>0</v>
      </c>
      <c r="L170" s="66">
        <f>IF(Table121413[[#This Row],[stimulus]]=H171, 1, 0)</f>
        <v>0</v>
      </c>
      <c r="M170" s="66">
        <f t="shared" si="4"/>
        <v>0</v>
      </c>
      <c r="N170" s="66">
        <f t="shared" si="5"/>
        <v>0</v>
      </c>
    </row>
    <row r="171" spans="1:14" x14ac:dyDescent="0.3">
      <c r="A171" s="58">
        <v>3</v>
      </c>
      <c r="B171" s="59">
        <v>2</v>
      </c>
      <c r="C171" s="63">
        <v>170</v>
      </c>
      <c r="D171" s="97">
        <v>1</v>
      </c>
      <c r="E171" s="97" t="s">
        <v>81</v>
      </c>
      <c r="F171" s="97" t="s">
        <v>29</v>
      </c>
      <c r="G171" s="98" t="s">
        <v>42</v>
      </c>
      <c r="H171" s="98"/>
      <c r="I171" s="75" t="s">
        <v>127</v>
      </c>
      <c r="J171" s="75" t="s">
        <v>150</v>
      </c>
      <c r="K171" s="57">
        <f>IF(Table121413[[#This Row],[modality]]=E170,1,0)</f>
        <v>1</v>
      </c>
      <c r="L171" s="66">
        <f>IF(Table121413[[#This Row],[stimulus]]=H172, 1, 0)</f>
        <v>0</v>
      </c>
      <c r="M171" s="66">
        <f t="shared" si="4"/>
        <v>1</v>
      </c>
      <c r="N171" s="66">
        <f t="shared" si="5"/>
        <v>0</v>
      </c>
    </row>
    <row r="172" spans="1:14" x14ac:dyDescent="0.3">
      <c r="A172" s="59">
        <v>3</v>
      </c>
      <c r="B172" s="59">
        <v>2</v>
      </c>
      <c r="C172" s="63">
        <v>171</v>
      </c>
      <c r="D172" s="68">
        <v>1</v>
      </c>
      <c r="E172" s="68" t="s">
        <v>81</v>
      </c>
      <c r="F172" s="68" t="s">
        <v>0</v>
      </c>
      <c r="G172" s="47" t="s">
        <v>41</v>
      </c>
      <c r="H172" s="47" t="s">
        <v>66</v>
      </c>
      <c r="I172" s="66"/>
      <c r="J172" s="66" t="s">
        <v>151</v>
      </c>
      <c r="K172" s="57">
        <f>IF(Table121413[[#This Row],[modality]]=E171,1,0)</f>
        <v>1</v>
      </c>
      <c r="L172" s="66">
        <f>IF(Table121413[[#This Row],[stimulus]]=H173, 1, 0)</f>
        <v>1</v>
      </c>
      <c r="M172" s="66">
        <f t="shared" si="4"/>
        <v>0</v>
      </c>
      <c r="N172" s="66">
        <f t="shared" si="5"/>
        <v>1</v>
      </c>
    </row>
    <row r="173" spans="1:14" x14ac:dyDescent="0.3">
      <c r="A173" s="59">
        <v>3</v>
      </c>
      <c r="B173" s="59">
        <v>2</v>
      </c>
      <c r="C173" s="63">
        <v>172</v>
      </c>
      <c r="D173" s="65">
        <v>2</v>
      </c>
      <c r="E173" s="65" t="s">
        <v>80</v>
      </c>
      <c r="F173" s="65" t="s">
        <v>40</v>
      </c>
      <c r="G173" s="58" t="s">
        <v>10</v>
      </c>
      <c r="H173" s="58" t="s">
        <v>66</v>
      </c>
      <c r="I173" s="66"/>
      <c r="J173" s="66" t="s">
        <v>150</v>
      </c>
      <c r="K173" s="57">
        <f>IF(Table121413[[#This Row],[modality]]=E172,1,0)</f>
        <v>0</v>
      </c>
      <c r="L173" s="66">
        <f>IF(Table121413[[#This Row],[stimulus]]=H174, 1, 0)</f>
        <v>0</v>
      </c>
      <c r="M173" s="66">
        <f t="shared" si="4"/>
        <v>0</v>
      </c>
      <c r="N173" s="66">
        <f t="shared" si="5"/>
        <v>0</v>
      </c>
    </row>
    <row r="174" spans="1:14" x14ac:dyDescent="0.3">
      <c r="A174" s="59">
        <v>3</v>
      </c>
      <c r="B174" s="59">
        <v>2</v>
      </c>
      <c r="C174" s="63">
        <v>173</v>
      </c>
      <c r="D174" s="84">
        <v>1</v>
      </c>
      <c r="E174" s="84" t="s">
        <v>81</v>
      </c>
      <c r="F174" s="84" t="s">
        <v>29</v>
      </c>
      <c r="G174" s="47" t="s">
        <v>42</v>
      </c>
      <c r="H174" s="47" t="s">
        <v>58</v>
      </c>
      <c r="I174" s="66"/>
      <c r="J174" s="66" t="s">
        <v>150</v>
      </c>
      <c r="K174" s="57">
        <f>IF(Table121413[[#This Row],[modality]]=E173,1,0)</f>
        <v>0</v>
      </c>
      <c r="L174" s="66">
        <f>IF(Table121413[[#This Row],[stimulus]]=H175, 1, 0)</f>
        <v>0</v>
      </c>
      <c r="M174" s="66">
        <f t="shared" si="4"/>
        <v>1</v>
      </c>
      <c r="N174" s="66">
        <f t="shared" si="5"/>
        <v>0</v>
      </c>
    </row>
    <row r="175" spans="1:14" x14ac:dyDescent="0.3">
      <c r="A175" s="58">
        <v>3</v>
      </c>
      <c r="B175" s="59">
        <v>2</v>
      </c>
      <c r="C175" s="63">
        <v>174</v>
      </c>
      <c r="D175" s="95">
        <v>1</v>
      </c>
      <c r="E175" s="95" t="s">
        <v>81</v>
      </c>
      <c r="F175" s="95" t="s">
        <v>29</v>
      </c>
      <c r="G175" s="90" t="s">
        <v>42</v>
      </c>
      <c r="H175" s="90" t="s">
        <v>55</v>
      </c>
      <c r="I175" s="66"/>
      <c r="J175" s="66" t="s">
        <v>151</v>
      </c>
      <c r="K175" s="57">
        <f>IF(Table121413[[#This Row],[modality]]=E174,1,0)</f>
        <v>1</v>
      </c>
      <c r="L175" s="66">
        <f>IF(Table121413[[#This Row],[stimulus]]=H176, 1, 0)</f>
        <v>0</v>
      </c>
      <c r="M175" s="66">
        <f t="shared" si="4"/>
        <v>0</v>
      </c>
      <c r="N175" s="66">
        <f t="shared" si="5"/>
        <v>1</v>
      </c>
    </row>
    <row r="176" spans="1:14" x14ac:dyDescent="0.3">
      <c r="A176" s="59">
        <v>3</v>
      </c>
      <c r="B176" s="59">
        <v>2</v>
      </c>
      <c r="C176" s="63">
        <v>175</v>
      </c>
      <c r="D176" s="65">
        <v>2</v>
      </c>
      <c r="E176" s="65" t="s">
        <v>80</v>
      </c>
      <c r="F176" s="65" t="s">
        <v>0</v>
      </c>
      <c r="G176" s="58" t="s">
        <v>41</v>
      </c>
      <c r="H176" s="58" t="s">
        <v>65</v>
      </c>
      <c r="I176" s="66"/>
      <c r="J176" s="66" t="s">
        <v>151</v>
      </c>
      <c r="K176" s="57">
        <f>IF(Table121413[[#This Row],[modality]]=E175,1,0)</f>
        <v>0</v>
      </c>
      <c r="L176" s="66">
        <f>IF(Table121413[[#This Row],[stimulus]]=H177, 1, 0)</f>
        <v>1</v>
      </c>
      <c r="M176" s="66">
        <f t="shared" si="4"/>
        <v>0</v>
      </c>
      <c r="N176" s="66">
        <f t="shared" si="5"/>
        <v>1</v>
      </c>
    </row>
    <row r="177" spans="1:14" x14ac:dyDescent="0.3">
      <c r="A177" s="59">
        <v>3</v>
      </c>
      <c r="B177" s="59">
        <v>2</v>
      </c>
      <c r="C177" s="63">
        <v>176</v>
      </c>
      <c r="D177" s="68">
        <v>2</v>
      </c>
      <c r="E177" s="68" t="s">
        <v>80</v>
      </c>
      <c r="F177" s="68" t="s">
        <v>40</v>
      </c>
      <c r="G177" s="47" t="s">
        <v>9</v>
      </c>
      <c r="H177" s="47" t="s">
        <v>65</v>
      </c>
      <c r="I177" s="66"/>
      <c r="J177" s="66" t="s">
        <v>150</v>
      </c>
      <c r="K177" s="57">
        <f>IF(Table121413[[#This Row],[modality]]=E176,1,0)</f>
        <v>1</v>
      </c>
      <c r="L177" s="66">
        <f>IF(Table121413[[#This Row],[stimulus]]=H178, 1, 0)</f>
        <v>0</v>
      </c>
      <c r="M177" s="66">
        <f t="shared" si="4"/>
        <v>0</v>
      </c>
      <c r="N177" s="66">
        <f t="shared" si="5"/>
        <v>0</v>
      </c>
    </row>
    <row r="178" spans="1:14" x14ac:dyDescent="0.3">
      <c r="A178" s="59">
        <v>3</v>
      </c>
      <c r="B178" s="59">
        <v>2</v>
      </c>
      <c r="C178" s="63">
        <v>177</v>
      </c>
      <c r="D178" s="84">
        <v>2</v>
      </c>
      <c r="E178" s="84" t="s">
        <v>80</v>
      </c>
      <c r="F178" s="84" t="s">
        <v>29</v>
      </c>
      <c r="G178" s="58" t="s">
        <v>42</v>
      </c>
      <c r="H178" s="58" t="s">
        <v>52</v>
      </c>
      <c r="I178" s="66"/>
      <c r="J178" s="66" t="s">
        <v>150</v>
      </c>
      <c r="K178" s="57">
        <f>IF(Table121413[[#This Row],[modality]]=E177,1,0)</f>
        <v>1</v>
      </c>
      <c r="L178" s="66">
        <f>IF(Table121413[[#This Row],[stimulus]]=H179, 1, 0)</f>
        <v>0</v>
      </c>
      <c r="M178" s="66">
        <f t="shared" si="4"/>
        <v>1</v>
      </c>
      <c r="N178" s="66">
        <f t="shared" si="5"/>
        <v>0</v>
      </c>
    </row>
    <row r="179" spans="1:14" x14ac:dyDescent="0.3">
      <c r="A179" s="59">
        <v>3</v>
      </c>
      <c r="B179" s="59">
        <v>2</v>
      </c>
      <c r="C179" s="63">
        <v>178</v>
      </c>
      <c r="D179" s="84">
        <v>1</v>
      </c>
      <c r="E179" s="84" t="s">
        <v>81</v>
      </c>
      <c r="F179" s="84" t="s">
        <v>29</v>
      </c>
      <c r="G179" s="47" t="s">
        <v>42</v>
      </c>
      <c r="H179" s="47" t="s">
        <v>57</v>
      </c>
      <c r="I179" s="66"/>
      <c r="J179" s="66" t="s">
        <v>150</v>
      </c>
      <c r="K179" s="57">
        <f>IF(Table121413[[#This Row],[modality]]=E178,1,0)</f>
        <v>0</v>
      </c>
      <c r="L179" s="66">
        <f>IF(Table121413[[#This Row],[stimulus]]=H180, 1, 0)</f>
        <v>0</v>
      </c>
      <c r="M179" s="66">
        <f t="shared" si="4"/>
        <v>0</v>
      </c>
      <c r="N179" s="66">
        <f t="shared" si="5"/>
        <v>1</v>
      </c>
    </row>
    <row r="180" spans="1:14" x14ac:dyDescent="0.3">
      <c r="A180" s="59">
        <v>3</v>
      </c>
      <c r="B180" s="59">
        <v>2</v>
      </c>
      <c r="C180" s="63">
        <v>179</v>
      </c>
      <c r="D180" s="65">
        <v>2</v>
      </c>
      <c r="E180" s="65" t="s">
        <v>80</v>
      </c>
      <c r="F180" s="65" t="s">
        <v>0</v>
      </c>
      <c r="G180" s="58" t="s">
        <v>41</v>
      </c>
      <c r="H180" s="58" t="s">
        <v>59</v>
      </c>
      <c r="I180" s="66"/>
      <c r="J180" s="66" t="s">
        <v>151</v>
      </c>
      <c r="K180" s="57">
        <f>IF(Table121413[[#This Row],[modality]]=E179,1,0)</f>
        <v>0</v>
      </c>
      <c r="L180" s="66">
        <f>IF(Table121413[[#This Row],[stimulus]]=H181, 1, 0)</f>
        <v>1</v>
      </c>
      <c r="M180" s="66">
        <f t="shared" si="4"/>
        <v>0</v>
      </c>
      <c r="N180" s="66">
        <f t="shared" si="5"/>
        <v>1</v>
      </c>
    </row>
    <row r="181" spans="1:14" x14ac:dyDescent="0.3">
      <c r="A181" s="59">
        <v>3</v>
      </c>
      <c r="B181" s="59">
        <v>2</v>
      </c>
      <c r="C181" s="63">
        <v>180</v>
      </c>
      <c r="D181" s="68">
        <v>2</v>
      </c>
      <c r="E181" s="68" t="s">
        <v>80</v>
      </c>
      <c r="F181" s="68" t="s">
        <v>40</v>
      </c>
      <c r="G181" s="47" t="s">
        <v>9</v>
      </c>
      <c r="H181" s="47" t="s">
        <v>59</v>
      </c>
      <c r="I181" s="66"/>
      <c r="J181" s="66" t="s">
        <v>150</v>
      </c>
      <c r="K181" s="57">
        <f>IF(Table121413[[#This Row],[modality]]=E180,1,0)</f>
        <v>1</v>
      </c>
      <c r="L181" s="66">
        <f>IF(Table121413[[#This Row],[stimulus]]=H182, 1, 0)</f>
        <v>0</v>
      </c>
      <c r="M181" s="66">
        <f t="shared" si="4"/>
        <v>0</v>
      </c>
      <c r="N181" s="66">
        <f t="shared" si="5"/>
        <v>0</v>
      </c>
    </row>
    <row r="182" spans="1:14" x14ac:dyDescent="0.3">
      <c r="A182" s="59">
        <v>3</v>
      </c>
      <c r="B182" s="59">
        <v>2</v>
      </c>
      <c r="C182" s="63">
        <v>181</v>
      </c>
      <c r="D182" s="65">
        <v>2</v>
      </c>
      <c r="E182" s="65" t="s">
        <v>80</v>
      </c>
      <c r="F182" s="65" t="s">
        <v>0</v>
      </c>
      <c r="G182" s="58" t="s">
        <v>41</v>
      </c>
      <c r="H182" s="58" t="s">
        <v>61</v>
      </c>
      <c r="I182" s="66"/>
      <c r="J182" s="66" t="s">
        <v>151</v>
      </c>
      <c r="K182" s="57">
        <f>IF(Table121413[[#This Row],[modality]]=E181,1,0)</f>
        <v>1</v>
      </c>
      <c r="L182" s="66">
        <f>IF(Table121413[[#This Row],[stimulus]]=H183, 1, 0)</f>
        <v>1</v>
      </c>
      <c r="M182" s="66">
        <f t="shared" si="4"/>
        <v>1</v>
      </c>
      <c r="N182" s="66">
        <f t="shared" si="5"/>
        <v>0</v>
      </c>
    </row>
    <row r="183" spans="1:14" x14ac:dyDescent="0.3">
      <c r="A183" s="59">
        <v>3</v>
      </c>
      <c r="B183" s="59">
        <v>2</v>
      </c>
      <c r="C183" s="63">
        <v>182</v>
      </c>
      <c r="D183" s="68">
        <v>1</v>
      </c>
      <c r="E183" s="68" t="s">
        <v>81</v>
      </c>
      <c r="F183" s="68" t="s">
        <v>40</v>
      </c>
      <c r="G183" s="47" t="s">
        <v>10</v>
      </c>
      <c r="H183" s="47" t="s">
        <v>61</v>
      </c>
      <c r="I183" s="66"/>
      <c r="J183" s="66" t="s">
        <v>150</v>
      </c>
      <c r="K183" s="57">
        <f>IF(Table121413[[#This Row],[modality]]=E182,1,0)</f>
        <v>0</v>
      </c>
      <c r="L183" s="66">
        <f>IF(Table121413[[#This Row],[stimulus]]=H184, 1, 0)</f>
        <v>0</v>
      </c>
      <c r="M183" s="66">
        <f t="shared" si="4"/>
        <v>0</v>
      </c>
      <c r="N183" s="66">
        <f t="shared" si="5"/>
        <v>0</v>
      </c>
    </row>
    <row r="184" spans="1:14" x14ac:dyDescent="0.3">
      <c r="A184" s="59">
        <v>3</v>
      </c>
      <c r="B184" s="59">
        <v>2</v>
      </c>
      <c r="C184" s="63">
        <v>183</v>
      </c>
      <c r="D184" s="84">
        <v>2</v>
      </c>
      <c r="E184" s="84" t="s">
        <v>80</v>
      </c>
      <c r="F184" s="84" t="s">
        <v>29</v>
      </c>
      <c r="G184" s="58" t="s">
        <v>42</v>
      </c>
      <c r="H184" s="58" t="s">
        <v>55</v>
      </c>
      <c r="I184" s="66"/>
      <c r="J184" s="66" t="s">
        <v>150</v>
      </c>
      <c r="K184" s="57">
        <f>IF(Table121413[[#This Row],[modality]]=E183,1,0)</f>
        <v>0</v>
      </c>
      <c r="L184" s="66">
        <f>IF(Table121413[[#This Row],[stimulus]]=H185, 1, 0)</f>
        <v>0</v>
      </c>
      <c r="M184" s="66">
        <f t="shared" si="4"/>
        <v>1</v>
      </c>
      <c r="N184" s="66">
        <f t="shared" si="5"/>
        <v>0</v>
      </c>
    </row>
    <row r="185" spans="1:14" x14ac:dyDescent="0.3">
      <c r="A185" s="58">
        <v>3</v>
      </c>
      <c r="B185" s="59">
        <v>2</v>
      </c>
      <c r="C185" s="63">
        <v>184</v>
      </c>
      <c r="D185" s="97">
        <v>1</v>
      </c>
      <c r="E185" s="97" t="s">
        <v>81</v>
      </c>
      <c r="F185" s="97" t="s">
        <v>29</v>
      </c>
      <c r="G185" s="98" t="s">
        <v>42</v>
      </c>
      <c r="H185" s="98"/>
      <c r="I185" s="75" t="s">
        <v>127</v>
      </c>
      <c r="J185" s="66" t="s">
        <v>151</v>
      </c>
      <c r="K185" s="57">
        <f>IF(Table121413[[#This Row],[modality]]=E184,1,0)</f>
        <v>0</v>
      </c>
      <c r="L185" s="66">
        <f>IF(Table121413[[#This Row],[stimulus]]=H186, 1, 0)</f>
        <v>0</v>
      </c>
      <c r="M185" s="66">
        <f t="shared" si="4"/>
        <v>0</v>
      </c>
      <c r="N185" s="66">
        <f t="shared" si="5"/>
        <v>1</v>
      </c>
    </row>
    <row r="186" spans="1:14" x14ac:dyDescent="0.3">
      <c r="A186" s="59">
        <v>3</v>
      </c>
      <c r="B186" s="59">
        <v>2</v>
      </c>
      <c r="C186" s="63">
        <v>185</v>
      </c>
      <c r="D186" s="68">
        <v>1</v>
      </c>
      <c r="E186" s="68" t="s">
        <v>81</v>
      </c>
      <c r="F186" s="68" t="s">
        <v>0</v>
      </c>
      <c r="G186" s="47" t="s">
        <v>41</v>
      </c>
      <c r="H186" s="47" t="s">
        <v>63</v>
      </c>
      <c r="I186" s="66"/>
      <c r="J186" s="66" t="s">
        <v>151</v>
      </c>
      <c r="K186" s="57">
        <f>IF(Table121413[[#This Row],[modality]]=E185,1,0)</f>
        <v>1</v>
      </c>
      <c r="L186" s="66">
        <f>IF(Table121413[[#This Row],[stimulus]]=H187, 1, 0)</f>
        <v>1</v>
      </c>
      <c r="M186" s="66">
        <f t="shared" si="4"/>
        <v>0</v>
      </c>
      <c r="N186" s="66">
        <f t="shared" si="5"/>
        <v>1</v>
      </c>
    </row>
    <row r="187" spans="1:14" x14ac:dyDescent="0.3">
      <c r="A187" s="59">
        <v>3</v>
      </c>
      <c r="B187" s="59">
        <v>2</v>
      </c>
      <c r="C187" s="63">
        <v>186</v>
      </c>
      <c r="D187" s="70">
        <v>1</v>
      </c>
      <c r="E187" s="70" t="s">
        <v>81</v>
      </c>
      <c r="F187" s="70" t="s">
        <v>40</v>
      </c>
      <c r="G187" s="71" t="s">
        <v>9</v>
      </c>
      <c r="H187" s="71" t="s">
        <v>63</v>
      </c>
      <c r="I187" s="66"/>
      <c r="J187" s="66" t="s">
        <v>150</v>
      </c>
      <c r="K187" s="57">
        <f>IF(Table121413[[#This Row],[modality]]=E186,1,0)</f>
        <v>1</v>
      </c>
      <c r="L187" s="66">
        <f>IF(Table121413[[#This Row],[stimulus]]=H188, 1, 0)</f>
        <v>0</v>
      </c>
      <c r="M187" s="66">
        <f t="shared" si="4"/>
        <v>0</v>
      </c>
      <c r="N187" s="66">
        <f t="shared" si="5"/>
        <v>0</v>
      </c>
    </row>
    <row r="188" spans="1:14" x14ac:dyDescent="0.3">
      <c r="A188" s="59">
        <v>3</v>
      </c>
      <c r="B188" s="59">
        <v>2</v>
      </c>
      <c r="C188" s="63">
        <v>187</v>
      </c>
      <c r="D188" s="84">
        <v>2</v>
      </c>
      <c r="E188" s="84" t="s">
        <v>80</v>
      </c>
      <c r="F188" s="84" t="s">
        <v>29</v>
      </c>
      <c r="G188" s="47" t="s">
        <v>42</v>
      </c>
      <c r="H188" s="47" t="s">
        <v>51</v>
      </c>
      <c r="I188" s="66"/>
      <c r="J188" s="66" t="s">
        <v>150</v>
      </c>
      <c r="K188" s="57">
        <f>IF(Table121413[[#This Row],[modality]]=E187,1,0)</f>
        <v>0</v>
      </c>
      <c r="L188" s="66">
        <f>IF(Table121413[[#This Row],[stimulus]]=H189, 1, 0)</f>
        <v>0</v>
      </c>
      <c r="M188" s="66">
        <f t="shared" si="4"/>
        <v>1</v>
      </c>
      <c r="N188" s="66">
        <f t="shared" si="5"/>
        <v>0</v>
      </c>
    </row>
    <row r="189" spans="1:14" x14ac:dyDescent="0.3">
      <c r="A189" s="59">
        <v>3</v>
      </c>
      <c r="B189" s="59">
        <v>2</v>
      </c>
      <c r="C189" s="63">
        <v>188</v>
      </c>
      <c r="D189" s="70">
        <v>1</v>
      </c>
      <c r="E189" s="70" t="s">
        <v>81</v>
      </c>
      <c r="F189" s="70" t="s">
        <v>0</v>
      </c>
      <c r="G189" s="71" t="s">
        <v>41</v>
      </c>
      <c r="H189" s="71" t="s">
        <v>60</v>
      </c>
      <c r="I189" s="66"/>
      <c r="J189" s="66" t="s">
        <v>151</v>
      </c>
      <c r="K189" s="57">
        <f>IF(Table121413[[#This Row],[modality]]=E188,1,0)</f>
        <v>0</v>
      </c>
      <c r="L189" s="66">
        <f>IF(Table121413[[#This Row],[stimulus]]=H190, 1, 0)</f>
        <v>1</v>
      </c>
      <c r="M189" s="66">
        <f t="shared" si="4"/>
        <v>0</v>
      </c>
      <c r="N189" s="66">
        <f t="shared" si="5"/>
        <v>1</v>
      </c>
    </row>
    <row r="190" spans="1:14" x14ac:dyDescent="0.3">
      <c r="A190" s="59">
        <v>3</v>
      </c>
      <c r="B190" s="59">
        <v>2</v>
      </c>
      <c r="C190" s="63">
        <v>189</v>
      </c>
      <c r="D190" s="68">
        <v>1</v>
      </c>
      <c r="E190" s="68" t="s">
        <v>81</v>
      </c>
      <c r="F190" s="68" t="s">
        <v>40</v>
      </c>
      <c r="G190" s="47" t="s">
        <v>9</v>
      </c>
      <c r="H190" s="47" t="s">
        <v>60</v>
      </c>
      <c r="I190" s="66"/>
      <c r="J190" s="66" t="s">
        <v>150</v>
      </c>
      <c r="K190" s="57">
        <f>IF(Table121413[[#This Row],[modality]]=E189,1,0)</f>
        <v>1</v>
      </c>
      <c r="L190" s="66">
        <f>IF(Table121413[[#This Row],[stimulus]]=H191, 1, 0)</f>
        <v>0</v>
      </c>
      <c r="M190" s="66">
        <f t="shared" si="4"/>
        <v>0</v>
      </c>
      <c r="N190" s="66">
        <f t="shared" si="5"/>
        <v>0</v>
      </c>
    </row>
    <row r="191" spans="1:14" x14ac:dyDescent="0.3">
      <c r="A191" s="59">
        <v>3</v>
      </c>
      <c r="B191" s="59">
        <v>2</v>
      </c>
      <c r="C191" s="63">
        <v>190</v>
      </c>
      <c r="D191" s="84">
        <v>1</v>
      </c>
      <c r="E191" s="84" t="s">
        <v>81</v>
      </c>
      <c r="F191" s="84" t="s">
        <v>29</v>
      </c>
      <c r="G191" s="71" t="s">
        <v>42</v>
      </c>
      <c r="H191" s="71" t="s">
        <v>53</v>
      </c>
      <c r="I191" s="66"/>
      <c r="J191" s="66" t="s">
        <v>150</v>
      </c>
      <c r="K191" s="57">
        <f>IF(Table121413[[#This Row],[modality]]=E190,1,0)</f>
        <v>1</v>
      </c>
      <c r="L191" s="66">
        <f>IF(Table121413[[#This Row],[stimulus]]=H192, 1, 0)</f>
        <v>0</v>
      </c>
      <c r="M191" s="66">
        <f t="shared" si="4"/>
        <v>1</v>
      </c>
      <c r="N191" s="66">
        <f t="shared" si="5"/>
        <v>0</v>
      </c>
    </row>
    <row r="192" spans="1:14" x14ac:dyDescent="0.3">
      <c r="A192" s="58">
        <v>4</v>
      </c>
      <c r="B192" s="59">
        <v>2</v>
      </c>
      <c r="C192" s="63">
        <v>191</v>
      </c>
      <c r="D192" s="91">
        <v>2</v>
      </c>
      <c r="E192" s="91" t="s">
        <v>80</v>
      </c>
      <c r="F192" s="91" t="s">
        <v>29</v>
      </c>
      <c r="G192" s="58" t="s">
        <v>42</v>
      </c>
      <c r="H192" s="58" t="s">
        <v>64</v>
      </c>
      <c r="I192" s="66"/>
      <c r="J192" s="66" t="s">
        <v>151</v>
      </c>
      <c r="K192" s="57">
        <f>IF(Table121413[[#This Row],[modality]]=E191,1,0)</f>
        <v>0</v>
      </c>
      <c r="L192" s="66">
        <f>IF(Table121413[[#This Row],[stimulus]]=H193, 1, 0)</f>
        <v>0</v>
      </c>
      <c r="M192" s="66">
        <f t="shared" si="4"/>
        <v>0</v>
      </c>
      <c r="N192" s="66">
        <f t="shared" si="5"/>
        <v>1</v>
      </c>
    </row>
    <row r="193" spans="1:14" x14ac:dyDescent="0.3">
      <c r="A193" s="58">
        <v>4</v>
      </c>
      <c r="B193" s="59">
        <v>2</v>
      </c>
      <c r="C193" s="63">
        <v>192</v>
      </c>
      <c r="D193" s="68">
        <v>1</v>
      </c>
      <c r="E193" s="68" t="s">
        <v>81</v>
      </c>
      <c r="F193" s="68" t="s">
        <v>0</v>
      </c>
      <c r="G193" s="47" t="s">
        <v>41</v>
      </c>
      <c r="H193" s="47" t="s">
        <v>72</v>
      </c>
      <c r="I193" s="66"/>
      <c r="J193" s="66" t="s">
        <v>151</v>
      </c>
      <c r="K193" s="57">
        <f>IF(Table121413[[#This Row],[modality]]=E192,1,0)</f>
        <v>0</v>
      </c>
      <c r="L193" s="66">
        <f>IF(Table121413[[#This Row],[stimulus]]=H194, 1, 0)</f>
        <v>1</v>
      </c>
      <c r="M193" s="66">
        <f t="shared" si="4"/>
        <v>0</v>
      </c>
      <c r="N193" s="66">
        <f t="shared" si="5"/>
        <v>1</v>
      </c>
    </row>
    <row r="194" spans="1:14" x14ac:dyDescent="0.3">
      <c r="A194" s="58">
        <v>4</v>
      </c>
      <c r="B194" s="59">
        <v>2</v>
      </c>
      <c r="C194" s="63">
        <v>193</v>
      </c>
      <c r="D194" s="65">
        <v>1</v>
      </c>
      <c r="E194" s="65" t="s">
        <v>81</v>
      </c>
      <c r="F194" s="65" t="s">
        <v>40</v>
      </c>
      <c r="G194" s="58" t="s">
        <v>9</v>
      </c>
      <c r="H194" s="58" t="s">
        <v>72</v>
      </c>
      <c r="I194" s="66"/>
      <c r="J194" s="66" t="s">
        <v>150</v>
      </c>
      <c r="K194" s="57">
        <f>IF(Table121413[[#This Row],[modality]]=E193,1,0)</f>
        <v>1</v>
      </c>
      <c r="L194" s="66">
        <f>IF(Table121413[[#This Row],[stimulus]]=H195, 1, 0)</f>
        <v>0</v>
      </c>
      <c r="M194" s="66">
        <f t="shared" si="4"/>
        <v>0</v>
      </c>
      <c r="N194" s="66">
        <f t="shared" si="5"/>
        <v>0</v>
      </c>
    </row>
    <row r="195" spans="1:14" x14ac:dyDescent="0.3">
      <c r="A195" s="58">
        <v>4</v>
      </c>
      <c r="B195" s="59">
        <v>2</v>
      </c>
      <c r="C195" s="63">
        <v>194</v>
      </c>
      <c r="D195" s="68">
        <v>1</v>
      </c>
      <c r="E195" s="68" t="s">
        <v>81</v>
      </c>
      <c r="F195" s="68" t="s">
        <v>0</v>
      </c>
      <c r="G195" s="47" t="s">
        <v>41</v>
      </c>
      <c r="H195" s="47" t="s">
        <v>67</v>
      </c>
      <c r="I195" s="66"/>
      <c r="J195" s="66" t="s">
        <v>151</v>
      </c>
      <c r="K195" s="57">
        <f>IF(Table121413[[#This Row],[modality]]=E194,1,0)</f>
        <v>1</v>
      </c>
      <c r="L195" s="66">
        <f>IF(Table121413[[#This Row],[stimulus]]=H196, 1, 0)</f>
        <v>1</v>
      </c>
      <c r="M195" s="66">
        <f t="shared" ref="M195:M258" si="6">IF(F194="T",1,0)</f>
        <v>1</v>
      </c>
      <c r="N195" s="66">
        <f t="shared" ref="N195:N258" si="7">IF(F194="F",1,0)</f>
        <v>0</v>
      </c>
    </row>
    <row r="196" spans="1:14" x14ac:dyDescent="0.3">
      <c r="A196" s="58">
        <v>4</v>
      </c>
      <c r="B196" s="59">
        <v>2</v>
      </c>
      <c r="C196" s="63">
        <v>195</v>
      </c>
      <c r="D196" s="65">
        <v>2</v>
      </c>
      <c r="E196" s="65" t="s">
        <v>80</v>
      </c>
      <c r="F196" s="65" t="s">
        <v>40</v>
      </c>
      <c r="G196" s="58" t="s">
        <v>10</v>
      </c>
      <c r="H196" s="58" t="s">
        <v>67</v>
      </c>
      <c r="I196" s="66"/>
      <c r="J196" s="66" t="s">
        <v>150</v>
      </c>
      <c r="K196" s="57">
        <f>IF(Table121413[[#This Row],[modality]]=E195,1,0)</f>
        <v>0</v>
      </c>
      <c r="L196" s="66">
        <f>IF(Table121413[[#This Row],[stimulus]]=H197, 1, 0)</f>
        <v>0</v>
      </c>
      <c r="M196" s="66">
        <f t="shared" si="6"/>
        <v>0</v>
      </c>
      <c r="N196" s="66">
        <f t="shared" si="7"/>
        <v>0</v>
      </c>
    </row>
    <row r="197" spans="1:14" x14ac:dyDescent="0.3">
      <c r="A197" s="58">
        <v>4</v>
      </c>
      <c r="B197" s="59">
        <v>2</v>
      </c>
      <c r="C197" s="63">
        <v>196</v>
      </c>
      <c r="D197" s="91">
        <v>1</v>
      </c>
      <c r="E197" s="91" t="s">
        <v>81</v>
      </c>
      <c r="F197" s="91" t="s">
        <v>29</v>
      </c>
      <c r="G197" s="47" t="s">
        <v>42</v>
      </c>
      <c r="H197" s="47" t="s">
        <v>62</v>
      </c>
      <c r="I197" s="66"/>
      <c r="J197" s="66" t="s">
        <v>150</v>
      </c>
      <c r="K197" s="57">
        <f>IF(Table121413[[#This Row],[modality]]=E196,1,0)</f>
        <v>0</v>
      </c>
      <c r="L197" s="66">
        <f>IF(Table121413[[#This Row],[stimulus]]=H198, 1, 0)</f>
        <v>0</v>
      </c>
      <c r="M197" s="66">
        <f t="shared" si="6"/>
        <v>1</v>
      </c>
      <c r="N197" s="66">
        <f t="shared" si="7"/>
        <v>0</v>
      </c>
    </row>
    <row r="198" spans="1:14" x14ac:dyDescent="0.3">
      <c r="A198" s="58">
        <v>4</v>
      </c>
      <c r="B198" s="59">
        <v>2</v>
      </c>
      <c r="C198" s="63">
        <v>197</v>
      </c>
      <c r="D198" s="65">
        <v>2</v>
      </c>
      <c r="E198" s="65" t="s">
        <v>80</v>
      </c>
      <c r="F198" s="65" t="s">
        <v>0</v>
      </c>
      <c r="G198" s="58" t="s">
        <v>41</v>
      </c>
      <c r="H198" s="58" t="s">
        <v>71</v>
      </c>
      <c r="I198" s="66"/>
      <c r="J198" s="66" t="s">
        <v>151</v>
      </c>
      <c r="K198" s="57">
        <f>IF(Table121413[[#This Row],[modality]]=E197,1,0)</f>
        <v>0</v>
      </c>
      <c r="L198" s="66">
        <f>IF(Table121413[[#This Row],[stimulus]]=H199, 1, 0)</f>
        <v>1</v>
      </c>
      <c r="M198" s="66">
        <f t="shared" si="6"/>
        <v>0</v>
      </c>
      <c r="N198" s="66">
        <f t="shared" si="7"/>
        <v>1</v>
      </c>
    </row>
    <row r="199" spans="1:14" x14ac:dyDescent="0.3">
      <c r="A199" s="58">
        <v>4</v>
      </c>
      <c r="B199" s="59">
        <v>2</v>
      </c>
      <c r="C199" s="63">
        <v>198</v>
      </c>
      <c r="D199" s="68">
        <v>2</v>
      </c>
      <c r="E199" s="68" t="s">
        <v>80</v>
      </c>
      <c r="F199" s="68" t="s">
        <v>40</v>
      </c>
      <c r="G199" s="47" t="s">
        <v>9</v>
      </c>
      <c r="H199" s="47" t="s">
        <v>71</v>
      </c>
      <c r="I199" s="66"/>
      <c r="J199" s="66" t="s">
        <v>150</v>
      </c>
      <c r="K199" s="57">
        <f>IF(Table121413[[#This Row],[modality]]=E198,1,0)</f>
        <v>1</v>
      </c>
      <c r="L199" s="66">
        <f>IF(Table121413[[#This Row],[stimulus]]=H200, 1, 0)</f>
        <v>0</v>
      </c>
      <c r="M199" s="66">
        <f t="shared" si="6"/>
        <v>0</v>
      </c>
      <c r="N199" s="66">
        <f t="shared" si="7"/>
        <v>0</v>
      </c>
    </row>
    <row r="200" spans="1:14" x14ac:dyDescent="0.3">
      <c r="A200" s="58">
        <v>4</v>
      </c>
      <c r="B200" s="59">
        <v>2</v>
      </c>
      <c r="C200" s="63">
        <v>199</v>
      </c>
      <c r="D200" s="65">
        <v>2</v>
      </c>
      <c r="E200" s="65" t="s">
        <v>80</v>
      </c>
      <c r="F200" s="65" t="s">
        <v>0</v>
      </c>
      <c r="G200" s="58" t="s">
        <v>41</v>
      </c>
      <c r="H200" s="58" t="s">
        <v>73</v>
      </c>
      <c r="I200" s="66"/>
      <c r="J200" s="66" t="s">
        <v>151</v>
      </c>
      <c r="K200" s="57">
        <f>IF(Table121413[[#This Row],[modality]]=E199,1,0)</f>
        <v>1</v>
      </c>
      <c r="L200" s="66">
        <f>IF(Table121413[[#This Row],[stimulus]]=H201, 1, 0)</f>
        <v>1</v>
      </c>
      <c r="M200" s="66">
        <f t="shared" si="6"/>
        <v>1</v>
      </c>
      <c r="N200" s="66">
        <f t="shared" si="7"/>
        <v>0</v>
      </c>
    </row>
    <row r="201" spans="1:14" x14ac:dyDescent="0.3">
      <c r="A201" s="58">
        <v>4</v>
      </c>
      <c r="B201" s="59">
        <v>2</v>
      </c>
      <c r="C201" s="63">
        <v>200</v>
      </c>
      <c r="D201" s="68">
        <v>1</v>
      </c>
      <c r="E201" s="68" t="s">
        <v>81</v>
      </c>
      <c r="F201" s="68" t="s">
        <v>40</v>
      </c>
      <c r="G201" s="47" t="s">
        <v>10</v>
      </c>
      <c r="H201" s="47" t="s">
        <v>73</v>
      </c>
      <c r="I201" s="66"/>
      <c r="J201" s="66" t="s">
        <v>150</v>
      </c>
      <c r="K201" s="57">
        <f>IF(Table121413[[#This Row],[modality]]=E200,1,0)</f>
        <v>0</v>
      </c>
      <c r="L201" s="66">
        <f>IF(Table121413[[#This Row],[stimulus]]=H202, 1, 0)</f>
        <v>0</v>
      </c>
      <c r="M201" s="66">
        <f t="shared" si="6"/>
        <v>0</v>
      </c>
      <c r="N201" s="66">
        <f t="shared" si="7"/>
        <v>0</v>
      </c>
    </row>
    <row r="202" spans="1:14" x14ac:dyDescent="0.3">
      <c r="A202" s="58">
        <v>4</v>
      </c>
      <c r="B202" s="59">
        <v>2</v>
      </c>
      <c r="C202" s="63">
        <v>201</v>
      </c>
      <c r="D202" s="91">
        <v>2</v>
      </c>
      <c r="E202" s="91" t="s">
        <v>80</v>
      </c>
      <c r="F202" s="91" t="s">
        <v>29</v>
      </c>
      <c r="G202" s="58" t="s">
        <v>42</v>
      </c>
      <c r="H202" s="58" t="s">
        <v>66</v>
      </c>
      <c r="I202" s="66"/>
      <c r="J202" s="66" t="s">
        <v>150</v>
      </c>
      <c r="K202" s="57">
        <f>IF(Table121413[[#This Row],[modality]]=E201,1,0)</f>
        <v>0</v>
      </c>
      <c r="L202" s="66">
        <f>IF(Table121413[[#This Row],[stimulus]]=H203, 1, 0)</f>
        <v>0</v>
      </c>
      <c r="M202" s="66">
        <f t="shared" si="6"/>
        <v>1</v>
      </c>
      <c r="N202" s="66">
        <f t="shared" si="7"/>
        <v>0</v>
      </c>
    </row>
    <row r="203" spans="1:14" x14ac:dyDescent="0.3">
      <c r="A203" s="58">
        <v>4</v>
      </c>
      <c r="B203" s="59">
        <v>2</v>
      </c>
      <c r="C203" s="63">
        <v>202</v>
      </c>
      <c r="D203" s="68">
        <v>1</v>
      </c>
      <c r="E203" s="68" t="s">
        <v>81</v>
      </c>
      <c r="F203" s="68" t="s">
        <v>0</v>
      </c>
      <c r="G203" s="47" t="s">
        <v>41</v>
      </c>
      <c r="H203" s="47" t="s">
        <v>68</v>
      </c>
      <c r="I203" s="66"/>
      <c r="J203" s="66" t="s">
        <v>151</v>
      </c>
      <c r="K203" s="57">
        <f>IF(Table121413[[#This Row],[modality]]=E202,1,0)</f>
        <v>0</v>
      </c>
      <c r="L203" s="66">
        <f>IF(Table121413[[#This Row],[stimulus]]=H204, 1, 0)</f>
        <v>1</v>
      </c>
      <c r="M203" s="66">
        <f t="shared" si="6"/>
        <v>0</v>
      </c>
      <c r="N203" s="66">
        <f t="shared" si="7"/>
        <v>1</v>
      </c>
    </row>
    <row r="204" spans="1:14" x14ac:dyDescent="0.3">
      <c r="A204" s="58">
        <v>4</v>
      </c>
      <c r="B204" s="59">
        <v>2</v>
      </c>
      <c r="C204" s="63">
        <v>203</v>
      </c>
      <c r="D204" s="65">
        <v>2</v>
      </c>
      <c r="E204" s="65" t="s">
        <v>80</v>
      </c>
      <c r="F204" s="65" t="s">
        <v>40</v>
      </c>
      <c r="G204" s="58" t="s">
        <v>10</v>
      </c>
      <c r="H204" s="58" t="s">
        <v>68</v>
      </c>
      <c r="I204" s="66"/>
      <c r="J204" s="66" t="s">
        <v>150</v>
      </c>
      <c r="K204" s="57">
        <f>IF(Table121413[[#This Row],[modality]]=E203,1,0)</f>
        <v>0</v>
      </c>
      <c r="L204" s="66">
        <f>IF(Table121413[[#This Row],[stimulus]]=H205, 1, 0)</f>
        <v>0</v>
      </c>
      <c r="M204" s="66">
        <f t="shared" si="6"/>
        <v>0</v>
      </c>
      <c r="N204" s="66">
        <f t="shared" si="7"/>
        <v>0</v>
      </c>
    </row>
    <row r="205" spans="1:14" x14ac:dyDescent="0.3">
      <c r="A205" s="58">
        <v>4</v>
      </c>
      <c r="B205" s="59">
        <v>2</v>
      </c>
      <c r="C205" s="63">
        <v>204</v>
      </c>
      <c r="D205" s="91">
        <v>1</v>
      </c>
      <c r="E205" s="91" t="s">
        <v>81</v>
      </c>
      <c r="F205" s="91" t="s">
        <v>29</v>
      </c>
      <c r="G205" s="71" t="s">
        <v>42</v>
      </c>
      <c r="H205" s="71" t="s">
        <v>59</v>
      </c>
      <c r="I205" s="66"/>
      <c r="J205" s="66" t="s">
        <v>150</v>
      </c>
      <c r="K205" s="57">
        <f>IF(Table121413[[#This Row],[modality]]=E204,1,0)</f>
        <v>0</v>
      </c>
      <c r="L205" s="66">
        <f>IF(Table121413[[#This Row],[stimulus]]=H206, 1, 0)</f>
        <v>0</v>
      </c>
      <c r="M205" s="66">
        <f t="shared" si="6"/>
        <v>1</v>
      </c>
      <c r="N205" s="66">
        <f t="shared" si="7"/>
        <v>0</v>
      </c>
    </row>
    <row r="206" spans="1:14" x14ac:dyDescent="0.3">
      <c r="A206" s="58">
        <v>4</v>
      </c>
      <c r="B206" s="59">
        <v>2</v>
      </c>
      <c r="C206" s="63">
        <v>205</v>
      </c>
      <c r="D206" s="95">
        <v>1</v>
      </c>
      <c r="E206" s="95" t="s">
        <v>81</v>
      </c>
      <c r="F206" s="95" t="s">
        <v>29</v>
      </c>
      <c r="G206" s="99" t="s">
        <v>42</v>
      </c>
      <c r="H206" s="90" t="s">
        <v>60</v>
      </c>
      <c r="I206" s="66"/>
      <c r="J206" s="66" t="s">
        <v>151</v>
      </c>
      <c r="K206" s="57">
        <f>IF(Table121413[[#This Row],[modality]]=E205,1,0)</f>
        <v>1</v>
      </c>
      <c r="L206" s="66">
        <f>IF(Table121413[[#This Row],[stimulus]]=H207, 1, 0)</f>
        <v>0</v>
      </c>
      <c r="M206" s="66">
        <f t="shared" si="6"/>
        <v>0</v>
      </c>
      <c r="N206" s="66">
        <f t="shared" si="7"/>
        <v>1</v>
      </c>
    </row>
    <row r="207" spans="1:14" x14ac:dyDescent="0.3">
      <c r="A207" s="58">
        <v>4</v>
      </c>
      <c r="B207" s="59">
        <v>2</v>
      </c>
      <c r="C207" s="63">
        <v>206</v>
      </c>
      <c r="D207" s="91">
        <v>2</v>
      </c>
      <c r="E207" s="91" t="s">
        <v>80</v>
      </c>
      <c r="F207" s="91" t="s">
        <v>29</v>
      </c>
      <c r="G207" s="47" t="s">
        <v>42</v>
      </c>
      <c r="H207" s="47" t="s">
        <v>65</v>
      </c>
      <c r="I207" s="66"/>
      <c r="J207" s="66" t="s">
        <v>151</v>
      </c>
      <c r="K207" s="57">
        <f>IF(Table121413[[#This Row],[modality]]=E206,1,0)</f>
        <v>0</v>
      </c>
      <c r="L207" s="66">
        <f>IF(Table121413[[#This Row],[stimulus]]=H208, 1, 0)</f>
        <v>0</v>
      </c>
      <c r="M207" s="66">
        <f t="shared" si="6"/>
        <v>0</v>
      </c>
      <c r="N207" s="66">
        <f t="shared" si="7"/>
        <v>1</v>
      </c>
    </row>
    <row r="208" spans="1:14" x14ac:dyDescent="0.3">
      <c r="A208" s="58">
        <v>4</v>
      </c>
      <c r="B208" s="59">
        <v>2</v>
      </c>
      <c r="C208" s="63">
        <v>207</v>
      </c>
      <c r="D208" s="68">
        <v>2</v>
      </c>
      <c r="E208" s="68" t="s">
        <v>80</v>
      </c>
      <c r="F208" s="68" t="s">
        <v>0</v>
      </c>
      <c r="G208" s="47" t="s">
        <v>41</v>
      </c>
      <c r="H208" s="47" t="s">
        <v>74</v>
      </c>
      <c r="I208" s="66"/>
      <c r="J208" s="66" t="s">
        <v>151</v>
      </c>
      <c r="K208" s="57">
        <f>IF(Table121413[[#This Row],[modality]]=E207,1,0)</f>
        <v>1</v>
      </c>
      <c r="L208" s="66">
        <f>IF(Table121413[[#This Row],[stimulus]]=H209, 1, 0)</f>
        <v>1</v>
      </c>
      <c r="M208" s="66">
        <f t="shared" si="6"/>
        <v>0</v>
      </c>
      <c r="N208" s="66">
        <f t="shared" si="7"/>
        <v>1</v>
      </c>
    </row>
    <row r="209" spans="1:14" x14ac:dyDescent="0.3">
      <c r="A209" s="58">
        <v>4</v>
      </c>
      <c r="B209" s="59">
        <v>2</v>
      </c>
      <c r="C209" s="63">
        <v>208</v>
      </c>
      <c r="D209" s="65">
        <v>2</v>
      </c>
      <c r="E209" s="65" t="s">
        <v>80</v>
      </c>
      <c r="F209" s="65" t="s">
        <v>40</v>
      </c>
      <c r="G209" s="58" t="s">
        <v>9</v>
      </c>
      <c r="H209" s="58" t="s">
        <v>74</v>
      </c>
      <c r="I209" s="66"/>
      <c r="J209" s="66" t="s">
        <v>150</v>
      </c>
      <c r="K209" s="57">
        <f>IF(Table121413[[#This Row],[modality]]=E208,1,0)</f>
        <v>1</v>
      </c>
      <c r="L209" s="66">
        <f>IF(Table121413[[#This Row],[stimulus]]=H210, 1, 0)</f>
        <v>0</v>
      </c>
      <c r="M209" s="66">
        <f t="shared" si="6"/>
        <v>0</v>
      </c>
      <c r="N209" s="66">
        <f t="shared" si="7"/>
        <v>0</v>
      </c>
    </row>
    <row r="210" spans="1:14" x14ac:dyDescent="0.3">
      <c r="A210" s="58">
        <v>4</v>
      </c>
      <c r="B210" s="59">
        <v>2</v>
      </c>
      <c r="C210" s="63">
        <v>209</v>
      </c>
      <c r="D210" s="91">
        <v>1</v>
      </c>
      <c r="E210" s="91" t="s">
        <v>81</v>
      </c>
      <c r="F210" s="91" t="s">
        <v>29</v>
      </c>
      <c r="G210" s="47" t="s">
        <v>42</v>
      </c>
      <c r="H210" s="47" t="s">
        <v>61</v>
      </c>
      <c r="I210" s="66"/>
      <c r="J210" s="66" t="s">
        <v>150</v>
      </c>
      <c r="K210" s="57">
        <f>IF(Table121413[[#This Row],[modality]]=E209,1,0)</f>
        <v>0</v>
      </c>
      <c r="L210" s="66">
        <f>IF(Table121413[[#This Row],[stimulus]]=H211, 1, 0)</f>
        <v>0</v>
      </c>
      <c r="M210" s="66">
        <f t="shared" si="6"/>
        <v>1</v>
      </c>
      <c r="N210" s="66">
        <f t="shared" si="7"/>
        <v>0</v>
      </c>
    </row>
    <row r="211" spans="1:14" x14ac:dyDescent="0.3">
      <c r="A211" s="58">
        <v>4</v>
      </c>
      <c r="B211" s="59">
        <v>2</v>
      </c>
      <c r="C211" s="63">
        <v>210</v>
      </c>
      <c r="D211" s="91">
        <v>2</v>
      </c>
      <c r="E211" s="91" t="s">
        <v>80</v>
      </c>
      <c r="F211" s="91" t="s">
        <v>29</v>
      </c>
      <c r="G211" s="58" t="s">
        <v>42</v>
      </c>
      <c r="H211" s="58" t="s">
        <v>63</v>
      </c>
      <c r="I211" s="66"/>
      <c r="J211" s="66" t="s">
        <v>151</v>
      </c>
      <c r="K211" s="57">
        <f>IF(Table121413[[#This Row],[modality]]=E210,1,0)</f>
        <v>0</v>
      </c>
      <c r="L211" s="66">
        <f>IF(Table121413[[#This Row],[stimulus]]=H212, 1, 0)</f>
        <v>0</v>
      </c>
      <c r="M211" s="66">
        <f t="shared" si="6"/>
        <v>0</v>
      </c>
      <c r="N211" s="66">
        <f t="shared" si="7"/>
        <v>1</v>
      </c>
    </row>
    <row r="212" spans="1:14" x14ac:dyDescent="0.3">
      <c r="A212" s="58">
        <v>4</v>
      </c>
      <c r="B212" s="59">
        <v>2</v>
      </c>
      <c r="C212" s="63">
        <v>211</v>
      </c>
      <c r="D212" s="70">
        <v>2</v>
      </c>
      <c r="E212" s="70" t="s">
        <v>80</v>
      </c>
      <c r="F212" s="70" t="s">
        <v>0</v>
      </c>
      <c r="G212" s="71" t="s">
        <v>41</v>
      </c>
      <c r="H212" s="71" t="s">
        <v>69</v>
      </c>
      <c r="I212" s="66"/>
      <c r="J212" s="66" t="s">
        <v>151</v>
      </c>
      <c r="K212" s="57">
        <f>IF(Table121413[[#This Row],[modality]]=E211,1,0)</f>
        <v>1</v>
      </c>
      <c r="L212" s="66">
        <f>IF(Table121413[[#This Row],[stimulus]]=H213, 1, 0)</f>
        <v>1</v>
      </c>
      <c r="M212" s="66">
        <f t="shared" si="6"/>
        <v>0</v>
      </c>
      <c r="N212" s="66">
        <f t="shared" si="7"/>
        <v>1</v>
      </c>
    </row>
    <row r="213" spans="1:14" x14ac:dyDescent="0.3">
      <c r="A213" s="58">
        <v>4</v>
      </c>
      <c r="B213" s="59">
        <v>2</v>
      </c>
      <c r="C213" s="63">
        <v>212</v>
      </c>
      <c r="D213" s="68">
        <v>1</v>
      </c>
      <c r="E213" s="68" t="s">
        <v>81</v>
      </c>
      <c r="F213" s="68" t="s">
        <v>40</v>
      </c>
      <c r="G213" s="47" t="s">
        <v>10</v>
      </c>
      <c r="H213" s="47" t="s">
        <v>69</v>
      </c>
      <c r="I213" s="66"/>
      <c r="J213" s="66" t="s">
        <v>150</v>
      </c>
      <c r="K213" s="57">
        <f>IF(Table121413[[#This Row],[modality]]=E212,1,0)</f>
        <v>0</v>
      </c>
      <c r="L213" s="66">
        <f>IF(Table121413[[#This Row],[stimulus]]=H214, 1, 0)</f>
        <v>0</v>
      </c>
      <c r="M213" s="66">
        <f t="shared" si="6"/>
        <v>0</v>
      </c>
      <c r="N213" s="66">
        <f t="shared" si="7"/>
        <v>0</v>
      </c>
    </row>
    <row r="214" spans="1:14" x14ac:dyDescent="0.3">
      <c r="A214" s="58">
        <v>4</v>
      </c>
      <c r="B214" s="59">
        <v>2</v>
      </c>
      <c r="C214" s="63">
        <v>213</v>
      </c>
      <c r="D214" s="70">
        <v>1</v>
      </c>
      <c r="E214" s="70" t="s">
        <v>81</v>
      </c>
      <c r="F214" s="70" t="s">
        <v>0</v>
      </c>
      <c r="G214" s="71" t="s">
        <v>41</v>
      </c>
      <c r="H214" s="71" t="s">
        <v>70</v>
      </c>
      <c r="I214" s="66"/>
      <c r="J214" s="66" t="s">
        <v>151</v>
      </c>
      <c r="K214" s="57">
        <f>IF(Table121413[[#This Row],[modality]]=E213,1,0)</f>
        <v>1</v>
      </c>
      <c r="L214" s="66">
        <f>IF(Table121413[[#This Row],[stimulus]]=H215, 1, 0)</f>
        <v>1</v>
      </c>
      <c r="M214" s="66">
        <f t="shared" si="6"/>
        <v>1</v>
      </c>
      <c r="N214" s="66">
        <f t="shared" si="7"/>
        <v>0</v>
      </c>
    </row>
    <row r="215" spans="1:14" x14ac:dyDescent="0.3">
      <c r="A215" s="58">
        <v>4</v>
      </c>
      <c r="B215" s="59">
        <v>2</v>
      </c>
      <c r="C215" s="63">
        <v>214</v>
      </c>
      <c r="D215" s="68">
        <v>1</v>
      </c>
      <c r="E215" s="68" t="s">
        <v>81</v>
      </c>
      <c r="F215" s="68" t="s">
        <v>40</v>
      </c>
      <c r="G215" s="47" t="s">
        <v>9</v>
      </c>
      <c r="H215" s="47" t="s">
        <v>70</v>
      </c>
      <c r="I215" s="66"/>
      <c r="J215" s="66" t="s">
        <v>150</v>
      </c>
      <c r="K215" s="57">
        <f>IF(Table121413[[#This Row],[modality]]=E214,1,0)</f>
        <v>1</v>
      </c>
      <c r="L215" s="66">
        <f>IF(Table121413[[#This Row],[stimulus]]=H216, 1, 0)</f>
        <v>0</v>
      </c>
      <c r="M215" s="66">
        <f t="shared" si="6"/>
        <v>0</v>
      </c>
      <c r="N215" s="66">
        <f t="shared" si="7"/>
        <v>0</v>
      </c>
    </row>
    <row r="216" spans="1:14" x14ac:dyDescent="0.3">
      <c r="A216" s="58">
        <v>4</v>
      </c>
      <c r="B216" s="59">
        <v>2</v>
      </c>
      <c r="C216" s="63">
        <v>215</v>
      </c>
      <c r="D216" s="80">
        <v>2</v>
      </c>
      <c r="E216" s="80" t="s">
        <v>80</v>
      </c>
      <c r="F216" s="80" t="s">
        <v>29</v>
      </c>
      <c r="G216" s="52" t="s">
        <v>42</v>
      </c>
      <c r="H216" s="52"/>
      <c r="I216" s="75" t="s">
        <v>127</v>
      </c>
      <c r="J216" s="66" t="s">
        <v>150</v>
      </c>
      <c r="K216" s="57">
        <f>IF(Table121413[[#This Row],[modality]]=E215,1,0)</f>
        <v>0</v>
      </c>
      <c r="L216" s="66">
        <f>IF(Table121413[[#This Row],[stimulus]]=H217, 1, 0)</f>
        <v>0</v>
      </c>
      <c r="M216" s="66">
        <f t="shared" si="6"/>
        <v>1</v>
      </c>
      <c r="N216" s="66">
        <f t="shared" si="7"/>
        <v>0</v>
      </c>
    </row>
    <row r="217" spans="1:14" x14ac:dyDescent="0.3">
      <c r="A217" s="58">
        <v>4</v>
      </c>
      <c r="B217" s="59">
        <v>2</v>
      </c>
      <c r="C217" s="63">
        <v>216</v>
      </c>
      <c r="D217" s="100">
        <v>2</v>
      </c>
      <c r="E217" s="100" t="s">
        <v>80</v>
      </c>
      <c r="F217" s="100" t="s">
        <v>29</v>
      </c>
      <c r="G217" s="77" t="s">
        <v>42</v>
      </c>
      <c r="H217" s="77" t="s">
        <v>61</v>
      </c>
      <c r="I217" s="66"/>
      <c r="J217" s="66" t="s">
        <v>151</v>
      </c>
      <c r="K217" s="57">
        <f>IF(Table121413[[#This Row],[modality]]=E216,1,0)</f>
        <v>1</v>
      </c>
      <c r="L217" s="66">
        <f>IF(Table121413[[#This Row],[stimulus]]=H218, 1, 0)</f>
        <v>0</v>
      </c>
      <c r="M217" s="66">
        <f t="shared" si="6"/>
        <v>0</v>
      </c>
      <c r="N217" s="66">
        <f t="shared" si="7"/>
        <v>1</v>
      </c>
    </row>
    <row r="218" spans="1:14" x14ac:dyDescent="0.3">
      <c r="A218" s="58">
        <v>4</v>
      </c>
      <c r="B218" s="59">
        <v>2</v>
      </c>
      <c r="C218" s="63">
        <v>217</v>
      </c>
      <c r="D218" s="91">
        <v>1</v>
      </c>
      <c r="E218" s="91" t="s">
        <v>81</v>
      </c>
      <c r="F218" s="91" t="s">
        <v>29</v>
      </c>
      <c r="G218" s="47" t="s">
        <v>42</v>
      </c>
      <c r="H218" s="47" t="s">
        <v>60</v>
      </c>
      <c r="I218" s="66"/>
      <c r="J218" s="66" t="s">
        <v>150</v>
      </c>
      <c r="K218" s="57">
        <f>IF(Table121413[[#This Row],[modality]]=E217,1,0)</f>
        <v>0</v>
      </c>
      <c r="L218" s="66">
        <f>IF(Table121413[[#This Row],[stimulus]]=H219, 1, 0)</f>
        <v>0</v>
      </c>
      <c r="M218" s="66">
        <f t="shared" si="6"/>
        <v>0</v>
      </c>
      <c r="N218" s="66">
        <f t="shared" si="7"/>
        <v>1</v>
      </c>
    </row>
    <row r="219" spans="1:14" x14ac:dyDescent="0.3">
      <c r="A219" s="63" t="s">
        <v>25</v>
      </c>
      <c r="B219" s="63"/>
      <c r="C219" s="63">
        <v>218</v>
      </c>
      <c r="D219" s="101"/>
      <c r="E219" s="101" t="s">
        <v>142</v>
      </c>
      <c r="F219" s="101" t="s">
        <v>142</v>
      </c>
      <c r="G219" s="102"/>
      <c r="H219" s="102"/>
      <c r="I219" s="66"/>
      <c r="J219" s="66" t="s">
        <v>150</v>
      </c>
      <c r="K219" s="57">
        <f>IF(Table121413[[#This Row],[modality]]=E218,1,0)</f>
        <v>0</v>
      </c>
      <c r="L219" s="66">
        <f>IF(Table121413[[#This Row],[stimulus]]=H220, 1, 0)</f>
        <v>0</v>
      </c>
      <c r="M219" s="66">
        <f t="shared" si="6"/>
        <v>0</v>
      </c>
      <c r="N219" s="66">
        <f t="shared" si="7"/>
        <v>1</v>
      </c>
    </row>
    <row r="220" spans="1:14" x14ac:dyDescent="0.3">
      <c r="A220" s="59">
        <v>1</v>
      </c>
      <c r="B220" s="59">
        <v>3</v>
      </c>
      <c r="C220" s="63">
        <v>219</v>
      </c>
      <c r="D220" s="72">
        <v>2</v>
      </c>
      <c r="E220" s="73" t="s">
        <v>80</v>
      </c>
      <c r="F220" s="74" t="s">
        <v>29</v>
      </c>
      <c r="G220" s="47" t="s">
        <v>42</v>
      </c>
      <c r="H220" s="47" t="s">
        <v>71</v>
      </c>
      <c r="I220" s="66"/>
      <c r="J220" s="92" t="s">
        <v>151</v>
      </c>
      <c r="K220" s="57">
        <f>IF(Table121413[[#This Row],[modality]]=E219,1,0)</f>
        <v>0</v>
      </c>
      <c r="L220" s="66">
        <f>IF(Table121413[[#This Row],[stimulus]]=H221, 1, 0)</f>
        <v>0</v>
      </c>
      <c r="M220" s="66">
        <f t="shared" si="6"/>
        <v>0</v>
      </c>
      <c r="N220" s="66">
        <f t="shared" si="7"/>
        <v>0</v>
      </c>
    </row>
    <row r="221" spans="1:14" x14ac:dyDescent="0.3">
      <c r="A221" s="59">
        <v>1</v>
      </c>
      <c r="B221" s="59">
        <v>3</v>
      </c>
      <c r="C221" s="63">
        <v>220</v>
      </c>
      <c r="D221" s="69">
        <v>2</v>
      </c>
      <c r="E221" s="69" t="s">
        <v>80</v>
      </c>
      <c r="F221" s="70" t="s">
        <v>0</v>
      </c>
      <c r="G221" s="71" t="s">
        <v>41</v>
      </c>
      <c r="H221" s="71" t="s">
        <v>49</v>
      </c>
      <c r="I221" s="66"/>
      <c r="J221" s="66" t="s">
        <v>151</v>
      </c>
      <c r="K221" s="57">
        <f>IF(Table121413[[#This Row],[modality]]=E220,1,0)</f>
        <v>1</v>
      </c>
      <c r="L221" s="66">
        <f>IF(Table121413[[#This Row],[stimulus]]=H222, 1, 0)</f>
        <v>1</v>
      </c>
      <c r="M221" s="66">
        <f t="shared" si="6"/>
        <v>0</v>
      </c>
      <c r="N221" s="66">
        <f t="shared" si="7"/>
        <v>1</v>
      </c>
    </row>
    <row r="222" spans="1:14" x14ac:dyDescent="0.3">
      <c r="A222" s="59">
        <v>1</v>
      </c>
      <c r="B222" s="59">
        <v>3</v>
      </c>
      <c r="C222" s="63">
        <v>221</v>
      </c>
      <c r="D222" s="67">
        <v>2</v>
      </c>
      <c r="E222" s="67" t="s">
        <v>80</v>
      </c>
      <c r="F222" s="68" t="s">
        <v>40</v>
      </c>
      <c r="G222" s="47" t="s">
        <v>9</v>
      </c>
      <c r="H222" s="47" t="s">
        <v>49</v>
      </c>
      <c r="I222" s="66"/>
      <c r="J222" s="66" t="s">
        <v>150</v>
      </c>
      <c r="K222" s="57">
        <f>IF(Table121413[[#This Row],[modality]]=E221,1,0)</f>
        <v>1</v>
      </c>
      <c r="L222" s="66">
        <f>IF(Table121413[[#This Row],[stimulus]]=H223, 1, 0)</f>
        <v>0</v>
      </c>
      <c r="M222" s="66">
        <f t="shared" si="6"/>
        <v>0</v>
      </c>
      <c r="N222" s="66">
        <f t="shared" si="7"/>
        <v>0</v>
      </c>
    </row>
    <row r="223" spans="1:14" x14ac:dyDescent="0.3">
      <c r="A223" s="59">
        <v>1</v>
      </c>
      <c r="B223" s="59">
        <v>3</v>
      </c>
      <c r="C223" s="63">
        <v>222</v>
      </c>
      <c r="D223" s="72">
        <v>1</v>
      </c>
      <c r="E223" s="72" t="s">
        <v>81</v>
      </c>
      <c r="F223" s="74" t="s">
        <v>29</v>
      </c>
      <c r="G223" s="71" t="s">
        <v>42</v>
      </c>
      <c r="H223" s="71" t="s">
        <v>69</v>
      </c>
      <c r="I223" s="66"/>
      <c r="J223" s="66" t="s">
        <v>150</v>
      </c>
      <c r="K223" s="57">
        <f>IF(Table121413[[#This Row],[modality]]=E222,1,0)</f>
        <v>0</v>
      </c>
      <c r="L223" s="66">
        <f>IF(Table121413[[#This Row],[stimulus]]=H224, 1, 0)</f>
        <v>0</v>
      </c>
      <c r="M223" s="66">
        <f t="shared" si="6"/>
        <v>1</v>
      </c>
      <c r="N223" s="66">
        <f t="shared" si="7"/>
        <v>0</v>
      </c>
    </row>
    <row r="224" spans="1:14" x14ac:dyDescent="0.3">
      <c r="A224" s="58">
        <v>1</v>
      </c>
      <c r="B224" s="59">
        <v>3</v>
      </c>
      <c r="C224" s="63">
        <v>223</v>
      </c>
      <c r="D224" s="96">
        <v>2</v>
      </c>
      <c r="E224" s="96" t="s">
        <v>80</v>
      </c>
      <c r="F224" s="96" t="s">
        <v>29</v>
      </c>
      <c r="G224" s="87" t="s">
        <v>42</v>
      </c>
      <c r="H224" s="87" t="s">
        <v>74</v>
      </c>
      <c r="I224" s="66"/>
      <c r="J224" s="66" t="s">
        <v>151</v>
      </c>
      <c r="K224" s="57">
        <f>IF(Table121413[[#This Row],[modality]]=E223,1,0)</f>
        <v>0</v>
      </c>
      <c r="L224" s="66">
        <f>IF(Table121413[[#This Row],[stimulus]]=H225, 1, 0)</f>
        <v>0</v>
      </c>
      <c r="M224" s="66">
        <f t="shared" si="6"/>
        <v>0</v>
      </c>
      <c r="N224" s="66">
        <f t="shared" si="7"/>
        <v>1</v>
      </c>
    </row>
    <row r="225" spans="1:17" x14ac:dyDescent="0.3">
      <c r="A225" s="58">
        <v>1</v>
      </c>
      <c r="B225" s="59">
        <v>3</v>
      </c>
      <c r="C225" s="63">
        <v>224</v>
      </c>
      <c r="D225" s="95">
        <v>1</v>
      </c>
      <c r="E225" s="95" t="s">
        <v>81</v>
      </c>
      <c r="F225" s="95" t="s">
        <v>29</v>
      </c>
      <c r="G225" s="90" t="s">
        <v>42</v>
      </c>
      <c r="H225" s="90" t="s">
        <v>67</v>
      </c>
      <c r="I225" s="66"/>
      <c r="J225" s="66" t="s">
        <v>151</v>
      </c>
      <c r="K225" s="57">
        <f>IF(Table121413[[#This Row],[modality]]=E224,1,0)</f>
        <v>0</v>
      </c>
      <c r="L225" s="66">
        <f>IF(Table121413[[#This Row],[stimulus]]=H226, 1, 0)</f>
        <v>0</v>
      </c>
      <c r="M225" s="66">
        <f t="shared" si="6"/>
        <v>0</v>
      </c>
      <c r="N225" s="66">
        <f t="shared" si="7"/>
        <v>1</v>
      </c>
    </row>
    <row r="226" spans="1:17" x14ac:dyDescent="0.3">
      <c r="A226" s="59">
        <v>1</v>
      </c>
      <c r="B226" s="59">
        <v>3</v>
      </c>
      <c r="C226" s="63">
        <v>225</v>
      </c>
      <c r="D226" s="72">
        <v>1</v>
      </c>
      <c r="E226" s="72" t="s">
        <v>81</v>
      </c>
      <c r="F226" s="74" t="s">
        <v>29</v>
      </c>
      <c r="G226" s="47" t="s">
        <v>42</v>
      </c>
      <c r="H226" s="47" t="s">
        <v>73</v>
      </c>
      <c r="I226" s="66"/>
      <c r="J226" s="66" t="s">
        <v>150</v>
      </c>
      <c r="K226" s="57">
        <f>IF(Table121413[[#This Row],[modality]]=E225,1,0)</f>
        <v>1</v>
      </c>
      <c r="L226" s="66">
        <f>IF(Table121413[[#This Row],[stimulus]]=H227, 1, 0)</f>
        <v>0</v>
      </c>
      <c r="M226" s="66">
        <f t="shared" si="6"/>
        <v>0</v>
      </c>
      <c r="N226" s="66">
        <f t="shared" si="7"/>
        <v>1</v>
      </c>
    </row>
    <row r="227" spans="1:17" x14ac:dyDescent="0.3">
      <c r="A227" s="59">
        <v>1</v>
      </c>
      <c r="B227" s="59">
        <v>3</v>
      </c>
      <c r="C227" s="63">
        <v>226</v>
      </c>
      <c r="D227" s="69">
        <v>2</v>
      </c>
      <c r="E227" s="69" t="s">
        <v>80</v>
      </c>
      <c r="F227" s="70" t="s">
        <v>0</v>
      </c>
      <c r="G227" s="71" t="s">
        <v>41</v>
      </c>
      <c r="H227" s="71" t="s">
        <v>48</v>
      </c>
      <c r="I227" s="66"/>
      <c r="J227" s="66" t="s">
        <v>151</v>
      </c>
      <c r="K227" s="57">
        <f>IF(Table121413[[#This Row],[modality]]=E226,1,0)</f>
        <v>0</v>
      </c>
      <c r="L227" s="66">
        <f>IF(Table121413[[#This Row],[stimulus]]=H228, 1, 0)</f>
        <v>1</v>
      </c>
      <c r="M227" s="66">
        <f t="shared" si="6"/>
        <v>0</v>
      </c>
      <c r="N227" s="66">
        <f t="shared" si="7"/>
        <v>1</v>
      </c>
    </row>
    <row r="228" spans="1:17" x14ac:dyDescent="0.3">
      <c r="A228" s="59">
        <v>1</v>
      </c>
      <c r="B228" s="59">
        <v>3</v>
      </c>
      <c r="C228" s="63">
        <v>227</v>
      </c>
      <c r="D228" s="67">
        <v>2</v>
      </c>
      <c r="E228" s="67" t="s">
        <v>80</v>
      </c>
      <c r="F228" s="68" t="s">
        <v>40</v>
      </c>
      <c r="G228" s="47" t="s">
        <v>9</v>
      </c>
      <c r="H228" s="47" t="s">
        <v>48</v>
      </c>
      <c r="I228" s="66"/>
      <c r="J228" s="66" t="s">
        <v>150</v>
      </c>
      <c r="K228" s="57">
        <f>IF(Table121413[[#This Row],[modality]]=E227,1,0)</f>
        <v>1</v>
      </c>
      <c r="L228" s="66">
        <f>IF(Table121413[[#This Row],[stimulus]]=H229, 1, 0)</f>
        <v>0</v>
      </c>
      <c r="M228" s="66">
        <f t="shared" si="6"/>
        <v>0</v>
      </c>
      <c r="N228" s="66">
        <f t="shared" si="7"/>
        <v>0</v>
      </c>
    </row>
    <row r="229" spans="1:17" x14ac:dyDescent="0.3">
      <c r="A229" s="59">
        <v>1</v>
      </c>
      <c r="B229" s="59">
        <v>3</v>
      </c>
      <c r="C229" s="63">
        <v>228</v>
      </c>
      <c r="D229" s="69">
        <v>2</v>
      </c>
      <c r="E229" s="69" t="s">
        <v>80</v>
      </c>
      <c r="F229" s="70" t="s">
        <v>0</v>
      </c>
      <c r="G229" s="71" t="s">
        <v>41</v>
      </c>
      <c r="H229" s="71" t="s">
        <v>50</v>
      </c>
      <c r="I229" s="66"/>
      <c r="J229" s="66" t="s">
        <v>151</v>
      </c>
      <c r="K229" s="57">
        <f>IF(Table121413[[#This Row],[modality]]=E228,1,0)</f>
        <v>1</v>
      </c>
      <c r="L229" s="66">
        <f>IF(Table121413[[#This Row],[stimulus]]=H230, 1, 0)</f>
        <v>1</v>
      </c>
      <c r="M229" s="66">
        <f t="shared" si="6"/>
        <v>1</v>
      </c>
      <c r="N229" s="66">
        <f t="shared" si="7"/>
        <v>0</v>
      </c>
    </row>
    <row r="230" spans="1:17" x14ac:dyDescent="0.3">
      <c r="A230" s="59">
        <v>1</v>
      </c>
      <c r="B230" s="59">
        <v>3</v>
      </c>
      <c r="C230" s="63">
        <v>229</v>
      </c>
      <c r="D230" s="67">
        <v>1</v>
      </c>
      <c r="E230" s="67" t="s">
        <v>81</v>
      </c>
      <c r="F230" s="68" t="s">
        <v>40</v>
      </c>
      <c r="G230" s="47" t="s">
        <v>10</v>
      </c>
      <c r="H230" s="47" t="s">
        <v>50</v>
      </c>
      <c r="I230" s="66"/>
      <c r="J230" s="66" t="s">
        <v>150</v>
      </c>
      <c r="K230" s="57">
        <f>IF(Table121413[[#This Row],[modality]]=E229,1,0)</f>
        <v>0</v>
      </c>
      <c r="L230" s="66">
        <f>IF(Table121413[[#This Row],[stimulus]]=H231, 1, 0)</f>
        <v>0</v>
      </c>
      <c r="M230" s="66">
        <f t="shared" si="6"/>
        <v>0</v>
      </c>
      <c r="N230" s="66">
        <f t="shared" si="7"/>
        <v>0</v>
      </c>
    </row>
    <row r="231" spans="1:17" x14ac:dyDescent="0.3">
      <c r="A231" s="59">
        <v>1</v>
      </c>
      <c r="B231" s="59">
        <v>3</v>
      </c>
      <c r="C231" s="63">
        <v>230</v>
      </c>
      <c r="D231" s="72">
        <v>1</v>
      </c>
      <c r="E231" s="72" t="s">
        <v>81</v>
      </c>
      <c r="F231" s="74" t="s">
        <v>29</v>
      </c>
      <c r="G231" s="71" t="s">
        <v>42</v>
      </c>
      <c r="H231" s="71" t="s">
        <v>70</v>
      </c>
      <c r="I231" s="66"/>
      <c r="J231" s="66" t="s">
        <v>150</v>
      </c>
      <c r="K231" s="57">
        <f>IF(Table121413[[#This Row],[modality]]=E230,1,0)</f>
        <v>1</v>
      </c>
      <c r="L231" s="66">
        <f>IF(Table121413[[#This Row],[stimulus]]=H232, 1, 0)</f>
        <v>0</v>
      </c>
      <c r="M231" s="66">
        <f t="shared" si="6"/>
        <v>1</v>
      </c>
      <c r="N231" s="66">
        <f t="shared" si="7"/>
        <v>0</v>
      </c>
    </row>
    <row r="232" spans="1:17" x14ac:dyDescent="0.3">
      <c r="A232" s="59">
        <v>1</v>
      </c>
      <c r="B232" s="59">
        <v>3</v>
      </c>
      <c r="C232" s="63">
        <v>231</v>
      </c>
      <c r="D232" s="67">
        <v>1</v>
      </c>
      <c r="E232" s="67" t="s">
        <v>81</v>
      </c>
      <c r="F232" s="68" t="s">
        <v>0</v>
      </c>
      <c r="G232" s="47" t="s">
        <v>41</v>
      </c>
      <c r="H232" s="47" t="s">
        <v>43</v>
      </c>
      <c r="I232" s="66"/>
      <c r="J232" s="66" t="s">
        <v>151</v>
      </c>
      <c r="K232" s="57">
        <f>IF(Table121413[[#This Row],[modality]]=E231,1,0)</f>
        <v>1</v>
      </c>
      <c r="L232" s="66">
        <f>IF(Table121413[[#This Row],[stimulus]]=H233, 1, 0)</f>
        <v>1</v>
      </c>
      <c r="M232" s="66">
        <f t="shared" si="6"/>
        <v>0</v>
      </c>
      <c r="N232" s="66">
        <f t="shared" si="7"/>
        <v>1</v>
      </c>
    </row>
    <row r="233" spans="1:17" x14ac:dyDescent="0.3">
      <c r="A233" s="59">
        <v>1</v>
      </c>
      <c r="B233" s="59">
        <v>3</v>
      </c>
      <c r="C233" s="63">
        <v>232</v>
      </c>
      <c r="D233" s="69">
        <v>2</v>
      </c>
      <c r="E233" s="69" t="s">
        <v>80</v>
      </c>
      <c r="F233" s="70" t="s">
        <v>40</v>
      </c>
      <c r="G233" s="71" t="s">
        <v>10</v>
      </c>
      <c r="H233" s="71" t="s">
        <v>43</v>
      </c>
      <c r="I233" s="66"/>
      <c r="J233" s="66" t="s">
        <v>150</v>
      </c>
      <c r="K233" s="57">
        <f>IF(Table121413[[#This Row],[modality]]=E232,1,0)</f>
        <v>0</v>
      </c>
      <c r="L233" s="66">
        <f>IF(Table121413[[#This Row],[stimulus]]=H234, 1, 0)</f>
        <v>0</v>
      </c>
      <c r="M233" s="66">
        <f t="shared" si="6"/>
        <v>0</v>
      </c>
      <c r="N233" s="66">
        <f t="shared" si="7"/>
        <v>0</v>
      </c>
    </row>
    <row r="234" spans="1:17" x14ac:dyDescent="0.3">
      <c r="A234" s="59">
        <v>1</v>
      </c>
      <c r="B234" s="59">
        <v>3</v>
      </c>
      <c r="C234" s="63">
        <v>233</v>
      </c>
      <c r="D234" s="67">
        <v>2</v>
      </c>
      <c r="E234" s="67" t="s">
        <v>80</v>
      </c>
      <c r="F234" s="68" t="s">
        <v>0</v>
      </c>
      <c r="G234" s="47" t="s">
        <v>41</v>
      </c>
      <c r="H234" s="47" t="s">
        <v>46</v>
      </c>
      <c r="I234" s="66"/>
      <c r="J234" s="66" t="s">
        <v>151</v>
      </c>
      <c r="K234" s="57">
        <f>IF(Table121413[[#This Row],[modality]]=E233,1,0)</f>
        <v>1</v>
      </c>
      <c r="L234" s="66">
        <f>IF(Table121413[[#This Row],[stimulus]]=H235, 1, 0)</f>
        <v>1</v>
      </c>
      <c r="M234" s="66">
        <f t="shared" si="6"/>
        <v>1</v>
      </c>
      <c r="N234" s="66">
        <f t="shared" si="7"/>
        <v>0</v>
      </c>
      <c r="Q234" t="s">
        <v>19</v>
      </c>
    </row>
    <row r="235" spans="1:17" x14ac:dyDescent="0.3">
      <c r="A235" s="59">
        <v>1</v>
      </c>
      <c r="B235" s="59">
        <v>3</v>
      </c>
      <c r="C235" s="63">
        <v>234</v>
      </c>
      <c r="D235" s="69">
        <v>1</v>
      </c>
      <c r="E235" s="69" t="s">
        <v>81</v>
      </c>
      <c r="F235" s="70" t="s">
        <v>40</v>
      </c>
      <c r="G235" s="71" t="s">
        <v>10</v>
      </c>
      <c r="H235" s="71" t="s">
        <v>46</v>
      </c>
      <c r="I235" s="66"/>
      <c r="J235" s="66" t="s">
        <v>150</v>
      </c>
      <c r="K235" s="57">
        <f>IF(Table121413[[#This Row],[modality]]=E234,1,0)</f>
        <v>0</v>
      </c>
      <c r="L235" s="66">
        <f>IF(Table121413[[#This Row],[stimulus]]=H236, 1, 0)</f>
        <v>0</v>
      </c>
      <c r="M235" s="66">
        <f t="shared" si="6"/>
        <v>0</v>
      </c>
      <c r="N235" s="66">
        <f t="shared" si="7"/>
        <v>0</v>
      </c>
    </row>
    <row r="236" spans="1:17" x14ac:dyDescent="0.3">
      <c r="A236" s="59">
        <v>1</v>
      </c>
      <c r="B236" s="59">
        <v>3</v>
      </c>
      <c r="C236" s="63">
        <v>235</v>
      </c>
      <c r="D236" s="72">
        <v>2</v>
      </c>
      <c r="E236" s="73" t="s">
        <v>80</v>
      </c>
      <c r="F236" s="74" t="s">
        <v>29</v>
      </c>
      <c r="G236" s="47" t="s">
        <v>42</v>
      </c>
      <c r="H236" s="47" t="s">
        <v>74</v>
      </c>
      <c r="I236" s="66"/>
      <c r="J236" s="66" t="s">
        <v>150</v>
      </c>
      <c r="K236" s="57">
        <f>IF(Table121413[[#This Row],[modality]]=E235,1,0)</f>
        <v>0</v>
      </c>
      <c r="L236" s="66">
        <f>IF(Table121413[[#This Row],[stimulus]]=H237, 1, 0)</f>
        <v>0</v>
      </c>
      <c r="M236" s="66">
        <f t="shared" si="6"/>
        <v>1</v>
      </c>
      <c r="N236" s="66">
        <f t="shared" si="7"/>
        <v>0</v>
      </c>
    </row>
    <row r="237" spans="1:17" x14ac:dyDescent="0.3">
      <c r="A237" s="58">
        <v>1</v>
      </c>
      <c r="B237" s="59">
        <v>3</v>
      </c>
      <c r="C237" s="63">
        <v>236</v>
      </c>
      <c r="D237" s="96">
        <v>1</v>
      </c>
      <c r="E237" s="86" t="s">
        <v>81</v>
      </c>
      <c r="F237" s="96" t="s">
        <v>29</v>
      </c>
      <c r="G237" s="87" t="s">
        <v>42</v>
      </c>
      <c r="H237" s="87" t="s">
        <v>73</v>
      </c>
      <c r="I237" s="66"/>
      <c r="J237" s="66" t="s">
        <v>151</v>
      </c>
      <c r="K237" s="57">
        <f>IF(Table121413[[#This Row],[modality]]=E236,1,0)</f>
        <v>0</v>
      </c>
      <c r="L237" s="66">
        <f>IF(Table121413[[#This Row],[stimulus]]=H238, 1, 0)</f>
        <v>0</v>
      </c>
      <c r="M237" s="66">
        <f t="shared" si="6"/>
        <v>0</v>
      </c>
      <c r="N237" s="66">
        <f t="shared" si="7"/>
        <v>1</v>
      </c>
    </row>
    <row r="238" spans="1:17" x14ac:dyDescent="0.3">
      <c r="A238" s="59">
        <v>1</v>
      </c>
      <c r="B238" s="59">
        <v>3</v>
      </c>
      <c r="C238" s="63">
        <v>237</v>
      </c>
      <c r="D238" s="72">
        <v>2</v>
      </c>
      <c r="E238" s="72" t="s">
        <v>80</v>
      </c>
      <c r="F238" s="74" t="s">
        <v>29</v>
      </c>
      <c r="G238" s="71" t="s">
        <v>42</v>
      </c>
      <c r="H238" s="71" t="s">
        <v>67</v>
      </c>
      <c r="I238" s="66"/>
      <c r="J238" s="66" t="s">
        <v>150</v>
      </c>
      <c r="K238" s="57">
        <f>IF(Table121413[[#This Row],[modality]]=E237,1,0)</f>
        <v>0</v>
      </c>
      <c r="L238" s="66">
        <f>IF(Table121413[[#This Row],[stimulus]]=H239, 1, 0)</f>
        <v>0</v>
      </c>
      <c r="M238" s="66">
        <f t="shared" si="6"/>
        <v>0</v>
      </c>
      <c r="N238" s="66">
        <f t="shared" si="7"/>
        <v>1</v>
      </c>
    </row>
    <row r="239" spans="1:17" x14ac:dyDescent="0.3">
      <c r="A239" s="59">
        <v>1</v>
      </c>
      <c r="B239" s="59">
        <v>3</v>
      </c>
      <c r="C239" s="63">
        <v>238</v>
      </c>
      <c r="D239" s="67">
        <v>1</v>
      </c>
      <c r="E239" s="67" t="s">
        <v>81</v>
      </c>
      <c r="F239" s="68" t="s">
        <v>0</v>
      </c>
      <c r="G239" s="47" t="s">
        <v>41</v>
      </c>
      <c r="H239" s="47" t="s">
        <v>44</v>
      </c>
      <c r="I239" s="66"/>
      <c r="J239" s="66" t="s">
        <v>151</v>
      </c>
      <c r="K239" s="57">
        <f>IF(Table121413[[#This Row],[modality]]=E238,1,0)</f>
        <v>0</v>
      </c>
      <c r="L239" s="66">
        <f>IF(Table121413[[#This Row],[stimulus]]=H240, 1, 0)</f>
        <v>1</v>
      </c>
      <c r="M239" s="66">
        <f t="shared" si="6"/>
        <v>0</v>
      </c>
      <c r="N239" s="66">
        <f t="shared" si="7"/>
        <v>1</v>
      </c>
    </row>
    <row r="240" spans="1:17" x14ac:dyDescent="0.3">
      <c r="A240" s="59">
        <v>1</v>
      </c>
      <c r="B240" s="59">
        <v>3</v>
      </c>
      <c r="C240" s="63">
        <v>239</v>
      </c>
      <c r="D240" s="69">
        <v>1</v>
      </c>
      <c r="E240" s="67" t="s">
        <v>81</v>
      </c>
      <c r="F240" s="70" t="s">
        <v>40</v>
      </c>
      <c r="G240" s="71" t="s">
        <v>9</v>
      </c>
      <c r="H240" s="71" t="s">
        <v>44</v>
      </c>
      <c r="I240" s="66"/>
      <c r="J240" s="66" t="s">
        <v>150</v>
      </c>
      <c r="K240" s="57">
        <f>IF(Table121413[[#This Row],[modality]]=E239,1,0)</f>
        <v>1</v>
      </c>
      <c r="L240" s="66">
        <f>IF(Table121413[[#This Row],[stimulus]]=H241, 1, 0)</f>
        <v>0</v>
      </c>
      <c r="M240" s="66">
        <f t="shared" si="6"/>
        <v>0</v>
      </c>
      <c r="N240" s="66">
        <f t="shared" si="7"/>
        <v>0</v>
      </c>
    </row>
    <row r="241" spans="1:14" x14ac:dyDescent="0.3">
      <c r="A241" s="59">
        <v>1</v>
      </c>
      <c r="B241" s="59">
        <v>3</v>
      </c>
      <c r="C241" s="63">
        <v>240</v>
      </c>
      <c r="D241" s="72">
        <v>2</v>
      </c>
      <c r="E241" s="73" t="s">
        <v>80</v>
      </c>
      <c r="F241" s="74" t="s">
        <v>29</v>
      </c>
      <c r="G241" s="47" t="s">
        <v>42</v>
      </c>
      <c r="H241" s="47" t="s">
        <v>72</v>
      </c>
      <c r="I241" s="66"/>
      <c r="J241" s="66" t="s">
        <v>150</v>
      </c>
      <c r="K241" s="57">
        <f>IF(Table121413[[#This Row],[modality]]=E240,1,0)</f>
        <v>0</v>
      </c>
      <c r="L241" s="66">
        <f>IF(Table121413[[#This Row],[stimulus]]=H242, 1, 0)</f>
        <v>0</v>
      </c>
      <c r="M241" s="66">
        <f t="shared" si="6"/>
        <v>1</v>
      </c>
      <c r="N241" s="66">
        <f t="shared" si="7"/>
        <v>0</v>
      </c>
    </row>
    <row r="242" spans="1:14" x14ac:dyDescent="0.3">
      <c r="A242" s="58">
        <v>1</v>
      </c>
      <c r="B242" s="59">
        <v>3</v>
      </c>
      <c r="C242" s="63">
        <v>241</v>
      </c>
      <c r="D242" s="96">
        <v>1</v>
      </c>
      <c r="E242" s="86" t="s">
        <v>81</v>
      </c>
      <c r="F242" s="96" t="s">
        <v>29</v>
      </c>
      <c r="G242" s="87" t="s">
        <v>42</v>
      </c>
      <c r="H242" s="87" t="s">
        <v>70</v>
      </c>
      <c r="I242" s="66"/>
      <c r="J242" s="66" t="s">
        <v>151</v>
      </c>
      <c r="K242" s="57">
        <f>IF(Table121413[[#This Row],[modality]]=E241,1,0)</f>
        <v>0</v>
      </c>
      <c r="L242" s="66">
        <f>IF(Table121413[[#This Row],[stimulus]]=H243, 1, 0)</f>
        <v>0</v>
      </c>
      <c r="M242" s="66">
        <f t="shared" si="6"/>
        <v>0</v>
      </c>
      <c r="N242" s="66">
        <f t="shared" si="7"/>
        <v>1</v>
      </c>
    </row>
    <row r="243" spans="1:14" x14ac:dyDescent="0.3">
      <c r="A243" s="59">
        <v>1</v>
      </c>
      <c r="B243" s="59">
        <v>3</v>
      </c>
      <c r="C243" s="63">
        <v>242</v>
      </c>
      <c r="D243" s="72">
        <v>2</v>
      </c>
      <c r="E243" s="72" t="s">
        <v>80</v>
      </c>
      <c r="F243" s="74" t="s">
        <v>29</v>
      </c>
      <c r="G243" s="71" t="s">
        <v>42</v>
      </c>
      <c r="H243" s="71" t="s">
        <v>68</v>
      </c>
      <c r="I243" s="66"/>
      <c r="J243" s="66" t="s">
        <v>151</v>
      </c>
      <c r="K243" s="57">
        <f>IF(Table121413[[#This Row],[modality]]=E242,1,0)</f>
        <v>0</v>
      </c>
      <c r="L243" s="66">
        <f>IF(Table121413[[#This Row],[stimulus]]=H244, 1, 0)</f>
        <v>0</v>
      </c>
      <c r="M243" s="66">
        <f t="shared" si="6"/>
        <v>0</v>
      </c>
      <c r="N243" s="66">
        <f t="shared" si="7"/>
        <v>1</v>
      </c>
    </row>
    <row r="244" spans="1:14" x14ac:dyDescent="0.3">
      <c r="A244" s="59">
        <v>1</v>
      </c>
      <c r="B244" s="59">
        <v>3</v>
      </c>
      <c r="C244" s="63">
        <v>243</v>
      </c>
      <c r="D244" s="67">
        <v>1</v>
      </c>
      <c r="E244" s="67" t="s">
        <v>81</v>
      </c>
      <c r="F244" s="68" t="s">
        <v>0</v>
      </c>
      <c r="G244" s="47" t="s">
        <v>41</v>
      </c>
      <c r="H244" s="47" t="s">
        <v>45</v>
      </c>
      <c r="I244" s="66"/>
      <c r="J244" s="66" t="s">
        <v>151</v>
      </c>
      <c r="K244" s="57">
        <f>IF(Table121413[[#This Row],[modality]]=E243,1,0)</f>
        <v>0</v>
      </c>
      <c r="L244" s="66">
        <f>IF(Table121413[[#This Row],[stimulus]]=H245, 1, 0)</f>
        <v>1</v>
      </c>
      <c r="M244" s="66">
        <f t="shared" si="6"/>
        <v>0</v>
      </c>
      <c r="N244" s="66">
        <f t="shared" si="7"/>
        <v>1</v>
      </c>
    </row>
    <row r="245" spans="1:14" x14ac:dyDescent="0.3">
      <c r="A245" s="59">
        <v>1</v>
      </c>
      <c r="B245" s="59">
        <v>3</v>
      </c>
      <c r="C245" s="63">
        <v>244</v>
      </c>
      <c r="D245" s="69">
        <v>1</v>
      </c>
      <c r="E245" s="67" t="s">
        <v>81</v>
      </c>
      <c r="F245" s="70" t="s">
        <v>40</v>
      </c>
      <c r="G245" s="71" t="s">
        <v>9</v>
      </c>
      <c r="H245" s="71" t="s">
        <v>45</v>
      </c>
      <c r="I245" s="66"/>
      <c r="J245" s="66" t="s">
        <v>150</v>
      </c>
      <c r="K245" s="57">
        <f>IF(Table121413[[#This Row],[modality]]=E244,1,0)</f>
        <v>1</v>
      </c>
      <c r="L245" s="66">
        <f>IF(Table121413[[#This Row],[stimulus]]=H246, 1, 0)</f>
        <v>0</v>
      </c>
      <c r="M245" s="66">
        <f t="shared" si="6"/>
        <v>0</v>
      </c>
      <c r="N245" s="66">
        <f t="shared" si="7"/>
        <v>0</v>
      </c>
    </row>
    <row r="246" spans="1:14" x14ac:dyDescent="0.3">
      <c r="A246" s="59">
        <v>1</v>
      </c>
      <c r="B246" s="59">
        <v>3</v>
      </c>
      <c r="C246" s="63">
        <v>245</v>
      </c>
      <c r="D246" s="67">
        <v>1</v>
      </c>
      <c r="E246" s="67" t="s">
        <v>81</v>
      </c>
      <c r="F246" s="68" t="s">
        <v>0</v>
      </c>
      <c r="G246" s="47" t="s">
        <v>41</v>
      </c>
      <c r="H246" s="47" t="s">
        <v>47</v>
      </c>
      <c r="I246" s="66"/>
      <c r="J246" s="66" t="s">
        <v>151</v>
      </c>
      <c r="K246" s="57">
        <f>IF(Table121413[[#This Row],[modality]]=E245,1,0)</f>
        <v>1</v>
      </c>
      <c r="L246" s="66">
        <f>IF(Table121413[[#This Row],[stimulus]]=H247, 1, 0)</f>
        <v>1</v>
      </c>
      <c r="M246" s="66">
        <f t="shared" si="6"/>
        <v>1</v>
      </c>
      <c r="N246" s="66">
        <f t="shared" si="7"/>
        <v>0</v>
      </c>
    </row>
    <row r="247" spans="1:14" x14ac:dyDescent="0.3">
      <c r="A247" s="59">
        <v>1</v>
      </c>
      <c r="B247" s="59">
        <v>3</v>
      </c>
      <c r="C247" s="63">
        <v>246</v>
      </c>
      <c r="D247" s="69">
        <v>2</v>
      </c>
      <c r="E247" s="69" t="s">
        <v>80</v>
      </c>
      <c r="F247" s="70" t="s">
        <v>40</v>
      </c>
      <c r="G247" s="71" t="s">
        <v>10</v>
      </c>
      <c r="H247" s="71" t="s">
        <v>47</v>
      </c>
      <c r="I247" s="66"/>
      <c r="J247" s="66" t="s">
        <v>150</v>
      </c>
      <c r="K247" s="57">
        <f>IF(Table121413[[#This Row],[modality]]=E246,1,0)</f>
        <v>0</v>
      </c>
      <c r="L247" s="66">
        <f>IF(Table121413[[#This Row],[stimulus]]=H248, 1, 0)</f>
        <v>0</v>
      </c>
      <c r="M247" s="66">
        <f t="shared" si="6"/>
        <v>0</v>
      </c>
      <c r="N247" s="66">
        <f t="shared" si="7"/>
        <v>0</v>
      </c>
    </row>
    <row r="248" spans="1:14" x14ac:dyDescent="0.3">
      <c r="A248" s="58">
        <v>2</v>
      </c>
      <c r="B248" s="59">
        <v>3</v>
      </c>
      <c r="C248" s="63">
        <v>247</v>
      </c>
      <c r="D248" s="78">
        <v>2</v>
      </c>
      <c r="E248" s="78" t="s">
        <v>80</v>
      </c>
      <c r="F248" s="78" t="s">
        <v>29</v>
      </c>
      <c r="G248" s="58" t="s">
        <v>42</v>
      </c>
      <c r="H248" s="58" t="s">
        <v>49</v>
      </c>
      <c r="I248" s="66"/>
      <c r="J248" s="66" t="s">
        <v>150</v>
      </c>
      <c r="K248" s="57">
        <f>IF(Table121413[[#This Row],[modality]]=E247,1,0)</f>
        <v>1</v>
      </c>
      <c r="L248" s="66">
        <f>IF(Table121413[[#This Row],[stimulus]]=H249, 1, 0)</f>
        <v>0</v>
      </c>
      <c r="M248" s="66">
        <f t="shared" si="6"/>
        <v>1</v>
      </c>
      <c r="N248" s="66">
        <f t="shared" si="7"/>
        <v>0</v>
      </c>
    </row>
    <row r="249" spans="1:14" x14ac:dyDescent="0.3">
      <c r="A249" s="58">
        <v>2</v>
      </c>
      <c r="B249" s="59">
        <v>3</v>
      </c>
      <c r="C249" s="63">
        <v>248</v>
      </c>
      <c r="D249" s="76">
        <v>2</v>
      </c>
      <c r="E249" s="76" t="s">
        <v>80</v>
      </c>
      <c r="F249" s="76" t="s">
        <v>29</v>
      </c>
      <c r="G249" s="77" t="s">
        <v>42</v>
      </c>
      <c r="H249" s="77" t="s">
        <v>46</v>
      </c>
      <c r="I249" s="66"/>
      <c r="J249" s="66" t="s">
        <v>151</v>
      </c>
      <c r="K249" s="57">
        <f>IF(Table121413[[#This Row],[modality]]=E248,1,0)</f>
        <v>1</v>
      </c>
      <c r="L249" s="66">
        <f>IF(Table121413[[#This Row],[stimulus]]=H250, 1, 0)</f>
        <v>0</v>
      </c>
      <c r="M249" s="66">
        <f t="shared" si="6"/>
        <v>0</v>
      </c>
      <c r="N249" s="66">
        <f t="shared" si="7"/>
        <v>1</v>
      </c>
    </row>
    <row r="250" spans="1:14" x14ac:dyDescent="0.3">
      <c r="A250" s="58">
        <v>2</v>
      </c>
      <c r="B250" s="59">
        <v>3</v>
      </c>
      <c r="C250" s="63">
        <v>249</v>
      </c>
      <c r="D250" s="78">
        <v>1</v>
      </c>
      <c r="E250" s="78" t="s">
        <v>81</v>
      </c>
      <c r="F250" s="78" t="s">
        <v>29</v>
      </c>
      <c r="G250" s="71" t="s">
        <v>42</v>
      </c>
      <c r="H250" s="71" t="s">
        <v>45</v>
      </c>
      <c r="I250" s="66"/>
      <c r="J250" s="66" t="s">
        <v>150</v>
      </c>
      <c r="K250" s="57">
        <f>IF(Table121413[[#This Row],[modality]]=E249,1,0)</f>
        <v>0</v>
      </c>
      <c r="L250" s="66">
        <f>IF(Table121413[[#This Row],[stimulus]]=H251, 1, 0)</f>
        <v>0</v>
      </c>
      <c r="M250" s="66">
        <f t="shared" si="6"/>
        <v>0</v>
      </c>
      <c r="N250" s="66">
        <f t="shared" si="7"/>
        <v>1</v>
      </c>
    </row>
    <row r="251" spans="1:14" x14ac:dyDescent="0.3">
      <c r="A251" s="58">
        <v>2</v>
      </c>
      <c r="B251" s="59">
        <v>3</v>
      </c>
      <c r="C251" s="63">
        <v>250</v>
      </c>
      <c r="D251" s="57">
        <v>1</v>
      </c>
      <c r="E251" s="65" t="s">
        <v>81</v>
      </c>
      <c r="F251" s="65" t="s">
        <v>0</v>
      </c>
      <c r="G251" s="58" t="s">
        <v>41</v>
      </c>
      <c r="H251" s="58" t="s">
        <v>52</v>
      </c>
      <c r="I251" s="66"/>
      <c r="J251" s="66" t="s">
        <v>151</v>
      </c>
      <c r="K251" s="57">
        <f>IF(Table121413[[#This Row],[modality]]=E250,1,0)</f>
        <v>1</v>
      </c>
      <c r="L251" s="66">
        <f>IF(Table121413[[#This Row],[stimulus]]=H252, 1, 0)</f>
        <v>1</v>
      </c>
      <c r="M251" s="66">
        <f t="shared" si="6"/>
        <v>0</v>
      </c>
      <c r="N251" s="66">
        <f t="shared" si="7"/>
        <v>1</v>
      </c>
    </row>
    <row r="252" spans="1:14" x14ac:dyDescent="0.3">
      <c r="A252" s="58">
        <v>2</v>
      </c>
      <c r="B252" s="59">
        <v>3</v>
      </c>
      <c r="C252" s="63">
        <v>251</v>
      </c>
      <c r="D252" s="67">
        <v>1</v>
      </c>
      <c r="E252" s="68" t="s">
        <v>81</v>
      </c>
      <c r="F252" s="68" t="s">
        <v>40</v>
      </c>
      <c r="G252" s="47" t="s">
        <v>9</v>
      </c>
      <c r="H252" s="47" t="s">
        <v>52</v>
      </c>
      <c r="I252" s="66"/>
      <c r="J252" s="66" t="s">
        <v>150</v>
      </c>
      <c r="K252" s="57">
        <f>IF(Table121413[[#This Row],[modality]]=E251,1,0)</f>
        <v>1</v>
      </c>
      <c r="L252" s="66">
        <f>IF(Table121413[[#This Row],[stimulus]]=H253, 1, 0)</f>
        <v>0</v>
      </c>
      <c r="M252" s="66">
        <f t="shared" si="6"/>
        <v>0</v>
      </c>
      <c r="N252" s="66">
        <f t="shared" si="7"/>
        <v>0</v>
      </c>
    </row>
    <row r="253" spans="1:14" x14ac:dyDescent="0.3">
      <c r="A253" s="58">
        <v>2</v>
      </c>
      <c r="B253" s="59">
        <v>3</v>
      </c>
      <c r="C253" s="63">
        <v>252</v>
      </c>
      <c r="D253" s="78">
        <v>2</v>
      </c>
      <c r="E253" s="78" t="s">
        <v>80</v>
      </c>
      <c r="F253" s="78" t="s">
        <v>29</v>
      </c>
      <c r="G253" s="47" t="s">
        <v>42</v>
      </c>
      <c r="H253" s="47" t="s">
        <v>48</v>
      </c>
      <c r="I253" s="66"/>
      <c r="J253" s="66" t="s">
        <v>150</v>
      </c>
      <c r="K253" s="57">
        <f>IF(Table121413[[#This Row],[modality]]=E252,1,0)</f>
        <v>0</v>
      </c>
      <c r="L253" s="66">
        <f>IF(Table121413[[#This Row],[stimulus]]=H254, 1, 0)</f>
        <v>0</v>
      </c>
      <c r="M253" s="66">
        <f t="shared" si="6"/>
        <v>1</v>
      </c>
      <c r="N253" s="66">
        <f t="shared" si="7"/>
        <v>0</v>
      </c>
    </row>
    <row r="254" spans="1:14" x14ac:dyDescent="0.3">
      <c r="A254" s="58">
        <v>2</v>
      </c>
      <c r="B254" s="59">
        <v>3</v>
      </c>
      <c r="C254" s="63">
        <v>253</v>
      </c>
      <c r="D254" s="69">
        <v>1</v>
      </c>
      <c r="E254" s="69" t="s">
        <v>81</v>
      </c>
      <c r="F254" s="70" t="s">
        <v>0</v>
      </c>
      <c r="G254" s="71" t="s">
        <v>41</v>
      </c>
      <c r="H254" s="71" t="s">
        <v>53</v>
      </c>
      <c r="I254" s="66"/>
      <c r="J254" s="66" t="s">
        <v>151</v>
      </c>
      <c r="K254" s="57">
        <f>IF(Table121413[[#This Row],[modality]]=E253,1,0)</f>
        <v>0</v>
      </c>
      <c r="L254" s="66">
        <f>IF(Table121413[[#This Row],[stimulus]]=H255, 1, 0)</f>
        <v>1</v>
      </c>
      <c r="M254" s="66">
        <f t="shared" si="6"/>
        <v>0</v>
      </c>
      <c r="N254" s="66">
        <f t="shared" si="7"/>
        <v>1</v>
      </c>
    </row>
    <row r="255" spans="1:14" x14ac:dyDescent="0.3">
      <c r="A255" s="58">
        <v>2</v>
      </c>
      <c r="B255" s="59">
        <v>3</v>
      </c>
      <c r="C255" s="63">
        <v>254</v>
      </c>
      <c r="D255" s="67">
        <v>1</v>
      </c>
      <c r="E255" s="67" t="s">
        <v>81</v>
      </c>
      <c r="F255" s="68" t="s">
        <v>40</v>
      </c>
      <c r="G255" s="47" t="s">
        <v>9</v>
      </c>
      <c r="H255" s="47" t="s">
        <v>53</v>
      </c>
      <c r="I255" s="66"/>
      <c r="J255" s="66" t="s">
        <v>150</v>
      </c>
      <c r="K255" s="57">
        <f>IF(Table121413[[#This Row],[modality]]=E254,1,0)</f>
        <v>1</v>
      </c>
      <c r="L255" s="66">
        <f>IF(Table121413[[#This Row],[stimulus]]=H256, 1, 0)</f>
        <v>0</v>
      </c>
      <c r="M255" s="66">
        <f t="shared" si="6"/>
        <v>0</v>
      </c>
      <c r="N255" s="66">
        <f t="shared" si="7"/>
        <v>0</v>
      </c>
    </row>
    <row r="256" spans="1:14" x14ac:dyDescent="0.3">
      <c r="A256" s="58">
        <v>2</v>
      </c>
      <c r="B256" s="59">
        <v>3</v>
      </c>
      <c r="C256" s="63">
        <v>255</v>
      </c>
      <c r="D256" s="69">
        <v>1</v>
      </c>
      <c r="E256" s="69" t="s">
        <v>81</v>
      </c>
      <c r="F256" s="70" t="s">
        <v>0</v>
      </c>
      <c r="G256" s="71" t="s">
        <v>41</v>
      </c>
      <c r="H256" s="71" t="s">
        <v>55</v>
      </c>
      <c r="I256" s="66"/>
      <c r="J256" s="66" t="s">
        <v>151</v>
      </c>
      <c r="K256" s="57">
        <f>IF(Table121413[[#This Row],[modality]]=E255,1,0)</f>
        <v>1</v>
      </c>
      <c r="L256" s="66">
        <f>IF(Table121413[[#This Row],[stimulus]]=H257, 1, 0)</f>
        <v>1</v>
      </c>
      <c r="M256" s="66">
        <f t="shared" si="6"/>
        <v>1</v>
      </c>
      <c r="N256" s="66">
        <f t="shared" si="7"/>
        <v>0</v>
      </c>
    </row>
    <row r="257" spans="1:14" x14ac:dyDescent="0.3">
      <c r="A257" s="58">
        <v>2</v>
      </c>
      <c r="B257" s="59">
        <v>3</v>
      </c>
      <c r="C257" s="63">
        <v>256</v>
      </c>
      <c r="D257" s="67">
        <v>2</v>
      </c>
      <c r="E257" s="67" t="s">
        <v>80</v>
      </c>
      <c r="F257" s="68" t="s">
        <v>40</v>
      </c>
      <c r="G257" s="47" t="s">
        <v>10</v>
      </c>
      <c r="H257" s="47" t="s">
        <v>55</v>
      </c>
      <c r="I257" s="66"/>
      <c r="J257" s="66" t="s">
        <v>150</v>
      </c>
      <c r="K257" s="57">
        <f>IF(Table121413[[#This Row],[modality]]=E256,1,0)</f>
        <v>0</v>
      </c>
      <c r="L257" s="66">
        <f>IF(Table121413[[#This Row],[stimulus]]=H258, 1, 0)</f>
        <v>0</v>
      </c>
      <c r="M257" s="66">
        <f t="shared" si="6"/>
        <v>0</v>
      </c>
      <c r="N257" s="66">
        <f t="shared" si="7"/>
        <v>0</v>
      </c>
    </row>
    <row r="258" spans="1:14" x14ac:dyDescent="0.3">
      <c r="A258" s="58">
        <v>2</v>
      </c>
      <c r="B258" s="59">
        <v>3</v>
      </c>
      <c r="C258" s="63">
        <v>257</v>
      </c>
      <c r="D258" s="78">
        <v>2</v>
      </c>
      <c r="E258" s="78" t="s">
        <v>80</v>
      </c>
      <c r="F258" s="78" t="s">
        <v>29</v>
      </c>
      <c r="G258" s="71" t="s">
        <v>42</v>
      </c>
      <c r="H258" s="71" t="s">
        <v>50</v>
      </c>
      <c r="I258" s="66"/>
      <c r="J258" s="66" t="s">
        <v>150</v>
      </c>
      <c r="K258" s="57">
        <f>IF(Table121413[[#This Row],[modality]]=E257,1,0)</f>
        <v>1</v>
      </c>
      <c r="L258" s="66">
        <f>IF(Table121413[[#This Row],[stimulus]]=H259, 1, 0)</f>
        <v>0</v>
      </c>
      <c r="M258" s="66">
        <f t="shared" si="6"/>
        <v>1</v>
      </c>
      <c r="N258" s="66">
        <f t="shared" si="7"/>
        <v>0</v>
      </c>
    </row>
    <row r="259" spans="1:14" x14ac:dyDescent="0.3">
      <c r="A259" s="58">
        <v>2</v>
      </c>
      <c r="B259" s="59">
        <v>3</v>
      </c>
      <c r="C259" s="63">
        <v>258</v>
      </c>
      <c r="D259" s="67">
        <v>2</v>
      </c>
      <c r="E259" s="67" t="s">
        <v>80</v>
      </c>
      <c r="F259" s="68" t="s">
        <v>0</v>
      </c>
      <c r="G259" s="47" t="s">
        <v>41</v>
      </c>
      <c r="H259" s="47" t="s">
        <v>54</v>
      </c>
      <c r="I259" s="66"/>
      <c r="J259" s="66" t="s">
        <v>151</v>
      </c>
      <c r="K259" s="57">
        <f>IF(Table121413[[#This Row],[modality]]=E258,1,0)</f>
        <v>1</v>
      </c>
      <c r="L259" s="66">
        <f>IF(Table121413[[#This Row],[stimulus]]=H260, 1, 0)</f>
        <v>1</v>
      </c>
      <c r="M259" s="66">
        <f t="shared" ref="M259:M323" si="8">IF(F258="T",1,0)</f>
        <v>0</v>
      </c>
      <c r="N259" s="66">
        <f t="shared" ref="N259:N323" si="9">IF(F258="F",1,0)</f>
        <v>1</v>
      </c>
    </row>
    <row r="260" spans="1:14" x14ac:dyDescent="0.3">
      <c r="A260" s="58">
        <v>2</v>
      </c>
      <c r="B260" s="59">
        <v>3</v>
      </c>
      <c r="C260" s="63">
        <v>259</v>
      </c>
      <c r="D260" s="69">
        <v>1</v>
      </c>
      <c r="E260" s="69" t="s">
        <v>81</v>
      </c>
      <c r="F260" s="70" t="s">
        <v>40</v>
      </c>
      <c r="G260" s="71" t="s">
        <v>10</v>
      </c>
      <c r="H260" s="71" t="s">
        <v>54</v>
      </c>
      <c r="I260" s="66"/>
      <c r="J260" s="66" t="s">
        <v>150</v>
      </c>
      <c r="K260" s="57">
        <f>IF(Table121413[[#This Row],[modality]]=E259,1,0)</f>
        <v>0</v>
      </c>
      <c r="L260" s="66">
        <f>IF(Table121413[[#This Row],[stimulus]]=H261, 1, 0)</f>
        <v>0</v>
      </c>
      <c r="M260" s="66">
        <f t="shared" si="8"/>
        <v>0</v>
      </c>
      <c r="N260" s="66">
        <f t="shared" si="9"/>
        <v>0</v>
      </c>
    </row>
    <row r="261" spans="1:14" x14ac:dyDescent="0.3">
      <c r="A261" s="58">
        <v>2</v>
      </c>
      <c r="B261" s="59">
        <v>3</v>
      </c>
      <c r="C261" s="63">
        <v>260</v>
      </c>
      <c r="D261" s="78">
        <v>1</v>
      </c>
      <c r="E261" s="78" t="s">
        <v>81</v>
      </c>
      <c r="F261" s="78" t="s">
        <v>29</v>
      </c>
      <c r="G261" s="47" t="s">
        <v>42</v>
      </c>
      <c r="H261" s="47" t="s">
        <v>43</v>
      </c>
      <c r="I261" s="66"/>
      <c r="J261" s="66" t="s">
        <v>150</v>
      </c>
      <c r="K261" s="57">
        <f>IF(Table121413[[#This Row],[modality]]=E260,1,0)</f>
        <v>1</v>
      </c>
      <c r="L261" s="66">
        <f>IF(Table121413[[#This Row],[stimulus]]=H262, 1, 0)</f>
        <v>0</v>
      </c>
      <c r="M261" s="66">
        <f t="shared" si="8"/>
        <v>1</v>
      </c>
      <c r="N261" s="66">
        <f t="shared" si="9"/>
        <v>0</v>
      </c>
    </row>
    <row r="262" spans="1:14" x14ac:dyDescent="0.3">
      <c r="A262" s="58">
        <v>2</v>
      </c>
      <c r="B262" s="59">
        <v>3</v>
      </c>
      <c r="C262" s="63">
        <v>261</v>
      </c>
      <c r="D262" s="67">
        <v>1</v>
      </c>
      <c r="E262" s="67" t="s">
        <v>81</v>
      </c>
      <c r="F262" s="68" t="s">
        <v>0</v>
      </c>
      <c r="G262" s="47" t="s">
        <v>41</v>
      </c>
      <c r="H262" s="47" t="s">
        <v>51</v>
      </c>
      <c r="I262" s="66"/>
      <c r="J262" s="66" t="s">
        <v>151</v>
      </c>
      <c r="K262" s="57">
        <f>IF(Table121413[[#This Row],[modality]]=E261,1,0)</f>
        <v>1</v>
      </c>
      <c r="L262" s="66">
        <f>IF(Table121413[[#This Row],[stimulus]]=H263, 1, 0)</f>
        <v>1</v>
      </c>
      <c r="M262" s="66">
        <f t="shared" si="8"/>
        <v>0</v>
      </c>
      <c r="N262" s="66">
        <f t="shared" si="9"/>
        <v>1</v>
      </c>
    </row>
    <row r="263" spans="1:14" x14ac:dyDescent="0.3">
      <c r="A263" s="58">
        <v>2</v>
      </c>
      <c r="B263" s="59">
        <v>3</v>
      </c>
      <c r="C263" s="63">
        <v>262</v>
      </c>
      <c r="D263" s="57">
        <v>2</v>
      </c>
      <c r="E263" s="57" t="s">
        <v>80</v>
      </c>
      <c r="F263" s="65" t="s">
        <v>40</v>
      </c>
      <c r="G263" s="58" t="s">
        <v>10</v>
      </c>
      <c r="H263" s="58" t="s">
        <v>51</v>
      </c>
      <c r="I263" s="66"/>
      <c r="J263" s="66" t="s">
        <v>150</v>
      </c>
      <c r="K263" s="57">
        <f>IF(Table121413[[#This Row],[modality]]=E262,1,0)</f>
        <v>0</v>
      </c>
      <c r="L263" s="66">
        <f>IF(Table121413[[#This Row],[stimulus]]=H264, 1, 0)</f>
        <v>0</v>
      </c>
      <c r="M263" s="66">
        <f t="shared" si="8"/>
        <v>0</v>
      </c>
      <c r="N263" s="66">
        <f t="shared" si="9"/>
        <v>0</v>
      </c>
    </row>
    <row r="264" spans="1:14" x14ac:dyDescent="0.3">
      <c r="A264" s="58">
        <v>2</v>
      </c>
      <c r="B264" s="59">
        <v>3</v>
      </c>
      <c r="C264" s="63">
        <v>263</v>
      </c>
      <c r="D264" s="78">
        <v>1</v>
      </c>
      <c r="E264" s="78" t="s">
        <v>81</v>
      </c>
      <c r="F264" s="78" t="s">
        <v>29</v>
      </c>
      <c r="G264" s="71" t="s">
        <v>42</v>
      </c>
      <c r="H264" s="71" t="s">
        <v>46</v>
      </c>
      <c r="I264" s="66"/>
      <c r="J264" s="66" t="s">
        <v>150</v>
      </c>
      <c r="K264" s="57">
        <f>IF(Table121413[[#This Row],[modality]]=E263,1,0)</f>
        <v>0</v>
      </c>
      <c r="L264" s="66">
        <f>IF(Table121413[[#This Row],[stimulus]]=H265, 1, 0)</f>
        <v>0</v>
      </c>
      <c r="M264" s="66">
        <f t="shared" si="8"/>
        <v>1</v>
      </c>
      <c r="N264" s="66">
        <f t="shared" si="9"/>
        <v>0</v>
      </c>
    </row>
    <row r="265" spans="1:14" x14ac:dyDescent="0.3">
      <c r="A265" s="58">
        <v>2</v>
      </c>
      <c r="B265" s="59">
        <v>3</v>
      </c>
      <c r="C265" s="63">
        <v>264</v>
      </c>
      <c r="D265" s="67">
        <v>2</v>
      </c>
      <c r="E265" s="67" t="s">
        <v>80</v>
      </c>
      <c r="F265" s="68" t="s">
        <v>0</v>
      </c>
      <c r="G265" s="47" t="s">
        <v>41</v>
      </c>
      <c r="H265" s="47" t="s">
        <v>57</v>
      </c>
      <c r="I265" s="66"/>
      <c r="J265" s="66" t="s">
        <v>151</v>
      </c>
      <c r="K265" s="57">
        <f>IF(Table121413[[#This Row],[modality]]=E264,1,0)</f>
        <v>0</v>
      </c>
      <c r="L265" s="66">
        <f>IF(Table121413[[#This Row],[stimulus]]=H266, 1, 0)</f>
        <v>1</v>
      </c>
      <c r="M265" s="66">
        <f t="shared" si="8"/>
        <v>0</v>
      </c>
      <c r="N265" s="66">
        <f t="shared" si="9"/>
        <v>1</v>
      </c>
    </row>
    <row r="266" spans="1:14" x14ac:dyDescent="0.3">
      <c r="A266" s="58">
        <v>2</v>
      </c>
      <c r="B266" s="59">
        <v>3</v>
      </c>
      <c r="C266" s="63">
        <v>265</v>
      </c>
      <c r="D266" s="69">
        <v>2</v>
      </c>
      <c r="E266" s="69" t="s">
        <v>80</v>
      </c>
      <c r="F266" s="70" t="s">
        <v>40</v>
      </c>
      <c r="G266" s="71" t="s">
        <v>9</v>
      </c>
      <c r="H266" s="71" t="s">
        <v>57</v>
      </c>
      <c r="I266" s="66"/>
      <c r="J266" s="66" t="s">
        <v>150</v>
      </c>
      <c r="K266" s="57">
        <f>IF(Table121413[[#This Row],[modality]]=E265,1,0)</f>
        <v>1</v>
      </c>
      <c r="L266" s="66">
        <f>IF(Table121413[[#This Row],[stimulus]]=H267, 1, 0)</f>
        <v>0</v>
      </c>
      <c r="M266" s="66">
        <f t="shared" si="8"/>
        <v>0</v>
      </c>
      <c r="N266" s="66">
        <f t="shared" si="9"/>
        <v>0</v>
      </c>
    </row>
    <row r="267" spans="1:14" x14ac:dyDescent="0.3">
      <c r="A267" s="58">
        <v>2</v>
      </c>
      <c r="B267" s="59">
        <v>3</v>
      </c>
      <c r="C267" s="63">
        <v>266</v>
      </c>
      <c r="D267" s="78">
        <v>1</v>
      </c>
      <c r="E267" s="78" t="s">
        <v>81</v>
      </c>
      <c r="F267" s="78" t="s">
        <v>29</v>
      </c>
      <c r="G267" s="47" t="s">
        <v>42</v>
      </c>
      <c r="H267" s="47" t="s">
        <v>44</v>
      </c>
      <c r="I267" s="66"/>
      <c r="J267" s="66" t="s">
        <v>150</v>
      </c>
      <c r="K267" s="57">
        <f>IF(Table121413[[#This Row],[modality]]=E266,1,0)</f>
        <v>0</v>
      </c>
      <c r="L267" s="66">
        <f>IF(Table121413[[#This Row],[stimulus]]=H268, 1, 0)</f>
        <v>0</v>
      </c>
      <c r="M267" s="66">
        <f t="shared" si="8"/>
        <v>1</v>
      </c>
      <c r="N267" s="66">
        <f t="shared" si="9"/>
        <v>0</v>
      </c>
    </row>
    <row r="268" spans="1:14" x14ac:dyDescent="0.3">
      <c r="A268" s="58">
        <v>2</v>
      </c>
      <c r="B268" s="59">
        <v>3</v>
      </c>
      <c r="C268" s="63">
        <v>267</v>
      </c>
      <c r="D268" s="95">
        <v>1</v>
      </c>
      <c r="E268" s="95" t="s">
        <v>81</v>
      </c>
      <c r="F268" s="95" t="s">
        <v>29</v>
      </c>
      <c r="G268" s="90" t="s">
        <v>42</v>
      </c>
      <c r="H268" s="90" t="s">
        <v>48</v>
      </c>
      <c r="I268" s="66"/>
      <c r="J268" s="66" t="s">
        <v>151</v>
      </c>
      <c r="K268" s="57">
        <f>IF(Table121413[[#This Row],[modality]]=E267,1,0)</f>
        <v>1</v>
      </c>
      <c r="L268" s="66">
        <f>IF(Table121413[[#This Row],[stimulus]]=H269, 1, 0)</f>
        <v>0</v>
      </c>
      <c r="M268" s="66">
        <f t="shared" si="8"/>
        <v>0</v>
      </c>
      <c r="N268" s="66">
        <f t="shared" si="9"/>
        <v>1</v>
      </c>
    </row>
    <row r="269" spans="1:14" x14ac:dyDescent="0.3">
      <c r="A269" s="58">
        <v>2</v>
      </c>
      <c r="B269" s="59">
        <v>3</v>
      </c>
      <c r="C269" s="63">
        <v>268</v>
      </c>
      <c r="D269" s="69">
        <v>2</v>
      </c>
      <c r="E269" s="69" t="s">
        <v>80</v>
      </c>
      <c r="F269" s="70" t="s">
        <v>0</v>
      </c>
      <c r="G269" s="71" t="s">
        <v>41</v>
      </c>
      <c r="H269" s="71" t="s">
        <v>58</v>
      </c>
      <c r="I269" s="66"/>
      <c r="J269" s="66" t="s">
        <v>151</v>
      </c>
      <c r="K269" s="57">
        <f>IF(Table121413[[#This Row],[modality]]=E268,1,0)</f>
        <v>0</v>
      </c>
      <c r="L269" s="66">
        <f>IF(Table121413[[#This Row],[stimulus]]=H270, 1, 0)</f>
        <v>1</v>
      </c>
      <c r="M269" s="66">
        <f t="shared" si="8"/>
        <v>0</v>
      </c>
      <c r="N269" s="66">
        <f t="shared" si="9"/>
        <v>1</v>
      </c>
    </row>
    <row r="270" spans="1:14" x14ac:dyDescent="0.3">
      <c r="A270" s="58">
        <v>2</v>
      </c>
      <c r="B270" s="59">
        <v>3</v>
      </c>
      <c r="C270" s="63">
        <v>269</v>
      </c>
      <c r="D270" s="67">
        <v>2</v>
      </c>
      <c r="E270" s="67" t="s">
        <v>80</v>
      </c>
      <c r="F270" s="68" t="s">
        <v>40</v>
      </c>
      <c r="G270" s="47" t="s">
        <v>9</v>
      </c>
      <c r="H270" s="47" t="s">
        <v>58</v>
      </c>
      <c r="I270" s="66"/>
      <c r="J270" s="66" t="s">
        <v>150</v>
      </c>
      <c r="K270" s="57">
        <f>IF(Table121413[[#This Row],[modality]]=E269,1,0)</f>
        <v>1</v>
      </c>
      <c r="L270" s="66">
        <f>IF(Table121413[[#This Row],[stimulus]]=H271, 1, 0)</f>
        <v>0</v>
      </c>
      <c r="M270" s="66">
        <f t="shared" si="8"/>
        <v>0</v>
      </c>
      <c r="N270" s="66">
        <f t="shared" si="9"/>
        <v>0</v>
      </c>
    </row>
    <row r="271" spans="1:14" x14ac:dyDescent="0.3">
      <c r="A271" s="58">
        <v>2</v>
      </c>
      <c r="B271" s="59">
        <v>3</v>
      </c>
      <c r="C271" s="63">
        <v>270</v>
      </c>
      <c r="D271" s="78">
        <v>2</v>
      </c>
      <c r="E271" s="78" t="s">
        <v>80</v>
      </c>
      <c r="F271" s="78" t="s">
        <v>29</v>
      </c>
      <c r="G271" s="47" t="s">
        <v>42</v>
      </c>
      <c r="H271" s="47" t="s">
        <v>47</v>
      </c>
      <c r="I271" s="66"/>
      <c r="J271" s="66" t="s">
        <v>150</v>
      </c>
      <c r="K271" s="57">
        <f>IF(Table121413[[#This Row],[modality]]=E270,1,0)</f>
        <v>1</v>
      </c>
      <c r="L271" s="66">
        <f>IF(Table121413[[#This Row],[stimulus]]=H272, 1, 0)</f>
        <v>0</v>
      </c>
      <c r="M271" s="66">
        <f t="shared" si="8"/>
        <v>1</v>
      </c>
      <c r="N271" s="66">
        <f t="shared" si="9"/>
        <v>0</v>
      </c>
    </row>
    <row r="272" spans="1:14" x14ac:dyDescent="0.3">
      <c r="A272" s="58">
        <v>2</v>
      </c>
      <c r="B272" s="59">
        <v>3</v>
      </c>
      <c r="C272" s="63">
        <v>271</v>
      </c>
      <c r="D272" s="57">
        <v>2</v>
      </c>
      <c r="E272" s="57" t="s">
        <v>80</v>
      </c>
      <c r="F272" s="65" t="s">
        <v>0</v>
      </c>
      <c r="G272" s="58" t="s">
        <v>41</v>
      </c>
      <c r="H272" s="58" t="s">
        <v>56</v>
      </c>
      <c r="I272" s="66"/>
      <c r="J272" s="66" t="s">
        <v>151</v>
      </c>
      <c r="K272" s="57">
        <f>IF(Table121413[[#This Row],[modality]]=E271,1,0)</f>
        <v>1</v>
      </c>
      <c r="L272" s="66">
        <f>IF(Table121413[[#This Row],[stimulus]]=H273, 1, 0)</f>
        <v>1</v>
      </c>
      <c r="M272" s="66">
        <f t="shared" si="8"/>
        <v>0</v>
      </c>
      <c r="N272" s="66">
        <f t="shared" si="9"/>
        <v>1</v>
      </c>
    </row>
    <row r="273" spans="1:14" x14ac:dyDescent="0.3">
      <c r="A273" s="58">
        <v>2</v>
      </c>
      <c r="B273" s="59">
        <v>3</v>
      </c>
      <c r="C273" s="63">
        <v>272</v>
      </c>
      <c r="D273" s="67">
        <v>1</v>
      </c>
      <c r="E273" s="67" t="s">
        <v>81</v>
      </c>
      <c r="F273" s="68" t="s">
        <v>40</v>
      </c>
      <c r="G273" s="47" t="s">
        <v>10</v>
      </c>
      <c r="H273" s="47" t="s">
        <v>56</v>
      </c>
      <c r="I273" s="66"/>
      <c r="J273" s="66" t="s">
        <v>150</v>
      </c>
      <c r="K273" s="57">
        <f>IF(Table121413[[#This Row],[modality]]=E272,1,0)</f>
        <v>0</v>
      </c>
      <c r="L273" s="66">
        <f>IF(Table121413[[#This Row],[stimulus]]=H274, 1, 0)</f>
        <v>0</v>
      </c>
      <c r="M273" s="66">
        <f t="shared" si="8"/>
        <v>0</v>
      </c>
      <c r="N273" s="66">
        <f t="shared" si="9"/>
        <v>0</v>
      </c>
    </row>
    <row r="274" spans="1:14" x14ac:dyDescent="0.3">
      <c r="A274" s="59">
        <v>3</v>
      </c>
      <c r="B274" s="59">
        <v>3</v>
      </c>
      <c r="C274" s="63">
        <v>273</v>
      </c>
      <c r="D274" s="84">
        <v>1</v>
      </c>
      <c r="E274" s="84" t="s">
        <v>81</v>
      </c>
      <c r="F274" s="84" t="s">
        <v>29</v>
      </c>
      <c r="G274" s="47" t="s">
        <v>42</v>
      </c>
      <c r="H274" s="47" t="s">
        <v>52</v>
      </c>
      <c r="I274" s="66"/>
      <c r="J274" s="66" t="s">
        <v>150</v>
      </c>
      <c r="K274" s="57">
        <f>IF(Table121413[[#This Row],[modality]]=E273,1,0)</f>
        <v>1</v>
      </c>
      <c r="L274" s="66">
        <f>IF(Table121413[[#This Row],[stimulus]]=H275, 1, 0)</f>
        <v>0</v>
      </c>
      <c r="M274" s="66">
        <f t="shared" si="8"/>
        <v>1</v>
      </c>
      <c r="N274" s="66">
        <f t="shared" si="9"/>
        <v>0</v>
      </c>
    </row>
    <row r="275" spans="1:14" x14ac:dyDescent="0.3">
      <c r="A275" s="59">
        <v>3</v>
      </c>
      <c r="B275" s="59">
        <v>3</v>
      </c>
      <c r="C275" s="63">
        <v>274</v>
      </c>
      <c r="D275" s="67">
        <v>1</v>
      </c>
      <c r="E275" s="67" t="s">
        <v>81</v>
      </c>
      <c r="F275" s="68" t="s">
        <v>0</v>
      </c>
      <c r="G275" s="47" t="s">
        <v>41</v>
      </c>
      <c r="H275" s="47" t="s">
        <v>62</v>
      </c>
      <c r="I275" s="66"/>
      <c r="J275" s="66" t="s">
        <v>151</v>
      </c>
      <c r="K275" s="57">
        <f>IF(Table121413[[#This Row],[modality]]=E274,1,0)</f>
        <v>1</v>
      </c>
      <c r="L275" s="66">
        <f>IF(Table121413[[#This Row],[stimulus]]=H276, 1, 0)</f>
        <v>1</v>
      </c>
      <c r="M275" s="66">
        <f t="shared" si="8"/>
        <v>0</v>
      </c>
      <c r="N275" s="66">
        <f t="shared" si="9"/>
        <v>1</v>
      </c>
    </row>
    <row r="276" spans="1:14" x14ac:dyDescent="0.3">
      <c r="A276" s="59">
        <v>3</v>
      </c>
      <c r="B276" s="59">
        <v>3</v>
      </c>
      <c r="C276" s="63">
        <v>275</v>
      </c>
      <c r="D276" s="57">
        <v>2</v>
      </c>
      <c r="E276" s="57" t="s">
        <v>80</v>
      </c>
      <c r="F276" s="65" t="s">
        <v>40</v>
      </c>
      <c r="G276" s="58" t="s">
        <v>10</v>
      </c>
      <c r="H276" s="58" t="s">
        <v>62</v>
      </c>
      <c r="I276" s="66"/>
      <c r="J276" s="66" t="s">
        <v>150</v>
      </c>
      <c r="K276" s="57">
        <f>IF(Table121413[[#This Row],[modality]]=E275,1,0)</f>
        <v>0</v>
      </c>
      <c r="L276" s="66">
        <f>IF(Table121413[[#This Row],[stimulus]]=H277, 1, 0)</f>
        <v>0</v>
      </c>
      <c r="M276" s="66">
        <f t="shared" si="8"/>
        <v>0</v>
      </c>
      <c r="N276" s="66">
        <f t="shared" si="9"/>
        <v>0</v>
      </c>
    </row>
    <row r="277" spans="1:14" x14ac:dyDescent="0.3">
      <c r="A277" s="59">
        <v>3</v>
      </c>
      <c r="B277" s="59">
        <v>3</v>
      </c>
      <c r="C277" s="63">
        <v>276</v>
      </c>
      <c r="D277" s="84">
        <v>2</v>
      </c>
      <c r="E277" s="84" t="s">
        <v>80</v>
      </c>
      <c r="F277" s="84" t="s">
        <v>29</v>
      </c>
      <c r="G277" s="71" t="s">
        <v>42</v>
      </c>
      <c r="H277" s="71" t="s">
        <v>53</v>
      </c>
      <c r="I277" s="66"/>
      <c r="J277" s="66" t="s">
        <v>150</v>
      </c>
      <c r="K277" s="57">
        <f>IF(Table121413[[#This Row],[modality]]=E276,1,0)</f>
        <v>1</v>
      </c>
      <c r="L277" s="66">
        <f>IF(Table121413[[#This Row],[stimulus]]=H278, 1, 0)</f>
        <v>0</v>
      </c>
      <c r="M277" s="66">
        <f t="shared" si="8"/>
        <v>1</v>
      </c>
      <c r="N277" s="66">
        <f t="shared" si="9"/>
        <v>0</v>
      </c>
    </row>
    <row r="278" spans="1:14" x14ac:dyDescent="0.3">
      <c r="A278" s="59">
        <v>3</v>
      </c>
      <c r="B278" s="59">
        <v>3</v>
      </c>
      <c r="C278" s="63">
        <v>277</v>
      </c>
      <c r="D278" s="67">
        <v>2</v>
      </c>
      <c r="E278" s="67" t="s">
        <v>80</v>
      </c>
      <c r="F278" s="68" t="s">
        <v>0</v>
      </c>
      <c r="G278" s="47" t="s">
        <v>41</v>
      </c>
      <c r="H278" s="47" t="s">
        <v>65</v>
      </c>
      <c r="I278" s="66"/>
      <c r="J278" s="66" t="s">
        <v>151</v>
      </c>
      <c r="K278" s="57">
        <f>IF(Table121413[[#This Row],[modality]]=E277,1,0)</f>
        <v>1</v>
      </c>
      <c r="L278" s="66">
        <f>IF(Table121413[[#This Row],[stimulus]]=H279, 1, 0)</f>
        <v>1</v>
      </c>
      <c r="M278" s="66">
        <f t="shared" si="8"/>
        <v>0</v>
      </c>
      <c r="N278" s="66">
        <f t="shared" si="9"/>
        <v>1</v>
      </c>
    </row>
    <row r="279" spans="1:14" x14ac:dyDescent="0.3">
      <c r="A279" s="59">
        <v>3</v>
      </c>
      <c r="B279" s="59">
        <v>3</v>
      </c>
      <c r="C279" s="63">
        <v>278</v>
      </c>
      <c r="D279" s="69">
        <v>1</v>
      </c>
      <c r="E279" s="69" t="s">
        <v>81</v>
      </c>
      <c r="F279" s="70" t="s">
        <v>40</v>
      </c>
      <c r="G279" s="71" t="s">
        <v>10</v>
      </c>
      <c r="H279" s="71" t="s">
        <v>65</v>
      </c>
      <c r="I279" s="66"/>
      <c r="J279" s="66" t="s">
        <v>150</v>
      </c>
      <c r="K279" s="57">
        <f>IF(Table121413[[#This Row],[modality]]=E278,1,0)</f>
        <v>0</v>
      </c>
      <c r="L279" s="66">
        <f>IF(Table121413[[#This Row],[stimulus]]=H280, 1, 0)</f>
        <v>0</v>
      </c>
      <c r="M279" s="66">
        <f t="shared" si="8"/>
        <v>0</v>
      </c>
      <c r="N279" s="66">
        <f t="shared" si="9"/>
        <v>0</v>
      </c>
    </row>
    <row r="280" spans="1:14" x14ac:dyDescent="0.3">
      <c r="A280" s="59">
        <v>3</v>
      </c>
      <c r="B280" s="59">
        <v>3</v>
      </c>
      <c r="C280" s="63">
        <v>279</v>
      </c>
      <c r="D280" s="67">
        <v>1</v>
      </c>
      <c r="E280" s="67" t="s">
        <v>81</v>
      </c>
      <c r="F280" s="68" t="s">
        <v>0</v>
      </c>
      <c r="G280" s="47" t="s">
        <v>41</v>
      </c>
      <c r="H280" s="47" t="s">
        <v>60</v>
      </c>
      <c r="I280" s="66"/>
      <c r="J280" s="66" t="s">
        <v>151</v>
      </c>
      <c r="K280" s="57">
        <f>IF(Table121413[[#This Row],[modality]]=E279,1,0)</f>
        <v>1</v>
      </c>
      <c r="L280" s="66">
        <f>IF(Table121413[[#This Row],[stimulus]]=H281, 1, 0)</f>
        <v>1</v>
      </c>
      <c r="M280" s="66">
        <f t="shared" si="8"/>
        <v>1</v>
      </c>
      <c r="N280" s="66">
        <f t="shared" si="9"/>
        <v>0</v>
      </c>
    </row>
    <row r="281" spans="1:14" x14ac:dyDescent="0.3">
      <c r="A281" s="59">
        <v>3</v>
      </c>
      <c r="B281" s="59">
        <v>3</v>
      </c>
      <c r="C281" s="63">
        <v>280</v>
      </c>
      <c r="D281" s="69">
        <v>2</v>
      </c>
      <c r="E281" s="69" t="s">
        <v>80</v>
      </c>
      <c r="F281" s="70" t="s">
        <v>40</v>
      </c>
      <c r="G281" s="71" t="s">
        <v>10</v>
      </c>
      <c r="H281" s="71" t="s">
        <v>60</v>
      </c>
      <c r="I281" s="66"/>
      <c r="J281" s="66" t="s">
        <v>150</v>
      </c>
      <c r="K281" s="57">
        <f>IF(Table121413[[#This Row],[modality]]=E280,1,0)</f>
        <v>0</v>
      </c>
      <c r="L281" s="66">
        <f>IF(Table121413[[#This Row],[stimulus]]=H282, 1, 0)</f>
        <v>0</v>
      </c>
      <c r="M281" s="66">
        <f t="shared" si="8"/>
        <v>0</v>
      </c>
      <c r="N281" s="66">
        <f t="shared" si="9"/>
        <v>0</v>
      </c>
    </row>
    <row r="282" spans="1:14" x14ac:dyDescent="0.3">
      <c r="A282" s="59">
        <v>3</v>
      </c>
      <c r="B282" s="59">
        <v>3</v>
      </c>
      <c r="C282" s="63">
        <v>281</v>
      </c>
      <c r="D282" s="84">
        <v>1</v>
      </c>
      <c r="E282" s="84" t="s">
        <v>81</v>
      </c>
      <c r="F282" s="84" t="s">
        <v>29</v>
      </c>
      <c r="G282" s="47" t="s">
        <v>42</v>
      </c>
      <c r="H282" s="47" t="s">
        <v>51</v>
      </c>
      <c r="I282" s="66"/>
      <c r="J282" s="66" t="s">
        <v>150</v>
      </c>
      <c r="K282" s="57">
        <f>IF(Table121413[[#This Row],[modality]]=E281,1,0)</f>
        <v>0</v>
      </c>
      <c r="L282" s="66">
        <f>IF(Table121413[[#This Row],[stimulus]]=H283, 1, 0)</f>
        <v>0</v>
      </c>
      <c r="M282" s="66">
        <f t="shared" si="8"/>
        <v>1</v>
      </c>
      <c r="N282" s="66">
        <f t="shared" si="9"/>
        <v>0</v>
      </c>
    </row>
    <row r="283" spans="1:14" x14ac:dyDescent="0.3">
      <c r="A283" s="59">
        <v>3</v>
      </c>
      <c r="B283" s="59">
        <v>3</v>
      </c>
      <c r="C283" s="63">
        <v>282</v>
      </c>
      <c r="D283" s="69">
        <v>2</v>
      </c>
      <c r="E283" s="69" t="s">
        <v>80</v>
      </c>
      <c r="F283" s="70" t="s">
        <v>0</v>
      </c>
      <c r="G283" s="71" t="s">
        <v>41</v>
      </c>
      <c r="H283" s="71" t="s">
        <v>64</v>
      </c>
      <c r="I283" s="66"/>
      <c r="J283" s="66" t="s">
        <v>151</v>
      </c>
      <c r="K283" s="57">
        <f>IF(Table121413[[#This Row],[modality]]=E282,1,0)</f>
        <v>0</v>
      </c>
      <c r="L283" s="66">
        <f>IF(Table121413[[#This Row],[stimulus]]=H284, 1, 0)</f>
        <v>1</v>
      </c>
      <c r="M283" s="66">
        <f t="shared" si="8"/>
        <v>0</v>
      </c>
      <c r="N283" s="66">
        <f t="shared" si="9"/>
        <v>1</v>
      </c>
    </row>
    <row r="284" spans="1:14" x14ac:dyDescent="0.3">
      <c r="A284" s="59">
        <v>3</v>
      </c>
      <c r="B284" s="59">
        <v>3</v>
      </c>
      <c r="C284" s="63">
        <v>283</v>
      </c>
      <c r="D284" s="67">
        <v>2</v>
      </c>
      <c r="E284" s="67" t="s">
        <v>80</v>
      </c>
      <c r="F284" s="68" t="s">
        <v>40</v>
      </c>
      <c r="G284" s="47" t="s">
        <v>9</v>
      </c>
      <c r="H284" s="47" t="s">
        <v>64</v>
      </c>
      <c r="I284" s="66"/>
      <c r="J284" s="66" t="s">
        <v>150</v>
      </c>
      <c r="K284" s="57">
        <f>IF(Table121413[[#This Row],[modality]]=E283,1,0)</f>
        <v>1</v>
      </c>
      <c r="L284" s="66">
        <f>IF(Table121413[[#This Row],[stimulus]]=H285, 1, 0)</f>
        <v>0</v>
      </c>
      <c r="M284" s="66">
        <f t="shared" si="8"/>
        <v>0</v>
      </c>
      <c r="N284" s="66">
        <f t="shared" si="9"/>
        <v>0</v>
      </c>
    </row>
    <row r="285" spans="1:14" x14ac:dyDescent="0.3">
      <c r="A285" s="59">
        <v>3</v>
      </c>
      <c r="B285" s="59">
        <v>3</v>
      </c>
      <c r="C285" s="63">
        <v>284</v>
      </c>
      <c r="D285" s="84">
        <v>1</v>
      </c>
      <c r="E285" s="84" t="s">
        <v>81</v>
      </c>
      <c r="F285" s="84" t="s">
        <v>29</v>
      </c>
      <c r="G285" s="71" t="s">
        <v>42</v>
      </c>
      <c r="H285" s="71" t="s">
        <v>57</v>
      </c>
      <c r="I285" s="66"/>
      <c r="J285" s="66" t="s">
        <v>150</v>
      </c>
      <c r="K285" s="57">
        <f>IF(Table121413[[#This Row],[modality]]=E284,1,0)</f>
        <v>0</v>
      </c>
      <c r="L285" s="66">
        <f>IF(Table121413[[#This Row],[stimulus]]=H286, 1, 0)</f>
        <v>0</v>
      </c>
      <c r="M285" s="66">
        <f t="shared" si="8"/>
        <v>1</v>
      </c>
      <c r="N285" s="66">
        <f t="shared" si="9"/>
        <v>0</v>
      </c>
    </row>
    <row r="286" spans="1:14" x14ac:dyDescent="0.3">
      <c r="A286" s="58">
        <v>3</v>
      </c>
      <c r="B286" s="59">
        <v>3</v>
      </c>
      <c r="C286" s="63">
        <v>285</v>
      </c>
      <c r="D286" s="96">
        <v>2</v>
      </c>
      <c r="E286" s="96" t="s">
        <v>80</v>
      </c>
      <c r="F286" s="96" t="s">
        <v>29</v>
      </c>
      <c r="G286" s="87" t="s">
        <v>42</v>
      </c>
      <c r="H286" s="87" t="s">
        <v>53</v>
      </c>
      <c r="I286" s="66"/>
      <c r="J286" s="66" t="s">
        <v>151</v>
      </c>
      <c r="K286" s="57">
        <f>IF(Table121413[[#This Row],[modality]]=E285,1,0)</f>
        <v>0</v>
      </c>
      <c r="L286" s="66">
        <f>IF(Table121413[[#This Row],[stimulus]]=H287, 1, 0)</f>
        <v>0</v>
      </c>
      <c r="M286" s="66">
        <f t="shared" si="8"/>
        <v>0</v>
      </c>
      <c r="N286" s="66">
        <f t="shared" si="9"/>
        <v>1</v>
      </c>
    </row>
    <row r="287" spans="1:14" x14ac:dyDescent="0.3">
      <c r="A287" s="58">
        <v>3</v>
      </c>
      <c r="B287" s="59">
        <v>3</v>
      </c>
      <c r="C287" s="63">
        <v>286</v>
      </c>
      <c r="D287" s="95">
        <v>1</v>
      </c>
      <c r="E287" s="95" t="s">
        <v>81</v>
      </c>
      <c r="F287" s="95" t="s">
        <v>29</v>
      </c>
      <c r="G287" s="90" t="s">
        <v>42</v>
      </c>
      <c r="H287" s="90" t="s">
        <v>58</v>
      </c>
      <c r="I287" s="66"/>
      <c r="J287" s="66" t="s">
        <v>151</v>
      </c>
      <c r="K287" s="57">
        <f>IF(Table121413[[#This Row],[modality]]=E286,1,0)</f>
        <v>0</v>
      </c>
      <c r="L287" s="66">
        <f>IF(Table121413[[#This Row],[stimulus]]=H288, 1, 0)</f>
        <v>0</v>
      </c>
      <c r="M287" s="66">
        <f t="shared" si="8"/>
        <v>0</v>
      </c>
      <c r="N287" s="66">
        <f t="shared" si="9"/>
        <v>1</v>
      </c>
    </row>
    <row r="288" spans="1:14" x14ac:dyDescent="0.3">
      <c r="A288" s="59">
        <v>3</v>
      </c>
      <c r="B288" s="59">
        <v>3</v>
      </c>
      <c r="C288" s="63">
        <v>287</v>
      </c>
      <c r="D288" s="67">
        <v>2</v>
      </c>
      <c r="E288" s="67" t="s">
        <v>80</v>
      </c>
      <c r="F288" s="68" t="s">
        <v>0</v>
      </c>
      <c r="G288" s="47" t="s">
        <v>41</v>
      </c>
      <c r="H288" s="47" t="s">
        <v>66</v>
      </c>
      <c r="I288" s="66"/>
      <c r="J288" s="66" t="s">
        <v>151</v>
      </c>
      <c r="K288" s="57">
        <f>IF(Table121413[[#This Row],[modality]]=E287,1,0)</f>
        <v>0</v>
      </c>
      <c r="L288" s="66">
        <f>IF(Table121413[[#This Row],[stimulus]]=H289, 1, 0)</f>
        <v>1</v>
      </c>
      <c r="M288" s="66">
        <f t="shared" si="8"/>
        <v>0</v>
      </c>
      <c r="N288" s="66">
        <f t="shared" si="9"/>
        <v>1</v>
      </c>
    </row>
    <row r="289" spans="1:14" x14ac:dyDescent="0.3">
      <c r="A289" s="59">
        <v>3</v>
      </c>
      <c r="B289" s="59">
        <v>3</v>
      </c>
      <c r="C289" s="63">
        <v>288</v>
      </c>
      <c r="D289" s="69">
        <v>2</v>
      </c>
      <c r="E289" s="69" t="s">
        <v>80</v>
      </c>
      <c r="F289" s="70" t="s">
        <v>40</v>
      </c>
      <c r="G289" s="71" t="s">
        <v>9</v>
      </c>
      <c r="H289" s="71" t="s">
        <v>66</v>
      </c>
      <c r="I289" s="66"/>
      <c r="J289" s="66" t="s">
        <v>150</v>
      </c>
      <c r="K289" s="57">
        <f>IF(Table121413[[#This Row],[modality]]=E288,1,0)</f>
        <v>1</v>
      </c>
      <c r="L289" s="66">
        <f>IF(Table121413[[#This Row],[stimulus]]=H290, 1, 0)</f>
        <v>0</v>
      </c>
      <c r="M289" s="66">
        <f t="shared" si="8"/>
        <v>0</v>
      </c>
      <c r="N289" s="66">
        <f t="shared" si="9"/>
        <v>0</v>
      </c>
    </row>
    <row r="290" spans="1:14" x14ac:dyDescent="0.3">
      <c r="A290" s="59">
        <v>3</v>
      </c>
      <c r="B290" s="59">
        <v>3</v>
      </c>
      <c r="C290" s="63">
        <v>289</v>
      </c>
      <c r="D290" s="67">
        <v>2</v>
      </c>
      <c r="E290" s="67" t="s">
        <v>80</v>
      </c>
      <c r="F290" s="68" t="s">
        <v>0</v>
      </c>
      <c r="G290" s="47" t="s">
        <v>41</v>
      </c>
      <c r="H290" s="47" t="s">
        <v>63</v>
      </c>
      <c r="I290" s="66"/>
      <c r="J290" s="66" t="s">
        <v>151</v>
      </c>
      <c r="K290" s="57">
        <f>IF(Table121413[[#This Row],[modality]]=E289,1,0)</f>
        <v>1</v>
      </c>
      <c r="L290" s="66">
        <f>IF(Table121413[[#This Row],[stimulus]]=H291, 1, 0)</f>
        <v>1</v>
      </c>
      <c r="M290" s="66">
        <f t="shared" si="8"/>
        <v>1</v>
      </c>
      <c r="N290" s="66">
        <f t="shared" si="9"/>
        <v>0</v>
      </c>
    </row>
    <row r="291" spans="1:14" x14ac:dyDescent="0.3">
      <c r="A291" s="59">
        <v>3</v>
      </c>
      <c r="B291" s="59">
        <v>3</v>
      </c>
      <c r="C291" s="63">
        <v>290</v>
      </c>
      <c r="D291" s="69">
        <v>1</v>
      </c>
      <c r="E291" s="69" t="s">
        <v>81</v>
      </c>
      <c r="F291" s="70" t="s">
        <v>40</v>
      </c>
      <c r="G291" s="71" t="s">
        <v>10</v>
      </c>
      <c r="H291" s="71" t="s">
        <v>63</v>
      </c>
      <c r="I291" s="66"/>
      <c r="J291" s="66" t="s">
        <v>150</v>
      </c>
      <c r="K291" s="57">
        <f>IF(Table121413[[#This Row],[modality]]=E290,1,0)</f>
        <v>0</v>
      </c>
      <c r="L291" s="66">
        <f>IF(Table121413[[#This Row],[stimulus]]=H292, 1, 0)</f>
        <v>0</v>
      </c>
      <c r="M291" s="66">
        <f t="shared" si="8"/>
        <v>0</v>
      </c>
      <c r="N291" s="66">
        <f t="shared" si="9"/>
        <v>0</v>
      </c>
    </row>
    <row r="292" spans="1:14" x14ac:dyDescent="0.3">
      <c r="A292" s="59">
        <v>3</v>
      </c>
      <c r="B292" s="59">
        <v>3</v>
      </c>
      <c r="C292" s="63">
        <v>291</v>
      </c>
      <c r="D292" s="84">
        <v>2</v>
      </c>
      <c r="E292" s="84" t="s">
        <v>80</v>
      </c>
      <c r="F292" s="84" t="s">
        <v>29</v>
      </c>
      <c r="G292" s="47" t="s">
        <v>42</v>
      </c>
      <c r="H292" s="47" t="s">
        <v>55</v>
      </c>
      <c r="I292" s="66"/>
      <c r="J292" s="66" t="s">
        <v>150</v>
      </c>
      <c r="K292" s="57">
        <f>IF(Table121413[[#This Row],[modality]]=E291,1,0)</f>
        <v>0</v>
      </c>
      <c r="L292" s="66">
        <f>IF(Table121413[[#This Row],[stimulus]]=H293, 1, 0)</f>
        <v>0</v>
      </c>
      <c r="M292" s="66">
        <f t="shared" si="8"/>
        <v>1</v>
      </c>
      <c r="N292" s="66">
        <f t="shared" si="9"/>
        <v>0</v>
      </c>
    </row>
    <row r="293" spans="1:14" x14ac:dyDescent="0.3">
      <c r="A293" s="59">
        <v>3</v>
      </c>
      <c r="B293" s="59">
        <v>3</v>
      </c>
      <c r="C293" s="63">
        <v>292</v>
      </c>
      <c r="D293" s="84">
        <v>1</v>
      </c>
      <c r="E293" s="84" t="s">
        <v>81</v>
      </c>
      <c r="F293" s="84" t="s">
        <v>29</v>
      </c>
      <c r="G293" s="71" t="s">
        <v>42</v>
      </c>
      <c r="H293" s="71" t="s">
        <v>54</v>
      </c>
      <c r="I293" s="66"/>
      <c r="J293" s="66" t="s">
        <v>151</v>
      </c>
      <c r="K293" s="57">
        <f>IF(Table121413[[#This Row],[modality]]=E292,1,0)</f>
        <v>0</v>
      </c>
      <c r="L293" s="66">
        <f>IF(Table121413[[#This Row],[stimulus]]=H294, 1, 0)</f>
        <v>0</v>
      </c>
      <c r="M293" s="66">
        <f t="shared" si="8"/>
        <v>0</v>
      </c>
      <c r="N293" s="66">
        <f t="shared" si="9"/>
        <v>1</v>
      </c>
    </row>
    <row r="294" spans="1:14" x14ac:dyDescent="0.3">
      <c r="A294" s="59">
        <v>3</v>
      </c>
      <c r="B294" s="59">
        <v>3</v>
      </c>
      <c r="C294" s="63">
        <v>293</v>
      </c>
      <c r="D294" s="57">
        <v>1</v>
      </c>
      <c r="E294" s="57" t="s">
        <v>81</v>
      </c>
      <c r="F294" s="65" t="s">
        <v>0</v>
      </c>
      <c r="G294" s="58" t="s">
        <v>41</v>
      </c>
      <c r="H294" s="58" t="s">
        <v>61</v>
      </c>
      <c r="I294" s="66"/>
      <c r="J294" s="66" t="s">
        <v>151</v>
      </c>
      <c r="K294" s="57">
        <f>IF(Table121413[[#This Row],[modality]]=E293,1,0)</f>
        <v>1</v>
      </c>
      <c r="L294" s="66">
        <f>IF(Table121413[[#This Row],[stimulus]]=H295, 1, 0)</f>
        <v>1</v>
      </c>
      <c r="M294" s="66">
        <f t="shared" si="8"/>
        <v>0</v>
      </c>
      <c r="N294" s="66">
        <f t="shared" si="9"/>
        <v>1</v>
      </c>
    </row>
    <row r="295" spans="1:14" x14ac:dyDescent="0.3">
      <c r="A295" s="59">
        <v>3</v>
      </c>
      <c r="B295" s="59">
        <v>3</v>
      </c>
      <c r="C295" s="63">
        <v>294</v>
      </c>
      <c r="D295" s="67">
        <v>1</v>
      </c>
      <c r="E295" s="67" t="s">
        <v>81</v>
      </c>
      <c r="F295" s="68" t="s">
        <v>40</v>
      </c>
      <c r="G295" s="47" t="s">
        <v>9</v>
      </c>
      <c r="H295" s="47" t="s">
        <v>61</v>
      </c>
      <c r="I295" s="66"/>
      <c r="J295" s="66" t="s">
        <v>150</v>
      </c>
      <c r="K295" s="57">
        <f>IF(Table121413[[#This Row],[modality]]=E294,1,0)</f>
        <v>1</v>
      </c>
      <c r="L295" s="66">
        <f>IF(Table121413[[#This Row],[stimulus]]=H296, 1, 0)</f>
        <v>0</v>
      </c>
      <c r="M295" s="66">
        <f t="shared" si="8"/>
        <v>0</v>
      </c>
      <c r="N295" s="66">
        <f t="shared" si="9"/>
        <v>0</v>
      </c>
    </row>
    <row r="296" spans="1:14" x14ac:dyDescent="0.3">
      <c r="A296" s="59">
        <v>3</v>
      </c>
      <c r="B296" s="59">
        <v>3</v>
      </c>
      <c r="C296" s="63">
        <v>295</v>
      </c>
      <c r="D296" s="84">
        <v>2</v>
      </c>
      <c r="E296" s="84" t="s">
        <v>80</v>
      </c>
      <c r="F296" s="84" t="s">
        <v>29</v>
      </c>
      <c r="G296" s="58" t="s">
        <v>42</v>
      </c>
      <c r="H296" s="58" t="s">
        <v>56</v>
      </c>
      <c r="I296" s="66"/>
      <c r="J296" s="66" t="s">
        <v>150</v>
      </c>
      <c r="K296" s="57">
        <f>IF(Table121413[[#This Row],[modality]]=E295,1,0)</f>
        <v>0</v>
      </c>
      <c r="L296" s="66">
        <f>IF(Table121413[[#This Row],[stimulus]]=H297, 1, 0)</f>
        <v>0</v>
      </c>
      <c r="M296" s="66">
        <f t="shared" si="8"/>
        <v>1</v>
      </c>
      <c r="N296" s="66">
        <f t="shared" si="9"/>
        <v>0</v>
      </c>
    </row>
    <row r="297" spans="1:14" x14ac:dyDescent="0.3">
      <c r="A297" s="59">
        <v>3</v>
      </c>
      <c r="B297" s="59">
        <v>3</v>
      </c>
      <c r="C297" s="63">
        <v>296</v>
      </c>
      <c r="D297" s="67">
        <v>1</v>
      </c>
      <c r="E297" s="67" t="s">
        <v>81</v>
      </c>
      <c r="F297" s="68" t="s">
        <v>0</v>
      </c>
      <c r="G297" s="47" t="s">
        <v>41</v>
      </c>
      <c r="H297" s="47" t="s">
        <v>59</v>
      </c>
      <c r="I297" s="66"/>
      <c r="J297" s="66" t="s">
        <v>151</v>
      </c>
      <c r="K297" s="57">
        <f>IF(Table121413[[#This Row],[modality]]=E296,1,0)</f>
        <v>0</v>
      </c>
      <c r="L297" s="66">
        <f>IF(Table121413[[#This Row],[stimulus]]=H298, 1, 0)</f>
        <v>1</v>
      </c>
      <c r="M297" s="66">
        <f t="shared" si="8"/>
        <v>0</v>
      </c>
      <c r="N297" s="66">
        <f t="shared" si="9"/>
        <v>1</v>
      </c>
    </row>
    <row r="298" spans="1:14" x14ac:dyDescent="0.3">
      <c r="A298" s="59">
        <v>3</v>
      </c>
      <c r="B298" s="59">
        <v>3</v>
      </c>
      <c r="C298" s="63">
        <v>297</v>
      </c>
      <c r="D298" s="57">
        <v>1</v>
      </c>
      <c r="E298" s="57" t="s">
        <v>81</v>
      </c>
      <c r="F298" s="65" t="s">
        <v>40</v>
      </c>
      <c r="G298" s="58" t="s">
        <v>9</v>
      </c>
      <c r="H298" s="58" t="s">
        <v>59</v>
      </c>
      <c r="I298" s="66"/>
      <c r="J298" s="66" t="s">
        <v>150</v>
      </c>
      <c r="K298" s="57">
        <f>IF(Table121413[[#This Row],[modality]]=E297,1,0)</f>
        <v>1</v>
      </c>
      <c r="L298" s="66">
        <f>IF(Table121413[[#This Row],[stimulus]]=H299, 1, 0)</f>
        <v>0</v>
      </c>
      <c r="M298" s="66">
        <f t="shared" si="8"/>
        <v>0</v>
      </c>
      <c r="N298" s="66">
        <f t="shared" si="9"/>
        <v>0</v>
      </c>
    </row>
    <row r="299" spans="1:14" x14ac:dyDescent="0.3">
      <c r="A299" s="59">
        <v>3</v>
      </c>
      <c r="B299" s="59">
        <v>3</v>
      </c>
      <c r="C299" s="63">
        <v>298</v>
      </c>
      <c r="D299" s="84">
        <v>2</v>
      </c>
      <c r="E299" s="84" t="s">
        <v>80</v>
      </c>
      <c r="F299" s="84" t="s">
        <v>29</v>
      </c>
      <c r="G299" s="47" t="s">
        <v>42</v>
      </c>
      <c r="H299" s="47" t="s">
        <v>58</v>
      </c>
      <c r="I299" s="66"/>
      <c r="J299" s="66" t="s">
        <v>150</v>
      </c>
      <c r="K299" s="57">
        <f>IF(Table121413[[#This Row],[modality]]=E298,1,0)</f>
        <v>0</v>
      </c>
      <c r="L299" s="66">
        <f>IF(Table121413[[#This Row],[stimulus]]=H300, 1, 0)</f>
        <v>0</v>
      </c>
      <c r="M299" s="66">
        <f t="shared" si="8"/>
        <v>1</v>
      </c>
      <c r="N299" s="66">
        <f t="shared" si="9"/>
        <v>0</v>
      </c>
    </row>
    <row r="300" spans="1:14" x14ac:dyDescent="0.3">
      <c r="A300" s="58">
        <v>4</v>
      </c>
      <c r="B300" s="59">
        <v>3</v>
      </c>
      <c r="C300" s="63">
        <v>299</v>
      </c>
      <c r="D300" s="57">
        <v>1</v>
      </c>
      <c r="E300" s="57" t="s">
        <v>81</v>
      </c>
      <c r="F300" s="65" t="s">
        <v>0</v>
      </c>
      <c r="G300" s="58" t="s">
        <v>41</v>
      </c>
      <c r="H300" s="58" t="s">
        <v>71</v>
      </c>
      <c r="I300" s="66"/>
      <c r="J300" s="66" t="s">
        <v>151</v>
      </c>
      <c r="K300" s="57">
        <f>IF(Table121413[[#This Row],[modality]]=E299,1,0)</f>
        <v>0</v>
      </c>
      <c r="L300" s="66">
        <f>IF(Table121413[[#This Row],[stimulus]]=H301, 1, 0)</f>
        <v>1</v>
      </c>
      <c r="M300" s="66">
        <f t="shared" si="8"/>
        <v>0</v>
      </c>
      <c r="N300" s="66">
        <f t="shared" si="9"/>
        <v>1</v>
      </c>
    </row>
    <row r="301" spans="1:14" x14ac:dyDescent="0.3">
      <c r="A301" s="58">
        <v>4</v>
      </c>
      <c r="B301" s="59">
        <v>3</v>
      </c>
      <c r="C301" s="63">
        <v>300</v>
      </c>
      <c r="D301" s="67">
        <v>1</v>
      </c>
      <c r="E301" s="67" t="s">
        <v>81</v>
      </c>
      <c r="F301" s="68" t="s">
        <v>40</v>
      </c>
      <c r="G301" s="47" t="s">
        <v>9</v>
      </c>
      <c r="H301" s="47" t="s">
        <v>71</v>
      </c>
      <c r="I301" s="66"/>
      <c r="J301" s="66" t="s">
        <v>150</v>
      </c>
      <c r="K301" s="57">
        <f>IF(Table121413[[#This Row],[modality]]=E300,1,0)</f>
        <v>1</v>
      </c>
      <c r="L301" s="66">
        <f>IF(Table121413[[#This Row],[stimulus]]=H302, 1, 0)</f>
        <v>0</v>
      </c>
      <c r="M301" s="66">
        <f t="shared" si="8"/>
        <v>0</v>
      </c>
      <c r="N301" s="66">
        <f t="shared" si="9"/>
        <v>0</v>
      </c>
    </row>
    <row r="302" spans="1:14" x14ac:dyDescent="0.3">
      <c r="A302" s="58">
        <v>4</v>
      </c>
      <c r="B302" s="59">
        <v>3</v>
      </c>
      <c r="C302" s="63">
        <v>301</v>
      </c>
      <c r="D302" s="91">
        <v>2</v>
      </c>
      <c r="E302" s="91" t="s">
        <v>80</v>
      </c>
      <c r="F302" s="91" t="s">
        <v>29</v>
      </c>
      <c r="G302" s="58" t="s">
        <v>42</v>
      </c>
      <c r="H302" s="58" t="s">
        <v>62</v>
      </c>
      <c r="I302" s="66"/>
      <c r="J302" s="66" t="s">
        <v>150</v>
      </c>
      <c r="K302" s="57">
        <f>IF(Table121413[[#This Row],[modality]]=E301,1,0)</f>
        <v>0</v>
      </c>
      <c r="L302" s="66">
        <f>IF(Table121413[[#This Row],[stimulus]]=H303, 1, 0)</f>
        <v>0</v>
      </c>
      <c r="M302" s="66">
        <f t="shared" si="8"/>
        <v>1</v>
      </c>
      <c r="N302" s="66">
        <f t="shared" si="9"/>
        <v>0</v>
      </c>
    </row>
    <row r="303" spans="1:14" x14ac:dyDescent="0.3">
      <c r="A303" s="58">
        <v>4</v>
      </c>
      <c r="B303" s="59">
        <v>3</v>
      </c>
      <c r="C303" s="63">
        <v>302</v>
      </c>
      <c r="D303" s="67">
        <v>1</v>
      </c>
      <c r="E303" s="67" t="s">
        <v>81</v>
      </c>
      <c r="F303" s="68" t="s">
        <v>0</v>
      </c>
      <c r="G303" s="47" t="s">
        <v>41</v>
      </c>
      <c r="H303" s="47" t="s">
        <v>69</v>
      </c>
      <c r="I303" s="66"/>
      <c r="J303" s="66" t="s">
        <v>151</v>
      </c>
      <c r="K303" s="57">
        <f>IF(Table121413[[#This Row],[modality]]=E302,1,0)</f>
        <v>0</v>
      </c>
      <c r="L303" s="66">
        <f>IF(Table121413[[#This Row],[stimulus]]=H304, 1, 0)</f>
        <v>1</v>
      </c>
      <c r="M303" s="66">
        <f t="shared" si="8"/>
        <v>0</v>
      </c>
      <c r="N303" s="66">
        <f t="shared" si="9"/>
        <v>1</v>
      </c>
    </row>
    <row r="304" spans="1:14" x14ac:dyDescent="0.3">
      <c r="A304" s="58">
        <v>4</v>
      </c>
      <c r="B304" s="59">
        <v>3</v>
      </c>
      <c r="C304" s="63">
        <v>303</v>
      </c>
      <c r="D304" s="57">
        <v>2</v>
      </c>
      <c r="E304" s="57" t="s">
        <v>80</v>
      </c>
      <c r="F304" s="65" t="s">
        <v>40</v>
      </c>
      <c r="G304" s="58" t="s">
        <v>10</v>
      </c>
      <c r="H304" s="58" t="s">
        <v>69</v>
      </c>
      <c r="I304" s="66"/>
      <c r="J304" s="66" t="s">
        <v>150</v>
      </c>
      <c r="K304" s="57">
        <f>IF(Table121413[[#This Row],[modality]]=E303,1,0)</f>
        <v>0</v>
      </c>
      <c r="L304" s="66">
        <f>IF(Table121413[[#This Row],[stimulus]]=H305, 1, 0)</f>
        <v>0</v>
      </c>
      <c r="M304" s="66">
        <f t="shared" si="8"/>
        <v>0</v>
      </c>
      <c r="N304" s="66">
        <f t="shared" si="9"/>
        <v>0</v>
      </c>
    </row>
    <row r="305" spans="1:14" x14ac:dyDescent="0.3">
      <c r="A305" s="58">
        <v>4</v>
      </c>
      <c r="B305" s="59">
        <v>3</v>
      </c>
      <c r="C305" s="63">
        <v>304</v>
      </c>
      <c r="D305" s="67">
        <v>2</v>
      </c>
      <c r="E305" s="67" t="s">
        <v>80</v>
      </c>
      <c r="F305" s="68" t="s">
        <v>0</v>
      </c>
      <c r="G305" s="47" t="s">
        <v>41</v>
      </c>
      <c r="H305" s="47" t="s">
        <v>73</v>
      </c>
      <c r="I305" s="66"/>
      <c r="J305" s="66" t="s">
        <v>151</v>
      </c>
      <c r="K305" s="57">
        <f>IF(Table121413[[#This Row],[modality]]=E304,1,0)</f>
        <v>1</v>
      </c>
      <c r="L305" s="66">
        <f>IF(Table121413[[#This Row],[stimulus]]=H306, 1, 0)</f>
        <v>1</v>
      </c>
      <c r="M305" s="66">
        <f t="shared" si="8"/>
        <v>1</v>
      </c>
      <c r="N305" s="66">
        <f t="shared" si="9"/>
        <v>0</v>
      </c>
    </row>
    <row r="306" spans="1:14" x14ac:dyDescent="0.3">
      <c r="A306" s="58">
        <v>4</v>
      </c>
      <c r="B306" s="59">
        <v>3</v>
      </c>
      <c r="C306" s="63">
        <v>305</v>
      </c>
      <c r="D306" s="57">
        <v>2</v>
      </c>
      <c r="E306" s="57" t="s">
        <v>80</v>
      </c>
      <c r="F306" s="65" t="s">
        <v>40</v>
      </c>
      <c r="G306" s="58" t="s">
        <v>9</v>
      </c>
      <c r="H306" s="58" t="s">
        <v>73</v>
      </c>
      <c r="I306" s="66"/>
      <c r="J306" s="66" t="s">
        <v>150</v>
      </c>
      <c r="K306" s="57">
        <f>IF(Table121413[[#This Row],[modality]]=E305,1,0)</f>
        <v>1</v>
      </c>
      <c r="L306" s="66">
        <f>IF(Table121413[[#This Row],[stimulus]]=H307, 1, 0)</f>
        <v>0</v>
      </c>
      <c r="M306" s="66">
        <f t="shared" si="8"/>
        <v>0</v>
      </c>
      <c r="N306" s="66">
        <f t="shared" si="9"/>
        <v>0</v>
      </c>
    </row>
    <row r="307" spans="1:14" x14ac:dyDescent="0.3">
      <c r="A307" s="58">
        <v>4</v>
      </c>
      <c r="B307" s="59">
        <v>3</v>
      </c>
      <c r="C307" s="63">
        <v>306</v>
      </c>
      <c r="D307" s="91">
        <v>1</v>
      </c>
      <c r="E307" s="91" t="s">
        <v>81</v>
      </c>
      <c r="F307" s="91" t="s">
        <v>29</v>
      </c>
      <c r="G307" s="47" t="s">
        <v>42</v>
      </c>
      <c r="H307" s="47" t="s">
        <v>65</v>
      </c>
      <c r="I307" s="66"/>
      <c r="J307" s="66" t="s">
        <v>150</v>
      </c>
      <c r="K307" s="57">
        <f>IF(Table121413[[#This Row],[modality]]=E306,1,0)</f>
        <v>0</v>
      </c>
      <c r="L307" s="66">
        <f>IF(Table121413[[#This Row],[stimulus]]=H308, 1, 0)</f>
        <v>0</v>
      </c>
      <c r="M307" s="66">
        <f t="shared" si="8"/>
        <v>1</v>
      </c>
      <c r="N307" s="66">
        <f t="shared" si="9"/>
        <v>0</v>
      </c>
    </row>
    <row r="308" spans="1:14" x14ac:dyDescent="0.3">
      <c r="A308" s="58">
        <v>4</v>
      </c>
      <c r="B308" s="59">
        <v>3</v>
      </c>
      <c r="C308" s="63">
        <v>307</v>
      </c>
      <c r="D308" s="91">
        <v>2</v>
      </c>
      <c r="E308" s="91" t="s">
        <v>80</v>
      </c>
      <c r="F308" s="91" t="s">
        <v>29</v>
      </c>
      <c r="G308" s="58" t="s">
        <v>42</v>
      </c>
      <c r="H308" s="58" t="s">
        <v>60</v>
      </c>
      <c r="I308" s="66"/>
      <c r="J308" s="66" t="s">
        <v>150</v>
      </c>
      <c r="K308" s="57">
        <f>IF(Table121413[[#This Row],[modality]]=E307,1,0)</f>
        <v>0</v>
      </c>
      <c r="L308" s="66">
        <f>IF(Table121413[[#This Row],[stimulus]]=H309, 1, 0)</f>
        <v>0</v>
      </c>
      <c r="M308" s="66">
        <f t="shared" si="8"/>
        <v>0</v>
      </c>
      <c r="N308" s="66">
        <f t="shared" si="9"/>
        <v>1</v>
      </c>
    </row>
    <row r="309" spans="1:14" x14ac:dyDescent="0.3">
      <c r="A309" s="58">
        <v>4</v>
      </c>
      <c r="B309" s="59">
        <v>3</v>
      </c>
      <c r="C309" s="63">
        <v>308</v>
      </c>
      <c r="D309" s="67">
        <v>2</v>
      </c>
      <c r="E309" s="67" t="s">
        <v>80</v>
      </c>
      <c r="F309" s="68" t="s">
        <v>0</v>
      </c>
      <c r="G309" s="47" t="s">
        <v>41</v>
      </c>
      <c r="H309" s="47" t="s">
        <v>70</v>
      </c>
      <c r="I309" s="66"/>
      <c r="J309" s="66" t="s">
        <v>151</v>
      </c>
      <c r="K309" s="57">
        <f>IF(Table121413[[#This Row],[modality]]=E308,1,0)</f>
        <v>1</v>
      </c>
      <c r="L309" s="66">
        <f>IF(Table121413[[#This Row],[stimulus]]=H310, 1, 0)</f>
        <v>1</v>
      </c>
      <c r="M309" s="66">
        <f t="shared" si="8"/>
        <v>0</v>
      </c>
      <c r="N309" s="66">
        <f t="shared" si="9"/>
        <v>1</v>
      </c>
    </row>
    <row r="310" spans="1:14" x14ac:dyDescent="0.3">
      <c r="A310" s="58">
        <v>4</v>
      </c>
      <c r="B310" s="59">
        <v>3</v>
      </c>
      <c r="C310" s="63">
        <v>309</v>
      </c>
      <c r="D310" s="57">
        <v>1</v>
      </c>
      <c r="E310" s="57" t="s">
        <v>81</v>
      </c>
      <c r="F310" s="65" t="s">
        <v>40</v>
      </c>
      <c r="G310" s="58" t="s">
        <v>10</v>
      </c>
      <c r="H310" s="58" t="s">
        <v>70</v>
      </c>
      <c r="I310" s="66"/>
      <c r="J310" s="66" t="s">
        <v>150</v>
      </c>
      <c r="K310" s="57">
        <f>IF(Table121413[[#This Row],[modality]]=E309,1,0)</f>
        <v>0</v>
      </c>
      <c r="L310" s="66">
        <f>IF(Table121413[[#This Row],[stimulus]]=H311, 1, 0)</f>
        <v>0</v>
      </c>
      <c r="M310" s="66">
        <f t="shared" si="8"/>
        <v>0</v>
      </c>
      <c r="N310" s="66">
        <f t="shared" si="9"/>
        <v>0</v>
      </c>
    </row>
    <row r="311" spans="1:14" x14ac:dyDescent="0.3">
      <c r="A311" s="58">
        <v>4</v>
      </c>
      <c r="B311" s="59">
        <v>3</v>
      </c>
      <c r="C311" s="63">
        <v>310</v>
      </c>
      <c r="D311" s="67">
        <v>1</v>
      </c>
      <c r="E311" s="67" t="s">
        <v>81</v>
      </c>
      <c r="F311" s="68" t="s">
        <v>0</v>
      </c>
      <c r="G311" s="47" t="s">
        <v>41</v>
      </c>
      <c r="H311" s="47" t="s">
        <v>74</v>
      </c>
      <c r="I311" s="66"/>
      <c r="J311" s="66" t="s">
        <v>151</v>
      </c>
      <c r="K311" s="57">
        <f>IF(Table121413[[#This Row],[modality]]=E310,1,0)</f>
        <v>1</v>
      </c>
      <c r="L311" s="66">
        <f>IF(Table121413[[#This Row],[stimulus]]=H312, 1, 0)</f>
        <v>1</v>
      </c>
      <c r="M311" s="66">
        <f t="shared" si="8"/>
        <v>1</v>
      </c>
      <c r="N311" s="66">
        <f t="shared" si="9"/>
        <v>0</v>
      </c>
    </row>
    <row r="312" spans="1:14" x14ac:dyDescent="0.3">
      <c r="A312" s="58">
        <v>4</v>
      </c>
      <c r="B312" s="59">
        <v>3</v>
      </c>
      <c r="C312" s="63">
        <v>311</v>
      </c>
      <c r="D312" s="57">
        <v>2</v>
      </c>
      <c r="E312" s="57" t="s">
        <v>80</v>
      </c>
      <c r="F312" s="65" t="s">
        <v>40</v>
      </c>
      <c r="G312" s="58" t="s">
        <v>10</v>
      </c>
      <c r="H312" s="58" t="s">
        <v>74</v>
      </c>
      <c r="I312" s="66"/>
      <c r="J312" s="66" t="s">
        <v>150</v>
      </c>
      <c r="K312" s="57">
        <f>IF(Table121413[[#This Row],[modality]]=E311,1,0)</f>
        <v>0</v>
      </c>
      <c r="L312" s="66">
        <f>IF(Table121413[[#This Row],[stimulus]]=H313, 1, 0)</f>
        <v>0</v>
      </c>
      <c r="M312" s="66">
        <f t="shared" si="8"/>
        <v>0</v>
      </c>
      <c r="N312" s="66">
        <f t="shared" si="9"/>
        <v>0</v>
      </c>
    </row>
    <row r="313" spans="1:14" x14ac:dyDescent="0.3">
      <c r="A313" s="58">
        <v>4</v>
      </c>
      <c r="B313" s="59">
        <v>3</v>
      </c>
      <c r="C313" s="63">
        <v>312</v>
      </c>
      <c r="D313" s="91">
        <v>1</v>
      </c>
      <c r="E313" s="91" t="s">
        <v>81</v>
      </c>
      <c r="F313" s="91" t="s">
        <v>29</v>
      </c>
      <c r="G313" s="47" t="s">
        <v>42</v>
      </c>
      <c r="H313" s="47" t="s">
        <v>64</v>
      </c>
      <c r="I313" s="66"/>
      <c r="J313" s="66" t="s">
        <v>150</v>
      </c>
      <c r="K313" s="57">
        <f>IF(Table121413[[#This Row],[modality]]=E312,1,0)</f>
        <v>0</v>
      </c>
      <c r="L313" s="66">
        <f>IF(Table121413[[#This Row],[stimulus]]=H314, 1, 0)</f>
        <v>0</v>
      </c>
      <c r="M313" s="66">
        <f t="shared" si="8"/>
        <v>1</v>
      </c>
      <c r="N313" s="66">
        <f t="shared" si="9"/>
        <v>0</v>
      </c>
    </row>
    <row r="314" spans="1:14" x14ac:dyDescent="0.3">
      <c r="A314" s="58">
        <v>4</v>
      </c>
      <c r="B314" s="59">
        <v>3</v>
      </c>
      <c r="C314" s="63">
        <v>313</v>
      </c>
      <c r="D314" s="95">
        <v>1</v>
      </c>
      <c r="E314" s="95" t="s">
        <v>81</v>
      </c>
      <c r="F314" s="95" t="s">
        <v>29</v>
      </c>
      <c r="G314" s="90" t="s">
        <v>42</v>
      </c>
      <c r="H314" s="90" t="s">
        <v>59</v>
      </c>
      <c r="I314" s="66"/>
      <c r="J314" s="66" t="s">
        <v>151</v>
      </c>
      <c r="K314" s="57">
        <f>IF(Table121413[[#This Row],[modality]]=E313,1,0)</f>
        <v>1</v>
      </c>
      <c r="L314" s="66">
        <f>IF(Table121413[[#This Row],[stimulus]]=H315, 1, 0)</f>
        <v>0</v>
      </c>
      <c r="M314" s="66">
        <f t="shared" si="8"/>
        <v>0</v>
      </c>
      <c r="N314" s="66">
        <f t="shared" si="9"/>
        <v>1</v>
      </c>
    </row>
    <row r="315" spans="1:14" x14ac:dyDescent="0.3">
      <c r="A315" s="58">
        <v>4</v>
      </c>
      <c r="B315" s="59">
        <v>3</v>
      </c>
      <c r="C315" s="63">
        <v>314</v>
      </c>
      <c r="D315" s="57">
        <v>2</v>
      </c>
      <c r="E315" s="57" t="s">
        <v>80</v>
      </c>
      <c r="F315" s="65" t="s">
        <v>0</v>
      </c>
      <c r="G315" s="58" t="s">
        <v>41</v>
      </c>
      <c r="H315" s="58" t="s">
        <v>67</v>
      </c>
      <c r="I315" s="66"/>
      <c r="J315" s="66" t="s">
        <v>151</v>
      </c>
      <c r="K315" s="57">
        <f>IF(Table121413[[#This Row],[modality]]=E314,1,0)</f>
        <v>0</v>
      </c>
      <c r="L315" s="66">
        <f>IF(Table121413[[#This Row],[stimulus]]=H316, 1, 0)</f>
        <v>1</v>
      </c>
      <c r="M315" s="66">
        <f t="shared" si="8"/>
        <v>0</v>
      </c>
      <c r="N315" s="66">
        <f t="shared" si="9"/>
        <v>1</v>
      </c>
    </row>
    <row r="316" spans="1:14" x14ac:dyDescent="0.3">
      <c r="A316" s="58">
        <v>4</v>
      </c>
      <c r="B316" s="59">
        <v>3</v>
      </c>
      <c r="C316" s="63">
        <v>315</v>
      </c>
      <c r="D316" s="67">
        <v>2</v>
      </c>
      <c r="E316" s="67" t="s">
        <v>80</v>
      </c>
      <c r="F316" s="68" t="s">
        <v>40</v>
      </c>
      <c r="G316" s="47" t="s">
        <v>9</v>
      </c>
      <c r="H316" s="47" t="s">
        <v>67</v>
      </c>
      <c r="I316" s="66"/>
      <c r="J316" s="66" t="s">
        <v>150</v>
      </c>
      <c r="K316" s="57">
        <f>IF(Table121413[[#This Row],[modality]]=E315,1,0)</f>
        <v>1</v>
      </c>
      <c r="L316" s="66">
        <f>IF(Table121413[[#This Row],[stimulus]]=H317, 1, 0)</f>
        <v>0</v>
      </c>
      <c r="M316" s="66">
        <f t="shared" si="8"/>
        <v>0</v>
      </c>
      <c r="N316" s="66">
        <f t="shared" si="9"/>
        <v>0</v>
      </c>
    </row>
    <row r="317" spans="1:14" x14ac:dyDescent="0.3">
      <c r="A317" s="58">
        <v>4</v>
      </c>
      <c r="B317" s="59">
        <v>3</v>
      </c>
      <c r="C317" s="63">
        <v>316</v>
      </c>
      <c r="D317" s="91">
        <v>1</v>
      </c>
      <c r="E317" s="91" t="s">
        <v>81</v>
      </c>
      <c r="F317" s="91" t="s">
        <v>29</v>
      </c>
      <c r="G317" s="58" t="s">
        <v>42</v>
      </c>
      <c r="H317" s="58" t="s">
        <v>66</v>
      </c>
      <c r="I317" s="66"/>
      <c r="J317" s="66" t="s">
        <v>150</v>
      </c>
      <c r="K317" s="57">
        <f>IF(Table121413[[#This Row],[modality]]=E316,1,0)</f>
        <v>0</v>
      </c>
      <c r="L317" s="66">
        <f>IF(Table121413[[#This Row],[stimulus]]=H318, 1, 0)</f>
        <v>0</v>
      </c>
      <c r="M317" s="66">
        <f t="shared" si="8"/>
        <v>1</v>
      </c>
      <c r="N317" s="66">
        <f t="shared" si="9"/>
        <v>0</v>
      </c>
    </row>
    <row r="318" spans="1:14" x14ac:dyDescent="0.3">
      <c r="A318" s="58">
        <v>4</v>
      </c>
      <c r="B318" s="59">
        <v>3</v>
      </c>
      <c r="C318" s="63">
        <v>317</v>
      </c>
      <c r="D318" s="91">
        <v>2</v>
      </c>
      <c r="E318" s="91" t="s">
        <v>80</v>
      </c>
      <c r="F318" s="91" t="s">
        <v>29</v>
      </c>
      <c r="G318" s="47" t="s">
        <v>42</v>
      </c>
      <c r="H318" s="47" t="s">
        <v>59</v>
      </c>
      <c r="I318" s="66"/>
      <c r="J318" s="66" t="s">
        <v>151</v>
      </c>
      <c r="K318" s="57">
        <f>IF(Table121413[[#This Row],[modality]]=E317,1,0)</f>
        <v>0</v>
      </c>
      <c r="L318" s="66">
        <f>IF(Table121413[[#This Row],[stimulus]]=H319, 1, 0)</f>
        <v>0</v>
      </c>
      <c r="M318" s="66">
        <f t="shared" si="8"/>
        <v>0</v>
      </c>
      <c r="N318" s="66">
        <f t="shared" si="9"/>
        <v>1</v>
      </c>
    </row>
    <row r="319" spans="1:14" x14ac:dyDescent="0.3">
      <c r="A319" s="58">
        <v>4</v>
      </c>
      <c r="B319" s="59">
        <v>3</v>
      </c>
      <c r="C319" s="63">
        <v>318</v>
      </c>
      <c r="D319" s="67">
        <v>2</v>
      </c>
      <c r="E319" s="67" t="s">
        <v>80</v>
      </c>
      <c r="F319" s="68" t="s">
        <v>0</v>
      </c>
      <c r="G319" s="47" t="s">
        <v>41</v>
      </c>
      <c r="H319" s="47" t="s">
        <v>72</v>
      </c>
      <c r="I319" s="66"/>
      <c r="J319" s="66" t="s">
        <v>151</v>
      </c>
      <c r="K319" s="57">
        <f>IF(Table121413[[#This Row],[modality]]=E318,1,0)</f>
        <v>1</v>
      </c>
      <c r="L319" s="66">
        <f>IF(Table121413[[#This Row],[stimulus]]=H320, 1, 0)</f>
        <v>1</v>
      </c>
      <c r="M319" s="66">
        <f t="shared" si="8"/>
        <v>0</v>
      </c>
      <c r="N319" s="66">
        <f t="shared" si="9"/>
        <v>1</v>
      </c>
    </row>
    <row r="320" spans="1:14" x14ac:dyDescent="0.3">
      <c r="A320" s="58">
        <v>4</v>
      </c>
      <c r="B320" s="59">
        <v>3</v>
      </c>
      <c r="C320" s="63">
        <v>319</v>
      </c>
      <c r="D320" s="69">
        <v>1</v>
      </c>
      <c r="E320" s="69" t="s">
        <v>81</v>
      </c>
      <c r="F320" s="70" t="s">
        <v>40</v>
      </c>
      <c r="G320" s="71" t="s">
        <v>10</v>
      </c>
      <c r="H320" s="71" t="s">
        <v>72</v>
      </c>
      <c r="I320" s="66"/>
      <c r="J320" s="66" t="s">
        <v>150</v>
      </c>
      <c r="K320" s="57">
        <f>IF(Table121413[[#This Row],[modality]]=E319,1,0)</f>
        <v>0</v>
      </c>
      <c r="L320" s="66">
        <f>IF(Table121413[[#This Row],[stimulus]]=H321, 1, 0)</f>
        <v>0</v>
      </c>
      <c r="M320" s="66">
        <f t="shared" si="8"/>
        <v>0</v>
      </c>
      <c r="N320" s="66">
        <f t="shared" si="9"/>
        <v>0</v>
      </c>
    </row>
    <row r="321" spans="1:14" x14ac:dyDescent="0.3">
      <c r="A321" s="58">
        <v>4</v>
      </c>
      <c r="B321" s="59">
        <v>4</v>
      </c>
      <c r="C321" s="63">
        <v>320</v>
      </c>
      <c r="D321" s="80">
        <v>2</v>
      </c>
      <c r="E321" s="80" t="s">
        <v>80</v>
      </c>
      <c r="F321" s="80" t="s">
        <v>29</v>
      </c>
      <c r="G321" s="52" t="s">
        <v>42</v>
      </c>
      <c r="H321" s="52"/>
      <c r="I321" s="66"/>
      <c r="J321" s="66" t="s">
        <v>150</v>
      </c>
      <c r="K321" s="57">
        <f>IF(Table121413[[#This Row],[modality]]=E320,1,0)</f>
        <v>0</v>
      </c>
      <c r="L321" s="66">
        <f>IF(Table121413[[#This Row],[stimulus]]=H322, 1, 0)</f>
        <v>0</v>
      </c>
      <c r="M321" s="66">
        <f t="shared" si="8"/>
        <v>1</v>
      </c>
      <c r="N321" s="66">
        <f t="shared" si="9"/>
        <v>0</v>
      </c>
    </row>
    <row r="322" spans="1:14" x14ac:dyDescent="0.3">
      <c r="A322" s="58">
        <v>4</v>
      </c>
      <c r="B322" s="59">
        <v>3</v>
      </c>
      <c r="C322" s="63">
        <v>321</v>
      </c>
      <c r="D322" s="91">
        <v>1</v>
      </c>
      <c r="E322" s="91" t="s">
        <v>81</v>
      </c>
      <c r="F322" s="91" t="s">
        <v>29</v>
      </c>
      <c r="G322" s="47" t="s">
        <v>42</v>
      </c>
      <c r="H322" s="47" t="s">
        <v>63</v>
      </c>
      <c r="I322" s="66"/>
      <c r="J322" s="66" t="s">
        <v>150</v>
      </c>
      <c r="K322" s="57">
        <f>IF(Table121413[[#This Row],[modality]]=E321,1,0)</f>
        <v>0</v>
      </c>
      <c r="L322" s="66">
        <f>IF(Table121413[[#This Row],[stimulus]]=H323, 1, 0)</f>
        <v>0</v>
      </c>
      <c r="M322" s="66">
        <f t="shared" si="8"/>
        <v>0</v>
      </c>
      <c r="N322" s="66">
        <f t="shared" si="9"/>
        <v>1</v>
      </c>
    </row>
    <row r="323" spans="1:14" x14ac:dyDescent="0.3">
      <c r="A323" s="58">
        <v>4</v>
      </c>
      <c r="B323" s="59">
        <v>3</v>
      </c>
      <c r="C323" s="63">
        <v>322</v>
      </c>
      <c r="D323" s="93">
        <v>2</v>
      </c>
      <c r="E323" s="93" t="s">
        <v>80</v>
      </c>
      <c r="F323" s="93" t="s">
        <v>29</v>
      </c>
      <c r="G323" s="53" t="s">
        <v>42</v>
      </c>
      <c r="H323" s="53"/>
      <c r="I323" s="75" t="s">
        <v>127</v>
      </c>
      <c r="J323" s="104" t="s">
        <v>151</v>
      </c>
      <c r="K323" s="57">
        <f>IF(Table121413[[#This Row],[modality]]=E322,1,0)</f>
        <v>0</v>
      </c>
      <c r="L323" s="66">
        <f>IF(Table121413[[#This Row],[stimulus]]=H324, 1, 0)</f>
        <v>0</v>
      </c>
      <c r="M323" s="66">
        <f t="shared" si="8"/>
        <v>0</v>
      </c>
      <c r="N323" s="66">
        <f t="shared" si="9"/>
        <v>1</v>
      </c>
    </row>
    <row r="324" spans="1:14" x14ac:dyDescent="0.3">
      <c r="A324" s="58">
        <v>4</v>
      </c>
      <c r="B324" s="59">
        <v>3</v>
      </c>
      <c r="C324" s="63">
        <v>323</v>
      </c>
      <c r="D324" s="91">
        <v>1</v>
      </c>
      <c r="E324" s="91" t="s">
        <v>81</v>
      </c>
      <c r="F324" s="91" t="s">
        <v>29</v>
      </c>
      <c r="G324" s="58" t="s">
        <v>42</v>
      </c>
      <c r="H324" s="58" t="s">
        <v>61</v>
      </c>
      <c r="I324" s="66"/>
      <c r="J324" s="66" t="s">
        <v>151</v>
      </c>
      <c r="K324" s="57">
        <f>IF(Table121413[[#This Row],[modality]]=E323,1,0)</f>
        <v>0</v>
      </c>
      <c r="L324" s="66">
        <f>IF(Table121413[[#This Row],[stimulus]]=H325, 1, 0)</f>
        <v>0</v>
      </c>
      <c r="M324" s="66">
        <f t="shared" ref="M324:M387" si="10">IF(F323="T",1,0)</f>
        <v>0</v>
      </c>
      <c r="N324" s="66">
        <f t="shared" ref="N324:N387" si="11">IF(F323="F",1,0)</f>
        <v>1</v>
      </c>
    </row>
    <row r="325" spans="1:14" x14ac:dyDescent="0.3">
      <c r="A325" s="58">
        <v>4</v>
      </c>
      <c r="B325" s="59">
        <v>3</v>
      </c>
      <c r="C325" s="63">
        <v>324</v>
      </c>
      <c r="D325" s="67">
        <v>1</v>
      </c>
      <c r="E325" s="67" t="s">
        <v>81</v>
      </c>
      <c r="F325" s="68" t="s">
        <v>0</v>
      </c>
      <c r="G325" s="47" t="s">
        <v>41</v>
      </c>
      <c r="H325" s="47" t="s">
        <v>68</v>
      </c>
      <c r="I325" s="66"/>
      <c r="J325" s="66" t="s">
        <v>151</v>
      </c>
      <c r="K325" s="57">
        <f>IF(Table121413[[#This Row],[modality]]=E324,1,0)</f>
        <v>1</v>
      </c>
      <c r="L325" s="66">
        <f>IF(Table121413[[#This Row],[stimulus]]=H326, 1, 0)</f>
        <v>1</v>
      </c>
      <c r="M325" s="66">
        <f t="shared" si="10"/>
        <v>0</v>
      </c>
      <c r="N325" s="66">
        <f t="shared" si="11"/>
        <v>1</v>
      </c>
    </row>
    <row r="326" spans="1:14" x14ac:dyDescent="0.3">
      <c r="A326" s="58">
        <v>4</v>
      </c>
      <c r="B326" s="59">
        <v>3</v>
      </c>
      <c r="C326" s="63">
        <v>325</v>
      </c>
      <c r="D326" s="57">
        <v>1</v>
      </c>
      <c r="E326" s="57" t="s">
        <v>81</v>
      </c>
      <c r="F326" s="65" t="s">
        <v>40</v>
      </c>
      <c r="G326" s="58" t="s">
        <v>9</v>
      </c>
      <c r="H326" s="58" t="s">
        <v>68</v>
      </c>
      <c r="I326" s="66"/>
      <c r="J326" s="66" t="s">
        <v>150</v>
      </c>
      <c r="K326" s="57">
        <f>IF(Table121413[[#This Row],[modality]]=E325,1,0)</f>
        <v>1</v>
      </c>
      <c r="L326" s="66">
        <f>IF(Table121413[[#This Row],[stimulus]]=H327, 1, 0)</f>
        <v>0</v>
      </c>
      <c r="M326" s="66">
        <f t="shared" si="10"/>
        <v>0</v>
      </c>
      <c r="N326" s="66">
        <f t="shared" si="11"/>
        <v>0</v>
      </c>
    </row>
    <row r="327" spans="1:14" x14ac:dyDescent="0.3">
      <c r="A327" s="58">
        <v>4</v>
      </c>
      <c r="B327" s="59">
        <v>3</v>
      </c>
      <c r="C327" s="63">
        <v>326</v>
      </c>
      <c r="D327" s="64">
        <v>2</v>
      </c>
      <c r="E327" s="64" t="s">
        <v>80</v>
      </c>
      <c r="F327" s="93" t="s">
        <v>29</v>
      </c>
      <c r="G327" s="52" t="s">
        <v>42</v>
      </c>
      <c r="H327" s="52"/>
      <c r="I327" s="66"/>
      <c r="J327" s="66" t="s">
        <v>150</v>
      </c>
      <c r="K327" s="57">
        <f>IF(Table121413[[#This Row],[modality]]=E326,1,0)</f>
        <v>0</v>
      </c>
      <c r="L327" s="66">
        <f>IF(Table121413[[#This Row],[stimulus]]=H328, 1, 0)</f>
        <v>1</v>
      </c>
      <c r="M327" s="66">
        <f t="shared" si="10"/>
        <v>1</v>
      </c>
      <c r="N327" s="66">
        <f t="shared" si="11"/>
        <v>0</v>
      </c>
    </row>
    <row r="328" spans="1:14" x14ac:dyDescent="0.3">
      <c r="A328" s="63" t="s">
        <v>25</v>
      </c>
      <c r="B328" s="63"/>
      <c r="C328" s="63">
        <v>327</v>
      </c>
      <c r="D328" s="101"/>
      <c r="E328" s="101" t="s">
        <v>142</v>
      </c>
      <c r="F328" s="101" t="s">
        <v>142</v>
      </c>
      <c r="G328" s="102"/>
      <c r="H328" s="102"/>
      <c r="I328" s="66"/>
      <c r="J328" s="66" t="s">
        <v>150</v>
      </c>
      <c r="K328" s="57">
        <f>IF(Table121413[[#This Row],[modality]]=E327,1,0)</f>
        <v>0</v>
      </c>
      <c r="L328" s="66">
        <f>IF(Table121413[[#This Row],[stimulus]]=H329, 1, 0)</f>
        <v>0</v>
      </c>
      <c r="M328" s="66">
        <f t="shared" si="10"/>
        <v>0</v>
      </c>
      <c r="N328" s="66">
        <f t="shared" si="11"/>
        <v>1</v>
      </c>
    </row>
    <row r="329" spans="1:14" x14ac:dyDescent="0.3">
      <c r="A329" s="59">
        <v>1</v>
      </c>
      <c r="B329" s="59">
        <v>4</v>
      </c>
      <c r="C329" s="63">
        <v>328</v>
      </c>
      <c r="D329" s="72">
        <v>2</v>
      </c>
      <c r="E329" s="73" t="s">
        <v>80</v>
      </c>
      <c r="F329" s="74" t="s">
        <v>29</v>
      </c>
      <c r="G329" s="47" t="s">
        <v>42</v>
      </c>
      <c r="H329" s="47" t="s">
        <v>69</v>
      </c>
      <c r="I329" s="66"/>
      <c r="J329" s="92" t="s">
        <v>151</v>
      </c>
      <c r="K329" s="57">
        <f>IF(Table121413[[#This Row],[modality]]=E328,1,0)</f>
        <v>0</v>
      </c>
      <c r="L329" s="66">
        <f>IF(Table121413[[#This Row],[stimulus]]=H330, 1, 0)</f>
        <v>0</v>
      </c>
      <c r="M329" s="66">
        <f t="shared" si="10"/>
        <v>0</v>
      </c>
      <c r="N329" s="66">
        <f t="shared" si="11"/>
        <v>0</v>
      </c>
    </row>
    <row r="330" spans="1:14" x14ac:dyDescent="0.3">
      <c r="A330" s="59">
        <v>1</v>
      </c>
      <c r="B330" s="59">
        <v>4</v>
      </c>
      <c r="C330" s="63">
        <v>329</v>
      </c>
      <c r="D330" s="70">
        <v>2</v>
      </c>
      <c r="E330" s="70" t="s">
        <v>80</v>
      </c>
      <c r="F330" s="70" t="s">
        <v>0</v>
      </c>
      <c r="G330" s="71" t="s">
        <v>41</v>
      </c>
      <c r="H330" s="71" t="s">
        <v>47</v>
      </c>
      <c r="I330" s="66"/>
      <c r="J330" s="66" t="s">
        <v>151</v>
      </c>
      <c r="K330" s="57">
        <f>IF(Table121413[[#This Row],[modality]]=E329,1,0)</f>
        <v>1</v>
      </c>
      <c r="L330" s="66">
        <f>IF(Table121413[[#This Row],[stimulus]]=H331, 1, 0)</f>
        <v>1</v>
      </c>
      <c r="M330" s="66">
        <f t="shared" si="10"/>
        <v>0</v>
      </c>
      <c r="N330" s="66">
        <f t="shared" si="11"/>
        <v>1</v>
      </c>
    </row>
    <row r="331" spans="1:14" x14ac:dyDescent="0.3">
      <c r="A331" s="59">
        <v>1</v>
      </c>
      <c r="B331" s="59">
        <v>4</v>
      </c>
      <c r="C331" s="63">
        <v>330</v>
      </c>
      <c r="D331" s="68">
        <v>2</v>
      </c>
      <c r="E331" s="68" t="s">
        <v>80</v>
      </c>
      <c r="F331" s="68" t="s">
        <v>40</v>
      </c>
      <c r="G331" s="47" t="s">
        <v>9</v>
      </c>
      <c r="H331" s="47" t="s">
        <v>47</v>
      </c>
      <c r="I331" s="66"/>
      <c r="J331" s="66" t="s">
        <v>150</v>
      </c>
      <c r="K331" s="57">
        <f>IF(Table121413[[#This Row],[modality]]=E330,1,0)</f>
        <v>1</v>
      </c>
      <c r="L331" s="66">
        <f>IF(Table121413[[#This Row],[stimulus]]=H332, 1, 0)</f>
        <v>0</v>
      </c>
      <c r="M331" s="66">
        <f t="shared" si="10"/>
        <v>0</v>
      </c>
      <c r="N331" s="66">
        <f t="shared" si="11"/>
        <v>0</v>
      </c>
    </row>
    <row r="332" spans="1:14" x14ac:dyDescent="0.3">
      <c r="A332" s="59">
        <v>1</v>
      </c>
      <c r="B332" s="59">
        <v>4</v>
      </c>
      <c r="C332" s="63">
        <v>331</v>
      </c>
      <c r="D332" s="72">
        <v>1</v>
      </c>
      <c r="E332" s="72" t="s">
        <v>81</v>
      </c>
      <c r="F332" s="74" t="s">
        <v>29</v>
      </c>
      <c r="G332" s="71" t="s">
        <v>42</v>
      </c>
      <c r="H332" s="71" t="s">
        <v>72</v>
      </c>
      <c r="I332" s="66"/>
      <c r="J332" s="66" t="s">
        <v>150</v>
      </c>
      <c r="K332" s="57">
        <f>IF(Table121413[[#This Row],[modality]]=E331,1,0)</f>
        <v>0</v>
      </c>
      <c r="L332" s="66">
        <f>IF(Table121413[[#This Row],[stimulus]]=H333, 1, 0)</f>
        <v>0</v>
      </c>
      <c r="M332" s="66">
        <f t="shared" si="10"/>
        <v>1</v>
      </c>
      <c r="N332" s="66">
        <f t="shared" si="11"/>
        <v>0</v>
      </c>
    </row>
    <row r="333" spans="1:14" x14ac:dyDescent="0.3">
      <c r="A333" s="58">
        <v>1</v>
      </c>
      <c r="B333" s="59">
        <v>4</v>
      </c>
      <c r="C333" s="63">
        <v>332</v>
      </c>
      <c r="D333" s="96">
        <v>2</v>
      </c>
      <c r="E333" s="96" t="s">
        <v>80</v>
      </c>
      <c r="F333" s="96" t="s">
        <v>29</v>
      </c>
      <c r="G333" s="87" t="s">
        <v>42</v>
      </c>
      <c r="H333" s="87" t="s">
        <v>73</v>
      </c>
      <c r="I333" s="66"/>
      <c r="J333" s="66" t="s">
        <v>151</v>
      </c>
      <c r="K333" s="57">
        <f>IF(Table121413[[#This Row],[modality]]=E332,1,0)</f>
        <v>0</v>
      </c>
      <c r="L333" s="66">
        <f>IF(Table121413[[#This Row],[stimulus]]=H334, 1, 0)</f>
        <v>0</v>
      </c>
      <c r="M333" s="66">
        <f t="shared" si="10"/>
        <v>0</v>
      </c>
      <c r="N333" s="66">
        <f t="shared" si="11"/>
        <v>1</v>
      </c>
    </row>
    <row r="334" spans="1:14" x14ac:dyDescent="0.3">
      <c r="A334" s="58">
        <v>1</v>
      </c>
      <c r="B334" s="59">
        <v>4</v>
      </c>
      <c r="C334" s="63">
        <v>333</v>
      </c>
      <c r="D334" s="95">
        <v>1</v>
      </c>
      <c r="E334" s="95" t="s">
        <v>81</v>
      </c>
      <c r="F334" s="95" t="s">
        <v>29</v>
      </c>
      <c r="G334" s="90" t="s">
        <v>42</v>
      </c>
      <c r="H334" s="90" t="s">
        <v>71</v>
      </c>
      <c r="I334" s="66"/>
      <c r="J334" s="66" t="s">
        <v>151</v>
      </c>
      <c r="K334" s="57">
        <f>IF(Table121413[[#This Row],[modality]]=E333,1,0)</f>
        <v>0</v>
      </c>
      <c r="L334" s="66">
        <f>IF(Table121413[[#This Row],[stimulus]]=H335, 1, 0)</f>
        <v>0</v>
      </c>
      <c r="M334" s="66">
        <f t="shared" si="10"/>
        <v>0</v>
      </c>
      <c r="N334" s="66">
        <f t="shared" si="11"/>
        <v>1</v>
      </c>
    </row>
    <row r="335" spans="1:14" x14ac:dyDescent="0.3">
      <c r="A335" s="59">
        <v>1</v>
      </c>
      <c r="B335" s="59">
        <v>4</v>
      </c>
      <c r="C335" s="63">
        <v>334</v>
      </c>
      <c r="D335" s="72">
        <v>1</v>
      </c>
      <c r="E335" s="72" t="s">
        <v>81</v>
      </c>
      <c r="F335" s="74" t="s">
        <v>29</v>
      </c>
      <c r="G335" s="58" t="s">
        <v>42</v>
      </c>
      <c r="H335" s="58" t="s">
        <v>74</v>
      </c>
      <c r="I335" s="66"/>
      <c r="J335" s="66" t="s">
        <v>150</v>
      </c>
      <c r="K335" s="57">
        <f>IF(Table121413[[#This Row],[modality]]=E334,1,0)</f>
        <v>1</v>
      </c>
      <c r="L335" s="66">
        <f>IF(Table121413[[#This Row],[stimulus]]=H336, 1, 0)</f>
        <v>0</v>
      </c>
      <c r="M335" s="66">
        <f t="shared" si="10"/>
        <v>0</v>
      </c>
      <c r="N335" s="66">
        <f t="shared" si="11"/>
        <v>1</v>
      </c>
    </row>
    <row r="336" spans="1:14" x14ac:dyDescent="0.3">
      <c r="A336" s="59">
        <v>1</v>
      </c>
      <c r="B336" s="59">
        <v>4</v>
      </c>
      <c r="C336" s="63">
        <v>335</v>
      </c>
      <c r="D336" s="68">
        <v>2</v>
      </c>
      <c r="E336" s="68" t="s">
        <v>80</v>
      </c>
      <c r="F336" s="68" t="s">
        <v>0</v>
      </c>
      <c r="G336" s="47" t="s">
        <v>41</v>
      </c>
      <c r="H336" s="47" t="s">
        <v>50</v>
      </c>
      <c r="I336" s="66"/>
      <c r="J336" s="66" t="s">
        <v>151</v>
      </c>
      <c r="K336" s="57">
        <f>IF(Table121413[[#This Row],[modality]]=E335,1,0)</f>
        <v>0</v>
      </c>
      <c r="L336" s="66">
        <f>IF(Table121413[[#This Row],[stimulus]]=H337, 1, 0)</f>
        <v>1</v>
      </c>
      <c r="M336" s="66">
        <f t="shared" si="10"/>
        <v>0</v>
      </c>
      <c r="N336" s="66">
        <f t="shared" si="11"/>
        <v>1</v>
      </c>
    </row>
    <row r="337" spans="1:14" x14ac:dyDescent="0.3">
      <c r="A337" s="59">
        <v>1</v>
      </c>
      <c r="B337" s="59">
        <v>4</v>
      </c>
      <c r="C337" s="63">
        <v>336</v>
      </c>
      <c r="D337" s="65">
        <v>2</v>
      </c>
      <c r="E337" s="68" t="s">
        <v>80</v>
      </c>
      <c r="F337" s="65" t="s">
        <v>40</v>
      </c>
      <c r="G337" s="58" t="s">
        <v>9</v>
      </c>
      <c r="H337" s="58" t="s">
        <v>50</v>
      </c>
      <c r="I337" s="66"/>
      <c r="J337" s="66" t="s">
        <v>150</v>
      </c>
      <c r="K337" s="57">
        <f>IF(Table121413[[#This Row],[modality]]=E336,1,0)</f>
        <v>1</v>
      </c>
      <c r="L337" s="66">
        <f>IF(Table121413[[#This Row],[stimulus]]=H338, 1, 0)</f>
        <v>0</v>
      </c>
      <c r="M337" s="66">
        <f t="shared" si="10"/>
        <v>0</v>
      </c>
      <c r="N337" s="66">
        <f t="shared" si="11"/>
        <v>0</v>
      </c>
    </row>
    <row r="338" spans="1:14" x14ac:dyDescent="0.3">
      <c r="A338" s="59">
        <v>1</v>
      </c>
      <c r="B338" s="59">
        <v>4</v>
      </c>
      <c r="C338" s="63">
        <v>337</v>
      </c>
      <c r="D338" s="72">
        <v>1</v>
      </c>
      <c r="E338" s="73" t="s">
        <v>81</v>
      </c>
      <c r="F338" s="74" t="s">
        <v>29</v>
      </c>
      <c r="G338" s="47" t="s">
        <v>42</v>
      </c>
      <c r="H338" s="47" t="s">
        <v>67</v>
      </c>
      <c r="I338" s="66"/>
      <c r="J338" s="66" t="s">
        <v>150</v>
      </c>
      <c r="K338" s="57">
        <f>IF(Table121413[[#This Row],[modality]]=E337,1,0)</f>
        <v>0</v>
      </c>
      <c r="L338" s="66">
        <f>IF(Table121413[[#This Row],[stimulus]]=H339, 1, 0)</f>
        <v>0</v>
      </c>
      <c r="M338" s="66">
        <f t="shared" si="10"/>
        <v>1</v>
      </c>
      <c r="N338" s="66">
        <f t="shared" si="11"/>
        <v>0</v>
      </c>
    </row>
    <row r="339" spans="1:14" x14ac:dyDescent="0.3">
      <c r="A339" s="59">
        <v>1</v>
      </c>
      <c r="B339" s="59">
        <v>4</v>
      </c>
      <c r="C339" s="63">
        <v>338</v>
      </c>
      <c r="D339" s="68">
        <v>2</v>
      </c>
      <c r="E339" s="68" t="s">
        <v>80</v>
      </c>
      <c r="F339" s="68" t="s">
        <v>0</v>
      </c>
      <c r="G339" s="47" t="s">
        <v>41</v>
      </c>
      <c r="H339" s="47" t="s">
        <v>49</v>
      </c>
      <c r="I339" s="66"/>
      <c r="J339" s="66" t="s">
        <v>151</v>
      </c>
      <c r="K339" s="57">
        <f>IF(Table121413[[#This Row],[modality]]=E338,1,0)</f>
        <v>0</v>
      </c>
      <c r="L339" s="66">
        <f>IF(Table121413[[#This Row],[stimulus]]=H340, 1, 0)</f>
        <v>1</v>
      </c>
      <c r="M339" s="66">
        <f t="shared" si="10"/>
        <v>0</v>
      </c>
      <c r="N339" s="66">
        <f t="shared" si="11"/>
        <v>1</v>
      </c>
    </row>
    <row r="340" spans="1:14" x14ac:dyDescent="0.3">
      <c r="A340" s="59">
        <v>1</v>
      </c>
      <c r="B340" s="59">
        <v>4</v>
      </c>
      <c r="C340" s="63">
        <v>339</v>
      </c>
      <c r="D340" s="70">
        <v>1</v>
      </c>
      <c r="E340" s="70" t="s">
        <v>81</v>
      </c>
      <c r="F340" s="70" t="s">
        <v>40</v>
      </c>
      <c r="G340" s="71" t="s">
        <v>10</v>
      </c>
      <c r="H340" s="71" t="s">
        <v>49</v>
      </c>
      <c r="I340" s="66"/>
      <c r="J340" s="66" t="s">
        <v>150</v>
      </c>
      <c r="K340" s="57">
        <f>IF(Table121413[[#This Row],[modality]]=E339,1,0)</f>
        <v>0</v>
      </c>
      <c r="L340" s="66">
        <f>IF(Table121413[[#This Row],[stimulus]]=H341, 1, 0)</f>
        <v>0</v>
      </c>
      <c r="M340" s="66">
        <f t="shared" si="10"/>
        <v>0</v>
      </c>
      <c r="N340" s="66">
        <f t="shared" si="11"/>
        <v>0</v>
      </c>
    </row>
    <row r="341" spans="1:14" x14ac:dyDescent="0.3">
      <c r="A341" s="59">
        <v>1</v>
      </c>
      <c r="B341" s="59">
        <v>4</v>
      </c>
      <c r="C341" s="63">
        <v>340</v>
      </c>
      <c r="D341" s="72">
        <v>1</v>
      </c>
      <c r="E341" s="73" t="s">
        <v>81</v>
      </c>
      <c r="F341" s="74" t="s">
        <v>29</v>
      </c>
      <c r="G341" s="47" t="s">
        <v>42</v>
      </c>
      <c r="H341" s="47" t="s">
        <v>71</v>
      </c>
      <c r="I341" s="66"/>
      <c r="J341" s="66" t="s">
        <v>150</v>
      </c>
      <c r="K341" s="57">
        <f>IF(Table121413[[#This Row],[modality]]=E340,1,0)</f>
        <v>1</v>
      </c>
      <c r="L341" s="66">
        <f>IF(Table121413[[#This Row],[stimulus]]=H342, 1, 0)</f>
        <v>0</v>
      </c>
      <c r="M341" s="66">
        <f t="shared" si="10"/>
        <v>1</v>
      </c>
      <c r="N341" s="66">
        <f t="shared" si="11"/>
        <v>0</v>
      </c>
    </row>
    <row r="342" spans="1:14" x14ac:dyDescent="0.3">
      <c r="A342" s="59">
        <v>1</v>
      </c>
      <c r="B342" s="59">
        <v>4</v>
      </c>
      <c r="C342" s="63">
        <v>341</v>
      </c>
      <c r="D342" s="70">
        <v>1</v>
      </c>
      <c r="E342" s="70" t="s">
        <v>81</v>
      </c>
      <c r="F342" s="70" t="s">
        <v>0</v>
      </c>
      <c r="G342" s="71" t="s">
        <v>41</v>
      </c>
      <c r="H342" s="71" t="s">
        <v>45</v>
      </c>
      <c r="I342" s="66"/>
      <c r="J342" s="66" t="s">
        <v>151</v>
      </c>
      <c r="K342" s="57">
        <f>IF(Table121413[[#This Row],[modality]]=E341,1,0)</f>
        <v>1</v>
      </c>
      <c r="L342" s="66">
        <f>IF(Table121413[[#This Row],[stimulus]]=H343, 1, 0)</f>
        <v>1</v>
      </c>
      <c r="M342" s="66">
        <f t="shared" si="10"/>
        <v>0</v>
      </c>
      <c r="N342" s="66">
        <f t="shared" si="11"/>
        <v>1</v>
      </c>
    </row>
    <row r="343" spans="1:14" x14ac:dyDescent="0.3">
      <c r="A343" s="59">
        <v>1</v>
      </c>
      <c r="B343" s="59">
        <v>4</v>
      </c>
      <c r="C343" s="63">
        <v>342</v>
      </c>
      <c r="D343" s="68">
        <v>2</v>
      </c>
      <c r="E343" s="68" t="s">
        <v>80</v>
      </c>
      <c r="F343" s="68" t="s">
        <v>40</v>
      </c>
      <c r="G343" s="47" t="s">
        <v>10</v>
      </c>
      <c r="H343" s="47" t="s">
        <v>45</v>
      </c>
      <c r="I343" s="66"/>
      <c r="J343" s="66" t="s">
        <v>150</v>
      </c>
      <c r="K343" s="57">
        <f>IF(Table121413[[#This Row],[modality]]=E342,1,0)</f>
        <v>0</v>
      </c>
      <c r="L343" s="66">
        <f>IF(Table121413[[#This Row],[stimulus]]=H344, 1, 0)</f>
        <v>0</v>
      </c>
      <c r="M343" s="66">
        <f t="shared" si="10"/>
        <v>0</v>
      </c>
      <c r="N343" s="66">
        <f t="shared" si="11"/>
        <v>0</v>
      </c>
    </row>
    <row r="344" spans="1:14" x14ac:dyDescent="0.3">
      <c r="A344" s="59">
        <v>1</v>
      </c>
      <c r="B344" s="59">
        <v>4</v>
      </c>
      <c r="C344" s="63">
        <v>343</v>
      </c>
      <c r="D344" s="70">
        <v>2</v>
      </c>
      <c r="E344" s="70" t="s">
        <v>80</v>
      </c>
      <c r="F344" s="70" t="s">
        <v>0</v>
      </c>
      <c r="G344" s="71" t="s">
        <v>41</v>
      </c>
      <c r="H344" s="71" t="s">
        <v>44</v>
      </c>
      <c r="I344" s="66"/>
      <c r="J344" s="66" t="s">
        <v>151</v>
      </c>
      <c r="K344" s="57">
        <f>IF(Table121413[[#This Row],[modality]]=E343,1,0)</f>
        <v>1</v>
      </c>
      <c r="L344" s="66">
        <f>IF(Table121413[[#This Row],[stimulus]]=H345, 1, 0)</f>
        <v>1</v>
      </c>
      <c r="M344" s="66">
        <f t="shared" si="10"/>
        <v>1</v>
      </c>
      <c r="N344" s="66">
        <f t="shared" si="11"/>
        <v>0</v>
      </c>
    </row>
    <row r="345" spans="1:14" x14ac:dyDescent="0.3">
      <c r="A345" s="59">
        <v>1</v>
      </c>
      <c r="B345" s="59">
        <v>4</v>
      </c>
      <c r="C345" s="63">
        <v>344</v>
      </c>
      <c r="D345" s="68">
        <v>1</v>
      </c>
      <c r="E345" s="68" t="s">
        <v>81</v>
      </c>
      <c r="F345" s="68" t="s">
        <v>40</v>
      </c>
      <c r="G345" s="47" t="s">
        <v>10</v>
      </c>
      <c r="H345" s="47" t="s">
        <v>44</v>
      </c>
      <c r="I345" s="66"/>
      <c r="J345" s="66" t="s">
        <v>150</v>
      </c>
      <c r="K345" s="57">
        <f>IF(Table121413[[#This Row],[modality]]=E344,1,0)</f>
        <v>0</v>
      </c>
      <c r="L345" s="66">
        <f>IF(Table121413[[#This Row],[stimulus]]=H346, 1, 0)</f>
        <v>0</v>
      </c>
      <c r="M345" s="66">
        <f t="shared" si="10"/>
        <v>0</v>
      </c>
      <c r="N345" s="66">
        <f t="shared" si="11"/>
        <v>0</v>
      </c>
    </row>
    <row r="346" spans="1:14" x14ac:dyDescent="0.3">
      <c r="A346" s="59">
        <v>1</v>
      </c>
      <c r="B346" s="59">
        <v>4</v>
      </c>
      <c r="C346" s="63">
        <v>345</v>
      </c>
      <c r="D346" s="72">
        <v>1</v>
      </c>
      <c r="E346" s="72" t="s">
        <v>81</v>
      </c>
      <c r="F346" s="74" t="s">
        <v>29</v>
      </c>
      <c r="G346" s="71" t="s">
        <v>42</v>
      </c>
      <c r="H346" s="71" t="s">
        <v>68</v>
      </c>
      <c r="I346" s="66"/>
      <c r="J346" s="66" t="s">
        <v>150</v>
      </c>
      <c r="K346" s="57">
        <f>IF(Table121413[[#This Row],[modality]]=E345,1,0)</f>
        <v>1</v>
      </c>
      <c r="L346" s="66">
        <f>IF(Table121413[[#This Row],[stimulus]]=H347, 1, 0)</f>
        <v>0</v>
      </c>
      <c r="M346" s="66">
        <f t="shared" si="10"/>
        <v>1</v>
      </c>
      <c r="N346" s="66">
        <f t="shared" si="11"/>
        <v>0</v>
      </c>
    </row>
    <row r="347" spans="1:14" x14ac:dyDescent="0.3">
      <c r="A347" s="59">
        <v>1</v>
      </c>
      <c r="B347" s="59">
        <v>4</v>
      </c>
      <c r="C347" s="63">
        <v>346</v>
      </c>
      <c r="D347" s="72">
        <v>2</v>
      </c>
      <c r="E347" s="73" t="s">
        <v>80</v>
      </c>
      <c r="F347" s="74" t="s">
        <v>29</v>
      </c>
      <c r="G347" s="47" t="s">
        <v>42</v>
      </c>
      <c r="H347" s="47" t="s">
        <v>70</v>
      </c>
      <c r="I347" s="66"/>
      <c r="J347" s="66" t="s">
        <v>151</v>
      </c>
      <c r="K347" s="57">
        <f>IF(Table121413[[#This Row],[modality]]=E346,1,0)</f>
        <v>0</v>
      </c>
      <c r="L347" s="66">
        <f>IF(Table121413[[#This Row],[stimulus]]=H348, 1, 0)</f>
        <v>0</v>
      </c>
      <c r="M347" s="66">
        <f t="shared" si="10"/>
        <v>0</v>
      </c>
      <c r="N347" s="66">
        <f t="shared" si="11"/>
        <v>1</v>
      </c>
    </row>
    <row r="348" spans="1:14" x14ac:dyDescent="0.3">
      <c r="A348" s="59">
        <v>1</v>
      </c>
      <c r="B348" s="59">
        <v>4</v>
      </c>
      <c r="C348" s="63">
        <v>347</v>
      </c>
      <c r="D348" s="68">
        <v>1</v>
      </c>
      <c r="E348" s="68" t="s">
        <v>81</v>
      </c>
      <c r="F348" s="68" t="s">
        <v>0</v>
      </c>
      <c r="G348" s="47" t="s">
        <v>41</v>
      </c>
      <c r="H348" s="47" t="s">
        <v>46</v>
      </c>
      <c r="I348" s="66"/>
      <c r="J348" s="66" t="s">
        <v>151</v>
      </c>
      <c r="K348" s="57">
        <f>IF(Table121413[[#This Row],[modality]]=E347,1,0)</f>
        <v>0</v>
      </c>
      <c r="L348" s="66">
        <f>IF(Table121413[[#This Row],[stimulus]]=H349, 1, 0)</f>
        <v>1</v>
      </c>
      <c r="M348" s="66">
        <f t="shared" si="10"/>
        <v>0</v>
      </c>
      <c r="N348" s="66">
        <f t="shared" si="11"/>
        <v>1</v>
      </c>
    </row>
    <row r="349" spans="1:14" x14ac:dyDescent="0.3">
      <c r="A349" s="59">
        <v>1</v>
      </c>
      <c r="B349" s="59">
        <v>4</v>
      </c>
      <c r="C349" s="63">
        <v>348</v>
      </c>
      <c r="D349" s="65">
        <v>1</v>
      </c>
      <c r="E349" s="68" t="s">
        <v>81</v>
      </c>
      <c r="F349" s="65" t="s">
        <v>40</v>
      </c>
      <c r="G349" s="58" t="s">
        <v>9</v>
      </c>
      <c r="H349" s="58" t="s">
        <v>46</v>
      </c>
      <c r="I349" s="66"/>
      <c r="J349" s="66" t="s">
        <v>150</v>
      </c>
      <c r="K349" s="57">
        <f>IF(Table121413[[#This Row],[modality]]=E348,1,0)</f>
        <v>1</v>
      </c>
      <c r="L349" s="66">
        <f>IF(Table121413[[#This Row],[stimulus]]=H350, 1, 0)</f>
        <v>0</v>
      </c>
      <c r="M349" s="66">
        <f t="shared" si="10"/>
        <v>0</v>
      </c>
      <c r="N349" s="66">
        <f t="shared" si="11"/>
        <v>0</v>
      </c>
    </row>
    <row r="350" spans="1:14" x14ac:dyDescent="0.3">
      <c r="A350" s="59">
        <v>1</v>
      </c>
      <c r="B350" s="59">
        <v>4</v>
      </c>
      <c r="C350" s="63">
        <v>349</v>
      </c>
      <c r="D350" s="72">
        <v>2</v>
      </c>
      <c r="E350" s="72" t="s">
        <v>80</v>
      </c>
      <c r="F350" s="74" t="s">
        <v>29</v>
      </c>
      <c r="G350" s="71" t="s">
        <v>42</v>
      </c>
      <c r="H350" s="71" t="s">
        <v>73</v>
      </c>
      <c r="I350" s="66"/>
      <c r="J350" s="66" t="s">
        <v>150</v>
      </c>
      <c r="K350" s="57">
        <f>IF(Table121413[[#This Row],[modality]]=E349,1,0)</f>
        <v>0</v>
      </c>
      <c r="L350" s="66">
        <f>IF(Table121413[[#This Row],[stimulus]]=H351, 1, 0)</f>
        <v>0</v>
      </c>
      <c r="M350" s="66">
        <f t="shared" si="10"/>
        <v>1</v>
      </c>
      <c r="N350" s="66">
        <f t="shared" si="11"/>
        <v>0</v>
      </c>
    </row>
    <row r="351" spans="1:14" x14ac:dyDescent="0.3">
      <c r="A351" s="59">
        <v>1</v>
      </c>
      <c r="B351" s="59">
        <v>4</v>
      </c>
      <c r="C351" s="63">
        <v>350</v>
      </c>
      <c r="D351" s="68">
        <v>1</v>
      </c>
      <c r="E351" s="68" t="s">
        <v>81</v>
      </c>
      <c r="F351" s="68" t="s">
        <v>0</v>
      </c>
      <c r="G351" s="47" t="s">
        <v>41</v>
      </c>
      <c r="H351" s="47" t="s">
        <v>43</v>
      </c>
      <c r="I351" s="66"/>
      <c r="J351" s="66" t="s">
        <v>151</v>
      </c>
      <c r="K351" s="57">
        <f>IF(Table121413[[#This Row],[modality]]=E350,1,0)</f>
        <v>0</v>
      </c>
      <c r="L351" s="66">
        <f>IF(Table121413[[#This Row],[stimulus]]=H352, 1, 0)</f>
        <v>1</v>
      </c>
      <c r="M351" s="66">
        <f t="shared" si="10"/>
        <v>0</v>
      </c>
      <c r="N351" s="66">
        <f t="shared" si="11"/>
        <v>1</v>
      </c>
    </row>
    <row r="352" spans="1:14" x14ac:dyDescent="0.3">
      <c r="A352" s="59">
        <v>1</v>
      </c>
      <c r="B352" s="59">
        <v>4</v>
      </c>
      <c r="C352" s="63">
        <v>351</v>
      </c>
      <c r="D352" s="70">
        <v>1</v>
      </c>
      <c r="E352" s="68" t="s">
        <v>81</v>
      </c>
      <c r="F352" s="70" t="s">
        <v>40</v>
      </c>
      <c r="G352" s="71" t="s">
        <v>9</v>
      </c>
      <c r="H352" s="71" t="s">
        <v>43</v>
      </c>
      <c r="I352" s="66"/>
      <c r="J352" s="66" t="s">
        <v>150</v>
      </c>
      <c r="K352" s="57">
        <f>IF(Table121413[[#This Row],[modality]]=E351,1,0)</f>
        <v>1</v>
      </c>
      <c r="L352" s="66">
        <f>IF(Table121413[[#This Row],[stimulus]]=H353, 1, 0)</f>
        <v>0</v>
      </c>
      <c r="M352" s="66">
        <f t="shared" si="10"/>
        <v>0</v>
      </c>
      <c r="N352" s="66">
        <f t="shared" si="11"/>
        <v>0</v>
      </c>
    </row>
    <row r="353" spans="1:14" x14ac:dyDescent="0.3">
      <c r="A353" s="59">
        <v>1</v>
      </c>
      <c r="B353" s="59">
        <v>4</v>
      </c>
      <c r="C353" s="63">
        <v>352</v>
      </c>
      <c r="D353" s="68">
        <v>1</v>
      </c>
      <c r="E353" s="68" t="s">
        <v>81</v>
      </c>
      <c r="F353" s="68" t="s">
        <v>0</v>
      </c>
      <c r="G353" s="47" t="s">
        <v>41</v>
      </c>
      <c r="H353" s="47" t="s">
        <v>48</v>
      </c>
      <c r="I353" s="66"/>
      <c r="J353" s="66" t="s">
        <v>151</v>
      </c>
      <c r="K353" s="57">
        <f>IF(Table121413[[#This Row],[modality]]=E352,1,0)</f>
        <v>1</v>
      </c>
      <c r="L353" s="66">
        <f>IF(Table121413[[#This Row],[stimulus]]=H354, 1, 0)</f>
        <v>1</v>
      </c>
      <c r="M353" s="66">
        <f t="shared" si="10"/>
        <v>1</v>
      </c>
      <c r="N353" s="66">
        <f t="shared" si="11"/>
        <v>0</v>
      </c>
    </row>
    <row r="354" spans="1:14" x14ac:dyDescent="0.3">
      <c r="A354" s="59">
        <v>1</v>
      </c>
      <c r="B354" s="59">
        <v>4</v>
      </c>
      <c r="C354" s="63">
        <v>353</v>
      </c>
      <c r="D354" s="70">
        <v>2</v>
      </c>
      <c r="E354" s="70" t="s">
        <v>80</v>
      </c>
      <c r="F354" s="70" t="s">
        <v>40</v>
      </c>
      <c r="G354" s="71" t="s">
        <v>10</v>
      </c>
      <c r="H354" s="71" t="s">
        <v>48</v>
      </c>
      <c r="I354" s="66"/>
      <c r="J354" s="66" t="s">
        <v>150</v>
      </c>
      <c r="K354" s="57">
        <f>IF(Table121413[[#This Row],[modality]]=E353,1,0)</f>
        <v>0</v>
      </c>
      <c r="L354" s="66">
        <f>IF(Table121413[[#This Row],[stimulus]]=H355, 1, 0)</f>
        <v>0</v>
      </c>
      <c r="M354" s="66">
        <f t="shared" si="10"/>
        <v>0</v>
      </c>
      <c r="N354" s="66">
        <f t="shared" si="11"/>
        <v>0</v>
      </c>
    </row>
    <row r="355" spans="1:14" x14ac:dyDescent="0.3">
      <c r="A355" s="58">
        <v>2</v>
      </c>
      <c r="B355" s="59">
        <v>4</v>
      </c>
      <c r="C355" s="63">
        <v>354</v>
      </c>
      <c r="D355" s="78">
        <v>1</v>
      </c>
      <c r="E355" s="78" t="s">
        <v>81</v>
      </c>
      <c r="F355" s="78" t="s">
        <v>29</v>
      </c>
      <c r="G355" s="58" t="s">
        <v>42</v>
      </c>
      <c r="H355" s="58" t="s">
        <v>47</v>
      </c>
      <c r="I355" s="66"/>
      <c r="J355" s="66" t="s">
        <v>150</v>
      </c>
      <c r="K355" s="57">
        <f>IF(Table121413[[#This Row],[modality]]=E354,1,0)</f>
        <v>0</v>
      </c>
      <c r="L355" s="66">
        <f>IF(Table121413[[#This Row],[stimulus]]=H356, 1, 0)</f>
        <v>0</v>
      </c>
      <c r="M355" s="66">
        <f t="shared" si="10"/>
        <v>1</v>
      </c>
      <c r="N355" s="66">
        <f t="shared" si="11"/>
        <v>0</v>
      </c>
    </row>
    <row r="356" spans="1:14" x14ac:dyDescent="0.3">
      <c r="A356" s="58">
        <v>2</v>
      </c>
      <c r="B356" s="59">
        <v>4</v>
      </c>
      <c r="C356" s="63">
        <v>355</v>
      </c>
      <c r="D356" s="70">
        <v>1</v>
      </c>
      <c r="E356" s="70" t="s">
        <v>81</v>
      </c>
      <c r="F356" s="70" t="s">
        <v>0</v>
      </c>
      <c r="G356" s="71" t="s">
        <v>41</v>
      </c>
      <c r="H356" s="71" t="s">
        <v>51</v>
      </c>
      <c r="I356" s="66"/>
      <c r="J356" s="66" t="s">
        <v>151</v>
      </c>
      <c r="K356" s="57">
        <f>IF(Table121413[[#This Row],[modality]]=E355,1,0)</f>
        <v>1</v>
      </c>
      <c r="L356" s="66">
        <f>IF(Table121413[[#This Row],[stimulus]]=H357, 1, 0)</f>
        <v>1</v>
      </c>
      <c r="M356" s="66">
        <f t="shared" si="10"/>
        <v>0</v>
      </c>
      <c r="N356" s="66">
        <f t="shared" si="11"/>
        <v>1</v>
      </c>
    </row>
    <row r="357" spans="1:14" x14ac:dyDescent="0.3">
      <c r="A357" s="58">
        <v>2</v>
      </c>
      <c r="B357" s="59">
        <v>4</v>
      </c>
      <c r="C357" s="63">
        <v>356</v>
      </c>
      <c r="D357" s="65">
        <v>1</v>
      </c>
      <c r="E357" s="65" t="s">
        <v>81</v>
      </c>
      <c r="F357" s="65" t="s">
        <v>40</v>
      </c>
      <c r="G357" s="58" t="s">
        <v>9</v>
      </c>
      <c r="H357" s="58" t="s">
        <v>51</v>
      </c>
      <c r="I357" s="66"/>
      <c r="J357" s="66" t="s">
        <v>150</v>
      </c>
      <c r="K357" s="57">
        <f>IF(Table121413[[#This Row],[modality]]=E356,1,0)</f>
        <v>1</v>
      </c>
      <c r="L357" s="66">
        <f>IF(Table121413[[#This Row],[stimulus]]=H358, 1, 0)</f>
        <v>0</v>
      </c>
      <c r="M357" s="66">
        <f t="shared" si="10"/>
        <v>0</v>
      </c>
      <c r="N357" s="66">
        <f t="shared" si="11"/>
        <v>0</v>
      </c>
    </row>
    <row r="358" spans="1:14" x14ac:dyDescent="0.3">
      <c r="A358" s="58">
        <v>2</v>
      </c>
      <c r="B358" s="59">
        <v>4</v>
      </c>
      <c r="C358" s="63">
        <v>357</v>
      </c>
      <c r="D358" s="78">
        <v>2</v>
      </c>
      <c r="E358" s="78" t="s">
        <v>80</v>
      </c>
      <c r="F358" s="78" t="s">
        <v>29</v>
      </c>
      <c r="G358" s="71" t="s">
        <v>42</v>
      </c>
      <c r="H358" s="71" t="s">
        <v>43</v>
      </c>
      <c r="I358" s="66"/>
      <c r="J358" s="66" t="s">
        <v>150</v>
      </c>
      <c r="K358" s="57">
        <f>IF(Table121413[[#This Row],[modality]]=E357,1,0)</f>
        <v>0</v>
      </c>
      <c r="L358" s="66">
        <f>IF(Table121413[[#This Row],[stimulus]]=H359, 1, 0)</f>
        <v>0</v>
      </c>
      <c r="M358" s="66">
        <f t="shared" si="10"/>
        <v>1</v>
      </c>
      <c r="N358" s="66">
        <f t="shared" si="11"/>
        <v>0</v>
      </c>
    </row>
    <row r="359" spans="1:14" x14ac:dyDescent="0.3">
      <c r="A359" s="58">
        <v>2</v>
      </c>
      <c r="B359" s="59">
        <v>4</v>
      </c>
      <c r="C359" s="63">
        <v>358</v>
      </c>
      <c r="D359" s="76">
        <v>2</v>
      </c>
      <c r="E359" s="76" t="s">
        <v>80</v>
      </c>
      <c r="F359" s="76" t="s">
        <v>29</v>
      </c>
      <c r="G359" s="77" t="s">
        <v>42</v>
      </c>
      <c r="H359" s="77" t="s">
        <v>44</v>
      </c>
      <c r="I359" s="66"/>
      <c r="J359" s="66" t="s">
        <v>151</v>
      </c>
      <c r="K359" s="57">
        <f>IF(Table121413[[#This Row],[modality]]=E358,1,0)</f>
        <v>1</v>
      </c>
      <c r="L359" s="66">
        <f>IF(Table121413[[#This Row],[stimulus]]=H360, 1, 0)</f>
        <v>0</v>
      </c>
      <c r="M359" s="66">
        <f t="shared" si="10"/>
        <v>0</v>
      </c>
      <c r="N359" s="66">
        <f t="shared" si="11"/>
        <v>1</v>
      </c>
    </row>
    <row r="360" spans="1:14" x14ac:dyDescent="0.3">
      <c r="A360" s="58">
        <v>2</v>
      </c>
      <c r="B360" s="59">
        <v>4</v>
      </c>
      <c r="C360" s="63">
        <v>359</v>
      </c>
      <c r="D360" s="68">
        <v>1</v>
      </c>
      <c r="E360" s="68" t="s">
        <v>81</v>
      </c>
      <c r="F360" s="68" t="s">
        <v>0</v>
      </c>
      <c r="G360" s="47" t="s">
        <v>41</v>
      </c>
      <c r="H360" s="47" t="s">
        <v>55</v>
      </c>
      <c r="I360" s="66"/>
      <c r="J360" s="66" t="s">
        <v>151</v>
      </c>
      <c r="K360" s="57">
        <f>IF(Table121413[[#This Row],[modality]]=E359,1,0)</f>
        <v>0</v>
      </c>
      <c r="L360" s="66">
        <f>IF(Table121413[[#This Row],[stimulus]]=H361, 1, 0)</f>
        <v>1</v>
      </c>
      <c r="M360" s="66">
        <f t="shared" si="10"/>
        <v>0</v>
      </c>
      <c r="N360" s="66">
        <f t="shared" si="11"/>
        <v>1</v>
      </c>
    </row>
    <row r="361" spans="1:14" x14ac:dyDescent="0.3">
      <c r="A361" s="58">
        <v>2</v>
      </c>
      <c r="B361" s="59">
        <v>4</v>
      </c>
      <c r="C361" s="63">
        <v>360</v>
      </c>
      <c r="D361" s="70">
        <v>1</v>
      </c>
      <c r="E361" s="70" t="s">
        <v>81</v>
      </c>
      <c r="F361" s="70" t="s">
        <v>40</v>
      </c>
      <c r="G361" s="71" t="s">
        <v>9</v>
      </c>
      <c r="H361" s="71" t="s">
        <v>55</v>
      </c>
      <c r="I361" s="66"/>
      <c r="J361" s="66" t="s">
        <v>150</v>
      </c>
      <c r="K361" s="57">
        <f>IF(Table121413[[#This Row],[modality]]=E360,1,0)</f>
        <v>1</v>
      </c>
      <c r="L361" s="66">
        <f>IF(Table121413[[#This Row],[stimulus]]=H362, 1, 0)</f>
        <v>0</v>
      </c>
      <c r="M361" s="66">
        <f t="shared" si="10"/>
        <v>0</v>
      </c>
      <c r="N361" s="66">
        <f t="shared" si="11"/>
        <v>0</v>
      </c>
    </row>
    <row r="362" spans="1:14" x14ac:dyDescent="0.3">
      <c r="A362" s="58">
        <v>2</v>
      </c>
      <c r="B362" s="59">
        <v>4</v>
      </c>
      <c r="C362" s="63">
        <v>361</v>
      </c>
      <c r="D362" s="78">
        <v>1</v>
      </c>
      <c r="E362" s="78" t="s">
        <v>81</v>
      </c>
      <c r="F362" s="78" t="s">
        <v>29</v>
      </c>
      <c r="G362" s="47" t="s">
        <v>42</v>
      </c>
      <c r="H362" s="47" t="s">
        <v>50</v>
      </c>
      <c r="I362" s="66"/>
      <c r="J362" s="66" t="s">
        <v>150</v>
      </c>
      <c r="K362" s="57">
        <f>IF(Table121413[[#This Row],[modality]]=E361,1,0)</f>
        <v>1</v>
      </c>
      <c r="L362" s="66">
        <f>IF(Table121413[[#This Row],[stimulus]]=H363, 1, 0)</f>
        <v>0</v>
      </c>
      <c r="M362" s="66">
        <f t="shared" si="10"/>
        <v>1</v>
      </c>
      <c r="N362" s="66">
        <f t="shared" si="11"/>
        <v>0</v>
      </c>
    </row>
    <row r="363" spans="1:14" x14ac:dyDescent="0.3">
      <c r="A363" s="58">
        <v>2</v>
      </c>
      <c r="B363" s="59">
        <v>4</v>
      </c>
      <c r="C363" s="63">
        <v>362</v>
      </c>
      <c r="D363" s="93">
        <v>2</v>
      </c>
      <c r="E363" s="93" t="s">
        <v>80</v>
      </c>
      <c r="F363" s="93" t="s">
        <v>29</v>
      </c>
      <c r="G363" s="53" t="s">
        <v>42</v>
      </c>
      <c r="H363" s="53"/>
      <c r="I363" s="75" t="s">
        <v>127</v>
      </c>
      <c r="J363" s="104" t="s">
        <v>151</v>
      </c>
      <c r="K363" s="57">
        <f>IF(Table121413[[#This Row],[modality]]=E362,1,0)</f>
        <v>0</v>
      </c>
      <c r="L363" s="66">
        <f>IF(Table121413[[#This Row],[stimulus]]=H364, 1, 0)</f>
        <v>0</v>
      </c>
      <c r="M363" s="66">
        <f t="shared" si="10"/>
        <v>0</v>
      </c>
      <c r="N363" s="66">
        <f t="shared" si="11"/>
        <v>1</v>
      </c>
    </row>
    <row r="364" spans="1:14" x14ac:dyDescent="0.3">
      <c r="A364" s="58">
        <v>2</v>
      </c>
      <c r="B364" s="59">
        <v>4</v>
      </c>
      <c r="C364" s="63">
        <v>363</v>
      </c>
      <c r="D364" s="78">
        <v>1</v>
      </c>
      <c r="E364" s="78" t="s">
        <v>81</v>
      </c>
      <c r="F364" s="78" t="s">
        <v>29</v>
      </c>
      <c r="G364" s="58" t="s">
        <v>42</v>
      </c>
      <c r="H364" s="58" t="s">
        <v>49</v>
      </c>
      <c r="I364" s="66"/>
      <c r="J364" s="66" t="s">
        <v>151</v>
      </c>
      <c r="K364" s="57">
        <f>IF(Table121413[[#This Row],[modality]]=E363,1,0)</f>
        <v>0</v>
      </c>
      <c r="L364" s="66">
        <f>IF(Table121413[[#This Row],[stimulus]]=H365, 1, 0)</f>
        <v>0</v>
      </c>
      <c r="M364" s="66">
        <f t="shared" si="10"/>
        <v>0</v>
      </c>
      <c r="N364" s="66">
        <f t="shared" si="11"/>
        <v>1</v>
      </c>
    </row>
    <row r="365" spans="1:14" x14ac:dyDescent="0.3">
      <c r="A365" s="58">
        <v>2</v>
      </c>
      <c r="B365" s="59">
        <v>4</v>
      </c>
      <c r="C365" s="63">
        <v>364</v>
      </c>
      <c r="D365" s="68">
        <v>1</v>
      </c>
      <c r="E365" s="68" t="s">
        <v>81</v>
      </c>
      <c r="F365" s="68" t="s">
        <v>0</v>
      </c>
      <c r="G365" s="47" t="s">
        <v>41</v>
      </c>
      <c r="H365" s="47" t="s">
        <v>53</v>
      </c>
      <c r="I365" s="66"/>
      <c r="J365" s="66" t="s">
        <v>151</v>
      </c>
      <c r="K365" s="57">
        <f>IF(Table121413[[#This Row],[modality]]=E364,1,0)</f>
        <v>1</v>
      </c>
      <c r="L365" s="66">
        <f>IF(Table121413[[#This Row],[stimulus]]=H366, 1, 0)</f>
        <v>1</v>
      </c>
      <c r="M365" s="66">
        <f t="shared" si="10"/>
        <v>0</v>
      </c>
      <c r="N365" s="66">
        <f t="shared" si="11"/>
        <v>1</v>
      </c>
    </row>
    <row r="366" spans="1:14" x14ac:dyDescent="0.3">
      <c r="A366" s="58">
        <v>2</v>
      </c>
      <c r="B366" s="59">
        <v>4</v>
      </c>
      <c r="C366" s="63">
        <v>365</v>
      </c>
      <c r="D366" s="65">
        <v>1</v>
      </c>
      <c r="E366" s="103" t="s">
        <v>80</v>
      </c>
      <c r="F366" s="65" t="s">
        <v>40</v>
      </c>
      <c r="G366" s="58" t="s">
        <v>10</v>
      </c>
      <c r="H366" s="58" t="s">
        <v>53</v>
      </c>
      <c r="I366" s="66"/>
      <c r="J366" s="66" t="s">
        <v>150</v>
      </c>
      <c r="K366" s="57">
        <f>IF(Table121413[[#This Row],[modality]]=E365,1,0)</f>
        <v>0</v>
      </c>
      <c r="L366" s="66">
        <f>IF(Table121413[[#This Row],[stimulus]]=H367, 1, 0)</f>
        <v>0</v>
      </c>
      <c r="M366" s="66">
        <f t="shared" si="10"/>
        <v>0</v>
      </c>
      <c r="N366" s="66">
        <f t="shared" si="11"/>
        <v>0</v>
      </c>
    </row>
    <row r="367" spans="1:14" x14ac:dyDescent="0.3">
      <c r="A367" s="58">
        <v>2</v>
      </c>
      <c r="B367" s="59">
        <v>4</v>
      </c>
      <c r="C367" s="63">
        <v>366</v>
      </c>
      <c r="D367" s="78">
        <v>2</v>
      </c>
      <c r="E367" s="78" t="s">
        <v>80</v>
      </c>
      <c r="F367" s="78" t="s">
        <v>29</v>
      </c>
      <c r="G367" s="47" t="s">
        <v>42</v>
      </c>
      <c r="H367" s="47" t="s">
        <v>45</v>
      </c>
      <c r="I367" s="66"/>
      <c r="J367" s="66" t="s">
        <v>150</v>
      </c>
      <c r="K367" s="57">
        <f>IF(Table121413[[#This Row],[modality]]=E366,1,0)</f>
        <v>1</v>
      </c>
      <c r="L367" s="66">
        <f>IF(Table121413[[#This Row],[stimulus]]=H368, 1, 0)</f>
        <v>0</v>
      </c>
      <c r="M367" s="66">
        <f t="shared" si="10"/>
        <v>1</v>
      </c>
      <c r="N367" s="66">
        <f t="shared" si="11"/>
        <v>0</v>
      </c>
    </row>
    <row r="368" spans="1:14" x14ac:dyDescent="0.3">
      <c r="A368" s="58">
        <v>2</v>
      </c>
      <c r="B368" s="59">
        <v>4</v>
      </c>
      <c r="C368" s="63">
        <v>367</v>
      </c>
      <c r="D368" s="65">
        <v>2</v>
      </c>
      <c r="E368" s="65" t="s">
        <v>80</v>
      </c>
      <c r="F368" s="65" t="s">
        <v>0</v>
      </c>
      <c r="G368" s="58" t="s">
        <v>41</v>
      </c>
      <c r="H368" s="58" t="s">
        <v>57</v>
      </c>
      <c r="I368" s="66"/>
      <c r="J368" s="66" t="s">
        <v>151</v>
      </c>
      <c r="K368" s="57">
        <f>IF(Table121413[[#This Row],[modality]]=E367,1,0)</f>
        <v>1</v>
      </c>
      <c r="L368" s="66">
        <f>IF(Table121413[[#This Row],[stimulus]]=H369, 1, 0)</f>
        <v>1</v>
      </c>
      <c r="M368" s="66">
        <f t="shared" si="10"/>
        <v>0</v>
      </c>
      <c r="N368" s="66">
        <f t="shared" si="11"/>
        <v>1</v>
      </c>
    </row>
    <row r="369" spans="1:14" x14ac:dyDescent="0.3">
      <c r="A369" s="58">
        <v>2</v>
      </c>
      <c r="B369" s="59">
        <v>4</v>
      </c>
      <c r="C369" s="63">
        <v>368</v>
      </c>
      <c r="D369" s="70">
        <v>1</v>
      </c>
      <c r="E369" s="70" t="s">
        <v>81</v>
      </c>
      <c r="F369" s="70" t="s">
        <v>40</v>
      </c>
      <c r="G369" s="71" t="s">
        <v>10</v>
      </c>
      <c r="H369" s="71" t="s">
        <v>57</v>
      </c>
      <c r="I369" s="66"/>
      <c r="J369" s="66" t="s">
        <v>150</v>
      </c>
      <c r="K369" s="57">
        <f>IF(Table121413[[#This Row],[modality]]=E368,1,0)</f>
        <v>0</v>
      </c>
      <c r="L369" s="66">
        <f>IF(Table121413[[#This Row],[stimulus]]=H370, 1, 0)</f>
        <v>0</v>
      </c>
      <c r="M369" s="66">
        <f t="shared" si="10"/>
        <v>0</v>
      </c>
      <c r="N369" s="66">
        <f t="shared" si="11"/>
        <v>0</v>
      </c>
    </row>
    <row r="370" spans="1:14" x14ac:dyDescent="0.3">
      <c r="A370" s="58">
        <v>2</v>
      </c>
      <c r="B370" s="59">
        <v>4</v>
      </c>
      <c r="C370" s="63">
        <v>369</v>
      </c>
      <c r="D370" s="78">
        <v>1</v>
      </c>
      <c r="E370" s="78" t="s">
        <v>81</v>
      </c>
      <c r="F370" s="78" t="s">
        <v>29</v>
      </c>
      <c r="G370" s="58" t="s">
        <v>42</v>
      </c>
      <c r="H370" s="58" t="s">
        <v>44</v>
      </c>
      <c r="I370" s="66"/>
      <c r="J370" s="66" t="s">
        <v>150</v>
      </c>
      <c r="K370" s="57">
        <f>IF(Table121413[[#This Row],[modality]]=E369,1,0)</f>
        <v>1</v>
      </c>
      <c r="L370" s="66">
        <f>IF(Table121413[[#This Row],[stimulus]]=H371, 1, 0)</f>
        <v>0</v>
      </c>
      <c r="M370" s="66">
        <f t="shared" si="10"/>
        <v>1</v>
      </c>
      <c r="N370" s="66">
        <f t="shared" si="11"/>
        <v>0</v>
      </c>
    </row>
    <row r="371" spans="1:14" x14ac:dyDescent="0.3">
      <c r="A371" s="58">
        <v>2</v>
      </c>
      <c r="B371" s="59">
        <v>4</v>
      </c>
      <c r="C371" s="63">
        <v>370</v>
      </c>
      <c r="D371" s="68">
        <v>1</v>
      </c>
      <c r="E371" s="68" t="s">
        <v>81</v>
      </c>
      <c r="F371" s="68" t="s">
        <v>0</v>
      </c>
      <c r="G371" s="47" t="s">
        <v>41</v>
      </c>
      <c r="H371" s="47" t="s">
        <v>52</v>
      </c>
      <c r="I371" s="66"/>
      <c r="J371" s="66" t="s">
        <v>151</v>
      </c>
      <c r="K371" s="57">
        <f>IF(Table121413[[#This Row],[modality]]=E370,1,0)</f>
        <v>1</v>
      </c>
      <c r="L371" s="66">
        <f>IF(Table121413[[#This Row],[stimulus]]=H372, 1, 0)</f>
        <v>1</v>
      </c>
      <c r="M371" s="66">
        <f t="shared" si="10"/>
        <v>0</v>
      </c>
      <c r="N371" s="66">
        <f t="shared" si="11"/>
        <v>1</v>
      </c>
    </row>
    <row r="372" spans="1:14" x14ac:dyDescent="0.3">
      <c r="A372" s="58">
        <v>2</v>
      </c>
      <c r="B372" s="59">
        <v>4</v>
      </c>
      <c r="C372" s="63">
        <v>371</v>
      </c>
      <c r="D372" s="65">
        <v>2</v>
      </c>
      <c r="E372" s="65" t="s">
        <v>80</v>
      </c>
      <c r="F372" s="65" t="s">
        <v>40</v>
      </c>
      <c r="G372" s="58" t="s">
        <v>10</v>
      </c>
      <c r="H372" s="58" t="s">
        <v>52</v>
      </c>
      <c r="I372" s="66"/>
      <c r="J372" s="66" t="s">
        <v>150</v>
      </c>
      <c r="K372" s="57">
        <f>IF(Table121413[[#This Row],[modality]]=E371,1,0)</f>
        <v>0</v>
      </c>
      <c r="L372" s="66">
        <f>IF(Table121413[[#This Row],[stimulus]]=H373, 1, 0)</f>
        <v>0</v>
      </c>
      <c r="M372" s="66">
        <f t="shared" si="10"/>
        <v>0</v>
      </c>
      <c r="N372" s="66">
        <f t="shared" si="11"/>
        <v>0</v>
      </c>
    </row>
    <row r="373" spans="1:14" x14ac:dyDescent="0.3">
      <c r="A373" s="58">
        <v>2</v>
      </c>
      <c r="B373" s="59">
        <v>4</v>
      </c>
      <c r="C373" s="63">
        <v>372</v>
      </c>
      <c r="D373" s="68">
        <v>2</v>
      </c>
      <c r="E373" s="68" t="s">
        <v>80</v>
      </c>
      <c r="F373" s="68" t="s">
        <v>0</v>
      </c>
      <c r="G373" s="47" t="s">
        <v>41</v>
      </c>
      <c r="H373" s="47" t="s">
        <v>56</v>
      </c>
      <c r="I373" s="66"/>
      <c r="J373" s="66" t="s">
        <v>151</v>
      </c>
      <c r="K373" s="57">
        <f>IF(Table121413[[#This Row],[modality]]=E372,1,0)</f>
        <v>1</v>
      </c>
      <c r="L373" s="66">
        <f>IF(Table121413[[#This Row],[stimulus]]=H374, 1, 0)</f>
        <v>1</v>
      </c>
      <c r="M373" s="66">
        <f t="shared" si="10"/>
        <v>1</v>
      </c>
      <c r="N373" s="66">
        <f t="shared" si="11"/>
        <v>0</v>
      </c>
    </row>
    <row r="374" spans="1:14" x14ac:dyDescent="0.3">
      <c r="A374" s="58">
        <v>2</v>
      </c>
      <c r="B374" s="59">
        <v>4</v>
      </c>
      <c r="C374" s="63">
        <v>373</v>
      </c>
      <c r="D374" s="65">
        <v>2</v>
      </c>
      <c r="E374" s="65" t="s">
        <v>80</v>
      </c>
      <c r="F374" s="65" t="s">
        <v>40</v>
      </c>
      <c r="G374" s="58" t="s">
        <v>9</v>
      </c>
      <c r="H374" s="58" t="s">
        <v>56</v>
      </c>
      <c r="I374" s="66"/>
      <c r="J374" s="66" t="s">
        <v>150</v>
      </c>
      <c r="K374" s="57">
        <f>IF(Table121413[[#This Row],[modality]]=E373,1,0)</f>
        <v>1</v>
      </c>
      <c r="L374" s="66">
        <f>IF(Table121413[[#This Row],[stimulus]]=H375, 1, 0)</f>
        <v>0</v>
      </c>
      <c r="M374" s="66">
        <f t="shared" si="10"/>
        <v>0</v>
      </c>
      <c r="N374" s="66">
        <f t="shared" si="11"/>
        <v>0</v>
      </c>
    </row>
    <row r="375" spans="1:14" x14ac:dyDescent="0.3">
      <c r="A375" s="58">
        <v>2</v>
      </c>
      <c r="B375" s="59">
        <v>4</v>
      </c>
      <c r="C375" s="63">
        <v>374</v>
      </c>
      <c r="D375" s="78">
        <v>1</v>
      </c>
      <c r="E375" s="78" t="s">
        <v>81</v>
      </c>
      <c r="F375" s="78" t="s">
        <v>29</v>
      </c>
      <c r="G375" s="47" t="s">
        <v>42</v>
      </c>
      <c r="H375" s="47" t="s">
        <v>46</v>
      </c>
      <c r="I375" s="66"/>
      <c r="J375" s="66" t="s">
        <v>150</v>
      </c>
      <c r="K375" s="57">
        <f>IF(Table121413[[#This Row],[modality]]=E374,1,0)</f>
        <v>0</v>
      </c>
      <c r="L375" s="66">
        <f>IF(Table121413[[#This Row],[stimulus]]=H376, 1, 0)</f>
        <v>0</v>
      </c>
      <c r="M375" s="66">
        <f t="shared" si="10"/>
        <v>1</v>
      </c>
      <c r="N375" s="66">
        <f t="shared" si="11"/>
        <v>0</v>
      </c>
    </row>
    <row r="376" spans="1:14" x14ac:dyDescent="0.3">
      <c r="A376" s="58">
        <v>2</v>
      </c>
      <c r="B376" s="59">
        <v>4</v>
      </c>
      <c r="C376" s="63">
        <v>375</v>
      </c>
      <c r="D376" s="65">
        <v>2</v>
      </c>
      <c r="E376" s="65" t="s">
        <v>80</v>
      </c>
      <c r="F376" s="65" t="s">
        <v>0</v>
      </c>
      <c r="G376" s="58" t="s">
        <v>41</v>
      </c>
      <c r="H376" s="58" t="s">
        <v>54</v>
      </c>
      <c r="I376" s="66"/>
      <c r="J376" s="66" t="s">
        <v>151</v>
      </c>
      <c r="K376" s="57">
        <f>IF(Table121413[[#This Row],[modality]]=E375,1,0)</f>
        <v>0</v>
      </c>
      <c r="L376" s="66">
        <f>IF(Table121413[[#This Row],[stimulus]]=H377, 1, 0)</f>
        <v>1</v>
      </c>
      <c r="M376" s="66">
        <f t="shared" si="10"/>
        <v>0</v>
      </c>
      <c r="N376" s="66">
        <f t="shared" si="11"/>
        <v>1</v>
      </c>
    </row>
    <row r="377" spans="1:14" x14ac:dyDescent="0.3">
      <c r="A377" s="58">
        <v>2</v>
      </c>
      <c r="B377" s="59">
        <v>4</v>
      </c>
      <c r="C377" s="63">
        <v>376</v>
      </c>
      <c r="D377" s="70">
        <v>2</v>
      </c>
      <c r="E377" s="70" t="s">
        <v>80</v>
      </c>
      <c r="F377" s="70" t="s">
        <v>40</v>
      </c>
      <c r="G377" s="71" t="s">
        <v>9</v>
      </c>
      <c r="H377" s="71" t="s">
        <v>54</v>
      </c>
      <c r="I377" s="66"/>
      <c r="J377" s="66" t="s">
        <v>150</v>
      </c>
      <c r="K377" s="57">
        <f>IF(Table121413[[#This Row],[modality]]=E376,1,0)</f>
        <v>1</v>
      </c>
      <c r="L377" s="66">
        <f>IF(Table121413[[#This Row],[stimulus]]=H378, 1, 0)</f>
        <v>0</v>
      </c>
      <c r="M377" s="66">
        <f t="shared" si="10"/>
        <v>0</v>
      </c>
      <c r="N377" s="66">
        <f t="shared" si="11"/>
        <v>0</v>
      </c>
    </row>
    <row r="378" spans="1:14" x14ac:dyDescent="0.3">
      <c r="A378" s="58">
        <v>2</v>
      </c>
      <c r="B378" s="59">
        <v>4</v>
      </c>
      <c r="C378" s="63">
        <v>377</v>
      </c>
      <c r="D378" s="93">
        <v>1</v>
      </c>
      <c r="E378" s="93" t="s">
        <v>81</v>
      </c>
      <c r="F378" s="93" t="s">
        <v>29</v>
      </c>
      <c r="G378" s="52" t="s">
        <v>42</v>
      </c>
      <c r="H378" s="52"/>
      <c r="I378" s="75" t="s">
        <v>127</v>
      </c>
      <c r="J378" s="66" t="s">
        <v>150</v>
      </c>
      <c r="K378" s="57">
        <f>IF(Table121413[[#This Row],[modality]]=E377,1,0)</f>
        <v>0</v>
      </c>
      <c r="L378" s="66">
        <f>IF(Table121413[[#This Row],[stimulus]]=H379, 1, 0)</f>
        <v>0</v>
      </c>
      <c r="M378" s="66">
        <f t="shared" si="10"/>
        <v>1</v>
      </c>
      <c r="N378" s="66">
        <f t="shared" si="11"/>
        <v>0</v>
      </c>
    </row>
    <row r="379" spans="1:14" x14ac:dyDescent="0.3">
      <c r="A379" s="58">
        <v>2</v>
      </c>
      <c r="B379" s="59">
        <v>4</v>
      </c>
      <c r="C379" s="63">
        <v>378</v>
      </c>
      <c r="D379" s="78">
        <v>2</v>
      </c>
      <c r="E379" s="78" t="s">
        <v>80</v>
      </c>
      <c r="F379" s="78" t="s">
        <v>29</v>
      </c>
      <c r="G379" s="47" t="s">
        <v>42</v>
      </c>
      <c r="H379" s="47" t="s">
        <v>48</v>
      </c>
      <c r="I379" s="66"/>
      <c r="J379" s="66" t="s">
        <v>151</v>
      </c>
      <c r="K379" s="57">
        <f>IF(Table121413[[#This Row],[modality]]=E378,1,0)</f>
        <v>0</v>
      </c>
      <c r="L379" s="66">
        <f>IF(Table121413[[#This Row],[stimulus]]=H380, 1, 0)</f>
        <v>0</v>
      </c>
      <c r="M379" s="66">
        <f t="shared" si="10"/>
        <v>0</v>
      </c>
      <c r="N379" s="66">
        <f t="shared" si="11"/>
        <v>1</v>
      </c>
    </row>
    <row r="380" spans="1:14" x14ac:dyDescent="0.3">
      <c r="A380" s="58">
        <v>2</v>
      </c>
      <c r="B380" s="59">
        <v>4</v>
      </c>
      <c r="C380" s="63">
        <v>379</v>
      </c>
      <c r="D380" s="65">
        <v>2</v>
      </c>
      <c r="E380" s="65" t="s">
        <v>80</v>
      </c>
      <c r="F380" s="65" t="s">
        <v>0</v>
      </c>
      <c r="G380" s="58" t="s">
        <v>41</v>
      </c>
      <c r="H380" s="58" t="s">
        <v>58</v>
      </c>
      <c r="I380" s="66"/>
      <c r="J380" s="66" t="s">
        <v>151</v>
      </c>
      <c r="K380" s="57">
        <f>IF(Table121413[[#This Row],[modality]]=E379,1,0)</f>
        <v>1</v>
      </c>
      <c r="L380" s="66">
        <f>IF(Table121413[[#This Row],[stimulus]]=H381, 1, 0)</f>
        <v>1</v>
      </c>
      <c r="M380" s="66">
        <f t="shared" si="10"/>
        <v>0</v>
      </c>
      <c r="N380" s="66">
        <f t="shared" si="11"/>
        <v>1</v>
      </c>
    </row>
    <row r="381" spans="1:14" x14ac:dyDescent="0.3">
      <c r="A381" s="58">
        <v>2</v>
      </c>
      <c r="B381" s="59">
        <v>4</v>
      </c>
      <c r="C381" s="63">
        <v>380</v>
      </c>
      <c r="D381" s="70">
        <v>1</v>
      </c>
      <c r="E381" s="70" t="s">
        <v>81</v>
      </c>
      <c r="F381" s="70" t="s">
        <v>40</v>
      </c>
      <c r="G381" s="71" t="s">
        <v>10</v>
      </c>
      <c r="H381" s="71" t="s">
        <v>58</v>
      </c>
      <c r="I381" s="66"/>
      <c r="J381" s="66" t="s">
        <v>150</v>
      </c>
      <c r="K381" s="57">
        <f>IF(Table121413[[#This Row],[modality]]=E380,1,0)</f>
        <v>0</v>
      </c>
      <c r="L381" s="66">
        <f>IF(Table121413[[#This Row],[stimulus]]=H382, 1, 0)</f>
        <v>0</v>
      </c>
      <c r="M381" s="66">
        <f t="shared" si="10"/>
        <v>0</v>
      </c>
      <c r="N381" s="66">
        <f t="shared" si="11"/>
        <v>0</v>
      </c>
    </row>
    <row r="382" spans="1:14" x14ac:dyDescent="0.3">
      <c r="A382" s="59">
        <v>3</v>
      </c>
      <c r="B382" s="59">
        <v>4</v>
      </c>
      <c r="C382" s="63">
        <v>381</v>
      </c>
      <c r="D382" s="68">
        <v>1</v>
      </c>
      <c r="E382" s="68" t="s">
        <v>81</v>
      </c>
      <c r="F382" s="68" t="s">
        <v>0</v>
      </c>
      <c r="G382" s="47" t="s">
        <v>41</v>
      </c>
      <c r="H382" s="47" t="s">
        <v>63</v>
      </c>
      <c r="I382" s="66"/>
      <c r="J382" s="66" t="s">
        <v>151</v>
      </c>
      <c r="K382" s="57">
        <f>IF(Table121413[[#This Row],[modality]]=E381,1,0)</f>
        <v>1</v>
      </c>
      <c r="L382" s="66">
        <f>IF(Table121413[[#This Row],[stimulus]]=H383, 1, 0)</f>
        <v>1</v>
      </c>
      <c r="M382" s="66">
        <f t="shared" si="10"/>
        <v>1</v>
      </c>
      <c r="N382" s="66">
        <f t="shared" si="11"/>
        <v>0</v>
      </c>
    </row>
    <row r="383" spans="1:14" x14ac:dyDescent="0.3">
      <c r="A383" s="59">
        <v>3</v>
      </c>
      <c r="B383" s="59">
        <v>4</v>
      </c>
      <c r="C383" s="63">
        <v>382</v>
      </c>
      <c r="D383" s="70">
        <v>2</v>
      </c>
      <c r="E383" s="70" t="s">
        <v>80</v>
      </c>
      <c r="F383" s="70" t="s">
        <v>40</v>
      </c>
      <c r="G383" s="71" t="s">
        <v>10</v>
      </c>
      <c r="H383" s="71" t="s">
        <v>63</v>
      </c>
      <c r="I383" s="66"/>
      <c r="J383" s="66" t="s">
        <v>150</v>
      </c>
      <c r="K383" s="57">
        <f>IF(Table121413[[#This Row],[modality]]=E382,1,0)</f>
        <v>0</v>
      </c>
      <c r="L383" s="66">
        <f>IF(Table121413[[#This Row],[stimulus]]=H384, 1, 0)</f>
        <v>0</v>
      </c>
      <c r="M383" s="66">
        <f t="shared" si="10"/>
        <v>0</v>
      </c>
      <c r="N383" s="66">
        <f t="shared" si="11"/>
        <v>0</v>
      </c>
    </row>
    <row r="384" spans="1:14" x14ac:dyDescent="0.3">
      <c r="A384" s="59">
        <v>3</v>
      </c>
      <c r="B384" s="59">
        <v>4</v>
      </c>
      <c r="C384" s="63">
        <v>383</v>
      </c>
      <c r="D384" s="84">
        <v>2</v>
      </c>
      <c r="E384" s="84" t="s">
        <v>80</v>
      </c>
      <c r="F384" s="84" t="s">
        <v>29</v>
      </c>
      <c r="G384" s="47" t="s">
        <v>42</v>
      </c>
      <c r="H384" s="47" t="s">
        <v>51</v>
      </c>
      <c r="I384" s="66"/>
      <c r="J384" s="66" t="s">
        <v>150</v>
      </c>
      <c r="K384" s="57">
        <f>IF(Table121413[[#This Row],[modality]]=E383,1,0)</f>
        <v>1</v>
      </c>
      <c r="L384" s="66">
        <f>IF(Table121413[[#This Row],[stimulus]]=H385, 1, 0)</f>
        <v>0</v>
      </c>
      <c r="M384" s="66">
        <f t="shared" si="10"/>
        <v>1</v>
      </c>
      <c r="N384" s="66">
        <f t="shared" si="11"/>
        <v>0</v>
      </c>
    </row>
    <row r="385" spans="1:14" x14ac:dyDescent="0.3">
      <c r="A385" s="59">
        <v>3</v>
      </c>
      <c r="B385" s="59">
        <v>4</v>
      </c>
      <c r="C385" s="63">
        <v>384</v>
      </c>
      <c r="D385" s="68">
        <v>2</v>
      </c>
      <c r="E385" s="68" t="s">
        <v>80</v>
      </c>
      <c r="F385" s="68" t="s">
        <v>0</v>
      </c>
      <c r="G385" s="47" t="s">
        <v>41</v>
      </c>
      <c r="H385" s="47" t="s">
        <v>59</v>
      </c>
      <c r="I385" s="66"/>
      <c r="J385" s="66" t="s">
        <v>151</v>
      </c>
      <c r="K385" s="57">
        <f>IF(Table121413[[#This Row],[modality]]=E384,1,0)</f>
        <v>1</v>
      </c>
      <c r="L385" s="66">
        <f>IF(Table121413[[#This Row],[stimulus]]=H386, 1, 0)</f>
        <v>1</v>
      </c>
      <c r="M385" s="66">
        <f t="shared" si="10"/>
        <v>0</v>
      </c>
      <c r="N385" s="66">
        <f t="shared" si="11"/>
        <v>1</v>
      </c>
    </row>
    <row r="386" spans="1:14" x14ac:dyDescent="0.3">
      <c r="A386" s="59">
        <v>3</v>
      </c>
      <c r="B386" s="59">
        <v>4</v>
      </c>
      <c r="C386" s="63">
        <v>385</v>
      </c>
      <c r="D386" s="65">
        <v>1</v>
      </c>
      <c r="E386" s="65" t="s">
        <v>81</v>
      </c>
      <c r="F386" s="65" t="s">
        <v>40</v>
      </c>
      <c r="G386" s="58" t="s">
        <v>10</v>
      </c>
      <c r="H386" s="58" t="s">
        <v>59</v>
      </c>
      <c r="I386" s="66"/>
      <c r="J386" s="66" t="s">
        <v>150</v>
      </c>
      <c r="K386" s="57">
        <f>IF(Table121413[[#This Row],[modality]]=E385,1,0)</f>
        <v>0</v>
      </c>
      <c r="L386" s="66">
        <f>IF(Table121413[[#This Row],[stimulus]]=H387, 1, 0)</f>
        <v>0</v>
      </c>
      <c r="M386" s="66">
        <f t="shared" si="10"/>
        <v>0</v>
      </c>
      <c r="N386" s="66">
        <f t="shared" si="11"/>
        <v>0</v>
      </c>
    </row>
    <row r="387" spans="1:14" x14ac:dyDescent="0.3">
      <c r="A387" s="59">
        <v>3</v>
      </c>
      <c r="B387" s="59">
        <v>4</v>
      </c>
      <c r="C387" s="63">
        <v>386</v>
      </c>
      <c r="D387" s="84">
        <v>1</v>
      </c>
      <c r="E387" s="84" t="s">
        <v>81</v>
      </c>
      <c r="F387" s="84" t="s">
        <v>29</v>
      </c>
      <c r="G387" s="71" t="s">
        <v>42</v>
      </c>
      <c r="H387" s="71" t="s">
        <v>55</v>
      </c>
      <c r="I387" s="66"/>
      <c r="J387" s="66" t="s">
        <v>150</v>
      </c>
      <c r="K387" s="57">
        <f>IF(Table121413[[#This Row],[modality]]=E386,1,0)</f>
        <v>1</v>
      </c>
      <c r="L387" s="66">
        <f>IF(Table121413[[#This Row],[stimulus]]=H388, 1, 0)</f>
        <v>0</v>
      </c>
      <c r="M387" s="66">
        <f t="shared" si="10"/>
        <v>1</v>
      </c>
      <c r="N387" s="66">
        <f t="shared" si="11"/>
        <v>0</v>
      </c>
    </row>
    <row r="388" spans="1:14" x14ac:dyDescent="0.3">
      <c r="A388" s="59">
        <v>3</v>
      </c>
      <c r="B388" s="59">
        <v>4</v>
      </c>
      <c r="C388" s="63">
        <v>387</v>
      </c>
      <c r="D388" s="68">
        <v>1</v>
      </c>
      <c r="E388" s="68" t="s">
        <v>81</v>
      </c>
      <c r="F388" s="68" t="s">
        <v>0</v>
      </c>
      <c r="G388" s="47" t="s">
        <v>41</v>
      </c>
      <c r="H388" s="47" t="s">
        <v>65</v>
      </c>
      <c r="I388" s="66"/>
      <c r="J388" s="66" t="s">
        <v>151</v>
      </c>
      <c r="K388" s="57">
        <f>IF(Table121413[[#This Row],[modality]]=E387,1,0)</f>
        <v>1</v>
      </c>
      <c r="L388" s="66">
        <f>IF(Table121413[[#This Row],[stimulus]]=H389, 1, 0)</f>
        <v>1</v>
      </c>
      <c r="M388" s="66">
        <f t="shared" ref="M388:M436" si="12">IF(F387="T",1,0)</f>
        <v>0</v>
      </c>
      <c r="N388" s="66">
        <f t="shared" ref="N388:N436" si="13">IF(F387="F",1,0)</f>
        <v>1</v>
      </c>
    </row>
    <row r="389" spans="1:14" x14ac:dyDescent="0.3">
      <c r="A389" s="59">
        <v>3</v>
      </c>
      <c r="B389" s="59">
        <v>4</v>
      </c>
      <c r="C389" s="63">
        <v>388</v>
      </c>
      <c r="D389" s="70">
        <v>2</v>
      </c>
      <c r="E389" s="70" t="s">
        <v>80</v>
      </c>
      <c r="F389" s="70" t="s">
        <v>40</v>
      </c>
      <c r="G389" s="71" t="s">
        <v>10</v>
      </c>
      <c r="H389" s="71" t="s">
        <v>65</v>
      </c>
      <c r="I389" s="66"/>
      <c r="J389" s="66" t="s">
        <v>150</v>
      </c>
      <c r="K389" s="57">
        <f>IF(Table121413[[#This Row],[modality]]=E388,1,0)</f>
        <v>0</v>
      </c>
      <c r="L389" s="66">
        <f>IF(Table121413[[#This Row],[stimulus]]=H390, 1, 0)</f>
        <v>0</v>
      </c>
      <c r="M389" s="66">
        <f t="shared" si="12"/>
        <v>0</v>
      </c>
      <c r="N389" s="66">
        <f t="shared" si="13"/>
        <v>0</v>
      </c>
    </row>
    <row r="390" spans="1:14" x14ac:dyDescent="0.3">
      <c r="A390" s="59">
        <v>3</v>
      </c>
      <c r="B390" s="59">
        <v>4</v>
      </c>
      <c r="C390" s="63">
        <v>389</v>
      </c>
      <c r="D390" s="84">
        <v>1</v>
      </c>
      <c r="E390" s="84" t="s">
        <v>81</v>
      </c>
      <c r="F390" s="84" t="s">
        <v>29</v>
      </c>
      <c r="G390" s="47" t="s">
        <v>42</v>
      </c>
      <c r="H390" s="47" t="s">
        <v>53</v>
      </c>
      <c r="I390" s="66"/>
      <c r="J390" s="66" t="s">
        <v>150</v>
      </c>
      <c r="K390" s="57">
        <f>IF(Table121413[[#This Row],[modality]]=E389,1,0)</f>
        <v>0</v>
      </c>
      <c r="L390" s="66">
        <f>IF(Table121413[[#This Row],[stimulus]]=H391, 1, 0)</f>
        <v>0</v>
      </c>
      <c r="M390" s="66">
        <f t="shared" si="12"/>
        <v>1</v>
      </c>
      <c r="N390" s="66">
        <f t="shared" si="13"/>
        <v>0</v>
      </c>
    </row>
    <row r="391" spans="1:14" x14ac:dyDescent="0.3">
      <c r="A391" s="58">
        <v>3</v>
      </c>
      <c r="B391" s="59">
        <v>4</v>
      </c>
      <c r="C391" s="63">
        <v>390</v>
      </c>
      <c r="D391" s="84">
        <v>1</v>
      </c>
      <c r="E391" s="84" t="s">
        <v>81</v>
      </c>
      <c r="F391" s="84" t="s">
        <v>29</v>
      </c>
      <c r="G391" s="47" t="s">
        <v>42</v>
      </c>
      <c r="H391" s="47" t="s">
        <v>56</v>
      </c>
      <c r="I391" s="66"/>
      <c r="J391" s="66" t="s">
        <v>150</v>
      </c>
      <c r="K391" s="57">
        <f>IF(Table121413[[#This Row],[modality]]=E390,1,0)</f>
        <v>1</v>
      </c>
      <c r="L391" s="66">
        <f>IF(Table121413[[#This Row],[stimulus]]=H392, 1, 0)</f>
        <v>0</v>
      </c>
      <c r="M391" s="66">
        <f t="shared" si="12"/>
        <v>0</v>
      </c>
      <c r="N391" s="66">
        <f t="shared" si="13"/>
        <v>1</v>
      </c>
    </row>
    <row r="392" spans="1:14" x14ac:dyDescent="0.3">
      <c r="A392" s="59">
        <v>3</v>
      </c>
      <c r="B392" s="59">
        <v>4</v>
      </c>
      <c r="C392" s="63">
        <v>391</v>
      </c>
      <c r="D392" s="65">
        <v>2</v>
      </c>
      <c r="E392" s="65" t="s">
        <v>80</v>
      </c>
      <c r="F392" s="65" t="s">
        <v>0</v>
      </c>
      <c r="G392" s="58" t="s">
        <v>41</v>
      </c>
      <c r="H392" s="58" t="s">
        <v>61</v>
      </c>
      <c r="I392" s="66"/>
      <c r="J392" s="66" t="s">
        <v>151</v>
      </c>
      <c r="K392" s="57">
        <f>IF(Table121413[[#This Row],[modality]]=E391,1,0)</f>
        <v>0</v>
      </c>
      <c r="L392" s="66">
        <f>IF(Table121413[[#This Row],[stimulus]]=H393, 1, 0)</f>
        <v>1</v>
      </c>
      <c r="M392" s="66">
        <f t="shared" si="12"/>
        <v>0</v>
      </c>
      <c r="N392" s="66">
        <f t="shared" si="13"/>
        <v>1</v>
      </c>
    </row>
    <row r="393" spans="1:14" x14ac:dyDescent="0.3">
      <c r="A393" s="59">
        <v>3</v>
      </c>
      <c r="B393" s="59">
        <v>4</v>
      </c>
      <c r="C393" s="63">
        <v>392</v>
      </c>
      <c r="D393" s="68">
        <v>2</v>
      </c>
      <c r="E393" s="68" t="s">
        <v>80</v>
      </c>
      <c r="F393" s="68" t="s">
        <v>40</v>
      </c>
      <c r="G393" s="47" t="s">
        <v>9</v>
      </c>
      <c r="H393" s="47" t="s">
        <v>61</v>
      </c>
      <c r="I393" s="66"/>
      <c r="J393" s="66" t="s">
        <v>150</v>
      </c>
      <c r="K393" s="57">
        <f>IF(Table121413[[#This Row],[modality]]=E392,1,0)</f>
        <v>1</v>
      </c>
      <c r="L393" s="66">
        <f>IF(Table121413[[#This Row],[stimulus]]=H394, 1, 0)</f>
        <v>0</v>
      </c>
      <c r="M393" s="66">
        <f t="shared" si="12"/>
        <v>0</v>
      </c>
      <c r="N393" s="66">
        <f t="shared" si="13"/>
        <v>0</v>
      </c>
    </row>
    <row r="394" spans="1:14" x14ac:dyDescent="0.3">
      <c r="A394" s="59">
        <v>3</v>
      </c>
      <c r="B394" s="59">
        <v>4</v>
      </c>
      <c r="C394" s="63">
        <v>393</v>
      </c>
      <c r="D394" s="84">
        <v>2</v>
      </c>
      <c r="E394" s="84" t="s">
        <v>80</v>
      </c>
      <c r="F394" s="84" t="s">
        <v>29</v>
      </c>
      <c r="G394" s="71" t="s">
        <v>42</v>
      </c>
      <c r="H394" s="71" t="s">
        <v>57</v>
      </c>
      <c r="I394" s="66"/>
      <c r="J394" s="66" t="s">
        <v>150</v>
      </c>
      <c r="K394" s="57">
        <f>IF(Table121413[[#This Row],[modality]]=E393,1,0)</f>
        <v>1</v>
      </c>
      <c r="L394" s="66">
        <f>IF(Table121413[[#This Row],[stimulus]]=H395, 1, 0)</f>
        <v>0</v>
      </c>
      <c r="M394" s="66">
        <f t="shared" si="12"/>
        <v>1</v>
      </c>
      <c r="N394" s="66">
        <f t="shared" si="13"/>
        <v>0</v>
      </c>
    </row>
    <row r="395" spans="1:14" x14ac:dyDescent="0.3">
      <c r="A395" s="59">
        <v>3</v>
      </c>
      <c r="B395" s="59">
        <v>4</v>
      </c>
      <c r="C395" s="63">
        <v>394</v>
      </c>
      <c r="D395" s="84">
        <v>1</v>
      </c>
      <c r="E395" s="84" t="s">
        <v>81</v>
      </c>
      <c r="F395" s="84" t="s">
        <v>29</v>
      </c>
      <c r="G395" s="47" t="s">
        <v>42</v>
      </c>
      <c r="H395" s="47" t="s">
        <v>52</v>
      </c>
      <c r="I395" s="66"/>
      <c r="J395" s="66" t="s">
        <v>151</v>
      </c>
      <c r="K395" s="57">
        <f>IF(Table121413[[#This Row],[modality]]=E394,1,0)</f>
        <v>0</v>
      </c>
      <c r="L395" s="66">
        <f>IF(Table121413[[#This Row],[stimulus]]=H396, 1, 0)</f>
        <v>0</v>
      </c>
      <c r="M395" s="66">
        <f t="shared" si="12"/>
        <v>0</v>
      </c>
      <c r="N395" s="66">
        <f t="shared" si="13"/>
        <v>1</v>
      </c>
    </row>
    <row r="396" spans="1:14" x14ac:dyDescent="0.3">
      <c r="A396" s="59">
        <v>3</v>
      </c>
      <c r="B396" s="59">
        <v>4</v>
      </c>
      <c r="C396" s="63">
        <v>395</v>
      </c>
      <c r="D396" s="70">
        <v>2</v>
      </c>
      <c r="E396" s="70" t="s">
        <v>80</v>
      </c>
      <c r="F396" s="70" t="s">
        <v>0</v>
      </c>
      <c r="G396" s="71" t="s">
        <v>41</v>
      </c>
      <c r="H396" s="71" t="s">
        <v>60</v>
      </c>
      <c r="I396" s="66"/>
      <c r="J396" s="66" t="s">
        <v>151</v>
      </c>
      <c r="K396" s="57">
        <f>IF(Table121413[[#This Row],[modality]]=E395,1,0)</f>
        <v>0</v>
      </c>
      <c r="L396" s="66">
        <f>IF(Table121413[[#This Row],[stimulus]]=H397, 1, 0)</f>
        <v>1</v>
      </c>
      <c r="M396" s="66">
        <f t="shared" si="12"/>
        <v>0</v>
      </c>
      <c r="N396" s="66">
        <f t="shared" si="13"/>
        <v>1</v>
      </c>
    </row>
    <row r="397" spans="1:14" x14ac:dyDescent="0.3">
      <c r="A397" s="59">
        <v>3</v>
      </c>
      <c r="B397" s="59">
        <v>4</v>
      </c>
      <c r="C397" s="63">
        <v>396</v>
      </c>
      <c r="D397" s="68">
        <v>2</v>
      </c>
      <c r="E397" s="68" t="s">
        <v>80</v>
      </c>
      <c r="F397" s="68" t="s">
        <v>40</v>
      </c>
      <c r="G397" s="47" t="s">
        <v>9</v>
      </c>
      <c r="H397" s="47" t="s">
        <v>60</v>
      </c>
      <c r="I397" s="66"/>
      <c r="J397" s="66" t="s">
        <v>150</v>
      </c>
      <c r="K397" s="57">
        <f>IF(Table121413[[#This Row],[modality]]=E396,1,0)</f>
        <v>1</v>
      </c>
      <c r="L397" s="66">
        <f>IF(Table121413[[#This Row],[stimulus]]=H398, 1, 0)</f>
        <v>0</v>
      </c>
      <c r="M397" s="66">
        <f t="shared" si="12"/>
        <v>0</v>
      </c>
      <c r="N397" s="66">
        <f t="shared" si="13"/>
        <v>0</v>
      </c>
    </row>
    <row r="398" spans="1:14" x14ac:dyDescent="0.3">
      <c r="A398" s="59">
        <v>3</v>
      </c>
      <c r="B398" s="59">
        <v>4</v>
      </c>
      <c r="C398" s="63">
        <v>397</v>
      </c>
      <c r="D398" s="70">
        <v>2</v>
      </c>
      <c r="E398" s="70" t="s">
        <v>80</v>
      </c>
      <c r="F398" s="70" t="s">
        <v>0</v>
      </c>
      <c r="G398" s="71" t="s">
        <v>41</v>
      </c>
      <c r="H398" s="71" t="s">
        <v>66</v>
      </c>
      <c r="I398" s="66"/>
      <c r="J398" s="66" t="s">
        <v>151</v>
      </c>
      <c r="K398" s="57">
        <f>IF(Table121413[[#This Row],[modality]]=E397,1,0)</f>
        <v>1</v>
      </c>
      <c r="L398" s="66">
        <f>IF(Table121413[[#This Row],[stimulus]]=H399, 1, 0)</f>
        <v>1</v>
      </c>
      <c r="M398" s="66">
        <f t="shared" si="12"/>
        <v>1</v>
      </c>
      <c r="N398" s="66">
        <f t="shared" si="13"/>
        <v>0</v>
      </c>
    </row>
    <row r="399" spans="1:14" x14ac:dyDescent="0.3">
      <c r="A399" s="59">
        <v>3</v>
      </c>
      <c r="B399" s="59">
        <v>4</v>
      </c>
      <c r="C399" s="63">
        <v>398</v>
      </c>
      <c r="D399" s="68">
        <v>1</v>
      </c>
      <c r="E399" s="68" t="s">
        <v>81</v>
      </c>
      <c r="F399" s="68" t="s">
        <v>40</v>
      </c>
      <c r="G399" s="47" t="s">
        <v>10</v>
      </c>
      <c r="H399" s="47" t="s">
        <v>66</v>
      </c>
      <c r="I399" s="66"/>
      <c r="J399" s="66" t="s">
        <v>150</v>
      </c>
      <c r="K399" s="57">
        <f>IF(Table121413[[#This Row],[modality]]=E398,1,0)</f>
        <v>0</v>
      </c>
      <c r="L399" s="66">
        <f>IF(Table121413[[#This Row],[stimulus]]=H400, 1, 0)</f>
        <v>0</v>
      </c>
      <c r="M399" s="66">
        <f t="shared" si="12"/>
        <v>0</v>
      </c>
      <c r="N399" s="66">
        <f t="shared" si="13"/>
        <v>0</v>
      </c>
    </row>
    <row r="400" spans="1:14" x14ac:dyDescent="0.3">
      <c r="A400" s="59">
        <v>3</v>
      </c>
      <c r="B400" s="59">
        <v>4</v>
      </c>
      <c r="C400" s="63">
        <v>399</v>
      </c>
      <c r="D400" s="84">
        <v>2</v>
      </c>
      <c r="E400" s="84" t="s">
        <v>80</v>
      </c>
      <c r="F400" s="84" t="s">
        <v>29</v>
      </c>
      <c r="G400" s="47" t="s">
        <v>42</v>
      </c>
      <c r="H400" s="47" t="s">
        <v>54</v>
      </c>
      <c r="I400" s="66"/>
      <c r="J400" s="66" t="s">
        <v>150</v>
      </c>
      <c r="K400" s="57">
        <f>IF(Table121413[[#This Row],[modality]]=E399,1,0)</f>
        <v>0</v>
      </c>
      <c r="L400" s="66">
        <f>IF(Table121413[[#This Row],[stimulus]]=H401, 1, 0)</f>
        <v>0</v>
      </c>
      <c r="M400" s="66">
        <f t="shared" si="12"/>
        <v>1</v>
      </c>
      <c r="N400" s="66">
        <f t="shared" si="13"/>
        <v>0</v>
      </c>
    </row>
    <row r="401" spans="1:14" x14ac:dyDescent="0.3">
      <c r="A401" s="58">
        <v>3</v>
      </c>
      <c r="B401" s="59">
        <v>4</v>
      </c>
      <c r="C401" s="63">
        <v>400</v>
      </c>
      <c r="D401" s="76">
        <v>2</v>
      </c>
      <c r="E401" s="76" t="s">
        <v>80</v>
      </c>
      <c r="F401" s="76" t="s">
        <v>29</v>
      </c>
      <c r="G401" s="77" t="s">
        <v>42</v>
      </c>
      <c r="H401" s="77" t="s">
        <v>55</v>
      </c>
      <c r="I401" s="66"/>
      <c r="J401" s="66" t="s">
        <v>151</v>
      </c>
      <c r="K401" s="57">
        <f>IF(Table121413[[#This Row],[modality]]=E400,1,0)</f>
        <v>1</v>
      </c>
      <c r="L401" s="66">
        <f>IF(Table121413[[#This Row],[stimulus]]=H402, 1, 0)</f>
        <v>0</v>
      </c>
      <c r="M401" s="66">
        <f t="shared" si="12"/>
        <v>0</v>
      </c>
      <c r="N401" s="66">
        <f t="shared" si="13"/>
        <v>1</v>
      </c>
    </row>
    <row r="402" spans="1:14" x14ac:dyDescent="0.3">
      <c r="A402" s="59">
        <v>3</v>
      </c>
      <c r="B402" s="59">
        <v>4</v>
      </c>
      <c r="C402" s="63">
        <v>401</v>
      </c>
      <c r="D402" s="84">
        <v>1</v>
      </c>
      <c r="E402" s="84" t="s">
        <v>81</v>
      </c>
      <c r="F402" s="84" t="s">
        <v>29</v>
      </c>
      <c r="G402" s="58" t="s">
        <v>42</v>
      </c>
      <c r="H402" s="58" t="s">
        <v>56</v>
      </c>
      <c r="I402" s="66"/>
      <c r="J402" s="66" t="s">
        <v>150</v>
      </c>
      <c r="K402" s="57">
        <f>IF(Table121413[[#This Row],[modality]]=E401,1,0)</f>
        <v>0</v>
      </c>
      <c r="L402" s="66">
        <f>IF(Table121413[[#This Row],[stimulus]]=H403, 1, 0)</f>
        <v>0</v>
      </c>
      <c r="M402" s="66">
        <f t="shared" si="12"/>
        <v>0</v>
      </c>
      <c r="N402" s="66">
        <f t="shared" si="13"/>
        <v>1</v>
      </c>
    </row>
    <row r="403" spans="1:14" x14ac:dyDescent="0.3">
      <c r="A403" s="59">
        <v>3</v>
      </c>
      <c r="B403" s="59">
        <v>4</v>
      </c>
      <c r="C403" s="63">
        <v>402</v>
      </c>
      <c r="D403" s="70">
        <v>1</v>
      </c>
      <c r="E403" s="70" t="s">
        <v>81</v>
      </c>
      <c r="F403" s="70" t="s">
        <v>0</v>
      </c>
      <c r="G403" s="71" t="s">
        <v>41</v>
      </c>
      <c r="H403" s="71" t="s">
        <v>64</v>
      </c>
      <c r="I403" s="66"/>
      <c r="J403" s="66" t="s">
        <v>151</v>
      </c>
      <c r="K403" s="57">
        <f>IF(Table121413[[#This Row],[modality]]=E402,1,0)</f>
        <v>1</v>
      </c>
      <c r="L403" s="66">
        <f>IF(Table121413[[#This Row],[stimulus]]=H404, 1, 0)</f>
        <v>1</v>
      </c>
      <c r="M403" s="66">
        <f t="shared" si="12"/>
        <v>0</v>
      </c>
      <c r="N403" s="66">
        <f t="shared" si="13"/>
        <v>1</v>
      </c>
    </row>
    <row r="404" spans="1:14" x14ac:dyDescent="0.3">
      <c r="A404" s="59">
        <v>3</v>
      </c>
      <c r="B404" s="59">
        <v>4</v>
      </c>
      <c r="C404" s="63">
        <v>403</v>
      </c>
      <c r="D404" s="68">
        <v>1</v>
      </c>
      <c r="E404" s="68" t="s">
        <v>81</v>
      </c>
      <c r="F404" s="68" t="s">
        <v>40</v>
      </c>
      <c r="G404" s="47" t="s">
        <v>9</v>
      </c>
      <c r="H404" s="47" t="s">
        <v>64</v>
      </c>
      <c r="I404" s="66"/>
      <c r="J404" s="66" t="s">
        <v>150</v>
      </c>
      <c r="K404" s="57">
        <f>IF(Table121413[[#This Row],[modality]]=E403,1,0)</f>
        <v>1</v>
      </c>
      <c r="L404" s="66">
        <f>IF(Table121413[[#This Row],[stimulus]]=H405, 1, 0)</f>
        <v>0</v>
      </c>
      <c r="M404" s="66">
        <f t="shared" si="12"/>
        <v>0</v>
      </c>
      <c r="N404" s="66">
        <f t="shared" si="13"/>
        <v>0</v>
      </c>
    </row>
    <row r="405" spans="1:14" x14ac:dyDescent="0.3">
      <c r="A405" s="59">
        <v>3</v>
      </c>
      <c r="B405" s="59">
        <v>4</v>
      </c>
      <c r="C405" s="63">
        <v>404</v>
      </c>
      <c r="D405" s="84">
        <v>2</v>
      </c>
      <c r="E405" s="84" t="s">
        <v>80</v>
      </c>
      <c r="F405" s="84" t="s">
        <v>29</v>
      </c>
      <c r="G405" s="71" t="s">
        <v>42</v>
      </c>
      <c r="H405" s="71" t="s">
        <v>58</v>
      </c>
      <c r="I405" s="66"/>
      <c r="J405" s="66" t="s">
        <v>150</v>
      </c>
      <c r="K405" s="57">
        <f>IF(Table121413[[#This Row],[modality]]=E404,1,0)</f>
        <v>0</v>
      </c>
      <c r="L405" s="66">
        <f>IF(Table121413[[#This Row],[stimulus]]=H406, 1, 0)</f>
        <v>0</v>
      </c>
      <c r="M405" s="66">
        <f t="shared" si="12"/>
        <v>1</v>
      </c>
      <c r="N405" s="66">
        <f t="shared" si="13"/>
        <v>0</v>
      </c>
    </row>
    <row r="406" spans="1:14" x14ac:dyDescent="0.3">
      <c r="A406" s="59">
        <v>3</v>
      </c>
      <c r="B406" s="59">
        <v>4</v>
      </c>
      <c r="C406" s="63">
        <v>405</v>
      </c>
      <c r="D406" s="68">
        <v>1</v>
      </c>
      <c r="E406" s="68" t="s">
        <v>81</v>
      </c>
      <c r="F406" s="68" t="s">
        <v>0</v>
      </c>
      <c r="G406" s="47" t="s">
        <v>41</v>
      </c>
      <c r="H406" s="47" t="s">
        <v>62</v>
      </c>
      <c r="I406" s="66"/>
      <c r="J406" s="66" t="s">
        <v>151</v>
      </c>
      <c r="K406" s="57">
        <f>IF(Table121413[[#This Row],[modality]]=E405,1,0)</f>
        <v>0</v>
      </c>
      <c r="L406" s="66">
        <f>IF(Table121413[[#This Row],[stimulus]]=H407, 1, 0)</f>
        <v>1</v>
      </c>
      <c r="M406" s="66">
        <f t="shared" si="12"/>
        <v>0</v>
      </c>
      <c r="N406" s="66">
        <f t="shared" si="13"/>
        <v>1</v>
      </c>
    </row>
    <row r="407" spans="1:14" x14ac:dyDescent="0.3">
      <c r="A407" s="59">
        <v>3</v>
      </c>
      <c r="B407" s="59">
        <v>4</v>
      </c>
      <c r="C407" s="63">
        <v>406</v>
      </c>
      <c r="D407" s="70">
        <v>1</v>
      </c>
      <c r="E407" s="70" t="s">
        <v>81</v>
      </c>
      <c r="F407" s="70" t="s">
        <v>40</v>
      </c>
      <c r="G407" s="71" t="s">
        <v>9</v>
      </c>
      <c r="H407" s="71" t="s">
        <v>62</v>
      </c>
      <c r="I407" s="66"/>
      <c r="J407" s="66" t="s">
        <v>150</v>
      </c>
      <c r="K407" s="57">
        <f>IF(Table121413[[#This Row],[modality]]=E406,1,0)</f>
        <v>1</v>
      </c>
      <c r="L407" s="66">
        <f>IF(Table121413[[#This Row],[stimulus]]=H408, 1, 0)</f>
        <v>0</v>
      </c>
      <c r="M407" s="66">
        <f t="shared" si="12"/>
        <v>0</v>
      </c>
      <c r="N407" s="66">
        <f t="shared" si="13"/>
        <v>0</v>
      </c>
    </row>
    <row r="408" spans="1:14" x14ac:dyDescent="0.3">
      <c r="A408" s="58">
        <v>4</v>
      </c>
      <c r="B408" s="59">
        <v>4</v>
      </c>
      <c r="C408" s="63">
        <v>407</v>
      </c>
      <c r="D408" s="91">
        <v>1</v>
      </c>
      <c r="E408" s="91" t="s">
        <v>81</v>
      </c>
      <c r="F408" s="91" t="s">
        <v>29</v>
      </c>
      <c r="G408" s="47" t="s">
        <v>42</v>
      </c>
      <c r="H408" s="47" t="s">
        <v>59</v>
      </c>
      <c r="I408" s="66"/>
      <c r="J408" s="66" t="s">
        <v>150</v>
      </c>
      <c r="K408" s="57">
        <f>IF(Table121413[[#This Row],[modality]]=E407,1,0)</f>
        <v>1</v>
      </c>
      <c r="L408" s="66">
        <f>IF(Table121413[[#This Row],[stimulus]]=H409, 1, 0)</f>
        <v>0</v>
      </c>
      <c r="M408" s="66">
        <f t="shared" si="12"/>
        <v>1</v>
      </c>
      <c r="N408" s="66">
        <f t="shared" si="13"/>
        <v>0</v>
      </c>
    </row>
    <row r="409" spans="1:14" x14ac:dyDescent="0.3">
      <c r="A409" s="58">
        <v>4</v>
      </c>
      <c r="B409" s="59">
        <v>4</v>
      </c>
      <c r="C409" s="63">
        <v>408</v>
      </c>
      <c r="D409" s="91">
        <v>2</v>
      </c>
      <c r="E409" s="91" t="s">
        <v>80</v>
      </c>
      <c r="F409" s="91" t="s">
        <v>29</v>
      </c>
      <c r="G409" s="71" t="s">
        <v>42</v>
      </c>
      <c r="H409" s="71" t="s">
        <v>63</v>
      </c>
      <c r="I409" s="66"/>
      <c r="J409" s="66" t="s">
        <v>151</v>
      </c>
      <c r="K409" s="57">
        <f>IF(Table121413[[#This Row],[modality]]=E408,1,0)</f>
        <v>0</v>
      </c>
      <c r="L409" s="66">
        <f>IF(Table121413[[#This Row],[stimulus]]=H410, 1, 0)</f>
        <v>0</v>
      </c>
      <c r="M409" s="66">
        <f t="shared" si="12"/>
        <v>0</v>
      </c>
      <c r="N409" s="66">
        <f t="shared" si="13"/>
        <v>1</v>
      </c>
    </row>
    <row r="410" spans="1:14" x14ac:dyDescent="0.3">
      <c r="A410" s="58">
        <v>4</v>
      </c>
      <c r="B410" s="59">
        <v>4</v>
      </c>
      <c r="C410" s="63">
        <v>409</v>
      </c>
      <c r="D410" s="76">
        <v>2</v>
      </c>
      <c r="E410" s="76" t="s">
        <v>80</v>
      </c>
      <c r="F410" s="76" t="s">
        <v>29</v>
      </c>
      <c r="G410" s="77" t="s">
        <v>42</v>
      </c>
      <c r="H410" s="77" t="s">
        <v>66</v>
      </c>
      <c r="I410" s="66"/>
      <c r="J410" s="66" t="s">
        <v>151</v>
      </c>
      <c r="K410" s="57">
        <f>IF(Table121413[[#This Row],[modality]]=E409,1,0)</f>
        <v>1</v>
      </c>
      <c r="L410" s="66">
        <f>IF(Table121413[[#This Row],[stimulus]]=H411, 1, 0)</f>
        <v>0</v>
      </c>
      <c r="M410" s="66">
        <f t="shared" si="12"/>
        <v>0</v>
      </c>
      <c r="N410" s="66">
        <f t="shared" si="13"/>
        <v>1</v>
      </c>
    </row>
    <row r="411" spans="1:14" x14ac:dyDescent="0.3">
      <c r="A411" s="58">
        <v>4</v>
      </c>
      <c r="B411" s="59">
        <v>4</v>
      </c>
      <c r="C411" s="63">
        <v>410</v>
      </c>
      <c r="D411" s="65">
        <v>1</v>
      </c>
      <c r="E411" s="65" t="s">
        <v>81</v>
      </c>
      <c r="F411" s="65" t="s">
        <v>0</v>
      </c>
      <c r="G411" s="58" t="s">
        <v>41</v>
      </c>
      <c r="H411" s="58" t="s">
        <v>69</v>
      </c>
      <c r="I411" s="66"/>
      <c r="J411" s="66" t="s">
        <v>151</v>
      </c>
      <c r="K411" s="57">
        <f>IF(Table121413[[#This Row],[modality]]=E410,1,0)</f>
        <v>0</v>
      </c>
      <c r="L411" s="66">
        <f>IF(Table121413[[#This Row],[stimulus]]=H412, 1, 0)</f>
        <v>1</v>
      </c>
      <c r="M411" s="66">
        <f t="shared" si="12"/>
        <v>0</v>
      </c>
      <c r="N411" s="66">
        <f t="shared" si="13"/>
        <v>1</v>
      </c>
    </row>
    <row r="412" spans="1:14" x14ac:dyDescent="0.3">
      <c r="A412" s="58">
        <v>4</v>
      </c>
      <c r="B412" s="59">
        <v>4</v>
      </c>
      <c r="C412" s="63">
        <v>411</v>
      </c>
      <c r="D412" s="68">
        <v>1</v>
      </c>
      <c r="E412" s="68" t="s">
        <v>81</v>
      </c>
      <c r="F412" s="68" t="s">
        <v>40</v>
      </c>
      <c r="G412" s="47" t="s">
        <v>9</v>
      </c>
      <c r="H412" s="47" t="s">
        <v>69</v>
      </c>
      <c r="I412" s="66"/>
      <c r="J412" s="66" t="s">
        <v>150</v>
      </c>
      <c r="K412" s="57">
        <f>IF(Table121413[[#This Row],[modality]]=E411,1,0)</f>
        <v>1</v>
      </c>
      <c r="L412" s="66">
        <f>IF(Table121413[[#This Row],[stimulus]]=H413, 1, 0)</f>
        <v>0</v>
      </c>
      <c r="M412" s="66">
        <f t="shared" si="12"/>
        <v>0</v>
      </c>
      <c r="N412" s="66">
        <f t="shared" si="13"/>
        <v>0</v>
      </c>
    </row>
    <row r="413" spans="1:14" x14ac:dyDescent="0.3">
      <c r="A413" s="58">
        <v>4</v>
      </c>
      <c r="B413" s="59">
        <v>4</v>
      </c>
      <c r="C413" s="63">
        <v>412</v>
      </c>
      <c r="D413" s="65">
        <v>1</v>
      </c>
      <c r="E413" s="65" t="s">
        <v>81</v>
      </c>
      <c r="F413" s="65" t="s">
        <v>0</v>
      </c>
      <c r="G413" s="58" t="s">
        <v>41</v>
      </c>
      <c r="H413" s="58" t="s">
        <v>72</v>
      </c>
      <c r="I413" s="66"/>
      <c r="J413" s="66" t="s">
        <v>151</v>
      </c>
      <c r="K413" s="57">
        <f>IF(Table121413[[#This Row],[modality]]=E412,1,0)</f>
        <v>1</v>
      </c>
      <c r="L413" s="66">
        <f>IF(Table121413[[#This Row],[stimulus]]=H414, 1, 0)</f>
        <v>1</v>
      </c>
      <c r="M413" s="66">
        <f t="shared" si="12"/>
        <v>1</v>
      </c>
      <c r="N413" s="66">
        <f t="shared" si="13"/>
        <v>0</v>
      </c>
    </row>
    <row r="414" spans="1:14" x14ac:dyDescent="0.3">
      <c r="A414" s="58">
        <v>4</v>
      </c>
      <c r="B414" s="59">
        <v>4</v>
      </c>
      <c r="C414" s="63">
        <v>413</v>
      </c>
      <c r="D414" s="68">
        <v>2</v>
      </c>
      <c r="E414" s="68" t="s">
        <v>80</v>
      </c>
      <c r="F414" s="68" t="s">
        <v>40</v>
      </c>
      <c r="G414" s="47" t="s">
        <v>10</v>
      </c>
      <c r="H414" s="47" t="s">
        <v>72</v>
      </c>
      <c r="I414" s="66"/>
      <c r="J414" s="66" t="s">
        <v>150</v>
      </c>
      <c r="K414" s="57">
        <f>IF(Table121413[[#This Row],[modality]]=E413,1,0)</f>
        <v>0</v>
      </c>
      <c r="L414" s="66">
        <f>IF(Table121413[[#This Row],[stimulus]]=H415, 1, 0)</f>
        <v>0</v>
      </c>
      <c r="M414" s="66">
        <f t="shared" si="12"/>
        <v>0</v>
      </c>
      <c r="N414" s="66">
        <f t="shared" si="13"/>
        <v>0</v>
      </c>
    </row>
    <row r="415" spans="1:14" x14ac:dyDescent="0.3">
      <c r="A415" s="58">
        <v>4</v>
      </c>
      <c r="B415" s="59">
        <v>4</v>
      </c>
      <c r="C415" s="63">
        <v>414</v>
      </c>
      <c r="D415" s="91">
        <v>1</v>
      </c>
      <c r="E415" s="91" t="s">
        <v>81</v>
      </c>
      <c r="F415" s="91" t="s">
        <v>29</v>
      </c>
      <c r="G415" s="58" t="s">
        <v>42</v>
      </c>
      <c r="H415" s="58" t="s">
        <v>65</v>
      </c>
      <c r="I415" s="66"/>
      <c r="J415" s="66" t="s">
        <v>150</v>
      </c>
      <c r="K415" s="57">
        <f>IF(Table121413[[#This Row],[modality]]=E414,1,0)</f>
        <v>0</v>
      </c>
      <c r="L415" s="66">
        <f>IF(Table121413[[#This Row],[stimulus]]=H416, 1, 0)</f>
        <v>0</v>
      </c>
      <c r="M415" s="66">
        <f t="shared" si="12"/>
        <v>1</v>
      </c>
      <c r="N415" s="66">
        <f t="shared" si="13"/>
        <v>0</v>
      </c>
    </row>
    <row r="416" spans="1:14" x14ac:dyDescent="0.3">
      <c r="A416" s="58">
        <v>4</v>
      </c>
      <c r="B416" s="59">
        <v>4</v>
      </c>
      <c r="C416" s="63">
        <v>415</v>
      </c>
      <c r="D416" s="68">
        <v>2</v>
      </c>
      <c r="E416" s="68" t="s">
        <v>80</v>
      </c>
      <c r="F416" s="68" t="s">
        <v>0</v>
      </c>
      <c r="G416" s="47" t="s">
        <v>41</v>
      </c>
      <c r="H416" s="47" t="s">
        <v>70</v>
      </c>
      <c r="I416" s="66"/>
      <c r="J416" s="66" t="s">
        <v>151</v>
      </c>
      <c r="K416" s="57">
        <f>IF(Table121413[[#This Row],[modality]]=E415,1,0)</f>
        <v>0</v>
      </c>
      <c r="L416" s="66">
        <f>IF(Table121413[[#This Row],[stimulus]]=H417, 1, 0)</f>
        <v>1</v>
      </c>
      <c r="M416" s="66">
        <f t="shared" si="12"/>
        <v>0</v>
      </c>
      <c r="N416" s="66">
        <f t="shared" si="13"/>
        <v>1</v>
      </c>
    </row>
    <row r="417" spans="1:14" x14ac:dyDescent="0.3">
      <c r="A417" s="58">
        <v>4</v>
      </c>
      <c r="B417" s="59">
        <v>4</v>
      </c>
      <c r="C417" s="63">
        <v>416</v>
      </c>
      <c r="D417" s="65">
        <v>2</v>
      </c>
      <c r="E417" s="65" t="s">
        <v>80</v>
      </c>
      <c r="F417" s="65" t="s">
        <v>40</v>
      </c>
      <c r="G417" s="58" t="s">
        <v>9</v>
      </c>
      <c r="H417" s="58" t="s">
        <v>70</v>
      </c>
      <c r="I417" s="66"/>
      <c r="J417" s="66" t="s">
        <v>150</v>
      </c>
      <c r="K417" s="57">
        <f>IF(Table121413[[#This Row],[modality]]=E416,1,0)</f>
        <v>1</v>
      </c>
      <c r="L417" s="66">
        <f>IF(Table121413[[#This Row],[stimulus]]=H418, 1, 0)</f>
        <v>0</v>
      </c>
      <c r="M417" s="66">
        <f t="shared" si="12"/>
        <v>0</v>
      </c>
      <c r="N417" s="66">
        <f t="shared" si="13"/>
        <v>0</v>
      </c>
    </row>
    <row r="418" spans="1:14" x14ac:dyDescent="0.3">
      <c r="A418" s="58">
        <v>4</v>
      </c>
      <c r="B418" s="59">
        <v>4</v>
      </c>
      <c r="C418" s="63">
        <v>417</v>
      </c>
      <c r="D418" s="68">
        <v>2</v>
      </c>
      <c r="E418" s="68" t="s">
        <v>80</v>
      </c>
      <c r="F418" s="68" t="s">
        <v>0</v>
      </c>
      <c r="G418" s="47" t="s">
        <v>41</v>
      </c>
      <c r="H418" s="47" t="s">
        <v>74</v>
      </c>
      <c r="I418" s="66"/>
      <c r="J418" s="66" t="s">
        <v>151</v>
      </c>
      <c r="K418" s="57">
        <f>IF(Table121413[[#This Row],[modality]]=E417,1,0)</f>
        <v>1</v>
      </c>
      <c r="L418" s="66">
        <f>IF(Table121413[[#This Row],[stimulus]]=H419, 1, 0)</f>
        <v>1</v>
      </c>
      <c r="M418" s="66">
        <f t="shared" si="12"/>
        <v>1</v>
      </c>
      <c r="N418" s="66">
        <f t="shared" si="13"/>
        <v>0</v>
      </c>
    </row>
    <row r="419" spans="1:14" x14ac:dyDescent="0.3">
      <c r="A419" s="58">
        <v>4</v>
      </c>
      <c r="B419" s="59">
        <v>4</v>
      </c>
      <c r="C419" s="63">
        <v>418</v>
      </c>
      <c r="D419" s="65">
        <v>1</v>
      </c>
      <c r="E419" s="65" t="s">
        <v>81</v>
      </c>
      <c r="F419" s="65" t="s">
        <v>40</v>
      </c>
      <c r="G419" s="58" t="s">
        <v>10</v>
      </c>
      <c r="H419" s="58" t="s">
        <v>74</v>
      </c>
      <c r="I419" s="66"/>
      <c r="J419" s="66" t="s">
        <v>150</v>
      </c>
      <c r="K419" s="57">
        <f>IF(Table121413[[#This Row],[modality]]=E418,1,0)</f>
        <v>0</v>
      </c>
      <c r="L419" s="66">
        <f>IF(Table121413[[#This Row],[stimulus]]=H420, 1, 0)</f>
        <v>0</v>
      </c>
      <c r="M419" s="66">
        <f t="shared" si="12"/>
        <v>0</v>
      </c>
      <c r="N419" s="66">
        <f t="shared" si="13"/>
        <v>0</v>
      </c>
    </row>
    <row r="420" spans="1:14" x14ac:dyDescent="0.3">
      <c r="A420" s="58">
        <v>4</v>
      </c>
      <c r="B420" s="59">
        <v>4</v>
      </c>
      <c r="C420" s="63">
        <v>419</v>
      </c>
      <c r="D420" s="91">
        <v>2</v>
      </c>
      <c r="E420" s="91" t="s">
        <v>80</v>
      </c>
      <c r="F420" s="91" t="s">
        <v>29</v>
      </c>
      <c r="G420" s="47" t="s">
        <v>42</v>
      </c>
      <c r="H420" s="47" t="s">
        <v>61</v>
      </c>
      <c r="I420" s="66"/>
      <c r="J420" s="66" t="s">
        <v>150</v>
      </c>
      <c r="K420" s="57">
        <f>IF(Table121413[[#This Row],[modality]]=E419,1,0)</f>
        <v>0</v>
      </c>
      <c r="L420" s="66">
        <f>IF(Table121413[[#This Row],[stimulus]]=H421, 1, 0)</f>
        <v>0</v>
      </c>
      <c r="M420" s="66">
        <f t="shared" si="12"/>
        <v>1</v>
      </c>
      <c r="N420" s="66">
        <f t="shared" si="13"/>
        <v>0</v>
      </c>
    </row>
    <row r="421" spans="1:14" x14ac:dyDescent="0.3">
      <c r="A421" s="58">
        <v>4</v>
      </c>
      <c r="B421" s="59">
        <v>4</v>
      </c>
      <c r="C421" s="63">
        <v>420</v>
      </c>
      <c r="D421" s="65">
        <v>1</v>
      </c>
      <c r="E421" s="65" t="s">
        <v>81</v>
      </c>
      <c r="F421" s="65" t="s">
        <v>0</v>
      </c>
      <c r="G421" s="58" t="s">
        <v>41</v>
      </c>
      <c r="H421" s="58" t="s">
        <v>71</v>
      </c>
      <c r="I421" s="66"/>
      <c r="J421" s="66" t="s">
        <v>151</v>
      </c>
      <c r="K421" s="57">
        <f>IF(Table121413[[#This Row],[modality]]=E420,1,0)</f>
        <v>0</v>
      </c>
      <c r="L421" s="66">
        <f>IF(Table121413[[#This Row],[stimulus]]=H422, 1, 0)</f>
        <v>1</v>
      </c>
      <c r="M421" s="66">
        <f t="shared" si="12"/>
        <v>0</v>
      </c>
      <c r="N421" s="66">
        <f t="shared" si="13"/>
        <v>1</v>
      </c>
    </row>
    <row r="422" spans="1:14" x14ac:dyDescent="0.3">
      <c r="A422" s="58">
        <v>4</v>
      </c>
      <c r="B422" s="59">
        <v>4</v>
      </c>
      <c r="C422" s="63">
        <v>421</v>
      </c>
      <c r="D422" s="68">
        <v>2</v>
      </c>
      <c r="E422" s="68" t="s">
        <v>80</v>
      </c>
      <c r="F422" s="68" t="s">
        <v>40</v>
      </c>
      <c r="G422" s="47" t="s">
        <v>10</v>
      </c>
      <c r="H422" s="47" t="s">
        <v>71</v>
      </c>
      <c r="I422" s="66"/>
      <c r="J422" s="66" t="s">
        <v>150</v>
      </c>
      <c r="K422" s="57">
        <f>IF(Table121413[[#This Row],[modality]]=E421,1,0)</f>
        <v>0</v>
      </c>
      <c r="L422" s="66">
        <f>IF(Table121413[[#This Row],[stimulus]]=H423, 1, 0)</f>
        <v>0</v>
      </c>
      <c r="M422" s="66">
        <f t="shared" si="12"/>
        <v>0</v>
      </c>
      <c r="N422" s="66">
        <f t="shared" si="13"/>
        <v>0</v>
      </c>
    </row>
    <row r="423" spans="1:14" x14ac:dyDescent="0.3">
      <c r="A423" s="58">
        <v>4</v>
      </c>
      <c r="B423" s="59">
        <v>4</v>
      </c>
      <c r="C423" s="63">
        <v>422</v>
      </c>
      <c r="D423" s="80">
        <v>1</v>
      </c>
      <c r="E423" s="80" t="s">
        <v>81</v>
      </c>
      <c r="F423" s="80" t="s">
        <v>29</v>
      </c>
      <c r="G423" s="52" t="s">
        <v>42</v>
      </c>
      <c r="H423" s="52"/>
      <c r="I423" s="75" t="s">
        <v>127</v>
      </c>
      <c r="J423" s="66" t="s">
        <v>150</v>
      </c>
      <c r="K423" s="57">
        <f>IF(Table121413[[#This Row],[modality]]=E422,1,0)</f>
        <v>0</v>
      </c>
      <c r="L423" s="66">
        <f>IF(Table121413[[#This Row],[stimulus]]=H424, 1, 0)</f>
        <v>0</v>
      </c>
      <c r="M423" s="66">
        <f t="shared" si="12"/>
        <v>1</v>
      </c>
      <c r="N423" s="66">
        <f t="shared" si="13"/>
        <v>0</v>
      </c>
    </row>
    <row r="424" spans="1:14" x14ac:dyDescent="0.3">
      <c r="A424" s="58">
        <v>4</v>
      </c>
      <c r="B424" s="59">
        <v>4</v>
      </c>
      <c r="C424" s="63">
        <v>423</v>
      </c>
      <c r="D424" s="91">
        <v>2</v>
      </c>
      <c r="E424" s="91" t="s">
        <v>80</v>
      </c>
      <c r="F424" s="91" t="s">
        <v>29</v>
      </c>
      <c r="G424" s="47" t="s">
        <v>42</v>
      </c>
      <c r="H424" s="47" t="s">
        <v>60</v>
      </c>
      <c r="I424" s="66"/>
      <c r="J424" s="66" t="s">
        <v>151</v>
      </c>
      <c r="K424" s="57">
        <f>IF(Table121413[[#This Row],[modality]]=E423,1,0)</f>
        <v>0</v>
      </c>
      <c r="L424" s="66">
        <f>IF(Table121413[[#This Row],[stimulus]]=H425, 1, 0)</f>
        <v>0</v>
      </c>
      <c r="M424" s="66">
        <f t="shared" si="12"/>
        <v>0</v>
      </c>
      <c r="N424" s="66">
        <f t="shared" si="13"/>
        <v>1</v>
      </c>
    </row>
    <row r="425" spans="1:14" x14ac:dyDescent="0.3">
      <c r="A425" s="58">
        <v>4</v>
      </c>
      <c r="B425" s="59">
        <v>4</v>
      </c>
      <c r="C425" s="63">
        <v>424</v>
      </c>
      <c r="D425" s="65">
        <v>2</v>
      </c>
      <c r="E425" s="65" t="s">
        <v>80</v>
      </c>
      <c r="F425" s="65" t="s">
        <v>0</v>
      </c>
      <c r="G425" s="58" t="s">
        <v>41</v>
      </c>
      <c r="H425" s="58" t="s">
        <v>68</v>
      </c>
      <c r="I425" s="66"/>
      <c r="J425" s="66" t="s">
        <v>151</v>
      </c>
      <c r="K425" s="57">
        <f>IF(Table121413[[#This Row],[modality]]=E424,1,0)</f>
        <v>1</v>
      </c>
      <c r="L425" s="66">
        <f>IF(Table121413[[#This Row],[stimulus]]=H426, 1, 0)</f>
        <v>1</v>
      </c>
      <c r="M425" s="66">
        <f t="shared" si="12"/>
        <v>0</v>
      </c>
      <c r="N425" s="66">
        <f t="shared" si="13"/>
        <v>1</v>
      </c>
    </row>
    <row r="426" spans="1:14" x14ac:dyDescent="0.3">
      <c r="A426" s="58">
        <v>4</v>
      </c>
      <c r="B426" s="59">
        <v>4</v>
      </c>
      <c r="C426" s="63">
        <v>425</v>
      </c>
      <c r="D426" s="68">
        <v>2</v>
      </c>
      <c r="E426" s="68" t="s">
        <v>80</v>
      </c>
      <c r="F426" s="68" t="s">
        <v>40</v>
      </c>
      <c r="G426" s="47" t="s">
        <v>9</v>
      </c>
      <c r="H426" s="47" t="s">
        <v>68</v>
      </c>
      <c r="I426" s="66"/>
      <c r="J426" s="66" t="s">
        <v>150</v>
      </c>
      <c r="K426" s="57">
        <f>IF(Table121413[[#This Row],[modality]]=E425,1,0)</f>
        <v>1</v>
      </c>
      <c r="L426" s="66">
        <f>IF(Table121413[[#This Row],[stimulus]]=H427, 1, 0)</f>
        <v>0</v>
      </c>
      <c r="M426" s="66">
        <f t="shared" si="12"/>
        <v>0</v>
      </c>
      <c r="N426" s="66">
        <f t="shared" si="13"/>
        <v>0</v>
      </c>
    </row>
    <row r="427" spans="1:14" x14ac:dyDescent="0.3">
      <c r="A427" s="58">
        <v>4</v>
      </c>
      <c r="B427" s="59">
        <v>4</v>
      </c>
      <c r="C427" s="63">
        <v>426</v>
      </c>
      <c r="D427" s="91">
        <v>1</v>
      </c>
      <c r="E427" s="91" t="s">
        <v>81</v>
      </c>
      <c r="F427" s="91" t="s">
        <v>29</v>
      </c>
      <c r="G427" s="58" t="s">
        <v>42</v>
      </c>
      <c r="H427" s="58" t="s">
        <v>66</v>
      </c>
      <c r="I427" s="66"/>
      <c r="J427" s="66" t="s">
        <v>150</v>
      </c>
      <c r="K427" s="57">
        <f>IF(Table121413[[#This Row],[modality]]=E426,1,0)</f>
        <v>0</v>
      </c>
      <c r="L427" s="66">
        <f>IF(Table121413[[#This Row],[stimulus]]=H428, 1, 0)</f>
        <v>0</v>
      </c>
      <c r="M427" s="66">
        <f t="shared" si="12"/>
        <v>1</v>
      </c>
      <c r="N427" s="66">
        <f t="shared" si="13"/>
        <v>0</v>
      </c>
    </row>
    <row r="428" spans="1:14" x14ac:dyDescent="0.3">
      <c r="A428" s="58">
        <v>4</v>
      </c>
      <c r="B428" s="59">
        <v>4</v>
      </c>
      <c r="C428" s="63">
        <v>427</v>
      </c>
      <c r="D428" s="91">
        <v>2</v>
      </c>
      <c r="E428" s="91" t="s">
        <v>80</v>
      </c>
      <c r="F428" s="91" t="s">
        <v>29</v>
      </c>
      <c r="G428" s="71" t="s">
        <v>42</v>
      </c>
      <c r="H428" s="71" t="s">
        <v>64</v>
      </c>
      <c r="I428" s="66"/>
      <c r="J428" s="66" t="s">
        <v>151</v>
      </c>
      <c r="K428" s="57">
        <f>IF(Table121413[[#This Row],[modality]]=E427,1,0)</f>
        <v>0</v>
      </c>
      <c r="L428" s="66">
        <f>IF(Table121413[[#This Row],[stimulus]]=H429, 1, 0)</f>
        <v>0</v>
      </c>
      <c r="M428" s="66">
        <f t="shared" si="12"/>
        <v>0</v>
      </c>
      <c r="N428" s="66">
        <f t="shared" si="13"/>
        <v>1</v>
      </c>
    </row>
    <row r="429" spans="1:14" x14ac:dyDescent="0.3">
      <c r="A429" s="58">
        <v>4</v>
      </c>
      <c r="B429" s="59">
        <v>4</v>
      </c>
      <c r="C429" s="63">
        <v>428</v>
      </c>
      <c r="D429" s="65">
        <v>2</v>
      </c>
      <c r="E429" s="65" t="s">
        <v>80</v>
      </c>
      <c r="F429" s="65" t="s">
        <v>0</v>
      </c>
      <c r="G429" s="58" t="s">
        <v>41</v>
      </c>
      <c r="H429" s="58" t="s">
        <v>67</v>
      </c>
      <c r="I429" s="66"/>
      <c r="J429" s="66" t="s">
        <v>151</v>
      </c>
      <c r="K429" s="57">
        <f>IF(Table121413[[#This Row],[modality]]=E428,1,0)</f>
        <v>1</v>
      </c>
      <c r="L429" s="66">
        <f>IF(Table121413[[#This Row],[stimulus]]=H430, 1, 0)</f>
        <v>1</v>
      </c>
      <c r="M429" s="66">
        <f t="shared" si="12"/>
        <v>0</v>
      </c>
      <c r="N429" s="66">
        <f t="shared" si="13"/>
        <v>1</v>
      </c>
    </row>
    <row r="430" spans="1:14" x14ac:dyDescent="0.3">
      <c r="A430" s="58">
        <v>4</v>
      </c>
      <c r="B430" s="59">
        <v>4</v>
      </c>
      <c r="C430" s="63">
        <v>429</v>
      </c>
      <c r="D430" s="68">
        <v>1</v>
      </c>
      <c r="E430" s="68" t="s">
        <v>81</v>
      </c>
      <c r="F430" s="68" t="s">
        <v>40</v>
      </c>
      <c r="G430" s="47" t="s">
        <v>10</v>
      </c>
      <c r="H430" s="47" t="s">
        <v>67</v>
      </c>
      <c r="I430" s="66"/>
      <c r="J430" s="66" t="s">
        <v>150</v>
      </c>
      <c r="K430" s="57">
        <f>IF(Table121413[[#This Row],[modality]]=E429,1,0)</f>
        <v>0</v>
      </c>
      <c r="L430" s="66">
        <f>IF(Table121413[[#This Row],[stimulus]]=H431, 1, 0)</f>
        <v>0</v>
      </c>
      <c r="M430" s="66">
        <f t="shared" si="12"/>
        <v>0</v>
      </c>
      <c r="N430" s="66">
        <f t="shared" si="13"/>
        <v>0</v>
      </c>
    </row>
    <row r="431" spans="1:14" x14ac:dyDescent="0.3">
      <c r="A431" s="58">
        <v>4</v>
      </c>
      <c r="B431" s="59">
        <v>4</v>
      </c>
      <c r="C431" s="63">
        <v>430</v>
      </c>
      <c r="D431" s="80">
        <v>2</v>
      </c>
      <c r="E431" s="80" t="s">
        <v>80</v>
      </c>
      <c r="F431" s="80" t="s">
        <v>29</v>
      </c>
      <c r="G431" s="52" t="s">
        <v>42</v>
      </c>
      <c r="H431" s="52"/>
      <c r="I431" s="75" t="s">
        <v>127</v>
      </c>
      <c r="J431" s="66" t="s">
        <v>150</v>
      </c>
      <c r="K431" s="57">
        <f>IF(Table121413[[#This Row],[modality]]=E430,1,0)</f>
        <v>0</v>
      </c>
      <c r="L431" s="66">
        <f>IF(Table121413[[#This Row],[stimulus]]=H432, 1, 0)</f>
        <v>0</v>
      </c>
      <c r="M431" s="66">
        <f t="shared" si="12"/>
        <v>1</v>
      </c>
      <c r="N431" s="66">
        <f t="shared" si="13"/>
        <v>0</v>
      </c>
    </row>
    <row r="432" spans="1:14" x14ac:dyDescent="0.3">
      <c r="A432" s="58">
        <v>4</v>
      </c>
      <c r="B432" s="59">
        <v>4</v>
      </c>
      <c r="C432" s="63">
        <v>431</v>
      </c>
      <c r="D432" s="91">
        <v>1</v>
      </c>
      <c r="E432" s="91" t="s">
        <v>81</v>
      </c>
      <c r="F432" s="91" t="s">
        <v>29</v>
      </c>
      <c r="G432" s="47" t="s">
        <v>42</v>
      </c>
      <c r="H432" s="47" t="s">
        <v>62</v>
      </c>
      <c r="I432" s="66"/>
      <c r="J432" s="66" t="s">
        <v>150</v>
      </c>
      <c r="K432" s="57">
        <f>IF(Table121413[[#This Row],[modality]]=E431,1,0)</f>
        <v>0</v>
      </c>
      <c r="L432" s="66">
        <f>IF(Table121413[[#This Row],[stimulus]]=H433, 1, 0)</f>
        <v>0</v>
      </c>
      <c r="M432" s="66">
        <f t="shared" si="12"/>
        <v>0</v>
      </c>
      <c r="N432" s="66">
        <f t="shared" si="13"/>
        <v>1</v>
      </c>
    </row>
    <row r="433" spans="1:14" x14ac:dyDescent="0.3">
      <c r="A433" s="58">
        <v>4</v>
      </c>
      <c r="B433" s="59">
        <v>4</v>
      </c>
      <c r="C433" s="63">
        <v>432</v>
      </c>
      <c r="D433" s="65">
        <v>1</v>
      </c>
      <c r="E433" s="65" t="s">
        <v>81</v>
      </c>
      <c r="F433" s="65" t="s">
        <v>0</v>
      </c>
      <c r="G433" s="58" t="s">
        <v>41</v>
      </c>
      <c r="H433" s="58" t="s">
        <v>73</v>
      </c>
      <c r="I433" s="66"/>
      <c r="J433" s="66" t="s">
        <v>151</v>
      </c>
      <c r="K433" s="57">
        <f>IF(Table121413[[#This Row],[modality]]=E432,1,0)</f>
        <v>1</v>
      </c>
      <c r="L433" s="66">
        <f>IF(Table121413[[#This Row],[stimulus]]=H434, 1, 0)</f>
        <v>1</v>
      </c>
      <c r="M433" s="66">
        <f t="shared" si="12"/>
        <v>0</v>
      </c>
      <c r="N433" s="66">
        <f t="shared" si="13"/>
        <v>1</v>
      </c>
    </row>
    <row r="434" spans="1:14" x14ac:dyDescent="0.3">
      <c r="A434" s="58">
        <v>4</v>
      </c>
      <c r="B434" s="59">
        <v>4</v>
      </c>
      <c r="C434" s="63">
        <v>433</v>
      </c>
      <c r="D434" s="68">
        <v>1</v>
      </c>
      <c r="E434" s="68" t="s">
        <v>81</v>
      </c>
      <c r="F434" s="68" t="s">
        <v>40</v>
      </c>
      <c r="G434" s="47" t="s">
        <v>9</v>
      </c>
      <c r="H434" s="47" t="s">
        <v>73</v>
      </c>
      <c r="I434" s="66"/>
      <c r="J434" s="66" t="s">
        <v>150</v>
      </c>
      <c r="K434" s="57">
        <f>IF(Table121413[[#This Row],[modality]]=E433,1,0)</f>
        <v>1</v>
      </c>
      <c r="L434" s="66">
        <f>IF(Table121413[[#This Row],[stimulus]]=H435, 1, 0)</f>
        <v>0</v>
      </c>
      <c r="M434" s="66">
        <f t="shared" si="12"/>
        <v>0</v>
      </c>
      <c r="N434" s="66">
        <f t="shared" si="13"/>
        <v>0</v>
      </c>
    </row>
    <row r="435" spans="1:14" x14ac:dyDescent="0.3">
      <c r="A435" s="58">
        <v>4</v>
      </c>
      <c r="B435" s="59">
        <v>4</v>
      </c>
      <c r="C435" s="63">
        <v>434</v>
      </c>
      <c r="D435" s="86">
        <v>1</v>
      </c>
      <c r="E435" s="86" t="s">
        <v>81</v>
      </c>
      <c r="F435" s="86" t="s">
        <v>29</v>
      </c>
      <c r="G435" s="87" t="s">
        <v>42</v>
      </c>
      <c r="H435" s="87" t="s">
        <v>66</v>
      </c>
      <c r="I435" s="66"/>
      <c r="J435" s="66" t="s">
        <v>151</v>
      </c>
      <c r="K435" s="57">
        <f>IF(Table121413[[#This Row],[modality]]=E434,1,0)</f>
        <v>1</v>
      </c>
      <c r="L435" s="66">
        <f>IF(Table121413[[#This Row],[stimulus]]=H436, 1, 0)</f>
        <v>0</v>
      </c>
      <c r="M435" s="66">
        <f t="shared" si="12"/>
        <v>1</v>
      </c>
      <c r="N435" s="66">
        <f t="shared" si="13"/>
        <v>0</v>
      </c>
    </row>
    <row r="436" spans="1:14" x14ac:dyDescent="0.3">
      <c r="A436" s="58">
        <v>4</v>
      </c>
      <c r="B436" s="59">
        <v>4</v>
      </c>
      <c r="C436" s="63">
        <v>435</v>
      </c>
      <c r="D436" s="80">
        <v>2</v>
      </c>
      <c r="E436" s="80" t="s">
        <v>80</v>
      </c>
      <c r="F436" s="80" t="s">
        <v>29</v>
      </c>
      <c r="G436" s="52" t="s">
        <v>42</v>
      </c>
      <c r="H436" s="52"/>
      <c r="I436" s="66"/>
      <c r="J436" s="66" t="s">
        <v>150</v>
      </c>
      <c r="K436" s="57">
        <f>IF(Table121413[[#This Row],[modality]]=E435,1,0)</f>
        <v>0</v>
      </c>
      <c r="L436" s="66">
        <f>IF(Table121413[[#This Row],[stimulus]]=H437, 1, 0)</f>
        <v>1</v>
      </c>
      <c r="M436" s="66">
        <f t="shared" si="12"/>
        <v>0</v>
      </c>
      <c r="N436" s="66">
        <f t="shared" si="13"/>
        <v>1</v>
      </c>
    </row>
    <row r="452" spans="6:6" x14ac:dyDescent="0.3">
      <c r="F452" t="s">
        <v>19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7451-E8C1-4323-A6AC-BD2065C6D7C5}">
  <dimension ref="A1:O26"/>
  <sheetViews>
    <sheetView workbookViewId="0">
      <selection activeCell="H22" sqref="H22:J23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20.6640625" bestFit="1" customWidth="1"/>
  </cols>
  <sheetData>
    <row r="1" spans="1:15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  <c r="O1" t="s">
        <v>162</v>
      </c>
    </row>
    <row r="2" spans="1:15" x14ac:dyDescent="0.3">
      <c r="A2">
        <v>1</v>
      </c>
      <c r="B2">
        <v>4</v>
      </c>
      <c r="C2">
        <v>324</v>
      </c>
      <c r="D2">
        <v>1</v>
      </c>
      <c r="E2" t="s">
        <v>81</v>
      </c>
      <c r="F2" t="s">
        <v>0</v>
      </c>
      <c r="G2" t="s">
        <v>41</v>
      </c>
      <c r="H2" t="s">
        <v>43</v>
      </c>
      <c r="J2" t="s">
        <v>151</v>
      </c>
      <c r="K2">
        <v>0</v>
      </c>
      <c r="L2">
        <v>1</v>
      </c>
      <c r="M2">
        <v>0</v>
      </c>
      <c r="N2">
        <v>1</v>
      </c>
    </row>
    <row r="3" spans="1:15" x14ac:dyDescent="0.3">
      <c r="A3">
        <v>2</v>
      </c>
      <c r="B3">
        <v>1</v>
      </c>
      <c r="C3">
        <v>27</v>
      </c>
      <c r="D3">
        <v>1</v>
      </c>
      <c r="E3" t="s">
        <v>81</v>
      </c>
      <c r="F3" t="s">
        <v>0</v>
      </c>
      <c r="G3" t="s">
        <v>41</v>
      </c>
      <c r="H3" t="s">
        <v>58</v>
      </c>
      <c r="J3" t="s">
        <v>151</v>
      </c>
      <c r="K3">
        <v>0</v>
      </c>
      <c r="L3">
        <v>1</v>
      </c>
      <c r="M3">
        <v>0</v>
      </c>
      <c r="N3">
        <v>1</v>
      </c>
    </row>
    <row r="4" spans="1:15" x14ac:dyDescent="0.3">
      <c r="A4">
        <v>3</v>
      </c>
      <c r="B4">
        <v>3</v>
      </c>
      <c r="C4">
        <v>273</v>
      </c>
      <c r="D4">
        <v>1</v>
      </c>
      <c r="E4" t="s">
        <v>81</v>
      </c>
      <c r="F4" t="s">
        <v>0</v>
      </c>
      <c r="G4" t="s">
        <v>41</v>
      </c>
      <c r="H4" t="s">
        <v>59</v>
      </c>
      <c r="J4" t="s">
        <v>151</v>
      </c>
      <c r="K4">
        <v>0</v>
      </c>
      <c r="L4">
        <v>1</v>
      </c>
      <c r="M4">
        <v>0</v>
      </c>
      <c r="N4">
        <v>1</v>
      </c>
    </row>
    <row r="5" spans="1:15" x14ac:dyDescent="0.3">
      <c r="A5">
        <v>4</v>
      </c>
      <c r="B5">
        <v>1</v>
      </c>
      <c r="C5">
        <v>78</v>
      </c>
      <c r="D5">
        <v>1</v>
      </c>
      <c r="E5" t="s">
        <v>81</v>
      </c>
      <c r="F5" t="s">
        <v>0</v>
      </c>
      <c r="G5" t="s">
        <v>41</v>
      </c>
      <c r="H5" t="s">
        <v>74</v>
      </c>
      <c r="J5" t="s">
        <v>151</v>
      </c>
      <c r="K5">
        <v>0</v>
      </c>
      <c r="L5">
        <v>1</v>
      </c>
      <c r="M5">
        <v>0</v>
      </c>
      <c r="N5">
        <v>1</v>
      </c>
    </row>
    <row r="6" spans="1:15" x14ac:dyDescent="0.3">
      <c r="A6">
        <v>1</v>
      </c>
      <c r="B6">
        <v>3</v>
      </c>
      <c r="C6">
        <v>220</v>
      </c>
      <c r="D6">
        <v>1</v>
      </c>
      <c r="E6" t="s">
        <v>81</v>
      </c>
      <c r="F6" t="s">
        <v>0</v>
      </c>
      <c r="G6" t="s">
        <v>41</v>
      </c>
      <c r="H6" t="s">
        <v>44</v>
      </c>
      <c r="J6" t="s">
        <v>151</v>
      </c>
      <c r="K6">
        <v>0</v>
      </c>
      <c r="L6">
        <v>1</v>
      </c>
      <c r="M6">
        <v>0</v>
      </c>
      <c r="N6">
        <v>1</v>
      </c>
    </row>
    <row r="7" spans="1:15" x14ac:dyDescent="0.3">
      <c r="A7">
        <v>2</v>
      </c>
      <c r="B7">
        <v>1</v>
      </c>
      <c r="C7">
        <v>30</v>
      </c>
      <c r="D7">
        <v>1</v>
      </c>
      <c r="E7" t="s">
        <v>81</v>
      </c>
      <c r="F7" t="s">
        <v>0</v>
      </c>
      <c r="G7" t="s">
        <v>41</v>
      </c>
      <c r="H7" t="s">
        <v>57</v>
      </c>
      <c r="J7" t="s">
        <v>151</v>
      </c>
      <c r="K7">
        <v>0</v>
      </c>
      <c r="L7">
        <v>1</v>
      </c>
      <c r="M7">
        <v>0</v>
      </c>
      <c r="N7">
        <v>1</v>
      </c>
    </row>
    <row r="8" spans="1:15" x14ac:dyDescent="0.3">
      <c r="A8">
        <v>3</v>
      </c>
      <c r="B8">
        <v>2</v>
      </c>
      <c r="C8">
        <v>175</v>
      </c>
      <c r="D8">
        <v>1</v>
      </c>
      <c r="E8" t="s">
        <v>81</v>
      </c>
      <c r="F8" t="s">
        <v>0</v>
      </c>
      <c r="G8" t="s">
        <v>41</v>
      </c>
      <c r="H8" t="s">
        <v>60</v>
      </c>
      <c r="J8" t="s">
        <v>151</v>
      </c>
      <c r="K8">
        <v>0</v>
      </c>
      <c r="L8">
        <v>1</v>
      </c>
      <c r="M8">
        <v>0</v>
      </c>
      <c r="N8">
        <v>1</v>
      </c>
      <c r="O8" s="105" t="s">
        <v>159</v>
      </c>
    </row>
    <row r="9" spans="1:15" x14ac:dyDescent="0.3">
      <c r="A9">
        <v>1</v>
      </c>
      <c r="B9">
        <v>3</v>
      </c>
      <c r="C9">
        <v>224</v>
      </c>
      <c r="D9">
        <v>1</v>
      </c>
      <c r="E9" t="s">
        <v>81</v>
      </c>
      <c r="F9" t="s">
        <v>0</v>
      </c>
      <c r="G9" t="s">
        <v>41</v>
      </c>
      <c r="H9" t="s">
        <v>45</v>
      </c>
      <c r="J9" t="s">
        <v>151</v>
      </c>
      <c r="K9">
        <v>0</v>
      </c>
      <c r="L9">
        <v>1</v>
      </c>
      <c r="M9">
        <v>0</v>
      </c>
      <c r="N9">
        <v>1</v>
      </c>
    </row>
    <row r="10" spans="1:15" x14ac:dyDescent="0.3">
      <c r="A10">
        <v>2</v>
      </c>
      <c r="B10">
        <v>2</v>
      </c>
      <c r="C10">
        <v>131</v>
      </c>
      <c r="D10">
        <v>1</v>
      </c>
      <c r="E10" t="s">
        <v>81</v>
      </c>
      <c r="F10" t="s">
        <v>0</v>
      </c>
      <c r="G10" t="s">
        <v>41</v>
      </c>
      <c r="H10" t="s">
        <v>56</v>
      </c>
      <c r="J10" t="s">
        <v>150</v>
      </c>
      <c r="K10">
        <v>0</v>
      </c>
      <c r="L10">
        <v>1</v>
      </c>
      <c r="M10">
        <v>0</v>
      </c>
      <c r="N10">
        <v>1</v>
      </c>
    </row>
    <row r="11" spans="1:15" x14ac:dyDescent="0.3">
      <c r="A11">
        <v>2</v>
      </c>
      <c r="B11">
        <v>1</v>
      </c>
      <c r="C11">
        <v>33</v>
      </c>
      <c r="D11">
        <v>1</v>
      </c>
      <c r="E11" t="s">
        <v>81</v>
      </c>
      <c r="F11" t="s">
        <v>0</v>
      </c>
      <c r="G11" t="s">
        <v>41</v>
      </c>
      <c r="H11" t="s">
        <v>56</v>
      </c>
      <c r="J11" t="s">
        <v>151</v>
      </c>
      <c r="K11">
        <v>0</v>
      </c>
      <c r="L11">
        <v>1</v>
      </c>
      <c r="M11">
        <v>0</v>
      </c>
      <c r="N11">
        <v>1</v>
      </c>
      <c r="O11" s="105" t="s">
        <v>163</v>
      </c>
    </row>
    <row r="12" spans="1:15" x14ac:dyDescent="0.3">
      <c r="A12">
        <v>4</v>
      </c>
      <c r="B12">
        <v>2</v>
      </c>
      <c r="C12">
        <v>179</v>
      </c>
      <c r="D12">
        <v>1</v>
      </c>
      <c r="E12" t="s">
        <v>81</v>
      </c>
      <c r="F12" t="s">
        <v>0</v>
      </c>
      <c r="G12" t="s">
        <v>41</v>
      </c>
      <c r="H12" t="s">
        <v>72</v>
      </c>
      <c r="J12" t="s">
        <v>151</v>
      </c>
      <c r="K12">
        <v>0</v>
      </c>
      <c r="L12">
        <v>1</v>
      </c>
      <c r="M12">
        <v>0</v>
      </c>
      <c r="N12">
        <v>1</v>
      </c>
    </row>
    <row r="13" spans="1:15" x14ac:dyDescent="0.3">
      <c r="A13">
        <v>1</v>
      </c>
      <c r="B13">
        <v>4</v>
      </c>
      <c r="C13">
        <v>321</v>
      </c>
      <c r="D13">
        <v>1</v>
      </c>
      <c r="E13" t="s">
        <v>81</v>
      </c>
      <c r="F13" t="s">
        <v>0</v>
      </c>
      <c r="G13" t="s">
        <v>41</v>
      </c>
      <c r="H13" t="s">
        <v>46</v>
      </c>
      <c r="J13" t="s">
        <v>150</v>
      </c>
      <c r="K13">
        <v>0</v>
      </c>
      <c r="L13">
        <v>1</v>
      </c>
      <c r="M13">
        <v>0</v>
      </c>
      <c r="N13">
        <v>1</v>
      </c>
    </row>
    <row r="14" spans="1:15" x14ac:dyDescent="0.3">
      <c r="A14">
        <v>1</v>
      </c>
      <c r="B14">
        <v>1</v>
      </c>
      <c r="C14">
        <v>11</v>
      </c>
      <c r="D14">
        <v>1</v>
      </c>
      <c r="E14" t="s">
        <v>81</v>
      </c>
      <c r="F14" t="s">
        <v>0</v>
      </c>
      <c r="G14" t="s">
        <v>41</v>
      </c>
      <c r="H14" t="s">
        <v>46</v>
      </c>
      <c r="J14" t="s">
        <v>151</v>
      </c>
      <c r="K14">
        <v>0</v>
      </c>
      <c r="L14">
        <v>1</v>
      </c>
      <c r="M14">
        <v>0</v>
      </c>
      <c r="N14">
        <v>1</v>
      </c>
    </row>
    <row r="15" spans="1:15" x14ac:dyDescent="0.3">
      <c r="A15">
        <v>2</v>
      </c>
      <c r="B15">
        <v>4</v>
      </c>
      <c r="C15">
        <v>332</v>
      </c>
      <c r="D15">
        <v>1</v>
      </c>
      <c r="E15" t="s">
        <v>81</v>
      </c>
      <c r="F15" t="s">
        <v>0</v>
      </c>
      <c r="G15" t="s">
        <v>41</v>
      </c>
      <c r="H15" t="s">
        <v>55</v>
      </c>
      <c r="J15" t="s">
        <v>151</v>
      </c>
      <c r="K15">
        <v>0</v>
      </c>
      <c r="L15">
        <v>1</v>
      </c>
      <c r="M15">
        <v>0</v>
      </c>
      <c r="N15">
        <v>1</v>
      </c>
    </row>
    <row r="16" spans="1:15" x14ac:dyDescent="0.3">
      <c r="A16">
        <v>3</v>
      </c>
      <c r="B16">
        <v>4</v>
      </c>
      <c r="C16">
        <v>376</v>
      </c>
      <c r="D16">
        <v>1</v>
      </c>
      <c r="E16" t="s">
        <v>81</v>
      </c>
      <c r="F16" t="s">
        <v>0</v>
      </c>
      <c r="G16" t="s">
        <v>41</v>
      </c>
      <c r="H16" t="s">
        <v>62</v>
      </c>
      <c r="J16" t="s">
        <v>151</v>
      </c>
      <c r="K16">
        <v>0</v>
      </c>
      <c r="L16">
        <v>1</v>
      </c>
      <c r="M16">
        <v>0</v>
      </c>
      <c r="N16">
        <v>1</v>
      </c>
    </row>
    <row r="17" spans="1:15" x14ac:dyDescent="0.3">
      <c r="A17">
        <v>4</v>
      </c>
      <c r="B17">
        <v>4</v>
      </c>
      <c r="C17">
        <v>390</v>
      </c>
      <c r="D17">
        <v>1</v>
      </c>
      <c r="E17" t="s">
        <v>81</v>
      </c>
      <c r="F17" t="s">
        <v>0</v>
      </c>
      <c r="G17" t="s">
        <v>41</v>
      </c>
      <c r="H17" t="s">
        <v>71</v>
      </c>
      <c r="J17" t="s">
        <v>151</v>
      </c>
      <c r="K17">
        <v>0</v>
      </c>
      <c r="L17">
        <v>1</v>
      </c>
      <c r="M17">
        <v>0</v>
      </c>
      <c r="N17">
        <v>1</v>
      </c>
    </row>
    <row r="18" spans="1:15" x14ac:dyDescent="0.3">
      <c r="A18">
        <v>4</v>
      </c>
      <c r="B18">
        <v>3</v>
      </c>
      <c r="C18">
        <v>276</v>
      </c>
      <c r="D18">
        <v>1</v>
      </c>
      <c r="E18" t="s">
        <v>81</v>
      </c>
      <c r="F18" t="s">
        <v>0</v>
      </c>
      <c r="G18" t="s">
        <v>41</v>
      </c>
      <c r="H18" t="s">
        <v>71</v>
      </c>
      <c r="J18" t="s">
        <v>150</v>
      </c>
      <c r="K18">
        <v>0</v>
      </c>
      <c r="L18">
        <v>1</v>
      </c>
      <c r="M18">
        <v>0</v>
      </c>
      <c r="N18">
        <v>1</v>
      </c>
    </row>
    <row r="19" spans="1:15" x14ac:dyDescent="0.3">
      <c r="A19">
        <v>1</v>
      </c>
      <c r="B19">
        <v>2</v>
      </c>
      <c r="C19">
        <v>121</v>
      </c>
      <c r="D19">
        <v>1</v>
      </c>
      <c r="E19" t="s">
        <v>81</v>
      </c>
      <c r="F19" t="s">
        <v>0</v>
      </c>
      <c r="G19" t="s">
        <v>41</v>
      </c>
      <c r="H19" t="s">
        <v>47</v>
      </c>
      <c r="J19" t="s">
        <v>151</v>
      </c>
      <c r="K19">
        <v>0</v>
      </c>
      <c r="L19">
        <v>1</v>
      </c>
      <c r="M19">
        <v>0</v>
      </c>
      <c r="N19">
        <v>1</v>
      </c>
      <c r="O19" s="105" t="s">
        <v>166</v>
      </c>
    </row>
    <row r="20" spans="1:15" x14ac:dyDescent="0.3">
      <c r="A20">
        <v>1</v>
      </c>
      <c r="B20">
        <v>1</v>
      </c>
      <c r="C20">
        <v>17</v>
      </c>
      <c r="D20">
        <v>1</v>
      </c>
      <c r="E20" t="s">
        <v>81</v>
      </c>
      <c r="F20" t="s">
        <v>0</v>
      </c>
      <c r="G20" t="s">
        <v>41</v>
      </c>
      <c r="H20" t="s">
        <v>48</v>
      </c>
      <c r="J20" t="s">
        <v>151</v>
      </c>
      <c r="K20">
        <v>0</v>
      </c>
      <c r="L20">
        <v>1</v>
      </c>
      <c r="M20">
        <v>0</v>
      </c>
      <c r="N20">
        <v>1</v>
      </c>
    </row>
    <row r="21" spans="1:15" x14ac:dyDescent="0.3">
      <c r="A21">
        <v>2</v>
      </c>
      <c r="B21">
        <v>3</v>
      </c>
      <c r="C21">
        <v>233</v>
      </c>
      <c r="D21">
        <v>1</v>
      </c>
      <c r="E21" t="s">
        <v>81</v>
      </c>
      <c r="F21" t="s">
        <v>0</v>
      </c>
      <c r="G21" t="s">
        <v>41</v>
      </c>
      <c r="H21" t="s">
        <v>53</v>
      </c>
      <c r="J21" t="s">
        <v>151</v>
      </c>
      <c r="K21">
        <v>0</v>
      </c>
      <c r="L21">
        <v>1</v>
      </c>
      <c r="M21">
        <v>0</v>
      </c>
      <c r="N21">
        <v>1</v>
      </c>
    </row>
    <row r="22" spans="1:15" x14ac:dyDescent="0.3">
      <c r="A22">
        <v>4</v>
      </c>
      <c r="B22">
        <v>4</v>
      </c>
      <c r="C22">
        <v>380</v>
      </c>
      <c r="D22">
        <v>1</v>
      </c>
      <c r="E22" t="s">
        <v>81</v>
      </c>
      <c r="F22" t="s">
        <v>0</v>
      </c>
      <c r="G22" t="s">
        <v>41</v>
      </c>
      <c r="H22" t="s">
        <v>69</v>
      </c>
      <c r="J22" t="s">
        <v>150</v>
      </c>
      <c r="K22">
        <v>0</v>
      </c>
      <c r="L22">
        <v>1</v>
      </c>
      <c r="M22">
        <v>0</v>
      </c>
      <c r="N22">
        <v>1</v>
      </c>
    </row>
    <row r="23" spans="1:15" x14ac:dyDescent="0.3">
      <c r="A23">
        <v>4</v>
      </c>
      <c r="B23">
        <v>3</v>
      </c>
      <c r="C23">
        <v>279</v>
      </c>
      <c r="D23">
        <v>1</v>
      </c>
      <c r="E23" t="s">
        <v>81</v>
      </c>
      <c r="F23" t="s">
        <v>0</v>
      </c>
      <c r="G23" t="s">
        <v>41</v>
      </c>
      <c r="H23" t="s">
        <v>69</v>
      </c>
      <c r="J23" t="s">
        <v>151</v>
      </c>
      <c r="K23">
        <v>0</v>
      </c>
      <c r="L23">
        <v>1</v>
      </c>
      <c r="M23">
        <v>0</v>
      </c>
      <c r="N23">
        <v>1</v>
      </c>
      <c r="O23" s="105" t="s">
        <v>165</v>
      </c>
    </row>
    <row r="24" spans="1:15" x14ac:dyDescent="0.3">
      <c r="A24">
        <v>3</v>
      </c>
      <c r="B24">
        <v>1</v>
      </c>
      <c r="C24">
        <v>71</v>
      </c>
      <c r="D24">
        <v>1</v>
      </c>
      <c r="E24" t="s">
        <v>81</v>
      </c>
      <c r="F24" t="s">
        <v>0</v>
      </c>
      <c r="G24" t="s">
        <v>41</v>
      </c>
      <c r="H24" t="s">
        <v>65</v>
      </c>
      <c r="J24" t="s">
        <v>151</v>
      </c>
      <c r="K24">
        <v>0</v>
      </c>
      <c r="L24">
        <v>1</v>
      </c>
      <c r="M24">
        <v>0</v>
      </c>
      <c r="N24">
        <v>1</v>
      </c>
    </row>
    <row r="25" spans="1:15" x14ac:dyDescent="0.3">
      <c r="A25">
        <v>4</v>
      </c>
      <c r="B25">
        <v>2</v>
      </c>
      <c r="C25">
        <v>189</v>
      </c>
      <c r="D25">
        <v>1</v>
      </c>
      <c r="E25" t="s">
        <v>81</v>
      </c>
      <c r="F25" t="s">
        <v>0</v>
      </c>
      <c r="G25" t="s">
        <v>41</v>
      </c>
      <c r="H25" t="s">
        <v>68</v>
      </c>
      <c r="J25" t="s">
        <v>151</v>
      </c>
      <c r="K25">
        <v>0</v>
      </c>
      <c r="L25">
        <v>1</v>
      </c>
      <c r="M25">
        <v>0</v>
      </c>
      <c r="N25">
        <v>1</v>
      </c>
      <c r="O25" s="105" t="s">
        <v>168</v>
      </c>
    </row>
    <row r="26" spans="1:15" x14ac:dyDescent="0.3">
      <c r="A26">
        <v>1</v>
      </c>
      <c r="B26">
        <v>2</v>
      </c>
      <c r="C26">
        <v>118</v>
      </c>
      <c r="D26">
        <v>1</v>
      </c>
      <c r="E26" t="s">
        <v>81</v>
      </c>
      <c r="F26" t="s">
        <v>0</v>
      </c>
      <c r="G26" t="s">
        <v>41</v>
      </c>
      <c r="H26" t="s">
        <v>50</v>
      </c>
      <c r="J26" t="s">
        <v>151</v>
      </c>
      <c r="K26">
        <v>0</v>
      </c>
      <c r="L26">
        <v>1</v>
      </c>
      <c r="M26">
        <v>0</v>
      </c>
      <c r="N26">
        <v>1</v>
      </c>
      <c r="O26" s="105" t="s">
        <v>167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292A-9277-4237-B5D4-1451D62F1361}">
  <dimension ref="A1:N20"/>
  <sheetViews>
    <sheetView workbookViewId="0">
      <selection activeCell="H14" sqref="H14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</cols>
  <sheetData>
    <row r="1" spans="1:14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</row>
    <row r="2" spans="1:14" x14ac:dyDescent="0.3">
      <c r="A2">
        <v>3</v>
      </c>
      <c r="B2">
        <v>2</v>
      </c>
      <c r="C2">
        <v>165</v>
      </c>
      <c r="D2">
        <v>1</v>
      </c>
      <c r="E2" t="s">
        <v>81</v>
      </c>
      <c r="F2" t="s">
        <v>29</v>
      </c>
      <c r="G2" t="s">
        <v>42</v>
      </c>
      <c r="H2" t="s">
        <v>57</v>
      </c>
      <c r="J2" t="s">
        <v>150</v>
      </c>
      <c r="K2">
        <v>0</v>
      </c>
      <c r="L2">
        <v>0</v>
      </c>
      <c r="M2">
        <v>0</v>
      </c>
      <c r="N2">
        <v>1</v>
      </c>
    </row>
    <row r="3" spans="1:14" x14ac:dyDescent="0.3">
      <c r="A3">
        <v>4</v>
      </c>
      <c r="B3">
        <v>2</v>
      </c>
      <c r="C3">
        <v>202</v>
      </c>
      <c r="D3">
        <v>1</v>
      </c>
      <c r="E3" t="s">
        <v>81</v>
      </c>
      <c r="F3" t="s">
        <v>29</v>
      </c>
      <c r="G3" t="s">
        <v>42</v>
      </c>
      <c r="H3" t="s">
        <v>60</v>
      </c>
      <c r="J3" t="s">
        <v>150</v>
      </c>
      <c r="K3">
        <v>0</v>
      </c>
      <c r="L3">
        <v>0</v>
      </c>
      <c r="M3">
        <v>0</v>
      </c>
      <c r="N3">
        <v>1</v>
      </c>
    </row>
    <row r="4" spans="1:14" x14ac:dyDescent="0.3">
      <c r="A4">
        <v>4</v>
      </c>
      <c r="B4">
        <v>1</v>
      </c>
      <c r="C4">
        <v>83</v>
      </c>
      <c r="D4">
        <v>1</v>
      </c>
      <c r="E4" t="s">
        <v>81</v>
      </c>
      <c r="F4" t="s">
        <v>29</v>
      </c>
      <c r="G4" t="s">
        <v>42</v>
      </c>
      <c r="H4" t="s">
        <v>60</v>
      </c>
      <c r="J4" t="s">
        <v>150</v>
      </c>
      <c r="K4">
        <v>0</v>
      </c>
      <c r="L4">
        <v>0</v>
      </c>
      <c r="M4">
        <v>0</v>
      </c>
      <c r="N4">
        <v>1</v>
      </c>
    </row>
    <row r="5" spans="1:14" x14ac:dyDescent="0.3">
      <c r="A5">
        <v>2</v>
      </c>
      <c r="B5">
        <v>3</v>
      </c>
      <c r="C5">
        <v>229</v>
      </c>
      <c r="D5">
        <v>1</v>
      </c>
      <c r="E5" t="s">
        <v>81</v>
      </c>
      <c r="F5" t="s">
        <v>29</v>
      </c>
      <c r="G5" t="s">
        <v>42</v>
      </c>
      <c r="H5" t="s">
        <v>45</v>
      </c>
      <c r="J5" t="s">
        <v>150</v>
      </c>
      <c r="K5">
        <v>0</v>
      </c>
      <c r="L5">
        <v>0</v>
      </c>
      <c r="M5">
        <v>0</v>
      </c>
      <c r="N5">
        <v>1</v>
      </c>
    </row>
    <row r="6" spans="1:14" x14ac:dyDescent="0.3">
      <c r="A6">
        <v>3</v>
      </c>
      <c r="B6">
        <v>4</v>
      </c>
      <c r="C6">
        <v>372</v>
      </c>
      <c r="D6">
        <v>1</v>
      </c>
      <c r="E6" t="s">
        <v>81</v>
      </c>
      <c r="F6" t="s">
        <v>29</v>
      </c>
      <c r="G6" t="s">
        <v>42</v>
      </c>
      <c r="H6" t="s">
        <v>56</v>
      </c>
      <c r="J6" t="s">
        <v>150</v>
      </c>
      <c r="K6">
        <v>0</v>
      </c>
      <c r="L6">
        <v>0</v>
      </c>
      <c r="M6">
        <v>0</v>
      </c>
      <c r="N6">
        <v>1</v>
      </c>
    </row>
    <row r="7" spans="1:14" x14ac:dyDescent="0.3">
      <c r="A7">
        <v>4</v>
      </c>
      <c r="B7">
        <v>3</v>
      </c>
      <c r="C7">
        <v>299</v>
      </c>
      <c r="D7">
        <v>1</v>
      </c>
      <c r="E7" t="s">
        <v>81</v>
      </c>
      <c r="F7" t="s">
        <v>29</v>
      </c>
      <c r="G7" t="s">
        <v>42</v>
      </c>
      <c r="H7" s="105" t="s">
        <v>61</v>
      </c>
      <c r="J7" t="s">
        <v>151</v>
      </c>
      <c r="K7">
        <v>0</v>
      </c>
      <c r="L7">
        <v>0</v>
      </c>
      <c r="M7">
        <v>0</v>
      </c>
      <c r="N7">
        <v>1</v>
      </c>
    </row>
    <row r="8" spans="1:14" x14ac:dyDescent="0.3">
      <c r="A8">
        <v>3</v>
      </c>
      <c r="B8">
        <v>1</v>
      </c>
      <c r="C8">
        <v>60</v>
      </c>
      <c r="D8">
        <v>1</v>
      </c>
      <c r="E8" t="s">
        <v>81</v>
      </c>
      <c r="F8" t="s">
        <v>29</v>
      </c>
      <c r="G8" t="s">
        <v>42</v>
      </c>
      <c r="H8" t="s">
        <v>55</v>
      </c>
      <c r="J8" t="s">
        <v>150</v>
      </c>
      <c r="K8">
        <v>0</v>
      </c>
      <c r="L8">
        <v>0</v>
      </c>
      <c r="M8">
        <v>0</v>
      </c>
      <c r="N8">
        <v>1</v>
      </c>
    </row>
    <row r="9" spans="1:14" x14ac:dyDescent="0.3">
      <c r="A9">
        <v>4</v>
      </c>
      <c r="B9">
        <v>4</v>
      </c>
      <c r="C9">
        <v>401</v>
      </c>
      <c r="D9">
        <v>1</v>
      </c>
      <c r="E9" t="s">
        <v>81</v>
      </c>
      <c r="F9" t="s">
        <v>29</v>
      </c>
      <c r="G9" t="s">
        <v>42</v>
      </c>
      <c r="H9" t="s">
        <v>62</v>
      </c>
      <c r="J9" t="s">
        <v>150</v>
      </c>
      <c r="K9">
        <v>0</v>
      </c>
      <c r="L9">
        <v>0</v>
      </c>
      <c r="M9">
        <v>0</v>
      </c>
      <c r="N9">
        <v>1</v>
      </c>
    </row>
    <row r="10" spans="1:14" x14ac:dyDescent="0.3">
      <c r="A10">
        <v>2</v>
      </c>
      <c r="B10">
        <v>2</v>
      </c>
      <c r="C10">
        <v>142</v>
      </c>
      <c r="D10">
        <v>1</v>
      </c>
      <c r="E10" t="s">
        <v>81</v>
      </c>
      <c r="F10" t="s">
        <v>29</v>
      </c>
      <c r="G10" t="s">
        <v>42</v>
      </c>
      <c r="H10" t="s">
        <v>47</v>
      </c>
      <c r="J10" t="s">
        <v>150</v>
      </c>
      <c r="K10">
        <v>0</v>
      </c>
      <c r="L10">
        <v>0</v>
      </c>
      <c r="M10">
        <v>0</v>
      </c>
      <c r="N10">
        <v>1</v>
      </c>
    </row>
    <row r="11" spans="1:14" x14ac:dyDescent="0.3">
      <c r="A11">
        <v>3</v>
      </c>
      <c r="B11">
        <v>3</v>
      </c>
      <c r="C11">
        <v>269</v>
      </c>
      <c r="D11">
        <v>1</v>
      </c>
      <c r="E11" t="s">
        <v>81</v>
      </c>
      <c r="F11" t="s">
        <v>29</v>
      </c>
      <c r="G11" t="s">
        <v>42</v>
      </c>
      <c r="H11" s="105" t="s">
        <v>54</v>
      </c>
      <c r="J11" t="s">
        <v>151</v>
      </c>
      <c r="K11">
        <v>0</v>
      </c>
      <c r="L11">
        <v>0</v>
      </c>
      <c r="M11">
        <v>0</v>
      </c>
      <c r="N11">
        <v>1</v>
      </c>
    </row>
    <row r="12" spans="1:14" x14ac:dyDescent="0.3">
      <c r="A12">
        <v>4</v>
      </c>
      <c r="B12">
        <v>3</v>
      </c>
      <c r="C12">
        <v>297</v>
      </c>
      <c r="D12">
        <v>1</v>
      </c>
      <c r="E12" t="s">
        <v>81</v>
      </c>
      <c r="F12" t="s">
        <v>29</v>
      </c>
      <c r="G12" t="s">
        <v>42</v>
      </c>
      <c r="H12" s="105" t="s">
        <v>63</v>
      </c>
      <c r="J12" t="s">
        <v>151</v>
      </c>
      <c r="K12">
        <v>0</v>
      </c>
      <c r="L12">
        <v>0</v>
      </c>
      <c r="M12">
        <v>0</v>
      </c>
      <c r="N12">
        <v>1</v>
      </c>
    </row>
    <row r="13" spans="1:14" x14ac:dyDescent="0.3">
      <c r="A13">
        <v>4</v>
      </c>
      <c r="B13">
        <v>1</v>
      </c>
      <c r="C13">
        <v>89</v>
      </c>
      <c r="D13">
        <v>1</v>
      </c>
      <c r="E13" t="s">
        <v>81</v>
      </c>
      <c r="F13" t="s">
        <v>29</v>
      </c>
      <c r="G13" t="s">
        <v>42</v>
      </c>
      <c r="H13" t="s">
        <v>63</v>
      </c>
      <c r="J13" t="s">
        <v>150</v>
      </c>
      <c r="K13">
        <v>0</v>
      </c>
      <c r="L13">
        <v>0</v>
      </c>
      <c r="M13">
        <v>0</v>
      </c>
      <c r="N13">
        <v>1</v>
      </c>
    </row>
    <row r="14" spans="1:14" x14ac:dyDescent="0.3">
      <c r="A14">
        <v>4</v>
      </c>
      <c r="B14">
        <v>1</v>
      </c>
      <c r="C14">
        <v>101</v>
      </c>
      <c r="D14">
        <v>1</v>
      </c>
      <c r="E14" t="s">
        <v>81</v>
      </c>
      <c r="F14" t="s">
        <v>29</v>
      </c>
      <c r="G14" t="s">
        <v>42</v>
      </c>
      <c r="H14" t="s">
        <v>64</v>
      </c>
      <c r="J14" t="s">
        <v>150</v>
      </c>
      <c r="K14">
        <v>0</v>
      </c>
      <c r="L14">
        <v>0</v>
      </c>
      <c r="M14">
        <v>0</v>
      </c>
      <c r="N14">
        <v>1</v>
      </c>
    </row>
    <row r="15" spans="1:14" x14ac:dyDescent="0.3">
      <c r="A15">
        <v>1</v>
      </c>
      <c r="B15">
        <v>2</v>
      </c>
      <c r="C15">
        <v>124</v>
      </c>
      <c r="D15">
        <v>1</v>
      </c>
      <c r="E15" t="s">
        <v>81</v>
      </c>
      <c r="F15" t="s">
        <v>29</v>
      </c>
      <c r="G15" t="s">
        <v>42</v>
      </c>
      <c r="H15" t="s">
        <v>69</v>
      </c>
      <c r="J15" t="s">
        <v>150</v>
      </c>
      <c r="K15">
        <v>0</v>
      </c>
      <c r="L15">
        <v>0</v>
      </c>
      <c r="M15">
        <v>0</v>
      </c>
      <c r="N15">
        <v>1</v>
      </c>
    </row>
    <row r="16" spans="1:14" x14ac:dyDescent="0.3">
      <c r="A16">
        <v>2</v>
      </c>
      <c r="B16">
        <v>4</v>
      </c>
      <c r="C16">
        <v>336</v>
      </c>
      <c r="D16">
        <v>1</v>
      </c>
      <c r="E16" t="s">
        <v>81</v>
      </c>
      <c r="F16" t="s">
        <v>29</v>
      </c>
      <c r="G16" t="s">
        <v>42</v>
      </c>
      <c r="H16" s="105" t="s">
        <v>49</v>
      </c>
      <c r="J16" t="s">
        <v>151</v>
      </c>
      <c r="K16">
        <v>0</v>
      </c>
      <c r="L16">
        <v>0</v>
      </c>
      <c r="M16">
        <v>0</v>
      </c>
      <c r="N16">
        <v>1</v>
      </c>
    </row>
    <row r="17" spans="1:14" x14ac:dyDescent="0.3">
      <c r="A17">
        <v>3</v>
      </c>
      <c r="B17">
        <v>4</v>
      </c>
      <c r="C17">
        <v>366</v>
      </c>
      <c r="D17">
        <v>1</v>
      </c>
      <c r="E17" t="s">
        <v>81</v>
      </c>
      <c r="F17" t="s">
        <v>29</v>
      </c>
      <c r="G17" t="s">
        <v>42</v>
      </c>
      <c r="H17" s="105" t="s">
        <v>52</v>
      </c>
      <c r="J17" t="s">
        <v>151</v>
      </c>
      <c r="K17">
        <v>0</v>
      </c>
      <c r="L17">
        <v>0</v>
      </c>
      <c r="M17">
        <v>0</v>
      </c>
      <c r="N17">
        <v>1</v>
      </c>
    </row>
    <row r="18" spans="1:14" x14ac:dyDescent="0.3">
      <c r="A18">
        <v>3</v>
      </c>
      <c r="B18">
        <v>1</v>
      </c>
      <c r="C18">
        <v>74</v>
      </c>
      <c r="D18">
        <v>1</v>
      </c>
      <c r="E18" t="s">
        <v>81</v>
      </c>
      <c r="F18" t="s">
        <v>29</v>
      </c>
      <c r="G18" t="s">
        <v>42</v>
      </c>
      <c r="H18" s="105" t="s">
        <v>51</v>
      </c>
      <c r="J18" t="s">
        <v>151</v>
      </c>
      <c r="K18">
        <v>0</v>
      </c>
      <c r="L18">
        <v>0</v>
      </c>
      <c r="M18">
        <v>0</v>
      </c>
      <c r="N18">
        <v>1</v>
      </c>
    </row>
    <row r="19" spans="1:14" x14ac:dyDescent="0.3">
      <c r="A19">
        <v>1</v>
      </c>
      <c r="B19">
        <v>1</v>
      </c>
      <c r="C19">
        <v>23</v>
      </c>
      <c r="D19">
        <v>1</v>
      </c>
      <c r="E19" t="s">
        <v>81</v>
      </c>
      <c r="F19" t="s">
        <v>29</v>
      </c>
      <c r="G19" t="s">
        <v>42</v>
      </c>
      <c r="H19" s="105" t="s">
        <v>67</v>
      </c>
      <c r="J19" t="s">
        <v>151</v>
      </c>
      <c r="K19">
        <v>0</v>
      </c>
      <c r="L19">
        <v>0</v>
      </c>
      <c r="M19">
        <v>0</v>
      </c>
      <c r="N19">
        <v>1</v>
      </c>
    </row>
    <row r="20" spans="1:14" x14ac:dyDescent="0.3">
      <c r="A20">
        <v>3</v>
      </c>
      <c r="B20">
        <v>2</v>
      </c>
      <c r="C20">
        <v>171</v>
      </c>
      <c r="D20">
        <v>1</v>
      </c>
      <c r="E20" t="s">
        <v>81</v>
      </c>
      <c r="F20" t="s">
        <v>29</v>
      </c>
      <c r="G20" t="s">
        <v>42</v>
      </c>
      <c r="I20" t="s">
        <v>127</v>
      </c>
      <c r="J20" t="s">
        <v>150</v>
      </c>
      <c r="K20">
        <v>0</v>
      </c>
      <c r="L20">
        <v>0</v>
      </c>
      <c r="M20">
        <v>0</v>
      </c>
      <c r="N20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42BA-554F-4A93-B5E7-C776C1497507}">
  <dimension ref="A1:N36"/>
  <sheetViews>
    <sheetView topLeftCell="A4" workbookViewId="0">
      <selection activeCell="I24" sqref="I24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</cols>
  <sheetData>
    <row r="1" spans="1:14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</row>
    <row r="2" spans="1:14" x14ac:dyDescent="0.3">
      <c r="A2">
        <v>2</v>
      </c>
      <c r="B2">
        <v>2</v>
      </c>
      <c r="C2">
        <v>145</v>
      </c>
      <c r="D2">
        <v>1</v>
      </c>
      <c r="E2" t="s">
        <v>81</v>
      </c>
      <c r="F2" t="s">
        <v>29</v>
      </c>
      <c r="G2" t="s">
        <v>42</v>
      </c>
      <c r="H2" t="s">
        <v>43</v>
      </c>
      <c r="J2" t="s">
        <v>150</v>
      </c>
      <c r="K2">
        <v>0</v>
      </c>
      <c r="L2">
        <v>0</v>
      </c>
      <c r="M2">
        <v>1</v>
      </c>
      <c r="N2">
        <v>0</v>
      </c>
    </row>
    <row r="3" spans="1:14" x14ac:dyDescent="0.3">
      <c r="A3">
        <v>3</v>
      </c>
      <c r="B3">
        <v>2</v>
      </c>
      <c r="C3">
        <v>161</v>
      </c>
      <c r="D3">
        <v>1</v>
      </c>
      <c r="E3" t="s">
        <v>81</v>
      </c>
      <c r="F3" t="s">
        <v>29</v>
      </c>
      <c r="G3" t="s">
        <v>42</v>
      </c>
      <c r="H3" t="s">
        <v>58</v>
      </c>
      <c r="J3" t="s">
        <v>150</v>
      </c>
      <c r="K3">
        <v>0</v>
      </c>
      <c r="L3">
        <v>0</v>
      </c>
      <c r="M3">
        <v>1</v>
      </c>
      <c r="N3">
        <v>0</v>
      </c>
    </row>
    <row r="4" spans="1:14" x14ac:dyDescent="0.3">
      <c r="A4">
        <v>4</v>
      </c>
      <c r="B4">
        <v>2</v>
      </c>
      <c r="C4">
        <v>191</v>
      </c>
      <c r="D4">
        <v>1</v>
      </c>
      <c r="E4" t="s">
        <v>81</v>
      </c>
      <c r="F4" t="s">
        <v>29</v>
      </c>
      <c r="G4" t="s">
        <v>42</v>
      </c>
      <c r="H4" t="s">
        <v>59</v>
      </c>
      <c r="J4" t="s">
        <v>150</v>
      </c>
      <c r="K4">
        <v>0</v>
      </c>
      <c r="L4">
        <v>0</v>
      </c>
      <c r="M4">
        <v>1</v>
      </c>
      <c r="N4">
        <v>0</v>
      </c>
    </row>
    <row r="5" spans="1:14" x14ac:dyDescent="0.3">
      <c r="A5">
        <v>1</v>
      </c>
      <c r="B5">
        <v>1</v>
      </c>
      <c r="C5">
        <v>4</v>
      </c>
      <c r="D5">
        <v>1</v>
      </c>
      <c r="E5" t="s">
        <v>81</v>
      </c>
      <c r="F5" t="s">
        <v>29</v>
      </c>
      <c r="G5" t="s">
        <v>42</v>
      </c>
      <c r="H5" t="s">
        <v>74</v>
      </c>
      <c r="J5" t="s">
        <v>150</v>
      </c>
      <c r="K5">
        <v>0</v>
      </c>
      <c r="L5">
        <v>0</v>
      </c>
      <c r="M5">
        <v>1</v>
      </c>
      <c r="N5">
        <v>0</v>
      </c>
    </row>
    <row r="6" spans="1:14" x14ac:dyDescent="0.3">
      <c r="A6">
        <v>2</v>
      </c>
      <c r="B6">
        <v>3</v>
      </c>
      <c r="C6">
        <v>246</v>
      </c>
      <c r="D6">
        <v>1</v>
      </c>
      <c r="E6" t="s">
        <v>81</v>
      </c>
      <c r="F6" t="s">
        <v>29</v>
      </c>
      <c r="G6" t="s">
        <v>42</v>
      </c>
      <c r="H6" t="s">
        <v>44</v>
      </c>
      <c r="J6" t="s">
        <v>150</v>
      </c>
      <c r="K6">
        <v>0</v>
      </c>
      <c r="L6">
        <v>0</v>
      </c>
      <c r="M6">
        <v>1</v>
      </c>
      <c r="N6">
        <v>0</v>
      </c>
    </row>
    <row r="7" spans="1:14" x14ac:dyDescent="0.3">
      <c r="A7">
        <v>3</v>
      </c>
      <c r="B7">
        <v>3</v>
      </c>
      <c r="C7">
        <v>263</v>
      </c>
      <c r="D7">
        <v>1</v>
      </c>
      <c r="E7" t="s">
        <v>81</v>
      </c>
      <c r="F7" t="s">
        <v>29</v>
      </c>
      <c r="G7" t="s">
        <v>42</v>
      </c>
      <c r="H7" t="s">
        <v>57</v>
      </c>
      <c r="J7" t="s">
        <v>150</v>
      </c>
      <c r="K7">
        <v>0</v>
      </c>
      <c r="L7">
        <v>0</v>
      </c>
      <c r="M7">
        <v>1</v>
      </c>
      <c r="N7">
        <v>0</v>
      </c>
    </row>
    <row r="8" spans="1:14" x14ac:dyDescent="0.3">
      <c r="A8">
        <v>1</v>
      </c>
      <c r="B8">
        <v>1</v>
      </c>
      <c r="C8">
        <v>7</v>
      </c>
      <c r="D8">
        <v>1</v>
      </c>
      <c r="E8" t="s">
        <v>81</v>
      </c>
      <c r="F8" t="s">
        <v>29</v>
      </c>
      <c r="G8" t="s">
        <v>42</v>
      </c>
      <c r="H8" s="105" t="s">
        <v>73</v>
      </c>
      <c r="J8" t="s">
        <v>151</v>
      </c>
      <c r="K8">
        <v>0</v>
      </c>
      <c r="L8">
        <v>0</v>
      </c>
      <c r="M8">
        <v>1</v>
      </c>
      <c r="N8">
        <v>0</v>
      </c>
    </row>
    <row r="9" spans="1:14" x14ac:dyDescent="0.3">
      <c r="A9">
        <v>3</v>
      </c>
      <c r="B9">
        <v>1</v>
      </c>
      <c r="C9">
        <v>63</v>
      </c>
      <c r="D9">
        <v>1</v>
      </c>
      <c r="E9" t="s">
        <v>81</v>
      </c>
      <c r="F9" t="s">
        <v>29</v>
      </c>
      <c r="G9" t="s">
        <v>42</v>
      </c>
      <c r="H9" t="s">
        <v>56</v>
      </c>
      <c r="J9" t="s">
        <v>150</v>
      </c>
      <c r="K9">
        <v>0</v>
      </c>
      <c r="L9">
        <v>0</v>
      </c>
      <c r="M9">
        <v>1</v>
      </c>
      <c r="N9">
        <v>0</v>
      </c>
    </row>
    <row r="10" spans="1:14" x14ac:dyDescent="0.3">
      <c r="A10">
        <v>4</v>
      </c>
      <c r="B10">
        <v>2</v>
      </c>
      <c r="C10">
        <v>195</v>
      </c>
      <c r="D10">
        <v>1</v>
      </c>
      <c r="E10" t="s">
        <v>81</v>
      </c>
      <c r="F10" t="s">
        <v>29</v>
      </c>
      <c r="G10" t="s">
        <v>42</v>
      </c>
      <c r="H10" t="s">
        <v>61</v>
      </c>
      <c r="J10" t="s">
        <v>150</v>
      </c>
      <c r="K10">
        <v>0</v>
      </c>
      <c r="L10">
        <v>0</v>
      </c>
      <c r="M10">
        <v>1</v>
      </c>
      <c r="N10">
        <v>0</v>
      </c>
    </row>
    <row r="11" spans="1:14" x14ac:dyDescent="0.3">
      <c r="A11">
        <v>1</v>
      </c>
      <c r="B11">
        <v>4</v>
      </c>
      <c r="C11">
        <v>307</v>
      </c>
      <c r="D11">
        <v>1</v>
      </c>
      <c r="E11" t="s">
        <v>81</v>
      </c>
      <c r="F11" t="s">
        <v>29</v>
      </c>
      <c r="G11" t="s">
        <v>42</v>
      </c>
      <c r="H11" t="s">
        <v>72</v>
      </c>
      <c r="J11" t="s">
        <v>150</v>
      </c>
      <c r="K11">
        <v>0</v>
      </c>
      <c r="L11">
        <v>0</v>
      </c>
      <c r="M11">
        <v>1</v>
      </c>
      <c r="N11">
        <v>0</v>
      </c>
    </row>
    <row r="12" spans="1:14" x14ac:dyDescent="0.3">
      <c r="A12">
        <v>1</v>
      </c>
      <c r="B12">
        <v>2</v>
      </c>
      <c r="C12">
        <v>105</v>
      </c>
      <c r="D12">
        <v>1</v>
      </c>
      <c r="E12" t="s">
        <v>81</v>
      </c>
      <c r="F12" t="s">
        <v>29</v>
      </c>
      <c r="G12" t="s">
        <v>42</v>
      </c>
      <c r="H12" t="s">
        <v>72</v>
      </c>
      <c r="J12" t="s">
        <v>150</v>
      </c>
      <c r="K12">
        <v>0</v>
      </c>
      <c r="L12">
        <v>0</v>
      </c>
      <c r="M12">
        <v>1</v>
      </c>
      <c r="N12">
        <v>0</v>
      </c>
    </row>
    <row r="13" spans="1:14" x14ac:dyDescent="0.3">
      <c r="A13">
        <v>2</v>
      </c>
      <c r="B13">
        <v>4</v>
      </c>
      <c r="C13">
        <v>347</v>
      </c>
      <c r="D13">
        <v>1</v>
      </c>
      <c r="E13" t="s">
        <v>81</v>
      </c>
      <c r="F13" t="s">
        <v>29</v>
      </c>
      <c r="G13" t="s">
        <v>42</v>
      </c>
      <c r="H13" t="s">
        <v>46</v>
      </c>
      <c r="J13" t="s">
        <v>150</v>
      </c>
      <c r="K13">
        <v>0</v>
      </c>
      <c r="L13">
        <v>0</v>
      </c>
      <c r="M13">
        <v>1</v>
      </c>
      <c r="N13">
        <v>0</v>
      </c>
    </row>
    <row r="14" spans="1:14" x14ac:dyDescent="0.3">
      <c r="A14">
        <v>2</v>
      </c>
      <c r="B14">
        <v>3</v>
      </c>
      <c r="C14">
        <v>243</v>
      </c>
      <c r="D14">
        <v>1</v>
      </c>
      <c r="E14" t="s">
        <v>81</v>
      </c>
      <c r="F14" t="s">
        <v>29</v>
      </c>
      <c r="G14" t="s">
        <v>42</v>
      </c>
      <c r="H14" t="s">
        <v>46</v>
      </c>
      <c r="J14" t="s">
        <v>150</v>
      </c>
      <c r="K14">
        <v>0</v>
      </c>
      <c r="L14">
        <v>0</v>
      </c>
      <c r="M14">
        <v>1</v>
      </c>
      <c r="N14">
        <v>0</v>
      </c>
    </row>
    <row r="15" spans="1:14" x14ac:dyDescent="0.3">
      <c r="A15">
        <v>4</v>
      </c>
      <c r="B15">
        <v>2</v>
      </c>
      <c r="C15">
        <v>183</v>
      </c>
      <c r="D15">
        <v>1</v>
      </c>
      <c r="E15" t="s">
        <v>81</v>
      </c>
      <c r="F15" t="s">
        <v>29</v>
      </c>
      <c r="G15" t="s">
        <v>42</v>
      </c>
      <c r="H15" t="s">
        <v>62</v>
      </c>
      <c r="J15" t="s">
        <v>150</v>
      </c>
      <c r="K15">
        <v>0</v>
      </c>
      <c r="L15">
        <v>0</v>
      </c>
      <c r="M15">
        <v>1</v>
      </c>
      <c r="N15">
        <v>0</v>
      </c>
    </row>
    <row r="16" spans="1:14" x14ac:dyDescent="0.3">
      <c r="A16">
        <v>2</v>
      </c>
      <c r="B16">
        <v>4</v>
      </c>
      <c r="C16">
        <v>328</v>
      </c>
      <c r="D16">
        <v>1</v>
      </c>
      <c r="E16" t="s">
        <v>81</v>
      </c>
      <c r="F16" t="s">
        <v>29</v>
      </c>
      <c r="G16" t="s">
        <v>42</v>
      </c>
      <c r="H16" t="s">
        <v>47</v>
      </c>
      <c r="J16" t="s">
        <v>150</v>
      </c>
      <c r="K16">
        <v>0</v>
      </c>
      <c r="L16">
        <v>0</v>
      </c>
      <c r="M16">
        <v>1</v>
      </c>
      <c r="N16">
        <v>0</v>
      </c>
    </row>
    <row r="17" spans="1:14" x14ac:dyDescent="0.3">
      <c r="A17">
        <v>1</v>
      </c>
      <c r="B17">
        <v>2</v>
      </c>
      <c r="C17">
        <v>127</v>
      </c>
      <c r="D17">
        <v>1</v>
      </c>
      <c r="E17" t="s">
        <v>81</v>
      </c>
      <c r="F17" t="s">
        <v>29</v>
      </c>
      <c r="G17" t="s">
        <v>42</v>
      </c>
      <c r="H17" s="105" t="s">
        <v>70</v>
      </c>
      <c r="J17" t="s">
        <v>151</v>
      </c>
      <c r="K17">
        <v>0</v>
      </c>
      <c r="L17">
        <v>0</v>
      </c>
      <c r="M17">
        <v>1</v>
      </c>
      <c r="N17">
        <v>0</v>
      </c>
    </row>
    <row r="18" spans="1:14" x14ac:dyDescent="0.3">
      <c r="A18">
        <v>2</v>
      </c>
      <c r="B18">
        <v>2</v>
      </c>
      <c r="C18">
        <v>140</v>
      </c>
      <c r="D18">
        <v>1</v>
      </c>
      <c r="E18" t="s">
        <v>81</v>
      </c>
      <c r="F18" t="s">
        <v>29</v>
      </c>
      <c r="G18" t="s">
        <v>42</v>
      </c>
      <c r="H18" t="s">
        <v>48</v>
      </c>
      <c r="J18" t="s">
        <v>150</v>
      </c>
      <c r="K18">
        <v>0</v>
      </c>
      <c r="L18">
        <v>0</v>
      </c>
      <c r="M18">
        <v>1</v>
      </c>
      <c r="N18">
        <v>0</v>
      </c>
    </row>
    <row r="19" spans="1:14" x14ac:dyDescent="0.3">
      <c r="A19">
        <v>2</v>
      </c>
      <c r="B19">
        <v>1</v>
      </c>
      <c r="C19">
        <v>44</v>
      </c>
      <c r="D19">
        <v>1</v>
      </c>
      <c r="E19" t="s">
        <v>81</v>
      </c>
      <c r="F19" t="s">
        <v>29</v>
      </c>
      <c r="G19" t="s">
        <v>42</v>
      </c>
      <c r="H19" t="s">
        <v>48</v>
      </c>
      <c r="J19" t="s">
        <v>150</v>
      </c>
      <c r="K19">
        <v>0</v>
      </c>
      <c r="L19">
        <v>0</v>
      </c>
      <c r="M19">
        <v>1</v>
      </c>
      <c r="N19">
        <v>0</v>
      </c>
    </row>
    <row r="20" spans="1:14" x14ac:dyDescent="0.3">
      <c r="A20">
        <v>3</v>
      </c>
      <c r="B20">
        <v>4</v>
      </c>
      <c r="C20">
        <v>362</v>
      </c>
      <c r="D20">
        <v>1</v>
      </c>
      <c r="E20" t="s">
        <v>81</v>
      </c>
      <c r="F20" t="s">
        <v>29</v>
      </c>
      <c r="G20" t="s">
        <v>42</v>
      </c>
      <c r="H20" t="s">
        <v>53</v>
      </c>
      <c r="J20" t="s">
        <v>150</v>
      </c>
      <c r="K20">
        <v>0</v>
      </c>
      <c r="L20">
        <v>0</v>
      </c>
      <c r="M20">
        <v>1</v>
      </c>
      <c r="N20">
        <v>0</v>
      </c>
    </row>
    <row r="21" spans="1:14" x14ac:dyDescent="0.3">
      <c r="A21">
        <v>4</v>
      </c>
      <c r="B21">
        <v>3</v>
      </c>
      <c r="C21">
        <v>289</v>
      </c>
      <c r="D21">
        <v>1</v>
      </c>
      <c r="E21" t="s">
        <v>81</v>
      </c>
      <c r="F21" t="s">
        <v>29</v>
      </c>
      <c r="G21" t="s">
        <v>42</v>
      </c>
      <c r="H21" s="105" t="s">
        <v>64</v>
      </c>
      <c r="J21" t="s">
        <v>151</v>
      </c>
      <c r="K21">
        <v>0</v>
      </c>
      <c r="L21">
        <v>0</v>
      </c>
      <c r="M21">
        <v>1</v>
      </c>
      <c r="N21">
        <v>0</v>
      </c>
    </row>
    <row r="22" spans="1:14" x14ac:dyDescent="0.3">
      <c r="A22">
        <v>1</v>
      </c>
      <c r="B22">
        <v>3</v>
      </c>
      <c r="C22">
        <v>207</v>
      </c>
      <c r="D22">
        <v>1</v>
      </c>
      <c r="E22" t="s">
        <v>81</v>
      </c>
      <c r="F22" t="s">
        <v>29</v>
      </c>
      <c r="G22" t="s">
        <v>42</v>
      </c>
      <c r="H22" t="s">
        <v>69</v>
      </c>
      <c r="J22" t="s">
        <v>150</v>
      </c>
      <c r="K22">
        <v>0</v>
      </c>
      <c r="L22">
        <v>0</v>
      </c>
      <c r="M22">
        <v>1</v>
      </c>
      <c r="N22">
        <v>0</v>
      </c>
    </row>
    <row r="23" spans="1:14" x14ac:dyDescent="0.3">
      <c r="A23">
        <v>2</v>
      </c>
      <c r="B23">
        <v>1</v>
      </c>
      <c r="C23">
        <v>40</v>
      </c>
      <c r="D23">
        <v>1</v>
      </c>
      <c r="E23" t="s">
        <v>81</v>
      </c>
      <c r="F23" t="s">
        <v>29</v>
      </c>
      <c r="G23" t="s">
        <v>42</v>
      </c>
      <c r="H23" t="s">
        <v>49</v>
      </c>
      <c r="J23" t="s">
        <v>150</v>
      </c>
      <c r="K23">
        <v>0</v>
      </c>
      <c r="L23">
        <v>0</v>
      </c>
      <c r="M23">
        <v>1</v>
      </c>
      <c r="N23">
        <v>0</v>
      </c>
    </row>
    <row r="24" spans="1:14" x14ac:dyDescent="0.3">
      <c r="A24">
        <v>4</v>
      </c>
      <c r="B24">
        <v>4</v>
      </c>
      <c r="C24">
        <v>384</v>
      </c>
      <c r="D24">
        <v>1</v>
      </c>
      <c r="E24" t="s">
        <v>81</v>
      </c>
      <c r="F24" t="s">
        <v>29</v>
      </c>
      <c r="G24" t="s">
        <v>42</v>
      </c>
      <c r="H24" t="s">
        <v>65</v>
      </c>
      <c r="J24" t="s">
        <v>150</v>
      </c>
      <c r="K24">
        <v>0</v>
      </c>
      <c r="L24">
        <v>0</v>
      </c>
      <c r="M24">
        <v>1</v>
      </c>
      <c r="N24">
        <v>0</v>
      </c>
    </row>
    <row r="25" spans="1:14" x14ac:dyDescent="0.3">
      <c r="A25">
        <v>4</v>
      </c>
      <c r="B25">
        <v>3</v>
      </c>
      <c r="C25">
        <v>283</v>
      </c>
      <c r="D25">
        <v>1</v>
      </c>
      <c r="E25" t="s">
        <v>81</v>
      </c>
      <c r="F25" t="s">
        <v>29</v>
      </c>
      <c r="G25" t="s">
        <v>42</v>
      </c>
      <c r="H25" t="s">
        <v>65</v>
      </c>
      <c r="J25" t="s">
        <v>150</v>
      </c>
      <c r="K25">
        <v>0</v>
      </c>
      <c r="L25">
        <v>0</v>
      </c>
      <c r="M25">
        <v>1</v>
      </c>
      <c r="N25">
        <v>0</v>
      </c>
    </row>
    <row r="26" spans="1:14" x14ac:dyDescent="0.3">
      <c r="A26">
        <v>2</v>
      </c>
      <c r="B26">
        <v>2</v>
      </c>
      <c r="C26">
        <v>148</v>
      </c>
      <c r="D26">
        <v>1</v>
      </c>
      <c r="E26" t="s">
        <v>81</v>
      </c>
      <c r="F26" t="s">
        <v>29</v>
      </c>
      <c r="G26" t="s">
        <v>42</v>
      </c>
      <c r="H26" t="s">
        <v>50</v>
      </c>
      <c r="J26" t="s">
        <v>150</v>
      </c>
      <c r="K26">
        <v>0</v>
      </c>
      <c r="L26">
        <v>0</v>
      </c>
      <c r="M26">
        <v>1</v>
      </c>
      <c r="N26">
        <v>0</v>
      </c>
    </row>
    <row r="27" spans="1:14" x14ac:dyDescent="0.3">
      <c r="A27">
        <v>3</v>
      </c>
      <c r="B27">
        <v>3</v>
      </c>
      <c r="C27">
        <v>260</v>
      </c>
      <c r="D27">
        <v>1</v>
      </c>
      <c r="E27" t="s">
        <v>81</v>
      </c>
      <c r="F27" t="s">
        <v>29</v>
      </c>
      <c r="G27" t="s">
        <v>42</v>
      </c>
      <c r="H27" t="s">
        <v>51</v>
      </c>
      <c r="J27" t="s">
        <v>150</v>
      </c>
      <c r="K27">
        <v>0</v>
      </c>
      <c r="L27">
        <v>0</v>
      </c>
      <c r="M27">
        <v>1</v>
      </c>
      <c r="N27">
        <v>0</v>
      </c>
    </row>
    <row r="28" spans="1:14" x14ac:dyDescent="0.3">
      <c r="A28">
        <v>4</v>
      </c>
      <c r="B28">
        <v>4</v>
      </c>
      <c r="C28">
        <v>396</v>
      </c>
      <c r="D28">
        <v>1</v>
      </c>
      <c r="E28" t="s">
        <v>81</v>
      </c>
      <c r="F28" t="s">
        <v>29</v>
      </c>
      <c r="G28" t="s">
        <v>42</v>
      </c>
      <c r="H28" s="105" t="s">
        <v>66</v>
      </c>
      <c r="J28" t="s">
        <v>151</v>
      </c>
      <c r="K28">
        <v>0</v>
      </c>
      <c r="L28">
        <v>0</v>
      </c>
      <c r="M28">
        <v>1</v>
      </c>
      <c r="N28">
        <v>0</v>
      </c>
    </row>
    <row r="29" spans="1:14" x14ac:dyDescent="0.3">
      <c r="A29">
        <v>4</v>
      </c>
      <c r="B29">
        <v>3</v>
      </c>
      <c r="C29">
        <v>292</v>
      </c>
      <c r="D29">
        <v>1</v>
      </c>
      <c r="E29" t="s">
        <v>81</v>
      </c>
      <c r="F29" t="s">
        <v>29</v>
      </c>
      <c r="G29" t="s">
        <v>42</v>
      </c>
      <c r="H29" s="105" t="s">
        <v>66</v>
      </c>
      <c r="J29" t="s">
        <v>150</v>
      </c>
      <c r="K29">
        <v>0</v>
      </c>
      <c r="L29">
        <v>0</v>
      </c>
      <c r="M29">
        <v>1</v>
      </c>
      <c r="N29">
        <v>0</v>
      </c>
    </row>
    <row r="30" spans="1:14" x14ac:dyDescent="0.3">
      <c r="A30">
        <v>1</v>
      </c>
      <c r="B30">
        <v>4</v>
      </c>
      <c r="C30">
        <v>311</v>
      </c>
      <c r="D30">
        <v>1</v>
      </c>
      <c r="E30" t="s">
        <v>81</v>
      </c>
      <c r="F30" t="s">
        <v>29</v>
      </c>
      <c r="G30" t="s">
        <v>42</v>
      </c>
      <c r="H30" t="s">
        <v>67</v>
      </c>
      <c r="J30" t="s">
        <v>150</v>
      </c>
      <c r="K30">
        <v>0</v>
      </c>
      <c r="L30">
        <v>0</v>
      </c>
      <c r="M30">
        <v>1</v>
      </c>
      <c r="N30">
        <v>0</v>
      </c>
    </row>
    <row r="31" spans="1:14" x14ac:dyDescent="0.3">
      <c r="A31">
        <v>4</v>
      </c>
      <c r="B31">
        <v>4</v>
      </c>
      <c r="C31">
        <v>392</v>
      </c>
      <c r="D31">
        <v>1</v>
      </c>
      <c r="E31" t="s">
        <v>81</v>
      </c>
      <c r="F31" t="s">
        <v>29</v>
      </c>
      <c r="G31" t="s">
        <v>42</v>
      </c>
      <c r="I31" t="s">
        <v>127</v>
      </c>
      <c r="J31" t="s">
        <v>150</v>
      </c>
      <c r="K31">
        <v>0</v>
      </c>
      <c r="L31">
        <v>0</v>
      </c>
      <c r="M31">
        <v>1</v>
      </c>
      <c r="N31">
        <v>0</v>
      </c>
    </row>
    <row r="32" spans="1:14" x14ac:dyDescent="0.3">
      <c r="A32">
        <v>2</v>
      </c>
      <c r="B32">
        <v>4</v>
      </c>
      <c r="C32">
        <v>350</v>
      </c>
      <c r="D32">
        <v>1</v>
      </c>
      <c r="E32" t="s">
        <v>81</v>
      </c>
      <c r="F32" t="s">
        <v>29</v>
      </c>
      <c r="G32" t="s">
        <v>42</v>
      </c>
      <c r="I32" t="s">
        <v>127</v>
      </c>
      <c r="J32" t="s">
        <v>150</v>
      </c>
      <c r="K32">
        <v>0</v>
      </c>
      <c r="L32">
        <v>0</v>
      </c>
      <c r="M32">
        <v>1</v>
      </c>
      <c r="N32">
        <v>0</v>
      </c>
    </row>
    <row r="33" spans="1:14" x14ac:dyDescent="0.3">
      <c r="A33">
        <v>1</v>
      </c>
      <c r="B33">
        <v>2</v>
      </c>
      <c r="C33">
        <v>108</v>
      </c>
      <c r="D33">
        <v>1</v>
      </c>
      <c r="E33" t="s">
        <v>81</v>
      </c>
      <c r="F33" t="s">
        <v>29</v>
      </c>
      <c r="G33" t="s">
        <v>42</v>
      </c>
      <c r="I33" t="s">
        <v>127</v>
      </c>
      <c r="J33" t="s">
        <v>150</v>
      </c>
      <c r="K33">
        <v>0</v>
      </c>
      <c r="L33">
        <v>0</v>
      </c>
      <c r="M33">
        <v>1</v>
      </c>
      <c r="N33">
        <v>0</v>
      </c>
    </row>
    <row r="34" spans="1:14" x14ac:dyDescent="0.3">
      <c r="A34">
        <v>4</v>
      </c>
      <c r="B34">
        <v>1</v>
      </c>
      <c r="C34">
        <v>94</v>
      </c>
      <c r="D34">
        <v>1</v>
      </c>
      <c r="E34" t="s">
        <v>81</v>
      </c>
      <c r="F34" t="s">
        <v>29</v>
      </c>
      <c r="G34" t="s">
        <v>42</v>
      </c>
      <c r="I34" t="s">
        <v>127</v>
      </c>
      <c r="J34" t="s">
        <v>150</v>
      </c>
      <c r="K34">
        <v>0</v>
      </c>
      <c r="L34">
        <v>0</v>
      </c>
      <c r="M34">
        <v>1</v>
      </c>
      <c r="N34">
        <v>0</v>
      </c>
    </row>
    <row r="35" spans="1:14" x14ac:dyDescent="0.3">
      <c r="A35">
        <v>3</v>
      </c>
      <c r="B35">
        <v>1</v>
      </c>
      <c r="C35">
        <v>67</v>
      </c>
      <c r="D35">
        <v>1</v>
      </c>
      <c r="E35" t="s">
        <v>81</v>
      </c>
      <c r="F35" t="s">
        <v>29</v>
      </c>
      <c r="G35" t="s">
        <v>42</v>
      </c>
      <c r="I35" t="s">
        <v>127</v>
      </c>
      <c r="J35" t="s">
        <v>150</v>
      </c>
      <c r="K35">
        <v>0</v>
      </c>
      <c r="L35">
        <v>0</v>
      </c>
      <c r="M35">
        <v>1</v>
      </c>
      <c r="N35">
        <v>0</v>
      </c>
    </row>
    <row r="36" spans="1:14" x14ac:dyDescent="0.3">
      <c r="A36">
        <v>2</v>
      </c>
      <c r="B36">
        <v>1</v>
      </c>
      <c r="C36">
        <v>47</v>
      </c>
      <c r="D36">
        <v>1</v>
      </c>
      <c r="E36" t="s">
        <v>81</v>
      </c>
      <c r="F36" t="s">
        <v>29</v>
      </c>
      <c r="G36" t="s">
        <v>42</v>
      </c>
      <c r="I36" t="s">
        <v>127</v>
      </c>
      <c r="J36" t="s">
        <v>150</v>
      </c>
      <c r="K36">
        <v>0</v>
      </c>
      <c r="L36">
        <v>0</v>
      </c>
      <c r="M36">
        <v>1</v>
      </c>
      <c r="N36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4390-BC77-4E15-9325-B54F4EE6DCA3}">
  <dimension ref="A1:O26"/>
  <sheetViews>
    <sheetView workbookViewId="0">
      <selection activeCell="H18" sqref="H18:J19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18.6640625" bestFit="1" customWidth="1"/>
  </cols>
  <sheetData>
    <row r="1" spans="1:15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  <c r="O1" t="s">
        <v>162</v>
      </c>
    </row>
    <row r="2" spans="1:15" x14ac:dyDescent="0.3">
      <c r="A2">
        <v>2</v>
      </c>
      <c r="B2">
        <v>3</v>
      </c>
      <c r="C2">
        <v>247</v>
      </c>
      <c r="D2">
        <v>2</v>
      </c>
      <c r="E2" t="s">
        <v>80</v>
      </c>
      <c r="F2" t="s">
        <v>0</v>
      </c>
      <c r="G2" t="s">
        <v>41</v>
      </c>
      <c r="H2" t="s">
        <v>58</v>
      </c>
      <c r="J2" t="s">
        <v>151</v>
      </c>
      <c r="K2">
        <v>0</v>
      </c>
      <c r="L2">
        <v>1</v>
      </c>
      <c r="M2">
        <v>0</v>
      </c>
      <c r="N2">
        <v>1</v>
      </c>
    </row>
    <row r="3" spans="1:15" x14ac:dyDescent="0.3">
      <c r="A3">
        <v>3</v>
      </c>
      <c r="B3">
        <v>2</v>
      </c>
      <c r="C3">
        <v>166</v>
      </c>
      <c r="D3">
        <v>2</v>
      </c>
      <c r="E3" t="s">
        <v>80</v>
      </c>
      <c r="F3" t="s">
        <v>0</v>
      </c>
      <c r="G3" t="s">
        <v>41</v>
      </c>
      <c r="H3" t="s">
        <v>59</v>
      </c>
      <c r="J3" t="s">
        <v>151</v>
      </c>
      <c r="K3">
        <v>0</v>
      </c>
      <c r="L3">
        <v>1</v>
      </c>
      <c r="M3">
        <v>0</v>
      </c>
      <c r="N3">
        <v>1</v>
      </c>
      <c r="O3" s="105" t="s">
        <v>169</v>
      </c>
    </row>
    <row r="4" spans="1:15" x14ac:dyDescent="0.3">
      <c r="A4">
        <v>1</v>
      </c>
      <c r="B4">
        <v>1</v>
      </c>
      <c r="C4">
        <v>5</v>
      </c>
      <c r="D4">
        <v>2</v>
      </c>
      <c r="E4" t="s">
        <v>80</v>
      </c>
      <c r="F4" t="s">
        <v>0</v>
      </c>
      <c r="G4" t="s">
        <v>41</v>
      </c>
      <c r="H4" t="s">
        <v>44</v>
      </c>
      <c r="J4" t="s">
        <v>151</v>
      </c>
      <c r="K4">
        <v>0</v>
      </c>
      <c r="L4">
        <v>1</v>
      </c>
      <c r="M4">
        <v>0</v>
      </c>
      <c r="N4">
        <v>1</v>
      </c>
    </row>
    <row r="5" spans="1:15" x14ac:dyDescent="0.3">
      <c r="A5">
        <v>2</v>
      </c>
      <c r="B5">
        <v>3</v>
      </c>
      <c r="C5">
        <v>244</v>
      </c>
      <c r="D5">
        <v>2</v>
      </c>
      <c r="E5" t="s">
        <v>80</v>
      </c>
      <c r="F5" t="s">
        <v>0</v>
      </c>
      <c r="G5" t="s">
        <v>41</v>
      </c>
      <c r="H5" t="s">
        <v>57</v>
      </c>
      <c r="J5" t="s">
        <v>151</v>
      </c>
      <c r="K5">
        <v>0</v>
      </c>
      <c r="L5">
        <v>1</v>
      </c>
      <c r="M5">
        <v>0</v>
      </c>
      <c r="N5">
        <v>1</v>
      </c>
    </row>
    <row r="6" spans="1:15" x14ac:dyDescent="0.3">
      <c r="A6">
        <v>3</v>
      </c>
      <c r="B6">
        <v>4</v>
      </c>
      <c r="C6">
        <v>367</v>
      </c>
      <c r="D6">
        <v>2</v>
      </c>
      <c r="E6" t="s">
        <v>80</v>
      </c>
      <c r="F6" t="s">
        <v>0</v>
      </c>
      <c r="G6" t="s">
        <v>41</v>
      </c>
      <c r="H6" t="s">
        <v>60</v>
      </c>
      <c r="J6" t="s">
        <v>151</v>
      </c>
      <c r="K6">
        <v>0</v>
      </c>
      <c r="L6">
        <v>1</v>
      </c>
      <c r="M6">
        <v>0</v>
      </c>
      <c r="N6">
        <v>1</v>
      </c>
      <c r="O6" s="105" t="s">
        <v>159</v>
      </c>
    </row>
    <row r="7" spans="1:15" x14ac:dyDescent="0.3">
      <c r="A7">
        <v>1</v>
      </c>
      <c r="B7">
        <v>1</v>
      </c>
      <c r="C7">
        <v>8</v>
      </c>
      <c r="D7">
        <v>2</v>
      </c>
      <c r="E7" t="s">
        <v>80</v>
      </c>
      <c r="F7" t="s">
        <v>0</v>
      </c>
      <c r="G7" t="s">
        <v>41</v>
      </c>
      <c r="H7" t="s">
        <v>45</v>
      </c>
      <c r="J7" t="s">
        <v>150</v>
      </c>
      <c r="K7">
        <v>0</v>
      </c>
      <c r="L7">
        <v>1</v>
      </c>
      <c r="M7">
        <v>0</v>
      </c>
      <c r="N7">
        <v>1</v>
      </c>
    </row>
    <row r="8" spans="1:15" x14ac:dyDescent="0.3">
      <c r="A8">
        <v>1</v>
      </c>
      <c r="B8">
        <v>2</v>
      </c>
      <c r="C8">
        <v>106</v>
      </c>
      <c r="D8">
        <v>2</v>
      </c>
      <c r="E8" t="s">
        <v>80</v>
      </c>
      <c r="F8" t="s">
        <v>0</v>
      </c>
      <c r="G8" t="s">
        <v>41</v>
      </c>
      <c r="H8" t="s">
        <v>45</v>
      </c>
      <c r="J8" t="s">
        <v>151</v>
      </c>
      <c r="K8">
        <v>0</v>
      </c>
      <c r="L8">
        <v>1</v>
      </c>
      <c r="M8">
        <v>0</v>
      </c>
      <c r="N8">
        <v>1</v>
      </c>
    </row>
    <row r="9" spans="1:15" x14ac:dyDescent="0.3">
      <c r="A9">
        <v>3</v>
      </c>
      <c r="B9">
        <v>4</v>
      </c>
      <c r="C9">
        <v>363</v>
      </c>
      <c r="D9">
        <v>2</v>
      </c>
      <c r="E9" t="s">
        <v>80</v>
      </c>
      <c r="F9" t="s">
        <v>0</v>
      </c>
      <c r="G9" t="s">
        <v>41</v>
      </c>
      <c r="H9" t="s">
        <v>61</v>
      </c>
      <c r="J9" t="s">
        <v>151</v>
      </c>
      <c r="K9">
        <v>0</v>
      </c>
      <c r="L9">
        <v>1</v>
      </c>
      <c r="M9">
        <v>0</v>
      </c>
      <c r="N9">
        <v>1</v>
      </c>
    </row>
    <row r="10" spans="1:15" x14ac:dyDescent="0.3">
      <c r="A10">
        <v>4</v>
      </c>
      <c r="B10">
        <v>1</v>
      </c>
      <c r="C10">
        <v>84</v>
      </c>
      <c r="D10">
        <v>2</v>
      </c>
      <c r="E10" t="s">
        <v>80</v>
      </c>
      <c r="F10" t="s">
        <v>0</v>
      </c>
      <c r="G10" t="s">
        <v>41</v>
      </c>
      <c r="H10" t="s">
        <v>72</v>
      </c>
      <c r="J10" t="s">
        <v>151</v>
      </c>
      <c r="K10">
        <v>0</v>
      </c>
      <c r="L10">
        <v>1</v>
      </c>
      <c r="M10">
        <v>0</v>
      </c>
      <c r="N10">
        <v>1</v>
      </c>
      <c r="O10" s="105" t="s">
        <v>171</v>
      </c>
    </row>
    <row r="11" spans="1:15" x14ac:dyDescent="0.3">
      <c r="A11">
        <v>1</v>
      </c>
      <c r="B11">
        <v>2</v>
      </c>
      <c r="C11">
        <v>103</v>
      </c>
      <c r="D11">
        <v>2</v>
      </c>
      <c r="E11" t="s">
        <v>80</v>
      </c>
      <c r="F11" t="s">
        <v>0</v>
      </c>
      <c r="G11" t="s">
        <v>41</v>
      </c>
      <c r="H11" t="s">
        <v>46</v>
      </c>
      <c r="J11" t="s">
        <v>151</v>
      </c>
      <c r="K11">
        <v>0</v>
      </c>
      <c r="L11">
        <v>1</v>
      </c>
      <c r="M11">
        <v>0</v>
      </c>
      <c r="N11">
        <v>0</v>
      </c>
    </row>
    <row r="12" spans="1:15" x14ac:dyDescent="0.3">
      <c r="A12">
        <v>2</v>
      </c>
      <c r="B12">
        <v>2</v>
      </c>
      <c r="C12">
        <v>143</v>
      </c>
      <c r="D12">
        <v>2</v>
      </c>
      <c r="E12" t="s">
        <v>80</v>
      </c>
      <c r="F12" t="s">
        <v>0</v>
      </c>
      <c r="G12" t="s">
        <v>41</v>
      </c>
      <c r="H12" t="s">
        <v>55</v>
      </c>
      <c r="J12" t="s">
        <v>151</v>
      </c>
      <c r="K12">
        <v>0</v>
      </c>
      <c r="L12">
        <v>1</v>
      </c>
      <c r="M12">
        <v>0</v>
      </c>
      <c r="N12">
        <v>1</v>
      </c>
    </row>
    <row r="13" spans="1:15" x14ac:dyDescent="0.3">
      <c r="A13">
        <v>3</v>
      </c>
      <c r="B13">
        <v>1</v>
      </c>
      <c r="C13">
        <v>61</v>
      </c>
      <c r="D13">
        <v>2</v>
      </c>
      <c r="E13" t="s">
        <v>80</v>
      </c>
      <c r="F13" t="s">
        <v>0</v>
      </c>
      <c r="G13" t="s">
        <v>41</v>
      </c>
      <c r="H13" t="s">
        <v>62</v>
      </c>
      <c r="J13" t="s">
        <v>151</v>
      </c>
      <c r="K13">
        <v>0</v>
      </c>
      <c r="L13">
        <v>1</v>
      </c>
      <c r="M13">
        <v>0</v>
      </c>
      <c r="N13">
        <v>1</v>
      </c>
    </row>
    <row r="14" spans="1:15" x14ac:dyDescent="0.3">
      <c r="A14">
        <v>4</v>
      </c>
      <c r="B14">
        <v>2</v>
      </c>
      <c r="C14">
        <v>184</v>
      </c>
      <c r="D14">
        <v>2</v>
      </c>
      <c r="E14" t="s">
        <v>80</v>
      </c>
      <c r="F14" t="s">
        <v>0</v>
      </c>
      <c r="G14" t="s">
        <v>41</v>
      </c>
      <c r="H14" t="s">
        <v>71</v>
      </c>
      <c r="J14" t="s">
        <v>151</v>
      </c>
      <c r="K14">
        <v>0</v>
      </c>
      <c r="L14">
        <v>1</v>
      </c>
      <c r="M14">
        <v>0</v>
      </c>
      <c r="N14">
        <v>1</v>
      </c>
    </row>
    <row r="15" spans="1:15" x14ac:dyDescent="0.3">
      <c r="A15">
        <v>2</v>
      </c>
      <c r="B15">
        <v>4</v>
      </c>
      <c r="C15">
        <v>348</v>
      </c>
      <c r="D15">
        <v>2</v>
      </c>
      <c r="E15" t="s">
        <v>80</v>
      </c>
      <c r="F15" t="s">
        <v>0</v>
      </c>
      <c r="G15" t="s">
        <v>41</v>
      </c>
      <c r="H15" t="s">
        <v>54</v>
      </c>
      <c r="J15" t="s">
        <v>151</v>
      </c>
      <c r="K15">
        <v>0</v>
      </c>
      <c r="L15">
        <v>1</v>
      </c>
      <c r="M15">
        <v>0</v>
      </c>
      <c r="N15">
        <v>1</v>
      </c>
    </row>
    <row r="16" spans="1:15" x14ac:dyDescent="0.3">
      <c r="A16">
        <v>4</v>
      </c>
      <c r="B16">
        <v>4</v>
      </c>
      <c r="C16">
        <v>385</v>
      </c>
      <c r="D16">
        <v>2</v>
      </c>
      <c r="E16" t="s">
        <v>80</v>
      </c>
      <c r="F16" t="s">
        <v>0</v>
      </c>
      <c r="G16" t="s">
        <v>41</v>
      </c>
      <c r="H16" t="s">
        <v>70</v>
      </c>
      <c r="J16" t="s">
        <v>151</v>
      </c>
      <c r="K16">
        <v>0</v>
      </c>
      <c r="L16">
        <v>1</v>
      </c>
      <c r="M16">
        <v>0</v>
      </c>
      <c r="N16">
        <v>1</v>
      </c>
      <c r="O16" s="105" t="s">
        <v>172</v>
      </c>
    </row>
    <row r="17" spans="1:15" x14ac:dyDescent="0.3">
      <c r="A17">
        <v>1</v>
      </c>
      <c r="B17">
        <v>3</v>
      </c>
      <c r="C17">
        <v>209</v>
      </c>
      <c r="D17">
        <v>2</v>
      </c>
      <c r="E17" t="s">
        <v>80</v>
      </c>
      <c r="F17" t="s">
        <v>0</v>
      </c>
      <c r="G17" t="s">
        <v>41</v>
      </c>
      <c r="H17" t="s">
        <v>48</v>
      </c>
      <c r="J17" t="s">
        <v>151</v>
      </c>
      <c r="K17">
        <v>0</v>
      </c>
      <c r="L17">
        <v>1</v>
      </c>
      <c r="M17">
        <v>0</v>
      </c>
      <c r="N17">
        <v>1</v>
      </c>
    </row>
    <row r="18" spans="1:15" x14ac:dyDescent="0.3">
      <c r="A18">
        <v>3</v>
      </c>
      <c r="B18">
        <v>3</v>
      </c>
      <c r="C18">
        <v>261</v>
      </c>
      <c r="D18">
        <v>2</v>
      </c>
      <c r="E18" t="s">
        <v>80</v>
      </c>
      <c r="F18" t="s">
        <v>0</v>
      </c>
      <c r="G18" t="s">
        <v>41</v>
      </c>
      <c r="H18" t="s">
        <v>64</v>
      </c>
      <c r="J18" t="s">
        <v>151</v>
      </c>
      <c r="K18">
        <v>0</v>
      </c>
      <c r="L18">
        <v>1</v>
      </c>
      <c r="M18">
        <v>0</v>
      </c>
      <c r="N18">
        <v>1</v>
      </c>
    </row>
    <row r="19" spans="1:15" x14ac:dyDescent="0.3">
      <c r="A19">
        <v>3</v>
      </c>
      <c r="B19">
        <v>1</v>
      </c>
      <c r="C19">
        <v>68</v>
      </c>
      <c r="D19">
        <v>2</v>
      </c>
      <c r="E19" t="s">
        <v>80</v>
      </c>
      <c r="F19" t="s">
        <v>0</v>
      </c>
      <c r="G19" t="s">
        <v>41</v>
      </c>
      <c r="H19" t="s">
        <v>64</v>
      </c>
      <c r="J19" t="s">
        <v>150</v>
      </c>
      <c r="K19">
        <v>0</v>
      </c>
      <c r="L19">
        <v>1</v>
      </c>
      <c r="M19">
        <v>0</v>
      </c>
      <c r="N19">
        <v>1</v>
      </c>
      <c r="O19" s="105" t="s">
        <v>174</v>
      </c>
    </row>
    <row r="20" spans="1:15" x14ac:dyDescent="0.3">
      <c r="A20">
        <v>1</v>
      </c>
      <c r="B20">
        <v>4</v>
      </c>
      <c r="C20">
        <v>312</v>
      </c>
      <c r="D20">
        <v>2</v>
      </c>
      <c r="E20" t="s">
        <v>80</v>
      </c>
      <c r="F20" t="s">
        <v>0</v>
      </c>
      <c r="G20" t="s">
        <v>41</v>
      </c>
      <c r="H20" t="s">
        <v>49</v>
      </c>
      <c r="J20" t="s">
        <v>151</v>
      </c>
      <c r="K20">
        <v>0</v>
      </c>
      <c r="L20">
        <v>1</v>
      </c>
      <c r="M20">
        <v>0</v>
      </c>
      <c r="N20">
        <v>1</v>
      </c>
    </row>
    <row r="21" spans="1:15" x14ac:dyDescent="0.3">
      <c r="A21">
        <v>2</v>
      </c>
      <c r="B21">
        <v>1</v>
      </c>
      <c r="C21">
        <v>45</v>
      </c>
      <c r="D21">
        <v>2</v>
      </c>
      <c r="E21" t="s">
        <v>80</v>
      </c>
      <c r="F21" t="s">
        <v>0</v>
      </c>
      <c r="G21" t="s">
        <v>41</v>
      </c>
      <c r="H21" t="s">
        <v>52</v>
      </c>
      <c r="J21" t="s">
        <v>151</v>
      </c>
      <c r="K21">
        <v>0</v>
      </c>
      <c r="L21">
        <v>1</v>
      </c>
      <c r="M21">
        <v>0</v>
      </c>
      <c r="N21">
        <v>1</v>
      </c>
    </row>
    <row r="22" spans="1:15" x14ac:dyDescent="0.3">
      <c r="A22">
        <v>3</v>
      </c>
      <c r="B22">
        <v>2</v>
      </c>
      <c r="C22">
        <v>162</v>
      </c>
      <c r="D22">
        <v>2</v>
      </c>
      <c r="E22" t="s">
        <v>80</v>
      </c>
      <c r="F22" t="s">
        <v>0</v>
      </c>
      <c r="G22" t="s">
        <v>41</v>
      </c>
      <c r="H22" t="s">
        <v>65</v>
      </c>
      <c r="J22" t="s">
        <v>151</v>
      </c>
      <c r="K22">
        <v>0</v>
      </c>
      <c r="L22">
        <v>1</v>
      </c>
      <c r="M22">
        <v>0</v>
      </c>
      <c r="N22">
        <v>1</v>
      </c>
      <c r="O22" s="105" t="s">
        <v>160</v>
      </c>
    </row>
    <row r="23" spans="1:15" x14ac:dyDescent="0.3">
      <c r="A23">
        <v>1</v>
      </c>
      <c r="B23">
        <v>4</v>
      </c>
      <c r="C23">
        <v>309</v>
      </c>
      <c r="D23">
        <v>2</v>
      </c>
      <c r="E23" t="s">
        <v>80</v>
      </c>
      <c r="F23" t="s">
        <v>0</v>
      </c>
      <c r="G23" t="s">
        <v>41</v>
      </c>
      <c r="H23" t="s">
        <v>50</v>
      </c>
      <c r="J23" t="s">
        <v>151</v>
      </c>
      <c r="K23">
        <v>0</v>
      </c>
      <c r="L23">
        <v>1</v>
      </c>
      <c r="M23">
        <v>0</v>
      </c>
      <c r="N23">
        <v>1</v>
      </c>
    </row>
    <row r="24" spans="1:15" x14ac:dyDescent="0.3">
      <c r="A24">
        <v>2</v>
      </c>
      <c r="B24">
        <v>2</v>
      </c>
      <c r="C24">
        <v>146</v>
      </c>
      <c r="D24">
        <v>2</v>
      </c>
      <c r="E24" t="s">
        <v>80</v>
      </c>
      <c r="F24" t="s">
        <v>0</v>
      </c>
      <c r="G24" t="s">
        <v>41</v>
      </c>
      <c r="H24" t="s">
        <v>51</v>
      </c>
      <c r="J24" t="s">
        <v>151</v>
      </c>
      <c r="K24">
        <v>0</v>
      </c>
      <c r="L24">
        <v>1</v>
      </c>
      <c r="M24">
        <v>0</v>
      </c>
      <c r="N24">
        <v>1</v>
      </c>
    </row>
    <row r="25" spans="1:15" x14ac:dyDescent="0.3">
      <c r="A25">
        <v>3</v>
      </c>
      <c r="B25">
        <v>3</v>
      </c>
      <c r="C25">
        <v>264</v>
      </c>
      <c r="D25">
        <v>2</v>
      </c>
      <c r="E25" t="s">
        <v>80</v>
      </c>
      <c r="F25" t="s">
        <v>0</v>
      </c>
      <c r="G25" t="s">
        <v>41</v>
      </c>
      <c r="H25" t="s">
        <v>66</v>
      </c>
      <c r="J25" t="s">
        <v>151</v>
      </c>
      <c r="K25">
        <v>0</v>
      </c>
      <c r="L25">
        <v>1</v>
      </c>
      <c r="M25">
        <v>0</v>
      </c>
      <c r="N25">
        <v>1</v>
      </c>
    </row>
    <row r="26" spans="1:15" x14ac:dyDescent="0.3">
      <c r="A26">
        <v>4</v>
      </c>
      <c r="B26">
        <v>3</v>
      </c>
      <c r="C26">
        <v>290</v>
      </c>
      <c r="D26">
        <v>2</v>
      </c>
      <c r="E26" t="s">
        <v>80</v>
      </c>
      <c r="F26" t="s">
        <v>0</v>
      </c>
      <c r="G26" t="s">
        <v>41</v>
      </c>
      <c r="H26" t="s">
        <v>67</v>
      </c>
      <c r="J26" t="s">
        <v>151</v>
      </c>
      <c r="K26">
        <v>0</v>
      </c>
      <c r="L26">
        <v>1</v>
      </c>
      <c r="M26">
        <v>0</v>
      </c>
      <c r="N26">
        <v>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FB29-2C75-4912-A433-F2FF06266B2C}">
  <dimension ref="A1:N23"/>
  <sheetViews>
    <sheetView workbookViewId="0">
      <selection activeCell="H15" sqref="H15:J16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</cols>
  <sheetData>
    <row r="1" spans="1:14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</row>
    <row r="2" spans="1:14" x14ac:dyDescent="0.3">
      <c r="A2">
        <v>4</v>
      </c>
      <c r="B2">
        <v>3</v>
      </c>
      <c r="C2">
        <v>293</v>
      </c>
      <c r="D2">
        <v>2</v>
      </c>
      <c r="E2" t="s">
        <v>80</v>
      </c>
      <c r="F2" t="s">
        <v>29</v>
      </c>
      <c r="G2" t="s">
        <v>42</v>
      </c>
      <c r="H2" t="s">
        <v>59</v>
      </c>
      <c r="J2" t="s">
        <v>150</v>
      </c>
      <c r="K2">
        <v>0</v>
      </c>
      <c r="L2">
        <v>0</v>
      </c>
      <c r="M2">
        <v>0</v>
      </c>
      <c r="N2">
        <v>1</v>
      </c>
    </row>
    <row r="3" spans="1:14" x14ac:dyDescent="0.3">
      <c r="A3">
        <v>2</v>
      </c>
      <c r="B3">
        <v>2</v>
      </c>
      <c r="C3">
        <v>141</v>
      </c>
      <c r="D3">
        <v>2</v>
      </c>
      <c r="E3" t="s">
        <v>80</v>
      </c>
      <c r="F3" t="s">
        <v>29</v>
      </c>
      <c r="G3" t="s">
        <v>42</v>
      </c>
      <c r="H3" t="s">
        <v>44</v>
      </c>
      <c r="J3" t="s">
        <v>150</v>
      </c>
      <c r="K3">
        <v>0</v>
      </c>
      <c r="L3">
        <v>0</v>
      </c>
      <c r="M3">
        <v>0</v>
      </c>
      <c r="N3">
        <v>1</v>
      </c>
    </row>
    <row r="4" spans="1:14" x14ac:dyDescent="0.3">
      <c r="A4">
        <v>4</v>
      </c>
      <c r="B4">
        <v>4</v>
      </c>
      <c r="C4">
        <v>393</v>
      </c>
      <c r="D4">
        <v>2</v>
      </c>
      <c r="E4" t="s">
        <v>80</v>
      </c>
      <c r="F4" t="s">
        <v>29</v>
      </c>
      <c r="G4" t="s">
        <v>42</v>
      </c>
      <c r="H4" t="s">
        <v>60</v>
      </c>
      <c r="J4" t="s">
        <v>150</v>
      </c>
      <c r="K4">
        <v>0</v>
      </c>
      <c r="L4">
        <v>0</v>
      </c>
      <c r="M4">
        <v>0</v>
      </c>
      <c r="N4">
        <v>1</v>
      </c>
    </row>
    <row r="5" spans="1:14" x14ac:dyDescent="0.3">
      <c r="A5">
        <v>4</v>
      </c>
      <c r="B5">
        <v>3</v>
      </c>
      <c r="C5">
        <v>284</v>
      </c>
      <c r="D5">
        <v>2</v>
      </c>
      <c r="E5" t="s">
        <v>80</v>
      </c>
      <c r="F5" t="s">
        <v>29</v>
      </c>
      <c r="G5" t="s">
        <v>42</v>
      </c>
      <c r="H5" t="s">
        <v>60</v>
      </c>
      <c r="J5" t="s">
        <v>150</v>
      </c>
      <c r="K5">
        <v>0</v>
      </c>
      <c r="L5">
        <v>0</v>
      </c>
      <c r="M5">
        <v>0</v>
      </c>
      <c r="N5">
        <v>1</v>
      </c>
    </row>
    <row r="6" spans="1:14" x14ac:dyDescent="0.3">
      <c r="A6">
        <v>1</v>
      </c>
      <c r="B6">
        <v>3</v>
      </c>
      <c r="C6">
        <v>204</v>
      </c>
      <c r="D6">
        <v>2</v>
      </c>
      <c r="E6" t="s">
        <v>80</v>
      </c>
      <c r="F6" t="s">
        <v>29</v>
      </c>
      <c r="G6" t="s">
        <v>42</v>
      </c>
      <c r="H6" t="s">
        <v>71</v>
      </c>
      <c r="J6" t="s">
        <v>150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2</v>
      </c>
      <c r="B7">
        <v>1</v>
      </c>
      <c r="C7">
        <v>41</v>
      </c>
      <c r="D7">
        <v>2</v>
      </c>
      <c r="E7" t="s">
        <v>80</v>
      </c>
      <c r="F7" t="s">
        <v>29</v>
      </c>
      <c r="G7" t="s">
        <v>42</v>
      </c>
      <c r="H7" s="105" t="s">
        <v>47</v>
      </c>
      <c r="J7" t="s">
        <v>151</v>
      </c>
      <c r="K7">
        <v>0</v>
      </c>
      <c r="L7">
        <v>0</v>
      </c>
      <c r="M7">
        <v>0</v>
      </c>
      <c r="N7">
        <v>1</v>
      </c>
    </row>
    <row r="8" spans="1:14" x14ac:dyDescent="0.3">
      <c r="A8">
        <v>3</v>
      </c>
      <c r="B8">
        <v>1</v>
      </c>
      <c r="C8">
        <v>64</v>
      </c>
      <c r="D8">
        <v>2</v>
      </c>
      <c r="E8" t="s">
        <v>80</v>
      </c>
      <c r="F8" t="s">
        <v>29</v>
      </c>
      <c r="G8" t="s">
        <v>42</v>
      </c>
      <c r="H8" t="s">
        <v>54</v>
      </c>
      <c r="J8" t="s">
        <v>150</v>
      </c>
      <c r="K8">
        <v>0</v>
      </c>
      <c r="L8">
        <v>0</v>
      </c>
      <c r="M8">
        <v>0</v>
      </c>
      <c r="N8">
        <v>1</v>
      </c>
    </row>
    <row r="9" spans="1:14" x14ac:dyDescent="0.3">
      <c r="A9">
        <v>4</v>
      </c>
      <c r="B9">
        <v>4</v>
      </c>
      <c r="C9">
        <v>379</v>
      </c>
      <c r="D9">
        <v>2</v>
      </c>
      <c r="E9" t="s">
        <v>80</v>
      </c>
      <c r="F9" t="s">
        <v>29</v>
      </c>
      <c r="G9" t="s">
        <v>42</v>
      </c>
      <c r="H9" t="s">
        <v>63</v>
      </c>
      <c r="J9" t="s">
        <v>150</v>
      </c>
      <c r="K9">
        <v>0</v>
      </c>
      <c r="L9">
        <v>0</v>
      </c>
      <c r="M9">
        <v>0</v>
      </c>
      <c r="N9">
        <v>1</v>
      </c>
    </row>
    <row r="10" spans="1:14" x14ac:dyDescent="0.3">
      <c r="A10">
        <v>4</v>
      </c>
      <c r="B10">
        <v>2</v>
      </c>
      <c r="C10">
        <v>196</v>
      </c>
      <c r="D10">
        <v>2</v>
      </c>
      <c r="E10" t="s">
        <v>80</v>
      </c>
      <c r="F10" t="s">
        <v>29</v>
      </c>
      <c r="G10" t="s">
        <v>42</v>
      </c>
      <c r="H10" s="105" t="s">
        <v>63</v>
      </c>
      <c r="J10" t="s">
        <v>151</v>
      </c>
      <c r="K10">
        <v>0</v>
      </c>
      <c r="L10">
        <v>0</v>
      </c>
      <c r="M10">
        <v>0</v>
      </c>
      <c r="N10">
        <v>1</v>
      </c>
    </row>
    <row r="11" spans="1:14" x14ac:dyDescent="0.3">
      <c r="A11">
        <v>1</v>
      </c>
      <c r="B11">
        <v>4</v>
      </c>
      <c r="C11">
        <v>320</v>
      </c>
      <c r="D11">
        <v>2</v>
      </c>
      <c r="E11" t="s">
        <v>80</v>
      </c>
      <c r="F11" t="s">
        <v>29</v>
      </c>
      <c r="G11" t="s">
        <v>42</v>
      </c>
      <c r="H11" t="s">
        <v>70</v>
      </c>
      <c r="J11" t="s">
        <v>150</v>
      </c>
      <c r="K11">
        <v>0</v>
      </c>
      <c r="L11">
        <v>0</v>
      </c>
      <c r="M11">
        <v>0</v>
      </c>
      <c r="N11">
        <v>1</v>
      </c>
    </row>
    <row r="12" spans="1:14" x14ac:dyDescent="0.3">
      <c r="A12">
        <v>2</v>
      </c>
      <c r="B12">
        <v>4</v>
      </c>
      <c r="C12">
        <v>351</v>
      </c>
      <c r="D12">
        <v>2</v>
      </c>
      <c r="E12" t="s">
        <v>80</v>
      </c>
      <c r="F12" t="s">
        <v>29</v>
      </c>
      <c r="G12" t="s">
        <v>42</v>
      </c>
      <c r="H12" t="s">
        <v>48</v>
      </c>
      <c r="J12" t="s">
        <v>150</v>
      </c>
      <c r="K12">
        <v>0</v>
      </c>
      <c r="L12">
        <v>0</v>
      </c>
      <c r="M12">
        <v>0</v>
      </c>
      <c r="N12">
        <v>1</v>
      </c>
    </row>
    <row r="13" spans="1:14" x14ac:dyDescent="0.3">
      <c r="A13">
        <v>4</v>
      </c>
      <c r="B13">
        <v>4</v>
      </c>
      <c r="C13">
        <v>397</v>
      </c>
      <c r="D13">
        <v>2</v>
      </c>
      <c r="E13" t="s">
        <v>80</v>
      </c>
      <c r="F13" t="s">
        <v>29</v>
      </c>
      <c r="G13" t="s">
        <v>42</v>
      </c>
      <c r="H13" t="s">
        <v>64</v>
      </c>
      <c r="J13" t="s">
        <v>150</v>
      </c>
      <c r="K13">
        <v>0</v>
      </c>
      <c r="L13">
        <v>0</v>
      </c>
      <c r="M13">
        <v>0</v>
      </c>
      <c r="N13">
        <v>1</v>
      </c>
    </row>
    <row r="14" spans="1:14" x14ac:dyDescent="0.3">
      <c r="A14">
        <v>4</v>
      </c>
      <c r="B14">
        <v>2</v>
      </c>
      <c r="C14">
        <v>178</v>
      </c>
      <c r="D14">
        <v>2</v>
      </c>
      <c r="E14" t="s">
        <v>80</v>
      </c>
      <c r="F14" t="s">
        <v>29</v>
      </c>
      <c r="G14" t="s">
        <v>42</v>
      </c>
      <c r="H14" t="s">
        <v>64</v>
      </c>
      <c r="J14" t="s">
        <v>150</v>
      </c>
      <c r="K14">
        <v>0</v>
      </c>
      <c r="L14">
        <v>0</v>
      </c>
      <c r="M14">
        <v>0</v>
      </c>
      <c r="N14">
        <v>1</v>
      </c>
    </row>
    <row r="15" spans="1:14" x14ac:dyDescent="0.3">
      <c r="A15">
        <v>1</v>
      </c>
      <c r="B15">
        <v>4</v>
      </c>
      <c r="C15">
        <v>304</v>
      </c>
      <c r="D15">
        <v>2</v>
      </c>
      <c r="E15" t="s">
        <v>80</v>
      </c>
      <c r="F15" t="s">
        <v>29</v>
      </c>
      <c r="G15" t="s">
        <v>42</v>
      </c>
      <c r="H15" t="s">
        <v>69</v>
      </c>
      <c r="J15" t="s">
        <v>150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2</v>
      </c>
      <c r="B16">
        <v>2</v>
      </c>
      <c r="C16">
        <v>149</v>
      </c>
      <c r="D16">
        <v>2</v>
      </c>
      <c r="E16" t="s">
        <v>80</v>
      </c>
      <c r="F16" t="s">
        <v>29</v>
      </c>
      <c r="G16" t="s">
        <v>42</v>
      </c>
      <c r="H16" t="s">
        <v>49</v>
      </c>
      <c r="J16" t="s">
        <v>150</v>
      </c>
      <c r="K16">
        <v>0</v>
      </c>
      <c r="L16">
        <v>0</v>
      </c>
      <c r="M16">
        <v>0</v>
      </c>
      <c r="N16">
        <v>1</v>
      </c>
    </row>
    <row r="17" spans="1:14" x14ac:dyDescent="0.3">
      <c r="A17">
        <v>4</v>
      </c>
      <c r="B17">
        <v>2</v>
      </c>
      <c r="C17">
        <v>192</v>
      </c>
      <c r="D17">
        <v>2</v>
      </c>
      <c r="E17" t="s">
        <v>80</v>
      </c>
      <c r="F17" t="s">
        <v>29</v>
      </c>
      <c r="G17" t="s">
        <v>42</v>
      </c>
      <c r="H17" t="s">
        <v>65</v>
      </c>
      <c r="J17" t="s">
        <v>150</v>
      </c>
      <c r="K17">
        <v>0</v>
      </c>
      <c r="L17">
        <v>0</v>
      </c>
      <c r="M17">
        <v>0</v>
      </c>
      <c r="N17">
        <v>1</v>
      </c>
    </row>
    <row r="18" spans="1:14" x14ac:dyDescent="0.3">
      <c r="A18">
        <v>4</v>
      </c>
      <c r="B18">
        <v>1</v>
      </c>
      <c r="C18">
        <v>95</v>
      </c>
      <c r="D18">
        <v>2</v>
      </c>
      <c r="E18" t="s">
        <v>80</v>
      </c>
      <c r="F18" t="s">
        <v>29</v>
      </c>
      <c r="G18" t="s">
        <v>42</v>
      </c>
      <c r="H18" t="s">
        <v>65</v>
      </c>
      <c r="J18" t="s">
        <v>150</v>
      </c>
      <c r="K18">
        <v>0</v>
      </c>
      <c r="L18">
        <v>0</v>
      </c>
      <c r="M18">
        <v>0</v>
      </c>
      <c r="N18">
        <v>1</v>
      </c>
    </row>
    <row r="19" spans="1:14" x14ac:dyDescent="0.3">
      <c r="A19">
        <v>2</v>
      </c>
      <c r="B19">
        <v>1</v>
      </c>
      <c r="C19">
        <v>48</v>
      </c>
      <c r="D19">
        <v>2</v>
      </c>
      <c r="E19" t="s">
        <v>80</v>
      </c>
      <c r="F19" t="s">
        <v>29</v>
      </c>
      <c r="G19" t="s">
        <v>42</v>
      </c>
      <c r="H19" t="s">
        <v>50</v>
      </c>
      <c r="J19" t="s">
        <v>150</v>
      </c>
      <c r="K19">
        <v>0</v>
      </c>
      <c r="L19">
        <v>0</v>
      </c>
      <c r="M19">
        <v>0</v>
      </c>
      <c r="N19">
        <v>1</v>
      </c>
    </row>
    <row r="20" spans="1:14" x14ac:dyDescent="0.3">
      <c r="A20">
        <v>1</v>
      </c>
      <c r="B20">
        <v>2</v>
      </c>
      <c r="C20">
        <v>109</v>
      </c>
      <c r="D20">
        <v>2</v>
      </c>
      <c r="E20" t="s">
        <v>80</v>
      </c>
      <c r="F20" t="s">
        <v>29</v>
      </c>
      <c r="G20" t="s">
        <v>42</v>
      </c>
      <c r="H20" t="s">
        <v>67</v>
      </c>
      <c r="J20" t="s">
        <v>150</v>
      </c>
      <c r="K20">
        <v>0</v>
      </c>
      <c r="L20">
        <v>0</v>
      </c>
      <c r="M20">
        <v>0</v>
      </c>
      <c r="N20">
        <v>1</v>
      </c>
    </row>
    <row r="21" spans="1:14" x14ac:dyDescent="0.3">
      <c r="A21">
        <v>1</v>
      </c>
      <c r="B21">
        <v>1</v>
      </c>
      <c r="C21">
        <v>1</v>
      </c>
      <c r="D21">
        <v>2</v>
      </c>
      <c r="E21" t="s">
        <v>80</v>
      </c>
      <c r="F21" t="s">
        <v>29</v>
      </c>
      <c r="G21" t="s">
        <v>42</v>
      </c>
      <c r="J21" t="s">
        <v>150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</v>
      </c>
      <c r="B22">
        <v>4</v>
      </c>
      <c r="C22">
        <v>335</v>
      </c>
      <c r="D22">
        <v>2</v>
      </c>
      <c r="E22" t="s">
        <v>80</v>
      </c>
      <c r="F22" t="s">
        <v>29</v>
      </c>
      <c r="G22" t="s">
        <v>42</v>
      </c>
      <c r="I22" t="s">
        <v>127</v>
      </c>
      <c r="J22" t="s">
        <v>150</v>
      </c>
      <c r="K22">
        <v>0</v>
      </c>
      <c r="L22">
        <v>0</v>
      </c>
      <c r="M22">
        <v>0</v>
      </c>
      <c r="N22">
        <v>1</v>
      </c>
    </row>
    <row r="23" spans="1:14" x14ac:dyDescent="0.3">
      <c r="A23">
        <v>4</v>
      </c>
      <c r="B23">
        <v>3</v>
      </c>
      <c r="C23">
        <v>298</v>
      </c>
      <c r="D23">
        <v>2</v>
      </c>
      <c r="E23" t="s">
        <v>80</v>
      </c>
      <c r="F23" t="s">
        <v>29</v>
      </c>
      <c r="G23" t="s">
        <v>42</v>
      </c>
      <c r="I23" t="s">
        <v>127</v>
      </c>
      <c r="J23" t="s">
        <v>150</v>
      </c>
      <c r="K23">
        <v>0</v>
      </c>
      <c r="L23">
        <v>0</v>
      </c>
      <c r="M23">
        <v>0</v>
      </c>
      <c r="N23">
        <v>1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7B99-C8BA-4E2A-8445-385EECB40F21}">
  <dimension ref="A1:N35"/>
  <sheetViews>
    <sheetView topLeftCell="A13" workbookViewId="0">
      <selection activeCell="H11" sqref="H11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</cols>
  <sheetData>
    <row r="1" spans="1:14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</row>
    <row r="2" spans="1:14" x14ac:dyDescent="0.3">
      <c r="A2">
        <v>2</v>
      </c>
      <c r="B2">
        <v>4</v>
      </c>
      <c r="C2">
        <v>331</v>
      </c>
      <c r="D2">
        <v>2</v>
      </c>
      <c r="E2" t="s">
        <v>80</v>
      </c>
      <c r="F2" t="s">
        <v>29</v>
      </c>
      <c r="G2" t="s">
        <v>42</v>
      </c>
      <c r="H2" s="105" t="s">
        <v>43</v>
      </c>
      <c r="J2" t="s">
        <v>151</v>
      </c>
      <c r="K2">
        <v>0</v>
      </c>
      <c r="L2">
        <v>0</v>
      </c>
      <c r="M2">
        <v>1</v>
      </c>
      <c r="N2">
        <v>0</v>
      </c>
    </row>
    <row r="3" spans="1:14" x14ac:dyDescent="0.3">
      <c r="A3">
        <v>3</v>
      </c>
      <c r="B3">
        <v>4</v>
      </c>
      <c r="C3">
        <v>375</v>
      </c>
      <c r="D3">
        <v>2</v>
      </c>
      <c r="E3" t="s">
        <v>80</v>
      </c>
      <c r="F3" t="s">
        <v>29</v>
      </c>
      <c r="G3" t="s">
        <v>42</v>
      </c>
      <c r="H3" t="s">
        <v>58</v>
      </c>
      <c r="J3" t="s">
        <v>150</v>
      </c>
      <c r="K3">
        <v>0</v>
      </c>
      <c r="L3">
        <v>0</v>
      </c>
      <c r="M3">
        <v>1</v>
      </c>
      <c r="N3">
        <v>0</v>
      </c>
    </row>
    <row r="4" spans="1:14" x14ac:dyDescent="0.3">
      <c r="A4">
        <v>3</v>
      </c>
      <c r="B4">
        <v>3</v>
      </c>
      <c r="C4">
        <v>275</v>
      </c>
      <c r="D4">
        <v>2</v>
      </c>
      <c r="E4" t="s">
        <v>80</v>
      </c>
      <c r="F4" t="s">
        <v>29</v>
      </c>
      <c r="G4" t="s">
        <v>42</v>
      </c>
      <c r="H4" t="s">
        <v>58</v>
      </c>
      <c r="J4" t="s">
        <v>150</v>
      </c>
      <c r="K4">
        <v>0</v>
      </c>
      <c r="L4">
        <v>0</v>
      </c>
      <c r="M4">
        <v>1</v>
      </c>
      <c r="N4">
        <v>0</v>
      </c>
    </row>
    <row r="5" spans="1:14" x14ac:dyDescent="0.3">
      <c r="A5">
        <v>4</v>
      </c>
      <c r="B5">
        <v>1</v>
      </c>
      <c r="C5">
        <v>77</v>
      </c>
      <c r="D5">
        <v>2</v>
      </c>
      <c r="E5" t="s">
        <v>80</v>
      </c>
      <c r="F5" t="s">
        <v>29</v>
      </c>
      <c r="G5" t="s">
        <v>42</v>
      </c>
      <c r="H5" t="s">
        <v>59</v>
      </c>
      <c r="J5" t="s">
        <v>150</v>
      </c>
      <c r="K5">
        <v>0</v>
      </c>
      <c r="L5">
        <v>0</v>
      </c>
      <c r="M5">
        <v>1</v>
      </c>
      <c r="N5">
        <v>0</v>
      </c>
    </row>
    <row r="6" spans="1:14" x14ac:dyDescent="0.3">
      <c r="A6">
        <v>1</v>
      </c>
      <c r="B6">
        <v>3</v>
      </c>
      <c r="C6">
        <v>218</v>
      </c>
      <c r="D6">
        <v>2</v>
      </c>
      <c r="E6" t="s">
        <v>80</v>
      </c>
      <c r="F6" t="s">
        <v>29</v>
      </c>
      <c r="G6" t="s">
        <v>42</v>
      </c>
      <c r="H6" s="105" t="s">
        <v>74</v>
      </c>
      <c r="J6" t="s">
        <v>151</v>
      </c>
      <c r="K6">
        <v>0</v>
      </c>
      <c r="L6">
        <v>0</v>
      </c>
      <c r="M6">
        <v>1</v>
      </c>
      <c r="N6">
        <v>0</v>
      </c>
    </row>
    <row r="7" spans="1:14" x14ac:dyDescent="0.3">
      <c r="A7">
        <v>1</v>
      </c>
      <c r="B7">
        <v>2</v>
      </c>
      <c r="C7">
        <v>123</v>
      </c>
      <c r="D7">
        <v>2</v>
      </c>
      <c r="E7" t="s">
        <v>80</v>
      </c>
      <c r="F7" t="s">
        <v>29</v>
      </c>
      <c r="G7" t="s">
        <v>42</v>
      </c>
      <c r="H7" t="s">
        <v>74</v>
      </c>
      <c r="J7" t="s">
        <v>150</v>
      </c>
      <c r="K7">
        <v>0</v>
      </c>
      <c r="L7">
        <v>0</v>
      </c>
      <c r="M7">
        <v>1</v>
      </c>
      <c r="N7">
        <v>0</v>
      </c>
    </row>
    <row r="8" spans="1:14" x14ac:dyDescent="0.3">
      <c r="A8">
        <v>2</v>
      </c>
      <c r="B8">
        <v>1</v>
      </c>
      <c r="C8">
        <v>29</v>
      </c>
      <c r="D8">
        <v>2</v>
      </c>
      <c r="E8" t="s">
        <v>80</v>
      </c>
      <c r="F8" t="s">
        <v>29</v>
      </c>
      <c r="G8" t="s">
        <v>42</v>
      </c>
      <c r="H8" t="s">
        <v>44</v>
      </c>
      <c r="J8" t="s">
        <v>150</v>
      </c>
      <c r="K8">
        <v>0</v>
      </c>
      <c r="L8">
        <v>0</v>
      </c>
      <c r="M8">
        <v>1</v>
      </c>
      <c r="N8">
        <v>0</v>
      </c>
    </row>
    <row r="9" spans="1:14" x14ac:dyDescent="0.3">
      <c r="A9">
        <v>1</v>
      </c>
      <c r="B9">
        <v>4</v>
      </c>
      <c r="C9">
        <v>323</v>
      </c>
      <c r="D9">
        <v>2</v>
      </c>
      <c r="E9" t="s">
        <v>80</v>
      </c>
      <c r="F9" t="s">
        <v>29</v>
      </c>
      <c r="G9" t="s">
        <v>42</v>
      </c>
      <c r="H9" s="105" t="s">
        <v>73</v>
      </c>
      <c r="J9" t="s">
        <v>151</v>
      </c>
      <c r="K9">
        <v>0</v>
      </c>
      <c r="L9">
        <v>0</v>
      </c>
      <c r="M9">
        <v>1</v>
      </c>
      <c r="N9">
        <v>0</v>
      </c>
    </row>
    <row r="10" spans="1:14" x14ac:dyDescent="0.3">
      <c r="A10">
        <v>1</v>
      </c>
      <c r="B10">
        <v>2</v>
      </c>
      <c r="C10">
        <v>117</v>
      </c>
      <c r="D10">
        <v>2</v>
      </c>
      <c r="E10" t="s">
        <v>80</v>
      </c>
      <c r="F10" t="s">
        <v>29</v>
      </c>
      <c r="G10" t="s">
        <v>42</v>
      </c>
      <c r="H10" t="s">
        <v>73</v>
      </c>
      <c r="J10" t="s">
        <v>150</v>
      </c>
      <c r="K10">
        <v>0</v>
      </c>
      <c r="L10">
        <v>0</v>
      </c>
      <c r="M10">
        <v>1</v>
      </c>
      <c r="N10">
        <v>0</v>
      </c>
    </row>
    <row r="11" spans="1:14" x14ac:dyDescent="0.3">
      <c r="A11">
        <v>3</v>
      </c>
      <c r="B11">
        <v>3</v>
      </c>
      <c r="C11">
        <v>272</v>
      </c>
      <c r="D11">
        <v>2</v>
      </c>
      <c r="E11" t="s">
        <v>80</v>
      </c>
      <c r="F11" t="s">
        <v>29</v>
      </c>
      <c r="G11" t="s">
        <v>42</v>
      </c>
      <c r="H11" s="105" t="s">
        <v>56</v>
      </c>
      <c r="J11" t="s">
        <v>151</v>
      </c>
      <c r="K11">
        <v>0</v>
      </c>
      <c r="L11">
        <v>0</v>
      </c>
      <c r="M11">
        <v>1</v>
      </c>
      <c r="N11">
        <v>0</v>
      </c>
    </row>
    <row r="12" spans="1:14" x14ac:dyDescent="0.3">
      <c r="A12">
        <v>4</v>
      </c>
      <c r="B12">
        <v>4</v>
      </c>
      <c r="C12">
        <v>389</v>
      </c>
      <c r="D12">
        <v>2</v>
      </c>
      <c r="E12" t="s">
        <v>80</v>
      </c>
      <c r="F12" t="s">
        <v>29</v>
      </c>
      <c r="G12" t="s">
        <v>42</v>
      </c>
      <c r="H12" t="s">
        <v>61</v>
      </c>
      <c r="J12" t="s">
        <v>150</v>
      </c>
      <c r="K12">
        <v>0</v>
      </c>
      <c r="L12">
        <v>0</v>
      </c>
      <c r="M12">
        <v>1</v>
      </c>
      <c r="N12">
        <v>0</v>
      </c>
    </row>
    <row r="13" spans="1:14" x14ac:dyDescent="0.3">
      <c r="A13">
        <v>1</v>
      </c>
      <c r="B13">
        <v>3</v>
      </c>
      <c r="C13">
        <v>222</v>
      </c>
      <c r="D13">
        <v>2</v>
      </c>
      <c r="E13" t="s">
        <v>80</v>
      </c>
      <c r="F13" t="s">
        <v>29</v>
      </c>
      <c r="G13" t="s">
        <v>42</v>
      </c>
      <c r="H13" t="s">
        <v>72</v>
      </c>
      <c r="J13" t="s">
        <v>150</v>
      </c>
      <c r="K13">
        <v>0</v>
      </c>
      <c r="L13">
        <v>0</v>
      </c>
      <c r="M13">
        <v>1</v>
      </c>
      <c r="N13">
        <v>0</v>
      </c>
    </row>
    <row r="14" spans="1:14" x14ac:dyDescent="0.3">
      <c r="A14">
        <v>2</v>
      </c>
      <c r="B14">
        <v>2</v>
      </c>
      <c r="C14">
        <v>130</v>
      </c>
      <c r="D14">
        <v>2</v>
      </c>
      <c r="E14" t="s">
        <v>80</v>
      </c>
      <c r="F14" t="s">
        <v>29</v>
      </c>
      <c r="G14" t="s">
        <v>42</v>
      </c>
      <c r="H14" t="s">
        <v>46</v>
      </c>
      <c r="J14" t="s">
        <v>150</v>
      </c>
      <c r="K14">
        <v>0</v>
      </c>
      <c r="L14">
        <v>0</v>
      </c>
      <c r="M14">
        <v>1</v>
      </c>
      <c r="N14">
        <v>0</v>
      </c>
    </row>
    <row r="15" spans="1:14" x14ac:dyDescent="0.3">
      <c r="A15">
        <v>2</v>
      </c>
      <c r="B15">
        <v>1</v>
      </c>
      <c r="C15">
        <v>32</v>
      </c>
      <c r="D15">
        <v>2</v>
      </c>
      <c r="E15" t="s">
        <v>80</v>
      </c>
      <c r="F15" t="s">
        <v>29</v>
      </c>
      <c r="G15" t="s">
        <v>42</v>
      </c>
      <c r="H15" t="s">
        <v>46</v>
      </c>
      <c r="J15" t="s">
        <v>150</v>
      </c>
      <c r="K15">
        <v>0</v>
      </c>
      <c r="L15">
        <v>0</v>
      </c>
      <c r="M15">
        <v>1</v>
      </c>
      <c r="N15">
        <v>0</v>
      </c>
    </row>
    <row r="16" spans="1:14" x14ac:dyDescent="0.3">
      <c r="A16">
        <v>3</v>
      </c>
      <c r="B16">
        <v>3</v>
      </c>
      <c r="C16">
        <v>268</v>
      </c>
      <c r="D16">
        <v>2</v>
      </c>
      <c r="E16" t="s">
        <v>80</v>
      </c>
      <c r="F16" t="s">
        <v>29</v>
      </c>
      <c r="G16" t="s">
        <v>42</v>
      </c>
      <c r="H16" t="s">
        <v>55</v>
      </c>
      <c r="J16" t="s">
        <v>150</v>
      </c>
      <c r="K16">
        <v>0</v>
      </c>
      <c r="L16">
        <v>0</v>
      </c>
      <c r="M16">
        <v>1</v>
      </c>
      <c r="N16">
        <v>0</v>
      </c>
    </row>
    <row r="17" spans="1:14" x14ac:dyDescent="0.3">
      <c r="A17">
        <v>3</v>
      </c>
      <c r="B17">
        <v>2</v>
      </c>
      <c r="C17">
        <v>170</v>
      </c>
      <c r="D17">
        <v>2</v>
      </c>
      <c r="E17" t="s">
        <v>80</v>
      </c>
      <c r="F17" t="s">
        <v>29</v>
      </c>
      <c r="G17" t="s">
        <v>42</v>
      </c>
      <c r="H17" t="s">
        <v>55</v>
      </c>
      <c r="J17" t="s">
        <v>150</v>
      </c>
      <c r="K17">
        <v>0</v>
      </c>
      <c r="L17">
        <v>0</v>
      </c>
      <c r="M17">
        <v>1</v>
      </c>
      <c r="N17">
        <v>0</v>
      </c>
    </row>
    <row r="18" spans="1:14" x14ac:dyDescent="0.3">
      <c r="A18">
        <v>4</v>
      </c>
      <c r="B18">
        <v>3</v>
      </c>
      <c r="C18">
        <v>278</v>
      </c>
      <c r="D18">
        <v>2</v>
      </c>
      <c r="E18" t="s">
        <v>80</v>
      </c>
      <c r="F18" t="s">
        <v>29</v>
      </c>
      <c r="G18" t="s">
        <v>42</v>
      </c>
      <c r="H18" t="s">
        <v>62</v>
      </c>
      <c r="J18" t="s">
        <v>150</v>
      </c>
      <c r="K18">
        <v>0</v>
      </c>
      <c r="L18">
        <v>0</v>
      </c>
      <c r="M18">
        <v>1</v>
      </c>
      <c r="N18">
        <v>0</v>
      </c>
    </row>
    <row r="19" spans="1:14" x14ac:dyDescent="0.3">
      <c r="A19">
        <v>4</v>
      </c>
      <c r="B19">
        <v>1</v>
      </c>
      <c r="C19">
        <v>88</v>
      </c>
      <c r="D19">
        <v>2</v>
      </c>
      <c r="E19" t="s">
        <v>80</v>
      </c>
      <c r="F19" t="s">
        <v>29</v>
      </c>
      <c r="G19" t="s">
        <v>42</v>
      </c>
      <c r="H19" t="s">
        <v>62</v>
      </c>
      <c r="J19" t="s">
        <v>150</v>
      </c>
      <c r="K19">
        <v>0</v>
      </c>
      <c r="L19">
        <v>0</v>
      </c>
      <c r="M19">
        <v>1</v>
      </c>
      <c r="N19">
        <v>0</v>
      </c>
    </row>
    <row r="20" spans="1:14" x14ac:dyDescent="0.3">
      <c r="A20">
        <v>1</v>
      </c>
      <c r="B20">
        <v>1</v>
      </c>
      <c r="C20">
        <v>16</v>
      </c>
      <c r="D20">
        <v>2</v>
      </c>
      <c r="E20" t="s">
        <v>80</v>
      </c>
      <c r="F20" t="s">
        <v>29</v>
      </c>
      <c r="G20" t="s">
        <v>42</v>
      </c>
      <c r="H20" t="s">
        <v>71</v>
      </c>
      <c r="J20" t="s">
        <v>150</v>
      </c>
      <c r="K20">
        <v>0</v>
      </c>
      <c r="L20">
        <v>0</v>
      </c>
      <c r="M20">
        <v>1</v>
      </c>
      <c r="N20">
        <v>0</v>
      </c>
    </row>
    <row r="21" spans="1:14" x14ac:dyDescent="0.3">
      <c r="A21">
        <v>3</v>
      </c>
      <c r="B21">
        <v>4</v>
      </c>
      <c r="C21">
        <v>371</v>
      </c>
      <c r="D21">
        <v>2</v>
      </c>
      <c r="E21" t="s">
        <v>80</v>
      </c>
      <c r="F21" t="s">
        <v>29</v>
      </c>
      <c r="G21" t="s">
        <v>42</v>
      </c>
      <c r="H21" t="s">
        <v>54</v>
      </c>
      <c r="J21" t="s">
        <v>150</v>
      </c>
      <c r="K21">
        <v>0</v>
      </c>
      <c r="L21">
        <v>0</v>
      </c>
      <c r="M21">
        <v>1</v>
      </c>
      <c r="N21">
        <v>0</v>
      </c>
    </row>
    <row r="22" spans="1:14" x14ac:dyDescent="0.3">
      <c r="A22">
        <v>1</v>
      </c>
      <c r="B22">
        <v>1</v>
      </c>
      <c r="C22">
        <v>10</v>
      </c>
      <c r="D22">
        <v>2</v>
      </c>
      <c r="E22" t="s">
        <v>80</v>
      </c>
      <c r="F22" t="s">
        <v>29</v>
      </c>
      <c r="G22" t="s">
        <v>42</v>
      </c>
      <c r="H22" t="s">
        <v>70</v>
      </c>
      <c r="J22" t="s">
        <v>150</v>
      </c>
      <c r="K22">
        <v>0</v>
      </c>
      <c r="L22">
        <v>0</v>
      </c>
      <c r="M22">
        <v>1</v>
      </c>
      <c r="N22">
        <v>0</v>
      </c>
    </row>
    <row r="23" spans="1:14" x14ac:dyDescent="0.3">
      <c r="A23">
        <v>2</v>
      </c>
      <c r="B23">
        <v>3</v>
      </c>
      <c r="C23">
        <v>232</v>
      </c>
      <c r="D23">
        <v>2</v>
      </c>
      <c r="E23" t="s">
        <v>80</v>
      </c>
      <c r="F23" t="s">
        <v>29</v>
      </c>
      <c r="G23" t="s">
        <v>42</v>
      </c>
      <c r="H23" t="s">
        <v>48</v>
      </c>
      <c r="J23" t="s">
        <v>150</v>
      </c>
      <c r="K23">
        <v>0</v>
      </c>
      <c r="L23">
        <v>0</v>
      </c>
      <c r="M23">
        <v>1</v>
      </c>
      <c r="N23">
        <v>0</v>
      </c>
    </row>
    <row r="24" spans="1:14" x14ac:dyDescent="0.3">
      <c r="A24">
        <v>3</v>
      </c>
      <c r="B24">
        <v>1</v>
      </c>
      <c r="C24">
        <v>70</v>
      </c>
      <c r="D24">
        <v>2</v>
      </c>
      <c r="E24" t="s">
        <v>80</v>
      </c>
      <c r="F24" t="s">
        <v>29</v>
      </c>
      <c r="G24" t="s">
        <v>42</v>
      </c>
      <c r="H24" s="105" t="s">
        <v>53</v>
      </c>
      <c r="J24" t="s">
        <v>151</v>
      </c>
      <c r="K24">
        <v>0</v>
      </c>
      <c r="L24">
        <v>0</v>
      </c>
      <c r="M24">
        <v>1</v>
      </c>
      <c r="N24">
        <v>0</v>
      </c>
    </row>
    <row r="25" spans="1:14" x14ac:dyDescent="0.3">
      <c r="A25">
        <v>1</v>
      </c>
      <c r="B25">
        <v>1</v>
      </c>
      <c r="C25">
        <v>22</v>
      </c>
      <c r="D25">
        <v>2</v>
      </c>
      <c r="E25" t="s">
        <v>80</v>
      </c>
      <c r="F25" t="s">
        <v>29</v>
      </c>
      <c r="G25" t="s">
        <v>42</v>
      </c>
      <c r="H25" s="105" t="s">
        <v>69</v>
      </c>
      <c r="J25" t="s">
        <v>151</v>
      </c>
      <c r="K25">
        <v>0</v>
      </c>
      <c r="L25">
        <v>0</v>
      </c>
      <c r="M25">
        <v>1</v>
      </c>
      <c r="N25">
        <v>0</v>
      </c>
    </row>
    <row r="26" spans="1:14" x14ac:dyDescent="0.3">
      <c r="A26">
        <v>3</v>
      </c>
      <c r="B26">
        <v>1</v>
      </c>
      <c r="C26">
        <v>73</v>
      </c>
      <c r="D26">
        <v>2</v>
      </c>
      <c r="E26" t="s">
        <v>80</v>
      </c>
      <c r="F26" t="s">
        <v>29</v>
      </c>
      <c r="G26" t="s">
        <v>42</v>
      </c>
      <c r="H26" t="s">
        <v>52</v>
      </c>
      <c r="J26" t="s">
        <v>150</v>
      </c>
      <c r="K26">
        <v>0</v>
      </c>
      <c r="L26">
        <v>0</v>
      </c>
      <c r="M26">
        <v>1</v>
      </c>
      <c r="N26">
        <v>0</v>
      </c>
    </row>
    <row r="27" spans="1:14" x14ac:dyDescent="0.3">
      <c r="A27">
        <v>1</v>
      </c>
      <c r="B27">
        <v>2</v>
      </c>
      <c r="C27">
        <v>120</v>
      </c>
      <c r="D27">
        <v>2</v>
      </c>
      <c r="E27" t="s">
        <v>80</v>
      </c>
      <c r="F27" t="s">
        <v>29</v>
      </c>
      <c r="G27" t="s">
        <v>42</v>
      </c>
      <c r="H27" s="105" t="s">
        <v>68</v>
      </c>
      <c r="J27" t="s">
        <v>151</v>
      </c>
      <c r="K27">
        <v>0</v>
      </c>
      <c r="L27">
        <v>0</v>
      </c>
      <c r="M27">
        <v>1</v>
      </c>
      <c r="N27">
        <v>0</v>
      </c>
    </row>
    <row r="28" spans="1:14" x14ac:dyDescent="0.3">
      <c r="A28">
        <v>3</v>
      </c>
      <c r="B28">
        <v>2</v>
      </c>
      <c r="C28">
        <v>174</v>
      </c>
      <c r="D28">
        <v>2</v>
      </c>
      <c r="E28" t="s">
        <v>80</v>
      </c>
      <c r="F28" t="s">
        <v>29</v>
      </c>
      <c r="G28" t="s">
        <v>42</v>
      </c>
      <c r="H28" t="s">
        <v>51</v>
      </c>
      <c r="J28" t="s">
        <v>150</v>
      </c>
      <c r="K28">
        <v>0</v>
      </c>
      <c r="L28">
        <v>0</v>
      </c>
      <c r="M28">
        <v>1</v>
      </c>
      <c r="N28">
        <v>0</v>
      </c>
    </row>
    <row r="29" spans="1:14" x14ac:dyDescent="0.3">
      <c r="A29">
        <v>4</v>
      </c>
      <c r="B29">
        <v>2</v>
      </c>
      <c r="C29">
        <v>188</v>
      </c>
      <c r="D29">
        <v>2</v>
      </c>
      <c r="E29" t="s">
        <v>80</v>
      </c>
      <c r="F29" t="s">
        <v>29</v>
      </c>
      <c r="G29" t="s">
        <v>42</v>
      </c>
      <c r="H29" t="s">
        <v>66</v>
      </c>
      <c r="J29" t="s">
        <v>150</v>
      </c>
      <c r="K29">
        <v>0</v>
      </c>
      <c r="L29">
        <v>0</v>
      </c>
      <c r="M29">
        <v>1</v>
      </c>
      <c r="N29">
        <v>0</v>
      </c>
    </row>
    <row r="30" spans="1:14" x14ac:dyDescent="0.3">
      <c r="A30">
        <v>4</v>
      </c>
      <c r="B30">
        <v>1</v>
      </c>
      <c r="C30">
        <v>100</v>
      </c>
      <c r="D30">
        <v>1</v>
      </c>
      <c r="E30" t="s">
        <v>80</v>
      </c>
      <c r="F30" t="s">
        <v>29</v>
      </c>
      <c r="G30" t="s">
        <v>42</v>
      </c>
      <c r="H30" t="s">
        <v>66</v>
      </c>
      <c r="J30" t="s">
        <v>150</v>
      </c>
      <c r="K30">
        <v>0</v>
      </c>
      <c r="L30">
        <v>0</v>
      </c>
      <c r="M30">
        <v>1</v>
      </c>
      <c r="N30">
        <v>0</v>
      </c>
    </row>
    <row r="31" spans="1:14" x14ac:dyDescent="0.3">
      <c r="A31">
        <v>4</v>
      </c>
      <c r="B31">
        <v>4</v>
      </c>
      <c r="C31">
        <v>404</v>
      </c>
      <c r="D31">
        <v>2</v>
      </c>
      <c r="E31" t="s">
        <v>80</v>
      </c>
      <c r="F31" t="s">
        <v>29</v>
      </c>
      <c r="G31" t="s">
        <v>42</v>
      </c>
      <c r="I31" t="s">
        <v>127</v>
      </c>
      <c r="J31" t="s">
        <v>150</v>
      </c>
      <c r="K31">
        <v>0</v>
      </c>
      <c r="L31">
        <v>1</v>
      </c>
      <c r="M31">
        <v>1</v>
      </c>
      <c r="N31">
        <v>0</v>
      </c>
    </row>
    <row r="32" spans="1:14" x14ac:dyDescent="0.3">
      <c r="A32">
        <v>4</v>
      </c>
      <c r="B32">
        <v>4</v>
      </c>
      <c r="C32">
        <v>400</v>
      </c>
      <c r="D32">
        <v>2</v>
      </c>
      <c r="E32" t="s">
        <v>80</v>
      </c>
      <c r="F32" t="s">
        <v>29</v>
      </c>
      <c r="G32" t="s">
        <v>42</v>
      </c>
      <c r="I32" t="s">
        <v>127</v>
      </c>
      <c r="J32" t="s">
        <v>150</v>
      </c>
      <c r="K32">
        <v>0</v>
      </c>
      <c r="L32">
        <v>0</v>
      </c>
      <c r="M32">
        <v>1</v>
      </c>
      <c r="N32">
        <v>0</v>
      </c>
    </row>
    <row r="33" spans="1:14" x14ac:dyDescent="0.3">
      <c r="A33">
        <v>4</v>
      </c>
      <c r="B33">
        <v>3</v>
      </c>
      <c r="C33">
        <v>302</v>
      </c>
      <c r="D33">
        <v>2</v>
      </c>
      <c r="E33" t="s">
        <v>80</v>
      </c>
      <c r="F33" t="s">
        <v>29</v>
      </c>
      <c r="G33" t="s">
        <v>42</v>
      </c>
      <c r="I33" t="s">
        <v>127</v>
      </c>
      <c r="J33" t="s">
        <v>150</v>
      </c>
      <c r="K33">
        <v>0</v>
      </c>
      <c r="L33">
        <v>1</v>
      </c>
      <c r="M33">
        <v>1</v>
      </c>
      <c r="N33">
        <v>0</v>
      </c>
    </row>
    <row r="34" spans="1:14" x14ac:dyDescent="0.3">
      <c r="A34">
        <v>4</v>
      </c>
      <c r="B34">
        <v>3</v>
      </c>
      <c r="C34">
        <v>296</v>
      </c>
      <c r="D34">
        <v>2</v>
      </c>
      <c r="E34" t="s">
        <v>80</v>
      </c>
      <c r="F34" t="s">
        <v>29</v>
      </c>
      <c r="G34" t="s">
        <v>42</v>
      </c>
      <c r="I34" t="s">
        <v>127</v>
      </c>
      <c r="J34" t="s">
        <v>150</v>
      </c>
      <c r="K34">
        <v>0</v>
      </c>
      <c r="L34">
        <v>0</v>
      </c>
      <c r="M34">
        <v>1</v>
      </c>
      <c r="N34">
        <v>0</v>
      </c>
    </row>
    <row r="35" spans="1:14" x14ac:dyDescent="0.3">
      <c r="A35">
        <v>4</v>
      </c>
      <c r="B35">
        <v>2</v>
      </c>
      <c r="C35">
        <v>201</v>
      </c>
      <c r="D35">
        <v>2</v>
      </c>
      <c r="E35" t="s">
        <v>80</v>
      </c>
      <c r="F35" t="s">
        <v>29</v>
      </c>
      <c r="G35" t="s">
        <v>42</v>
      </c>
      <c r="I35" t="s">
        <v>127</v>
      </c>
      <c r="J35" t="s">
        <v>150</v>
      </c>
      <c r="K35">
        <v>0</v>
      </c>
      <c r="L35">
        <v>0</v>
      </c>
      <c r="M35">
        <v>1</v>
      </c>
      <c r="N35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91C-9F98-43DB-ACB6-50CAB8EEE401}">
  <dimension ref="A1:AI68"/>
  <sheetViews>
    <sheetView workbookViewId="0">
      <selection activeCell="A65" sqref="A6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6.33203125" bestFit="1" customWidth="1"/>
    <col min="4" max="4" width="6.6640625" bestFit="1" customWidth="1"/>
    <col min="5" max="5" width="10.77734375" bestFit="1" customWidth="1"/>
    <col min="6" max="6" width="6.6640625" bestFit="1" customWidth="1"/>
    <col min="7" max="8" width="10.77734375" bestFit="1" customWidth="1"/>
    <col min="9" max="33" width="10.44140625" bestFit="1" customWidth="1"/>
    <col min="34" max="34" width="7" bestFit="1" customWidth="1"/>
    <col min="35" max="35" width="10.77734375" bestFit="1" customWidth="1"/>
  </cols>
  <sheetData>
    <row r="1" spans="1:9" x14ac:dyDescent="0.3">
      <c r="A1" s="54" t="s">
        <v>143</v>
      </c>
      <c r="B1" t="s">
        <v>145</v>
      </c>
    </row>
    <row r="2" spans="1:9" x14ac:dyDescent="0.3">
      <c r="A2" s="55" t="s">
        <v>142</v>
      </c>
      <c r="B2">
        <v>3</v>
      </c>
    </row>
    <row r="3" spans="1:9" x14ac:dyDescent="0.3">
      <c r="A3" s="55" t="s">
        <v>80</v>
      </c>
      <c r="B3">
        <v>201</v>
      </c>
    </row>
    <row r="4" spans="1:9" x14ac:dyDescent="0.3">
      <c r="A4" s="55" t="s">
        <v>81</v>
      </c>
      <c r="B4">
        <v>200</v>
      </c>
    </row>
    <row r="5" spans="1:9" x14ac:dyDescent="0.3">
      <c r="A5" s="55" t="s">
        <v>144</v>
      </c>
      <c r="B5">
        <v>404</v>
      </c>
    </row>
    <row r="8" spans="1:9" x14ac:dyDescent="0.3">
      <c r="A8" s="54" t="s">
        <v>139</v>
      </c>
      <c r="B8" s="55">
        <v>0</v>
      </c>
    </row>
    <row r="10" spans="1:9" x14ac:dyDescent="0.3">
      <c r="A10" s="54" t="s">
        <v>146</v>
      </c>
      <c r="B10" s="54" t="s">
        <v>147</v>
      </c>
    </row>
    <row r="11" spans="1:9" x14ac:dyDescent="0.3">
      <c r="B11">
        <v>0</v>
      </c>
      <c r="D11" t="s">
        <v>148</v>
      </c>
      <c r="E11">
        <v>1</v>
      </c>
      <c r="F11" t="s">
        <v>149</v>
      </c>
      <c r="G11" t="s">
        <v>144</v>
      </c>
    </row>
    <row r="12" spans="1:9" x14ac:dyDescent="0.3">
      <c r="A12" s="54" t="s">
        <v>143</v>
      </c>
      <c r="B12">
        <v>0</v>
      </c>
      <c r="C12">
        <v>1</v>
      </c>
      <c r="E12">
        <v>1</v>
      </c>
    </row>
    <row r="13" spans="1:9" x14ac:dyDescent="0.3">
      <c r="A13" s="55" t="s">
        <v>29</v>
      </c>
      <c r="B13">
        <v>3</v>
      </c>
      <c r="C13">
        <v>38</v>
      </c>
      <c r="D13">
        <v>41</v>
      </c>
      <c r="E13">
        <v>4</v>
      </c>
      <c r="F13">
        <v>4</v>
      </c>
      <c r="G13">
        <v>45</v>
      </c>
    </row>
    <row r="14" spans="1:9" x14ac:dyDescent="0.3">
      <c r="A14" s="56" t="s">
        <v>80</v>
      </c>
      <c r="B14">
        <v>3</v>
      </c>
      <c r="C14">
        <v>19</v>
      </c>
      <c r="D14">
        <v>22</v>
      </c>
      <c r="E14">
        <v>2</v>
      </c>
      <c r="F14">
        <v>2</v>
      </c>
      <c r="G14">
        <v>24</v>
      </c>
      <c r="I14" t="s">
        <v>158</v>
      </c>
    </row>
    <row r="15" spans="1:9" x14ac:dyDescent="0.3">
      <c r="A15" s="56" t="s">
        <v>81</v>
      </c>
      <c r="C15">
        <v>19</v>
      </c>
      <c r="D15">
        <v>19</v>
      </c>
      <c r="E15">
        <v>2</v>
      </c>
      <c r="F15">
        <v>2</v>
      </c>
      <c r="G15">
        <v>21</v>
      </c>
    </row>
    <row r="16" spans="1:9" x14ac:dyDescent="0.3">
      <c r="A16" s="55" t="s">
        <v>0</v>
      </c>
      <c r="B16">
        <v>1</v>
      </c>
      <c r="C16">
        <v>49</v>
      </c>
      <c r="D16">
        <v>50</v>
      </c>
      <c r="E16">
        <v>50</v>
      </c>
      <c r="F16">
        <v>50</v>
      </c>
      <c r="G16">
        <v>100</v>
      </c>
    </row>
    <row r="17" spans="1:9" x14ac:dyDescent="0.3">
      <c r="A17" s="56" t="s">
        <v>80</v>
      </c>
      <c r="B17">
        <v>1</v>
      </c>
      <c r="C17">
        <v>24</v>
      </c>
      <c r="D17">
        <v>25</v>
      </c>
      <c r="E17">
        <v>25</v>
      </c>
      <c r="F17">
        <v>25</v>
      </c>
      <c r="G17">
        <v>50</v>
      </c>
      <c r="I17" t="s">
        <v>154</v>
      </c>
    </row>
    <row r="18" spans="1:9" x14ac:dyDescent="0.3">
      <c r="A18" s="56" t="s">
        <v>81</v>
      </c>
      <c r="C18">
        <v>25</v>
      </c>
      <c r="D18">
        <v>25</v>
      </c>
      <c r="E18">
        <v>25</v>
      </c>
      <c r="F18">
        <v>25</v>
      </c>
      <c r="G18">
        <v>50</v>
      </c>
    </row>
    <row r="19" spans="1:9" x14ac:dyDescent="0.3">
      <c r="A19" s="55" t="s">
        <v>144</v>
      </c>
      <c r="B19">
        <v>4</v>
      </c>
      <c r="C19">
        <v>87</v>
      </c>
      <c r="D19">
        <v>91</v>
      </c>
      <c r="E19">
        <v>54</v>
      </c>
      <c r="F19">
        <v>54</v>
      </c>
      <c r="G19">
        <v>145</v>
      </c>
    </row>
    <row r="23" spans="1:9" x14ac:dyDescent="0.3">
      <c r="A23" s="54" t="s">
        <v>146</v>
      </c>
      <c r="B23" s="54" t="s">
        <v>147</v>
      </c>
    </row>
    <row r="24" spans="1:9" x14ac:dyDescent="0.3">
      <c r="B24">
        <v>0</v>
      </c>
      <c r="D24" t="s">
        <v>148</v>
      </c>
      <c r="E24">
        <v>1</v>
      </c>
      <c r="G24" t="s">
        <v>149</v>
      </c>
      <c r="H24" t="s">
        <v>144</v>
      </c>
    </row>
    <row r="25" spans="1:9" x14ac:dyDescent="0.3">
      <c r="A25" s="54" t="s">
        <v>143</v>
      </c>
      <c r="B25">
        <v>0</v>
      </c>
      <c r="C25">
        <v>1</v>
      </c>
      <c r="E25">
        <v>0</v>
      </c>
      <c r="F25">
        <v>1</v>
      </c>
    </row>
    <row r="26" spans="1:9" x14ac:dyDescent="0.3">
      <c r="A26" s="55" t="s">
        <v>29</v>
      </c>
      <c r="B26">
        <v>41</v>
      </c>
      <c r="C26">
        <v>69</v>
      </c>
      <c r="D26">
        <v>110</v>
      </c>
      <c r="E26">
        <v>5</v>
      </c>
      <c r="F26">
        <v>31</v>
      </c>
      <c r="G26">
        <v>36</v>
      </c>
      <c r="H26">
        <v>146</v>
      </c>
    </row>
    <row r="27" spans="1:9" x14ac:dyDescent="0.3">
      <c r="A27" s="56" t="s">
        <v>80</v>
      </c>
      <c r="B27">
        <v>22</v>
      </c>
      <c r="C27">
        <v>34</v>
      </c>
      <c r="D27">
        <v>56</v>
      </c>
      <c r="E27">
        <v>3</v>
      </c>
      <c r="F27">
        <v>15</v>
      </c>
      <c r="G27">
        <v>18</v>
      </c>
      <c r="H27">
        <v>74</v>
      </c>
    </row>
    <row r="28" spans="1:9" x14ac:dyDescent="0.3">
      <c r="A28" s="56" t="s">
        <v>81</v>
      </c>
      <c r="B28">
        <v>19</v>
      </c>
      <c r="C28">
        <v>35</v>
      </c>
      <c r="D28">
        <v>54</v>
      </c>
      <c r="E28">
        <v>2</v>
      </c>
      <c r="F28">
        <v>16</v>
      </c>
      <c r="G28">
        <v>18</v>
      </c>
      <c r="H28">
        <v>72</v>
      </c>
    </row>
    <row r="29" spans="1:9" x14ac:dyDescent="0.3">
      <c r="A29" s="55" t="s">
        <v>0</v>
      </c>
      <c r="B29">
        <v>50</v>
      </c>
      <c r="D29">
        <v>50</v>
      </c>
      <c r="E29">
        <v>50</v>
      </c>
      <c r="F29">
        <v>28</v>
      </c>
      <c r="G29">
        <v>78</v>
      </c>
      <c r="H29">
        <v>128</v>
      </c>
    </row>
    <row r="30" spans="1:9" x14ac:dyDescent="0.3">
      <c r="A30" s="56" t="s">
        <v>80</v>
      </c>
      <c r="B30">
        <v>25</v>
      </c>
      <c r="D30">
        <v>25</v>
      </c>
      <c r="E30">
        <v>25</v>
      </c>
      <c r="F30">
        <v>14</v>
      </c>
      <c r="G30">
        <v>39</v>
      </c>
      <c r="H30">
        <v>64</v>
      </c>
    </row>
    <row r="31" spans="1:9" x14ac:dyDescent="0.3">
      <c r="A31" s="56" t="s">
        <v>81</v>
      </c>
      <c r="B31">
        <v>25</v>
      </c>
      <c r="D31">
        <v>25</v>
      </c>
      <c r="E31">
        <v>25</v>
      </c>
      <c r="F31">
        <v>14</v>
      </c>
      <c r="G31">
        <v>39</v>
      </c>
      <c r="H31">
        <v>64</v>
      </c>
    </row>
    <row r="32" spans="1:9" x14ac:dyDescent="0.3">
      <c r="A32" s="55" t="s">
        <v>144</v>
      </c>
      <c r="B32">
        <v>91</v>
      </c>
      <c r="C32">
        <v>69</v>
      </c>
      <c r="D32">
        <v>160</v>
      </c>
      <c r="E32">
        <v>55</v>
      </c>
      <c r="F32">
        <v>59</v>
      </c>
      <c r="G32">
        <v>114</v>
      </c>
      <c r="H32">
        <v>274</v>
      </c>
    </row>
    <row r="35" spans="1:35" x14ac:dyDescent="0.3">
      <c r="A35" s="54" t="s">
        <v>153</v>
      </c>
      <c r="B35" s="54" t="s">
        <v>147</v>
      </c>
    </row>
    <row r="36" spans="1:35" x14ac:dyDescent="0.3">
      <c r="A36" s="54" t="s">
        <v>143</v>
      </c>
      <c r="B36" t="s">
        <v>43</v>
      </c>
      <c r="C36" t="s">
        <v>58</v>
      </c>
      <c r="D36" t="s">
        <v>59</v>
      </c>
      <c r="E36" t="s">
        <v>74</v>
      </c>
      <c r="F36" t="s">
        <v>44</v>
      </c>
      <c r="G36" t="s">
        <v>57</v>
      </c>
      <c r="H36" t="s">
        <v>60</v>
      </c>
      <c r="I36" t="s">
        <v>73</v>
      </c>
      <c r="J36" t="s">
        <v>45</v>
      </c>
      <c r="K36" t="s">
        <v>56</v>
      </c>
      <c r="L36" t="s">
        <v>61</v>
      </c>
      <c r="M36" t="s">
        <v>72</v>
      </c>
      <c r="N36" t="s">
        <v>46</v>
      </c>
      <c r="O36" t="s">
        <v>55</v>
      </c>
      <c r="P36" t="s">
        <v>62</v>
      </c>
      <c r="Q36" t="s">
        <v>71</v>
      </c>
      <c r="R36" t="s">
        <v>47</v>
      </c>
      <c r="S36" t="s">
        <v>54</v>
      </c>
      <c r="T36" t="s">
        <v>63</v>
      </c>
      <c r="U36" t="s">
        <v>70</v>
      </c>
      <c r="V36" t="s">
        <v>48</v>
      </c>
      <c r="W36" t="s">
        <v>53</v>
      </c>
      <c r="X36" t="s">
        <v>64</v>
      </c>
      <c r="Y36" t="s">
        <v>69</v>
      </c>
      <c r="Z36" t="s">
        <v>49</v>
      </c>
      <c r="AA36" t="s">
        <v>52</v>
      </c>
      <c r="AB36" t="s">
        <v>65</v>
      </c>
      <c r="AC36" t="s">
        <v>68</v>
      </c>
      <c r="AD36" t="s">
        <v>50</v>
      </c>
      <c r="AE36" t="s">
        <v>51</v>
      </c>
      <c r="AF36" t="s">
        <v>66</v>
      </c>
      <c r="AG36" t="s">
        <v>67</v>
      </c>
      <c r="AH36" t="s">
        <v>152</v>
      </c>
      <c r="AI36" t="s">
        <v>144</v>
      </c>
    </row>
    <row r="37" spans="1:35" x14ac:dyDescent="0.3">
      <c r="A37" s="55" t="s">
        <v>29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I37">
        <v>128</v>
      </c>
    </row>
    <row r="38" spans="1:35" x14ac:dyDescent="0.3">
      <c r="A38" s="56" t="s">
        <v>80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2</v>
      </c>
      <c r="M38">
        <v>2</v>
      </c>
      <c r="N38">
        <v>2</v>
      </c>
      <c r="O38">
        <v>2</v>
      </c>
      <c r="P38">
        <v>2</v>
      </c>
      <c r="Q38">
        <v>3</v>
      </c>
      <c r="R38">
        <v>2</v>
      </c>
      <c r="S38">
        <v>2</v>
      </c>
      <c r="T38">
        <v>2</v>
      </c>
      <c r="U38">
        <v>2</v>
      </c>
      <c r="V38">
        <v>2</v>
      </c>
      <c r="W38">
        <v>3</v>
      </c>
      <c r="X38">
        <v>2</v>
      </c>
      <c r="Y38">
        <v>1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I38">
        <v>64</v>
      </c>
    </row>
    <row r="39" spans="1:35" x14ac:dyDescent="0.3">
      <c r="A39" s="56" t="s">
        <v>81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3</v>
      </c>
      <c r="L39">
        <v>2</v>
      </c>
      <c r="M39">
        <v>2</v>
      </c>
      <c r="N39">
        <v>2</v>
      </c>
      <c r="O39">
        <v>2</v>
      </c>
      <c r="P39">
        <v>2</v>
      </c>
      <c r="Q39">
        <v>1</v>
      </c>
      <c r="R39">
        <v>2</v>
      </c>
      <c r="S39">
        <v>2</v>
      </c>
      <c r="T39">
        <v>2</v>
      </c>
      <c r="U39">
        <v>2</v>
      </c>
      <c r="V39">
        <v>2</v>
      </c>
      <c r="W39">
        <v>1</v>
      </c>
      <c r="X39">
        <v>2</v>
      </c>
      <c r="Y39">
        <v>3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I39">
        <v>64</v>
      </c>
    </row>
    <row r="40" spans="1:35" x14ac:dyDescent="0.3">
      <c r="A40" s="55" t="s">
        <v>0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I40">
        <v>128</v>
      </c>
    </row>
    <row r="41" spans="1:35" x14ac:dyDescent="0.3">
      <c r="A41" s="56" t="s">
        <v>80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I41">
        <v>64</v>
      </c>
    </row>
    <row r="42" spans="1:35" x14ac:dyDescent="0.3">
      <c r="A42" s="56" t="s">
        <v>81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I42">
        <v>64</v>
      </c>
    </row>
    <row r="43" spans="1:35" x14ac:dyDescent="0.3">
      <c r="A43" s="55" t="s">
        <v>40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I43">
        <v>128</v>
      </c>
    </row>
    <row r="44" spans="1:35" x14ac:dyDescent="0.3">
      <c r="A44" s="56" t="s">
        <v>80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I44">
        <v>64</v>
      </c>
    </row>
    <row r="45" spans="1:35" x14ac:dyDescent="0.3">
      <c r="A45" s="56" t="s">
        <v>81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I45">
        <v>64</v>
      </c>
    </row>
    <row r="46" spans="1:35" x14ac:dyDescent="0.3">
      <c r="A46" s="55" t="s">
        <v>144</v>
      </c>
      <c r="B46">
        <v>12</v>
      </c>
      <c r="C46">
        <v>12</v>
      </c>
      <c r="D46">
        <v>12</v>
      </c>
      <c r="E46">
        <v>12</v>
      </c>
      <c r="F46">
        <v>12</v>
      </c>
      <c r="G46">
        <v>12</v>
      </c>
      <c r="H46">
        <v>12</v>
      </c>
      <c r="I46">
        <v>12</v>
      </c>
      <c r="J46">
        <v>12</v>
      </c>
      <c r="K46">
        <v>12</v>
      </c>
      <c r="L46">
        <v>12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12</v>
      </c>
      <c r="S46">
        <v>12</v>
      </c>
      <c r="T46">
        <v>12</v>
      </c>
      <c r="U46">
        <v>12</v>
      </c>
      <c r="V46">
        <v>12</v>
      </c>
      <c r="W46">
        <v>12</v>
      </c>
      <c r="X46">
        <v>12</v>
      </c>
      <c r="Y46">
        <v>12</v>
      </c>
      <c r="Z46">
        <v>12</v>
      </c>
      <c r="AA46">
        <v>12</v>
      </c>
      <c r="AB46">
        <v>12</v>
      </c>
      <c r="AC46">
        <v>12</v>
      </c>
      <c r="AD46">
        <v>12</v>
      </c>
      <c r="AE46">
        <v>12</v>
      </c>
      <c r="AF46">
        <v>12</v>
      </c>
      <c r="AG46">
        <v>12</v>
      </c>
      <c r="AI46">
        <v>384</v>
      </c>
    </row>
    <row r="50" spans="1:6" x14ac:dyDescent="0.3">
      <c r="A50" s="54" t="s">
        <v>156</v>
      </c>
      <c r="B50" s="54" t="s">
        <v>147</v>
      </c>
    </row>
    <row r="51" spans="1:6" x14ac:dyDescent="0.3">
      <c r="A51" s="54" t="s">
        <v>143</v>
      </c>
      <c r="B51">
        <v>1</v>
      </c>
      <c r="C51">
        <v>2</v>
      </c>
      <c r="D51">
        <v>3</v>
      </c>
      <c r="E51">
        <v>4</v>
      </c>
      <c r="F51" t="s">
        <v>144</v>
      </c>
    </row>
    <row r="52" spans="1:6" x14ac:dyDescent="0.3">
      <c r="A52" s="55">
        <v>1</v>
      </c>
      <c r="B52">
        <v>25</v>
      </c>
      <c r="C52">
        <v>25</v>
      </c>
      <c r="D52">
        <v>24</v>
      </c>
      <c r="E52">
        <v>24</v>
      </c>
      <c r="F52">
        <v>98</v>
      </c>
    </row>
    <row r="53" spans="1:6" x14ac:dyDescent="0.3">
      <c r="A53" s="55">
        <v>2</v>
      </c>
      <c r="B53">
        <v>25</v>
      </c>
      <c r="C53">
        <v>24</v>
      </c>
      <c r="D53">
        <v>24</v>
      </c>
      <c r="E53">
        <v>26</v>
      </c>
      <c r="F53">
        <v>99</v>
      </c>
    </row>
    <row r="54" spans="1:6" x14ac:dyDescent="0.3">
      <c r="A54" s="55">
        <v>3</v>
      </c>
      <c r="B54">
        <v>26</v>
      </c>
      <c r="C54">
        <v>26</v>
      </c>
      <c r="D54">
        <v>24</v>
      </c>
      <c r="E54">
        <v>24</v>
      </c>
      <c r="F54">
        <v>100</v>
      </c>
    </row>
    <row r="55" spans="1:6" x14ac:dyDescent="0.3">
      <c r="A55" s="55">
        <v>4</v>
      </c>
      <c r="B55">
        <v>25</v>
      </c>
      <c r="C55">
        <v>25</v>
      </c>
      <c r="D55">
        <v>27</v>
      </c>
      <c r="E55">
        <v>28</v>
      </c>
      <c r="F55">
        <v>105</v>
      </c>
    </row>
    <row r="56" spans="1:6" x14ac:dyDescent="0.3">
      <c r="A56" s="55" t="s">
        <v>144</v>
      </c>
      <c r="B56">
        <v>101</v>
      </c>
      <c r="C56">
        <v>100</v>
      </c>
      <c r="D56">
        <v>99</v>
      </c>
      <c r="E56">
        <v>102</v>
      </c>
      <c r="F56">
        <v>402</v>
      </c>
    </row>
    <row r="59" spans="1:6" x14ac:dyDescent="0.3">
      <c r="A59" s="54" t="s">
        <v>156</v>
      </c>
      <c r="B59" s="54" t="s">
        <v>147</v>
      </c>
    </row>
    <row r="60" spans="1:6" x14ac:dyDescent="0.3">
      <c r="B60">
        <v>1</v>
      </c>
      <c r="D60" t="s">
        <v>149</v>
      </c>
      <c r="E60" t="s">
        <v>144</v>
      </c>
    </row>
    <row r="61" spans="1:6" x14ac:dyDescent="0.3">
      <c r="A61" s="54" t="s">
        <v>143</v>
      </c>
      <c r="B61" t="s">
        <v>9</v>
      </c>
      <c r="C61" t="s">
        <v>10</v>
      </c>
    </row>
    <row r="62" spans="1:6" x14ac:dyDescent="0.3">
      <c r="A62" s="55" t="s">
        <v>80</v>
      </c>
      <c r="B62">
        <v>32</v>
      </c>
      <c r="C62">
        <v>32</v>
      </c>
      <c r="D62">
        <v>64</v>
      </c>
      <c r="E62">
        <v>64</v>
      </c>
    </row>
    <row r="63" spans="1:6" x14ac:dyDescent="0.3">
      <c r="A63" s="56" t="s">
        <v>29</v>
      </c>
      <c r="B63">
        <v>4</v>
      </c>
      <c r="C63">
        <v>9</v>
      </c>
      <c r="D63">
        <v>13</v>
      </c>
      <c r="E63">
        <v>13</v>
      </c>
    </row>
    <row r="64" spans="1:6" x14ac:dyDescent="0.3">
      <c r="A64" s="56" t="s">
        <v>0</v>
      </c>
      <c r="B64">
        <v>28</v>
      </c>
      <c r="C64">
        <v>23</v>
      </c>
      <c r="D64">
        <v>51</v>
      </c>
      <c r="E64">
        <v>51</v>
      </c>
    </row>
    <row r="65" spans="1:5" x14ac:dyDescent="0.3">
      <c r="A65" s="55" t="s">
        <v>81</v>
      </c>
      <c r="B65">
        <v>32</v>
      </c>
      <c r="C65">
        <v>32</v>
      </c>
      <c r="D65">
        <v>64</v>
      </c>
      <c r="E65">
        <v>64</v>
      </c>
    </row>
    <row r="66" spans="1:5" x14ac:dyDescent="0.3">
      <c r="A66" s="56" t="s">
        <v>29</v>
      </c>
      <c r="B66">
        <v>8</v>
      </c>
      <c r="C66">
        <v>11</v>
      </c>
      <c r="D66">
        <v>19</v>
      </c>
      <c r="E66">
        <v>19</v>
      </c>
    </row>
    <row r="67" spans="1:5" x14ac:dyDescent="0.3">
      <c r="A67" s="56" t="s">
        <v>0</v>
      </c>
      <c r="B67">
        <v>24</v>
      </c>
      <c r="C67">
        <v>21</v>
      </c>
      <c r="D67">
        <v>45</v>
      </c>
      <c r="E67">
        <v>45</v>
      </c>
    </row>
    <row r="68" spans="1:5" x14ac:dyDescent="0.3">
      <c r="A68" s="55" t="s">
        <v>144</v>
      </c>
      <c r="B68">
        <v>64</v>
      </c>
      <c r="C68">
        <v>64</v>
      </c>
      <c r="D68">
        <v>128</v>
      </c>
      <c r="E68">
        <v>128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7BC0-9372-455B-8459-41E5DB5E692E}">
  <dimension ref="A1:R422"/>
  <sheetViews>
    <sheetView zoomScale="80" zoomScaleNormal="80" workbookViewId="0">
      <selection activeCell="J2" sqref="J2:J406"/>
    </sheetView>
  </sheetViews>
  <sheetFormatPr defaultRowHeight="14.4" x14ac:dyDescent="0.3"/>
  <cols>
    <col min="8" max="8" width="10.21875" bestFit="1" customWidth="1"/>
    <col min="11" max="11" width="24.6640625" bestFit="1" customWidth="1"/>
    <col min="12" max="12" width="24.5546875" bestFit="1" customWidth="1"/>
    <col min="13" max="13" width="22.109375" bestFit="1" customWidth="1"/>
    <col min="14" max="14" width="17.44140625" bestFit="1" customWidth="1"/>
    <col min="15" max="15" width="18.88671875" bestFit="1" customWidth="1"/>
    <col min="17" max="17" width="30.44140625" bestFit="1" customWidth="1"/>
    <col min="18" max="18" width="15.5546875" bestFit="1" customWidth="1"/>
    <col min="19" max="19" width="3" bestFit="1" customWidth="1"/>
    <col min="20" max="20" width="6.6640625" bestFit="1" customWidth="1"/>
    <col min="21" max="21" width="4" bestFit="1" customWidth="1"/>
    <col min="22" max="22" width="3" bestFit="1" customWidth="1"/>
    <col min="23" max="23" width="6.6640625" bestFit="1" customWidth="1"/>
    <col min="24" max="24" width="10.77734375" bestFit="1" customWidth="1"/>
    <col min="25" max="25" width="30.44140625" bestFit="1" customWidth="1"/>
    <col min="26" max="26" width="15.5546875" bestFit="1" customWidth="1"/>
    <col min="27" max="27" width="3" bestFit="1" customWidth="1"/>
    <col min="28" max="28" width="6.6640625" bestFit="1" customWidth="1"/>
    <col min="29" max="29" width="4" bestFit="1" customWidth="1"/>
    <col min="30" max="30" width="3" bestFit="1" customWidth="1"/>
    <col min="31" max="31" width="6.6640625" bestFit="1" customWidth="1"/>
    <col min="32" max="32" width="10.77734375" bestFit="1" customWidth="1"/>
  </cols>
  <sheetData>
    <row r="1" spans="1:18" x14ac:dyDescent="0.3">
      <c r="A1" s="48" t="s">
        <v>83</v>
      </c>
      <c r="B1" s="59" t="s">
        <v>157</v>
      </c>
      <c r="C1" s="60" t="s">
        <v>136</v>
      </c>
      <c r="D1" s="61" t="s">
        <v>75</v>
      </c>
      <c r="E1" s="61" t="s">
        <v>76</v>
      </c>
      <c r="F1" s="61" t="s">
        <v>77</v>
      </c>
      <c r="G1" s="48" t="s">
        <v>78</v>
      </c>
      <c r="H1" s="48" t="s">
        <v>79</v>
      </c>
      <c r="I1" s="48" t="s">
        <v>128</v>
      </c>
      <c r="J1" s="48" t="s">
        <v>140</v>
      </c>
      <c r="K1" s="48" t="s">
        <v>184</v>
      </c>
      <c r="L1" s="48" t="s">
        <v>137</v>
      </c>
      <c r="M1" s="62" t="s">
        <v>138</v>
      </c>
      <c r="N1" s="62" t="s">
        <v>139</v>
      </c>
      <c r="O1" s="48" t="s">
        <v>141</v>
      </c>
    </row>
    <row r="2" spans="1:18" x14ac:dyDescent="0.3">
      <c r="A2" s="58">
        <v>1</v>
      </c>
      <c r="B2" s="58">
        <v>1</v>
      </c>
      <c r="C2" s="63">
        <v>1</v>
      </c>
      <c r="D2" s="64">
        <v>2</v>
      </c>
      <c r="E2" s="64" t="s">
        <v>80</v>
      </c>
      <c r="F2" s="64" t="s">
        <v>29</v>
      </c>
      <c r="G2" s="52" t="s">
        <v>42</v>
      </c>
      <c r="H2" s="52"/>
      <c r="I2" s="57" t="s">
        <v>127</v>
      </c>
      <c r="J2" s="65">
        <v>0</v>
      </c>
      <c r="K2" s="65"/>
      <c r="L2" s="57">
        <f>IF(Table1214[[#This Row],[modality]]=E1,1,0)</f>
        <v>0</v>
      </c>
      <c r="M2" s="66">
        <f>IF(Table1214[[#This Row],[stimulus]]=H3, 1, 0)</f>
        <v>0</v>
      </c>
      <c r="N2" s="66">
        <f>IF(F1="T",1,0)</f>
        <v>0</v>
      </c>
      <c r="O2" s="66">
        <f>IF(F1="F",1,0)</f>
        <v>0</v>
      </c>
    </row>
    <row r="3" spans="1:18" x14ac:dyDescent="0.3">
      <c r="A3" s="58">
        <v>1</v>
      </c>
      <c r="B3" s="58">
        <v>1</v>
      </c>
      <c r="C3" s="63">
        <v>2</v>
      </c>
      <c r="D3" s="67">
        <v>2</v>
      </c>
      <c r="E3" s="67" t="s">
        <v>80</v>
      </c>
      <c r="F3" s="68" t="s">
        <v>0</v>
      </c>
      <c r="G3" s="47" t="s">
        <v>41</v>
      </c>
      <c r="H3" s="47" t="s">
        <v>43</v>
      </c>
      <c r="I3" s="66"/>
      <c r="J3" s="66">
        <v>1</v>
      </c>
      <c r="K3" s="66" t="s">
        <v>9</v>
      </c>
      <c r="L3" s="57">
        <f>IF(Table1214[[#This Row],[modality]]=E2,1,0)</f>
        <v>1</v>
      </c>
      <c r="M3" s="66">
        <f>IF(Table1214[[#This Row],[stimulus]]=H4, 1, 0)</f>
        <v>1</v>
      </c>
      <c r="N3" s="66">
        <f t="shared" ref="N3:N66" si="0">IF(F2="T",1,0)</f>
        <v>0</v>
      </c>
      <c r="O3" s="66">
        <f t="shared" ref="O3:O66" si="1">IF(F2="F",1,0)</f>
        <v>1</v>
      </c>
    </row>
    <row r="4" spans="1:18" x14ac:dyDescent="0.3">
      <c r="A4" s="58">
        <v>1</v>
      </c>
      <c r="B4" s="58">
        <v>1</v>
      </c>
      <c r="C4" s="63">
        <v>3</v>
      </c>
      <c r="D4" s="69">
        <v>2</v>
      </c>
      <c r="E4" s="69" t="s">
        <v>80</v>
      </c>
      <c r="F4" s="70" t="s">
        <v>40</v>
      </c>
      <c r="G4" s="71" t="s">
        <v>9</v>
      </c>
      <c r="H4" s="71" t="s">
        <v>43</v>
      </c>
      <c r="I4" s="66"/>
      <c r="J4" s="65">
        <v>0</v>
      </c>
      <c r="K4" s="66"/>
      <c r="L4" s="57">
        <f>IF(Table1214[[#This Row],[modality]]=E3,1,0)</f>
        <v>1</v>
      </c>
      <c r="M4" s="66">
        <f>IF(Table1214[[#This Row],[stimulus]]=H5, 1, 0)</f>
        <v>0</v>
      </c>
      <c r="N4" s="66">
        <f t="shared" si="0"/>
        <v>0</v>
      </c>
      <c r="O4" s="66">
        <f t="shared" si="1"/>
        <v>0</v>
      </c>
    </row>
    <row r="5" spans="1:18" x14ac:dyDescent="0.3">
      <c r="A5" s="58">
        <v>1</v>
      </c>
      <c r="B5" s="58">
        <v>1</v>
      </c>
      <c r="C5" s="63">
        <v>4</v>
      </c>
      <c r="D5" s="72">
        <v>1</v>
      </c>
      <c r="E5" s="73" t="s">
        <v>81</v>
      </c>
      <c r="F5" s="74" t="s">
        <v>29</v>
      </c>
      <c r="G5" s="47" t="s">
        <v>42</v>
      </c>
      <c r="H5" s="47" t="s">
        <v>74</v>
      </c>
      <c r="I5" s="66"/>
      <c r="J5" s="65">
        <v>0</v>
      </c>
      <c r="K5" s="66"/>
      <c r="L5" s="57">
        <f>IF(Table1214[[#This Row],[modality]]=E4,1,0)</f>
        <v>0</v>
      </c>
      <c r="M5" s="66">
        <f>IF(Table1214[[#This Row],[stimulus]]=H6, 1, 0)</f>
        <v>0</v>
      </c>
      <c r="N5" s="66">
        <f t="shared" si="0"/>
        <v>1</v>
      </c>
      <c r="O5" s="66">
        <f t="shared" si="1"/>
        <v>0</v>
      </c>
    </row>
    <row r="6" spans="1:18" x14ac:dyDescent="0.3">
      <c r="A6" s="58">
        <v>1</v>
      </c>
      <c r="B6" s="58">
        <v>1</v>
      </c>
      <c r="C6" s="63">
        <v>5</v>
      </c>
      <c r="D6" s="69">
        <v>2</v>
      </c>
      <c r="E6" s="69" t="s">
        <v>80</v>
      </c>
      <c r="F6" s="70" t="s">
        <v>0</v>
      </c>
      <c r="G6" s="71" t="s">
        <v>41</v>
      </c>
      <c r="H6" s="71" t="s">
        <v>44</v>
      </c>
      <c r="I6" s="66"/>
      <c r="J6" s="66">
        <v>1</v>
      </c>
      <c r="K6" s="66" t="s">
        <v>10</v>
      </c>
      <c r="L6" s="57">
        <f>IF(Table1214[[#This Row],[modality]]=E5,1,0)</f>
        <v>0</v>
      </c>
      <c r="M6" s="66">
        <f>IF(Table1214[[#This Row],[stimulus]]=H7, 1, 0)</f>
        <v>1</v>
      </c>
      <c r="N6" s="66">
        <f t="shared" si="0"/>
        <v>0</v>
      </c>
      <c r="O6" s="66">
        <f t="shared" si="1"/>
        <v>1</v>
      </c>
    </row>
    <row r="7" spans="1:18" x14ac:dyDescent="0.3">
      <c r="A7" s="58">
        <v>1</v>
      </c>
      <c r="B7" s="58">
        <v>1</v>
      </c>
      <c r="C7" s="63">
        <v>6</v>
      </c>
      <c r="D7" s="67">
        <v>2</v>
      </c>
      <c r="E7" s="67" t="s">
        <v>80</v>
      </c>
      <c r="F7" s="68" t="s">
        <v>40</v>
      </c>
      <c r="G7" s="47" t="s">
        <v>9</v>
      </c>
      <c r="H7" s="47" t="s">
        <v>44</v>
      </c>
      <c r="I7" s="66"/>
      <c r="J7" s="65">
        <v>0</v>
      </c>
      <c r="K7" s="66"/>
      <c r="L7" s="57">
        <f>IF(Table1214[[#This Row],[modality]]=E6,1,0)</f>
        <v>1</v>
      </c>
      <c r="M7" s="66">
        <f>IF(Table1214[[#This Row],[stimulus]]=H8, 1, 0)</f>
        <v>0</v>
      </c>
      <c r="N7" s="66">
        <f t="shared" si="0"/>
        <v>0</v>
      </c>
      <c r="O7" s="66">
        <f t="shared" si="1"/>
        <v>0</v>
      </c>
    </row>
    <row r="8" spans="1:18" x14ac:dyDescent="0.3">
      <c r="A8" s="58">
        <v>1</v>
      </c>
      <c r="B8" s="58">
        <v>1</v>
      </c>
      <c r="C8" s="63">
        <v>7</v>
      </c>
      <c r="D8" s="72">
        <v>1</v>
      </c>
      <c r="E8" s="72" t="s">
        <v>81</v>
      </c>
      <c r="F8" s="74" t="s">
        <v>29</v>
      </c>
      <c r="G8" s="71" t="s">
        <v>42</v>
      </c>
      <c r="H8" s="71" t="s">
        <v>73</v>
      </c>
      <c r="I8" s="66"/>
      <c r="J8" s="66">
        <v>1</v>
      </c>
      <c r="K8" s="66" t="s">
        <v>10</v>
      </c>
      <c r="L8" s="57">
        <f>IF(Table1214[[#This Row],[modality]]=E7,1,0)</f>
        <v>0</v>
      </c>
      <c r="M8" s="66">
        <f>IF(Table1214[[#This Row],[stimulus]]=H9, 1, 0)</f>
        <v>0</v>
      </c>
      <c r="N8" s="66">
        <f t="shared" si="0"/>
        <v>1</v>
      </c>
      <c r="O8" s="66">
        <f t="shared" si="1"/>
        <v>0</v>
      </c>
    </row>
    <row r="9" spans="1:18" x14ac:dyDescent="0.3">
      <c r="A9" s="58">
        <v>1</v>
      </c>
      <c r="B9" s="58">
        <v>1</v>
      </c>
      <c r="C9" s="63">
        <v>8</v>
      </c>
      <c r="D9" s="67">
        <v>2</v>
      </c>
      <c r="E9" s="67" t="s">
        <v>80</v>
      </c>
      <c r="F9" s="68" t="s">
        <v>0</v>
      </c>
      <c r="G9" s="47" t="s">
        <v>41</v>
      </c>
      <c r="H9" s="47" t="s">
        <v>45</v>
      </c>
      <c r="I9" s="66"/>
      <c r="J9" s="65">
        <v>0</v>
      </c>
      <c r="K9" s="66"/>
      <c r="L9" s="57">
        <f>IF(Table1214[[#This Row],[modality]]=E8,1,0)</f>
        <v>0</v>
      </c>
      <c r="M9" s="66">
        <f>IF(Table1214[[#This Row],[stimulus]]=H10, 1, 0)</f>
        <v>1</v>
      </c>
      <c r="N9" s="66">
        <f t="shared" si="0"/>
        <v>0</v>
      </c>
      <c r="O9" s="66">
        <f t="shared" si="1"/>
        <v>1</v>
      </c>
    </row>
    <row r="10" spans="1:18" x14ac:dyDescent="0.3">
      <c r="A10" s="58">
        <v>1</v>
      </c>
      <c r="B10" s="58">
        <v>1</v>
      </c>
      <c r="C10" s="63">
        <v>9</v>
      </c>
      <c r="D10" s="69">
        <v>1</v>
      </c>
      <c r="E10" s="69" t="s">
        <v>81</v>
      </c>
      <c r="F10" s="70" t="s">
        <v>40</v>
      </c>
      <c r="G10" s="71" t="s">
        <v>10</v>
      </c>
      <c r="H10" s="71" t="s">
        <v>45</v>
      </c>
      <c r="I10" s="66"/>
      <c r="J10" s="65">
        <v>0</v>
      </c>
      <c r="K10" s="66"/>
      <c r="L10" s="57">
        <f>IF(Table1214[[#This Row],[modality]]=E9,1,0)</f>
        <v>0</v>
      </c>
      <c r="M10" s="66">
        <f>IF(Table1214[[#This Row],[stimulus]]=H11, 1, 0)</f>
        <v>0</v>
      </c>
      <c r="N10" s="66">
        <f t="shared" si="0"/>
        <v>0</v>
      </c>
      <c r="O10" s="66">
        <f t="shared" si="1"/>
        <v>0</v>
      </c>
    </row>
    <row r="11" spans="1:18" x14ac:dyDescent="0.3">
      <c r="A11" s="59">
        <v>1</v>
      </c>
      <c r="B11" s="58">
        <v>1</v>
      </c>
      <c r="C11" s="63">
        <v>10</v>
      </c>
      <c r="D11" s="72">
        <v>2</v>
      </c>
      <c r="E11" s="73" t="s">
        <v>80</v>
      </c>
      <c r="F11" s="74" t="s">
        <v>29</v>
      </c>
      <c r="G11" s="47" t="s">
        <v>42</v>
      </c>
      <c r="H11" s="47" t="s">
        <v>70</v>
      </c>
      <c r="I11" s="66"/>
      <c r="J11" s="65">
        <v>0</v>
      </c>
      <c r="K11" s="66"/>
      <c r="L11" s="57">
        <f>IF(Table1214[[#This Row],[modality]]=E10,1,0)</f>
        <v>0</v>
      </c>
      <c r="M11" s="66">
        <f>IF(Table1214[[#This Row],[stimulus]]=H12, 1, 0)</f>
        <v>0</v>
      </c>
      <c r="N11" s="66">
        <f t="shared" si="0"/>
        <v>1</v>
      </c>
      <c r="O11" s="66">
        <f t="shared" si="1"/>
        <v>0</v>
      </c>
    </row>
    <row r="12" spans="1:18" x14ac:dyDescent="0.3">
      <c r="A12" s="58">
        <v>1</v>
      </c>
      <c r="B12" s="58">
        <v>1</v>
      </c>
      <c r="C12" s="63">
        <v>11</v>
      </c>
      <c r="D12" s="67">
        <v>1</v>
      </c>
      <c r="E12" s="67" t="s">
        <v>81</v>
      </c>
      <c r="F12" s="68" t="s">
        <v>0</v>
      </c>
      <c r="G12" s="47" t="s">
        <v>41</v>
      </c>
      <c r="H12" s="47" t="s">
        <v>46</v>
      </c>
      <c r="I12" s="66"/>
      <c r="J12" s="66">
        <v>1</v>
      </c>
      <c r="K12" s="66" t="s">
        <v>10</v>
      </c>
      <c r="L12" s="57">
        <f>IF(Table1214[[#This Row],[modality]]=E11,1,0)</f>
        <v>0</v>
      </c>
      <c r="M12" s="66">
        <f>IF(Table1214[[#This Row],[stimulus]]=H13, 1, 0)</f>
        <v>1</v>
      </c>
      <c r="N12" s="66">
        <f t="shared" si="0"/>
        <v>0</v>
      </c>
      <c r="O12" s="66">
        <f t="shared" si="1"/>
        <v>1</v>
      </c>
    </row>
    <row r="13" spans="1:18" x14ac:dyDescent="0.3">
      <c r="A13" s="58">
        <v>1</v>
      </c>
      <c r="B13" s="58">
        <v>1</v>
      </c>
      <c r="C13" s="63">
        <v>12</v>
      </c>
      <c r="D13" s="69">
        <v>2</v>
      </c>
      <c r="E13" s="69" t="s">
        <v>80</v>
      </c>
      <c r="F13" s="70" t="s">
        <v>40</v>
      </c>
      <c r="G13" s="71" t="s">
        <v>10</v>
      </c>
      <c r="H13" s="71" t="s">
        <v>46</v>
      </c>
      <c r="I13" s="66"/>
      <c r="J13" s="65">
        <v>0</v>
      </c>
      <c r="K13" s="66"/>
      <c r="L13" s="57">
        <f>IF(Table1214[[#This Row],[modality]]=E12,1,0)</f>
        <v>0</v>
      </c>
      <c r="M13" s="66">
        <f>IF(Table1214[[#This Row],[stimulus]]=H14, 1, 0)</f>
        <v>0</v>
      </c>
      <c r="N13" s="66">
        <f t="shared" si="0"/>
        <v>0</v>
      </c>
      <c r="O13" s="66">
        <f t="shared" si="1"/>
        <v>0</v>
      </c>
    </row>
    <row r="14" spans="1:18" x14ac:dyDescent="0.3">
      <c r="A14" s="58">
        <v>1</v>
      </c>
      <c r="B14" s="58">
        <v>1</v>
      </c>
      <c r="C14" s="63">
        <v>13</v>
      </c>
      <c r="D14" s="72">
        <v>2</v>
      </c>
      <c r="E14" s="73" t="s">
        <v>80</v>
      </c>
      <c r="F14" s="74" t="s">
        <v>29</v>
      </c>
      <c r="G14" s="47" t="s">
        <v>42</v>
      </c>
      <c r="H14" s="47" t="s">
        <v>72</v>
      </c>
      <c r="I14" s="66"/>
      <c r="J14" s="65">
        <v>0</v>
      </c>
      <c r="K14" s="66"/>
      <c r="L14" s="57">
        <f>IF(Table1214[[#This Row],[modality]]=E13,1,0)</f>
        <v>1</v>
      </c>
      <c r="M14" s="66">
        <f>IF(Table1214[[#This Row],[stimulus]]=H15, 1, 0)</f>
        <v>0</v>
      </c>
      <c r="N14" s="66">
        <f t="shared" si="0"/>
        <v>1</v>
      </c>
      <c r="O14" s="66">
        <f t="shared" si="1"/>
        <v>0</v>
      </c>
    </row>
    <row r="15" spans="1:18" x14ac:dyDescent="0.3">
      <c r="A15" s="59">
        <v>1</v>
      </c>
      <c r="B15" s="58">
        <v>1</v>
      </c>
      <c r="C15" s="63">
        <v>14</v>
      </c>
      <c r="D15" s="69">
        <v>2</v>
      </c>
      <c r="E15" s="69" t="s">
        <v>80</v>
      </c>
      <c r="F15" s="70" t="s">
        <v>0</v>
      </c>
      <c r="G15" s="71" t="s">
        <v>41</v>
      </c>
      <c r="H15" s="71" t="s">
        <v>47</v>
      </c>
      <c r="I15" s="66"/>
      <c r="J15" s="65">
        <v>0</v>
      </c>
      <c r="K15" s="66"/>
      <c r="L15" s="57">
        <f>IF(Table1214[[#This Row],[modality]]=E14,1,0)</f>
        <v>1</v>
      </c>
      <c r="M15" s="66">
        <f>IF(Table1214[[#This Row],[stimulus]]=H16, 1, 0)</f>
        <v>1</v>
      </c>
      <c r="N15" s="66">
        <f t="shared" si="0"/>
        <v>0</v>
      </c>
      <c r="O15" s="66">
        <f t="shared" si="1"/>
        <v>1</v>
      </c>
    </row>
    <row r="16" spans="1:18" x14ac:dyDescent="0.3">
      <c r="A16" s="59">
        <v>1</v>
      </c>
      <c r="B16" s="58">
        <v>1</v>
      </c>
      <c r="C16" s="63">
        <v>15</v>
      </c>
      <c r="D16" s="67">
        <v>1</v>
      </c>
      <c r="E16" s="67" t="s">
        <v>81</v>
      </c>
      <c r="F16" s="68" t="s">
        <v>40</v>
      </c>
      <c r="G16" s="47" t="s">
        <v>10</v>
      </c>
      <c r="H16" s="47" t="s">
        <v>47</v>
      </c>
      <c r="I16" s="66"/>
      <c r="J16" s="65">
        <v>0</v>
      </c>
      <c r="K16" s="66"/>
      <c r="L16" s="57">
        <f>IF(Table1214[[#This Row],[modality]]=E15,1,0)</f>
        <v>0</v>
      </c>
      <c r="M16" s="66">
        <f>IF(Table1214[[#This Row],[stimulus]]=H17, 1, 0)</f>
        <v>0</v>
      </c>
      <c r="N16" s="66">
        <f t="shared" si="0"/>
        <v>0</v>
      </c>
      <c r="O16" s="66">
        <f t="shared" si="1"/>
        <v>0</v>
      </c>
      <c r="R16" t="s">
        <v>19</v>
      </c>
    </row>
    <row r="17" spans="1:15" x14ac:dyDescent="0.3">
      <c r="A17" s="59">
        <v>1</v>
      </c>
      <c r="B17" s="58">
        <v>1</v>
      </c>
      <c r="C17" s="63">
        <v>16</v>
      </c>
      <c r="D17" s="72">
        <v>2</v>
      </c>
      <c r="E17" s="72" t="s">
        <v>80</v>
      </c>
      <c r="F17" s="74" t="s">
        <v>29</v>
      </c>
      <c r="G17" s="71" t="s">
        <v>42</v>
      </c>
      <c r="H17" s="71" t="s">
        <v>71</v>
      </c>
      <c r="I17" s="66"/>
      <c r="J17" s="65">
        <v>0</v>
      </c>
      <c r="K17" s="66"/>
      <c r="L17" s="57">
        <f>IF(Table1214[[#This Row],[modality]]=E16,1,0)</f>
        <v>0</v>
      </c>
      <c r="M17" s="66">
        <f>IF(Table1214[[#This Row],[stimulus]]=H18, 1, 0)</f>
        <v>0</v>
      </c>
      <c r="N17" s="66">
        <f t="shared" si="0"/>
        <v>1</v>
      </c>
      <c r="O17" s="66">
        <f t="shared" si="1"/>
        <v>0</v>
      </c>
    </row>
    <row r="18" spans="1:15" x14ac:dyDescent="0.3">
      <c r="A18" s="59">
        <v>1</v>
      </c>
      <c r="B18" s="58">
        <v>1</v>
      </c>
      <c r="C18" s="63">
        <v>17</v>
      </c>
      <c r="D18" s="67">
        <v>1</v>
      </c>
      <c r="E18" s="67" t="s">
        <v>81</v>
      </c>
      <c r="F18" s="68" t="s">
        <v>0</v>
      </c>
      <c r="G18" s="47" t="s">
        <v>41</v>
      </c>
      <c r="H18" s="47" t="s">
        <v>48</v>
      </c>
      <c r="I18" s="66"/>
      <c r="J18" s="66">
        <v>1</v>
      </c>
      <c r="K18" s="66" t="s">
        <v>10</v>
      </c>
      <c r="L18" s="57">
        <f>IF(Table1214[[#This Row],[modality]]=E17,1,0)</f>
        <v>0</v>
      </c>
      <c r="M18" s="66">
        <f>IF(Table1214[[#This Row],[stimulus]]=H19, 1, 0)</f>
        <v>1</v>
      </c>
      <c r="N18" s="66">
        <f t="shared" si="0"/>
        <v>0</v>
      </c>
      <c r="O18" s="66">
        <f t="shared" si="1"/>
        <v>1</v>
      </c>
    </row>
    <row r="19" spans="1:15" x14ac:dyDescent="0.3">
      <c r="A19" s="59">
        <v>1</v>
      </c>
      <c r="B19" s="58">
        <v>1</v>
      </c>
      <c r="C19" s="63">
        <v>18</v>
      </c>
      <c r="D19" s="69">
        <v>1</v>
      </c>
      <c r="E19" s="69" t="s">
        <v>81</v>
      </c>
      <c r="F19" s="70" t="s">
        <v>40</v>
      </c>
      <c r="G19" s="71" t="s">
        <v>9</v>
      </c>
      <c r="H19" s="71" t="s">
        <v>48</v>
      </c>
      <c r="I19" s="66"/>
      <c r="J19" s="65">
        <v>0</v>
      </c>
      <c r="K19" s="66"/>
      <c r="L19" s="57">
        <f>IF(Table1214[[#This Row],[modality]]=E18,1,0)</f>
        <v>1</v>
      </c>
      <c r="M19" s="66">
        <f>IF(Table1214[[#This Row],[stimulus]]=H20, 1, 0)</f>
        <v>0</v>
      </c>
      <c r="N19" s="66">
        <f t="shared" si="0"/>
        <v>0</v>
      </c>
      <c r="O19" s="66">
        <f t="shared" si="1"/>
        <v>0</v>
      </c>
    </row>
    <row r="20" spans="1:15" x14ac:dyDescent="0.3">
      <c r="A20" s="58">
        <v>1</v>
      </c>
      <c r="B20" s="58">
        <v>1</v>
      </c>
      <c r="C20" s="63">
        <v>19</v>
      </c>
      <c r="D20" s="72">
        <v>1</v>
      </c>
      <c r="E20" s="73" t="s">
        <v>81</v>
      </c>
      <c r="F20" s="74" t="s">
        <v>29</v>
      </c>
      <c r="G20" s="47" t="s">
        <v>42</v>
      </c>
      <c r="H20" s="47" t="s">
        <v>68</v>
      </c>
      <c r="I20" s="75"/>
      <c r="J20" s="65">
        <v>0</v>
      </c>
      <c r="K20" s="107"/>
      <c r="L20" s="57">
        <f>IF(Table1214[[#This Row],[modality]]=E19,1,0)</f>
        <v>1</v>
      </c>
      <c r="M20" s="66">
        <f>IF(Table1214[[#This Row],[stimulus]]=H21, 1, 0)</f>
        <v>0</v>
      </c>
      <c r="N20" s="66">
        <f t="shared" si="0"/>
        <v>1</v>
      </c>
      <c r="O20" s="66">
        <f t="shared" si="1"/>
        <v>0</v>
      </c>
    </row>
    <row r="21" spans="1:15" x14ac:dyDescent="0.3">
      <c r="A21" s="59">
        <v>1</v>
      </c>
      <c r="B21" s="58">
        <v>1</v>
      </c>
      <c r="C21" s="63">
        <v>20</v>
      </c>
      <c r="D21" s="57">
        <v>1</v>
      </c>
      <c r="E21" s="57" t="s">
        <v>81</v>
      </c>
      <c r="F21" s="65" t="s">
        <v>0</v>
      </c>
      <c r="G21" s="58" t="s">
        <v>41</v>
      </c>
      <c r="H21" s="58" t="s">
        <v>49</v>
      </c>
      <c r="I21" s="66"/>
      <c r="J21" s="66">
        <v>1</v>
      </c>
      <c r="K21" s="66" t="s">
        <v>9</v>
      </c>
      <c r="L21" s="57">
        <f>IF(Table1214[[#This Row],[modality]]=E20,1,0)</f>
        <v>1</v>
      </c>
      <c r="M21" s="66">
        <f>IF(Table1214[[#This Row],[stimulus]]=H22, 1, 0)</f>
        <v>1</v>
      </c>
      <c r="N21" s="66">
        <f t="shared" si="0"/>
        <v>0</v>
      </c>
      <c r="O21" s="66">
        <f t="shared" si="1"/>
        <v>1</v>
      </c>
    </row>
    <row r="22" spans="1:15" x14ac:dyDescent="0.3">
      <c r="A22" s="59">
        <v>1</v>
      </c>
      <c r="B22" s="58">
        <v>1</v>
      </c>
      <c r="C22" s="63">
        <v>21</v>
      </c>
      <c r="D22" s="67">
        <v>1</v>
      </c>
      <c r="E22" s="67" t="s">
        <v>81</v>
      </c>
      <c r="F22" s="68" t="s">
        <v>40</v>
      </c>
      <c r="G22" s="47" t="s">
        <v>9</v>
      </c>
      <c r="H22" s="47" t="s">
        <v>49</v>
      </c>
      <c r="I22" s="66"/>
      <c r="J22" s="65">
        <v>0</v>
      </c>
      <c r="K22" s="66"/>
      <c r="L22" s="57">
        <f>IF(Table1214[[#This Row],[modality]]=E21,1,0)</f>
        <v>1</v>
      </c>
      <c r="M22" s="66">
        <f>IF(Table1214[[#This Row],[stimulus]]=H23, 1, 0)</f>
        <v>0</v>
      </c>
      <c r="N22" s="66">
        <f t="shared" si="0"/>
        <v>0</v>
      </c>
      <c r="O22" s="66">
        <f t="shared" si="1"/>
        <v>0</v>
      </c>
    </row>
    <row r="23" spans="1:15" x14ac:dyDescent="0.3">
      <c r="A23" s="59">
        <v>1</v>
      </c>
      <c r="B23" s="58">
        <v>1</v>
      </c>
      <c r="C23" s="63">
        <v>22</v>
      </c>
      <c r="D23" s="72">
        <v>2</v>
      </c>
      <c r="E23" s="72" t="s">
        <v>80</v>
      </c>
      <c r="F23" s="74" t="s">
        <v>29</v>
      </c>
      <c r="G23" s="58" t="s">
        <v>42</v>
      </c>
      <c r="H23" s="58" t="s">
        <v>69</v>
      </c>
      <c r="I23" s="66"/>
      <c r="J23" s="66">
        <v>1</v>
      </c>
      <c r="K23" s="66" t="s">
        <v>10</v>
      </c>
      <c r="L23" s="57">
        <f>IF(Table1214[[#This Row],[modality]]=E22,1,0)</f>
        <v>0</v>
      </c>
      <c r="M23" s="66">
        <f>IF(Table1214[[#This Row],[stimulus]]=H24, 1, 0)</f>
        <v>0</v>
      </c>
      <c r="N23" s="66">
        <f t="shared" si="0"/>
        <v>1</v>
      </c>
      <c r="O23" s="66">
        <f t="shared" si="1"/>
        <v>0</v>
      </c>
    </row>
    <row r="24" spans="1:15" x14ac:dyDescent="0.3">
      <c r="A24" s="58">
        <v>1</v>
      </c>
      <c r="B24" s="58">
        <v>1</v>
      </c>
      <c r="C24" s="63">
        <v>23</v>
      </c>
      <c r="D24" s="72">
        <v>1</v>
      </c>
      <c r="E24" s="72" t="s">
        <v>81</v>
      </c>
      <c r="F24" s="74" t="s">
        <v>29</v>
      </c>
      <c r="G24" s="47" t="s">
        <v>42</v>
      </c>
      <c r="H24" s="71" t="s">
        <v>67</v>
      </c>
      <c r="I24" s="75"/>
      <c r="J24" s="66">
        <v>1</v>
      </c>
      <c r="K24" s="66" t="s">
        <v>10</v>
      </c>
      <c r="L24" s="57">
        <f>IF(Table1214[[#This Row],[modality]]=E23,1,0)</f>
        <v>0</v>
      </c>
      <c r="M24" s="66">
        <f>IF(Table1214[[#This Row],[stimulus]]=H25, 1, 0)</f>
        <v>0</v>
      </c>
      <c r="N24" s="66">
        <f t="shared" si="0"/>
        <v>0</v>
      </c>
      <c r="O24" s="66">
        <f t="shared" si="1"/>
        <v>1</v>
      </c>
    </row>
    <row r="25" spans="1:15" x14ac:dyDescent="0.3">
      <c r="A25" s="59">
        <v>1</v>
      </c>
      <c r="B25" s="58">
        <v>1</v>
      </c>
      <c r="C25" s="63">
        <v>24</v>
      </c>
      <c r="D25" s="67">
        <v>1</v>
      </c>
      <c r="E25" s="67" t="s">
        <v>81</v>
      </c>
      <c r="F25" s="68" t="s">
        <v>0</v>
      </c>
      <c r="G25" s="47" t="s">
        <v>41</v>
      </c>
      <c r="H25" s="47" t="s">
        <v>50</v>
      </c>
      <c r="I25" s="66"/>
      <c r="J25" s="66">
        <v>1</v>
      </c>
      <c r="K25" s="66" t="s">
        <v>9</v>
      </c>
      <c r="L25" s="57">
        <f>IF(Table1214[[#This Row],[modality]]=E24,1,0)</f>
        <v>1</v>
      </c>
      <c r="M25" s="66">
        <f>IF(Table1214[[#This Row],[stimulus]]=H26, 1, 0)</f>
        <v>1</v>
      </c>
      <c r="N25" s="66">
        <f t="shared" si="0"/>
        <v>0</v>
      </c>
      <c r="O25" s="66">
        <f t="shared" si="1"/>
        <v>1</v>
      </c>
    </row>
    <row r="26" spans="1:15" x14ac:dyDescent="0.3">
      <c r="A26" s="59">
        <v>1</v>
      </c>
      <c r="B26" s="58">
        <v>1</v>
      </c>
      <c r="C26" s="63">
        <v>25</v>
      </c>
      <c r="D26" s="69">
        <v>2</v>
      </c>
      <c r="E26" s="69" t="s">
        <v>80</v>
      </c>
      <c r="F26" s="70" t="s">
        <v>40</v>
      </c>
      <c r="G26" s="71" t="s">
        <v>10</v>
      </c>
      <c r="H26" s="71" t="s">
        <v>50</v>
      </c>
      <c r="I26" s="66"/>
      <c r="J26" s="65">
        <v>0</v>
      </c>
      <c r="K26" s="66"/>
      <c r="L26" s="57">
        <f>IF(Table1214[[#This Row],[modality]]=E25,1,0)</f>
        <v>0</v>
      </c>
      <c r="M26" s="66">
        <f>IF(Table1214[[#This Row],[stimulus]]=H27, 1, 0)</f>
        <v>0</v>
      </c>
      <c r="N26" s="66">
        <f t="shared" si="0"/>
        <v>0</v>
      </c>
      <c r="O26" s="66">
        <f t="shared" si="1"/>
        <v>0</v>
      </c>
    </row>
    <row r="27" spans="1:15" x14ac:dyDescent="0.3">
      <c r="A27" s="58">
        <v>2</v>
      </c>
      <c r="B27" s="58">
        <v>1</v>
      </c>
      <c r="C27" s="63">
        <v>26</v>
      </c>
      <c r="D27" s="78">
        <v>2</v>
      </c>
      <c r="E27" s="78" t="s">
        <v>80</v>
      </c>
      <c r="F27" s="78" t="s">
        <v>29</v>
      </c>
      <c r="G27" s="58" t="s">
        <v>42</v>
      </c>
      <c r="H27" s="58" t="s">
        <v>43</v>
      </c>
      <c r="I27" s="66"/>
      <c r="J27" s="65">
        <v>0</v>
      </c>
      <c r="K27" s="66"/>
      <c r="L27" s="57">
        <f>IF(Table1214[[#This Row],[modality]]=E26,1,0)</f>
        <v>1</v>
      </c>
      <c r="M27" s="66">
        <f>IF(Table1214[[#This Row],[stimulus]]=H28, 1, 0)</f>
        <v>0</v>
      </c>
      <c r="N27" s="66">
        <f t="shared" si="0"/>
        <v>1</v>
      </c>
      <c r="O27" s="66">
        <f t="shared" si="1"/>
        <v>0</v>
      </c>
    </row>
    <row r="28" spans="1:15" x14ac:dyDescent="0.3">
      <c r="A28" s="58">
        <v>2</v>
      </c>
      <c r="B28" s="58">
        <v>1</v>
      </c>
      <c r="C28" s="63">
        <v>27</v>
      </c>
      <c r="D28" s="67">
        <v>1</v>
      </c>
      <c r="E28" s="67" t="s">
        <v>81</v>
      </c>
      <c r="F28" s="68" t="s">
        <v>0</v>
      </c>
      <c r="G28" s="47" t="s">
        <v>41</v>
      </c>
      <c r="H28" s="47" t="s">
        <v>58</v>
      </c>
      <c r="I28" s="66"/>
      <c r="J28" s="66">
        <v>1</v>
      </c>
      <c r="K28" s="66" t="s">
        <v>10</v>
      </c>
      <c r="L28" s="57">
        <f>IF(Table1214[[#This Row],[modality]]=E27,1,0)</f>
        <v>0</v>
      </c>
      <c r="M28" s="66">
        <f>IF(Table1214[[#This Row],[stimulus]]=H29, 1, 0)</f>
        <v>1</v>
      </c>
      <c r="N28" s="66">
        <f t="shared" si="0"/>
        <v>0</v>
      </c>
      <c r="O28" s="66">
        <f t="shared" si="1"/>
        <v>1</v>
      </c>
    </row>
    <row r="29" spans="1:15" x14ac:dyDescent="0.3">
      <c r="A29" s="58">
        <v>2</v>
      </c>
      <c r="B29" s="58">
        <v>1</v>
      </c>
      <c r="C29" s="63">
        <v>28</v>
      </c>
      <c r="D29" s="57">
        <v>1</v>
      </c>
      <c r="E29" s="57" t="s">
        <v>81</v>
      </c>
      <c r="F29" s="65" t="s">
        <v>40</v>
      </c>
      <c r="G29" s="58" t="s">
        <v>9</v>
      </c>
      <c r="H29" s="58" t="s">
        <v>58</v>
      </c>
      <c r="I29" s="66"/>
      <c r="J29" s="65">
        <v>0</v>
      </c>
      <c r="K29" s="66"/>
      <c r="L29" s="57">
        <f>IF(Table1214[[#This Row],[modality]]=E28,1,0)</f>
        <v>1</v>
      </c>
      <c r="M29" s="66">
        <f>IF(Table1214[[#This Row],[stimulus]]=H30, 1, 0)</f>
        <v>0</v>
      </c>
      <c r="N29" s="66">
        <f t="shared" si="0"/>
        <v>0</v>
      </c>
      <c r="O29" s="66">
        <f t="shared" si="1"/>
        <v>0</v>
      </c>
    </row>
    <row r="30" spans="1:15" x14ac:dyDescent="0.3">
      <c r="A30" s="58">
        <v>2</v>
      </c>
      <c r="B30" s="58">
        <v>1</v>
      </c>
      <c r="C30" s="63">
        <v>29</v>
      </c>
      <c r="D30" s="78">
        <v>2</v>
      </c>
      <c r="E30" s="78" t="s">
        <v>80</v>
      </c>
      <c r="F30" s="78" t="s">
        <v>29</v>
      </c>
      <c r="G30" s="47" t="s">
        <v>42</v>
      </c>
      <c r="H30" s="47" t="s">
        <v>44</v>
      </c>
      <c r="I30" s="66"/>
      <c r="J30" s="65">
        <v>0</v>
      </c>
      <c r="K30" s="66"/>
      <c r="L30" s="57">
        <f>IF(Table1214[[#This Row],[modality]]=E29,1,0)</f>
        <v>0</v>
      </c>
      <c r="M30" s="66">
        <f>IF(Table1214[[#This Row],[stimulus]]=H31, 1, 0)</f>
        <v>0</v>
      </c>
      <c r="N30" s="66">
        <f t="shared" si="0"/>
        <v>1</v>
      </c>
      <c r="O30" s="66">
        <f t="shared" si="1"/>
        <v>0</v>
      </c>
    </row>
    <row r="31" spans="1:15" x14ac:dyDescent="0.3">
      <c r="A31" s="58">
        <v>2</v>
      </c>
      <c r="B31" s="58">
        <v>1</v>
      </c>
      <c r="C31" s="63">
        <v>30</v>
      </c>
      <c r="D31" s="67">
        <v>1</v>
      </c>
      <c r="E31" s="57" t="s">
        <v>81</v>
      </c>
      <c r="F31" s="68" t="s">
        <v>0</v>
      </c>
      <c r="G31" s="47" t="s">
        <v>41</v>
      </c>
      <c r="H31" s="47" t="s">
        <v>57</v>
      </c>
      <c r="I31" s="66"/>
      <c r="J31" s="66">
        <v>1</v>
      </c>
      <c r="K31" s="66" t="s">
        <v>10</v>
      </c>
      <c r="L31" s="57">
        <f>IF(Table1214[[#This Row],[modality]]=E30,1,0)</f>
        <v>0</v>
      </c>
      <c r="M31" s="66">
        <f>IF(Table1214[[#This Row],[stimulus]]=H32, 1, 0)</f>
        <v>1</v>
      </c>
      <c r="N31" s="66">
        <f t="shared" si="0"/>
        <v>0</v>
      </c>
      <c r="O31" s="66">
        <f t="shared" si="1"/>
        <v>1</v>
      </c>
    </row>
    <row r="32" spans="1:15" x14ac:dyDescent="0.3">
      <c r="A32" s="58">
        <v>2</v>
      </c>
      <c r="B32" s="58">
        <v>1</v>
      </c>
      <c r="C32" s="63">
        <v>31</v>
      </c>
      <c r="D32" s="69">
        <v>1</v>
      </c>
      <c r="E32" s="69" t="s">
        <v>81</v>
      </c>
      <c r="F32" s="70" t="s">
        <v>40</v>
      </c>
      <c r="G32" s="71" t="s">
        <v>9</v>
      </c>
      <c r="H32" s="71" t="s">
        <v>57</v>
      </c>
      <c r="I32" s="66"/>
      <c r="J32" s="65">
        <v>0</v>
      </c>
      <c r="K32" s="66"/>
      <c r="L32" s="57">
        <f>IF(Table1214[[#This Row],[modality]]=E31,1,0)</f>
        <v>1</v>
      </c>
      <c r="M32" s="66">
        <f>IF(Table1214[[#This Row],[stimulus]]=H33, 1, 0)</f>
        <v>0</v>
      </c>
      <c r="N32" s="66">
        <f t="shared" si="0"/>
        <v>0</v>
      </c>
      <c r="O32" s="66">
        <f t="shared" si="1"/>
        <v>0</v>
      </c>
    </row>
    <row r="33" spans="1:15" x14ac:dyDescent="0.3">
      <c r="A33" s="58">
        <v>2</v>
      </c>
      <c r="B33" s="58">
        <v>1</v>
      </c>
      <c r="C33" s="63">
        <v>32</v>
      </c>
      <c r="D33" s="78">
        <v>2</v>
      </c>
      <c r="E33" s="78" t="s">
        <v>80</v>
      </c>
      <c r="F33" s="78" t="s">
        <v>29</v>
      </c>
      <c r="G33" s="47" t="s">
        <v>42</v>
      </c>
      <c r="H33" s="47" t="s">
        <v>46</v>
      </c>
      <c r="I33" s="66"/>
      <c r="J33" s="65">
        <v>0</v>
      </c>
      <c r="K33" s="66"/>
      <c r="L33" s="57">
        <f>IF(Table1214[[#This Row],[modality]]=E32,1,0)</f>
        <v>0</v>
      </c>
      <c r="M33" s="66">
        <f>IF(Table1214[[#This Row],[stimulus]]=H34, 1, 0)</f>
        <v>0</v>
      </c>
      <c r="N33" s="66">
        <f t="shared" si="0"/>
        <v>1</v>
      </c>
      <c r="O33" s="66">
        <f t="shared" si="1"/>
        <v>0</v>
      </c>
    </row>
    <row r="34" spans="1:15" x14ac:dyDescent="0.3">
      <c r="A34" s="58">
        <v>2</v>
      </c>
      <c r="B34" s="58">
        <v>1</v>
      </c>
      <c r="C34" s="63">
        <v>33</v>
      </c>
      <c r="D34" s="67">
        <v>1</v>
      </c>
      <c r="E34" s="57" t="s">
        <v>81</v>
      </c>
      <c r="F34" s="68" t="s">
        <v>0</v>
      </c>
      <c r="G34" s="47" t="s">
        <v>41</v>
      </c>
      <c r="H34" s="47" t="s">
        <v>56</v>
      </c>
      <c r="I34" s="66"/>
      <c r="J34" s="65">
        <v>0</v>
      </c>
      <c r="K34" s="66"/>
      <c r="L34" s="57">
        <f>IF(Table1214[[#This Row],[modality]]=E33,1,0)</f>
        <v>0</v>
      </c>
      <c r="M34" s="66">
        <f>IF(Table1214[[#This Row],[stimulus]]=H35, 1, 0)</f>
        <v>1</v>
      </c>
      <c r="N34" s="66">
        <f t="shared" si="0"/>
        <v>0</v>
      </c>
      <c r="O34" s="66">
        <f t="shared" si="1"/>
        <v>1</v>
      </c>
    </row>
    <row r="35" spans="1:15" x14ac:dyDescent="0.3">
      <c r="A35" s="58">
        <v>2</v>
      </c>
      <c r="B35" s="58">
        <v>1</v>
      </c>
      <c r="C35" s="63">
        <v>34</v>
      </c>
      <c r="D35" s="69">
        <v>2</v>
      </c>
      <c r="E35" s="69" t="s">
        <v>80</v>
      </c>
      <c r="F35" s="70" t="s">
        <v>40</v>
      </c>
      <c r="G35" s="71" t="s">
        <v>10</v>
      </c>
      <c r="H35" s="71" t="s">
        <v>56</v>
      </c>
      <c r="I35" s="66"/>
      <c r="J35" s="65">
        <v>0</v>
      </c>
      <c r="K35" s="66"/>
      <c r="L35" s="57">
        <f>IF(Table1214[[#This Row],[modality]]=E34,1,0)</f>
        <v>0</v>
      </c>
      <c r="M35" s="66">
        <f>IF(Table1214[[#This Row],[stimulus]]=H36, 1, 0)</f>
        <v>0</v>
      </c>
      <c r="N35" s="66">
        <f t="shared" si="0"/>
        <v>0</v>
      </c>
      <c r="O35" s="66">
        <f t="shared" si="1"/>
        <v>0</v>
      </c>
    </row>
    <row r="36" spans="1:15" x14ac:dyDescent="0.3">
      <c r="A36" s="58">
        <v>2</v>
      </c>
      <c r="B36" s="58">
        <v>1</v>
      </c>
      <c r="C36" s="63">
        <v>35</v>
      </c>
      <c r="D36" s="67">
        <v>2</v>
      </c>
      <c r="E36" s="57" t="s">
        <v>80</v>
      </c>
      <c r="F36" s="68" t="s">
        <v>0</v>
      </c>
      <c r="G36" s="47" t="s">
        <v>41</v>
      </c>
      <c r="H36" s="47" t="s">
        <v>55</v>
      </c>
      <c r="I36" s="66"/>
      <c r="J36" s="66">
        <v>1</v>
      </c>
      <c r="K36" s="66" t="s">
        <v>9</v>
      </c>
      <c r="L36" s="57">
        <f>IF(Table1214[[#This Row],[modality]]=E35,1,0)</f>
        <v>1</v>
      </c>
      <c r="M36" s="66">
        <f>IF(Table1214[[#This Row],[stimulus]]=H37, 1, 0)</f>
        <v>1</v>
      </c>
      <c r="N36" s="66">
        <f t="shared" si="0"/>
        <v>1</v>
      </c>
      <c r="O36" s="66">
        <f t="shared" si="1"/>
        <v>0</v>
      </c>
    </row>
    <row r="37" spans="1:15" x14ac:dyDescent="0.3">
      <c r="A37" s="58">
        <v>2</v>
      </c>
      <c r="B37" s="58">
        <v>1</v>
      </c>
      <c r="C37" s="63">
        <v>36</v>
      </c>
      <c r="D37" s="69">
        <v>1</v>
      </c>
      <c r="E37" s="69" t="s">
        <v>81</v>
      </c>
      <c r="F37" s="70" t="s">
        <v>40</v>
      </c>
      <c r="G37" s="71" t="s">
        <v>10</v>
      </c>
      <c r="H37" s="71" t="s">
        <v>55</v>
      </c>
      <c r="I37" s="66"/>
      <c r="J37" s="65">
        <v>0</v>
      </c>
      <c r="K37" s="66"/>
      <c r="L37" s="57">
        <f>IF(Table1214[[#This Row],[modality]]=E36,1,0)</f>
        <v>0</v>
      </c>
      <c r="M37" s="66">
        <f>IF(Table1214[[#This Row],[stimulus]]=H38, 1, 0)</f>
        <v>0</v>
      </c>
      <c r="N37" s="66">
        <f t="shared" si="0"/>
        <v>0</v>
      </c>
      <c r="O37" s="66">
        <f t="shared" si="1"/>
        <v>0</v>
      </c>
    </row>
    <row r="38" spans="1:15" x14ac:dyDescent="0.3">
      <c r="A38" s="58">
        <v>2</v>
      </c>
      <c r="B38" s="58">
        <v>1</v>
      </c>
      <c r="C38" s="63">
        <v>37</v>
      </c>
      <c r="D38" s="78">
        <v>1</v>
      </c>
      <c r="E38" s="78" t="s">
        <v>81</v>
      </c>
      <c r="F38" s="78" t="s">
        <v>29</v>
      </c>
      <c r="G38" s="58" t="s">
        <v>42</v>
      </c>
      <c r="H38" s="58" t="s">
        <v>45</v>
      </c>
      <c r="I38" s="66"/>
      <c r="J38" s="65">
        <v>0</v>
      </c>
      <c r="K38" s="66"/>
      <c r="L38" s="57">
        <f>IF(Table1214[[#This Row],[modality]]=E37,1,0)</f>
        <v>1</v>
      </c>
      <c r="M38" s="66">
        <f>IF(Table1214[[#This Row],[stimulus]]=H39, 1, 0)</f>
        <v>0</v>
      </c>
      <c r="N38" s="66">
        <f t="shared" si="0"/>
        <v>1</v>
      </c>
      <c r="O38" s="66">
        <f t="shared" si="1"/>
        <v>0</v>
      </c>
    </row>
    <row r="39" spans="1:15" x14ac:dyDescent="0.3">
      <c r="A39" s="58">
        <v>2</v>
      </c>
      <c r="B39" s="58">
        <v>1</v>
      </c>
      <c r="C39" s="63">
        <v>38</v>
      </c>
      <c r="D39" s="67">
        <v>1</v>
      </c>
      <c r="E39" s="69" t="s">
        <v>81</v>
      </c>
      <c r="F39" s="68" t="s">
        <v>0</v>
      </c>
      <c r="G39" s="47" t="s">
        <v>41</v>
      </c>
      <c r="H39" s="47" t="s">
        <v>54</v>
      </c>
      <c r="I39" s="66"/>
      <c r="J39" s="66">
        <v>1</v>
      </c>
      <c r="K39" s="66" t="s">
        <v>9</v>
      </c>
      <c r="L39" s="57">
        <f>IF(Table1214[[#This Row],[modality]]=E38,1,0)</f>
        <v>1</v>
      </c>
      <c r="M39" s="66">
        <f>IF(Table1214[[#This Row],[stimulus]]=H40, 1, 0)</f>
        <v>1</v>
      </c>
      <c r="N39" s="66">
        <f t="shared" si="0"/>
        <v>0</v>
      </c>
      <c r="O39" s="66">
        <f t="shared" si="1"/>
        <v>1</v>
      </c>
    </row>
    <row r="40" spans="1:15" x14ac:dyDescent="0.3">
      <c r="A40" s="58">
        <v>2</v>
      </c>
      <c r="B40" s="58">
        <v>1</v>
      </c>
      <c r="C40" s="63">
        <v>39</v>
      </c>
      <c r="D40" s="57">
        <v>2</v>
      </c>
      <c r="E40" s="57" t="s">
        <v>80</v>
      </c>
      <c r="F40" s="65" t="s">
        <v>40</v>
      </c>
      <c r="G40" s="58" t="s">
        <v>10</v>
      </c>
      <c r="H40" s="58" t="s">
        <v>54</v>
      </c>
      <c r="I40" s="66"/>
      <c r="J40" s="65">
        <v>0</v>
      </c>
      <c r="K40" s="66"/>
      <c r="L40" s="57">
        <f>IF(Table1214[[#This Row],[modality]]=E39,1,0)</f>
        <v>0</v>
      </c>
      <c r="M40" s="66">
        <f>IF(Table1214[[#This Row],[stimulus]]=H41, 1, 0)</f>
        <v>0</v>
      </c>
      <c r="N40" s="66">
        <f t="shared" si="0"/>
        <v>0</v>
      </c>
      <c r="O40" s="66">
        <f t="shared" si="1"/>
        <v>0</v>
      </c>
    </row>
    <row r="41" spans="1:15" x14ac:dyDescent="0.3">
      <c r="A41" s="58">
        <v>2</v>
      </c>
      <c r="B41" s="58">
        <v>1</v>
      </c>
      <c r="C41" s="63">
        <v>40</v>
      </c>
      <c r="D41" s="78">
        <v>1</v>
      </c>
      <c r="E41" s="78" t="s">
        <v>81</v>
      </c>
      <c r="F41" s="78" t="s">
        <v>29</v>
      </c>
      <c r="G41" s="58" t="s">
        <v>42</v>
      </c>
      <c r="H41" s="58" t="s">
        <v>49</v>
      </c>
      <c r="I41" s="66"/>
      <c r="J41" s="65">
        <v>0</v>
      </c>
      <c r="K41" s="66"/>
      <c r="L41" s="57">
        <f>IF(Table1214[[#This Row],[modality]]=E40,1,0)</f>
        <v>0</v>
      </c>
      <c r="M41" s="66">
        <f>IF(Table1214[[#This Row],[stimulus]]=H42, 1, 0)</f>
        <v>0</v>
      </c>
      <c r="N41" s="66">
        <f t="shared" si="0"/>
        <v>1</v>
      </c>
      <c r="O41" s="66">
        <f t="shared" si="1"/>
        <v>0</v>
      </c>
    </row>
    <row r="42" spans="1:15" x14ac:dyDescent="0.3">
      <c r="A42" s="58">
        <v>2</v>
      </c>
      <c r="B42" s="58">
        <v>1</v>
      </c>
      <c r="C42" s="63">
        <v>41</v>
      </c>
      <c r="D42" s="78">
        <v>2</v>
      </c>
      <c r="E42" s="78" t="s">
        <v>80</v>
      </c>
      <c r="F42" s="78" t="s">
        <v>29</v>
      </c>
      <c r="G42" s="71" t="s">
        <v>42</v>
      </c>
      <c r="H42" s="71" t="s">
        <v>47</v>
      </c>
      <c r="I42" s="66"/>
      <c r="J42" s="66">
        <v>1</v>
      </c>
      <c r="K42" s="66" t="s">
        <v>10</v>
      </c>
      <c r="L42" s="57">
        <f>IF(Table1214[[#This Row],[modality]]=E41,1,0)</f>
        <v>0</v>
      </c>
      <c r="M42" s="66">
        <f>IF(Table1214[[#This Row],[stimulus]]=H43, 1, 0)</f>
        <v>0</v>
      </c>
      <c r="N42" s="66">
        <f t="shared" si="0"/>
        <v>0</v>
      </c>
      <c r="O42" s="66">
        <f t="shared" si="1"/>
        <v>1</v>
      </c>
    </row>
    <row r="43" spans="1:15" x14ac:dyDescent="0.3">
      <c r="A43" s="58">
        <v>2</v>
      </c>
      <c r="B43" s="58">
        <v>1</v>
      </c>
      <c r="C43" s="63">
        <v>42</v>
      </c>
      <c r="D43" s="67">
        <v>2</v>
      </c>
      <c r="E43" s="67" t="s">
        <v>80</v>
      </c>
      <c r="F43" s="68" t="s">
        <v>0</v>
      </c>
      <c r="G43" s="47" t="s">
        <v>41</v>
      </c>
      <c r="H43" s="47" t="s">
        <v>53</v>
      </c>
      <c r="I43" s="66"/>
      <c r="J43" s="66">
        <v>1</v>
      </c>
      <c r="K43" s="66" t="s">
        <v>9</v>
      </c>
      <c r="L43" s="57">
        <f>IF(Table1214[[#This Row],[modality]]=E42,1,0)</f>
        <v>1</v>
      </c>
      <c r="M43" s="66">
        <f>IF(Table1214[[#This Row],[stimulus]]=H44, 1, 0)</f>
        <v>1</v>
      </c>
      <c r="N43" s="66">
        <f t="shared" si="0"/>
        <v>0</v>
      </c>
      <c r="O43" s="66">
        <f t="shared" si="1"/>
        <v>1</v>
      </c>
    </row>
    <row r="44" spans="1:15" x14ac:dyDescent="0.3">
      <c r="A44" s="58">
        <v>2</v>
      </c>
      <c r="B44" s="58">
        <v>1</v>
      </c>
      <c r="C44" s="63">
        <v>43</v>
      </c>
      <c r="D44" s="69">
        <v>2</v>
      </c>
      <c r="E44" s="69" t="s">
        <v>80</v>
      </c>
      <c r="F44" s="70" t="s">
        <v>40</v>
      </c>
      <c r="G44" s="71" t="s">
        <v>9</v>
      </c>
      <c r="H44" s="71" t="s">
        <v>53</v>
      </c>
      <c r="I44" s="66"/>
      <c r="J44" s="65">
        <v>0</v>
      </c>
      <c r="K44" s="66"/>
      <c r="L44" s="57">
        <f>IF(Table1214[[#This Row],[modality]]=E43,1,0)</f>
        <v>1</v>
      </c>
      <c r="M44" s="66">
        <f>IF(Table1214[[#This Row],[stimulus]]=H45, 1, 0)</f>
        <v>0</v>
      </c>
      <c r="N44" s="66">
        <f t="shared" si="0"/>
        <v>0</v>
      </c>
      <c r="O44" s="66">
        <f t="shared" si="1"/>
        <v>0</v>
      </c>
    </row>
    <row r="45" spans="1:15" x14ac:dyDescent="0.3">
      <c r="A45" s="58">
        <v>2</v>
      </c>
      <c r="B45" s="58">
        <v>1</v>
      </c>
      <c r="C45" s="63">
        <v>44</v>
      </c>
      <c r="D45" s="78">
        <v>1</v>
      </c>
      <c r="E45" s="78" t="s">
        <v>81</v>
      </c>
      <c r="F45" s="78" t="s">
        <v>29</v>
      </c>
      <c r="G45" s="47" t="s">
        <v>42</v>
      </c>
      <c r="H45" s="47" t="s">
        <v>48</v>
      </c>
      <c r="I45" s="66"/>
      <c r="J45" s="65">
        <v>0</v>
      </c>
      <c r="K45" s="66"/>
      <c r="L45" s="57">
        <f>IF(Table1214[[#This Row],[modality]]=E44,1,0)</f>
        <v>0</v>
      </c>
      <c r="M45" s="66">
        <f>IF(Table1214[[#This Row],[stimulus]]=H46, 1, 0)</f>
        <v>0</v>
      </c>
      <c r="N45" s="66">
        <f t="shared" si="0"/>
        <v>1</v>
      </c>
      <c r="O45" s="66">
        <f t="shared" si="1"/>
        <v>0</v>
      </c>
    </row>
    <row r="46" spans="1:15" x14ac:dyDescent="0.3">
      <c r="A46" s="58">
        <v>2</v>
      </c>
      <c r="B46" s="58">
        <v>1</v>
      </c>
      <c r="C46" s="63">
        <v>45</v>
      </c>
      <c r="D46" s="69">
        <v>2</v>
      </c>
      <c r="E46" s="69" t="s">
        <v>80</v>
      </c>
      <c r="F46" s="70" t="s">
        <v>0</v>
      </c>
      <c r="G46" s="71" t="s">
        <v>41</v>
      </c>
      <c r="H46" s="71" t="s">
        <v>52</v>
      </c>
      <c r="I46" s="66"/>
      <c r="J46" s="66">
        <v>1</v>
      </c>
      <c r="K46" s="66" t="s">
        <v>10</v>
      </c>
      <c r="L46" s="57">
        <f>IF(Table1214[[#This Row],[modality]]=E45,1,0)</f>
        <v>0</v>
      </c>
      <c r="M46" s="66">
        <f>IF(Table1214[[#This Row],[stimulus]]=H47, 1, 0)</f>
        <v>1</v>
      </c>
      <c r="N46" s="66">
        <f t="shared" si="0"/>
        <v>0</v>
      </c>
      <c r="O46" s="66">
        <f t="shared" si="1"/>
        <v>1</v>
      </c>
    </row>
    <row r="47" spans="1:15" x14ac:dyDescent="0.3">
      <c r="A47" s="58">
        <v>2</v>
      </c>
      <c r="B47" s="58">
        <v>1</v>
      </c>
      <c r="C47" s="63">
        <v>46</v>
      </c>
      <c r="D47" s="67">
        <v>2</v>
      </c>
      <c r="E47" s="67" t="s">
        <v>80</v>
      </c>
      <c r="F47" s="68" t="s">
        <v>40</v>
      </c>
      <c r="G47" s="47" t="s">
        <v>9</v>
      </c>
      <c r="H47" s="47" t="s">
        <v>52</v>
      </c>
      <c r="I47" s="66"/>
      <c r="J47" s="65">
        <v>0</v>
      </c>
      <c r="K47" s="66"/>
      <c r="L47" s="57">
        <f>IF(Table1214[[#This Row],[modality]]=E46,1,0)</f>
        <v>1</v>
      </c>
      <c r="M47" s="66">
        <f>IF(Table1214[[#This Row],[stimulus]]=H48, 1, 0)</f>
        <v>0</v>
      </c>
      <c r="N47" s="66">
        <f t="shared" si="0"/>
        <v>0</v>
      </c>
      <c r="O47" s="66">
        <f t="shared" si="1"/>
        <v>0</v>
      </c>
    </row>
    <row r="48" spans="1:15" x14ac:dyDescent="0.3">
      <c r="A48" s="58">
        <v>2</v>
      </c>
      <c r="B48" s="58">
        <v>1</v>
      </c>
      <c r="C48" s="63">
        <v>47</v>
      </c>
      <c r="D48" s="79">
        <v>1</v>
      </c>
      <c r="E48" s="79" t="s">
        <v>81</v>
      </c>
      <c r="F48" s="80" t="s">
        <v>29</v>
      </c>
      <c r="G48" s="52" t="s">
        <v>42</v>
      </c>
      <c r="H48" s="52"/>
      <c r="I48" s="75" t="s">
        <v>127</v>
      </c>
      <c r="J48" s="65">
        <v>0</v>
      </c>
      <c r="K48" s="66"/>
      <c r="L48" s="57">
        <f>IF(Table1214[[#This Row],[modality]]=E47,1,0)</f>
        <v>0</v>
      </c>
      <c r="M48" s="66">
        <f>IF(Table1214[[#This Row],[stimulus]]=H49, 1, 0)</f>
        <v>0</v>
      </c>
      <c r="N48" s="66">
        <f t="shared" si="0"/>
        <v>1</v>
      </c>
      <c r="O48" s="66">
        <f t="shared" si="1"/>
        <v>0</v>
      </c>
    </row>
    <row r="49" spans="1:15" x14ac:dyDescent="0.3">
      <c r="A49" s="58">
        <v>2</v>
      </c>
      <c r="B49" s="58">
        <v>1</v>
      </c>
      <c r="C49" s="63">
        <v>48</v>
      </c>
      <c r="D49" s="78">
        <v>2</v>
      </c>
      <c r="E49" s="78" t="s">
        <v>80</v>
      </c>
      <c r="F49" s="78" t="s">
        <v>29</v>
      </c>
      <c r="G49" s="47" t="s">
        <v>42</v>
      </c>
      <c r="H49" s="47" t="s">
        <v>50</v>
      </c>
      <c r="I49" s="66"/>
      <c r="J49" s="65">
        <v>0</v>
      </c>
      <c r="K49" s="66"/>
      <c r="L49" s="57">
        <f>IF(Table1214[[#This Row],[modality]]=E48,1,0)</f>
        <v>0</v>
      </c>
      <c r="M49" s="66">
        <f>IF(Table1214[[#This Row],[stimulus]]=H50, 1, 0)</f>
        <v>0</v>
      </c>
      <c r="N49" s="66">
        <f t="shared" si="0"/>
        <v>0</v>
      </c>
      <c r="O49" s="66">
        <f t="shared" si="1"/>
        <v>1</v>
      </c>
    </row>
    <row r="50" spans="1:15" x14ac:dyDescent="0.3">
      <c r="A50" s="58">
        <v>2</v>
      </c>
      <c r="B50" s="58">
        <v>1</v>
      </c>
      <c r="C50" s="63">
        <v>49</v>
      </c>
      <c r="D50" s="69">
        <v>2</v>
      </c>
      <c r="E50" s="69" t="s">
        <v>80</v>
      </c>
      <c r="F50" s="70" t="s">
        <v>0</v>
      </c>
      <c r="G50" s="71" t="s">
        <v>41</v>
      </c>
      <c r="H50" s="71" t="s">
        <v>51</v>
      </c>
      <c r="I50" s="66"/>
      <c r="J50" s="66">
        <v>1</v>
      </c>
      <c r="K50" s="66" t="s">
        <v>9</v>
      </c>
      <c r="L50" s="57">
        <f>IF(Table1214[[#This Row],[modality]]=E49,1,0)</f>
        <v>1</v>
      </c>
      <c r="M50" s="66">
        <f>IF(Table1214[[#This Row],[stimulus]]=H51, 1, 0)</f>
        <v>1</v>
      </c>
      <c r="N50" s="66">
        <f t="shared" si="0"/>
        <v>0</v>
      </c>
      <c r="O50" s="66">
        <f t="shared" si="1"/>
        <v>1</v>
      </c>
    </row>
    <row r="51" spans="1:15" x14ac:dyDescent="0.3">
      <c r="A51" s="58">
        <v>2</v>
      </c>
      <c r="B51" s="58">
        <v>1</v>
      </c>
      <c r="C51" s="63">
        <v>50</v>
      </c>
      <c r="D51" s="67">
        <v>1</v>
      </c>
      <c r="E51" s="67" t="s">
        <v>81</v>
      </c>
      <c r="F51" s="68" t="s">
        <v>40</v>
      </c>
      <c r="G51" s="47" t="s">
        <v>10</v>
      </c>
      <c r="H51" s="47" t="s">
        <v>51</v>
      </c>
      <c r="I51" s="66"/>
      <c r="J51" s="65">
        <v>0</v>
      </c>
      <c r="K51" s="66"/>
      <c r="L51" s="57">
        <f>IF(Table1214[[#This Row],[modality]]=E50,1,0)</f>
        <v>0</v>
      </c>
      <c r="M51" s="66">
        <f>IF(Table1214[[#This Row],[stimulus]]=H52, 1, 0)</f>
        <v>0</v>
      </c>
      <c r="N51" s="66">
        <f t="shared" si="0"/>
        <v>0</v>
      </c>
      <c r="O51" s="66">
        <f t="shared" si="1"/>
        <v>0</v>
      </c>
    </row>
    <row r="52" spans="1:15" x14ac:dyDescent="0.3">
      <c r="A52" s="59">
        <v>3</v>
      </c>
      <c r="B52" s="58">
        <v>1</v>
      </c>
      <c r="C52" s="63">
        <v>51</v>
      </c>
      <c r="D52" s="67">
        <v>1</v>
      </c>
      <c r="E52" s="67" t="s">
        <v>81</v>
      </c>
      <c r="F52" s="68" t="s">
        <v>0</v>
      </c>
      <c r="G52" s="47" t="s">
        <v>41</v>
      </c>
      <c r="H52" s="47" t="s">
        <v>59</v>
      </c>
      <c r="I52" s="66"/>
      <c r="J52" s="65">
        <v>0</v>
      </c>
      <c r="K52" s="66"/>
      <c r="L52" s="57">
        <f>IF(Table1214[[#This Row],[modality]]=E51,1,0)</f>
        <v>1</v>
      </c>
      <c r="M52" s="66">
        <f>IF(Table1214[[#This Row],[stimulus]]=H53, 1, 0)</f>
        <v>1</v>
      </c>
      <c r="N52" s="66">
        <f t="shared" si="0"/>
        <v>1</v>
      </c>
      <c r="O52" s="66">
        <f t="shared" si="1"/>
        <v>0</v>
      </c>
    </row>
    <row r="53" spans="1:15" x14ac:dyDescent="0.3">
      <c r="A53" s="59">
        <v>3</v>
      </c>
      <c r="B53" s="58">
        <v>1</v>
      </c>
      <c r="C53" s="63">
        <v>52</v>
      </c>
      <c r="D53" s="57">
        <v>2</v>
      </c>
      <c r="E53" s="57" t="s">
        <v>80</v>
      </c>
      <c r="F53" s="65" t="s">
        <v>40</v>
      </c>
      <c r="G53" s="58" t="s">
        <v>10</v>
      </c>
      <c r="H53" s="58" t="s">
        <v>59</v>
      </c>
      <c r="I53" s="66"/>
      <c r="J53" s="65">
        <v>0</v>
      </c>
      <c r="K53" s="66"/>
      <c r="L53" s="57">
        <f>IF(Table1214[[#This Row],[modality]]=E52,1,0)</f>
        <v>0</v>
      </c>
      <c r="M53" s="66">
        <f>IF(Table1214[[#This Row],[stimulus]]=H54, 1, 0)</f>
        <v>0</v>
      </c>
      <c r="N53" s="66">
        <f t="shared" si="0"/>
        <v>0</v>
      </c>
      <c r="O53" s="66">
        <f t="shared" si="1"/>
        <v>0</v>
      </c>
    </row>
    <row r="54" spans="1:15" x14ac:dyDescent="0.3">
      <c r="A54" s="58">
        <v>3</v>
      </c>
      <c r="B54" s="58">
        <v>1</v>
      </c>
      <c r="C54" s="63">
        <v>53</v>
      </c>
      <c r="D54" s="81">
        <v>2</v>
      </c>
      <c r="E54" s="81" t="s">
        <v>80</v>
      </c>
      <c r="F54" s="82" t="s">
        <v>29</v>
      </c>
      <c r="G54" s="83" t="s">
        <v>42</v>
      </c>
      <c r="H54" s="83"/>
      <c r="I54" s="75" t="s">
        <v>127</v>
      </c>
      <c r="J54" s="65">
        <v>0</v>
      </c>
      <c r="K54" s="75"/>
      <c r="L54" s="57">
        <f>IF(Table1214[[#This Row],[modality]]=E53,1,0)</f>
        <v>1</v>
      </c>
      <c r="M54" s="66">
        <f>IF(Table1214[[#This Row],[stimulus]]=H55, 1, 0)</f>
        <v>0</v>
      </c>
      <c r="N54" s="66">
        <f t="shared" si="0"/>
        <v>1</v>
      </c>
      <c r="O54" s="66">
        <f t="shared" si="1"/>
        <v>0</v>
      </c>
    </row>
    <row r="55" spans="1:15" x14ac:dyDescent="0.3">
      <c r="A55" s="59">
        <v>3</v>
      </c>
      <c r="B55" s="58">
        <v>1</v>
      </c>
      <c r="C55" s="63">
        <v>54</v>
      </c>
      <c r="D55" s="67">
        <v>2</v>
      </c>
      <c r="E55" s="67" t="s">
        <v>80</v>
      </c>
      <c r="F55" s="68" t="s">
        <v>0</v>
      </c>
      <c r="G55" s="47" t="s">
        <v>41</v>
      </c>
      <c r="H55" s="47" t="s">
        <v>60</v>
      </c>
      <c r="I55" s="66"/>
      <c r="J55" s="66">
        <v>1</v>
      </c>
      <c r="K55" s="66" t="s">
        <v>9</v>
      </c>
      <c r="L55" s="57">
        <f>IF(Table1214[[#This Row],[modality]]=E54,1,0)</f>
        <v>1</v>
      </c>
      <c r="M55" s="66">
        <f>IF(Table1214[[#This Row],[stimulus]]=H56, 1, 0)</f>
        <v>1</v>
      </c>
      <c r="N55" s="66">
        <f t="shared" si="0"/>
        <v>0</v>
      </c>
      <c r="O55" s="66">
        <f t="shared" si="1"/>
        <v>1</v>
      </c>
    </row>
    <row r="56" spans="1:15" x14ac:dyDescent="0.3">
      <c r="A56" s="59">
        <v>3</v>
      </c>
      <c r="B56" s="58">
        <v>1</v>
      </c>
      <c r="C56" s="63">
        <v>55</v>
      </c>
      <c r="D56" s="69">
        <v>1</v>
      </c>
      <c r="E56" s="69" t="s">
        <v>81</v>
      </c>
      <c r="F56" s="70" t="s">
        <v>40</v>
      </c>
      <c r="G56" s="71" t="s">
        <v>10</v>
      </c>
      <c r="H56" s="71" t="s">
        <v>60</v>
      </c>
      <c r="I56" s="66"/>
      <c r="J56" s="65">
        <v>0</v>
      </c>
      <c r="K56" s="66"/>
      <c r="L56" s="57">
        <f>IF(Table1214[[#This Row],[modality]]=E55,1,0)</f>
        <v>0</v>
      </c>
      <c r="M56" s="66">
        <f>IF(Table1214[[#This Row],[stimulus]]=H57, 1, 0)</f>
        <v>0</v>
      </c>
      <c r="N56" s="66">
        <f t="shared" si="0"/>
        <v>0</v>
      </c>
      <c r="O56" s="66">
        <f t="shared" si="1"/>
        <v>0</v>
      </c>
    </row>
    <row r="57" spans="1:15" x14ac:dyDescent="0.3">
      <c r="A57" s="59">
        <v>3</v>
      </c>
      <c r="B57" s="58">
        <v>1</v>
      </c>
      <c r="C57" s="63">
        <v>56</v>
      </c>
      <c r="D57" s="84">
        <v>1</v>
      </c>
      <c r="E57" s="84" t="s">
        <v>81</v>
      </c>
      <c r="F57" s="84" t="s">
        <v>29</v>
      </c>
      <c r="G57" s="47" t="s">
        <v>42</v>
      </c>
      <c r="H57" s="47" t="s">
        <v>58</v>
      </c>
      <c r="I57" s="66"/>
      <c r="J57" s="66">
        <v>1</v>
      </c>
      <c r="K57" s="66" t="s">
        <v>9</v>
      </c>
      <c r="L57" s="57">
        <f>IF(Table1214[[#This Row],[modality]]=E56,1,0)</f>
        <v>1</v>
      </c>
      <c r="M57" s="66">
        <f>IF(Table1214[[#This Row],[stimulus]]=H58, 1, 0)</f>
        <v>0</v>
      </c>
      <c r="N57" s="66">
        <f t="shared" si="0"/>
        <v>1</v>
      </c>
      <c r="O57" s="66">
        <f t="shared" si="1"/>
        <v>0</v>
      </c>
    </row>
    <row r="58" spans="1:15" x14ac:dyDescent="0.3">
      <c r="A58" s="59">
        <v>3</v>
      </c>
      <c r="B58" s="58">
        <v>1</v>
      </c>
      <c r="C58" s="63">
        <v>57</v>
      </c>
      <c r="D58" s="69">
        <v>1</v>
      </c>
      <c r="E58" s="69" t="s">
        <v>81</v>
      </c>
      <c r="F58" s="70" t="s">
        <v>0</v>
      </c>
      <c r="G58" s="71" t="s">
        <v>41</v>
      </c>
      <c r="H58" s="71" t="s">
        <v>61</v>
      </c>
      <c r="I58" s="66"/>
      <c r="J58" s="66">
        <v>1</v>
      </c>
      <c r="K58" s="66" t="s">
        <v>9</v>
      </c>
      <c r="L58" s="57">
        <f>IF(Table1214[[#This Row],[modality]]=E57,1,0)</f>
        <v>1</v>
      </c>
      <c r="M58" s="66">
        <f>IF(Table1214[[#This Row],[stimulus]]=H59, 1, 0)</f>
        <v>1</v>
      </c>
      <c r="N58" s="66">
        <f t="shared" si="0"/>
        <v>0</v>
      </c>
      <c r="O58" s="66">
        <f t="shared" si="1"/>
        <v>1</v>
      </c>
    </row>
    <row r="59" spans="1:15" x14ac:dyDescent="0.3">
      <c r="A59" s="59">
        <v>3</v>
      </c>
      <c r="B59" s="58">
        <v>1</v>
      </c>
      <c r="C59" s="63">
        <v>58</v>
      </c>
      <c r="D59" s="67">
        <v>2</v>
      </c>
      <c r="E59" s="67" t="s">
        <v>80</v>
      </c>
      <c r="F59" s="68" t="s">
        <v>40</v>
      </c>
      <c r="G59" s="47" t="s">
        <v>10</v>
      </c>
      <c r="H59" s="47" t="s">
        <v>61</v>
      </c>
      <c r="I59" s="66"/>
      <c r="J59" s="65">
        <v>0</v>
      </c>
      <c r="K59" s="66"/>
      <c r="L59" s="57">
        <f>IF(Table1214[[#This Row],[modality]]=E58,1,0)</f>
        <v>0</v>
      </c>
      <c r="M59" s="66">
        <f>IF(Table1214[[#This Row],[stimulus]]=H60, 1, 0)</f>
        <v>0</v>
      </c>
      <c r="N59" s="66">
        <f t="shared" si="0"/>
        <v>0</v>
      </c>
      <c r="O59" s="66">
        <f t="shared" si="1"/>
        <v>0</v>
      </c>
    </row>
    <row r="60" spans="1:15" x14ac:dyDescent="0.3">
      <c r="A60" s="59">
        <v>3</v>
      </c>
      <c r="B60" s="58">
        <v>1</v>
      </c>
      <c r="C60" s="63">
        <v>59</v>
      </c>
      <c r="D60" s="84">
        <v>2</v>
      </c>
      <c r="E60" s="84" t="s">
        <v>80</v>
      </c>
      <c r="F60" s="84" t="s">
        <v>29</v>
      </c>
      <c r="G60" s="71" t="s">
        <v>42</v>
      </c>
      <c r="H60" s="71" t="s">
        <v>57</v>
      </c>
      <c r="I60" s="66"/>
      <c r="J60" s="65">
        <v>0</v>
      </c>
      <c r="K60" s="66"/>
      <c r="L60" s="57">
        <f>IF(Table1214[[#This Row],[modality]]=E59,1,0)</f>
        <v>1</v>
      </c>
      <c r="M60" s="66">
        <f>IF(Table1214[[#This Row],[stimulus]]=H61, 1, 0)</f>
        <v>0</v>
      </c>
      <c r="N60" s="66">
        <f t="shared" si="0"/>
        <v>1</v>
      </c>
      <c r="O60" s="66">
        <f t="shared" si="1"/>
        <v>0</v>
      </c>
    </row>
    <row r="61" spans="1:15" x14ac:dyDescent="0.3">
      <c r="A61" s="59">
        <v>3</v>
      </c>
      <c r="B61" s="58">
        <v>1</v>
      </c>
      <c r="C61" s="63">
        <v>60</v>
      </c>
      <c r="D61" s="84">
        <v>1</v>
      </c>
      <c r="E61" s="84" t="s">
        <v>81</v>
      </c>
      <c r="F61" s="84" t="s">
        <v>29</v>
      </c>
      <c r="G61" s="58" t="s">
        <v>42</v>
      </c>
      <c r="H61" s="58" t="s">
        <v>55</v>
      </c>
      <c r="I61" s="66"/>
      <c r="J61" s="65">
        <v>0</v>
      </c>
      <c r="K61" s="66"/>
      <c r="L61" s="57">
        <f>IF(Table1214[[#This Row],[modality]]=E60,1,0)</f>
        <v>0</v>
      </c>
      <c r="M61" s="66">
        <f>IF(Table1214[[#This Row],[stimulus]]=H62, 1, 0)</f>
        <v>0</v>
      </c>
      <c r="N61" s="66">
        <f t="shared" si="0"/>
        <v>0</v>
      </c>
      <c r="O61" s="66">
        <f t="shared" si="1"/>
        <v>1</v>
      </c>
    </row>
    <row r="62" spans="1:15" x14ac:dyDescent="0.3">
      <c r="A62" s="59">
        <v>3</v>
      </c>
      <c r="B62" s="58">
        <v>1</v>
      </c>
      <c r="C62" s="63">
        <v>61</v>
      </c>
      <c r="D62" s="67">
        <v>2</v>
      </c>
      <c r="E62" s="67" t="s">
        <v>80</v>
      </c>
      <c r="F62" s="68" t="s">
        <v>0</v>
      </c>
      <c r="G62" s="47" t="s">
        <v>41</v>
      </c>
      <c r="H62" s="47" t="s">
        <v>62</v>
      </c>
      <c r="I62" s="66"/>
      <c r="J62" s="66">
        <v>1</v>
      </c>
      <c r="K62" s="66" t="s">
        <v>10</v>
      </c>
      <c r="L62" s="57">
        <f>IF(Table1214[[#This Row],[modality]]=E61,1,0)</f>
        <v>0</v>
      </c>
      <c r="M62" s="66">
        <f>IF(Table1214[[#This Row],[stimulus]]=H63, 1, 0)</f>
        <v>1</v>
      </c>
      <c r="N62" s="66">
        <f t="shared" si="0"/>
        <v>0</v>
      </c>
      <c r="O62" s="66">
        <f t="shared" si="1"/>
        <v>1</v>
      </c>
    </row>
    <row r="63" spans="1:15" x14ac:dyDescent="0.3">
      <c r="A63" s="59">
        <v>3</v>
      </c>
      <c r="B63" s="58">
        <v>1</v>
      </c>
      <c r="C63" s="63">
        <v>62</v>
      </c>
      <c r="D63" s="57">
        <v>2</v>
      </c>
      <c r="E63" s="57" t="s">
        <v>80</v>
      </c>
      <c r="F63" s="65" t="s">
        <v>40</v>
      </c>
      <c r="G63" s="58" t="s">
        <v>9</v>
      </c>
      <c r="H63" s="58" t="s">
        <v>62</v>
      </c>
      <c r="I63" s="66"/>
      <c r="J63" s="65">
        <v>0</v>
      </c>
      <c r="K63" s="66"/>
      <c r="L63" s="57">
        <f>IF(Table1214[[#This Row],[modality]]=E62,1,0)</f>
        <v>1</v>
      </c>
      <c r="M63" s="66">
        <f>IF(Table1214[[#This Row],[stimulus]]=H64, 1, 0)</f>
        <v>0</v>
      </c>
      <c r="N63" s="66">
        <f t="shared" si="0"/>
        <v>0</v>
      </c>
      <c r="O63" s="66">
        <f t="shared" si="1"/>
        <v>0</v>
      </c>
    </row>
    <row r="64" spans="1:15" x14ac:dyDescent="0.3">
      <c r="A64" s="59">
        <v>3</v>
      </c>
      <c r="B64" s="58">
        <v>1</v>
      </c>
      <c r="C64" s="63">
        <v>63</v>
      </c>
      <c r="D64" s="84">
        <v>1</v>
      </c>
      <c r="E64" s="84" t="s">
        <v>81</v>
      </c>
      <c r="F64" s="84" t="s">
        <v>29</v>
      </c>
      <c r="G64" s="47" t="s">
        <v>42</v>
      </c>
      <c r="H64" s="47" t="s">
        <v>56</v>
      </c>
      <c r="I64" s="66"/>
      <c r="J64" s="65">
        <v>0</v>
      </c>
      <c r="K64" s="66"/>
      <c r="L64" s="57">
        <f>IF(Table1214[[#This Row],[modality]]=E63,1,0)</f>
        <v>0</v>
      </c>
      <c r="M64" s="66">
        <f>IF(Table1214[[#This Row],[stimulus]]=H65, 1, 0)</f>
        <v>0</v>
      </c>
      <c r="N64" s="66">
        <f t="shared" si="0"/>
        <v>1</v>
      </c>
      <c r="O64" s="66">
        <f t="shared" si="1"/>
        <v>0</v>
      </c>
    </row>
    <row r="65" spans="1:15" x14ac:dyDescent="0.3">
      <c r="A65" s="59">
        <v>3</v>
      </c>
      <c r="B65" s="58">
        <v>1</v>
      </c>
      <c r="C65" s="63">
        <v>64</v>
      </c>
      <c r="D65" s="84">
        <v>2</v>
      </c>
      <c r="E65" s="84" t="s">
        <v>80</v>
      </c>
      <c r="F65" s="84" t="s">
        <v>29</v>
      </c>
      <c r="G65" s="47" t="s">
        <v>42</v>
      </c>
      <c r="H65" s="47" t="s">
        <v>54</v>
      </c>
      <c r="I65" s="66"/>
      <c r="J65" s="65">
        <v>0</v>
      </c>
      <c r="K65" s="66"/>
      <c r="L65" s="57">
        <f>IF(Table1214[[#This Row],[modality]]=E64,1,0)</f>
        <v>0</v>
      </c>
      <c r="M65" s="66">
        <f>IF(Table1214[[#This Row],[stimulus]]=H66, 1, 0)</f>
        <v>0</v>
      </c>
      <c r="N65" s="66">
        <f t="shared" si="0"/>
        <v>0</v>
      </c>
      <c r="O65" s="66">
        <f t="shared" si="1"/>
        <v>1</v>
      </c>
    </row>
    <row r="66" spans="1:15" x14ac:dyDescent="0.3">
      <c r="A66" s="59">
        <v>3</v>
      </c>
      <c r="B66" s="58">
        <v>1</v>
      </c>
      <c r="C66" s="63">
        <v>65</v>
      </c>
      <c r="D66" s="69">
        <v>2</v>
      </c>
      <c r="E66" s="69" t="s">
        <v>80</v>
      </c>
      <c r="F66" s="70" t="s">
        <v>0</v>
      </c>
      <c r="G66" s="71" t="s">
        <v>41</v>
      </c>
      <c r="H66" s="71" t="s">
        <v>63</v>
      </c>
      <c r="I66" s="66"/>
      <c r="J66" s="66">
        <v>1</v>
      </c>
      <c r="K66" s="66" t="s">
        <v>9</v>
      </c>
      <c r="L66" s="57">
        <f>IF(Table1214[[#This Row],[modality]]=E65,1,0)</f>
        <v>1</v>
      </c>
      <c r="M66" s="66">
        <f>IF(Table1214[[#This Row],[stimulus]]=H67, 1, 0)</f>
        <v>1</v>
      </c>
      <c r="N66" s="66">
        <f t="shared" si="0"/>
        <v>0</v>
      </c>
      <c r="O66" s="66">
        <f t="shared" si="1"/>
        <v>1</v>
      </c>
    </row>
    <row r="67" spans="1:15" x14ac:dyDescent="0.3">
      <c r="A67" s="59">
        <v>3</v>
      </c>
      <c r="B67" s="58">
        <v>1</v>
      </c>
      <c r="C67" s="63">
        <v>66</v>
      </c>
      <c r="D67" s="67">
        <v>2</v>
      </c>
      <c r="E67" s="67" t="s">
        <v>80</v>
      </c>
      <c r="F67" s="68" t="s">
        <v>40</v>
      </c>
      <c r="G67" s="47" t="s">
        <v>9</v>
      </c>
      <c r="H67" s="47" t="s">
        <v>63</v>
      </c>
      <c r="I67" s="66"/>
      <c r="J67" s="65">
        <v>0</v>
      </c>
      <c r="K67" s="66"/>
      <c r="L67" s="57">
        <f>IF(Table1214[[#This Row],[modality]]=E66,1,0)</f>
        <v>1</v>
      </c>
      <c r="M67" s="66">
        <f>IF(Table1214[[#This Row],[stimulus]]=H68, 1, 0)</f>
        <v>0</v>
      </c>
      <c r="N67" s="66">
        <f t="shared" ref="N67:N130" si="2">IF(F66="T",1,0)</f>
        <v>0</v>
      </c>
      <c r="O67" s="66">
        <f t="shared" ref="O67:O130" si="3">IF(F66="F",1,0)</f>
        <v>0</v>
      </c>
    </row>
    <row r="68" spans="1:15" x14ac:dyDescent="0.3">
      <c r="A68" s="58">
        <v>3</v>
      </c>
      <c r="B68" s="58">
        <v>1</v>
      </c>
      <c r="C68" s="63">
        <v>67</v>
      </c>
      <c r="D68" s="79">
        <v>1</v>
      </c>
      <c r="E68" s="79" t="s">
        <v>81</v>
      </c>
      <c r="F68" s="80" t="s">
        <v>29</v>
      </c>
      <c r="G68" s="52" t="s">
        <v>42</v>
      </c>
      <c r="H68" s="52"/>
      <c r="I68" s="75" t="s">
        <v>127</v>
      </c>
      <c r="J68" s="65">
        <v>0</v>
      </c>
      <c r="K68" s="75"/>
      <c r="L68" s="57">
        <f>IF(Table1214[[#This Row],[modality]]=E67,1,0)</f>
        <v>0</v>
      </c>
      <c r="M68" s="66">
        <f>IF(Table1214[[#This Row],[stimulus]]=H69, 1, 0)</f>
        <v>0</v>
      </c>
      <c r="N68" s="66">
        <f t="shared" si="2"/>
        <v>1</v>
      </c>
      <c r="O68" s="66">
        <f t="shared" si="3"/>
        <v>0</v>
      </c>
    </row>
    <row r="69" spans="1:15" x14ac:dyDescent="0.3">
      <c r="A69" s="59">
        <v>3</v>
      </c>
      <c r="B69" s="58">
        <v>1</v>
      </c>
      <c r="C69" s="63">
        <v>68</v>
      </c>
      <c r="D69" s="57">
        <v>2</v>
      </c>
      <c r="E69" s="57" t="s">
        <v>80</v>
      </c>
      <c r="F69" s="65" t="s">
        <v>0</v>
      </c>
      <c r="G69" s="58" t="s">
        <v>41</v>
      </c>
      <c r="H69" s="58" t="s">
        <v>64</v>
      </c>
      <c r="I69" s="66"/>
      <c r="J69" s="65">
        <v>0</v>
      </c>
      <c r="K69" s="66"/>
      <c r="L69" s="57">
        <f>IF(Table1214[[#This Row],[modality]]=E68,1,0)</f>
        <v>0</v>
      </c>
      <c r="M69" s="66">
        <f>IF(Table1214[[#This Row],[stimulus]]=H70, 1, 0)</f>
        <v>1</v>
      </c>
      <c r="N69" s="66">
        <f t="shared" si="2"/>
        <v>0</v>
      </c>
      <c r="O69" s="66">
        <f t="shared" si="3"/>
        <v>1</v>
      </c>
    </row>
    <row r="70" spans="1:15" x14ac:dyDescent="0.3">
      <c r="A70" s="59">
        <v>3</v>
      </c>
      <c r="B70" s="58">
        <v>1</v>
      </c>
      <c r="C70" s="63">
        <v>69</v>
      </c>
      <c r="D70" s="67">
        <v>1</v>
      </c>
      <c r="E70" s="67" t="s">
        <v>81</v>
      </c>
      <c r="F70" s="68" t="s">
        <v>40</v>
      </c>
      <c r="G70" s="47" t="s">
        <v>10</v>
      </c>
      <c r="H70" s="47" t="s">
        <v>64</v>
      </c>
      <c r="I70" s="66"/>
      <c r="J70" s="65">
        <v>0</v>
      </c>
      <c r="K70" s="66"/>
      <c r="L70" s="57">
        <f>IF(Table1214[[#This Row],[modality]]=E69,1,0)</f>
        <v>0</v>
      </c>
      <c r="M70" s="66">
        <f>IF(Table1214[[#This Row],[stimulus]]=H71, 1, 0)</f>
        <v>0</v>
      </c>
      <c r="N70" s="66">
        <f t="shared" si="2"/>
        <v>0</v>
      </c>
      <c r="O70" s="66">
        <f t="shared" si="3"/>
        <v>0</v>
      </c>
    </row>
    <row r="71" spans="1:15" x14ac:dyDescent="0.3">
      <c r="A71" s="59">
        <v>3</v>
      </c>
      <c r="B71" s="58">
        <v>1</v>
      </c>
      <c r="C71" s="63">
        <v>70</v>
      </c>
      <c r="D71" s="84">
        <v>2</v>
      </c>
      <c r="E71" s="84" t="s">
        <v>80</v>
      </c>
      <c r="F71" s="84" t="s">
        <v>29</v>
      </c>
      <c r="G71" s="58" t="s">
        <v>42</v>
      </c>
      <c r="H71" s="58" t="s">
        <v>53</v>
      </c>
      <c r="I71" s="66"/>
      <c r="J71" s="66">
        <v>1</v>
      </c>
      <c r="K71" s="66" t="s">
        <v>10</v>
      </c>
      <c r="L71" s="57">
        <f>IF(Table1214[[#This Row],[modality]]=E70,1,0)</f>
        <v>0</v>
      </c>
      <c r="M71" s="66">
        <f>IF(Table1214[[#This Row],[stimulus]]=H72, 1, 0)</f>
        <v>0</v>
      </c>
      <c r="N71" s="66">
        <f t="shared" si="2"/>
        <v>1</v>
      </c>
      <c r="O71" s="66">
        <f t="shared" si="3"/>
        <v>0</v>
      </c>
    </row>
    <row r="72" spans="1:15" x14ac:dyDescent="0.3">
      <c r="A72" s="59">
        <v>3</v>
      </c>
      <c r="B72" s="58">
        <v>1</v>
      </c>
      <c r="C72" s="63">
        <v>71</v>
      </c>
      <c r="D72" s="67">
        <v>1</v>
      </c>
      <c r="E72" s="67" t="s">
        <v>81</v>
      </c>
      <c r="F72" s="68" t="s">
        <v>0</v>
      </c>
      <c r="G72" s="47" t="s">
        <v>41</v>
      </c>
      <c r="H72" s="47" t="s">
        <v>65</v>
      </c>
      <c r="I72" s="66"/>
      <c r="J72" s="66">
        <v>1</v>
      </c>
      <c r="K72" s="66" t="s">
        <v>10</v>
      </c>
      <c r="L72" s="57">
        <f>IF(Table1214[[#This Row],[modality]]=E71,1,0)</f>
        <v>0</v>
      </c>
      <c r="M72" s="66">
        <f>IF(Table1214[[#This Row],[stimulus]]=H73, 1, 0)</f>
        <v>1</v>
      </c>
      <c r="N72" s="66">
        <f t="shared" si="2"/>
        <v>0</v>
      </c>
      <c r="O72" s="66">
        <f t="shared" si="3"/>
        <v>1</v>
      </c>
    </row>
    <row r="73" spans="1:15" x14ac:dyDescent="0.3">
      <c r="A73" s="59">
        <v>3</v>
      </c>
      <c r="B73" s="58">
        <v>1</v>
      </c>
      <c r="C73" s="63">
        <v>72</v>
      </c>
      <c r="D73" s="57">
        <v>1</v>
      </c>
      <c r="E73" s="57" t="s">
        <v>81</v>
      </c>
      <c r="F73" s="65" t="s">
        <v>40</v>
      </c>
      <c r="G73" s="58" t="s">
        <v>9</v>
      </c>
      <c r="H73" s="58" t="s">
        <v>65</v>
      </c>
      <c r="I73" s="66"/>
      <c r="J73" s="65">
        <v>0</v>
      </c>
      <c r="K73" s="66"/>
      <c r="L73" s="57">
        <f>IF(Table1214[[#This Row],[modality]]=E72,1,0)</f>
        <v>1</v>
      </c>
      <c r="M73" s="66">
        <f>IF(Table1214[[#This Row],[stimulus]]=H74, 1, 0)</f>
        <v>0</v>
      </c>
      <c r="N73" s="66">
        <f t="shared" si="2"/>
        <v>0</v>
      </c>
      <c r="O73" s="66">
        <f t="shared" si="3"/>
        <v>0</v>
      </c>
    </row>
    <row r="74" spans="1:15" x14ac:dyDescent="0.3">
      <c r="A74" s="59">
        <v>3</v>
      </c>
      <c r="B74" s="58">
        <v>1</v>
      </c>
      <c r="C74" s="63">
        <v>73</v>
      </c>
      <c r="D74" s="84">
        <v>2</v>
      </c>
      <c r="E74" s="84" t="s">
        <v>80</v>
      </c>
      <c r="F74" s="84" t="s">
        <v>29</v>
      </c>
      <c r="G74" s="47" t="s">
        <v>42</v>
      </c>
      <c r="H74" s="47" t="s">
        <v>52</v>
      </c>
      <c r="I74" s="66"/>
      <c r="J74" s="65">
        <v>0</v>
      </c>
      <c r="K74" s="66"/>
      <c r="L74" s="57">
        <f>IF(Table1214[[#This Row],[modality]]=E73,1,0)</f>
        <v>0</v>
      </c>
      <c r="M74" s="66">
        <f>IF(Table1214[[#This Row],[stimulus]]=H75, 1, 0)</f>
        <v>0</v>
      </c>
      <c r="N74" s="66">
        <f t="shared" si="2"/>
        <v>1</v>
      </c>
      <c r="O74" s="66">
        <f t="shared" si="3"/>
        <v>0</v>
      </c>
    </row>
    <row r="75" spans="1:15" x14ac:dyDescent="0.3">
      <c r="A75" s="59">
        <v>3</v>
      </c>
      <c r="B75" s="58">
        <v>1</v>
      </c>
      <c r="C75" s="63">
        <v>74</v>
      </c>
      <c r="D75" s="84">
        <v>1</v>
      </c>
      <c r="E75" s="84" t="s">
        <v>81</v>
      </c>
      <c r="F75" s="84" t="s">
        <v>29</v>
      </c>
      <c r="G75" s="58" t="s">
        <v>42</v>
      </c>
      <c r="H75" s="58" t="s">
        <v>51</v>
      </c>
      <c r="I75" s="66"/>
      <c r="J75" s="66">
        <v>1</v>
      </c>
      <c r="K75" s="66" t="s">
        <v>10</v>
      </c>
      <c r="L75" s="57">
        <f>IF(Table1214[[#This Row],[modality]]=E74,1,0)</f>
        <v>0</v>
      </c>
      <c r="M75" s="66">
        <f>IF(Table1214[[#This Row],[stimulus]]=H76, 1, 0)</f>
        <v>0</v>
      </c>
      <c r="N75" s="66">
        <f t="shared" si="2"/>
        <v>0</v>
      </c>
      <c r="O75" s="66">
        <f t="shared" si="3"/>
        <v>1</v>
      </c>
    </row>
    <row r="76" spans="1:15" x14ac:dyDescent="0.3">
      <c r="A76" s="59">
        <v>3</v>
      </c>
      <c r="B76" s="58">
        <v>1</v>
      </c>
      <c r="C76" s="63">
        <v>75</v>
      </c>
      <c r="D76" s="69">
        <v>1</v>
      </c>
      <c r="E76" s="69" t="s">
        <v>81</v>
      </c>
      <c r="F76" s="70" t="s">
        <v>0</v>
      </c>
      <c r="G76" s="71" t="s">
        <v>41</v>
      </c>
      <c r="H76" s="71" t="s">
        <v>66</v>
      </c>
      <c r="I76" s="66"/>
      <c r="J76" s="66">
        <v>1</v>
      </c>
      <c r="K76" s="66" t="s">
        <v>9</v>
      </c>
      <c r="L76" s="57">
        <f>IF(Table1214[[#This Row],[modality]]=E75,1,0)</f>
        <v>1</v>
      </c>
      <c r="M76" s="66">
        <f>IF(Table1214[[#This Row],[stimulus]]=H77, 1, 0)</f>
        <v>1</v>
      </c>
      <c r="N76" s="66">
        <f t="shared" si="2"/>
        <v>0</v>
      </c>
      <c r="O76" s="66">
        <f t="shared" si="3"/>
        <v>1</v>
      </c>
    </row>
    <row r="77" spans="1:15" x14ac:dyDescent="0.3">
      <c r="A77" s="59">
        <v>3</v>
      </c>
      <c r="B77" s="58">
        <v>1</v>
      </c>
      <c r="C77" s="63">
        <v>76</v>
      </c>
      <c r="D77" s="57">
        <v>1</v>
      </c>
      <c r="E77" s="57" t="s">
        <v>81</v>
      </c>
      <c r="F77" s="65" t="s">
        <v>40</v>
      </c>
      <c r="G77" s="58" t="s">
        <v>9</v>
      </c>
      <c r="H77" s="58" t="s">
        <v>66</v>
      </c>
      <c r="I77" s="66"/>
      <c r="J77" s="65">
        <v>0</v>
      </c>
      <c r="K77" s="66"/>
      <c r="L77" s="57">
        <f>IF(Table1214[[#This Row],[modality]]=E76,1,0)</f>
        <v>1</v>
      </c>
      <c r="M77" s="66">
        <f>IF(Table1214[[#This Row],[stimulus]]=H78, 1, 0)</f>
        <v>0</v>
      </c>
      <c r="N77" s="66">
        <f t="shared" si="2"/>
        <v>0</v>
      </c>
      <c r="O77" s="66">
        <f t="shared" si="3"/>
        <v>0</v>
      </c>
    </row>
    <row r="78" spans="1:15" x14ac:dyDescent="0.3">
      <c r="A78" s="58">
        <v>4</v>
      </c>
      <c r="B78" s="58">
        <v>1</v>
      </c>
      <c r="C78" s="63">
        <v>77</v>
      </c>
      <c r="D78" s="91">
        <v>2</v>
      </c>
      <c r="E78" s="91" t="s">
        <v>80</v>
      </c>
      <c r="F78" s="91" t="s">
        <v>29</v>
      </c>
      <c r="G78" s="71" t="s">
        <v>42</v>
      </c>
      <c r="H78" s="71" t="s">
        <v>59</v>
      </c>
      <c r="I78" s="66"/>
      <c r="J78" s="65">
        <v>0</v>
      </c>
      <c r="K78" s="66"/>
      <c r="L78" s="57">
        <f>IF(Table1214[[#This Row],[modality]]=E77,1,0)</f>
        <v>0</v>
      </c>
      <c r="M78" s="66">
        <f>IF(Table1214[[#This Row],[stimulus]]=H79, 1, 0)</f>
        <v>0</v>
      </c>
      <c r="N78" s="66">
        <f t="shared" si="2"/>
        <v>1</v>
      </c>
      <c r="O78" s="66">
        <f t="shared" si="3"/>
        <v>0</v>
      </c>
    </row>
    <row r="79" spans="1:15" x14ac:dyDescent="0.3">
      <c r="A79" s="58">
        <v>4</v>
      </c>
      <c r="B79" s="58">
        <v>1</v>
      </c>
      <c r="C79" s="63">
        <v>78</v>
      </c>
      <c r="D79" s="67">
        <v>1</v>
      </c>
      <c r="E79" s="67" t="s">
        <v>81</v>
      </c>
      <c r="F79" s="68" t="s">
        <v>0</v>
      </c>
      <c r="G79" s="47" t="s">
        <v>41</v>
      </c>
      <c r="H79" s="47" t="s">
        <v>74</v>
      </c>
      <c r="I79" s="66"/>
      <c r="J79" s="66">
        <v>1</v>
      </c>
      <c r="K79" s="66" t="s">
        <v>10</v>
      </c>
      <c r="L79" s="57">
        <f>IF(Table1214[[#This Row],[modality]]=E78,1,0)</f>
        <v>0</v>
      </c>
      <c r="M79" s="66">
        <f>IF(Table1214[[#This Row],[stimulus]]=H80, 1, 0)</f>
        <v>1</v>
      </c>
      <c r="N79" s="66">
        <f t="shared" si="2"/>
        <v>0</v>
      </c>
      <c r="O79" s="66">
        <f t="shared" si="3"/>
        <v>1</v>
      </c>
    </row>
    <row r="80" spans="1:15" x14ac:dyDescent="0.3">
      <c r="A80" s="58">
        <v>4</v>
      </c>
      <c r="B80" s="58">
        <v>1</v>
      </c>
      <c r="C80" s="63">
        <v>79</v>
      </c>
      <c r="D80" s="69">
        <v>1</v>
      </c>
      <c r="E80" s="69" t="s">
        <v>81</v>
      </c>
      <c r="F80" s="70" t="s">
        <v>40</v>
      </c>
      <c r="G80" s="71" t="s">
        <v>9</v>
      </c>
      <c r="H80" s="71" t="s">
        <v>74</v>
      </c>
      <c r="I80" s="66"/>
      <c r="J80" s="65">
        <v>0</v>
      </c>
      <c r="K80" s="66"/>
      <c r="L80" s="57">
        <f>IF(Table1214[[#This Row],[modality]]=E79,1,0)</f>
        <v>1</v>
      </c>
      <c r="M80" s="66">
        <f>IF(Table1214[[#This Row],[stimulus]]=H81, 1, 0)</f>
        <v>0</v>
      </c>
      <c r="N80" s="66">
        <f t="shared" si="2"/>
        <v>0</v>
      </c>
      <c r="O80" s="66">
        <f t="shared" si="3"/>
        <v>0</v>
      </c>
    </row>
    <row r="81" spans="1:18" x14ac:dyDescent="0.3">
      <c r="A81" s="58">
        <v>4</v>
      </c>
      <c r="B81" s="58">
        <v>1</v>
      </c>
      <c r="C81" s="63">
        <v>80</v>
      </c>
      <c r="D81" s="67">
        <v>1</v>
      </c>
      <c r="E81" s="67" t="s">
        <v>81</v>
      </c>
      <c r="F81" s="68" t="s">
        <v>0</v>
      </c>
      <c r="G81" s="47" t="s">
        <v>41</v>
      </c>
      <c r="H81" s="47" t="s">
        <v>73</v>
      </c>
      <c r="I81" s="66"/>
      <c r="J81" s="65">
        <v>0</v>
      </c>
      <c r="K81" s="66"/>
      <c r="L81" s="57">
        <f>IF(Table1214[[#This Row],[modality]]=E80,1,0)</f>
        <v>1</v>
      </c>
      <c r="M81" s="66">
        <f>IF(Table1214[[#This Row],[stimulus]]=H82, 1, 0)</f>
        <v>1</v>
      </c>
      <c r="N81" s="66">
        <f t="shared" si="2"/>
        <v>1</v>
      </c>
      <c r="O81" s="66">
        <f t="shared" si="3"/>
        <v>0</v>
      </c>
    </row>
    <row r="82" spans="1:18" x14ac:dyDescent="0.3">
      <c r="A82" s="58">
        <v>4</v>
      </c>
      <c r="B82" s="58">
        <v>1</v>
      </c>
      <c r="C82" s="63">
        <v>81</v>
      </c>
      <c r="D82" s="69">
        <v>2</v>
      </c>
      <c r="E82" s="69" t="s">
        <v>80</v>
      </c>
      <c r="F82" s="70" t="s">
        <v>40</v>
      </c>
      <c r="G82" s="71" t="s">
        <v>10</v>
      </c>
      <c r="H82" s="71" t="s">
        <v>73</v>
      </c>
      <c r="I82" s="66"/>
      <c r="J82" s="65">
        <v>0</v>
      </c>
      <c r="K82" s="66"/>
      <c r="L82" s="57">
        <f>IF(Table1214[[#This Row],[modality]]=E81,1,0)</f>
        <v>0</v>
      </c>
      <c r="M82" s="66">
        <f>IF(Table1214[[#This Row],[stimulus]]=H83, 1, 0)</f>
        <v>0</v>
      </c>
      <c r="N82" s="66">
        <f t="shared" si="2"/>
        <v>0</v>
      </c>
      <c r="O82" s="66">
        <f t="shared" si="3"/>
        <v>0</v>
      </c>
    </row>
    <row r="83" spans="1:18" x14ac:dyDescent="0.3">
      <c r="A83" s="58">
        <v>4</v>
      </c>
      <c r="B83" s="58">
        <v>1</v>
      </c>
      <c r="C83" s="63">
        <v>82</v>
      </c>
      <c r="D83" s="91">
        <v>2</v>
      </c>
      <c r="E83" s="91" t="s">
        <v>80</v>
      </c>
      <c r="F83" s="91" t="s">
        <v>29</v>
      </c>
      <c r="G83" s="58" t="s">
        <v>42</v>
      </c>
      <c r="H83" s="58" t="s">
        <v>61</v>
      </c>
      <c r="I83" s="66"/>
      <c r="J83" s="66">
        <v>1</v>
      </c>
      <c r="K83" s="66" t="s">
        <v>9</v>
      </c>
      <c r="L83" s="57">
        <f>IF(Table1214[[#This Row],[modality]]=E82,1,0)</f>
        <v>1</v>
      </c>
      <c r="M83" s="66">
        <f>IF(Table1214[[#This Row],[stimulus]]=H84, 1, 0)</f>
        <v>0</v>
      </c>
      <c r="N83" s="66">
        <f t="shared" si="2"/>
        <v>1</v>
      </c>
      <c r="O83" s="66">
        <f t="shared" si="3"/>
        <v>0</v>
      </c>
    </row>
    <row r="84" spans="1:18" x14ac:dyDescent="0.3">
      <c r="A84" s="58">
        <v>4</v>
      </c>
      <c r="B84" s="58">
        <v>1</v>
      </c>
      <c r="C84" s="63">
        <v>83</v>
      </c>
      <c r="D84" s="91">
        <v>1</v>
      </c>
      <c r="E84" s="91" t="s">
        <v>81</v>
      </c>
      <c r="F84" s="91" t="s">
        <v>29</v>
      </c>
      <c r="G84" s="47" t="s">
        <v>42</v>
      </c>
      <c r="H84" s="47" t="s">
        <v>60</v>
      </c>
      <c r="I84" s="66"/>
      <c r="J84" s="65">
        <v>0</v>
      </c>
      <c r="K84" s="66"/>
      <c r="L84" s="57">
        <f>IF(Table1214[[#This Row],[modality]]=E83,1,0)</f>
        <v>0</v>
      </c>
      <c r="M84" s="66">
        <f>IF(Table1214[[#This Row],[stimulus]]=H85, 1, 0)</f>
        <v>0</v>
      </c>
      <c r="N84" s="66">
        <f t="shared" si="2"/>
        <v>0</v>
      </c>
      <c r="O84" s="66">
        <f t="shared" si="3"/>
        <v>1</v>
      </c>
    </row>
    <row r="85" spans="1:18" x14ac:dyDescent="0.3">
      <c r="A85" s="58">
        <v>4</v>
      </c>
      <c r="B85" s="58">
        <v>1</v>
      </c>
      <c r="C85" s="63">
        <v>84</v>
      </c>
      <c r="D85" s="67">
        <v>2</v>
      </c>
      <c r="E85" s="67" t="s">
        <v>80</v>
      </c>
      <c r="F85" s="68" t="s">
        <v>0</v>
      </c>
      <c r="G85" s="47" t="s">
        <v>41</v>
      </c>
      <c r="H85" s="47" t="s">
        <v>72</v>
      </c>
      <c r="I85" s="66"/>
      <c r="J85" s="66">
        <v>1</v>
      </c>
      <c r="K85" s="66" t="s">
        <v>10</v>
      </c>
      <c r="L85" s="57">
        <f>IF(Table1214[[#This Row],[modality]]=E84,1,0)</f>
        <v>0</v>
      </c>
      <c r="M85" s="66">
        <f>IF(Table1214[[#This Row],[stimulus]]=H86, 1, 0)</f>
        <v>1</v>
      </c>
      <c r="N85" s="66">
        <f t="shared" si="2"/>
        <v>0</v>
      </c>
      <c r="O85" s="66">
        <f t="shared" si="3"/>
        <v>1</v>
      </c>
    </row>
    <row r="86" spans="1:18" x14ac:dyDescent="0.3">
      <c r="A86" s="58">
        <v>4</v>
      </c>
      <c r="B86" s="58">
        <v>1</v>
      </c>
      <c r="C86" s="63">
        <v>85</v>
      </c>
      <c r="D86" s="69">
        <v>2</v>
      </c>
      <c r="E86" s="69" t="s">
        <v>80</v>
      </c>
      <c r="F86" s="70" t="s">
        <v>40</v>
      </c>
      <c r="G86" s="71" t="s">
        <v>9</v>
      </c>
      <c r="H86" s="71" t="s">
        <v>72</v>
      </c>
      <c r="I86" s="66"/>
      <c r="J86" s="65">
        <v>0</v>
      </c>
      <c r="K86" s="66"/>
      <c r="L86" s="57">
        <f>IF(Table1214[[#This Row],[modality]]=E85,1,0)</f>
        <v>1</v>
      </c>
      <c r="M86" s="66">
        <f>IF(Table1214[[#This Row],[stimulus]]=H87, 1, 0)</f>
        <v>0</v>
      </c>
      <c r="N86" s="66">
        <f t="shared" si="2"/>
        <v>0</v>
      </c>
      <c r="O86" s="66">
        <f t="shared" si="3"/>
        <v>0</v>
      </c>
    </row>
    <row r="87" spans="1:18" x14ac:dyDescent="0.3">
      <c r="A87" s="58">
        <v>4</v>
      </c>
      <c r="B87" s="58">
        <v>1</v>
      </c>
      <c r="C87" s="63">
        <v>86</v>
      </c>
      <c r="D87" s="67">
        <v>2</v>
      </c>
      <c r="E87" s="67" t="s">
        <v>80</v>
      </c>
      <c r="F87" s="68" t="s">
        <v>0</v>
      </c>
      <c r="G87" s="47" t="s">
        <v>41</v>
      </c>
      <c r="H87" s="47" t="s">
        <v>71</v>
      </c>
      <c r="I87" s="66"/>
      <c r="J87" s="66">
        <v>1</v>
      </c>
      <c r="K87" s="66" t="s">
        <v>9</v>
      </c>
      <c r="L87" s="57">
        <f>IF(Table1214[[#This Row],[modality]]=E86,1,0)</f>
        <v>1</v>
      </c>
      <c r="M87" s="66">
        <f>IF(Table1214[[#This Row],[stimulus]]=H88, 1, 0)</f>
        <v>1</v>
      </c>
      <c r="N87" s="66">
        <f t="shared" si="2"/>
        <v>1</v>
      </c>
      <c r="O87" s="66">
        <f t="shared" si="3"/>
        <v>0</v>
      </c>
    </row>
    <row r="88" spans="1:18" x14ac:dyDescent="0.3">
      <c r="A88" s="58">
        <v>4</v>
      </c>
      <c r="B88" s="58">
        <v>1</v>
      </c>
      <c r="C88" s="63">
        <v>87</v>
      </c>
      <c r="D88" s="69">
        <v>1</v>
      </c>
      <c r="E88" s="69" t="s">
        <v>81</v>
      </c>
      <c r="F88" s="70" t="s">
        <v>40</v>
      </c>
      <c r="G88" s="71" t="s">
        <v>10</v>
      </c>
      <c r="H88" s="71" t="s">
        <v>71</v>
      </c>
      <c r="I88" s="66"/>
      <c r="J88" s="65">
        <v>0</v>
      </c>
      <c r="K88" s="66"/>
      <c r="L88" s="57">
        <f>IF(Table1214[[#This Row],[modality]]=E87,1,0)</f>
        <v>0</v>
      </c>
      <c r="M88" s="66">
        <f>IF(Table1214[[#This Row],[stimulus]]=H89, 1, 0)</f>
        <v>0</v>
      </c>
      <c r="N88" s="66">
        <f t="shared" si="2"/>
        <v>0</v>
      </c>
      <c r="O88" s="66">
        <f t="shared" si="3"/>
        <v>0</v>
      </c>
      <c r="R88" t="s">
        <v>19</v>
      </c>
    </row>
    <row r="89" spans="1:18" x14ac:dyDescent="0.3">
      <c r="A89" s="58">
        <v>4</v>
      </c>
      <c r="B89" s="58">
        <v>1</v>
      </c>
      <c r="C89" s="63">
        <v>88</v>
      </c>
      <c r="D89" s="91">
        <v>2</v>
      </c>
      <c r="E89" s="91" t="s">
        <v>80</v>
      </c>
      <c r="F89" s="91" t="s">
        <v>29</v>
      </c>
      <c r="G89" s="47" t="s">
        <v>42</v>
      </c>
      <c r="H89" s="47" t="s">
        <v>62</v>
      </c>
      <c r="I89" s="66"/>
      <c r="J89" s="65">
        <v>0</v>
      </c>
      <c r="K89" s="66"/>
      <c r="L89" s="57">
        <f>IF(Table1214[[#This Row],[modality]]=E88,1,0)</f>
        <v>0</v>
      </c>
      <c r="M89" s="66">
        <f>IF(Table1214[[#This Row],[stimulus]]=H90, 1, 0)</f>
        <v>0</v>
      </c>
      <c r="N89" s="66">
        <f t="shared" si="2"/>
        <v>1</v>
      </c>
      <c r="O89" s="66">
        <f t="shared" si="3"/>
        <v>0</v>
      </c>
    </row>
    <row r="90" spans="1:18" x14ac:dyDescent="0.3">
      <c r="A90" s="58">
        <v>4</v>
      </c>
      <c r="B90" s="58">
        <v>1</v>
      </c>
      <c r="C90" s="63">
        <v>89</v>
      </c>
      <c r="D90" s="91">
        <v>1</v>
      </c>
      <c r="E90" s="91" t="s">
        <v>81</v>
      </c>
      <c r="F90" s="91" t="s">
        <v>29</v>
      </c>
      <c r="G90" s="71" t="s">
        <v>42</v>
      </c>
      <c r="H90" s="71" t="s">
        <v>63</v>
      </c>
      <c r="I90" s="66"/>
      <c r="J90" s="65">
        <v>0</v>
      </c>
      <c r="K90" s="66"/>
      <c r="L90" s="57">
        <f>IF(Table1214[[#This Row],[modality]]=E89,1,0)</f>
        <v>0</v>
      </c>
      <c r="M90" s="66">
        <f>IF(Table1214[[#This Row],[stimulus]]=H91, 1, 0)</f>
        <v>0</v>
      </c>
      <c r="N90" s="66">
        <f t="shared" si="2"/>
        <v>0</v>
      </c>
      <c r="O90" s="66">
        <f t="shared" si="3"/>
        <v>1</v>
      </c>
    </row>
    <row r="91" spans="1:18" x14ac:dyDescent="0.3">
      <c r="A91" s="58">
        <v>4</v>
      </c>
      <c r="B91" s="58">
        <v>1</v>
      </c>
      <c r="C91" s="63">
        <v>90</v>
      </c>
      <c r="D91" s="57">
        <v>1</v>
      </c>
      <c r="E91" s="57" t="s">
        <v>81</v>
      </c>
      <c r="F91" s="65" t="s">
        <v>0</v>
      </c>
      <c r="G91" s="58" t="s">
        <v>41</v>
      </c>
      <c r="H91" s="58" t="s">
        <v>70</v>
      </c>
      <c r="I91" s="66"/>
      <c r="J91" s="66">
        <v>1</v>
      </c>
      <c r="K91" s="66" t="s">
        <v>9</v>
      </c>
      <c r="L91" s="57">
        <f>IF(Table1214[[#This Row],[modality]]=E90,1,0)</f>
        <v>1</v>
      </c>
      <c r="M91" s="66">
        <f>IF(Table1214[[#This Row],[stimulus]]=H92, 1, 0)</f>
        <v>1</v>
      </c>
      <c r="N91" s="66">
        <f t="shared" si="2"/>
        <v>0</v>
      </c>
      <c r="O91" s="66">
        <f t="shared" si="3"/>
        <v>1</v>
      </c>
    </row>
    <row r="92" spans="1:18" x14ac:dyDescent="0.3">
      <c r="A92" s="58">
        <v>4</v>
      </c>
      <c r="B92" s="58">
        <v>1</v>
      </c>
      <c r="C92" s="63">
        <v>91</v>
      </c>
      <c r="D92" s="67">
        <v>2</v>
      </c>
      <c r="E92" s="67" t="s">
        <v>80</v>
      </c>
      <c r="F92" s="68" t="s">
        <v>40</v>
      </c>
      <c r="G92" s="47" t="s">
        <v>10</v>
      </c>
      <c r="H92" s="47" t="s">
        <v>70</v>
      </c>
      <c r="I92" s="66"/>
      <c r="J92" s="65">
        <v>0</v>
      </c>
      <c r="K92" s="66"/>
      <c r="L92" s="57">
        <f>IF(Table1214[[#This Row],[modality]]=E91,1,0)</f>
        <v>0</v>
      </c>
      <c r="M92" s="66">
        <f>IF(Table1214[[#This Row],[stimulus]]=H93, 1, 0)</f>
        <v>0</v>
      </c>
      <c r="N92" s="66">
        <f t="shared" si="2"/>
        <v>0</v>
      </c>
      <c r="O92" s="66">
        <f t="shared" si="3"/>
        <v>0</v>
      </c>
    </row>
    <row r="93" spans="1:18" x14ac:dyDescent="0.3">
      <c r="A93" s="58">
        <v>4</v>
      </c>
      <c r="B93" s="58">
        <v>1</v>
      </c>
      <c r="C93" s="63">
        <v>92</v>
      </c>
      <c r="D93" s="57">
        <v>2</v>
      </c>
      <c r="E93" s="57" t="s">
        <v>80</v>
      </c>
      <c r="F93" s="65" t="s">
        <v>0</v>
      </c>
      <c r="G93" s="58" t="s">
        <v>41</v>
      </c>
      <c r="H93" s="58" t="s">
        <v>69</v>
      </c>
      <c r="I93" s="66"/>
      <c r="J93" s="65">
        <v>0</v>
      </c>
      <c r="K93" s="66"/>
      <c r="L93" s="57">
        <f>IF(Table1214[[#This Row],[modality]]=E92,1,0)</f>
        <v>1</v>
      </c>
      <c r="M93" s="66">
        <f>IF(Table1214[[#This Row],[stimulus]]=H94, 1, 0)</f>
        <v>1</v>
      </c>
      <c r="N93" s="66">
        <f t="shared" si="2"/>
        <v>1</v>
      </c>
      <c r="O93" s="66">
        <f t="shared" si="3"/>
        <v>0</v>
      </c>
    </row>
    <row r="94" spans="1:18" x14ac:dyDescent="0.3">
      <c r="A94" s="58">
        <v>4</v>
      </c>
      <c r="B94" s="58">
        <v>1</v>
      </c>
      <c r="C94" s="63">
        <v>93</v>
      </c>
      <c r="D94" s="67">
        <v>2</v>
      </c>
      <c r="E94" s="67" t="s">
        <v>80</v>
      </c>
      <c r="F94" s="68" t="s">
        <v>40</v>
      </c>
      <c r="G94" s="47" t="s">
        <v>9</v>
      </c>
      <c r="H94" s="47" t="s">
        <v>69</v>
      </c>
      <c r="I94" s="66"/>
      <c r="J94" s="65">
        <v>0</v>
      </c>
      <c r="K94" s="66"/>
      <c r="L94" s="57">
        <f>IF(Table1214[[#This Row],[modality]]=E93,1,0)</f>
        <v>1</v>
      </c>
      <c r="M94" s="66">
        <f>IF(Table1214[[#This Row],[stimulus]]=H95, 1, 0)</f>
        <v>0</v>
      </c>
      <c r="N94" s="66">
        <f t="shared" si="2"/>
        <v>0</v>
      </c>
      <c r="O94" s="66">
        <f t="shared" si="3"/>
        <v>0</v>
      </c>
    </row>
    <row r="95" spans="1:18" x14ac:dyDescent="0.3">
      <c r="A95" s="58">
        <v>4</v>
      </c>
      <c r="B95" s="58">
        <v>1</v>
      </c>
      <c r="C95" s="63">
        <v>94</v>
      </c>
      <c r="D95" s="79">
        <v>1</v>
      </c>
      <c r="E95" s="79" t="s">
        <v>81</v>
      </c>
      <c r="F95" s="80" t="s">
        <v>29</v>
      </c>
      <c r="G95" s="52" t="s">
        <v>42</v>
      </c>
      <c r="H95" s="52"/>
      <c r="I95" s="75" t="s">
        <v>127</v>
      </c>
      <c r="J95" s="65">
        <v>0</v>
      </c>
      <c r="K95" s="66"/>
      <c r="L95" s="57">
        <f>IF(Table1214[[#This Row],[modality]]=E94,1,0)</f>
        <v>0</v>
      </c>
      <c r="M95" s="66">
        <f>IF(Table1214[[#This Row],[stimulus]]=H96, 1, 0)</f>
        <v>0</v>
      </c>
      <c r="N95" s="66">
        <f t="shared" si="2"/>
        <v>1</v>
      </c>
      <c r="O95" s="66">
        <f t="shared" si="3"/>
        <v>0</v>
      </c>
    </row>
    <row r="96" spans="1:18" x14ac:dyDescent="0.3">
      <c r="A96" s="58">
        <v>4</v>
      </c>
      <c r="B96" s="58">
        <v>1</v>
      </c>
      <c r="C96" s="63">
        <v>95</v>
      </c>
      <c r="D96" s="91">
        <v>2</v>
      </c>
      <c r="E96" s="91" t="s">
        <v>80</v>
      </c>
      <c r="F96" s="91" t="s">
        <v>29</v>
      </c>
      <c r="G96" s="71" t="s">
        <v>42</v>
      </c>
      <c r="H96" s="71" t="s">
        <v>65</v>
      </c>
      <c r="I96" s="66"/>
      <c r="J96" s="65">
        <v>0</v>
      </c>
      <c r="K96" s="66"/>
      <c r="L96" s="57">
        <f>IF(Table1214[[#This Row],[modality]]=E95,1,0)</f>
        <v>0</v>
      </c>
      <c r="M96" s="66">
        <f>IF(Table1214[[#This Row],[stimulus]]=H97, 1, 0)</f>
        <v>0</v>
      </c>
      <c r="N96" s="66">
        <f t="shared" si="2"/>
        <v>0</v>
      </c>
      <c r="O96" s="66">
        <f t="shared" si="3"/>
        <v>1</v>
      </c>
    </row>
    <row r="97" spans="1:15" x14ac:dyDescent="0.3">
      <c r="A97" s="58">
        <v>4</v>
      </c>
      <c r="B97" s="58">
        <v>1</v>
      </c>
      <c r="C97" s="63">
        <v>96</v>
      </c>
      <c r="D97" s="67">
        <v>2</v>
      </c>
      <c r="E97" s="67" t="s">
        <v>80</v>
      </c>
      <c r="F97" s="68" t="s">
        <v>0</v>
      </c>
      <c r="G97" s="47" t="s">
        <v>41</v>
      </c>
      <c r="H97" s="47" t="s">
        <v>68</v>
      </c>
      <c r="I97" s="66"/>
      <c r="J97" s="65">
        <v>0</v>
      </c>
      <c r="K97" s="66"/>
      <c r="L97" s="57">
        <f>IF(Table1214[[#This Row],[modality]]=E96,1,0)</f>
        <v>1</v>
      </c>
      <c r="M97" s="66">
        <f>IF(Table1214[[#This Row],[stimulus]]=H98, 1, 0)</f>
        <v>1</v>
      </c>
      <c r="N97" s="66">
        <f t="shared" si="2"/>
        <v>0</v>
      </c>
      <c r="O97" s="66">
        <f t="shared" si="3"/>
        <v>1</v>
      </c>
    </row>
    <row r="98" spans="1:15" x14ac:dyDescent="0.3">
      <c r="A98" s="58">
        <v>4</v>
      </c>
      <c r="B98" s="58">
        <v>1</v>
      </c>
      <c r="C98" s="63">
        <v>97</v>
      </c>
      <c r="D98" s="69">
        <v>1</v>
      </c>
      <c r="E98" s="69" t="s">
        <v>81</v>
      </c>
      <c r="F98" s="70" t="s">
        <v>40</v>
      </c>
      <c r="G98" s="71" t="s">
        <v>10</v>
      </c>
      <c r="H98" s="71" t="s">
        <v>68</v>
      </c>
      <c r="I98" s="66"/>
      <c r="J98" s="65">
        <v>0</v>
      </c>
      <c r="K98" s="66"/>
      <c r="L98" s="57">
        <f>IF(Table1214[[#This Row],[modality]]=E97,1,0)</f>
        <v>0</v>
      </c>
      <c r="M98" s="66">
        <f>IF(Table1214[[#This Row],[stimulus]]=H99, 1, 0)</f>
        <v>0</v>
      </c>
      <c r="N98" s="66">
        <f t="shared" si="2"/>
        <v>0</v>
      </c>
      <c r="O98" s="66">
        <f t="shared" si="3"/>
        <v>0</v>
      </c>
    </row>
    <row r="99" spans="1:15" x14ac:dyDescent="0.3">
      <c r="A99" s="58">
        <v>4</v>
      </c>
      <c r="B99" s="58">
        <v>1</v>
      </c>
      <c r="C99" s="63">
        <v>98</v>
      </c>
      <c r="D99" s="57">
        <v>1</v>
      </c>
      <c r="E99" s="57" t="s">
        <v>81</v>
      </c>
      <c r="F99" s="65" t="s">
        <v>0</v>
      </c>
      <c r="G99" s="58" t="s">
        <v>41</v>
      </c>
      <c r="H99" s="58" t="s">
        <v>67</v>
      </c>
      <c r="I99" s="66"/>
      <c r="J99" s="65">
        <v>0</v>
      </c>
      <c r="K99" s="66"/>
      <c r="L99" s="57">
        <f>IF(Table1214[[#This Row],[modality]]=E98,1,0)</f>
        <v>1</v>
      </c>
      <c r="M99" s="66">
        <f>IF(Table1214[[#This Row],[stimulus]]=H100, 1, 0)</f>
        <v>1</v>
      </c>
      <c r="N99" s="66">
        <f t="shared" si="2"/>
        <v>1</v>
      </c>
      <c r="O99" s="66">
        <f t="shared" si="3"/>
        <v>0</v>
      </c>
    </row>
    <row r="100" spans="1:15" x14ac:dyDescent="0.3">
      <c r="A100" s="58">
        <v>4</v>
      </c>
      <c r="B100" s="58">
        <v>1</v>
      </c>
      <c r="C100" s="63">
        <v>99</v>
      </c>
      <c r="D100" s="67">
        <v>1</v>
      </c>
      <c r="E100" s="67" t="s">
        <v>81</v>
      </c>
      <c r="F100" s="68" t="s">
        <v>40</v>
      </c>
      <c r="G100" s="47" t="s">
        <v>9</v>
      </c>
      <c r="H100" s="47" t="s">
        <v>67</v>
      </c>
      <c r="I100" s="66"/>
      <c r="J100" s="65">
        <v>0</v>
      </c>
      <c r="K100" s="66"/>
      <c r="L100" s="57">
        <f>IF(Table1214[[#This Row],[modality]]=E99,1,0)</f>
        <v>1</v>
      </c>
      <c r="M100" s="66">
        <f>IF(Table1214[[#This Row],[stimulus]]=H101, 1, 0)</f>
        <v>0</v>
      </c>
      <c r="N100" s="66">
        <f t="shared" si="2"/>
        <v>0</v>
      </c>
      <c r="O100" s="66">
        <f t="shared" si="3"/>
        <v>0</v>
      </c>
    </row>
    <row r="101" spans="1:15" x14ac:dyDescent="0.3">
      <c r="A101" s="58">
        <v>4</v>
      </c>
      <c r="B101" s="58">
        <v>1</v>
      </c>
      <c r="C101" s="63">
        <v>100</v>
      </c>
      <c r="D101" s="91">
        <v>1</v>
      </c>
      <c r="E101" s="91" t="s">
        <v>80</v>
      </c>
      <c r="F101" s="91" t="s">
        <v>29</v>
      </c>
      <c r="G101" s="47" t="s">
        <v>42</v>
      </c>
      <c r="H101" s="47" t="s">
        <v>66</v>
      </c>
      <c r="I101" s="66"/>
      <c r="J101" s="65">
        <v>0</v>
      </c>
      <c r="K101" s="66"/>
      <c r="L101" s="57">
        <f>IF(Table1214[[#This Row],[modality]]=E100,1,0)</f>
        <v>0</v>
      </c>
      <c r="M101" s="66">
        <f>IF(Table1214[[#This Row],[stimulus]]=H102, 1, 0)</f>
        <v>0</v>
      </c>
      <c r="N101" s="66">
        <f t="shared" si="2"/>
        <v>1</v>
      </c>
      <c r="O101" s="66">
        <f t="shared" si="3"/>
        <v>0</v>
      </c>
    </row>
    <row r="102" spans="1:15" x14ac:dyDescent="0.3">
      <c r="A102" s="58">
        <v>4</v>
      </c>
      <c r="B102" s="58">
        <v>1</v>
      </c>
      <c r="C102" s="63">
        <v>101</v>
      </c>
      <c r="D102" s="91">
        <v>1</v>
      </c>
      <c r="E102" s="91" t="s">
        <v>81</v>
      </c>
      <c r="F102" s="91" t="s">
        <v>29</v>
      </c>
      <c r="G102" s="47" t="s">
        <v>42</v>
      </c>
      <c r="H102" s="47" t="s">
        <v>64</v>
      </c>
      <c r="I102" s="66"/>
      <c r="J102" s="65">
        <v>0</v>
      </c>
      <c r="K102" s="75"/>
      <c r="L102" s="57">
        <f>IF(Table1214[[#This Row],[modality]]=E101,1,0)</f>
        <v>0</v>
      </c>
      <c r="M102" s="66">
        <f>IF(Table1214[[#This Row],[stimulus]]=H103, 1, 0)</f>
        <v>0</v>
      </c>
      <c r="N102" s="66">
        <f t="shared" si="2"/>
        <v>0</v>
      </c>
      <c r="O102" s="66">
        <f t="shared" si="3"/>
        <v>1</v>
      </c>
    </row>
    <row r="103" spans="1:15" x14ac:dyDescent="0.3">
      <c r="A103" s="63" t="s">
        <v>25</v>
      </c>
      <c r="B103" s="63"/>
      <c r="C103" s="63">
        <v>102</v>
      </c>
      <c r="D103" s="66"/>
      <c r="E103" s="66" t="s">
        <v>142</v>
      </c>
      <c r="F103" s="66" t="s">
        <v>142</v>
      </c>
      <c r="G103" s="63"/>
      <c r="H103" s="63"/>
      <c r="I103" s="66"/>
      <c r="J103" s="65">
        <v>0</v>
      </c>
      <c r="K103" s="66"/>
      <c r="L103" s="57">
        <f>IF(Table1214[[#This Row],[modality]]=E102,1,0)</f>
        <v>0</v>
      </c>
      <c r="M103" s="66">
        <f>IF(Table1214[[#This Row],[stimulus]]=H104, 1, 0)</f>
        <v>0</v>
      </c>
      <c r="N103" s="66">
        <f t="shared" si="2"/>
        <v>0</v>
      </c>
      <c r="O103" s="66">
        <f t="shared" si="3"/>
        <v>1</v>
      </c>
    </row>
    <row r="104" spans="1:15" x14ac:dyDescent="0.3">
      <c r="A104" s="59">
        <v>1</v>
      </c>
      <c r="B104" s="59">
        <v>2</v>
      </c>
      <c r="C104" s="63">
        <v>103</v>
      </c>
      <c r="D104" s="68">
        <v>2</v>
      </c>
      <c r="E104" s="68" t="s">
        <v>80</v>
      </c>
      <c r="F104" s="68" t="s">
        <v>0</v>
      </c>
      <c r="G104" s="47" t="s">
        <v>41</v>
      </c>
      <c r="H104" s="47" t="s">
        <v>46</v>
      </c>
      <c r="I104" s="66"/>
      <c r="J104" s="66">
        <v>1</v>
      </c>
      <c r="K104" s="66" t="s">
        <v>10</v>
      </c>
      <c r="L104" s="57">
        <f>IF(Table1214[[#This Row],[modality]]=E103,1,0)</f>
        <v>0</v>
      </c>
      <c r="M104" s="66">
        <f>IF(Table1214[[#This Row],[stimulus]]=H105, 1, 0)</f>
        <v>1</v>
      </c>
      <c r="N104" s="66">
        <f t="shared" si="2"/>
        <v>0</v>
      </c>
      <c r="O104" s="66">
        <f t="shared" si="3"/>
        <v>0</v>
      </c>
    </row>
    <row r="105" spans="1:15" x14ac:dyDescent="0.3">
      <c r="A105" s="59">
        <v>1</v>
      </c>
      <c r="B105" s="59">
        <v>2</v>
      </c>
      <c r="C105" s="63">
        <v>104</v>
      </c>
      <c r="D105" s="65">
        <v>2</v>
      </c>
      <c r="E105" s="68" t="s">
        <v>80</v>
      </c>
      <c r="F105" s="65" t="s">
        <v>40</v>
      </c>
      <c r="G105" s="58" t="s">
        <v>9</v>
      </c>
      <c r="H105" s="58" t="s">
        <v>46</v>
      </c>
      <c r="I105" s="66"/>
      <c r="J105" s="65">
        <v>0</v>
      </c>
      <c r="K105" s="66"/>
      <c r="L105" s="57">
        <f>IF(Table1214[[#This Row],[modality]]=E104,1,0)</f>
        <v>1</v>
      </c>
      <c r="M105" s="66">
        <f>IF(Table1214[[#This Row],[stimulus]]=H106, 1, 0)</f>
        <v>0</v>
      </c>
      <c r="N105" s="66">
        <f t="shared" si="2"/>
        <v>0</v>
      </c>
      <c r="O105" s="66">
        <f t="shared" si="3"/>
        <v>0</v>
      </c>
    </row>
    <row r="106" spans="1:15" x14ac:dyDescent="0.3">
      <c r="A106" s="59">
        <v>1</v>
      </c>
      <c r="B106" s="59">
        <v>2</v>
      </c>
      <c r="C106" s="63">
        <v>105</v>
      </c>
      <c r="D106" s="72">
        <v>1</v>
      </c>
      <c r="E106" s="73" t="s">
        <v>81</v>
      </c>
      <c r="F106" s="74" t="s">
        <v>29</v>
      </c>
      <c r="G106" s="47" t="s">
        <v>42</v>
      </c>
      <c r="H106" s="47" t="s">
        <v>72</v>
      </c>
      <c r="I106" s="66"/>
      <c r="J106" s="65">
        <v>0</v>
      </c>
      <c r="K106" s="66"/>
      <c r="L106" s="57">
        <f>IF(Table1214[[#This Row],[modality]]=E105,1,0)</f>
        <v>0</v>
      </c>
      <c r="M106" s="66">
        <f>IF(Table1214[[#This Row],[stimulus]]=H107, 1, 0)</f>
        <v>0</v>
      </c>
      <c r="N106" s="66">
        <f t="shared" si="2"/>
        <v>1</v>
      </c>
      <c r="O106" s="66">
        <f t="shared" si="3"/>
        <v>0</v>
      </c>
    </row>
    <row r="107" spans="1:15" x14ac:dyDescent="0.3">
      <c r="A107" s="59">
        <v>1</v>
      </c>
      <c r="B107" s="59">
        <v>2</v>
      </c>
      <c r="C107" s="63">
        <v>106</v>
      </c>
      <c r="D107" s="68">
        <v>2</v>
      </c>
      <c r="E107" s="68" t="s">
        <v>80</v>
      </c>
      <c r="F107" s="68" t="s">
        <v>0</v>
      </c>
      <c r="G107" s="47" t="s">
        <v>41</v>
      </c>
      <c r="H107" s="47" t="s">
        <v>45</v>
      </c>
      <c r="I107" s="66"/>
      <c r="J107" s="66">
        <v>1</v>
      </c>
      <c r="K107" s="66" t="s">
        <v>10</v>
      </c>
      <c r="L107" s="57">
        <f>IF(Table1214[[#This Row],[modality]]=E106,1,0)</f>
        <v>0</v>
      </c>
      <c r="M107" s="66">
        <f>IF(Table1214[[#This Row],[stimulus]]=H108, 1, 0)</f>
        <v>1</v>
      </c>
      <c r="N107" s="66">
        <f t="shared" si="2"/>
        <v>0</v>
      </c>
      <c r="O107" s="66">
        <f t="shared" si="3"/>
        <v>1</v>
      </c>
    </row>
    <row r="108" spans="1:15" x14ac:dyDescent="0.3">
      <c r="A108" s="59">
        <v>1</v>
      </c>
      <c r="B108" s="59">
        <v>2</v>
      </c>
      <c r="C108" s="63">
        <v>107</v>
      </c>
      <c r="D108" s="70">
        <v>2</v>
      </c>
      <c r="E108" s="68" t="s">
        <v>80</v>
      </c>
      <c r="F108" s="70" t="s">
        <v>40</v>
      </c>
      <c r="G108" s="71" t="s">
        <v>9</v>
      </c>
      <c r="H108" s="71" t="s">
        <v>45</v>
      </c>
      <c r="I108" s="66"/>
      <c r="J108" s="65">
        <v>0</v>
      </c>
      <c r="K108" s="66"/>
      <c r="L108" s="57">
        <f>IF(Table1214[[#This Row],[modality]]=E107,1,0)</f>
        <v>1</v>
      </c>
      <c r="M108" s="66">
        <f>IF(Table1214[[#This Row],[stimulus]]=H109, 1, 0)</f>
        <v>0</v>
      </c>
      <c r="N108" s="66">
        <f t="shared" si="2"/>
        <v>0</v>
      </c>
      <c r="O108" s="66">
        <f t="shared" si="3"/>
        <v>0</v>
      </c>
    </row>
    <row r="109" spans="1:15" x14ac:dyDescent="0.3">
      <c r="A109" s="58">
        <v>1</v>
      </c>
      <c r="B109" s="59">
        <v>2</v>
      </c>
      <c r="C109" s="63">
        <v>108</v>
      </c>
      <c r="D109" s="93">
        <v>1</v>
      </c>
      <c r="E109" s="93" t="s">
        <v>81</v>
      </c>
      <c r="F109" s="93" t="s">
        <v>29</v>
      </c>
      <c r="G109" s="53" t="s">
        <v>42</v>
      </c>
      <c r="H109" s="53"/>
      <c r="I109" s="75" t="s">
        <v>127</v>
      </c>
      <c r="J109" s="65">
        <v>0</v>
      </c>
      <c r="K109" s="107"/>
      <c r="L109" s="57">
        <f>IF(Table1214[[#This Row],[modality]]=E108,1,0)</f>
        <v>0</v>
      </c>
      <c r="M109" s="66">
        <f>IF(Table1214[[#This Row],[stimulus]]=H110, 1, 0)</f>
        <v>0</v>
      </c>
      <c r="N109" s="66">
        <f t="shared" si="2"/>
        <v>1</v>
      </c>
      <c r="O109" s="66">
        <f t="shared" si="3"/>
        <v>0</v>
      </c>
    </row>
    <row r="110" spans="1:15" x14ac:dyDescent="0.3">
      <c r="A110" s="59">
        <v>1</v>
      </c>
      <c r="B110" s="59">
        <v>2</v>
      </c>
      <c r="C110" s="63">
        <v>109</v>
      </c>
      <c r="D110" s="72">
        <v>2</v>
      </c>
      <c r="E110" s="72" t="s">
        <v>80</v>
      </c>
      <c r="F110" s="74" t="s">
        <v>29</v>
      </c>
      <c r="G110" s="71" t="s">
        <v>42</v>
      </c>
      <c r="H110" s="71" t="s">
        <v>67</v>
      </c>
      <c r="I110" s="66"/>
      <c r="J110" s="65">
        <v>0</v>
      </c>
      <c r="K110" s="66"/>
      <c r="L110" s="57">
        <f>IF(Table1214[[#This Row],[modality]]=E109,1,0)</f>
        <v>0</v>
      </c>
      <c r="M110" s="66">
        <f>IF(Table1214[[#This Row],[stimulus]]=H111, 1, 0)</f>
        <v>0</v>
      </c>
      <c r="N110" s="66">
        <f t="shared" si="2"/>
        <v>0</v>
      </c>
      <c r="O110" s="66">
        <f t="shared" si="3"/>
        <v>1</v>
      </c>
    </row>
    <row r="111" spans="1:15" x14ac:dyDescent="0.3">
      <c r="A111" s="59">
        <v>1</v>
      </c>
      <c r="B111" s="59">
        <v>2</v>
      </c>
      <c r="C111" s="63">
        <v>110</v>
      </c>
      <c r="D111" s="68">
        <v>2</v>
      </c>
      <c r="E111" s="68" t="s">
        <v>80</v>
      </c>
      <c r="F111" s="68" t="s">
        <v>0</v>
      </c>
      <c r="G111" s="47" t="s">
        <v>41</v>
      </c>
      <c r="H111" s="47" t="s">
        <v>48</v>
      </c>
      <c r="I111" s="66"/>
      <c r="J111" s="66">
        <v>1</v>
      </c>
      <c r="K111" s="66" t="s">
        <v>9</v>
      </c>
      <c r="L111" s="57">
        <f>IF(Table1214[[#This Row],[modality]]=E110,1,0)</f>
        <v>1</v>
      </c>
      <c r="M111" s="66">
        <f>IF(Table1214[[#This Row],[stimulus]]=H112, 1, 0)</f>
        <v>1</v>
      </c>
      <c r="N111" s="66">
        <f t="shared" si="2"/>
        <v>0</v>
      </c>
      <c r="O111" s="66">
        <f t="shared" si="3"/>
        <v>1</v>
      </c>
    </row>
    <row r="112" spans="1:15" x14ac:dyDescent="0.3">
      <c r="A112" s="59">
        <v>1</v>
      </c>
      <c r="B112" s="59">
        <v>2</v>
      </c>
      <c r="C112" s="63">
        <v>111</v>
      </c>
      <c r="D112" s="70">
        <v>1</v>
      </c>
      <c r="E112" s="70" t="s">
        <v>81</v>
      </c>
      <c r="F112" s="70" t="s">
        <v>40</v>
      </c>
      <c r="G112" s="71" t="s">
        <v>10</v>
      </c>
      <c r="H112" s="71" t="s">
        <v>48</v>
      </c>
      <c r="I112" s="66"/>
      <c r="J112" s="65">
        <v>0</v>
      </c>
      <c r="K112" s="66"/>
      <c r="L112" s="57">
        <f>IF(Table1214[[#This Row],[modality]]=E111,1,0)</f>
        <v>0</v>
      </c>
      <c r="M112" s="66">
        <f>IF(Table1214[[#This Row],[stimulus]]=H113, 1, 0)</f>
        <v>0</v>
      </c>
      <c r="N112" s="66">
        <f t="shared" si="2"/>
        <v>0</v>
      </c>
      <c r="O112" s="66">
        <f t="shared" si="3"/>
        <v>0</v>
      </c>
    </row>
    <row r="113" spans="1:15" x14ac:dyDescent="0.3">
      <c r="A113" s="59">
        <v>1</v>
      </c>
      <c r="B113" s="59">
        <v>2</v>
      </c>
      <c r="C113" s="63">
        <v>112</v>
      </c>
      <c r="D113" s="72">
        <v>1</v>
      </c>
      <c r="E113" s="73" t="s">
        <v>81</v>
      </c>
      <c r="F113" s="74" t="s">
        <v>29</v>
      </c>
      <c r="G113" s="47" t="s">
        <v>42</v>
      </c>
      <c r="H113" s="47" t="s">
        <v>71</v>
      </c>
      <c r="I113" s="66"/>
      <c r="J113" s="66">
        <v>1</v>
      </c>
      <c r="K113" s="66" t="s">
        <v>9</v>
      </c>
      <c r="L113" s="57">
        <f>IF(Table1214[[#This Row],[modality]]=E112,1,0)</f>
        <v>1</v>
      </c>
      <c r="M113" s="66">
        <f>IF(Table1214[[#This Row],[stimulus]]=H114, 1, 0)</f>
        <v>0</v>
      </c>
      <c r="N113" s="66">
        <f t="shared" si="2"/>
        <v>1</v>
      </c>
      <c r="O113" s="66">
        <f t="shared" si="3"/>
        <v>0</v>
      </c>
    </row>
    <row r="114" spans="1:15" x14ac:dyDescent="0.3">
      <c r="A114" s="59">
        <v>1</v>
      </c>
      <c r="B114" s="59">
        <v>2</v>
      </c>
      <c r="C114" s="63">
        <v>113</v>
      </c>
      <c r="D114" s="70">
        <v>1</v>
      </c>
      <c r="E114" s="70" t="s">
        <v>81</v>
      </c>
      <c r="F114" s="70" t="s">
        <v>0</v>
      </c>
      <c r="G114" s="71" t="s">
        <v>41</v>
      </c>
      <c r="H114" s="71" t="s">
        <v>44</v>
      </c>
      <c r="I114" s="66"/>
      <c r="J114" s="66">
        <v>1</v>
      </c>
      <c r="K114" s="66" t="s">
        <v>9</v>
      </c>
      <c r="L114" s="57">
        <f>IF(Table1214[[#This Row],[modality]]=E113,1,0)</f>
        <v>1</v>
      </c>
      <c r="M114" s="66">
        <f>IF(Table1214[[#This Row],[stimulus]]=H115, 1, 0)</f>
        <v>1</v>
      </c>
      <c r="N114" s="66">
        <f t="shared" si="2"/>
        <v>0</v>
      </c>
      <c r="O114" s="66">
        <f t="shared" si="3"/>
        <v>1</v>
      </c>
    </row>
    <row r="115" spans="1:15" x14ac:dyDescent="0.3">
      <c r="A115" s="59">
        <v>1</v>
      </c>
      <c r="B115" s="59">
        <v>2</v>
      </c>
      <c r="C115" s="63">
        <v>114</v>
      </c>
      <c r="D115" s="68">
        <v>2</v>
      </c>
      <c r="E115" s="68" t="s">
        <v>80</v>
      </c>
      <c r="F115" s="68" t="s">
        <v>40</v>
      </c>
      <c r="G115" s="47" t="s">
        <v>10</v>
      </c>
      <c r="H115" s="47" t="s">
        <v>44</v>
      </c>
      <c r="I115" s="66"/>
      <c r="J115" s="65">
        <v>0</v>
      </c>
      <c r="K115" s="66"/>
      <c r="L115" s="57">
        <f>IF(Table1214[[#This Row],[modality]]=E114,1,0)</f>
        <v>0</v>
      </c>
      <c r="M115" s="66">
        <f>IF(Table1214[[#This Row],[stimulus]]=H116, 1, 0)</f>
        <v>0</v>
      </c>
      <c r="N115" s="66">
        <f t="shared" si="2"/>
        <v>0</v>
      </c>
      <c r="O115" s="66">
        <f t="shared" si="3"/>
        <v>0</v>
      </c>
    </row>
    <row r="116" spans="1:15" x14ac:dyDescent="0.3">
      <c r="A116" s="59">
        <v>1</v>
      </c>
      <c r="B116" s="59">
        <v>2</v>
      </c>
      <c r="C116" s="63">
        <v>115</v>
      </c>
      <c r="D116" s="70">
        <v>2</v>
      </c>
      <c r="E116" s="70" t="s">
        <v>80</v>
      </c>
      <c r="F116" s="70" t="s">
        <v>0</v>
      </c>
      <c r="G116" s="71" t="s">
        <v>41</v>
      </c>
      <c r="H116" s="71" t="s">
        <v>43</v>
      </c>
      <c r="I116" s="66"/>
      <c r="J116" s="65">
        <v>0</v>
      </c>
      <c r="K116" s="66"/>
      <c r="L116" s="57">
        <f>IF(Table1214[[#This Row],[modality]]=E115,1,0)</f>
        <v>1</v>
      </c>
      <c r="M116" s="66">
        <f>IF(Table1214[[#This Row],[stimulus]]=H117, 1, 0)</f>
        <v>1</v>
      </c>
      <c r="N116" s="66">
        <f t="shared" si="2"/>
        <v>1</v>
      </c>
      <c r="O116" s="66">
        <f t="shared" si="3"/>
        <v>0</v>
      </c>
    </row>
    <row r="117" spans="1:15" x14ac:dyDescent="0.3">
      <c r="A117" s="59">
        <v>1</v>
      </c>
      <c r="B117" s="59">
        <v>2</v>
      </c>
      <c r="C117" s="63">
        <v>116</v>
      </c>
      <c r="D117" s="68">
        <v>1</v>
      </c>
      <c r="E117" s="68" t="s">
        <v>81</v>
      </c>
      <c r="F117" s="68" t="s">
        <v>40</v>
      </c>
      <c r="G117" s="47" t="s">
        <v>10</v>
      </c>
      <c r="H117" s="47" t="s">
        <v>43</v>
      </c>
      <c r="I117" s="66"/>
      <c r="J117" s="65">
        <v>0</v>
      </c>
      <c r="K117" s="66"/>
      <c r="L117" s="57">
        <f>IF(Table1214[[#This Row],[modality]]=E116,1,0)</f>
        <v>0</v>
      </c>
      <c r="M117" s="66">
        <f>IF(Table1214[[#This Row],[stimulus]]=H118, 1, 0)</f>
        <v>0</v>
      </c>
      <c r="N117" s="66">
        <f t="shared" si="2"/>
        <v>0</v>
      </c>
      <c r="O117" s="66">
        <f t="shared" si="3"/>
        <v>0</v>
      </c>
    </row>
    <row r="118" spans="1:15" x14ac:dyDescent="0.3">
      <c r="A118" s="59">
        <v>1</v>
      </c>
      <c r="B118" s="59">
        <v>2</v>
      </c>
      <c r="C118" s="63">
        <v>117</v>
      </c>
      <c r="D118" s="72">
        <v>2</v>
      </c>
      <c r="E118" s="72" t="s">
        <v>80</v>
      </c>
      <c r="F118" s="74" t="s">
        <v>29</v>
      </c>
      <c r="G118" s="71" t="s">
        <v>42</v>
      </c>
      <c r="H118" s="71" t="s">
        <v>73</v>
      </c>
      <c r="I118" s="66"/>
      <c r="J118" s="65">
        <v>0</v>
      </c>
      <c r="K118" s="66"/>
      <c r="L118" s="57">
        <f>IF(Table1214[[#This Row],[modality]]=E117,1,0)</f>
        <v>0</v>
      </c>
      <c r="M118" s="66">
        <f>IF(Table1214[[#This Row],[stimulus]]=H119, 1, 0)</f>
        <v>0</v>
      </c>
      <c r="N118" s="66">
        <f t="shared" si="2"/>
        <v>1</v>
      </c>
      <c r="O118" s="66">
        <f t="shared" si="3"/>
        <v>0</v>
      </c>
    </row>
    <row r="119" spans="1:15" x14ac:dyDescent="0.3">
      <c r="A119" s="59">
        <v>1</v>
      </c>
      <c r="B119" s="59">
        <v>2</v>
      </c>
      <c r="C119" s="63">
        <v>118</v>
      </c>
      <c r="D119" s="68">
        <v>1</v>
      </c>
      <c r="E119" s="68" t="s">
        <v>81</v>
      </c>
      <c r="F119" s="68" t="s">
        <v>0</v>
      </c>
      <c r="G119" s="47" t="s">
        <v>41</v>
      </c>
      <c r="H119" s="47" t="s">
        <v>50</v>
      </c>
      <c r="I119" s="66"/>
      <c r="J119" s="66">
        <v>1</v>
      </c>
      <c r="K119" s="66" t="s">
        <v>10</v>
      </c>
      <c r="L119" s="57">
        <f>IF(Table1214[[#This Row],[modality]]=E118,1,0)</f>
        <v>0</v>
      </c>
      <c r="M119" s="66">
        <f>IF(Table1214[[#This Row],[stimulus]]=H120, 1, 0)</f>
        <v>1</v>
      </c>
      <c r="N119" s="66">
        <f t="shared" si="2"/>
        <v>0</v>
      </c>
      <c r="O119" s="66">
        <f t="shared" si="3"/>
        <v>1</v>
      </c>
    </row>
    <row r="120" spans="1:15" x14ac:dyDescent="0.3">
      <c r="A120" s="59">
        <v>1</v>
      </c>
      <c r="B120" s="59">
        <v>2</v>
      </c>
      <c r="C120" s="63">
        <v>119</v>
      </c>
      <c r="D120" s="70">
        <v>1</v>
      </c>
      <c r="E120" s="68" t="s">
        <v>81</v>
      </c>
      <c r="F120" s="70" t="s">
        <v>40</v>
      </c>
      <c r="G120" s="71" t="s">
        <v>9</v>
      </c>
      <c r="H120" s="71" t="s">
        <v>50</v>
      </c>
      <c r="I120" s="66"/>
      <c r="J120" s="65">
        <v>0</v>
      </c>
      <c r="K120" s="66"/>
      <c r="L120" s="57">
        <f>IF(Table1214[[#This Row],[modality]]=E119,1,0)</f>
        <v>1</v>
      </c>
      <c r="M120" s="66">
        <f>IF(Table1214[[#This Row],[stimulus]]=H121, 1, 0)</f>
        <v>0</v>
      </c>
      <c r="N120" s="66">
        <f t="shared" si="2"/>
        <v>0</v>
      </c>
      <c r="O120" s="66">
        <f t="shared" si="3"/>
        <v>0</v>
      </c>
    </row>
    <row r="121" spans="1:15" x14ac:dyDescent="0.3">
      <c r="A121" s="59">
        <v>1</v>
      </c>
      <c r="B121" s="59">
        <v>2</v>
      </c>
      <c r="C121" s="63">
        <v>120</v>
      </c>
      <c r="D121" s="72">
        <v>2</v>
      </c>
      <c r="E121" s="73" t="s">
        <v>80</v>
      </c>
      <c r="F121" s="74" t="s">
        <v>29</v>
      </c>
      <c r="G121" s="47" t="s">
        <v>42</v>
      </c>
      <c r="H121" s="47" t="s">
        <v>68</v>
      </c>
      <c r="I121" s="66"/>
      <c r="J121" s="66">
        <v>1</v>
      </c>
      <c r="K121" s="66" t="s">
        <v>10</v>
      </c>
      <c r="L121" s="57">
        <f>IF(Table1214[[#This Row],[modality]]=E120,1,0)</f>
        <v>0</v>
      </c>
      <c r="M121" s="66">
        <f>IF(Table1214[[#This Row],[stimulus]]=H122, 1, 0)</f>
        <v>0</v>
      </c>
      <c r="N121" s="66">
        <f t="shared" si="2"/>
        <v>1</v>
      </c>
      <c r="O121" s="66">
        <f t="shared" si="3"/>
        <v>0</v>
      </c>
    </row>
    <row r="122" spans="1:15" x14ac:dyDescent="0.3">
      <c r="A122" s="59">
        <v>1</v>
      </c>
      <c r="B122" s="59">
        <v>2</v>
      </c>
      <c r="C122" s="63">
        <v>121</v>
      </c>
      <c r="D122" s="70">
        <v>1</v>
      </c>
      <c r="E122" s="70" t="s">
        <v>81</v>
      </c>
      <c r="F122" s="70" t="s">
        <v>0</v>
      </c>
      <c r="G122" s="71" t="s">
        <v>41</v>
      </c>
      <c r="H122" s="71" t="s">
        <v>47</v>
      </c>
      <c r="I122" s="66"/>
      <c r="J122" s="66">
        <v>1</v>
      </c>
      <c r="K122" s="66" t="s">
        <v>10</v>
      </c>
      <c r="L122" s="57">
        <f>IF(Table1214[[#This Row],[modality]]=E121,1,0)</f>
        <v>0</v>
      </c>
      <c r="M122" s="66">
        <f>IF(Table1214[[#This Row],[stimulus]]=H123, 1, 0)</f>
        <v>1</v>
      </c>
      <c r="N122" s="66">
        <f t="shared" si="2"/>
        <v>0</v>
      </c>
      <c r="O122" s="66">
        <f t="shared" si="3"/>
        <v>1</v>
      </c>
    </row>
    <row r="123" spans="1:15" x14ac:dyDescent="0.3">
      <c r="A123" s="59">
        <v>1</v>
      </c>
      <c r="B123" s="59">
        <v>2</v>
      </c>
      <c r="C123" s="63">
        <v>122</v>
      </c>
      <c r="D123" s="68">
        <v>1</v>
      </c>
      <c r="E123" s="68" t="s">
        <v>81</v>
      </c>
      <c r="F123" s="68" t="s">
        <v>40</v>
      </c>
      <c r="G123" s="47" t="s">
        <v>9</v>
      </c>
      <c r="H123" s="47" t="s">
        <v>47</v>
      </c>
      <c r="I123" s="66"/>
      <c r="J123" s="65">
        <v>0</v>
      </c>
      <c r="K123" s="66"/>
      <c r="L123" s="57">
        <f>IF(Table1214[[#This Row],[modality]]=E122,1,0)</f>
        <v>1</v>
      </c>
      <c r="M123" s="66">
        <f>IF(Table1214[[#This Row],[stimulus]]=H124, 1, 0)</f>
        <v>0</v>
      </c>
      <c r="N123" s="66">
        <f t="shared" si="2"/>
        <v>0</v>
      </c>
      <c r="O123" s="66">
        <f t="shared" si="3"/>
        <v>0</v>
      </c>
    </row>
    <row r="124" spans="1:15" x14ac:dyDescent="0.3">
      <c r="A124" s="59">
        <v>1</v>
      </c>
      <c r="B124" s="59">
        <v>2</v>
      </c>
      <c r="C124" s="63">
        <v>123</v>
      </c>
      <c r="D124" s="72">
        <v>2</v>
      </c>
      <c r="E124" s="72" t="s">
        <v>80</v>
      </c>
      <c r="F124" s="74" t="s">
        <v>29</v>
      </c>
      <c r="G124" s="71" t="s">
        <v>42</v>
      </c>
      <c r="H124" s="71" t="s">
        <v>74</v>
      </c>
      <c r="I124" s="66"/>
      <c r="J124" s="65">
        <v>0</v>
      </c>
      <c r="K124" s="66"/>
      <c r="L124" s="57">
        <f>IF(Table1214[[#This Row],[modality]]=E123,1,0)</f>
        <v>0</v>
      </c>
      <c r="M124" s="66">
        <f>IF(Table1214[[#This Row],[stimulus]]=H125, 1, 0)</f>
        <v>0</v>
      </c>
      <c r="N124" s="66">
        <f t="shared" si="2"/>
        <v>1</v>
      </c>
      <c r="O124" s="66">
        <f t="shared" si="3"/>
        <v>0</v>
      </c>
    </row>
    <row r="125" spans="1:15" x14ac:dyDescent="0.3">
      <c r="A125" s="59">
        <v>1</v>
      </c>
      <c r="B125" s="59">
        <v>2</v>
      </c>
      <c r="C125" s="63">
        <v>124</v>
      </c>
      <c r="D125" s="72">
        <v>1</v>
      </c>
      <c r="E125" s="73" t="s">
        <v>81</v>
      </c>
      <c r="F125" s="74" t="s">
        <v>29</v>
      </c>
      <c r="G125" s="47" t="s">
        <v>42</v>
      </c>
      <c r="H125" s="47" t="s">
        <v>69</v>
      </c>
      <c r="I125" s="66"/>
      <c r="J125" s="65">
        <v>0</v>
      </c>
      <c r="K125" s="66"/>
      <c r="L125" s="57">
        <f>IF(Table1214[[#This Row],[modality]]=E124,1,0)</f>
        <v>0</v>
      </c>
      <c r="M125" s="66">
        <f>IF(Table1214[[#This Row],[stimulus]]=H126, 1, 0)</f>
        <v>0</v>
      </c>
      <c r="N125" s="66">
        <f t="shared" si="2"/>
        <v>0</v>
      </c>
      <c r="O125" s="66">
        <f t="shared" si="3"/>
        <v>1</v>
      </c>
    </row>
    <row r="126" spans="1:15" x14ac:dyDescent="0.3">
      <c r="A126" s="59">
        <v>1</v>
      </c>
      <c r="B126" s="59">
        <v>2</v>
      </c>
      <c r="C126" s="63">
        <v>125</v>
      </c>
      <c r="D126" s="70">
        <v>1</v>
      </c>
      <c r="E126" s="70" t="s">
        <v>81</v>
      </c>
      <c r="F126" s="70" t="s">
        <v>0</v>
      </c>
      <c r="G126" s="71" t="s">
        <v>41</v>
      </c>
      <c r="H126" s="71" t="s">
        <v>49</v>
      </c>
      <c r="I126" s="66"/>
      <c r="J126" s="65">
        <v>0</v>
      </c>
      <c r="K126" s="66"/>
      <c r="L126" s="57">
        <f>IF(Table1214[[#This Row],[modality]]=E125,1,0)</f>
        <v>1</v>
      </c>
      <c r="M126" s="66">
        <f>IF(Table1214[[#This Row],[stimulus]]=H127, 1, 0)</f>
        <v>1</v>
      </c>
      <c r="N126" s="66">
        <f t="shared" si="2"/>
        <v>0</v>
      </c>
      <c r="O126" s="66">
        <f t="shared" si="3"/>
        <v>1</v>
      </c>
    </row>
    <row r="127" spans="1:15" x14ac:dyDescent="0.3">
      <c r="A127" s="59">
        <v>1</v>
      </c>
      <c r="B127" s="59">
        <v>2</v>
      </c>
      <c r="C127" s="63">
        <v>126</v>
      </c>
      <c r="D127" s="68">
        <v>2</v>
      </c>
      <c r="E127" s="68" t="s">
        <v>80</v>
      </c>
      <c r="F127" s="68" t="s">
        <v>40</v>
      </c>
      <c r="G127" s="47" t="s">
        <v>10</v>
      </c>
      <c r="H127" s="47" t="s">
        <v>49</v>
      </c>
      <c r="I127" s="66"/>
      <c r="J127" s="65">
        <v>0</v>
      </c>
      <c r="K127" s="66"/>
      <c r="L127" s="57">
        <f>IF(Table1214[[#This Row],[modality]]=E126,1,0)</f>
        <v>0</v>
      </c>
      <c r="M127" s="66">
        <f>IF(Table1214[[#This Row],[stimulus]]=H128, 1, 0)</f>
        <v>0</v>
      </c>
      <c r="N127" s="66">
        <f t="shared" si="2"/>
        <v>0</v>
      </c>
      <c r="O127" s="66">
        <f t="shared" si="3"/>
        <v>0</v>
      </c>
    </row>
    <row r="128" spans="1:15" x14ac:dyDescent="0.3">
      <c r="A128" s="59">
        <v>1</v>
      </c>
      <c r="B128" s="59">
        <v>2</v>
      </c>
      <c r="C128" s="63">
        <v>127</v>
      </c>
      <c r="D128" s="72">
        <v>1</v>
      </c>
      <c r="E128" s="72" t="s">
        <v>81</v>
      </c>
      <c r="F128" s="74" t="s">
        <v>29</v>
      </c>
      <c r="G128" s="71" t="s">
        <v>42</v>
      </c>
      <c r="H128" s="71" t="s">
        <v>70</v>
      </c>
      <c r="I128" s="66"/>
      <c r="J128" s="66">
        <v>1</v>
      </c>
      <c r="K128" s="66" t="s">
        <v>10</v>
      </c>
      <c r="L128" s="57">
        <f>IF(Table1214[[#This Row],[modality]]=E127,1,0)</f>
        <v>0</v>
      </c>
      <c r="M128" s="66">
        <f>IF(Table1214[[#This Row],[stimulus]]=H129, 1, 0)</f>
        <v>0</v>
      </c>
      <c r="N128" s="66">
        <f t="shared" si="2"/>
        <v>1</v>
      </c>
      <c r="O128" s="66">
        <f t="shared" si="3"/>
        <v>0</v>
      </c>
    </row>
    <row r="129" spans="1:15" x14ac:dyDescent="0.3">
      <c r="A129" s="58">
        <v>2</v>
      </c>
      <c r="B129" s="59">
        <v>2</v>
      </c>
      <c r="C129" s="63">
        <v>128</v>
      </c>
      <c r="D129" s="65">
        <v>1</v>
      </c>
      <c r="E129" s="57" t="s">
        <v>81</v>
      </c>
      <c r="F129" s="65" t="s">
        <v>0</v>
      </c>
      <c r="G129" s="58" t="s">
        <v>41</v>
      </c>
      <c r="H129" s="58" t="s">
        <v>54</v>
      </c>
      <c r="I129" s="66"/>
      <c r="J129" s="65">
        <v>0</v>
      </c>
      <c r="K129" s="66"/>
      <c r="L129" s="57">
        <f>IF(Table1214[[#This Row],[modality]]=E128,1,0)</f>
        <v>1</v>
      </c>
      <c r="M129" s="66">
        <f>IF(Table1214[[#This Row],[stimulus]]=H130, 1, 0)</f>
        <v>1</v>
      </c>
      <c r="N129" s="66">
        <f t="shared" si="2"/>
        <v>0</v>
      </c>
      <c r="O129" s="66">
        <f t="shared" si="3"/>
        <v>1</v>
      </c>
    </row>
    <row r="130" spans="1:15" x14ac:dyDescent="0.3">
      <c r="A130" s="58">
        <v>2</v>
      </c>
      <c r="B130" s="59">
        <v>2</v>
      </c>
      <c r="C130" s="63">
        <v>129</v>
      </c>
      <c r="D130" s="68">
        <v>1</v>
      </c>
      <c r="E130" s="67" t="s">
        <v>81</v>
      </c>
      <c r="F130" s="68" t="s">
        <v>40</v>
      </c>
      <c r="G130" s="47" t="s">
        <v>9</v>
      </c>
      <c r="H130" s="47" t="s">
        <v>54</v>
      </c>
      <c r="I130" s="66"/>
      <c r="J130" s="65">
        <v>0</v>
      </c>
      <c r="K130" s="66"/>
      <c r="L130" s="57">
        <f>IF(Table1214[[#This Row],[modality]]=E129,1,0)</f>
        <v>1</v>
      </c>
      <c r="M130" s="66">
        <f>IF(Table1214[[#This Row],[stimulus]]=H131, 1, 0)</f>
        <v>0</v>
      </c>
      <c r="N130" s="66">
        <f t="shared" si="2"/>
        <v>0</v>
      </c>
      <c r="O130" s="66">
        <f t="shared" si="3"/>
        <v>0</v>
      </c>
    </row>
    <row r="131" spans="1:15" x14ac:dyDescent="0.3">
      <c r="A131" s="58">
        <v>2</v>
      </c>
      <c r="B131" s="59">
        <v>2</v>
      </c>
      <c r="C131" s="63">
        <v>130</v>
      </c>
      <c r="D131" s="78">
        <v>2</v>
      </c>
      <c r="E131" s="78" t="s">
        <v>80</v>
      </c>
      <c r="F131" s="78" t="s">
        <v>29</v>
      </c>
      <c r="G131" s="58" t="s">
        <v>42</v>
      </c>
      <c r="H131" s="58" t="s">
        <v>46</v>
      </c>
      <c r="I131" s="66"/>
      <c r="J131" s="65">
        <v>0</v>
      </c>
      <c r="K131" s="66"/>
      <c r="L131" s="57">
        <f>IF(Table1214[[#This Row],[modality]]=E130,1,0)</f>
        <v>0</v>
      </c>
      <c r="M131" s="66">
        <f>IF(Table1214[[#This Row],[stimulus]]=H132, 1, 0)</f>
        <v>0</v>
      </c>
      <c r="N131" s="66">
        <f t="shared" ref="N131:N194" si="4">IF(F130="T",1,0)</f>
        <v>1</v>
      </c>
      <c r="O131" s="66">
        <f t="shared" ref="O131:O194" si="5">IF(F130="F",1,0)</f>
        <v>0</v>
      </c>
    </row>
    <row r="132" spans="1:15" x14ac:dyDescent="0.3">
      <c r="A132" s="58">
        <v>2</v>
      </c>
      <c r="B132" s="59">
        <v>2</v>
      </c>
      <c r="C132" s="63">
        <v>131</v>
      </c>
      <c r="D132" s="68">
        <v>1</v>
      </c>
      <c r="E132" s="68" t="s">
        <v>81</v>
      </c>
      <c r="F132" s="68" t="s">
        <v>0</v>
      </c>
      <c r="G132" s="47" t="s">
        <v>41</v>
      </c>
      <c r="H132" s="47" t="s">
        <v>56</v>
      </c>
      <c r="I132" s="66"/>
      <c r="J132" s="66">
        <v>1</v>
      </c>
      <c r="K132" s="66" t="s">
        <v>10</v>
      </c>
      <c r="L132" s="57">
        <f>IF(Table1214[[#This Row],[modality]]=E131,1,0)</f>
        <v>0</v>
      </c>
      <c r="M132" s="66">
        <f>IF(Table1214[[#This Row],[stimulus]]=H133, 1, 0)</f>
        <v>1</v>
      </c>
      <c r="N132" s="66">
        <f t="shared" si="4"/>
        <v>0</v>
      </c>
      <c r="O132" s="66">
        <f t="shared" si="5"/>
        <v>1</v>
      </c>
    </row>
    <row r="133" spans="1:15" x14ac:dyDescent="0.3">
      <c r="A133" s="58">
        <v>2</v>
      </c>
      <c r="B133" s="59">
        <v>2</v>
      </c>
      <c r="C133" s="63">
        <v>132</v>
      </c>
      <c r="D133" s="65">
        <v>1</v>
      </c>
      <c r="E133" s="65" t="s">
        <v>81</v>
      </c>
      <c r="F133" s="65" t="s">
        <v>40</v>
      </c>
      <c r="G133" s="58" t="s">
        <v>9</v>
      </c>
      <c r="H133" s="58" t="s">
        <v>56</v>
      </c>
      <c r="I133" s="66"/>
      <c r="J133" s="65">
        <v>0</v>
      </c>
      <c r="K133" s="66"/>
      <c r="L133" s="57">
        <f>IF(Table1214[[#This Row],[modality]]=E132,1,0)</f>
        <v>1</v>
      </c>
      <c r="M133" s="66">
        <f>IF(Table1214[[#This Row],[stimulus]]=H134, 1, 0)</f>
        <v>0</v>
      </c>
      <c r="N133" s="66">
        <f t="shared" si="4"/>
        <v>0</v>
      </c>
      <c r="O133" s="66">
        <f t="shared" si="5"/>
        <v>0</v>
      </c>
    </row>
    <row r="134" spans="1:15" x14ac:dyDescent="0.3">
      <c r="A134" s="58">
        <v>2</v>
      </c>
      <c r="B134" s="59">
        <v>2</v>
      </c>
      <c r="C134" s="63">
        <v>133</v>
      </c>
      <c r="D134" s="68">
        <v>1</v>
      </c>
      <c r="E134" s="68" t="s">
        <v>81</v>
      </c>
      <c r="F134" s="68" t="s">
        <v>0</v>
      </c>
      <c r="G134" s="47" t="s">
        <v>41</v>
      </c>
      <c r="H134" s="47" t="s">
        <v>58</v>
      </c>
      <c r="I134" s="66"/>
      <c r="J134" s="65">
        <v>0</v>
      </c>
      <c r="K134" s="66"/>
      <c r="L134" s="57">
        <f>IF(Table1214[[#This Row],[modality]]=E133,1,0)</f>
        <v>1</v>
      </c>
      <c r="M134" s="66">
        <f>IF(Table1214[[#This Row],[stimulus]]=H135, 1, 0)</f>
        <v>1</v>
      </c>
      <c r="N134" s="66">
        <f t="shared" si="4"/>
        <v>1</v>
      </c>
      <c r="O134" s="66">
        <f t="shared" si="5"/>
        <v>0</v>
      </c>
    </row>
    <row r="135" spans="1:15" x14ac:dyDescent="0.3">
      <c r="A135" s="58">
        <v>2</v>
      </c>
      <c r="B135" s="59">
        <v>2</v>
      </c>
      <c r="C135" s="63">
        <v>134</v>
      </c>
      <c r="D135" s="65">
        <v>2</v>
      </c>
      <c r="E135" s="65" t="s">
        <v>80</v>
      </c>
      <c r="F135" s="65" t="s">
        <v>40</v>
      </c>
      <c r="G135" s="58" t="s">
        <v>10</v>
      </c>
      <c r="H135" s="58" t="s">
        <v>58</v>
      </c>
      <c r="I135" s="66"/>
      <c r="J135" s="65">
        <v>0</v>
      </c>
      <c r="K135" s="66"/>
      <c r="L135" s="57">
        <f>IF(Table1214[[#This Row],[modality]]=E134,1,0)</f>
        <v>0</v>
      </c>
      <c r="M135" s="66">
        <f>IF(Table1214[[#This Row],[stimulus]]=H136, 1, 0)</f>
        <v>0</v>
      </c>
      <c r="N135" s="66">
        <f t="shared" si="4"/>
        <v>0</v>
      </c>
      <c r="O135" s="66">
        <f t="shared" si="5"/>
        <v>0</v>
      </c>
    </row>
    <row r="136" spans="1:15" x14ac:dyDescent="0.3">
      <c r="A136" s="58">
        <v>2</v>
      </c>
      <c r="B136" s="59">
        <v>2</v>
      </c>
      <c r="C136" s="63">
        <v>135</v>
      </c>
      <c r="D136" s="78">
        <v>2</v>
      </c>
      <c r="E136" s="78" t="s">
        <v>80</v>
      </c>
      <c r="F136" s="78" t="s">
        <v>29</v>
      </c>
      <c r="G136" s="47" t="s">
        <v>42</v>
      </c>
      <c r="H136" s="47" t="s">
        <v>45</v>
      </c>
      <c r="I136" s="66"/>
      <c r="J136" s="66">
        <v>1</v>
      </c>
      <c r="K136" s="66" t="s">
        <v>9</v>
      </c>
      <c r="L136" s="57">
        <f>IF(Table1214[[#This Row],[modality]]=E135,1,0)</f>
        <v>1</v>
      </c>
      <c r="M136" s="66">
        <f>IF(Table1214[[#This Row],[stimulus]]=H137, 1, 0)</f>
        <v>0</v>
      </c>
      <c r="N136" s="66">
        <f t="shared" si="4"/>
        <v>1</v>
      </c>
      <c r="O136" s="66">
        <f t="shared" si="5"/>
        <v>0</v>
      </c>
    </row>
    <row r="137" spans="1:15" x14ac:dyDescent="0.3">
      <c r="A137" s="58">
        <v>2</v>
      </c>
      <c r="B137" s="59">
        <v>2</v>
      </c>
      <c r="C137" s="63">
        <v>136</v>
      </c>
      <c r="D137" s="65">
        <v>2</v>
      </c>
      <c r="E137" s="65" t="s">
        <v>80</v>
      </c>
      <c r="F137" s="65" t="s">
        <v>0</v>
      </c>
      <c r="G137" s="58" t="s">
        <v>41</v>
      </c>
      <c r="H137" s="58" t="s">
        <v>52</v>
      </c>
      <c r="I137" s="66"/>
      <c r="J137" s="66">
        <v>1</v>
      </c>
      <c r="K137" s="66" t="s">
        <v>9</v>
      </c>
      <c r="L137" s="57">
        <f>IF(Table1214[[#This Row],[modality]]=E136,1,0)</f>
        <v>1</v>
      </c>
      <c r="M137" s="66">
        <f>IF(Table1214[[#This Row],[stimulus]]=H138, 1, 0)</f>
        <v>1</v>
      </c>
      <c r="N137" s="66">
        <f t="shared" si="4"/>
        <v>0</v>
      </c>
      <c r="O137" s="66">
        <f t="shared" si="5"/>
        <v>1</v>
      </c>
    </row>
    <row r="138" spans="1:15" x14ac:dyDescent="0.3">
      <c r="A138" s="58">
        <v>2</v>
      </c>
      <c r="B138" s="59">
        <v>2</v>
      </c>
      <c r="C138" s="63">
        <v>137</v>
      </c>
      <c r="D138" s="68">
        <v>1</v>
      </c>
      <c r="E138" s="68" t="s">
        <v>81</v>
      </c>
      <c r="F138" s="68" t="s">
        <v>40</v>
      </c>
      <c r="G138" s="47" t="s">
        <v>10</v>
      </c>
      <c r="H138" s="47" t="s">
        <v>52</v>
      </c>
      <c r="I138" s="66"/>
      <c r="J138" s="65">
        <v>0</v>
      </c>
      <c r="K138" s="66"/>
      <c r="L138" s="57">
        <f>IF(Table1214[[#This Row],[modality]]=E137,1,0)</f>
        <v>0</v>
      </c>
      <c r="M138" s="66">
        <f>IF(Table1214[[#This Row],[stimulus]]=H139, 1, 0)</f>
        <v>0</v>
      </c>
      <c r="N138" s="66">
        <f t="shared" si="4"/>
        <v>0</v>
      </c>
      <c r="O138" s="66">
        <f t="shared" si="5"/>
        <v>0</v>
      </c>
    </row>
    <row r="139" spans="1:15" x14ac:dyDescent="0.3">
      <c r="A139" s="58">
        <v>2</v>
      </c>
      <c r="B139" s="59">
        <v>2</v>
      </c>
      <c r="C139" s="63">
        <v>138</v>
      </c>
      <c r="D139" s="65">
        <v>1</v>
      </c>
      <c r="E139" s="65" t="s">
        <v>81</v>
      </c>
      <c r="F139" s="65" t="s">
        <v>0</v>
      </c>
      <c r="G139" s="58" t="s">
        <v>41</v>
      </c>
      <c r="H139" s="58" t="s">
        <v>57</v>
      </c>
      <c r="I139" s="66"/>
      <c r="J139" s="66">
        <v>1</v>
      </c>
      <c r="K139" s="66" t="s">
        <v>9</v>
      </c>
      <c r="L139" s="57">
        <f>IF(Table1214[[#This Row],[modality]]=E138,1,0)</f>
        <v>1</v>
      </c>
      <c r="M139" s="66">
        <f>IF(Table1214[[#This Row],[stimulus]]=H140, 1, 0)</f>
        <v>1</v>
      </c>
      <c r="N139" s="66">
        <f t="shared" si="4"/>
        <v>1</v>
      </c>
      <c r="O139" s="66">
        <f t="shared" si="5"/>
        <v>0</v>
      </c>
    </row>
    <row r="140" spans="1:15" x14ac:dyDescent="0.3">
      <c r="A140" s="58">
        <v>2</v>
      </c>
      <c r="B140" s="59">
        <v>2</v>
      </c>
      <c r="C140" s="63">
        <v>139</v>
      </c>
      <c r="D140" s="68">
        <v>2</v>
      </c>
      <c r="E140" s="68" t="s">
        <v>80</v>
      </c>
      <c r="F140" s="68" t="s">
        <v>40</v>
      </c>
      <c r="G140" s="47" t="s">
        <v>10</v>
      </c>
      <c r="H140" s="47" t="s">
        <v>57</v>
      </c>
      <c r="I140" s="66"/>
      <c r="J140" s="65">
        <v>0</v>
      </c>
      <c r="K140" s="66"/>
      <c r="L140" s="57">
        <f>IF(Table1214[[#This Row],[modality]]=E139,1,0)</f>
        <v>0</v>
      </c>
      <c r="M140" s="66">
        <f>IF(Table1214[[#This Row],[stimulus]]=H141, 1, 0)</f>
        <v>0</v>
      </c>
      <c r="N140" s="66">
        <f t="shared" si="4"/>
        <v>0</v>
      </c>
      <c r="O140" s="66">
        <f t="shared" si="5"/>
        <v>0</v>
      </c>
    </row>
    <row r="141" spans="1:15" x14ac:dyDescent="0.3">
      <c r="A141" s="58">
        <v>2</v>
      </c>
      <c r="B141" s="59">
        <v>2</v>
      </c>
      <c r="C141" s="63">
        <v>140</v>
      </c>
      <c r="D141" s="78">
        <v>1</v>
      </c>
      <c r="E141" s="78" t="s">
        <v>81</v>
      </c>
      <c r="F141" s="78" t="s">
        <v>29</v>
      </c>
      <c r="G141" s="58" t="s">
        <v>42</v>
      </c>
      <c r="H141" s="58" t="s">
        <v>48</v>
      </c>
      <c r="I141" s="66"/>
      <c r="J141" s="65">
        <v>0</v>
      </c>
      <c r="K141" s="66"/>
      <c r="L141" s="57">
        <f>IF(Table1214[[#This Row],[modality]]=E140,1,0)</f>
        <v>0</v>
      </c>
      <c r="M141" s="66">
        <f>IF(Table1214[[#This Row],[stimulus]]=H142, 1, 0)</f>
        <v>0</v>
      </c>
      <c r="N141" s="66">
        <f t="shared" si="4"/>
        <v>1</v>
      </c>
      <c r="O141" s="66">
        <f t="shared" si="5"/>
        <v>0</v>
      </c>
    </row>
    <row r="142" spans="1:15" x14ac:dyDescent="0.3">
      <c r="A142" s="58">
        <v>2</v>
      </c>
      <c r="B142" s="59">
        <v>2</v>
      </c>
      <c r="C142" s="63">
        <v>141</v>
      </c>
      <c r="D142" s="78">
        <v>2</v>
      </c>
      <c r="E142" s="78" t="s">
        <v>80</v>
      </c>
      <c r="F142" s="78" t="s">
        <v>29</v>
      </c>
      <c r="G142" s="47" t="s">
        <v>42</v>
      </c>
      <c r="H142" s="47" t="s">
        <v>44</v>
      </c>
      <c r="I142" s="66"/>
      <c r="J142" s="65">
        <v>0</v>
      </c>
      <c r="K142" s="66"/>
      <c r="L142" s="57">
        <f>IF(Table1214[[#This Row],[modality]]=E141,1,0)</f>
        <v>0</v>
      </c>
      <c r="M142" s="66">
        <f>IF(Table1214[[#This Row],[stimulus]]=H143, 1, 0)</f>
        <v>0</v>
      </c>
      <c r="N142" s="66">
        <f t="shared" si="4"/>
        <v>0</v>
      </c>
      <c r="O142" s="66">
        <f t="shared" si="5"/>
        <v>1</v>
      </c>
    </row>
    <row r="143" spans="1:15" x14ac:dyDescent="0.3">
      <c r="A143" s="58">
        <v>2</v>
      </c>
      <c r="B143" s="59">
        <v>2</v>
      </c>
      <c r="C143" s="63">
        <v>142</v>
      </c>
      <c r="D143" s="78">
        <v>1</v>
      </c>
      <c r="E143" s="78" t="s">
        <v>81</v>
      </c>
      <c r="F143" s="78" t="s">
        <v>29</v>
      </c>
      <c r="G143" s="58" t="s">
        <v>42</v>
      </c>
      <c r="H143" s="58" t="s">
        <v>47</v>
      </c>
      <c r="I143" s="66"/>
      <c r="J143" s="65">
        <v>0</v>
      </c>
      <c r="K143" s="66"/>
      <c r="L143" s="57">
        <f>IF(Table1214[[#This Row],[modality]]=E142,1,0)</f>
        <v>0</v>
      </c>
      <c r="M143" s="66">
        <f>IF(Table1214[[#This Row],[stimulus]]=H144, 1, 0)</f>
        <v>0</v>
      </c>
      <c r="N143" s="66">
        <f t="shared" si="4"/>
        <v>0</v>
      </c>
      <c r="O143" s="66">
        <f t="shared" si="5"/>
        <v>1</v>
      </c>
    </row>
    <row r="144" spans="1:15" x14ac:dyDescent="0.3">
      <c r="A144" s="58">
        <v>2</v>
      </c>
      <c r="B144" s="59">
        <v>2</v>
      </c>
      <c r="C144" s="63">
        <v>143</v>
      </c>
      <c r="D144" s="70">
        <v>2</v>
      </c>
      <c r="E144" s="70" t="s">
        <v>80</v>
      </c>
      <c r="F144" s="70" t="s">
        <v>0</v>
      </c>
      <c r="G144" s="71" t="s">
        <v>41</v>
      </c>
      <c r="H144" s="71" t="s">
        <v>55</v>
      </c>
      <c r="I144" s="66"/>
      <c r="J144" s="66">
        <v>1</v>
      </c>
      <c r="K144" s="66" t="s">
        <v>10</v>
      </c>
      <c r="L144" s="57">
        <f>IF(Table1214[[#This Row],[modality]]=E143,1,0)</f>
        <v>0</v>
      </c>
      <c r="M144" s="66">
        <f>IF(Table1214[[#This Row],[stimulus]]=H145, 1, 0)</f>
        <v>1</v>
      </c>
      <c r="N144" s="66">
        <f t="shared" si="4"/>
        <v>0</v>
      </c>
      <c r="O144" s="66">
        <f t="shared" si="5"/>
        <v>1</v>
      </c>
    </row>
    <row r="145" spans="1:15" x14ac:dyDescent="0.3">
      <c r="A145" s="58">
        <v>2</v>
      </c>
      <c r="B145" s="59">
        <v>2</v>
      </c>
      <c r="C145" s="63">
        <v>144</v>
      </c>
      <c r="D145" s="68">
        <v>2</v>
      </c>
      <c r="E145" s="68" t="s">
        <v>80</v>
      </c>
      <c r="F145" s="68" t="s">
        <v>40</v>
      </c>
      <c r="G145" s="47" t="s">
        <v>9</v>
      </c>
      <c r="H145" s="47" t="s">
        <v>55</v>
      </c>
      <c r="I145" s="66"/>
      <c r="J145" s="65">
        <v>0</v>
      </c>
      <c r="K145" s="66"/>
      <c r="L145" s="57">
        <f>IF(Table1214[[#This Row],[modality]]=E144,1,0)</f>
        <v>1</v>
      </c>
      <c r="M145" s="66">
        <f>IF(Table1214[[#This Row],[stimulus]]=H146, 1, 0)</f>
        <v>0</v>
      </c>
      <c r="N145" s="66">
        <f t="shared" si="4"/>
        <v>0</v>
      </c>
      <c r="O145" s="66">
        <f t="shared" si="5"/>
        <v>0</v>
      </c>
    </row>
    <row r="146" spans="1:15" x14ac:dyDescent="0.3">
      <c r="A146" s="58">
        <v>2</v>
      </c>
      <c r="B146" s="59">
        <v>2</v>
      </c>
      <c r="C146" s="63">
        <v>145</v>
      </c>
      <c r="D146" s="78">
        <v>1</v>
      </c>
      <c r="E146" s="78" t="s">
        <v>81</v>
      </c>
      <c r="F146" s="78" t="s">
        <v>29</v>
      </c>
      <c r="G146" s="71" t="s">
        <v>42</v>
      </c>
      <c r="H146" s="71" t="s">
        <v>43</v>
      </c>
      <c r="I146" s="66"/>
      <c r="J146" s="65">
        <v>0</v>
      </c>
      <c r="K146" s="66"/>
      <c r="L146" s="57">
        <f>IF(Table1214[[#This Row],[modality]]=E145,1,0)</f>
        <v>0</v>
      </c>
      <c r="M146" s="66">
        <f>IF(Table1214[[#This Row],[stimulus]]=H147, 1, 0)</f>
        <v>0</v>
      </c>
      <c r="N146" s="66">
        <f t="shared" si="4"/>
        <v>1</v>
      </c>
      <c r="O146" s="66">
        <f t="shared" si="5"/>
        <v>0</v>
      </c>
    </row>
    <row r="147" spans="1:15" x14ac:dyDescent="0.3">
      <c r="A147" s="58">
        <v>2</v>
      </c>
      <c r="B147" s="59">
        <v>2</v>
      </c>
      <c r="C147" s="63">
        <v>146</v>
      </c>
      <c r="D147" s="68">
        <v>2</v>
      </c>
      <c r="E147" s="68" t="s">
        <v>80</v>
      </c>
      <c r="F147" s="68" t="s">
        <v>0</v>
      </c>
      <c r="G147" s="47" t="s">
        <v>41</v>
      </c>
      <c r="H147" s="47" t="s">
        <v>51</v>
      </c>
      <c r="I147" s="66"/>
      <c r="J147" s="66">
        <v>1</v>
      </c>
      <c r="K147" s="66" t="s">
        <v>10</v>
      </c>
      <c r="L147" s="57">
        <f>IF(Table1214[[#This Row],[modality]]=E146,1,0)</f>
        <v>0</v>
      </c>
      <c r="M147" s="66">
        <f>IF(Table1214[[#This Row],[stimulus]]=H148, 1, 0)</f>
        <v>1</v>
      </c>
      <c r="N147" s="66">
        <f t="shared" si="4"/>
        <v>0</v>
      </c>
      <c r="O147" s="66">
        <f t="shared" si="5"/>
        <v>1</v>
      </c>
    </row>
    <row r="148" spans="1:15" x14ac:dyDescent="0.3">
      <c r="A148" s="58">
        <v>2</v>
      </c>
      <c r="B148" s="59">
        <v>2</v>
      </c>
      <c r="C148" s="63">
        <v>147</v>
      </c>
      <c r="D148" s="70">
        <v>2</v>
      </c>
      <c r="E148" s="70" t="s">
        <v>80</v>
      </c>
      <c r="F148" s="70" t="s">
        <v>40</v>
      </c>
      <c r="G148" s="71" t="s">
        <v>9</v>
      </c>
      <c r="H148" s="71" t="s">
        <v>51</v>
      </c>
      <c r="I148" s="66"/>
      <c r="J148" s="65">
        <v>0</v>
      </c>
      <c r="K148" s="66"/>
      <c r="L148" s="57">
        <f>IF(Table1214[[#This Row],[modality]]=E147,1,0)</f>
        <v>1</v>
      </c>
      <c r="M148" s="66">
        <f>IF(Table1214[[#This Row],[stimulus]]=H149, 1, 0)</f>
        <v>0</v>
      </c>
      <c r="N148" s="66">
        <f t="shared" si="4"/>
        <v>0</v>
      </c>
      <c r="O148" s="66">
        <f t="shared" si="5"/>
        <v>0</v>
      </c>
    </row>
    <row r="149" spans="1:15" x14ac:dyDescent="0.3">
      <c r="A149" s="58">
        <v>2</v>
      </c>
      <c r="B149" s="59">
        <v>2</v>
      </c>
      <c r="C149" s="63">
        <v>148</v>
      </c>
      <c r="D149" s="78">
        <v>1</v>
      </c>
      <c r="E149" s="78" t="s">
        <v>81</v>
      </c>
      <c r="F149" s="78" t="s">
        <v>29</v>
      </c>
      <c r="G149" s="47" t="s">
        <v>42</v>
      </c>
      <c r="H149" s="47" t="s">
        <v>50</v>
      </c>
      <c r="I149" s="66"/>
      <c r="J149" s="65">
        <v>0</v>
      </c>
      <c r="K149" s="66"/>
      <c r="L149" s="57">
        <f>IF(Table1214[[#This Row],[modality]]=E148,1,0)</f>
        <v>0</v>
      </c>
      <c r="M149" s="66">
        <f>IF(Table1214[[#This Row],[stimulus]]=H150, 1, 0)</f>
        <v>0</v>
      </c>
      <c r="N149" s="66">
        <f t="shared" si="4"/>
        <v>1</v>
      </c>
      <c r="O149" s="66">
        <f t="shared" si="5"/>
        <v>0</v>
      </c>
    </row>
    <row r="150" spans="1:15" x14ac:dyDescent="0.3">
      <c r="A150" s="58">
        <v>2</v>
      </c>
      <c r="B150" s="59">
        <v>2</v>
      </c>
      <c r="C150" s="63">
        <v>149</v>
      </c>
      <c r="D150" s="78">
        <v>2</v>
      </c>
      <c r="E150" s="78" t="s">
        <v>80</v>
      </c>
      <c r="F150" s="78" t="s">
        <v>29</v>
      </c>
      <c r="G150" s="47" t="s">
        <v>42</v>
      </c>
      <c r="H150" s="47" t="s">
        <v>49</v>
      </c>
      <c r="I150" s="66"/>
      <c r="J150" s="65">
        <v>0</v>
      </c>
      <c r="K150" s="66"/>
      <c r="L150" s="57">
        <f>IF(Table1214[[#This Row],[modality]]=E149,1,0)</f>
        <v>0</v>
      </c>
      <c r="M150" s="66">
        <f>IF(Table1214[[#This Row],[stimulus]]=H151, 1, 0)</f>
        <v>0</v>
      </c>
      <c r="N150" s="66">
        <f t="shared" si="4"/>
        <v>0</v>
      </c>
      <c r="O150" s="66">
        <f t="shared" si="5"/>
        <v>1</v>
      </c>
    </row>
    <row r="151" spans="1:15" x14ac:dyDescent="0.3">
      <c r="A151" s="58">
        <v>2</v>
      </c>
      <c r="B151" s="59">
        <v>2</v>
      </c>
      <c r="C151" s="63">
        <v>150</v>
      </c>
      <c r="D151" s="65">
        <v>2</v>
      </c>
      <c r="E151" s="65" t="s">
        <v>80</v>
      </c>
      <c r="F151" s="65" t="s">
        <v>0</v>
      </c>
      <c r="G151" s="58" t="s">
        <v>41</v>
      </c>
      <c r="H151" s="58" t="s">
        <v>53</v>
      </c>
      <c r="I151" s="66"/>
      <c r="J151" s="65">
        <v>0</v>
      </c>
      <c r="K151" s="66"/>
      <c r="L151" s="57">
        <f>IF(Table1214[[#This Row],[modality]]=E150,1,0)</f>
        <v>1</v>
      </c>
      <c r="M151" s="66">
        <f>IF(Table1214[[#This Row],[stimulus]]=H152, 1, 0)</f>
        <v>1</v>
      </c>
      <c r="N151" s="66">
        <f t="shared" si="4"/>
        <v>0</v>
      </c>
      <c r="O151" s="66">
        <f t="shared" si="5"/>
        <v>1</v>
      </c>
    </row>
    <row r="152" spans="1:15" x14ac:dyDescent="0.3">
      <c r="A152" s="58">
        <v>2</v>
      </c>
      <c r="B152" s="59">
        <v>2</v>
      </c>
      <c r="C152" s="63">
        <v>151</v>
      </c>
      <c r="D152" s="65">
        <v>1</v>
      </c>
      <c r="E152" s="65" t="s">
        <v>81</v>
      </c>
      <c r="F152" s="65" t="s">
        <v>40</v>
      </c>
      <c r="G152" s="58" t="s">
        <v>10</v>
      </c>
      <c r="H152" s="58" t="s">
        <v>53</v>
      </c>
      <c r="I152" s="66"/>
      <c r="J152" s="65">
        <v>0</v>
      </c>
      <c r="K152" s="66"/>
      <c r="L152" s="57">
        <f>IF(Table1214[[#This Row],[modality]]=E151,1,0)</f>
        <v>0</v>
      </c>
      <c r="M152" s="66">
        <f>IF(Table1214[[#This Row],[stimulus]]=H153, 1, 0)</f>
        <v>0</v>
      </c>
      <c r="N152" s="66">
        <f t="shared" si="4"/>
        <v>0</v>
      </c>
      <c r="O152" s="66">
        <f t="shared" si="5"/>
        <v>0</v>
      </c>
    </row>
    <row r="153" spans="1:15" x14ac:dyDescent="0.3">
      <c r="A153" s="59">
        <v>3</v>
      </c>
      <c r="B153" s="59">
        <v>2</v>
      </c>
      <c r="C153" s="63">
        <v>152</v>
      </c>
      <c r="D153" s="84">
        <v>1</v>
      </c>
      <c r="E153" s="84" t="s">
        <v>81</v>
      </c>
      <c r="F153" s="84" t="s">
        <v>29</v>
      </c>
      <c r="G153" s="47" t="s">
        <v>42</v>
      </c>
      <c r="H153" s="47" t="s">
        <v>54</v>
      </c>
      <c r="I153" s="66"/>
      <c r="J153" s="65">
        <v>0</v>
      </c>
      <c r="K153" s="66"/>
      <c r="L153" s="57">
        <f>IF(Table1214[[#This Row],[modality]]=E152,1,0)</f>
        <v>1</v>
      </c>
      <c r="M153" s="66">
        <f>IF(Table1214[[#This Row],[stimulus]]=H154, 1, 0)</f>
        <v>0</v>
      </c>
      <c r="N153" s="66">
        <f t="shared" si="4"/>
        <v>1</v>
      </c>
      <c r="O153" s="66">
        <f t="shared" si="5"/>
        <v>0</v>
      </c>
    </row>
    <row r="154" spans="1:15" x14ac:dyDescent="0.3">
      <c r="A154" s="59">
        <v>3</v>
      </c>
      <c r="B154" s="59">
        <v>2</v>
      </c>
      <c r="C154" s="63">
        <v>153</v>
      </c>
      <c r="D154" s="65">
        <v>1</v>
      </c>
      <c r="E154" s="65" t="s">
        <v>81</v>
      </c>
      <c r="F154" s="65" t="s">
        <v>0</v>
      </c>
      <c r="G154" s="58" t="s">
        <v>41</v>
      </c>
      <c r="H154" s="58" t="s">
        <v>64</v>
      </c>
      <c r="I154" s="66"/>
      <c r="J154" s="66">
        <v>1</v>
      </c>
      <c r="K154" s="66" t="s">
        <v>9</v>
      </c>
      <c r="L154" s="57">
        <f>IF(Table1214[[#This Row],[modality]]=E153,1,0)</f>
        <v>1</v>
      </c>
      <c r="M154" s="66">
        <f>IF(Table1214[[#This Row],[stimulus]]=H155, 1, 0)</f>
        <v>1</v>
      </c>
      <c r="N154" s="66">
        <f t="shared" si="4"/>
        <v>0</v>
      </c>
      <c r="O154" s="66">
        <f t="shared" si="5"/>
        <v>1</v>
      </c>
    </row>
    <row r="155" spans="1:15" x14ac:dyDescent="0.3">
      <c r="A155" s="59">
        <v>3</v>
      </c>
      <c r="B155" s="59">
        <v>2</v>
      </c>
      <c r="C155" s="63">
        <v>154</v>
      </c>
      <c r="D155" s="65">
        <v>2</v>
      </c>
      <c r="E155" s="65" t="s">
        <v>80</v>
      </c>
      <c r="F155" s="65" t="s">
        <v>40</v>
      </c>
      <c r="G155" s="58" t="s">
        <v>10</v>
      </c>
      <c r="H155" s="58" t="s">
        <v>64</v>
      </c>
      <c r="I155" s="66"/>
      <c r="J155" s="65">
        <v>0</v>
      </c>
      <c r="K155" s="66"/>
      <c r="L155" s="57">
        <f>IF(Table1214[[#This Row],[modality]]=E154,1,0)</f>
        <v>0</v>
      </c>
      <c r="M155" s="66">
        <f>IF(Table1214[[#This Row],[stimulus]]=H156, 1, 0)</f>
        <v>0</v>
      </c>
      <c r="N155" s="66">
        <f t="shared" si="4"/>
        <v>0</v>
      </c>
      <c r="O155" s="66">
        <f t="shared" si="5"/>
        <v>0</v>
      </c>
    </row>
    <row r="156" spans="1:15" x14ac:dyDescent="0.3">
      <c r="A156" s="59">
        <v>3</v>
      </c>
      <c r="B156" s="59">
        <v>2</v>
      </c>
      <c r="C156" s="63">
        <v>155</v>
      </c>
      <c r="D156" s="84">
        <v>2</v>
      </c>
      <c r="E156" s="84" t="s">
        <v>80</v>
      </c>
      <c r="F156" s="84" t="s">
        <v>29</v>
      </c>
      <c r="G156" s="71" t="s">
        <v>42</v>
      </c>
      <c r="H156" s="71" t="s">
        <v>53</v>
      </c>
      <c r="I156" s="66"/>
      <c r="J156" s="65">
        <v>0</v>
      </c>
      <c r="K156" s="66"/>
      <c r="L156" s="57">
        <f>IF(Table1214[[#This Row],[modality]]=E155,1,0)</f>
        <v>1</v>
      </c>
      <c r="M156" s="66">
        <f>IF(Table1214[[#This Row],[stimulus]]=H157, 1, 0)</f>
        <v>0</v>
      </c>
      <c r="N156" s="66">
        <f t="shared" si="4"/>
        <v>1</v>
      </c>
      <c r="O156" s="66">
        <f t="shared" si="5"/>
        <v>0</v>
      </c>
    </row>
    <row r="157" spans="1:15" x14ac:dyDescent="0.3">
      <c r="A157" s="59">
        <v>3</v>
      </c>
      <c r="B157" s="59">
        <v>2</v>
      </c>
      <c r="C157" s="63">
        <v>156</v>
      </c>
      <c r="D157" s="68">
        <v>2</v>
      </c>
      <c r="E157" s="68" t="s">
        <v>80</v>
      </c>
      <c r="F157" s="68" t="s">
        <v>0</v>
      </c>
      <c r="G157" s="47" t="s">
        <v>41</v>
      </c>
      <c r="H157" s="47" t="s">
        <v>62</v>
      </c>
      <c r="I157" s="66"/>
      <c r="J157" s="66">
        <v>1</v>
      </c>
      <c r="K157" s="66" t="s">
        <v>9</v>
      </c>
      <c r="L157" s="57">
        <f>IF(Table1214[[#This Row],[modality]]=E156,1,0)</f>
        <v>1</v>
      </c>
      <c r="M157" s="66">
        <f>IF(Table1214[[#This Row],[stimulus]]=H158, 1, 0)</f>
        <v>1</v>
      </c>
      <c r="N157" s="66">
        <f t="shared" si="4"/>
        <v>0</v>
      </c>
      <c r="O157" s="66">
        <f t="shared" si="5"/>
        <v>1</v>
      </c>
    </row>
    <row r="158" spans="1:15" x14ac:dyDescent="0.3">
      <c r="A158" s="59">
        <v>3</v>
      </c>
      <c r="B158" s="59">
        <v>2</v>
      </c>
      <c r="C158" s="63">
        <v>157</v>
      </c>
      <c r="D158" s="70">
        <v>1</v>
      </c>
      <c r="E158" s="70" t="s">
        <v>81</v>
      </c>
      <c r="F158" s="70" t="s">
        <v>40</v>
      </c>
      <c r="G158" s="71" t="s">
        <v>10</v>
      </c>
      <c r="H158" s="71" t="s">
        <v>62</v>
      </c>
      <c r="I158" s="66"/>
      <c r="J158" s="65">
        <v>0</v>
      </c>
      <c r="K158" s="66"/>
      <c r="L158" s="57">
        <f>IF(Table1214[[#This Row],[modality]]=E157,1,0)</f>
        <v>0</v>
      </c>
      <c r="M158" s="66">
        <f>IF(Table1214[[#This Row],[stimulus]]=H159, 1, 0)</f>
        <v>0</v>
      </c>
      <c r="N158" s="66">
        <f t="shared" si="4"/>
        <v>0</v>
      </c>
      <c r="O158" s="66">
        <f t="shared" si="5"/>
        <v>0</v>
      </c>
    </row>
    <row r="159" spans="1:15" x14ac:dyDescent="0.3">
      <c r="A159" s="58">
        <v>3</v>
      </c>
      <c r="B159" s="59">
        <v>2</v>
      </c>
      <c r="C159" s="63">
        <v>158</v>
      </c>
      <c r="D159" s="97">
        <v>1</v>
      </c>
      <c r="E159" s="97" t="s">
        <v>81</v>
      </c>
      <c r="F159" s="97" t="s">
        <v>29</v>
      </c>
      <c r="G159" s="98" t="s">
        <v>42</v>
      </c>
      <c r="H159" s="98"/>
      <c r="I159" s="75" t="s">
        <v>127</v>
      </c>
      <c r="J159" s="65">
        <v>0</v>
      </c>
      <c r="K159" s="107"/>
      <c r="L159" s="57">
        <f>IF(Table1214[[#This Row],[modality]]=E158,1,0)</f>
        <v>1</v>
      </c>
      <c r="M159" s="66">
        <f>IF(Table1214[[#This Row],[stimulus]]=H160, 1, 0)</f>
        <v>0</v>
      </c>
      <c r="N159" s="66">
        <f t="shared" si="4"/>
        <v>1</v>
      </c>
      <c r="O159" s="66">
        <f t="shared" si="5"/>
        <v>0</v>
      </c>
    </row>
    <row r="160" spans="1:15" x14ac:dyDescent="0.3">
      <c r="A160" s="59">
        <v>3</v>
      </c>
      <c r="B160" s="59">
        <v>2</v>
      </c>
      <c r="C160" s="63">
        <v>159</v>
      </c>
      <c r="D160" s="68">
        <v>1</v>
      </c>
      <c r="E160" s="68" t="s">
        <v>81</v>
      </c>
      <c r="F160" s="68" t="s">
        <v>0</v>
      </c>
      <c r="G160" s="47" t="s">
        <v>41</v>
      </c>
      <c r="H160" s="47" t="s">
        <v>66</v>
      </c>
      <c r="I160" s="66"/>
      <c r="J160" s="65">
        <v>0</v>
      </c>
      <c r="K160" s="66"/>
      <c r="L160" s="57">
        <f>IF(Table1214[[#This Row],[modality]]=E159,1,0)</f>
        <v>1</v>
      </c>
      <c r="M160" s="66">
        <f>IF(Table1214[[#This Row],[stimulus]]=H161, 1, 0)</f>
        <v>1</v>
      </c>
      <c r="N160" s="66">
        <f t="shared" si="4"/>
        <v>0</v>
      </c>
      <c r="O160" s="66">
        <f t="shared" si="5"/>
        <v>1</v>
      </c>
    </row>
    <row r="161" spans="1:15" x14ac:dyDescent="0.3">
      <c r="A161" s="59">
        <v>3</v>
      </c>
      <c r="B161" s="59">
        <v>2</v>
      </c>
      <c r="C161" s="63">
        <v>160</v>
      </c>
      <c r="D161" s="65">
        <v>2</v>
      </c>
      <c r="E161" s="65" t="s">
        <v>80</v>
      </c>
      <c r="F161" s="65" t="s">
        <v>40</v>
      </c>
      <c r="G161" s="58" t="s">
        <v>10</v>
      </c>
      <c r="H161" s="58" t="s">
        <v>66</v>
      </c>
      <c r="I161" s="66"/>
      <c r="J161" s="65">
        <v>0</v>
      </c>
      <c r="K161" s="66"/>
      <c r="L161" s="57">
        <f>IF(Table1214[[#This Row],[modality]]=E160,1,0)</f>
        <v>0</v>
      </c>
      <c r="M161" s="66">
        <f>IF(Table1214[[#This Row],[stimulus]]=H162, 1, 0)</f>
        <v>0</v>
      </c>
      <c r="N161" s="66">
        <f t="shared" si="4"/>
        <v>0</v>
      </c>
      <c r="O161" s="66">
        <f t="shared" si="5"/>
        <v>0</v>
      </c>
    </row>
    <row r="162" spans="1:15" x14ac:dyDescent="0.3">
      <c r="A162" s="59">
        <v>3</v>
      </c>
      <c r="B162" s="59">
        <v>2</v>
      </c>
      <c r="C162" s="63">
        <v>161</v>
      </c>
      <c r="D162" s="84">
        <v>1</v>
      </c>
      <c r="E162" s="84" t="s">
        <v>81</v>
      </c>
      <c r="F162" s="84" t="s">
        <v>29</v>
      </c>
      <c r="G162" s="47" t="s">
        <v>42</v>
      </c>
      <c r="H162" s="47" t="s">
        <v>58</v>
      </c>
      <c r="I162" s="66"/>
      <c r="J162" s="65">
        <v>0</v>
      </c>
      <c r="K162" s="66"/>
      <c r="L162" s="57">
        <f>IF(Table1214[[#This Row],[modality]]=E161,1,0)</f>
        <v>0</v>
      </c>
      <c r="M162" s="66">
        <f>IF(Table1214[[#This Row],[stimulus]]=H163, 1, 0)</f>
        <v>0</v>
      </c>
      <c r="N162" s="66">
        <f t="shared" si="4"/>
        <v>1</v>
      </c>
      <c r="O162" s="66">
        <f t="shared" si="5"/>
        <v>0</v>
      </c>
    </row>
    <row r="163" spans="1:15" x14ac:dyDescent="0.3">
      <c r="A163" s="59">
        <v>3</v>
      </c>
      <c r="B163" s="59">
        <v>2</v>
      </c>
      <c r="C163" s="63">
        <v>162</v>
      </c>
      <c r="D163" s="65">
        <v>2</v>
      </c>
      <c r="E163" s="65" t="s">
        <v>80</v>
      </c>
      <c r="F163" s="65" t="s">
        <v>0</v>
      </c>
      <c r="G163" s="58" t="s">
        <v>41</v>
      </c>
      <c r="H163" s="58" t="s">
        <v>65</v>
      </c>
      <c r="I163" s="66"/>
      <c r="J163" s="66">
        <v>1</v>
      </c>
      <c r="K163" s="66" t="s">
        <v>10</v>
      </c>
      <c r="L163" s="57">
        <f>IF(Table1214[[#This Row],[modality]]=E162,1,0)</f>
        <v>0</v>
      </c>
      <c r="M163" s="66">
        <f>IF(Table1214[[#This Row],[stimulus]]=H164, 1, 0)</f>
        <v>1</v>
      </c>
      <c r="N163" s="66">
        <f t="shared" si="4"/>
        <v>0</v>
      </c>
      <c r="O163" s="66">
        <f t="shared" si="5"/>
        <v>1</v>
      </c>
    </row>
    <row r="164" spans="1:15" x14ac:dyDescent="0.3">
      <c r="A164" s="59">
        <v>3</v>
      </c>
      <c r="B164" s="59">
        <v>2</v>
      </c>
      <c r="C164" s="63">
        <v>163</v>
      </c>
      <c r="D164" s="68">
        <v>2</v>
      </c>
      <c r="E164" s="68" t="s">
        <v>80</v>
      </c>
      <c r="F164" s="68" t="s">
        <v>40</v>
      </c>
      <c r="G164" s="47" t="s">
        <v>9</v>
      </c>
      <c r="H164" s="47" t="s">
        <v>65</v>
      </c>
      <c r="I164" s="66"/>
      <c r="J164" s="65">
        <v>0</v>
      </c>
      <c r="K164" s="66"/>
      <c r="L164" s="57">
        <f>IF(Table1214[[#This Row],[modality]]=E163,1,0)</f>
        <v>1</v>
      </c>
      <c r="M164" s="66">
        <f>IF(Table1214[[#This Row],[stimulus]]=H165, 1, 0)</f>
        <v>0</v>
      </c>
      <c r="N164" s="66">
        <f t="shared" si="4"/>
        <v>0</v>
      </c>
      <c r="O164" s="66">
        <f t="shared" si="5"/>
        <v>0</v>
      </c>
    </row>
    <row r="165" spans="1:15" x14ac:dyDescent="0.3">
      <c r="A165" s="59">
        <v>3</v>
      </c>
      <c r="B165" s="59">
        <v>2</v>
      </c>
      <c r="C165" s="63">
        <v>164</v>
      </c>
      <c r="D165" s="84">
        <v>2</v>
      </c>
      <c r="E165" s="84" t="s">
        <v>80</v>
      </c>
      <c r="F165" s="84" t="s">
        <v>29</v>
      </c>
      <c r="G165" s="58" t="s">
        <v>42</v>
      </c>
      <c r="H165" s="58" t="s">
        <v>52</v>
      </c>
      <c r="I165" s="66"/>
      <c r="J165" s="65">
        <v>0</v>
      </c>
      <c r="K165" s="66"/>
      <c r="L165" s="57">
        <f>IF(Table1214[[#This Row],[modality]]=E164,1,0)</f>
        <v>1</v>
      </c>
      <c r="M165" s="66">
        <f>IF(Table1214[[#This Row],[stimulus]]=H166, 1, 0)</f>
        <v>0</v>
      </c>
      <c r="N165" s="66">
        <f t="shared" si="4"/>
        <v>1</v>
      </c>
      <c r="O165" s="66">
        <f t="shared" si="5"/>
        <v>0</v>
      </c>
    </row>
    <row r="166" spans="1:15" x14ac:dyDescent="0.3">
      <c r="A166" s="59">
        <v>3</v>
      </c>
      <c r="B166" s="59">
        <v>2</v>
      </c>
      <c r="C166" s="63">
        <v>165</v>
      </c>
      <c r="D166" s="84">
        <v>1</v>
      </c>
      <c r="E166" s="84" t="s">
        <v>81</v>
      </c>
      <c r="F166" s="84" t="s">
        <v>29</v>
      </c>
      <c r="G166" s="47" t="s">
        <v>42</v>
      </c>
      <c r="H166" s="47" t="s">
        <v>57</v>
      </c>
      <c r="I166" s="66"/>
      <c r="J166" s="65">
        <v>0</v>
      </c>
      <c r="K166" s="66"/>
      <c r="L166" s="57">
        <f>IF(Table1214[[#This Row],[modality]]=E165,1,0)</f>
        <v>0</v>
      </c>
      <c r="M166" s="66">
        <f>IF(Table1214[[#This Row],[stimulus]]=H167, 1, 0)</f>
        <v>0</v>
      </c>
      <c r="N166" s="66">
        <f t="shared" si="4"/>
        <v>0</v>
      </c>
      <c r="O166" s="66">
        <f t="shared" si="5"/>
        <v>1</v>
      </c>
    </row>
    <row r="167" spans="1:15" x14ac:dyDescent="0.3">
      <c r="A167" s="59">
        <v>3</v>
      </c>
      <c r="B167" s="59">
        <v>2</v>
      </c>
      <c r="C167" s="63">
        <v>166</v>
      </c>
      <c r="D167" s="65">
        <v>2</v>
      </c>
      <c r="E167" s="65" t="s">
        <v>80</v>
      </c>
      <c r="F167" s="65" t="s">
        <v>0</v>
      </c>
      <c r="G167" s="58" t="s">
        <v>41</v>
      </c>
      <c r="H167" s="58" t="s">
        <v>59</v>
      </c>
      <c r="I167" s="66"/>
      <c r="J167" s="66">
        <v>1</v>
      </c>
      <c r="K167" s="66" t="s">
        <v>10</v>
      </c>
      <c r="L167" s="57">
        <f>IF(Table1214[[#This Row],[modality]]=E166,1,0)</f>
        <v>0</v>
      </c>
      <c r="M167" s="66">
        <f>IF(Table1214[[#This Row],[stimulus]]=H168, 1, 0)</f>
        <v>1</v>
      </c>
      <c r="N167" s="66">
        <f t="shared" si="4"/>
        <v>0</v>
      </c>
      <c r="O167" s="66">
        <f t="shared" si="5"/>
        <v>1</v>
      </c>
    </row>
    <row r="168" spans="1:15" x14ac:dyDescent="0.3">
      <c r="A168" s="59">
        <v>3</v>
      </c>
      <c r="B168" s="59">
        <v>2</v>
      </c>
      <c r="C168" s="63">
        <v>167</v>
      </c>
      <c r="D168" s="68">
        <v>2</v>
      </c>
      <c r="E168" s="68" t="s">
        <v>80</v>
      </c>
      <c r="F168" s="68" t="s">
        <v>40</v>
      </c>
      <c r="G168" s="47" t="s">
        <v>9</v>
      </c>
      <c r="H168" s="47" t="s">
        <v>59</v>
      </c>
      <c r="I168" s="66"/>
      <c r="J168" s="65">
        <v>0</v>
      </c>
      <c r="K168" s="66"/>
      <c r="L168" s="57">
        <f>IF(Table1214[[#This Row],[modality]]=E167,1,0)</f>
        <v>1</v>
      </c>
      <c r="M168" s="66">
        <f>IF(Table1214[[#This Row],[stimulus]]=H169, 1, 0)</f>
        <v>0</v>
      </c>
      <c r="N168" s="66">
        <f t="shared" si="4"/>
        <v>0</v>
      </c>
      <c r="O168" s="66">
        <f t="shared" si="5"/>
        <v>0</v>
      </c>
    </row>
    <row r="169" spans="1:15" x14ac:dyDescent="0.3">
      <c r="A169" s="59">
        <v>3</v>
      </c>
      <c r="B169" s="59">
        <v>2</v>
      </c>
      <c r="C169" s="63">
        <v>168</v>
      </c>
      <c r="D169" s="65">
        <v>2</v>
      </c>
      <c r="E169" s="65" t="s">
        <v>80</v>
      </c>
      <c r="F169" s="65" t="s">
        <v>0</v>
      </c>
      <c r="G169" s="58" t="s">
        <v>41</v>
      </c>
      <c r="H169" s="58" t="s">
        <v>61</v>
      </c>
      <c r="I169" s="66"/>
      <c r="J169" s="65">
        <v>0</v>
      </c>
      <c r="K169" s="66"/>
      <c r="L169" s="57">
        <f>IF(Table1214[[#This Row],[modality]]=E168,1,0)</f>
        <v>1</v>
      </c>
      <c r="M169" s="66">
        <f>IF(Table1214[[#This Row],[stimulus]]=H170, 1, 0)</f>
        <v>1</v>
      </c>
      <c r="N169" s="66">
        <f t="shared" si="4"/>
        <v>1</v>
      </c>
      <c r="O169" s="66">
        <f t="shared" si="5"/>
        <v>0</v>
      </c>
    </row>
    <row r="170" spans="1:15" x14ac:dyDescent="0.3">
      <c r="A170" s="59">
        <v>3</v>
      </c>
      <c r="B170" s="59">
        <v>2</v>
      </c>
      <c r="C170" s="63">
        <v>169</v>
      </c>
      <c r="D170" s="68">
        <v>1</v>
      </c>
      <c r="E170" s="68" t="s">
        <v>81</v>
      </c>
      <c r="F170" s="68" t="s">
        <v>40</v>
      </c>
      <c r="G170" s="47" t="s">
        <v>10</v>
      </c>
      <c r="H170" s="47" t="s">
        <v>61</v>
      </c>
      <c r="I170" s="66"/>
      <c r="J170" s="65">
        <v>0</v>
      </c>
      <c r="K170" s="66"/>
      <c r="L170" s="57">
        <f>IF(Table1214[[#This Row],[modality]]=E169,1,0)</f>
        <v>0</v>
      </c>
      <c r="M170" s="66">
        <f>IF(Table1214[[#This Row],[stimulus]]=H171, 1, 0)</f>
        <v>0</v>
      </c>
      <c r="N170" s="66">
        <f t="shared" si="4"/>
        <v>0</v>
      </c>
      <c r="O170" s="66">
        <f t="shared" si="5"/>
        <v>0</v>
      </c>
    </row>
    <row r="171" spans="1:15" x14ac:dyDescent="0.3">
      <c r="A171" s="59">
        <v>3</v>
      </c>
      <c r="B171" s="59">
        <v>2</v>
      </c>
      <c r="C171" s="63">
        <v>170</v>
      </c>
      <c r="D171" s="84">
        <v>2</v>
      </c>
      <c r="E171" s="84" t="s">
        <v>80</v>
      </c>
      <c r="F171" s="84" t="s">
        <v>29</v>
      </c>
      <c r="G171" s="58" t="s">
        <v>42</v>
      </c>
      <c r="H171" s="58" t="s">
        <v>55</v>
      </c>
      <c r="I171" s="66"/>
      <c r="J171" s="65">
        <v>0</v>
      </c>
      <c r="K171" s="66"/>
      <c r="L171" s="57">
        <f>IF(Table1214[[#This Row],[modality]]=E170,1,0)</f>
        <v>0</v>
      </c>
      <c r="M171" s="66">
        <f>IF(Table1214[[#This Row],[stimulus]]=H172, 1, 0)</f>
        <v>0</v>
      </c>
      <c r="N171" s="66">
        <f t="shared" si="4"/>
        <v>1</v>
      </c>
      <c r="O171" s="66">
        <f t="shared" si="5"/>
        <v>0</v>
      </c>
    </row>
    <row r="172" spans="1:15" x14ac:dyDescent="0.3">
      <c r="A172" s="58">
        <v>3</v>
      </c>
      <c r="B172" s="59">
        <v>2</v>
      </c>
      <c r="C172" s="63">
        <v>171</v>
      </c>
      <c r="D172" s="97">
        <v>1</v>
      </c>
      <c r="E172" s="97" t="s">
        <v>81</v>
      </c>
      <c r="F172" s="97" t="s">
        <v>29</v>
      </c>
      <c r="G172" s="98" t="s">
        <v>42</v>
      </c>
      <c r="H172" s="98"/>
      <c r="I172" s="75" t="s">
        <v>127</v>
      </c>
      <c r="J172" s="65">
        <v>0</v>
      </c>
      <c r="K172" s="66"/>
      <c r="L172" s="57">
        <f>IF(Table1214[[#This Row],[modality]]=E171,1,0)</f>
        <v>0</v>
      </c>
      <c r="M172" s="66">
        <f>IF(Table1214[[#This Row],[stimulus]]=H173, 1, 0)</f>
        <v>0</v>
      </c>
      <c r="N172" s="66">
        <f t="shared" si="4"/>
        <v>0</v>
      </c>
      <c r="O172" s="66">
        <f t="shared" si="5"/>
        <v>1</v>
      </c>
    </row>
    <row r="173" spans="1:15" x14ac:dyDescent="0.3">
      <c r="A173" s="59">
        <v>3</v>
      </c>
      <c r="B173" s="59">
        <v>2</v>
      </c>
      <c r="C173" s="63">
        <v>172</v>
      </c>
      <c r="D173" s="68">
        <v>1</v>
      </c>
      <c r="E173" s="68" t="s">
        <v>81</v>
      </c>
      <c r="F173" s="68" t="s">
        <v>0</v>
      </c>
      <c r="G173" s="47" t="s">
        <v>41</v>
      </c>
      <c r="H173" s="47" t="s">
        <v>63</v>
      </c>
      <c r="I173" s="66"/>
      <c r="J173" s="66">
        <v>1</v>
      </c>
      <c r="K173" s="66" t="s">
        <v>9</v>
      </c>
      <c r="L173" s="57">
        <f>IF(Table1214[[#This Row],[modality]]=E172,1,0)</f>
        <v>1</v>
      </c>
      <c r="M173" s="66">
        <f>IF(Table1214[[#This Row],[stimulus]]=H174, 1, 0)</f>
        <v>1</v>
      </c>
      <c r="N173" s="66">
        <f t="shared" si="4"/>
        <v>0</v>
      </c>
      <c r="O173" s="66">
        <f t="shared" si="5"/>
        <v>1</v>
      </c>
    </row>
    <row r="174" spans="1:15" x14ac:dyDescent="0.3">
      <c r="A174" s="59">
        <v>3</v>
      </c>
      <c r="B174" s="59">
        <v>2</v>
      </c>
      <c r="C174" s="63">
        <v>173</v>
      </c>
      <c r="D174" s="70">
        <v>1</v>
      </c>
      <c r="E174" s="70" t="s">
        <v>81</v>
      </c>
      <c r="F174" s="70" t="s">
        <v>40</v>
      </c>
      <c r="G174" s="71" t="s">
        <v>9</v>
      </c>
      <c r="H174" s="71" t="s">
        <v>63</v>
      </c>
      <c r="I174" s="66"/>
      <c r="J174" s="65">
        <v>0</v>
      </c>
      <c r="K174" s="66"/>
      <c r="L174" s="57">
        <f>IF(Table1214[[#This Row],[modality]]=E173,1,0)</f>
        <v>1</v>
      </c>
      <c r="M174" s="66">
        <f>IF(Table1214[[#This Row],[stimulus]]=H175, 1, 0)</f>
        <v>0</v>
      </c>
      <c r="N174" s="66">
        <f t="shared" si="4"/>
        <v>0</v>
      </c>
      <c r="O174" s="66">
        <f t="shared" si="5"/>
        <v>0</v>
      </c>
    </row>
    <row r="175" spans="1:15" x14ac:dyDescent="0.3">
      <c r="A175" s="59">
        <v>3</v>
      </c>
      <c r="B175" s="59">
        <v>2</v>
      </c>
      <c r="C175" s="63">
        <v>174</v>
      </c>
      <c r="D175" s="84">
        <v>2</v>
      </c>
      <c r="E175" s="84" t="s">
        <v>80</v>
      </c>
      <c r="F175" s="84" t="s">
        <v>29</v>
      </c>
      <c r="G175" s="47" t="s">
        <v>42</v>
      </c>
      <c r="H175" s="47" t="s">
        <v>51</v>
      </c>
      <c r="I175" s="66"/>
      <c r="J175" s="65">
        <v>0</v>
      </c>
      <c r="K175" s="66"/>
      <c r="L175" s="57">
        <f>IF(Table1214[[#This Row],[modality]]=E174,1,0)</f>
        <v>0</v>
      </c>
      <c r="M175" s="66">
        <f>IF(Table1214[[#This Row],[stimulus]]=H176, 1, 0)</f>
        <v>0</v>
      </c>
      <c r="N175" s="66">
        <f t="shared" si="4"/>
        <v>1</v>
      </c>
      <c r="O175" s="66">
        <f t="shared" si="5"/>
        <v>0</v>
      </c>
    </row>
    <row r="176" spans="1:15" x14ac:dyDescent="0.3">
      <c r="A176" s="59">
        <v>3</v>
      </c>
      <c r="B176" s="59">
        <v>2</v>
      </c>
      <c r="C176" s="63">
        <v>175</v>
      </c>
      <c r="D176" s="70">
        <v>1</v>
      </c>
      <c r="E176" s="70" t="s">
        <v>81</v>
      </c>
      <c r="F176" s="70" t="s">
        <v>0</v>
      </c>
      <c r="G176" s="71" t="s">
        <v>41</v>
      </c>
      <c r="H176" s="71" t="s">
        <v>60</v>
      </c>
      <c r="I176" s="66"/>
      <c r="J176" s="66">
        <v>1</v>
      </c>
      <c r="K176" s="66" t="s">
        <v>10</v>
      </c>
      <c r="L176" s="57">
        <f>IF(Table1214[[#This Row],[modality]]=E175,1,0)</f>
        <v>0</v>
      </c>
      <c r="M176" s="66">
        <f>IF(Table1214[[#This Row],[stimulus]]=H177, 1, 0)</f>
        <v>1</v>
      </c>
      <c r="N176" s="66">
        <f t="shared" si="4"/>
        <v>0</v>
      </c>
      <c r="O176" s="66">
        <f t="shared" si="5"/>
        <v>1</v>
      </c>
    </row>
    <row r="177" spans="1:15" x14ac:dyDescent="0.3">
      <c r="A177" s="59">
        <v>3</v>
      </c>
      <c r="B177" s="59">
        <v>2</v>
      </c>
      <c r="C177" s="63">
        <v>176</v>
      </c>
      <c r="D177" s="68">
        <v>1</v>
      </c>
      <c r="E177" s="68" t="s">
        <v>81</v>
      </c>
      <c r="F177" s="68" t="s">
        <v>40</v>
      </c>
      <c r="G177" s="47" t="s">
        <v>9</v>
      </c>
      <c r="H177" s="47" t="s">
        <v>60</v>
      </c>
      <c r="I177" s="66"/>
      <c r="J177" s="65">
        <v>0</v>
      </c>
      <c r="K177" s="66"/>
      <c r="L177" s="57">
        <f>IF(Table1214[[#This Row],[modality]]=E176,1,0)</f>
        <v>1</v>
      </c>
      <c r="M177" s="66">
        <f>IF(Table1214[[#This Row],[stimulus]]=H178, 1, 0)</f>
        <v>0</v>
      </c>
      <c r="N177" s="66">
        <f t="shared" si="4"/>
        <v>0</v>
      </c>
      <c r="O177" s="66">
        <f t="shared" si="5"/>
        <v>0</v>
      </c>
    </row>
    <row r="178" spans="1:15" x14ac:dyDescent="0.3">
      <c r="A178" s="59">
        <v>3</v>
      </c>
      <c r="B178" s="59">
        <v>2</v>
      </c>
      <c r="C178" s="63">
        <v>177</v>
      </c>
      <c r="D178" s="84">
        <v>1</v>
      </c>
      <c r="E178" s="84" t="s">
        <v>81</v>
      </c>
      <c r="F178" s="84" t="s">
        <v>29</v>
      </c>
      <c r="G178" s="71" t="s">
        <v>42</v>
      </c>
      <c r="H178" s="71" t="s">
        <v>56</v>
      </c>
      <c r="I178" s="66"/>
      <c r="J178" s="66">
        <v>1</v>
      </c>
      <c r="K178" s="66" t="s">
        <v>9</v>
      </c>
      <c r="L178" s="57">
        <f>IF(Table1214[[#This Row],[modality]]=E177,1,0)</f>
        <v>1</v>
      </c>
      <c r="M178" s="66">
        <f>IF(Table1214[[#This Row],[stimulus]]=H179, 1, 0)</f>
        <v>0</v>
      </c>
      <c r="N178" s="66">
        <f t="shared" si="4"/>
        <v>1</v>
      </c>
      <c r="O178" s="66">
        <f t="shared" si="5"/>
        <v>0</v>
      </c>
    </row>
    <row r="179" spans="1:15" x14ac:dyDescent="0.3">
      <c r="A179" s="58">
        <v>4</v>
      </c>
      <c r="B179" s="59">
        <v>2</v>
      </c>
      <c r="C179" s="63">
        <v>178</v>
      </c>
      <c r="D179" s="91">
        <v>2</v>
      </c>
      <c r="E179" s="91" t="s">
        <v>80</v>
      </c>
      <c r="F179" s="91" t="s">
        <v>29</v>
      </c>
      <c r="G179" s="58" t="s">
        <v>42</v>
      </c>
      <c r="H179" s="58" t="s">
        <v>64</v>
      </c>
      <c r="I179" s="66"/>
      <c r="J179" s="65">
        <v>0</v>
      </c>
      <c r="K179" s="66"/>
      <c r="L179" s="57">
        <f>IF(Table1214[[#This Row],[modality]]=E178,1,0)</f>
        <v>0</v>
      </c>
      <c r="M179" s="66">
        <f>IF(Table1214[[#This Row],[stimulus]]=H180, 1, 0)</f>
        <v>0</v>
      </c>
      <c r="N179" s="66">
        <f t="shared" si="4"/>
        <v>0</v>
      </c>
      <c r="O179" s="66">
        <f t="shared" si="5"/>
        <v>1</v>
      </c>
    </row>
    <row r="180" spans="1:15" x14ac:dyDescent="0.3">
      <c r="A180" s="58">
        <v>4</v>
      </c>
      <c r="B180" s="59">
        <v>2</v>
      </c>
      <c r="C180" s="63">
        <v>179</v>
      </c>
      <c r="D180" s="68">
        <v>1</v>
      </c>
      <c r="E180" s="68" t="s">
        <v>81</v>
      </c>
      <c r="F180" s="68" t="s">
        <v>0</v>
      </c>
      <c r="G180" s="47" t="s">
        <v>41</v>
      </c>
      <c r="H180" s="47" t="s">
        <v>72</v>
      </c>
      <c r="I180" s="66"/>
      <c r="J180" s="66">
        <v>1</v>
      </c>
      <c r="K180" s="66" t="s">
        <v>10</v>
      </c>
      <c r="L180" s="57">
        <f>IF(Table1214[[#This Row],[modality]]=E179,1,0)</f>
        <v>0</v>
      </c>
      <c r="M180" s="66">
        <f>IF(Table1214[[#This Row],[stimulus]]=H181, 1, 0)</f>
        <v>1</v>
      </c>
      <c r="N180" s="66">
        <f t="shared" si="4"/>
        <v>0</v>
      </c>
      <c r="O180" s="66">
        <f t="shared" si="5"/>
        <v>1</v>
      </c>
    </row>
    <row r="181" spans="1:15" x14ac:dyDescent="0.3">
      <c r="A181" s="58">
        <v>4</v>
      </c>
      <c r="B181" s="59">
        <v>2</v>
      </c>
      <c r="C181" s="63">
        <v>180</v>
      </c>
      <c r="D181" s="65">
        <v>1</v>
      </c>
      <c r="E181" s="65" t="s">
        <v>81</v>
      </c>
      <c r="F181" s="65" t="s">
        <v>40</v>
      </c>
      <c r="G181" s="58" t="s">
        <v>9</v>
      </c>
      <c r="H181" s="58" t="s">
        <v>72</v>
      </c>
      <c r="I181" s="66"/>
      <c r="J181" s="65">
        <v>0</v>
      </c>
      <c r="K181" s="66"/>
      <c r="L181" s="57">
        <f>IF(Table1214[[#This Row],[modality]]=E180,1,0)</f>
        <v>1</v>
      </c>
      <c r="M181" s="66">
        <f>IF(Table1214[[#This Row],[stimulus]]=H182, 1, 0)</f>
        <v>0</v>
      </c>
      <c r="N181" s="66">
        <f t="shared" si="4"/>
        <v>0</v>
      </c>
      <c r="O181" s="66">
        <f t="shared" si="5"/>
        <v>0</v>
      </c>
    </row>
    <row r="182" spans="1:15" x14ac:dyDescent="0.3">
      <c r="A182" s="58">
        <v>4</v>
      </c>
      <c r="B182" s="59">
        <v>2</v>
      </c>
      <c r="C182" s="63">
        <v>181</v>
      </c>
      <c r="D182" s="68">
        <v>1</v>
      </c>
      <c r="E182" s="68" t="s">
        <v>81</v>
      </c>
      <c r="F182" s="68" t="s">
        <v>0</v>
      </c>
      <c r="G182" s="47" t="s">
        <v>41</v>
      </c>
      <c r="H182" s="47" t="s">
        <v>67</v>
      </c>
      <c r="I182" s="66"/>
      <c r="J182" s="66">
        <v>1</v>
      </c>
      <c r="K182" s="66" t="s">
        <v>9</v>
      </c>
      <c r="L182" s="57">
        <f>IF(Table1214[[#This Row],[modality]]=E181,1,0)</f>
        <v>1</v>
      </c>
      <c r="M182" s="66">
        <f>IF(Table1214[[#This Row],[stimulus]]=H183, 1, 0)</f>
        <v>1</v>
      </c>
      <c r="N182" s="66">
        <f t="shared" si="4"/>
        <v>1</v>
      </c>
      <c r="O182" s="66">
        <f t="shared" si="5"/>
        <v>0</v>
      </c>
    </row>
    <row r="183" spans="1:15" x14ac:dyDescent="0.3">
      <c r="A183" s="58">
        <v>4</v>
      </c>
      <c r="B183" s="59">
        <v>2</v>
      </c>
      <c r="C183" s="63">
        <v>182</v>
      </c>
      <c r="D183" s="65">
        <v>2</v>
      </c>
      <c r="E183" s="65" t="s">
        <v>80</v>
      </c>
      <c r="F183" s="65" t="s">
        <v>40</v>
      </c>
      <c r="G183" s="58" t="s">
        <v>10</v>
      </c>
      <c r="H183" s="58" t="s">
        <v>67</v>
      </c>
      <c r="I183" s="66"/>
      <c r="J183" s="65">
        <v>0</v>
      </c>
      <c r="K183" s="66"/>
      <c r="L183" s="57">
        <f>IF(Table1214[[#This Row],[modality]]=E182,1,0)</f>
        <v>0</v>
      </c>
      <c r="M183" s="66">
        <f>IF(Table1214[[#This Row],[stimulus]]=H184, 1, 0)</f>
        <v>0</v>
      </c>
      <c r="N183" s="66">
        <f t="shared" si="4"/>
        <v>0</v>
      </c>
      <c r="O183" s="66">
        <f t="shared" si="5"/>
        <v>0</v>
      </c>
    </row>
    <row r="184" spans="1:15" x14ac:dyDescent="0.3">
      <c r="A184" s="58">
        <v>4</v>
      </c>
      <c r="B184" s="59">
        <v>2</v>
      </c>
      <c r="C184" s="63">
        <v>183</v>
      </c>
      <c r="D184" s="91">
        <v>1</v>
      </c>
      <c r="E184" s="91" t="s">
        <v>81</v>
      </c>
      <c r="F184" s="91" t="s">
        <v>29</v>
      </c>
      <c r="G184" s="47" t="s">
        <v>42</v>
      </c>
      <c r="H184" s="47" t="s">
        <v>62</v>
      </c>
      <c r="I184" s="66"/>
      <c r="J184" s="65">
        <v>0</v>
      </c>
      <c r="K184" s="66"/>
      <c r="L184" s="57">
        <f>IF(Table1214[[#This Row],[modality]]=E183,1,0)</f>
        <v>0</v>
      </c>
      <c r="M184" s="66">
        <f>IF(Table1214[[#This Row],[stimulus]]=H185, 1, 0)</f>
        <v>0</v>
      </c>
      <c r="N184" s="66">
        <f t="shared" si="4"/>
        <v>1</v>
      </c>
      <c r="O184" s="66">
        <f t="shared" si="5"/>
        <v>0</v>
      </c>
    </row>
    <row r="185" spans="1:15" x14ac:dyDescent="0.3">
      <c r="A185" s="58">
        <v>4</v>
      </c>
      <c r="B185" s="59">
        <v>2</v>
      </c>
      <c r="C185" s="63">
        <v>184</v>
      </c>
      <c r="D185" s="65">
        <v>2</v>
      </c>
      <c r="E185" s="65" t="s">
        <v>80</v>
      </c>
      <c r="F185" s="65" t="s">
        <v>0</v>
      </c>
      <c r="G185" s="58" t="s">
        <v>41</v>
      </c>
      <c r="H185" s="58" t="s">
        <v>71</v>
      </c>
      <c r="I185" s="66"/>
      <c r="J185" s="66">
        <v>1</v>
      </c>
      <c r="K185" s="66" t="s">
        <v>10</v>
      </c>
      <c r="L185" s="57">
        <f>IF(Table1214[[#This Row],[modality]]=E184,1,0)</f>
        <v>0</v>
      </c>
      <c r="M185" s="66">
        <f>IF(Table1214[[#This Row],[stimulus]]=H186, 1, 0)</f>
        <v>1</v>
      </c>
      <c r="N185" s="66">
        <f t="shared" si="4"/>
        <v>0</v>
      </c>
      <c r="O185" s="66">
        <f t="shared" si="5"/>
        <v>1</v>
      </c>
    </row>
    <row r="186" spans="1:15" x14ac:dyDescent="0.3">
      <c r="A186" s="58">
        <v>4</v>
      </c>
      <c r="B186" s="59">
        <v>2</v>
      </c>
      <c r="C186" s="63">
        <v>185</v>
      </c>
      <c r="D186" s="68">
        <v>2</v>
      </c>
      <c r="E186" s="68" t="s">
        <v>80</v>
      </c>
      <c r="F186" s="68" t="s">
        <v>40</v>
      </c>
      <c r="G186" s="47" t="s">
        <v>9</v>
      </c>
      <c r="H186" s="47" t="s">
        <v>71</v>
      </c>
      <c r="I186" s="66"/>
      <c r="J186" s="65">
        <v>0</v>
      </c>
      <c r="K186" s="66"/>
      <c r="L186" s="57">
        <f>IF(Table1214[[#This Row],[modality]]=E185,1,0)</f>
        <v>1</v>
      </c>
      <c r="M186" s="66">
        <f>IF(Table1214[[#This Row],[stimulus]]=H187, 1, 0)</f>
        <v>0</v>
      </c>
      <c r="N186" s="66">
        <f t="shared" si="4"/>
        <v>0</v>
      </c>
      <c r="O186" s="66">
        <f t="shared" si="5"/>
        <v>0</v>
      </c>
    </row>
    <row r="187" spans="1:15" x14ac:dyDescent="0.3">
      <c r="A187" s="58">
        <v>4</v>
      </c>
      <c r="B187" s="59">
        <v>2</v>
      </c>
      <c r="C187" s="63">
        <v>186</v>
      </c>
      <c r="D187" s="65">
        <v>2</v>
      </c>
      <c r="E187" s="65" t="s">
        <v>80</v>
      </c>
      <c r="F187" s="65" t="s">
        <v>0</v>
      </c>
      <c r="G187" s="58" t="s">
        <v>41</v>
      </c>
      <c r="H187" s="58" t="s">
        <v>73</v>
      </c>
      <c r="I187" s="66"/>
      <c r="J187" s="65">
        <v>0</v>
      </c>
      <c r="K187" s="66"/>
      <c r="L187" s="57">
        <f>IF(Table1214[[#This Row],[modality]]=E186,1,0)</f>
        <v>1</v>
      </c>
      <c r="M187" s="66">
        <f>IF(Table1214[[#This Row],[stimulus]]=H188, 1, 0)</f>
        <v>1</v>
      </c>
      <c r="N187" s="66">
        <f t="shared" si="4"/>
        <v>1</v>
      </c>
      <c r="O187" s="66">
        <f t="shared" si="5"/>
        <v>0</v>
      </c>
    </row>
    <row r="188" spans="1:15" x14ac:dyDescent="0.3">
      <c r="A188" s="58">
        <v>4</v>
      </c>
      <c r="B188" s="59">
        <v>2</v>
      </c>
      <c r="C188" s="63">
        <v>187</v>
      </c>
      <c r="D188" s="68">
        <v>1</v>
      </c>
      <c r="E188" s="68" t="s">
        <v>81</v>
      </c>
      <c r="F188" s="68" t="s">
        <v>40</v>
      </c>
      <c r="G188" s="47" t="s">
        <v>10</v>
      </c>
      <c r="H188" s="47" t="s">
        <v>73</v>
      </c>
      <c r="I188" s="66"/>
      <c r="J188" s="65">
        <v>0</v>
      </c>
      <c r="K188" s="66"/>
      <c r="L188" s="57">
        <f>IF(Table1214[[#This Row],[modality]]=E187,1,0)</f>
        <v>0</v>
      </c>
      <c r="M188" s="66">
        <f>IF(Table1214[[#This Row],[stimulus]]=H189, 1, 0)</f>
        <v>0</v>
      </c>
      <c r="N188" s="66">
        <f t="shared" si="4"/>
        <v>0</v>
      </c>
      <c r="O188" s="66">
        <f t="shared" si="5"/>
        <v>0</v>
      </c>
    </row>
    <row r="189" spans="1:15" x14ac:dyDescent="0.3">
      <c r="A189" s="58">
        <v>4</v>
      </c>
      <c r="B189" s="59">
        <v>2</v>
      </c>
      <c r="C189" s="63">
        <v>188</v>
      </c>
      <c r="D189" s="91">
        <v>2</v>
      </c>
      <c r="E189" s="91" t="s">
        <v>80</v>
      </c>
      <c r="F189" s="91" t="s">
        <v>29</v>
      </c>
      <c r="G189" s="58" t="s">
        <v>42</v>
      </c>
      <c r="H189" s="58" t="s">
        <v>66</v>
      </c>
      <c r="I189" s="66"/>
      <c r="J189" s="65">
        <v>0</v>
      </c>
      <c r="K189" s="66"/>
      <c r="L189" s="57">
        <f>IF(Table1214[[#This Row],[modality]]=E188,1,0)</f>
        <v>0</v>
      </c>
      <c r="M189" s="66">
        <f>IF(Table1214[[#This Row],[stimulus]]=H190, 1, 0)</f>
        <v>0</v>
      </c>
      <c r="N189" s="66">
        <f t="shared" si="4"/>
        <v>1</v>
      </c>
      <c r="O189" s="66">
        <f t="shared" si="5"/>
        <v>0</v>
      </c>
    </row>
    <row r="190" spans="1:15" x14ac:dyDescent="0.3">
      <c r="A190" s="58">
        <v>4</v>
      </c>
      <c r="B190" s="59">
        <v>2</v>
      </c>
      <c r="C190" s="63">
        <v>189</v>
      </c>
      <c r="D190" s="68">
        <v>1</v>
      </c>
      <c r="E190" s="68" t="s">
        <v>81</v>
      </c>
      <c r="F190" s="68" t="s">
        <v>0</v>
      </c>
      <c r="G190" s="47" t="s">
        <v>41</v>
      </c>
      <c r="H190" s="47" t="s">
        <v>68</v>
      </c>
      <c r="I190" s="66"/>
      <c r="J190" s="66">
        <v>1</v>
      </c>
      <c r="K190" s="66" t="s">
        <v>10</v>
      </c>
      <c r="L190" s="57">
        <f>IF(Table1214[[#This Row],[modality]]=E189,1,0)</f>
        <v>0</v>
      </c>
      <c r="M190" s="66">
        <f>IF(Table1214[[#This Row],[stimulus]]=H191, 1, 0)</f>
        <v>1</v>
      </c>
      <c r="N190" s="66">
        <f t="shared" si="4"/>
        <v>0</v>
      </c>
      <c r="O190" s="66">
        <f t="shared" si="5"/>
        <v>1</v>
      </c>
    </row>
    <row r="191" spans="1:15" x14ac:dyDescent="0.3">
      <c r="A191" s="58">
        <v>4</v>
      </c>
      <c r="B191" s="59">
        <v>2</v>
      </c>
      <c r="C191" s="63">
        <v>190</v>
      </c>
      <c r="D191" s="65">
        <v>2</v>
      </c>
      <c r="E191" s="65" t="s">
        <v>80</v>
      </c>
      <c r="F191" s="65" t="s">
        <v>40</v>
      </c>
      <c r="G191" s="58" t="s">
        <v>10</v>
      </c>
      <c r="H191" s="58" t="s">
        <v>68</v>
      </c>
      <c r="I191" s="66"/>
      <c r="J191" s="65">
        <v>0</v>
      </c>
      <c r="K191" s="66"/>
      <c r="L191" s="57">
        <f>IF(Table1214[[#This Row],[modality]]=E190,1,0)</f>
        <v>0</v>
      </c>
      <c r="M191" s="66">
        <f>IF(Table1214[[#This Row],[stimulus]]=H192, 1, 0)</f>
        <v>0</v>
      </c>
      <c r="N191" s="66">
        <f t="shared" si="4"/>
        <v>0</v>
      </c>
      <c r="O191" s="66">
        <f t="shared" si="5"/>
        <v>0</v>
      </c>
    </row>
    <row r="192" spans="1:15" x14ac:dyDescent="0.3">
      <c r="A192" s="58">
        <v>4</v>
      </c>
      <c r="B192" s="59">
        <v>2</v>
      </c>
      <c r="C192" s="63">
        <v>191</v>
      </c>
      <c r="D192" s="91">
        <v>1</v>
      </c>
      <c r="E192" s="91" t="s">
        <v>81</v>
      </c>
      <c r="F192" s="91" t="s">
        <v>29</v>
      </c>
      <c r="G192" s="71" t="s">
        <v>42</v>
      </c>
      <c r="H192" s="71" t="s">
        <v>59</v>
      </c>
      <c r="I192" s="66"/>
      <c r="J192" s="65">
        <v>0</v>
      </c>
      <c r="K192" s="66"/>
      <c r="L192" s="57">
        <f>IF(Table1214[[#This Row],[modality]]=E191,1,0)</f>
        <v>0</v>
      </c>
      <c r="M192" s="66">
        <f>IF(Table1214[[#This Row],[stimulus]]=H193, 1, 0)</f>
        <v>0</v>
      </c>
      <c r="N192" s="66">
        <f t="shared" si="4"/>
        <v>1</v>
      </c>
      <c r="O192" s="66">
        <f t="shared" si="5"/>
        <v>0</v>
      </c>
    </row>
    <row r="193" spans="1:15" x14ac:dyDescent="0.3">
      <c r="A193" s="58">
        <v>4</v>
      </c>
      <c r="B193" s="59">
        <v>2</v>
      </c>
      <c r="C193" s="63">
        <v>192</v>
      </c>
      <c r="D193" s="91">
        <v>2</v>
      </c>
      <c r="E193" s="91" t="s">
        <v>80</v>
      </c>
      <c r="F193" s="91" t="s">
        <v>29</v>
      </c>
      <c r="G193" s="47" t="s">
        <v>42</v>
      </c>
      <c r="H193" s="47" t="s">
        <v>65</v>
      </c>
      <c r="I193" s="66"/>
      <c r="J193" s="65">
        <v>0</v>
      </c>
      <c r="K193" s="66"/>
      <c r="L193" s="57">
        <f>IF(Table1214[[#This Row],[modality]]=E192,1,0)</f>
        <v>0</v>
      </c>
      <c r="M193" s="66">
        <f>IF(Table1214[[#This Row],[stimulus]]=H194, 1, 0)</f>
        <v>0</v>
      </c>
      <c r="N193" s="66">
        <f t="shared" si="4"/>
        <v>0</v>
      </c>
      <c r="O193" s="66">
        <f t="shared" si="5"/>
        <v>1</v>
      </c>
    </row>
    <row r="194" spans="1:15" x14ac:dyDescent="0.3">
      <c r="A194" s="58">
        <v>4</v>
      </c>
      <c r="B194" s="59">
        <v>2</v>
      </c>
      <c r="C194" s="63">
        <v>193</v>
      </c>
      <c r="D194" s="68">
        <v>2</v>
      </c>
      <c r="E194" s="68" t="s">
        <v>80</v>
      </c>
      <c r="F194" s="68" t="s">
        <v>0</v>
      </c>
      <c r="G194" s="47" t="s">
        <v>41</v>
      </c>
      <c r="H194" s="47" t="s">
        <v>74</v>
      </c>
      <c r="I194" s="66"/>
      <c r="J194" s="66">
        <v>1</v>
      </c>
      <c r="K194" s="66" t="s">
        <v>9</v>
      </c>
      <c r="L194" s="57">
        <f>IF(Table1214[[#This Row],[modality]]=E193,1,0)</f>
        <v>1</v>
      </c>
      <c r="M194" s="66">
        <f>IF(Table1214[[#This Row],[stimulus]]=H195, 1, 0)</f>
        <v>1</v>
      </c>
      <c r="N194" s="66">
        <f t="shared" si="4"/>
        <v>0</v>
      </c>
      <c r="O194" s="66">
        <f t="shared" si="5"/>
        <v>1</v>
      </c>
    </row>
    <row r="195" spans="1:15" x14ac:dyDescent="0.3">
      <c r="A195" s="58">
        <v>4</v>
      </c>
      <c r="B195" s="59">
        <v>2</v>
      </c>
      <c r="C195" s="63">
        <v>194</v>
      </c>
      <c r="D195" s="65">
        <v>2</v>
      </c>
      <c r="E195" s="65" t="s">
        <v>80</v>
      </c>
      <c r="F195" s="65" t="s">
        <v>40</v>
      </c>
      <c r="G195" s="58" t="s">
        <v>9</v>
      </c>
      <c r="H195" s="58" t="s">
        <v>74</v>
      </c>
      <c r="I195" s="66"/>
      <c r="J195" s="65">
        <v>0</v>
      </c>
      <c r="K195" s="66"/>
      <c r="L195" s="57">
        <f>IF(Table1214[[#This Row],[modality]]=E194,1,0)</f>
        <v>1</v>
      </c>
      <c r="M195" s="66">
        <f>IF(Table1214[[#This Row],[stimulus]]=H196, 1, 0)</f>
        <v>0</v>
      </c>
      <c r="N195" s="66">
        <f t="shared" ref="N195:N258" si="6">IF(F194="T",1,0)</f>
        <v>0</v>
      </c>
      <c r="O195" s="66">
        <f t="shared" ref="O195:O258" si="7">IF(F194="F",1,0)</f>
        <v>0</v>
      </c>
    </row>
    <row r="196" spans="1:15" x14ac:dyDescent="0.3">
      <c r="A196" s="58">
        <v>4</v>
      </c>
      <c r="B196" s="59">
        <v>2</v>
      </c>
      <c r="C196" s="63">
        <v>195</v>
      </c>
      <c r="D196" s="91">
        <v>1</v>
      </c>
      <c r="E196" s="91" t="s">
        <v>81</v>
      </c>
      <c r="F196" s="91" t="s">
        <v>29</v>
      </c>
      <c r="G196" s="47" t="s">
        <v>42</v>
      </c>
      <c r="H196" s="47" t="s">
        <v>61</v>
      </c>
      <c r="I196" s="66"/>
      <c r="J196" s="65">
        <v>0</v>
      </c>
      <c r="K196" s="66"/>
      <c r="L196" s="57">
        <f>IF(Table1214[[#This Row],[modality]]=E195,1,0)</f>
        <v>0</v>
      </c>
      <c r="M196" s="66">
        <f>IF(Table1214[[#This Row],[stimulus]]=H197, 1, 0)</f>
        <v>0</v>
      </c>
      <c r="N196" s="66">
        <f t="shared" si="6"/>
        <v>1</v>
      </c>
      <c r="O196" s="66">
        <f t="shared" si="7"/>
        <v>0</v>
      </c>
    </row>
    <row r="197" spans="1:15" x14ac:dyDescent="0.3">
      <c r="A197" s="58">
        <v>4</v>
      </c>
      <c r="B197" s="59">
        <v>2</v>
      </c>
      <c r="C197" s="63">
        <v>196</v>
      </c>
      <c r="D197" s="91">
        <v>2</v>
      </c>
      <c r="E197" s="91" t="s">
        <v>80</v>
      </c>
      <c r="F197" s="91" t="s">
        <v>29</v>
      </c>
      <c r="G197" s="58" t="s">
        <v>42</v>
      </c>
      <c r="H197" s="58" t="s">
        <v>63</v>
      </c>
      <c r="I197" s="66"/>
      <c r="J197" s="66">
        <v>1</v>
      </c>
      <c r="K197" s="66" t="s">
        <v>10</v>
      </c>
      <c r="L197" s="57">
        <f>IF(Table1214[[#This Row],[modality]]=E196,1,0)</f>
        <v>0</v>
      </c>
      <c r="M197" s="66">
        <f>IF(Table1214[[#This Row],[stimulus]]=H198, 1, 0)</f>
        <v>0</v>
      </c>
      <c r="N197" s="66">
        <f t="shared" si="6"/>
        <v>0</v>
      </c>
      <c r="O197" s="66">
        <f t="shared" si="7"/>
        <v>1</v>
      </c>
    </row>
    <row r="198" spans="1:15" x14ac:dyDescent="0.3">
      <c r="A198" s="58">
        <v>4</v>
      </c>
      <c r="B198" s="59">
        <v>2</v>
      </c>
      <c r="C198" s="63">
        <v>197</v>
      </c>
      <c r="D198" s="70">
        <v>2</v>
      </c>
      <c r="E198" s="70" t="s">
        <v>80</v>
      </c>
      <c r="F198" s="70" t="s">
        <v>0</v>
      </c>
      <c r="G198" s="71" t="s">
        <v>41</v>
      </c>
      <c r="H198" s="71" t="s">
        <v>69</v>
      </c>
      <c r="I198" s="66"/>
      <c r="J198" s="66">
        <v>1</v>
      </c>
      <c r="K198" s="66" t="s">
        <v>9</v>
      </c>
      <c r="L198" s="57">
        <f>IF(Table1214[[#This Row],[modality]]=E197,1,0)</f>
        <v>1</v>
      </c>
      <c r="M198" s="66">
        <f>IF(Table1214[[#This Row],[stimulus]]=H199, 1, 0)</f>
        <v>1</v>
      </c>
      <c r="N198" s="66">
        <f t="shared" si="6"/>
        <v>0</v>
      </c>
      <c r="O198" s="66">
        <f t="shared" si="7"/>
        <v>1</v>
      </c>
    </row>
    <row r="199" spans="1:15" x14ac:dyDescent="0.3">
      <c r="A199" s="58">
        <v>4</v>
      </c>
      <c r="B199" s="59">
        <v>2</v>
      </c>
      <c r="C199" s="63">
        <v>198</v>
      </c>
      <c r="D199" s="68">
        <v>1</v>
      </c>
      <c r="E199" s="68" t="s">
        <v>81</v>
      </c>
      <c r="F199" s="68" t="s">
        <v>40</v>
      </c>
      <c r="G199" s="47" t="s">
        <v>10</v>
      </c>
      <c r="H199" s="47" t="s">
        <v>69</v>
      </c>
      <c r="I199" s="66"/>
      <c r="J199" s="65">
        <v>0</v>
      </c>
      <c r="K199" s="66"/>
      <c r="L199" s="57">
        <f>IF(Table1214[[#This Row],[modality]]=E198,1,0)</f>
        <v>0</v>
      </c>
      <c r="M199" s="66">
        <f>IF(Table1214[[#This Row],[stimulus]]=H200, 1, 0)</f>
        <v>0</v>
      </c>
      <c r="N199" s="66">
        <f t="shared" si="6"/>
        <v>0</v>
      </c>
      <c r="O199" s="66">
        <f t="shared" si="7"/>
        <v>0</v>
      </c>
    </row>
    <row r="200" spans="1:15" x14ac:dyDescent="0.3">
      <c r="A200" s="58">
        <v>4</v>
      </c>
      <c r="B200" s="59">
        <v>2</v>
      </c>
      <c r="C200" s="63">
        <v>199</v>
      </c>
      <c r="D200" s="70">
        <v>1</v>
      </c>
      <c r="E200" s="70" t="s">
        <v>81</v>
      </c>
      <c r="F200" s="70" t="s">
        <v>0</v>
      </c>
      <c r="G200" s="71" t="s">
        <v>41</v>
      </c>
      <c r="H200" s="71" t="s">
        <v>70</v>
      </c>
      <c r="I200" s="66"/>
      <c r="J200" s="65">
        <v>0</v>
      </c>
      <c r="K200" s="66"/>
      <c r="L200" s="57">
        <f>IF(Table1214[[#This Row],[modality]]=E199,1,0)</f>
        <v>1</v>
      </c>
      <c r="M200" s="66">
        <f>IF(Table1214[[#This Row],[stimulus]]=H201, 1, 0)</f>
        <v>1</v>
      </c>
      <c r="N200" s="66">
        <f t="shared" si="6"/>
        <v>1</v>
      </c>
      <c r="O200" s="66">
        <f t="shared" si="7"/>
        <v>0</v>
      </c>
    </row>
    <row r="201" spans="1:15" x14ac:dyDescent="0.3">
      <c r="A201" s="58">
        <v>4</v>
      </c>
      <c r="B201" s="59">
        <v>2</v>
      </c>
      <c r="C201" s="63">
        <v>200</v>
      </c>
      <c r="D201" s="68">
        <v>1</v>
      </c>
      <c r="E201" s="68" t="s">
        <v>81</v>
      </c>
      <c r="F201" s="68" t="s">
        <v>40</v>
      </c>
      <c r="G201" s="47" t="s">
        <v>9</v>
      </c>
      <c r="H201" s="47" t="s">
        <v>70</v>
      </c>
      <c r="I201" s="66"/>
      <c r="J201" s="65">
        <v>0</v>
      </c>
      <c r="K201" s="66"/>
      <c r="L201" s="57">
        <f>IF(Table1214[[#This Row],[modality]]=E200,1,0)</f>
        <v>1</v>
      </c>
      <c r="M201" s="66">
        <f>IF(Table1214[[#This Row],[stimulus]]=H202, 1, 0)</f>
        <v>0</v>
      </c>
      <c r="N201" s="66">
        <f t="shared" si="6"/>
        <v>0</v>
      </c>
      <c r="O201" s="66">
        <f t="shared" si="7"/>
        <v>0</v>
      </c>
    </row>
    <row r="202" spans="1:15" x14ac:dyDescent="0.3">
      <c r="A202" s="58">
        <v>4</v>
      </c>
      <c r="B202" s="59">
        <v>2</v>
      </c>
      <c r="C202" s="63">
        <v>201</v>
      </c>
      <c r="D202" s="80">
        <v>2</v>
      </c>
      <c r="E202" s="80" t="s">
        <v>80</v>
      </c>
      <c r="F202" s="80" t="s">
        <v>29</v>
      </c>
      <c r="G202" s="52" t="s">
        <v>42</v>
      </c>
      <c r="H202" s="52"/>
      <c r="I202" s="75" t="s">
        <v>127</v>
      </c>
      <c r="J202" s="65">
        <v>0</v>
      </c>
      <c r="K202" s="66"/>
      <c r="L202" s="57">
        <f>IF(Table1214[[#This Row],[modality]]=E201,1,0)</f>
        <v>0</v>
      </c>
      <c r="M202" s="66">
        <f>IF(Table1214[[#This Row],[stimulus]]=H203, 1, 0)</f>
        <v>0</v>
      </c>
      <c r="N202" s="66">
        <f t="shared" si="6"/>
        <v>1</v>
      </c>
      <c r="O202" s="66">
        <f t="shared" si="7"/>
        <v>0</v>
      </c>
    </row>
    <row r="203" spans="1:15" x14ac:dyDescent="0.3">
      <c r="A203" s="58">
        <v>4</v>
      </c>
      <c r="B203" s="59">
        <v>2</v>
      </c>
      <c r="C203" s="63">
        <v>202</v>
      </c>
      <c r="D203" s="91">
        <v>1</v>
      </c>
      <c r="E203" s="91" t="s">
        <v>81</v>
      </c>
      <c r="F203" s="91" t="s">
        <v>29</v>
      </c>
      <c r="G203" s="47" t="s">
        <v>42</v>
      </c>
      <c r="H203" s="47" t="s">
        <v>60</v>
      </c>
      <c r="I203" s="66"/>
      <c r="J203" s="65">
        <v>0</v>
      </c>
      <c r="K203" s="66"/>
      <c r="L203" s="57">
        <f>IF(Table1214[[#This Row],[modality]]=E202,1,0)</f>
        <v>0</v>
      </c>
      <c r="M203" s="66">
        <f>IF(Table1214[[#This Row],[stimulus]]=H204, 1, 0)</f>
        <v>0</v>
      </c>
      <c r="N203" s="66">
        <f t="shared" si="6"/>
        <v>0</v>
      </c>
      <c r="O203" s="66">
        <f t="shared" si="7"/>
        <v>1</v>
      </c>
    </row>
    <row r="204" spans="1:15" x14ac:dyDescent="0.3">
      <c r="A204" s="63" t="s">
        <v>25</v>
      </c>
      <c r="B204" s="63"/>
      <c r="C204" s="63">
        <v>203</v>
      </c>
      <c r="D204" s="101"/>
      <c r="E204" s="101" t="s">
        <v>142</v>
      </c>
      <c r="F204" s="101" t="s">
        <v>142</v>
      </c>
      <c r="G204" s="102"/>
      <c r="H204" s="102"/>
      <c r="I204" s="66"/>
      <c r="J204" s="65">
        <v>0</v>
      </c>
      <c r="K204" s="66"/>
      <c r="L204" s="57">
        <f>IF(Table1214[[#This Row],[modality]]=E203,1,0)</f>
        <v>0</v>
      </c>
      <c r="M204" s="66">
        <f>IF(Table1214[[#This Row],[stimulus]]=H205, 1, 0)</f>
        <v>0</v>
      </c>
      <c r="N204" s="66">
        <f t="shared" si="6"/>
        <v>0</v>
      </c>
      <c r="O204" s="66">
        <f t="shared" si="7"/>
        <v>1</v>
      </c>
    </row>
    <row r="205" spans="1:15" x14ac:dyDescent="0.3">
      <c r="A205" s="59">
        <v>1</v>
      </c>
      <c r="B205" s="59">
        <v>3</v>
      </c>
      <c r="C205" s="63">
        <v>204</v>
      </c>
      <c r="D205" s="72">
        <v>2</v>
      </c>
      <c r="E205" s="73" t="s">
        <v>80</v>
      </c>
      <c r="F205" s="74" t="s">
        <v>29</v>
      </c>
      <c r="G205" s="47" t="s">
        <v>42</v>
      </c>
      <c r="H205" s="47" t="s">
        <v>71</v>
      </c>
      <c r="I205" s="66"/>
      <c r="J205" s="65">
        <v>0</v>
      </c>
      <c r="K205" s="107"/>
      <c r="L205" s="57">
        <f>IF(Table1214[[#This Row],[modality]]=E204,1,0)</f>
        <v>0</v>
      </c>
      <c r="M205" s="66">
        <f>IF(Table1214[[#This Row],[stimulus]]=H206, 1, 0)</f>
        <v>0</v>
      </c>
      <c r="N205" s="66">
        <f t="shared" si="6"/>
        <v>0</v>
      </c>
      <c r="O205" s="66">
        <f t="shared" si="7"/>
        <v>0</v>
      </c>
    </row>
    <row r="206" spans="1:15" x14ac:dyDescent="0.3">
      <c r="A206" s="59">
        <v>1</v>
      </c>
      <c r="B206" s="59">
        <v>3</v>
      </c>
      <c r="C206" s="63">
        <v>205</v>
      </c>
      <c r="D206" s="69">
        <v>2</v>
      </c>
      <c r="E206" s="69" t="s">
        <v>80</v>
      </c>
      <c r="F206" s="70" t="s">
        <v>0</v>
      </c>
      <c r="G206" s="71" t="s">
        <v>41</v>
      </c>
      <c r="H206" s="71" t="s">
        <v>49</v>
      </c>
      <c r="I206" s="66"/>
      <c r="J206" s="66">
        <v>1</v>
      </c>
      <c r="K206" s="66" t="s">
        <v>9</v>
      </c>
      <c r="L206" s="57">
        <f>IF(Table1214[[#This Row],[modality]]=E205,1,0)</f>
        <v>1</v>
      </c>
      <c r="M206" s="66">
        <f>IF(Table1214[[#This Row],[stimulus]]=H207, 1, 0)</f>
        <v>1</v>
      </c>
      <c r="N206" s="66">
        <f t="shared" si="6"/>
        <v>0</v>
      </c>
      <c r="O206" s="66">
        <f t="shared" si="7"/>
        <v>1</v>
      </c>
    </row>
    <row r="207" spans="1:15" x14ac:dyDescent="0.3">
      <c r="A207" s="59">
        <v>1</v>
      </c>
      <c r="B207" s="59">
        <v>3</v>
      </c>
      <c r="C207" s="63">
        <v>206</v>
      </c>
      <c r="D207" s="67">
        <v>2</v>
      </c>
      <c r="E207" s="67" t="s">
        <v>80</v>
      </c>
      <c r="F207" s="68" t="s">
        <v>40</v>
      </c>
      <c r="G207" s="47" t="s">
        <v>9</v>
      </c>
      <c r="H207" s="47" t="s">
        <v>49</v>
      </c>
      <c r="I207" s="66"/>
      <c r="J207" s="65">
        <v>0</v>
      </c>
      <c r="K207" s="66"/>
      <c r="L207" s="57">
        <f>IF(Table1214[[#This Row],[modality]]=E206,1,0)</f>
        <v>1</v>
      </c>
      <c r="M207" s="66">
        <f>IF(Table1214[[#This Row],[stimulus]]=H208, 1, 0)</f>
        <v>0</v>
      </c>
      <c r="N207" s="66">
        <f t="shared" si="6"/>
        <v>0</v>
      </c>
      <c r="O207" s="66">
        <f t="shared" si="7"/>
        <v>0</v>
      </c>
    </row>
    <row r="208" spans="1:15" x14ac:dyDescent="0.3">
      <c r="A208" s="59">
        <v>1</v>
      </c>
      <c r="B208" s="59">
        <v>3</v>
      </c>
      <c r="C208" s="63">
        <v>207</v>
      </c>
      <c r="D208" s="72">
        <v>1</v>
      </c>
      <c r="E208" s="72" t="s">
        <v>81</v>
      </c>
      <c r="F208" s="74" t="s">
        <v>29</v>
      </c>
      <c r="G208" s="71" t="s">
        <v>42</v>
      </c>
      <c r="H208" s="71" t="s">
        <v>69</v>
      </c>
      <c r="I208" s="66"/>
      <c r="J208" s="65">
        <v>0</v>
      </c>
      <c r="K208" s="66"/>
      <c r="L208" s="57">
        <f>IF(Table1214[[#This Row],[modality]]=E207,1,0)</f>
        <v>0</v>
      </c>
      <c r="M208" s="66">
        <f>IF(Table1214[[#This Row],[stimulus]]=H209, 1, 0)</f>
        <v>0</v>
      </c>
      <c r="N208" s="66">
        <f t="shared" si="6"/>
        <v>1</v>
      </c>
      <c r="O208" s="66">
        <f t="shared" si="7"/>
        <v>0</v>
      </c>
    </row>
    <row r="209" spans="1:18" x14ac:dyDescent="0.3">
      <c r="A209" s="59">
        <v>1</v>
      </c>
      <c r="B209" s="59">
        <v>3</v>
      </c>
      <c r="C209" s="63">
        <v>208</v>
      </c>
      <c r="D209" s="72">
        <v>1</v>
      </c>
      <c r="E209" s="72" t="s">
        <v>81</v>
      </c>
      <c r="F209" s="74" t="s">
        <v>29</v>
      </c>
      <c r="G209" s="47" t="s">
        <v>42</v>
      </c>
      <c r="H209" s="47" t="s">
        <v>73</v>
      </c>
      <c r="I209" s="66"/>
      <c r="J209" s="65">
        <v>0</v>
      </c>
      <c r="K209" s="66"/>
      <c r="L209" s="57">
        <f>IF(Table1214[[#This Row],[modality]]=E208,1,0)</f>
        <v>1</v>
      </c>
      <c r="M209" s="66">
        <f>IF(Table1214[[#This Row],[stimulus]]=H210, 1, 0)</f>
        <v>0</v>
      </c>
      <c r="N209" s="66">
        <f t="shared" si="6"/>
        <v>0</v>
      </c>
      <c r="O209" s="66">
        <f t="shared" si="7"/>
        <v>1</v>
      </c>
    </row>
    <row r="210" spans="1:18" x14ac:dyDescent="0.3">
      <c r="A210" s="59">
        <v>1</v>
      </c>
      <c r="B210" s="59">
        <v>3</v>
      </c>
      <c r="C210" s="63">
        <v>209</v>
      </c>
      <c r="D210" s="69">
        <v>2</v>
      </c>
      <c r="E210" s="69" t="s">
        <v>80</v>
      </c>
      <c r="F210" s="70" t="s">
        <v>0</v>
      </c>
      <c r="G210" s="71" t="s">
        <v>41</v>
      </c>
      <c r="H210" s="71" t="s">
        <v>48</v>
      </c>
      <c r="I210" s="66"/>
      <c r="J210" s="66">
        <v>1</v>
      </c>
      <c r="K210" s="66" t="s">
        <v>10</v>
      </c>
      <c r="L210" s="57">
        <f>IF(Table1214[[#This Row],[modality]]=E209,1,0)</f>
        <v>0</v>
      </c>
      <c r="M210" s="66">
        <f>IF(Table1214[[#This Row],[stimulus]]=H211, 1, 0)</f>
        <v>1</v>
      </c>
      <c r="N210" s="66">
        <f t="shared" si="6"/>
        <v>0</v>
      </c>
      <c r="O210" s="66">
        <f t="shared" si="7"/>
        <v>1</v>
      </c>
    </row>
    <row r="211" spans="1:18" x14ac:dyDescent="0.3">
      <c r="A211" s="59">
        <v>1</v>
      </c>
      <c r="B211" s="59">
        <v>3</v>
      </c>
      <c r="C211" s="63">
        <v>210</v>
      </c>
      <c r="D211" s="67">
        <v>2</v>
      </c>
      <c r="E211" s="67" t="s">
        <v>80</v>
      </c>
      <c r="F211" s="68" t="s">
        <v>40</v>
      </c>
      <c r="G211" s="47" t="s">
        <v>9</v>
      </c>
      <c r="H211" s="47" t="s">
        <v>48</v>
      </c>
      <c r="I211" s="66"/>
      <c r="J211" s="65">
        <v>0</v>
      </c>
      <c r="K211" s="66"/>
      <c r="L211" s="57">
        <f>IF(Table1214[[#This Row],[modality]]=E210,1,0)</f>
        <v>1</v>
      </c>
      <c r="M211" s="66">
        <f>IF(Table1214[[#This Row],[stimulus]]=H212, 1, 0)</f>
        <v>0</v>
      </c>
      <c r="N211" s="66">
        <f t="shared" si="6"/>
        <v>0</v>
      </c>
      <c r="O211" s="66">
        <f t="shared" si="7"/>
        <v>0</v>
      </c>
    </row>
    <row r="212" spans="1:18" x14ac:dyDescent="0.3">
      <c r="A212" s="59">
        <v>1</v>
      </c>
      <c r="B212" s="59">
        <v>3</v>
      </c>
      <c r="C212" s="63">
        <v>211</v>
      </c>
      <c r="D212" s="69">
        <v>2</v>
      </c>
      <c r="E212" s="69" t="s">
        <v>80</v>
      </c>
      <c r="F212" s="70" t="s">
        <v>0</v>
      </c>
      <c r="G212" s="71" t="s">
        <v>41</v>
      </c>
      <c r="H212" s="71" t="s">
        <v>50</v>
      </c>
      <c r="I212" s="66"/>
      <c r="J212" s="65">
        <v>0</v>
      </c>
      <c r="K212" s="66"/>
      <c r="L212" s="57">
        <f>IF(Table1214[[#This Row],[modality]]=E211,1,0)</f>
        <v>1</v>
      </c>
      <c r="M212" s="66">
        <f>IF(Table1214[[#This Row],[stimulus]]=H213, 1, 0)</f>
        <v>1</v>
      </c>
      <c r="N212" s="66">
        <f t="shared" si="6"/>
        <v>1</v>
      </c>
      <c r="O212" s="66">
        <f t="shared" si="7"/>
        <v>0</v>
      </c>
    </row>
    <row r="213" spans="1:18" x14ac:dyDescent="0.3">
      <c r="A213" s="59">
        <v>1</v>
      </c>
      <c r="B213" s="59">
        <v>3</v>
      </c>
      <c r="C213" s="63">
        <v>212</v>
      </c>
      <c r="D213" s="67">
        <v>1</v>
      </c>
      <c r="E213" s="67" t="s">
        <v>81</v>
      </c>
      <c r="F213" s="68" t="s">
        <v>40</v>
      </c>
      <c r="G213" s="47" t="s">
        <v>10</v>
      </c>
      <c r="H213" s="47" t="s">
        <v>50</v>
      </c>
      <c r="I213" s="66"/>
      <c r="J213" s="65">
        <v>0</v>
      </c>
      <c r="K213" s="66"/>
      <c r="L213" s="57">
        <f>IF(Table1214[[#This Row],[modality]]=E212,1,0)</f>
        <v>0</v>
      </c>
      <c r="M213" s="66">
        <f>IF(Table1214[[#This Row],[stimulus]]=H214, 1, 0)</f>
        <v>0</v>
      </c>
      <c r="N213" s="66">
        <f t="shared" si="6"/>
        <v>0</v>
      </c>
      <c r="O213" s="66">
        <f t="shared" si="7"/>
        <v>0</v>
      </c>
    </row>
    <row r="214" spans="1:18" x14ac:dyDescent="0.3">
      <c r="A214" s="59">
        <v>1</v>
      </c>
      <c r="B214" s="59">
        <v>3</v>
      </c>
      <c r="C214" s="63">
        <v>213</v>
      </c>
      <c r="D214" s="72">
        <v>1</v>
      </c>
      <c r="E214" s="72" t="s">
        <v>81</v>
      </c>
      <c r="F214" s="74" t="s">
        <v>29</v>
      </c>
      <c r="G214" s="71" t="s">
        <v>42</v>
      </c>
      <c r="H214" s="71" t="s">
        <v>70</v>
      </c>
      <c r="I214" s="66"/>
      <c r="J214" s="65">
        <v>0</v>
      </c>
      <c r="K214" s="66"/>
      <c r="L214" s="57">
        <f>IF(Table1214[[#This Row],[modality]]=E213,1,0)</f>
        <v>1</v>
      </c>
      <c r="M214" s="66">
        <f>IF(Table1214[[#This Row],[stimulus]]=H215, 1, 0)</f>
        <v>0</v>
      </c>
      <c r="N214" s="66">
        <f t="shared" si="6"/>
        <v>1</v>
      </c>
      <c r="O214" s="66">
        <f t="shared" si="7"/>
        <v>0</v>
      </c>
    </row>
    <row r="215" spans="1:18" x14ac:dyDescent="0.3">
      <c r="A215" s="59">
        <v>1</v>
      </c>
      <c r="B215" s="59">
        <v>3</v>
      </c>
      <c r="C215" s="63">
        <v>214</v>
      </c>
      <c r="D215" s="67">
        <v>1</v>
      </c>
      <c r="E215" s="67" t="s">
        <v>81</v>
      </c>
      <c r="F215" s="68" t="s">
        <v>0</v>
      </c>
      <c r="G215" s="47" t="s">
        <v>41</v>
      </c>
      <c r="H215" s="47" t="s">
        <v>43</v>
      </c>
      <c r="I215" s="66"/>
      <c r="J215" s="66">
        <v>1</v>
      </c>
      <c r="K215" s="66" t="s">
        <v>9</v>
      </c>
      <c r="L215" s="57">
        <f>IF(Table1214[[#This Row],[modality]]=E214,1,0)</f>
        <v>1</v>
      </c>
      <c r="M215" s="66">
        <f>IF(Table1214[[#This Row],[stimulus]]=H216, 1, 0)</f>
        <v>1</v>
      </c>
      <c r="N215" s="66">
        <f t="shared" si="6"/>
        <v>0</v>
      </c>
      <c r="O215" s="66">
        <f t="shared" si="7"/>
        <v>1</v>
      </c>
    </row>
    <row r="216" spans="1:18" x14ac:dyDescent="0.3">
      <c r="A216" s="59">
        <v>1</v>
      </c>
      <c r="B216" s="59">
        <v>3</v>
      </c>
      <c r="C216" s="63">
        <v>215</v>
      </c>
      <c r="D216" s="69">
        <v>2</v>
      </c>
      <c r="E216" s="69" t="s">
        <v>80</v>
      </c>
      <c r="F216" s="70" t="s">
        <v>40</v>
      </c>
      <c r="G216" s="71" t="s">
        <v>10</v>
      </c>
      <c r="H216" s="71" t="s">
        <v>43</v>
      </c>
      <c r="I216" s="66"/>
      <c r="J216" s="65">
        <v>0</v>
      </c>
      <c r="K216" s="66"/>
      <c r="L216" s="57">
        <f>IF(Table1214[[#This Row],[modality]]=E215,1,0)</f>
        <v>0</v>
      </c>
      <c r="M216" s="66">
        <f>IF(Table1214[[#This Row],[stimulus]]=H217, 1, 0)</f>
        <v>0</v>
      </c>
      <c r="N216" s="66">
        <f t="shared" si="6"/>
        <v>0</v>
      </c>
      <c r="O216" s="66">
        <f t="shared" si="7"/>
        <v>0</v>
      </c>
    </row>
    <row r="217" spans="1:18" x14ac:dyDescent="0.3">
      <c r="A217" s="59">
        <v>1</v>
      </c>
      <c r="B217" s="59">
        <v>3</v>
      </c>
      <c r="C217" s="63">
        <v>216</v>
      </c>
      <c r="D217" s="67">
        <v>2</v>
      </c>
      <c r="E217" s="67" t="s">
        <v>80</v>
      </c>
      <c r="F217" s="68" t="s">
        <v>0</v>
      </c>
      <c r="G217" s="47" t="s">
        <v>41</v>
      </c>
      <c r="H217" s="47" t="s">
        <v>46</v>
      </c>
      <c r="I217" s="66"/>
      <c r="J217" s="66">
        <v>1</v>
      </c>
      <c r="K217" s="66" t="s">
        <v>9</v>
      </c>
      <c r="L217" s="57">
        <f>IF(Table1214[[#This Row],[modality]]=E216,1,0)</f>
        <v>1</v>
      </c>
      <c r="M217" s="66">
        <f>IF(Table1214[[#This Row],[stimulus]]=H218, 1, 0)</f>
        <v>1</v>
      </c>
      <c r="N217" s="66">
        <f t="shared" si="6"/>
        <v>1</v>
      </c>
      <c r="O217" s="66">
        <f t="shared" si="7"/>
        <v>0</v>
      </c>
      <c r="R217" t="s">
        <v>19</v>
      </c>
    </row>
    <row r="218" spans="1:18" x14ac:dyDescent="0.3">
      <c r="A218" s="59">
        <v>1</v>
      </c>
      <c r="B218" s="59">
        <v>3</v>
      </c>
      <c r="C218" s="63">
        <v>217</v>
      </c>
      <c r="D218" s="69">
        <v>1</v>
      </c>
      <c r="E218" s="69" t="s">
        <v>81</v>
      </c>
      <c r="F218" s="70" t="s">
        <v>40</v>
      </c>
      <c r="G218" s="71" t="s">
        <v>10</v>
      </c>
      <c r="H218" s="71" t="s">
        <v>46</v>
      </c>
      <c r="I218" s="66"/>
      <c r="J218" s="65">
        <v>0</v>
      </c>
      <c r="K218" s="66"/>
      <c r="L218" s="57">
        <f>IF(Table1214[[#This Row],[modality]]=E217,1,0)</f>
        <v>0</v>
      </c>
      <c r="M218" s="66">
        <f>IF(Table1214[[#This Row],[stimulus]]=H219, 1, 0)</f>
        <v>0</v>
      </c>
      <c r="N218" s="66">
        <f t="shared" si="6"/>
        <v>0</v>
      </c>
      <c r="O218" s="66">
        <f t="shared" si="7"/>
        <v>0</v>
      </c>
    </row>
    <row r="219" spans="1:18" x14ac:dyDescent="0.3">
      <c r="A219" s="59">
        <v>1</v>
      </c>
      <c r="B219" s="59">
        <v>3</v>
      </c>
      <c r="C219" s="63">
        <v>218</v>
      </c>
      <c r="D219" s="72">
        <v>2</v>
      </c>
      <c r="E219" s="73" t="s">
        <v>80</v>
      </c>
      <c r="F219" s="74" t="s">
        <v>29</v>
      </c>
      <c r="G219" s="47" t="s">
        <v>42</v>
      </c>
      <c r="H219" s="47" t="s">
        <v>74</v>
      </c>
      <c r="I219" s="66"/>
      <c r="J219" s="66">
        <v>1</v>
      </c>
      <c r="K219" s="66" t="s">
        <v>10</v>
      </c>
      <c r="L219" s="57">
        <f>IF(Table1214[[#This Row],[modality]]=E218,1,0)</f>
        <v>0</v>
      </c>
      <c r="M219" s="66">
        <f>IF(Table1214[[#This Row],[stimulus]]=H220, 1, 0)</f>
        <v>0</v>
      </c>
      <c r="N219" s="66">
        <f t="shared" si="6"/>
        <v>1</v>
      </c>
      <c r="O219" s="66">
        <f t="shared" si="7"/>
        <v>0</v>
      </c>
    </row>
    <row r="220" spans="1:18" x14ac:dyDescent="0.3">
      <c r="A220" s="59">
        <v>1</v>
      </c>
      <c r="B220" s="59">
        <v>3</v>
      </c>
      <c r="C220" s="63">
        <v>219</v>
      </c>
      <c r="D220" s="72">
        <v>2</v>
      </c>
      <c r="E220" s="72" t="s">
        <v>80</v>
      </c>
      <c r="F220" s="74" t="s">
        <v>29</v>
      </c>
      <c r="G220" s="71" t="s">
        <v>42</v>
      </c>
      <c r="H220" s="71" t="s">
        <v>67</v>
      </c>
      <c r="I220" s="66"/>
      <c r="J220" s="65">
        <v>0</v>
      </c>
      <c r="K220" s="66"/>
      <c r="L220" s="57">
        <f>IF(Table1214[[#This Row],[modality]]=E219,1,0)</f>
        <v>1</v>
      </c>
      <c r="M220" s="66">
        <f>IF(Table1214[[#This Row],[stimulus]]=H221, 1, 0)</f>
        <v>0</v>
      </c>
      <c r="N220" s="66">
        <f t="shared" si="6"/>
        <v>0</v>
      </c>
      <c r="O220" s="66">
        <f t="shared" si="7"/>
        <v>1</v>
      </c>
    </row>
    <row r="221" spans="1:18" x14ac:dyDescent="0.3">
      <c r="A221" s="59">
        <v>1</v>
      </c>
      <c r="B221" s="59">
        <v>3</v>
      </c>
      <c r="C221" s="63">
        <v>220</v>
      </c>
      <c r="D221" s="67">
        <v>1</v>
      </c>
      <c r="E221" s="67" t="s">
        <v>81</v>
      </c>
      <c r="F221" s="68" t="s">
        <v>0</v>
      </c>
      <c r="G221" s="47" t="s">
        <v>41</v>
      </c>
      <c r="H221" s="47" t="s">
        <v>44</v>
      </c>
      <c r="I221" s="66"/>
      <c r="J221" s="66">
        <v>1</v>
      </c>
      <c r="K221" s="66" t="s">
        <v>10</v>
      </c>
      <c r="L221" s="57">
        <f>IF(Table1214[[#This Row],[modality]]=E220,1,0)</f>
        <v>0</v>
      </c>
      <c r="M221" s="66">
        <f>IF(Table1214[[#This Row],[stimulus]]=H222, 1, 0)</f>
        <v>1</v>
      </c>
      <c r="N221" s="66">
        <f t="shared" si="6"/>
        <v>0</v>
      </c>
      <c r="O221" s="66">
        <f t="shared" si="7"/>
        <v>1</v>
      </c>
    </row>
    <row r="222" spans="1:18" x14ac:dyDescent="0.3">
      <c r="A222" s="59">
        <v>1</v>
      </c>
      <c r="B222" s="59">
        <v>3</v>
      </c>
      <c r="C222" s="63">
        <v>221</v>
      </c>
      <c r="D222" s="69">
        <v>1</v>
      </c>
      <c r="E222" s="67" t="s">
        <v>81</v>
      </c>
      <c r="F222" s="70" t="s">
        <v>40</v>
      </c>
      <c r="G222" s="71" t="s">
        <v>9</v>
      </c>
      <c r="H222" s="71" t="s">
        <v>44</v>
      </c>
      <c r="I222" s="66"/>
      <c r="J222" s="65">
        <v>0</v>
      </c>
      <c r="K222" s="66"/>
      <c r="L222" s="57">
        <f>IF(Table1214[[#This Row],[modality]]=E221,1,0)</f>
        <v>1</v>
      </c>
      <c r="M222" s="66">
        <f>IF(Table1214[[#This Row],[stimulus]]=H223, 1, 0)</f>
        <v>0</v>
      </c>
      <c r="N222" s="66">
        <f t="shared" si="6"/>
        <v>0</v>
      </c>
      <c r="O222" s="66">
        <f t="shared" si="7"/>
        <v>0</v>
      </c>
    </row>
    <row r="223" spans="1:18" x14ac:dyDescent="0.3">
      <c r="A223" s="59">
        <v>1</v>
      </c>
      <c r="B223" s="59">
        <v>3</v>
      </c>
      <c r="C223" s="63">
        <v>222</v>
      </c>
      <c r="D223" s="72">
        <v>2</v>
      </c>
      <c r="E223" s="73" t="s">
        <v>80</v>
      </c>
      <c r="F223" s="74" t="s">
        <v>29</v>
      </c>
      <c r="G223" s="47" t="s">
        <v>42</v>
      </c>
      <c r="H223" s="47" t="s">
        <v>72</v>
      </c>
      <c r="I223" s="66"/>
      <c r="J223" s="65">
        <v>0</v>
      </c>
      <c r="K223" s="66"/>
      <c r="L223" s="57">
        <f>IF(Table1214[[#This Row],[modality]]=E222,1,0)</f>
        <v>0</v>
      </c>
      <c r="M223" s="66">
        <f>IF(Table1214[[#This Row],[stimulus]]=H224, 1, 0)</f>
        <v>0</v>
      </c>
      <c r="N223" s="66">
        <f t="shared" si="6"/>
        <v>1</v>
      </c>
      <c r="O223" s="66">
        <f t="shared" si="7"/>
        <v>0</v>
      </c>
    </row>
    <row r="224" spans="1:18" x14ac:dyDescent="0.3">
      <c r="A224" s="59">
        <v>1</v>
      </c>
      <c r="B224" s="59">
        <v>3</v>
      </c>
      <c r="C224" s="63">
        <v>223</v>
      </c>
      <c r="D224" s="72">
        <v>2</v>
      </c>
      <c r="E224" s="72" t="s">
        <v>80</v>
      </c>
      <c r="F224" s="74" t="s">
        <v>29</v>
      </c>
      <c r="G224" s="71" t="s">
        <v>42</v>
      </c>
      <c r="H224" s="71" t="s">
        <v>68</v>
      </c>
      <c r="I224" s="66"/>
      <c r="J224" s="65">
        <v>0</v>
      </c>
      <c r="K224" s="66"/>
      <c r="L224" s="57">
        <f>IF(Table1214[[#This Row],[modality]]=E223,1,0)</f>
        <v>1</v>
      </c>
      <c r="M224" s="66">
        <f>IF(Table1214[[#This Row],[stimulus]]=H225, 1, 0)</f>
        <v>0</v>
      </c>
      <c r="N224" s="66">
        <f t="shared" si="6"/>
        <v>0</v>
      </c>
      <c r="O224" s="66">
        <f t="shared" si="7"/>
        <v>1</v>
      </c>
    </row>
    <row r="225" spans="1:15" x14ac:dyDescent="0.3">
      <c r="A225" s="59">
        <v>1</v>
      </c>
      <c r="B225" s="59">
        <v>3</v>
      </c>
      <c r="C225" s="63">
        <v>224</v>
      </c>
      <c r="D225" s="67">
        <v>1</v>
      </c>
      <c r="E225" s="67" t="s">
        <v>81</v>
      </c>
      <c r="F225" s="68" t="s">
        <v>0</v>
      </c>
      <c r="G225" s="47" t="s">
        <v>41</v>
      </c>
      <c r="H225" s="47" t="s">
        <v>45</v>
      </c>
      <c r="I225" s="66"/>
      <c r="J225" s="66">
        <v>1</v>
      </c>
      <c r="K225" s="66" t="s">
        <v>10</v>
      </c>
      <c r="L225" s="57">
        <f>IF(Table1214[[#This Row],[modality]]=E224,1,0)</f>
        <v>0</v>
      </c>
      <c r="M225" s="66">
        <f>IF(Table1214[[#This Row],[stimulus]]=H226, 1, 0)</f>
        <v>1</v>
      </c>
      <c r="N225" s="66">
        <f t="shared" si="6"/>
        <v>0</v>
      </c>
      <c r="O225" s="66">
        <f t="shared" si="7"/>
        <v>1</v>
      </c>
    </row>
    <row r="226" spans="1:15" x14ac:dyDescent="0.3">
      <c r="A226" s="59">
        <v>1</v>
      </c>
      <c r="B226" s="59">
        <v>3</v>
      </c>
      <c r="C226" s="63">
        <v>225</v>
      </c>
      <c r="D226" s="69">
        <v>1</v>
      </c>
      <c r="E226" s="67" t="s">
        <v>81</v>
      </c>
      <c r="F226" s="70" t="s">
        <v>40</v>
      </c>
      <c r="G226" s="71" t="s">
        <v>9</v>
      </c>
      <c r="H226" s="71" t="s">
        <v>45</v>
      </c>
      <c r="I226" s="66"/>
      <c r="J226" s="65">
        <v>0</v>
      </c>
      <c r="K226" s="66"/>
      <c r="L226" s="57">
        <f>IF(Table1214[[#This Row],[modality]]=E225,1,0)</f>
        <v>1</v>
      </c>
      <c r="M226" s="66">
        <f>IF(Table1214[[#This Row],[stimulus]]=H227, 1, 0)</f>
        <v>0</v>
      </c>
      <c r="N226" s="66">
        <f t="shared" si="6"/>
        <v>0</v>
      </c>
      <c r="O226" s="66">
        <f t="shared" si="7"/>
        <v>0</v>
      </c>
    </row>
    <row r="227" spans="1:15" x14ac:dyDescent="0.3">
      <c r="A227" s="59">
        <v>1</v>
      </c>
      <c r="B227" s="59">
        <v>3</v>
      </c>
      <c r="C227" s="63">
        <v>226</v>
      </c>
      <c r="D227" s="67">
        <v>1</v>
      </c>
      <c r="E227" s="67" t="s">
        <v>81</v>
      </c>
      <c r="F227" s="68" t="s">
        <v>0</v>
      </c>
      <c r="G227" s="47" t="s">
        <v>41</v>
      </c>
      <c r="H227" s="47" t="s">
        <v>47</v>
      </c>
      <c r="I227" s="66"/>
      <c r="J227" s="66">
        <v>1</v>
      </c>
      <c r="K227" s="66" t="s">
        <v>9</v>
      </c>
      <c r="L227" s="57">
        <f>IF(Table1214[[#This Row],[modality]]=E226,1,0)</f>
        <v>1</v>
      </c>
      <c r="M227" s="66">
        <f>IF(Table1214[[#This Row],[stimulus]]=H228, 1, 0)</f>
        <v>1</v>
      </c>
      <c r="N227" s="66">
        <f t="shared" si="6"/>
        <v>1</v>
      </c>
      <c r="O227" s="66">
        <f t="shared" si="7"/>
        <v>0</v>
      </c>
    </row>
    <row r="228" spans="1:15" x14ac:dyDescent="0.3">
      <c r="A228" s="59">
        <v>1</v>
      </c>
      <c r="B228" s="59">
        <v>3</v>
      </c>
      <c r="C228" s="63">
        <v>227</v>
      </c>
      <c r="D228" s="69">
        <v>2</v>
      </c>
      <c r="E228" s="69" t="s">
        <v>80</v>
      </c>
      <c r="F228" s="70" t="s">
        <v>40</v>
      </c>
      <c r="G228" s="71" t="s">
        <v>10</v>
      </c>
      <c r="H228" s="71" t="s">
        <v>47</v>
      </c>
      <c r="I228" s="66"/>
      <c r="J228" s="65">
        <v>0</v>
      </c>
      <c r="K228" s="66"/>
      <c r="L228" s="57">
        <f>IF(Table1214[[#This Row],[modality]]=E227,1,0)</f>
        <v>0</v>
      </c>
      <c r="M228" s="66">
        <f>IF(Table1214[[#This Row],[stimulus]]=H229, 1, 0)</f>
        <v>0</v>
      </c>
      <c r="N228" s="66">
        <f t="shared" si="6"/>
        <v>0</v>
      </c>
      <c r="O228" s="66">
        <f t="shared" si="7"/>
        <v>0</v>
      </c>
    </row>
    <row r="229" spans="1:15" x14ac:dyDescent="0.3">
      <c r="A229" s="58">
        <v>2</v>
      </c>
      <c r="B229" s="59">
        <v>3</v>
      </c>
      <c r="C229" s="63">
        <v>228</v>
      </c>
      <c r="D229" s="78">
        <v>2</v>
      </c>
      <c r="E229" s="78" t="s">
        <v>80</v>
      </c>
      <c r="F229" s="78" t="s">
        <v>29</v>
      </c>
      <c r="G229" s="58" t="s">
        <v>42</v>
      </c>
      <c r="H229" s="58" t="s">
        <v>49</v>
      </c>
      <c r="I229" s="66"/>
      <c r="J229" s="65">
        <v>0</v>
      </c>
      <c r="K229" s="66"/>
      <c r="L229" s="57">
        <f>IF(Table1214[[#This Row],[modality]]=E228,1,0)</f>
        <v>1</v>
      </c>
      <c r="M229" s="66">
        <f>IF(Table1214[[#This Row],[stimulus]]=H230, 1, 0)</f>
        <v>0</v>
      </c>
      <c r="N229" s="66">
        <f t="shared" si="6"/>
        <v>1</v>
      </c>
      <c r="O229" s="66">
        <f t="shared" si="7"/>
        <v>0</v>
      </c>
    </row>
    <row r="230" spans="1:15" x14ac:dyDescent="0.3">
      <c r="A230" s="58">
        <v>2</v>
      </c>
      <c r="B230" s="59">
        <v>3</v>
      </c>
      <c r="C230" s="63">
        <v>229</v>
      </c>
      <c r="D230" s="78">
        <v>1</v>
      </c>
      <c r="E230" s="78" t="s">
        <v>81</v>
      </c>
      <c r="F230" s="78" t="s">
        <v>29</v>
      </c>
      <c r="G230" s="71" t="s">
        <v>42</v>
      </c>
      <c r="H230" s="71" t="s">
        <v>45</v>
      </c>
      <c r="I230" s="66"/>
      <c r="J230" s="65">
        <v>0</v>
      </c>
      <c r="K230" s="66"/>
      <c r="L230" s="57">
        <f>IF(Table1214[[#This Row],[modality]]=E229,1,0)</f>
        <v>0</v>
      </c>
      <c r="M230" s="66">
        <f>IF(Table1214[[#This Row],[stimulus]]=H231, 1, 0)</f>
        <v>0</v>
      </c>
      <c r="N230" s="66">
        <f t="shared" si="6"/>
        <v>0</v>
      </c>
      <c r="O230" s="66">
        <f t="shared" si="7"/>
        <v>1</v>
      </c>
    </row>
    <row r="231" spans="1:15" x14ac:dyDescent="0.3">
      <c r="A231" s="58">
        <v>2</v>
      </c>
      <c r="B231" s="59">
        <v>3</v>
      </c>
      <c r="C231" s="63">
        <v>230</v>
      </c>
      <c r="D231" s="57">
        <v>1</v>
      </c>
      <c r="E231" s="65" t="s">
        <v>81</v>
      </c>
      <c r="F231" s="65" t="s">
        <v>0</v>
      </c>
      <c r="G231" s="58" t="s">
        <v>41</v>
      </c>
      <c r="H231" s="58" t="s">
        <v>52</v>
      </c>
      <c r="I231" s="66"/>
      <c r="J231" s="65">
        <v>0</v>
      </c>
      <c r="K231" s="66"/>
      <c r="L231" s="57">
        <f>IF(Table1214[[#This Row],[modality]]=E230,1,0)</f>
        <v>1</v>
      </c>
      <c r="M231" s="66">
        <f>IF(Table1214[[#This Row],[stimulus]]=H232, 1, 0)</f>
        <v>1</v>
      </c>
      <c r="N231" s="66">
        <f t="shared" si="6"/>
        <v>0</v>
      </c>
      <c r="O231" s="66">
        <f t="shared" si="7"/>
        <v>1</v>
      </c>
    </row>
    <row r="232" spans="1:15" x14ac:dyDescent="0.3">
      <c r="A232" s="58">
        <v>2</v>
      </c>
      <c r="B232" s="59">
        <v>3</v>
      </c>
      <c r="C232" s="63">
        <v>231</v>
      </c>
      <c r="D232" s="67">
        <v>1</v>
      </c>
      <c r="E232" s="68" t="s">
        <v>81</v>
      </c>
      <c r="F232" s="68" t="s">
        <v>40</v>
      </c>
      <c r="G232" s="47" t="s">
        <v>9</v>
      </c>
      <c r="H232" s="47" t="s">
        <v>52</v>
      </c>
      <c r="I232" s="66"/>
      <c r="J232" s="65">
        <v>0</v>
      </c>
      <c r="K232" s="66"/>
      <c r="L232" s="57">
        <f>IF(Table1214[[#This Row],[modality]]=E231,1,0)</f>
        <v>1</v>
      </c>
      <c r="M232" s="66">
        <f>IF(Table1214[[#This Row],[stimulus]]=H233, 1, 0)</f>
        <v>0</v>
      </c>
      <c r="N232" s="66">
        <f t="shared" si="6"/>
        <v>0</v>
      </c>
      <c r="O232" s="66">
        <f t="shared" si="7"/>
        <v>0</v>
      </c>
    </row>
    <row r="233" spans="1:15" x14ac:dyDescent="0.3">
      <c r="A233" s="58">
        <v>2</v>
      </c>
      <c r="B233" s="59">
        <v>3</v>
      </c>
      <c r="C233" s="63">
        <v>232</v>
      </c>
      <c r="D233" s="78">
        <v>2</v>
      </c>
      <c r="E233" s="78" t="s">
        <v>80</v>
      </c>
      <c r="F233" s="78" t="s">
        <v>29</v>
      </c>
      <c r="G233" s="47" t="s">
        <v>42</v>
      </c>
      <c r="H233" s="47" t="s">
        <v>48</v>
      </c>
      <c r="I233" s="66"/>
      <c r="J233" s="65">
        <v>0</v>
      </c>
      <c r="K233" s="66"/>
      <c r="L233" s="57">
        <f>IF(Table1214[[#This Row],[modality]]=E232,1,0)</f>
        <v>0</v>
      </c>
      <c r="M233" s="66">
        <f>IF(Table1214[[#This Row],[stimulus]]=H234, 1, 0)</f>
        <v>0</v>
      </c>
      <c r="N233" s="66">
        <f t="shared" si="6"/>
        <v>1</v>
      </c>
      <c r="O233" s="66">
        <f t="shared" si="7"/>
        <v>0</v>
      </c>
    </row>
    <row r="234" spans="1:15" x14ac:dyDescent="0.3">
      <c r="A234" s="58">
        <v>2</v>
      </c>
      <c r="B234" s="59">
        <v>3</v>
      </c>
      <c r="C234" s="63">
        <v>233</v>
      </c>
      <c r="D234" s="69">
        <v>1</v>
      </c>
      <c r="E234" s="69" t="s">
        <v>81</v>
      </c>
      <c r="F234" s="70" t="s">
        <v>0</v>
      </c>
      <c r="G234" s="71" t="s">
        <v>41</v>
      </c>
      <c r="H234" s="71" t="s">
        <v>53</v>
      </c>
      <c r="I234" s="66"/>
      <c r="J234" s="66">
        <v>1</v>
      </c>
      <c r="K234" s="66" t="s">
        <v>10</v>
      </c>
      <c r="L234" s="57">
        <f>IF(Table1214[[#This Row],[modality]]=E233,1,0)</f>
        <v>0</v>
      </c>
      <c r="M234" s="66">
        <f>IF(Table1214[[#This Row],[stimulus]]=H235, 1, 0)</f>
        <v>1</v>
      </c>
      <c r="N234" s="66">
        <f t="shared" si="6"/>
        <v>0</v>
      </c>
      <c r="O234" s="66">
        <f t="shared" si="7"/>
        <v>1</v>
      </c>
    </row>
    <row r="235" spans="1:15" x14ac:dyDescent="0.3">
      <c r="A235" s="58">
        <v>2</v>
      </c>
      <c r="B235" s="59">
        <v>3</v>
      </c>
      <c r="C235" s="63">
        <v>234</v>
      </c>
      <c r="D235" s="67">
        <v>1</v>
      </c>
      <c r="E235" s="67" t="s">
        <v>81</v>
      </c>
      <c r="F235" s="68" t="s">
        <v>40</v>
      </c>
      <c r="G235" s="47" t="s">
        <v>9</v>
      </c>
      <c r="H235" s="47" t="s">
        <v>53</v>
      </c>
      <c r="I235" s="66"/>
      <c r="J235" s="65">
        <v>0</v>
      </c>
      <c r="K235" s="66"/>
      <c r="L235" s="57">
        <f>IF(Table1214[[#This Row],[modality]]=E234,1,0)</f>
        <v>1</v>
      </c>
      <c r="M235" s="66">
        <f>IF(Table1214[[#This Row],[stimulus]]=H236, 1, 0)</f>
        <v>0</v>
      </c>
      <c r="N235" s="66">
        <f t="shared" si="6"/>
        <v>0</v>
      </c>
      <c r="O235" s="66">
        <f t="shared" si="7"/>
        <v>0</v>
      </c>
    </row>
    <row r="236" spans="1:15" x14ac:dyDescent="0.3">
      <c r="A236" s="58">
        <v>2</v>
      </c>
      <c r="B236" s="59">
        <v>3</v>
      </c>
      <c r="C236" s="63">
        <v>235</v>
      </c>
      <c r="D236" s="69">
        <v>1</v>
      </c>
      <c r="E236" s="69" t="s">
        <v>81</v>
      </c>
      <c r="F236" s="70" t="s">
        <v>0</v>
      </c>
      <c r="G236" s="71" t="s">
        <v>41</v>
      </c>
      <c r="H236" s="71" t="s">
        <v>55</v>
      </c>
      <c r="I236" s="66"/>
      <c r="J236" s="65">
        <v>0</v>
      </c>
      <c r="K236" s="66"/>
      <c r="L236" s="57">
        <f>IF(Table1214[[#This Row],[modality]]=E235,1,0)</f>
        <v>1</v>
      </c>
      <c r="M236" s="66">
        <f>IF(Table1214[[#This Row],[stimulus]]=H237, 1, 0)</f>
        <v>1</v>
      </c>
      <c r="N236" s="66">
        <f t="shared" si="6"/>
        <v>1</v>
      </c>
      <c r="O236" s="66">
        <f t="shared" si="7"/>
        <v>0</v>
      </c>
    </row>
    <row r="237" spans="1:15" x14ac:dyDescent="0.3">
      <c r="A237" s="58">
        <v>2</v>
      </c>
      <c r="B237" s="59">
        <v>3</v>
      </c>
      <c r="C237" s="63">
        <v>236</v>
      </c>
      <c r="D237" s="67">
        <v>2</v>
      </c>
      <c r="E237" s="67" t="s">
        <v>80</v>
      </c>
      <c r="F237" s="68" t="s">
        <v>40</v>
      </c>
      <c r="G237" s="47" t="s">
        <v>10</v>
      </c>
      <c r="H237" s="47" t="s">
        <v>55</v>
      </c>
      <c r="I237" s="66"/>
      <c r="J237" s="65">
        <v>0</v>
      </c>
      <c r="K237" s="66"/>
      <c r="L237" s="57">
        <f>IF(Table1214[[#This Row],[modality]]=E236,1,0)</f>
        <v>0</v>
      </c>
      <c r="M237" s="66">
        <f>IF(Table1214[[#This Row],[stimulus]]=H238, 1, 0)</f>
        <v>0</v>
      </c>
      <c r="N237" s="66">
        <f t="shared" si="6"/>
        <v>0</v>
      </c>
      <c r="O237" s="66">
        <f t="shared" si="7"/>
        <v>0</v>
      </c>
    </row>
    <row r="238" spans="1:15" x14ac:dyDescent="0.3">
      <c r="A238" s="58">
        <v>2</v>
      </c>
      <c r="B238" s="59">
        <v>3</v>
      </c>
      <c r="C238" s="63">
        <v>237</v>
      </c>
      <c r="D238" s="78">
        <v>2</v>
      </c>
      <c r="E238" s="78" t="s">
        <v>80</v>
      </c>
      <c r="F238" s="78" t="s">
        <v>29</v>
      </c>
      <c r="G238" s="71" t="s">
        <v>42</v>
      </c>
      <c r="H238" s="71" t="s">
        <v>50</v>
      </c>
      <c r="I238" s="66"/>
      <c r="J238" s="66">
        <v>1</v>
      </c>
      <c r="K238" s="66" t="s">
        <v>9</v>
      </c>
      <c r="L238" s="57">
        <f>IF(Table1214[[#This Row],[modality]]=E237,1,0)</f>
        <v>1</v>
      </c>
      <c r="M238" s="66">
        <f>IF(Table1214[[#This Row],[stimulus]]=H239, 1, 0)</f>
        <v>0</v>
      </c>
      <c r="N238" s="66">
        <f t="shared" si="6"/>
        <v>1</v>
      </c>
      <c r="O238" s="66">
        <f t="shared" si="7"/>
        <v>0</v>
      </c>
    </row>
    <row r="239" spans="1:15" x14ac:dyDescent="0.3">
      <c r="A239" s="58">
        <v>2</v>
      </c>
      <c r="B239" s="59">
        <v>3</v>
      </c>
      <c r="C239" s="63">
        <v>238</v>
      </c>
      <c r="D239" s="67">
        <v>2</v>
      </c>
      <c r="E239" s="67" t="s">
        <v>80</v>
      </c>
      <c r="F239" s="68" t="s">
        <v>0</v>
      </c>
      <c r="G239" s="47" t="s">
        <v>41</v>
      </c>
      <c r="H239" s="47" t="s">
        <v>54</v>
      </c>
      <c r="I239" s="66"/>
      <c r="J239" s="66">
        <v>1</v>
      </c>
      <c r="K239" s="66" t="s">
        <v>9</v>
      </c>
      <c r="L239" s="57">
        <f>IF(Table1214[[#This Row],[modality]]=E238,1,0)</f>
        <v>1</v>
      </c>
      <c r="M239" s="66">
        <f>IF(Table1214[[#This Row],[stimulus]]=H240, 1, 0)</f>
        <v>1</v>
      </c>
      <c r="N239" s="66">
        <f t="shared" si="6"/>
        <v>0</v>
      </c>
      <c r="O239" s="66">
        <f t="shared" si="7"/>
        <v>1</v>
      </c>
    </row>
    <row r="240" spans="1:15" x14ac:dyDescent="0.3">
      <c r="A240" s="58">
        <v>2</v>
      </c>
      <c r="B240" s="59">
        <v>3</v>
      </c>
      <c r="C240" s="63">
        <v>239</v>
      </c>
      <c r="D240" s="69">
        <v>1</v>
      </c>
      <c r="E240" s="69" t="s">
        <v>81</v>
      </c>
      <c r="F240" s="70" t="s">
        <v>40</v>
      </c>
      <c r="G240" s="71" t="s">
        <v>10</v>
      </c>
      <c r="H240" s="71" t="s">
        <v>54</v>
      </c>
      <c r="I240" s="66"/>
      <c r="J240" s="65">
        <v>0</v>
      </c>
      <c r="K240" s="66"/>
      <c r="L240" s="57">
        <f>IF(Table1214[[#This Row],[modality]]=E239,1,0)</f>
        <v>0</v>
      </c>
      <c r="M240" s="66">
        <f>IF(Table1214[[#This Row],[stimulus]]=H241, 1, 0)</f>
        <v>0</v>
      </c>
      <c r="N240" s="66">
        <f t="shared" si="6"/>
        <v>0</v>
      </c>
      <c r="O240" s="66">
        <f t="shared" si="7"/>
        <v>0</v>
      </c>
    </row>
    <row r="241" spans="1:18" x14ac:dyDescent="0.3">
      <c r="A241" s="58">
        <v>2</v>
      </c>
      <c r="B241" s="59">
        <v>3</v>
      </c>
      <c r="C241" s="63">
        <v>240</v>
      </c>
      <c r="D241" s="78">
        <v>1</v>
      </c>
      <c r="E241" s="78" t="s">
        <v>81</v>
      </c>
      <c r="F241" s="78" t="s">
        <v>29</v>
      </c>
      <c r="G241" s="47" t="s">
        <v>42</v>
      </c>
      <c r="H241" s="47" t="s">
        <v>46</v>
      </c>
      <c r="I241" s="66"/>
      <c r="J241" s="66">
        <v>1</v>
      </c>
      <c r="K241" s="66" t="s">
        <v>9</v>
      </c>
      <c r="L241" s="57">
        <f>IF(Table1214[[#This Row],[modality]]=E240,1,0)</f>
        <v>1</v>
      </c>
      <c r="M241" s="66">
        <f>IF(Table1214[[#This Row],[stimulus]]=H242, 1, 0)</f>
        <v>0</v>
      </c>
      <c r="N241" s="66">
        <f t="shared" si="6"/>
        <v>1</v>
      </c>
      <c r="O241" s="66">
        <f t="shared" si="7"/>
        <v>0</v>
      </c>
      <c r="R241" t="s">
        <v>19</v>
      </c>
    </row>
    <row r="242" spans="1:18" x14ac:dyDescent="0.3">
      <c r="A242" s="58">
        <v>2</v>
      </c>
      <c r="B242" s="59">
        <v>3</v>
      </c>
      <c r="C242" s="63">
        <v>241</v>
      </c>
      <c r="D242" s="67">
        <v>1</v>
      </c>
      <c r="E242" s="67" t="s">
        <v>81</v>
      </c>
      <c r="F242" s="68" t="s">
        <v>0</v>
      </c>
      <c r="G242" s="47" t="s">
        <v>41</v>
      </c>
      <c r="H242" s="47" t="s">
        <v>51</v>
      </c>
      <c r="I242" s="66"/>
      <c r="J242" s="65">
        <v>0</v>
      </c>
      <c r="K242" s="66"/>
      <c r="L242" s="57">
        <f>IF(Table1214[[#This Row],[modality]]=E241,1,0)</f>
        <v>1</v>
      </c>
      <c r="M242" s="66">
        <f>IF(Table1214[[#This Row],[stimulus]]=H243, 1, 0)</f>
        <v>1</v>
      </c>
      <c r="N242" s="66">
        <f t="shared" si="6"/>
        <v>0</v>
      </c>
      <c r="O242" s="66">
        <f t="shared" si="7"/>
        <v>1</v>
      </c>
    </row>
    <row r="243" spans="1:18" x14ac:dyDescent="0.3">
      <c r="A243" s="58">
        <v>2</v>
      </c>
      <c r="B243" s="59">
        <v>3</v>
      </c>
      <c r="C243" s="63">
        <v>242</v>
      </c>
      <c r="D243" s="57">
        <v>2</v>
      </c>
      <c r="E243" s="57" t="s">
        <v>80</v>
      </c>
      <c r="F243" s="65" t="s">
        <v>40</v>
      </c>
      <c r="G243" s="58" t="s">
        <v>10</v>
      </c>
      <c r="H243" s="58" t="s">
        <v>51</v>
      </c>
      <c r="I243" s="66"/>
      <c r="J243" s="65">
        <v>0</v>
      </c>
      <c r="K243" s="66"/>
      <c r="L243" s="57">
        <f>IF(Table1214[[#This Row],[modality]]=E242,1,0)</f>
        <v>0</v>
      </c>
      <c r="M243" s="66">
        <f>IF(Table1214[[#This Row],[stimulus]]=H244, 1, 0)</f>
        <v>0</v>
      </c>
      <c r="N243" s="66">
        <f t="shared" si="6"/>
        <v>0</v>
      </c>
      <c r="O243" s="66">
        <f t="shared" si="7"/>
        <v>0</v>
      </c>
    </row>
    <row r="244" spans="1:18" x14ac:dyDescent="0.3">
      <c r="A244" s="58">
        <v>2</v>
      </c>
      <c r="B244" s="59">
        <v>3</v>
      </c>
      <c r="C244" s="63">
        <v>243</v>
      </c>
      <c r="D244" s="78">
        <v>1</v>
      </c>
      <c r="E244" s="78" t="s">
        <v>81</v>
      </c>
      <c r="F244" s="78" t="s">
        <v>29</v>
      </c>
      <c r="G244" s="71" t="s">
        <v>42</v>
      </c>
      <c r="H244" s="71" t="s">
        <v>43</v>
      </c>
      <c r="I244" s="66"/>
      <c r="J244" s="65">
        <v>0</v>
      </c>
      <c r="K244" s="66"/>
      <c r="L244" s="57">
        <f>IF(Table1214[[#This Row],[modality]]=E243,1,0)</f>
        <v>0</v>
      </c>
      <c r="M244" s="66">
        <f>IF(Table1214[[#This Row],[stimulus]]=H245, 1, 0)</f>
        <v>0</v>
      </c>
      <c r="N244" s="66">
        <f t="shared" si="6"/>
        <v>1</v>
      </c>
      <c r="O244" s="66">
        <f t="shared" si="7"/>
        <v>0</v>
      </c>
    </row>
    <row r="245" spans="1:18" x14ac:dyDescent="0.3">
      <c r="A245" s="58">
        <v>2</v>
      </c>
      <c r="B245" s="59">
        <v>3</v>
      </c>
      <c r="C245" s="63">
        <v>244</v>
      </c>
      <c r="D245" s="67">
        <v>2</v>
      </c>
      <c r="E245" s="67" t="s">
        <v>80</v>
      </c>
      <c r="F245" s="68" t="s">
        <v>0</v>
      </c>
      <c r="G245" s="47" t="s">
        <v>41</v>
      </c>
      <c r="H245" s="47" t="s">
        <v>57</v>
      </c>
      <c r="I245" s="66"/>
      <c r="J245" s="66">
        <v>1</v>
      </c>
      <c r="K245" s="66" t="s">
        <v>10</v>
      </c>
      <c r="L245" s="57">
        <f>IF(Table1214[[#This Row],[modality]]=E244,1,0)</f>
        <v>0</v>
      </c>
      <c r="M245" s="66">
        <f>IF(Table1214[[#This Row],[stimulus]]=H246, 1, 0)</f>
        <v>1</v>
      </c>
      <c r="N245" s="66">
        <f t="shared" si="6"/>
        <v>0</v>
      </c>
      <c r="O245" s="66">
        <f t="shared" si="7"/>
        <v>1</v>
      </c>
    </row>
    <row r="246" spans="1:18" x14ac:dyDescent="0.3">
      <c r="A246" s="58">
        <v>2</v>
      </c>
      <c r="B246" s="59">
        <v>3</v>
      </c>
      <c r="C246" s="63">
        <v>245</v>
      </c>
      <c r="D246" s="69">
        <v>2</v>
      </c>
      <c r="E246" s="69" t="s">
        <v>80</v>
      </c>
      <c r="F246" s="70" t="s">
        <v>40</v>
      </c>
      <c r="G246" s="71" t="s">
        <v>9</v>
      </c>
      <c r="H246" s="71" t="s">
        <v>57</v>
      </c>
      <c r="I246" s="66"/>
      <c r="J246" s="65">
        <v>0</v>
      </c>
      <c r="K246" s="66"/>
      <c r="L246" s="57">
        <f>IF(Table1214[[#This Row],[modality]]=E245,1,0)</f>
        <v>1</v>
      </c>
      <c r="M246" s="66">
        <f>IF(Table1214[[#This Row],[stimulus]]=H247, 1, 0)</f>
        <v>0</v>
      </c>
      <c r="N246" s="66">
        <f t="shared" si="6"/>
        <v>0</v>
      </c>
      <c r="O246" s="66">
        <f t="shared" si="7"/>
        <v>0</v>
      </c>
    </row>
    <row r="247" spans="1:18" x14ac:dyDescent="0.3">
      <c r="A247" s="58">
        <v>2</v>
      </c>
      <c r="B247" s="59">
        <v>3</v>
      </c>
      <c r="C247" s="63">
        <v>246</v>
      </c>
      <c r="D247" s="78">
        <v>1</v>
      </c>
      <c r="E247" s="78" t="s">
        <v>81</v>
      </c>
      <c r="F247" s="78" t="s">
        <v>29</v>
      </c>
      <c r="G247" s="47" t="s">
        <v>42</v>
      </c>
      <c r="H247" s="47" t="s">
        <v>44</v>
      </c>
      <c r="I247" s="66"/>
      <c r="J247" s="65">
        <v>0</v>
      </c>
      <c r="K247" s="66"/>
      <c r="L247" s="57">
        <f>IF(Table1214[[#This Row],[modality]]=E246,1,0)</f>
        <v>0</v>
      </c>
      <c r="M247" s="66">
        <f>IF(Table1214[[#This Row],[stimulus]]=H248, 1, 0)</f>
        <v>0</v>
      </c>
      <c r="N247" s="66">
        <f t="shared" si="6"/>
        <v>1</v>
      </c>
      <c r="O247" s="66">
        <f t="shared" si="7"/>
        <v>0</v>
      </c>
    </row>
    <row r="248" spans="1:18" x14ac:dyDescent="0.3">
      <c r="A248" s="58">
        <v>2</v>
      </c>
      <c r="B248" s="59">
        <v>3</v>
      </c>
      <c r="C248" s="63">
        <v>247</v>
      </c>
      <c r="D248" s="69">
        <v>2</v>
      </c>
      <c r="E248" s="69" t="s">
        <v>80</v>
      </c>
      <c r="F248" s="70" t="s">
        <v>0</v>
      </c>
      <c r="G248" s="71" t="s">
        <v>41</v>
      </c>
      <c r="H248" s="71" t="s">
        <v>58</v>
      </c>
      <c r="I248" s="66"/>
      <c r="J248" s="66">
        <v>1</v>
      </c>
      <c r="K248" s="66" t="s">
        <v>10</v>
      </c>
      <c r="L248" s="57">
        <f>IF(Table1214[[#This Row],[modality]]=E247,1,0)</f>
        <v>0</v>
      </c>
      <c r="M248" s="66">
        <f>IF(Table1214[[#This Row],[stimulus]]=H249, 1, 0)</f>
        <v>1</v>
      </c>
      <c r="N248" s="66">
        <f t="shared" si="6"/>
        <v>0</v>
      </c>
      <c r="O248" s="66">
        <f t="shared" si="7"/>
        <v>1</v>
      </c>
    </row>
    <row r="249" spans="1:18" x14ac:dyDescent="0.3">
      <c r="A249" s="58">
        <v>2</v>
      </c>
      <c r="B249" s="59">
        <v>3</v>
      </c>
      <c r="C249" s="63">
        <v>248</v>
      </c>
      <c r="D249" s="67">
        <v>2</v>
      </c>
      <c r="E249" s="67" t="s">
        <v>80</v>
      </c>
      <c r="F249" s="68" t="s">
        <v>40</v>
      </c>
      <c r="G249" s="47" t="s">
        <v>9</v>
      </c>
      <c r="H249" s="47" t="s">
        <v>58</v>
      </c>
      <c r="I249" s="66"/>
      <c r="J249" s="65">
        <v>0</v>
      </c>
      <c r="K249" s="66"/>
      <c r="L249" s="57">
        <f>IF(Table1214[[#This Row],[modality]]=E248,1,0)</f>
        <v>1</v>
      </c>
      <c r="M249" s="66">
        <f>IF(Table1214[[#This Row],[stimulus]]=H250, 1, 0)</f>
        <v>0</v>
      </c>
      <c r="N249" s="66">
        <f t="shared" si="6"/>
        <v>0</v>
      </c>
      <c r="O249" s="66">
        <f t="shared" si="7"/>
        <v>0</v>
      </c>
    </row>
    <row r="250" spans="1:18" x14ac:dyDescent="0.3">
      <c r="A250" s="58">
        <v>2</v>
      </c>
      <c r="B250" s="59">
        <v>3</v>
      </c>
      <c r="C250" s="63">
        <v>249</v>
      </c>
      <c r="D250" s="78">
        <v>2</v>
      </c>
      <c r="E250" s="78" t="s">
        <v>80</v>
      </c>
      <c r="F250" s="78" t="s">
        <v>29</v>
      </c>
      <c r="G250" s="47" t="s">
        <v>42</v>
      </c>
      <c r="H250" s="47" t="s">
        <v>47</v>
      </c>
      <c r="I250" s="66"/>
      <c r="J250" s="65">
        <v>0</v>
      </c>
      <c r="K250" s="66"/>
      <c r="L250" s="57">
        <f>IF(Table1214[[#This Row],[modality]]=E249,1,0)</f>
        <v>1</v>
      </c>
      <c r="M250" s="66">
        <f>IF(Table1214[[#This Row],[stimulus]]=H251, 1, 0)</f>
        <v>0</v>
      </c>
      <c r="N250" s="66">
        <f t="shared" si="6"/>
        <v>1</v>
      </c>
      <c r="O250" s="66">
        <f t="shared" si="7"/>
        <v>0</v>
      </c>
    </row>
    <row r="251" spans="1:18" x14ac:dyDescent="0.3">
      <c r="A251" s="58">
        <v>2</v>
      </c>
      <c r="B251" s="59">
        <v>3</v>
      </c>
      <c r="C251" s="63">
        <v>250</v>
      </c>
      <c r="D251" s="57">
        <v>2</v>
      </c>
      <c r="E251" s="57" t="s">
        <v>80</v>
      </c>
      <c r="F251" s="65" t="s">
        <v>0</v>
      </c>
      <c r="G251" s="58" t="s">
        <v>41</v>
      </c>
      <c r="H251" s="58" t="s">
        <v>56</v>
      </c>
      <c r="I251" s="66"/>
      <c r="J251" s="66">
        <v>1</v>
      </c>
      <c r="K251" s="66" t="s">
        <v>9</v>
      </c>
      <c r="L251" s="57">
        <f>IF(Table1214[[#This Row],[modality]]=E250,1,0)</f>
        <v>1</v>
      </c>
      <c r="M251" s="66">
        <f>IF(Table1214[[#This Row],[stimulus]]=H252, 1, 0)</f>
        <v>1</v>
      </c>
      <c r="N251" s="66">
        <f t="shared" si="6"/>
        <v>0</v>
      </c>
      <c r="O251" s="66">
        <f t="shared" si="7"/>
        <v>1</v>
      </c>
    </row>
    <row r="252" spans="1:18" x14ac:dyDescent="0.3">
      <c r="A252" s="58">
        <v>2</v>
      </c>
      <c r="B252" s="59">
        <v>3</v>
      </c>
      <c r="C252" s="63">
        <v>251</v>
      </c>
      <c r="D252" s="67">
        <v>1</v>
      </c>
      <c r="E252" s="67" t="s">
        <v>81</v>
      </c>
      <c r="F252" s="68" t="s">
        <v>40</v>
      </c>
      <c r="G252" s="47" t="s">
        <v>10</v>
      </c>
      <c r="H252" s="47" t="s">
        <v>56</v>
      </c>
      <c r="I252" s="66"/>
      <c r="J252" s="65">
        <v>0</v>
      </c>
      <c r="K252" s="66"/>
      <c r="L252" s="57">
        <f>IF(Table1214[[#This Row],[modality]]=E251,1,0)</f>
        <v>0</v>
      </c>
      <c r="M252" s="66">
        <f>IF(Table1214[[#This Row],[stimulus]]=H253, 1, 0)</f>
        <v>0</v>
      </c>
      <c r="N252" s="66">
        <f t="shared" si="6"/>
        <v>0</v>
      </c>
      <c r="O252" s="66">
        <f t="shared" si="7"/>
        <v>0</v>
      </c>
    </row>
    <row r="253" spans="1:18" x14ac:dyDescent="0.3">
      <c r="A253" s="59">
        <v>3</v>
      </c>
      <c r="B253" s="59">
        <v>3</v>
      </c>
      <c r="C253" s="63">
        <v>252</v>
      </c>
      <c r="D253" s="84">
        <v>1</v>
      </c>
      <c r="E253" s="84" t="s">
        <v>81</v>
      </c>
      <c r="F253" s="84" t="s">
        <v>29</v>
      </c>
      <c r="G253" s="47" t="s">
        <v>42</v>
      </c>
      <c r="H253" s="47" t="s">
        <v>52</v>
      </c>
      <c r="I253" s="66"/>
      <c r="J253" s="65">
        <v>0</v>
      </c>
      <c r="K253" s="66"/>
      <c r="L253" s="57">
        <f>IF(Table1214[[#This Row],[modality]]=E252,1,0)</f>
        <v>1</v>
      </c>
      <c r="M253" s="66">
        <f>IF(Table1214[[#This Row],[stimulus]]=H254, 1, 0)</f>
        <v>0</v>
      </c>
      <c r="N253" s="66">
        <f t="shared" si="6"/>
        <v>1</v>
      </c>
      <c r="O253" s="66">
        <f t="shared" si="7"/>
        <v>0</v>
      </c>
    </row>
    <row r="254" spans="1:18" x14ac:dyDescent="0.3">
      <c r="A254" s="59">
        <v>3</v>
      </c>
      <c r="B254" s="59">
        <v>3</v>
      </c>
      <c r="C254" s="63">
        <v>253</v>
      </c>
      <c r="D254" s="67">
        <v>1</v>
      </c>
      <c r="E254" s="67" t="s">
        <v>81</v>
      </c>
      <c r="F254" s="68" t="s">
        <v>0</v>
      </c>
      <c r="G254" s="47" t="s">
        <v>41</v>
      </c>
      <c r="H254" s="47" t="s">
        <v>62</v>
      </c>
      <c r="I254" s="66"/>
      <c r="J254" s="66">
        <v>1</v>
      </c>
      <c r="K254" s="66" t="s">
        <v>9</v>
      </c>
      <c r="L254" s="57">
        <f>IF(Table1214[[#This Row],[modality]]=E253,1,0)</f>
        <v>1</v>
      </c>
      <c r="M254" s="66">
        <f>IF(Table1214[[#This Row],[stimulus]]=H255, 1, 0)</f>
        <v>1</v>
      </c>
      <c r="N254" s="66">
        <f t="shared" si="6"/>
        <v>0</v>
      </c>
      <c r="O254" s="66">
        <f t="shared" si="7"/>
        <v>1</v>
      </c>
    </row>
    <row r="255" spans="1:18" x14ac:dyDescent="0.3">
      <c r="A255" s="59">
        <v>3</v>
      </c>
      <c r="B255" s="59">
        <v>3</v>
      </c>
      <c r="C255" s="63">
        <v>254</v>
      </c>
      <c r="D255" s="57">
        <v>2</v>
      </c>
      <c r="E255" s="57" t="s">
        <v>80</v>
      </c>
      <c r="F255" s="65" t="s">
        <v>40</v>
      </c>
      <c r="G255" s="58" t="s">
        <v>10</v>
      </c>
      <c r="H255" s="58" t="s">
        <v>62</v>
      </c>
      <c r="I255" s="66"/>
      <c r="J255" s="65">
        <v>0</v>
      </c>
      <c r="K255" s="66"/>
      <c r="L255" s="57">
        <f>IF(Table1214[[#This Row],[modality]]=E254,1,0)</f>
        <v>0</v>
      </c>
      <c r="M255" s="66">
        <f>IF(Table1214[[#This Row],[stimulus]]=H256, 1, 0)</f>
        <v>0</v>
      </c>
      <c r="N255" s="66">
        <f t="shared" si="6"/>
        <v>0</v>
      </c>
      <c r="O255" s="66">
        <f t="shared" si="7"/>
        <v>0</v>
      </c>
    </row>
    <row r="256" spans="1:18" x14ac:dyDescent="0.3">
      <c r="A256" s="59">
        <v>3</v>
      </c>
      <c r="B256" s="59">
        <v>3</v>
      </c>
      <c r="C256" s="63">
        <v>255</v>
      </c>
      <c r="D256" s="84">
        <v>2</v>
      </c>
      <c r="E256" s="84" t="s">
        <v>80</v>
      </c>
      <c r="F256" s="84" t="s">
        <v>29</v>
      </c>
      <c r="G256" s="71" t="s">
        <v>42</v>
      </c>
      <c r="H256" s="71" t="s">
        <v>53</v>
      </c>
      <c r="I256" s="66"/>
      <c r="J256" s="65">
        <v>0</v>
      </c>
      <c r="K256" s="66"/>
      <c r="L256" s="57">
        <f>IF(Table1214[[#This Row],[modality]]=E255,1,0)</f>
        <v>1</v>
      </c>
      <c r="M256" s="66">
        <f>IF(Table1214[[#This Row],[stimulus]]=H257, 1, 0)</f>
        <v>0</v>
      </c>
      <c r="N256" s="66">
        <f t="shared" si="6"/>
        <v>1</v>
      </c>
      <c r="O256" s="66">
        <f t="shared" si="7"/>
        <v>0</v>
      </c>
    </row>
    <row r="257" spans="1:15" x14ac:dyDescent="0.3">
      <c r="A257" s="59">
        <v>3</v>
      </c>
      <c r="B257" s="59">
        <v>3</v>
      </c>
      <c r="C257" s="63">
        <v>256</v>
      </c>
      <c r="D257" s="67">
        <v>2</v>
      </c>
      <c r="E257" s="67" t="s">
        <v>80</v>
      </c>
      <c r="F257" s="68" t="s">
        <v>0</v>
      </c>
      <c r="G257" s="47" t="s">
        <v>41</v>
      </c>
      <c r="H257" s="47" t="s">
        <v>65</v>
      </c>
      <c r="I257" s="66"/>
      <c r="J257" s="66">
        <v>1</v>
      </c>
      <c r="K257" s="66" t="s">
        <v>9</v>
      </c>
      <c r="L257" s="57">
        <f>IF(Table1214[[#This Row],[modality]]=E256,1,0)</f>
        <v>1</v>
      </c>
      <c r="M257" s="66">
        <f>IF(Table1214[[#This Row],[stimulus]]=H258, 1, 0)</f>
        <v>1</v>
      </c>
      <c r="N257" s="66">
        <f t="shared" si="6"/>
        <v>0</v>
      </c>
      <c r="O257" s="66">
        <f t="shared" si="7"/>
        <v>1</v>
      </c>
    </row>
    <row r="258" spans="1:15" x14ac:dyDescent="0.3">
      <c r="A258" s="59">
        <v>3</v>
      </c>
      <c r="B258" s="59">
        <v>3</v>
      </c>
      <c r="C258" s="63">
        <v>257</v>
      </c>
      <c r="D258" s="69">
        <v>1</v>
      </c>
      <c r="E258" s="69" t="s">
        <v>81</v>
      </c>
      <c r="F258" s="70" t="s">
        <v>40</v>
      </c>
      <c r="G258" s="71" t="s">
        <v>10</v>
      </c>
      <c r="H258" s="71" t="s">
        <v>65</v>
      </c>
      <c r="I258" s="66"/>
      <c r="J258" s="65">
        <v>0</v>
      </c>
      <c r="K258" s="66"/>
      <c r="L258" s="57">
        <f>IF(Table1214[[#This Row],[modality]]=E257,1,0)</f>
        <v>0</v>
      </c>
      <c r="M258" s="66">
        <f>IF(Table1214[[#This Row],[stimulus]]=H259, 1, 0)</f>
        <v>0</v>
      </c>
      <c r="N258" s="66">
        <f t="shared" si="6"/>
        <v>0</v>
      </c>
      <c r="O258" s="66">
        <f t="shared" si="7"/>
        <v>0</v>
      </c>
    </row>
    <row r="259" spans="1:15" x14ac:dyDescent="0.3">
      <c r="A259" s="59">
        <v>3</v>
      </c>
      <c r="B259" s="59">
        <v>3</v>
      </c>
      <c r="C259" s="63">
        <v>258</v>
      </c>
      <c r="D259" s="67">
        <v>1</v>
      </c>
      <c r="E259" s="67" t="s">
        <v>81</v>
      </c>
      <c r="F259" s="68" t="s">
        <v>0</v>
      </c>
      <c r="G259" s="47" t="s">
        <v>41</v>
      </c>
      <c r="H259" s="47" t="s">
        <v>60</v>
      </c>
      <c r="I259" s="66"/>
      <c r="J259" s="66">
        <v>1</v>
      </c>
      <c r="K259" s="66" t="s">
        <v>9</v>
      </c>
      <c r="L259" s="57">
        <f>IF(Table1214[[#This Row],[modality]]=E258,1,0)</f>
        <v>1</v>
      </c>
      <c r="M259" s="66">
        <f>IF(Table1214[[#This Row],[stimulus]]=H260, 1, 0)</f>
        <v>1</v>
      </c>
      <c r="N259" s="66">
        <f t="shared" ref="N259:N322" si="8">IF(F258="T",1,0)</f>
        <v>1</v>
      </c>
      <c r="O259" s="66">
        <f t="shared" ref="O259:O322" si="9">IF(F258="F",1,0)</f>
        <v>0</v>
      </c>
    </row>
    <row r="260" spans="1:15" x14ac:dyDescent="0.3">
      <c r="A260" s="59">
        <v>3</v>
      </c>
      <c r="B260" s="59">
        <v>3</v>
      </c>
      <c r="C260" s="63">
        <v>259</v>
      </c>
      <c r="D260" s="69">
        <v>2</v>
      </c>
      <c r="E260" s="69" t="s">
        <v>80</v>
      </c>
      <c r="F260" s="70" t="s">
        <v>40</v>
      </c>
      <c r="G260" s="71" t="s">
        <v>10</v>
      </c>
      <c r="H260" s="71" t="s">
        <v>60</v>
      </c>
      <c r="I260" s="66"/>
      <c r="J260" s="65">
        <v>0</v>
      </c>
      <c r="K260" s="66"/>
      <c r="L260" s="57">
        <f>IF(Table1214[[#This Row],[modality]]=E259,1,0)</f>
        <v>0</v>
      </c>
      <c r="M260" s="66">
        <f>IF(Table1214[[#This Row],[stimulus]]=H261, 1, 0)</f>
        <v>0</v>
      </c>
      <c r="N260" s="66">
        <f t="shared" si="8"/>
        <v>0</v>
      </c>
      <c r="O260" s="66">
        <f t="shared" si="9"/>
        <v>0</v>
      </c>
    </row>
    <row r="261" spans="1:15" x14ac:dyDescent="0.3">
      <c r="A261" s="59">
        <v>3</v>
      </c>
      <c r="B261" s="59">
        <v>3</v>
      </c>
      <c r="C261" s="63">
        <v>260</v>
      </c>
      <c r="D261" s="84">
        <v>1</v>
      </c>
      <c r="E261" s="84" t="s">
        <v>81</v>
      </c>
      <c r="F261" s="84" t="s">
        <v>29</v>
      </c>
      <c r="G261" s="47" t="s">
        <v>42</v>
      </c>
      <c r="H261" s="47" t="s">
        <v>51</v>
      </c>
      <c r="I261" s="66"/>
      <c r="J261" s="65">
        <v>0</v>
      </c>
      <c r="K261" s="66"/>
      <c r="L261" s="57">
        <f>IF(Table1214[[#This Row],[modality]]=E260,1,0)</f>
        <v>0</v>
      </c>
      <c r="M261" s="66">
        <f>IF(Table1214[[#This Row],[stimulus]]=H262, 1, 0)</f>
        <v>0</v>
      </c>
      <c r="N261" s="66">
        <f t="shared" si="8"/>
        <v>1</v>
      </c>
      <c r="O261" s="66">
        <f t="shared" si="9"/>
        <v>0</v>
      </c>
    </row>
    <row r="262" spans="1:15" x14ac:dyDescent="0.3">
      <c r="A262" s="59">
        <v>3</v>
      </c>
      <c r="B262" s="59">
        <v>3</v>
      </c>
      <c r="C262" s="63">
        <v>261</v>
      </c>
      <c r="D262" s="69">
        <v>2</v>
      </c>
      <c r="E262" s="69" t="s">
        <v>80</v>
      </c>
      <c r="F262" s="70" t="s">
        <v>0</v>
      </c>
      <c r="G262" s="71" t="s">
        <v>41</v>
      </c>
      <c r="H262" s="71" t="s">
        <v>64</v>
      </c>
      <c r="I262" s="66"/>
      <c r="J262" s="66">
        <v>1</v>
      </c>
      <c r="K262" s="66" t="s">
        <v>10</v>
      </c>
      <c r="L262" s="57">
        <f>IF(Table1214[[#This Row],[modality]]=E261,1,0)</f>
        <v>0</v>
      </c>
      <c r="M262" s="66">
        <f>IF(Table1214[[#This Row],[stimulus]]=H263, 1, 0)</f>
        <v>1</v>
      </c>
      <c r="N262" s="66">
        <f t="shared" si="8"/>
        <v>0</v>
      </c>
      <c r="O262" s="66">
        <f t="shared" si="9"/>
        <v>1</v>
      </c>
    </row>
    <row r="263" spans="1:15" x14ac:dyDescent="0.3">
      <c r="A263" s="59">
        <v>3</v>
      </c>
      <c r="B263" s="59">
        <v>3</v>
      </c>
      <c r="C263" s="63">
        <v>262</v>
      </c>
      <c r="D263" s="67">
        <v>2</v>
      </c>
      <c r="E263" s="67" t="s">
        <v>80</v>
      </c>
      <c r="F263" s="68" t="s">
        <v>40</v>
      </c>
      <c r="G263" s="47" t="s">
        <v>9</v>
      </c>
      <c r="H263" s="47" t="s">
        <v>64</v>
      </c>
      <c r="I263" s="66"/>
      <c r="J263" s="65">
        <v>0</v>
      </c>
      <c r="K263" s="66"/>
      <c r="L263" s="57">
        <f>IF(Table1214[[#This Row],[modality]]=E262,1,0)</f>
        <v>1</v>
      </c>
      <c r="M263" s="66">
        <f>IF(Table1214[[#This Row],[stimulus]]=H264, 1, 0)</f>
        <v>0</v>
      </c>
      <c r="N263" s="66">
        <f t="shared" si="8"/>
        <v>0</v>
      </c>
      <c r="O263" s="66">
        <f t="shared" si="9"/>
        <v>0</v>
      </c>
    </row>
    <row r="264" spans="1:15" x14ac:dyDescent="0.3">
      <c r="A264" s="59">
        <v>3</v>
      </c>
      <c r="B264" s="59">
        <v>3</v>
      </c>
      <c r="C264" s="63">
        <v>263</v>
      </c>
      <c r="D264" s="84">
        <v>1</v>
      </c>
      <c r="E264" s="84" t="s">
        <v>81</v>
      </c>
      <c r="F264" s="84" t="s">
        <v>29</v>
      </c>
      <c r="G264" s="71" t="s">
        <v>42</v>
      </c>
      <c r="H264" s="71" t="s">
        <v>57</v>
      </c>
      <c r="I264" s="66"/>
      <c r="J264" s="65">
        <v>0</v>
      </c>
      <c r="K264" s="66"/>
      <c r="L264" s="57">
        <f>IF(Table1214[[#This Row],[modality]]=E263,1,0)</f>
        <v>0</v>
      </c>
      <c r="M264" s="66">
        <f>IF(Table1214[[#This Row],[stimulus]]=H265, 1, 0)</f>
        <v>0</v>
      </c>
      <c r="N264" s="66">
        <f t="shared" si="8"/>
        <v>1</v>
      </c>
      <c r="O264" s="66">
        <f t="shared" si="9"/>
        <v>0</v>
      </c>
    </row>
    <row r="265" spans="1:15" x14ac:dyDescent="0.3">
      <c r="A265" s="59">
        <v>3</v>
      </c>
      <c r="B265" s="59">
        <v>3</v>
      </c>
      <c r="C265" s="63">
        <v>264</v>
      </c>
      <c r="D265" s="67">
        <v>2</v>
      </c>
      <c r="E265" s="67" t="s">
        <v>80</v>
      </c>
      <c r="F265" s="68" t="s">
        <v>0</v>
      </c>
      <c r="G265" s="47" t="s">
        <v>41</v>
      </c>
      <c r="H265" s="47" t="s">
        <v>66</v>
      </c>
      <c r="I265" s="66"/>
      <c r="J265" s="66">
        <v>1</v>
      </c>
      <c r="K265" s="66" t="s">
        <v>10</v>
      </c>
      <c r="L265" s="57">
        <f>IF(Table1214[[#This Row],[modality]]=E264,1,0)</f>
        <v>0</v>
      </c>
      <c r="M265" s="66">
        <f>IF(Table1214[[#This Row],[stimulus]]=H266, 1, 0)</f>
        <v>1</v>
      </c>
      <c r="N265" s="66">
        <f t="shared" si="8"/>
        <v>0</v>
      </c>
      <c r="O265" s="66">
        <f t="shared" si="9"/>
        <v>1</v>
      </c>
    </row>
    <row r="266" spans="1:15" x14ac:dyDescent="0.3">
      <c r="A266" s="59">
        <v>3</v>
      </c>
      <c r="B266" s="59">
        <v>3</v>
      </c>
      <c r="C266" s="63">
        <v>265</v>
      </c>
      <c r="D266" s="69">
        <v>2</v>
      </c>
      <c r="E266" s="69" t="s">
        <v>80</v>
      </c>
      <c r="F266" s="70" t="s">
        <v>40</v>
      </c>
      <c r="G266" s="71" t="s">
        <v>9</v>
      </c>
      <c r="H266" s="71" t="s">
        <v>66</v>
      </c>
      <c r="I266" s="66"/>
      <c r="J266" s="65">
        <v>0</v>
      </c>
      <c r="K266" s="66"/>
      <c r="L266" s="57">
        <f>IF(Table1214[[#This Row],[modality]]=E265,1,0)</f>
        <v>1</v>
      </c>
      <c r="M266" s="66">
        <f>IF(Table1214[[#This Row],[stimulus]]=H267, 1, 0)</f>
        <v>0</v>
      </c>
      <c r="N266" s="66">
        <f t="shared" si="8"/>
        <v>0</v>
      </c>
      <c r="O266" s="66">
        <f t="shared" si="9"/>
        <v>0</v>
      </c>
    </row>
    <row r="267" spans="1:15" x14ac:dyDescent="0.3">
      <c r="A267" s="59">
        <v>3</v>
      </c>
      <c r="B267" s="59">
        <v>3</v>
      </c>
      <c r="C267" s="63">
        <v>266</v>
      </c>
      <c r="D267" s="67">
        <v>2</v>
      </c>
      <c r="E267" s="67" t="s">
        <v>80</v>
      </c>
      <c r="F267" s="68" t="s">
        <v>0</v>
      </c>
      <c r="G267" s="47" t="s">
        <v>41</v>
      </c>
      <c r="H267" s="47" t="s">
        <v>63</v>
      </c>
      <c r="I267" s="66"/>
      <c r="J267" s="65">
        <v>0</v>
      </c>
      <c r="K267" s="66"/>
      <c r="L267" s="57">
        <f>IF(Table1214[[#This Row],[modality]]=E266,1,0)</f>
        <v>1</v>
      </c>
      <c r="M267" s="66">
        <f>IF(Table1214[[#This Row],[stimulus]]=H268, 1, 0)</f>
        <v>1</v>
      </c>
      <c r="N267" s="66">
        <f t="shared" si="8"/>
        <v>1</v>
      </c>
      <c r="O267" s="66">
        <f t="shared" si="9"/>
        <v>0</v>
      </c>
    </row>
    <row r="268" spans="1:15" x14ac:dyDescent="0.3">
      <c r="A268" s="59">
        <v>3</v>
      </c>
      <c r="B268" s="59">
        <v>3</v>
      </c>
      <c r="C268" s="63">
        <v>267</v>
      </c>
      <c r="D268" s="69">
        <v>1</v>
      </c>
      <c r="E268" s="69" t="s">
        <v>81</v>
      </c>
      <c r="F268" s="70" t="s">
        <v>40</v>
      </c>
      <c r="G268" s="71" t="s">
        <v>10</v>
      </c>
      <c r="H268" s="71" t="s">
        <v>63</v>
      </c>
      <c r="I268" s="66"/>
      <c r="J268" s="65">
        <v>0</v>
      </c>
      <c r="K268" s="66"/>
      <c r="L268" s="57">
        <f>IF(Table1214[[#This Row],[modality]]=E267,1,0)</f>
        <v>0</v>
      </c>
      <c r="M268" s="66">
        <f>IF(Table1214[[#This Row],[stimulus]]=H269, 1, 0)</f>
        <v>0</v>
      </c>
      <c r="N268" s="66">
        <f t="shared" si="8"/>
        <v>0</v>
      </c>
      <c r="O268" s="66">
        <f t="shared" si="9"/>
        <v>0</v>
      </c>
    </row>
    <row r="269" spans="1:15" x14ac:dyDescent="0.3">
      <c r="A269" s="59">
        <v>3</v>
      </c>
      <c r="B269" s="59">
        <v>3</v>
      </c>
      <c r="C269" s="63">
        <v>268</v>
      </c>
      <c r="D269" s="84">
        <v>2</v>
      </c>
      <c r="E269" s="84" t="s">
        <v>80</v>
      </c>
      <c r="F269" s="84" t="s">
        <v>29</v>
      </c>
      <c r="G269" s="47" t="s">
        <v>42</v>
      </c>
      <c r="H269" s="47" t="s">
        <v>55</v>
      </c>
      <c r="I269" s="66"/>
      <c r="J269" s="65">
        <v>0</v>
      </c>
      <c r="K269" s="66"/>
      <c r="L269" s="57">
        <f>IF(Table1214[[#This Row],[modality]]=E268,1,0)</f>
        <v>0</v>
      </c>
      <c r="M269" s="66">
        <f>IF(Table1214[[#This Row],[stimulus]]=H270, 1, 0)</f>
        <v>0</v>
      </c>
      <c r="N269" s="66">
        <f t="shared" si="8"/>
        <v>1</v>
      </c>
      <c r="O269" s="66">
        <f t="shared" si="9"/>
        <v>0</v>
      </c>
    </row>
    <row r="270" spans="1:15" x14ac:dyDescent="0.3">
      <c r="A270" s="59">
        <v>3</v>
      </c>
      <c r="B270" s="59">
        <v>3</v>
      </c>
      <c r="C270" s="63">
        <v>269</v>
      </c>
      <c r="D270" s="84">
        <v>1</v>
      </c>
      <c r="E270" s="84" t="s">
        <v>81</v>
      </c>
      <c r="F270" s="84" t="s">
        <v>29</v>
      </c>
      <c r="G270" s="71" t="s">
        <v>42</v>
      </c>
      <c r="H270" s="71" t="s">
        <v>54</v>
      </c>
      <c r="I270" s="66"/>
      <c r="J270" s="66">
        <v>1</v>
      </c>
      <c r="K270" s="66" t="s">
        <v>10</v>
      </c>
      <c r="L270" s="57">
        <f>IF(Table1214[[#This Row],[modality]]=E269,1,0)</f>
        <v>0</v>
      </c>
      <c r="M270" s="66">
        <f>IF(Table1214[[#This Row],[stimulus]]=H271, 1, 0)</f>
        <v>0</v>
      </c>
      <c r="N270" s="66">
        <f t="shared" si="8"/>
        <v>0</v>
      </c>
      <c r="O270" s="66">
        <f t="shared" si="9"/>
        <v>1</v>
      </c>
    </row>
    <row r="271" spans="1:15" x14ac:dyDescent="0.3">
      <c r="A271" s="59">
        <v>3</v>
      </c>
      <c r="B271" s="59">
        <v>3</v>
      </c>
      <c r="C271" s="63">
        <v>270</v>
      </c>
      <c r="D271" s="57">
        <v>1</v>
      </c>
      <c r="E271" s="57" t="s">
        <v>81</v>
      </c>
      <c r="F271" s="65" t="s">
        <v>0</v>
      </c>
      <c r="G271" s="58" t="s">
        <v>41</v>
      </c>
      <c r="H271" s="58" t="s">
        <v>61</v>
      </c>
      <c r="I271" s="66"/>
      <c r="J271" s="65">
        <v>0</v>
      </c>
      <c r="K271" s="66"/>
      <c r="L271" s="57">
        <f>IF(Table1214[[#This Row],[modality]]=E270,1,0)</f>
        <v>1</v>
      </c>
      <c r="M271" s="66">
        <f>IF(Table1214[[#This Row],[stimulus]]=H272, 1, 0)</f>
        <v>1</v>
      </c>
      <c r="N271" s="66">
        <f t="shared" si="8"/>
        <v>0</v>
      </c>
      <c r="O271" s="66">
        <f t="shared" si="9"/>
        <v>1</v>
      </c>
    </row>
    <row r="272" spans="1:15" x14ac:dyDescent="0.3">
      <c r="A272" s="59">
        <v>3</v>
      </c>
      <c r="B272" s="59">
        <v>3</v>
      </c>
      <c r="C272" s="63">
        <v>271</v>
      </c>
      <c r="D272" s="67">
        <v>1</v>
      </c>
      <c r="E272" s="67" t="s">
        <v>81</v>
      </c>
      <c r="F272" s="68" t="s">
        <v>40</v>
      </c>
      <c r="G272" s="47" t="s">
        <v>9</v>
      </c>
      <c r="H272" s="47" t="s">
        <v>61</v>
      </c>
      <c r="I272" s="66"/>
      <c r="J272" s="65">
        <v>0</v>
      </c>
      <c r="K272" s="66"/>
      <c r="L272" s="57">
        <f>IF(Table1214[[#This Row],[modality]]=E271,1,0)</f>
        <v>1</v>
      </c>
      <c r="M272" s="66">
        <f>IF(Table1214[[#This Row],[stimulus]]=H273, 1, 0)</f>
        <v>0</v>
      </c>
      <c r="N272" s="66">
        <f t="shared" si="8"/>
        <v>0</v>
      </c>
      <c r="O272" s="66">
        <f t="shared" si="9"/>
        <v>0</v>
      </c>
    </row>
    <row r="273" spans="1:15" x14ac:dyDescent="0.3">
      <c r="A273" s="59">
        <v>3</v>
      </c>
      <c r="B273" s="59">
        <v>3</v>
      </c>
      <c r="C273" s="63">
        <v>272</v>
      </c>
      <c r="D273" s="84">
        <v>2</v>
      </c>
      <c r="E273" s="84" t="s">
        <v>80</v>
      </c>
      <c r="F273" s="84" t="s">
        <v>29</v>
      </c>
      <c r="G273" s="58" t="s">
        <v>42</v>
      </c>
      <c r="H273" s="58" t="s">
        <v>56</v>
      </c>
      <c r="I273" s="66"/>
      <c r="J273" s="66">
        <v>1</v>
      </c>
      <c r="K273" s="66" t="s">
        <v>10</v>
      </c>
      <c r="L273" s="57">
        <f>IF(Table1214[[#This Row],[modality]]=E272,1,0)</f>
        <v>0</v>
      </c>
      <c r="M273" s="66">
        <f>IF(Table1214[[#This Row],[stimulus]]=H274, 1, 0)</f>
        <v>0</v>
      </c>
      <c r="N273" s="66">
        <f t="shared" si="8"/>
        <v>1</v>
      </c>
      <c r="O273" s="66">
        <f t="shared" si="9"/>
        <v>0</v>
      </c>
    </row>
    <row r="274" spans="1:15" x14ac:dyDescent="0.3">
      <c r="A274" s="59">
        <v>3</v>
      </c>
      <c r="B274" s="59">
        <v>3</v>
      </c>
      <c r="C274" s="63">
        <v>273</v>
      </c>
      <c r="D274" s="67">
        <v>1</v>
      </c>
      <c r="E274" s="67" t="s">
        <v>81</v>
      </c>
      <c r="F274" s="68" t="s">
        <v>0</v>
      </c>
      <c r="G274" s="47" t="s">
        <v>41</v>
      </c>
      <c r="H274" s="47" t="s">
        <v>59</v>
      </c>
      <c r="I274" s="66"/>
      <c r="J274" s="66">
        <v>1</v>
      </c>
      <c r="K274" s="66" t="s">
        <v>10</v>
      </c>
      <c r="L274" s="57">
        <f>IF(Table1214[[#This Row],[modality]]=E273,1,0)</f>
        <v>0</v>
      </c>
      <c r="M274" s="66">
        <f>IF(Table1214[[#This Row],[stimulus]]=H275, 1, 0)</f>
        <v>1</v>
      </c>
      <c r="N274" s="66">
        <f t="shared" si="8"/>
        <v>0</v>
      </c>
      <c r="O274" s="66">
        <f t="shared" si="9"/>
        <v>1</v>
      </c>
    </row>
    <row r="275" spans="1:15" x14ac:dyDescent="0.3">
      <c r="A275" s="59">
        <v>3</v>
      </c>
      <c r="B275" s="59">
        <v>3</v>
      </c>
      <c r="C275" s="63">
        <v>274</v>
      </c>
      <c r="D275" s="57">
        <v>1</v>
      </c>
      <c r="E275" s="57" t="s">
        <v>81</v>
      </c>
      <c r="F275" s="65" t="s">
        <v>40</v>
      </c>
      <c r="G275" s="58" t="s">
        <v>9</v>
      </c>
      <c r="H275" s="58" t="s">
        <v>59</v>
      </c>
      <c r="I275" s="66"/>
      <c r="J275" s="65">
        <v>0</v>
      </c>
      <c r="K275" s="66"/>
      <c r="L275" s="57">
        <f>IF(Table1214[[#This Row],[modality]]=E274,1,0)</f>
        <v>1</v>
      </c>
      <c r="M275" s="66">
        <f>IF(Table1214[[#This Row],[stimulus]]=H276, 1, 0)</f>
        <v>0</v>
      </c>
      <c r="N275" s="66">
        <f t="shared" si="8"/>
        <v>0</v>
      </c>
      <c r="O275" s="66">
        <f t="shared" si="9"/>
        <v>0</v>
      </c>
    </row>
    <row r="276" spans="1:15" x14ac:dyDescent="0.3">
      <c r="A276" s="59">
        <v>3</v>
      </c>
      <c r="B276" s="59">
        <v>3</v>
      </c>
      <c r="C276" s="63">
        <v>275</v>
      </c>
      <c r="D276" s="84">
        <v>2</v>
      </c>
      <c r="E276" s="84" t="s">
        <v>80</v>
      </c>
      <c r="F276" s="84" t="s">
        <v>29</v>
      </c>
      <c r="G276" s="47" t="s">
        <v>42</v>
      </c>
      <c r="H276" s="47" t="s">
        <v>58</v>
      </c>
      <c r="I276" s="66"/>
      <c r="J276" s="65">
        <v>0</v>
      </c>
      <c r="K276" s="66"/>
      <c r="L276" s="57">
        <f>IF(Table1214[[#This Row],[modality]]=E275,1,0)</f>
        <v>0</v>
      </c>
      <c r="M276" s="66">
        <f>IF(Table1214[[#This Row],[stimulus]]=H277, 1, 0)</f>
        <v>0</v>
      </c>
      <c r="N276" s="66">
        <f t="shared" si="8"/>
        <v>1</v>
      </c>
      <c r="O276" s="66">
        <f t="shared" si="9"/>
        <v>0</v>
      </c>
    </row>
    <row r="277" spans="1:15" x14ac:dyDescent="0.3">
      <c r="A277" s="58">
        <v>4</v>
      </c>
      <c r="B277" s="59">
        <v>3</v>
      </c>
      <c r="C277" s="63">
        <v>276</v>
      </c>
      <c r="D277" s="57">
        <v>1</v>
      </c>
      <c r="E277" s="57" t="s">
        <v>81</v>
      </c>
      <c r="F277" s="65" t="s">
        <v>0</v>
      </c>
      <c r="G277" s="58" t="s">
        <v>41</v>
      </c>
      <c r="H277" s="58" t="s">
        <v>71</v>
      </c>
      <c r="I277" s="66"/>
      <c r="J277" s="65">
        <v>0</v>
      </c>
      <c r="K277" s="66"/>
      <c r="L277" s="57">
        <f>IF(Table1214[[#This Row],[modality]]=E276,1,0)</f>
        <v>0</v>
      </c>
      <c r="M277" s="66">
        <f>IF(Table1214[[#This Row],[stimulus]]=H278, 1, 0)</f>
        <v>1</v>
      </c>
      <c r="N277" s="66">
        <f t="shared" si="8"/>
        <v>0</v>
      </c>
      <c r="O277" s="66">
        <f t="shared" si="9"/>
        <v>1</v>
      </c>
    </row>
    <row r="278" spans="1:15" x14ac:dyDescent="0.3">
      <c r="A278" s="58">
        <v>4</v>
      </c>
      <c r="B278" s="59">
        <v>3</v>
      </c>
      <c r="C278" s="63">
        <v>277</v>
      </c>
      <c r="D278" s="67">
        <v>1</v>
      </c>
      <c r="E278" s="67" t="s">
        <v>81</v>
      </c>
      <c r="F278" s="68" t="s">
        <v>40</v>
      </c>
      <c r="G278" s="47" t="s">
        <v>9</v>
      </c>
      <c r="H278" s="47" t="s">
        <v>71</v>
      </c>
      <c r="I278" s="66"/>
      <c r="J278" s="65">
        <v>0</v>
      </c>
      <c r="K278" s="66"/>
      <c r="L278" s="57">
        <f>IF(Table1214[[#This Row],[modality]]=E277,1,0)</f>
        <v>1</v>
      </c>
      <c r="M278" s="66">
        <f>IF(Table1214[[#This Row],[stimulus]]=H279, 1, 0)</f>
        <v>0</v>
      </c>
      <c r="N278" s="66">
        <f t="shared" si="8"/>
        <v>0</v>
      </c>
      <c r="O278" s="66">
        <f t="shared" si="9"/>
        <v>0</v>
      </c>
    </row>
    <row r="279" spans="1:15" x14ac:dyDescent="0.3">
      <c r="A279" s="58">
        <v>4</v>
      </c>
      <c r="B279" s="59">
        <v>3</v>
      </c>
      <c r="C279" s="63">
        <v>278</v>
      </c>
      <c r="D279" s="91">
        <v>2</v>
      </c>
      <c r="E279" s="91" t="s">
        <v>80</v>
      </c>
      <c r="F279" s="91" t="s">
        <v>29</v>
      </c>
      <c r="G279" s="58" t="s">
        <v>42</v>
      </c>
      <c r="H279" s="58" t="s">
        <v>62</v>
      </c>
      <c r="I279" s="66"/>
      <c r="J279" s="65">
        <v>0</v>
      </c>
      <c r="K279" s="66"/>
      <c r="L279" s="57">
        <f>IF(Table1214[[#This Row],[modality]]=E278,1,0)</f>
        <v>0</v>
      </c>
      <c r="M279" s="66">
        <f>IF(Table1214[[#This Row],[stimulus]]=H280, 1, 0)</f>
        <v>0</v>
      </c>
      <c r="N279" s="66">
        <f t="shared" si="8"/>
        <v>1</v>
      </c>
      <c r="O279" s="66">
        <f t="shared" si="9"/>
        <v>0</v>
      </c>
    </row>
    <row r="280" spans="1:15" x14ac:dyDescent="0.3">
      <c r="A280" s="58">
        <v>4</v>
      </c>
      <c r="B280" s="59">
        <v>3</v>
      </c>
      <c r="C280" s="63">
        <v>279</v>
      </c>
      <c r="D280" s="67">
        <v>1</v>
      </c>
      <c r="E280" s="67" t="s">
        <v>81</v>
      </c>
      <c r="F280" s="68" t="s">
        <v>0</v>
      </c>
      <c r="G280" s="47" t="s">
        <v>41</v>
      </c>
      <c r="H280" s="47" t="s">
        <v>69</v>
      </c>
      <c r="I280" s="66"/>
      <c r="J280" s="66">
        <v>1</v>
      </c>
      <c r="K280" s="66" t="s">
        <v>10</v>
      </c>
      <c r="L280" s="57">
        <f>IF(Table1214[[#This Row],[modality]]=E279,1,0)</f>
        <v>0</v>
      </c>
      <c r="M280" s="66">
        <f>IF(Table1214[[#This Row],[stimulus]]=H281, 1, 0)</f>
        <v>1</v>
      </c>
      <c r="N280" s="66">
        <f t="shared" si="8"/>
        <v>0</v>
      </c>
      <c r="O280" s="66">
        <f t="shared" si="9"/>
        <v>1</v>
      </c>
    </row>
    <row r="281" spans="1:15" x14ac:dyDescent="0.3">
      <c r="A281" s="58">
        <v>4</v>
      </c>
      <c r="B281" s="59">
        <v>3</v>
      </c>
      <c r="C281" s="63">
        <v>280</v>
      </c>
      <c r="D281" s="57">
        <v>2</v>
      </c>
      <c r="E281" s="57" t="s">
        <v>80</v>
      </c>
      <c r="F281" s="65" t="s">
        <v>40</v>
      </c>
      <c r="G281" s="58" t="s">
        <v>10</v>
      </c>
      <c r="H281" s="58" t="s">
        <v>69</v>
      </c>
      <c r="I281" s="66"/>
      <c r="J281" s="65">
        <v>0</v>
      </c>
      <c r="K281" s="66"/>
      <c r="L281" s="57">
        <f>IF(Table1214[[#This Row],[modality]]=E280,1,0)</f>
        <v>0</v>
      </c>
      <c r="M281" s="66">
        <f>IF(Table1214[[#This Row],[stimulus]]=H282, 1, 0)</f>
        <v>0</v>
      </c>
      <c r="N281" s="66">
        <f t="shared" si="8"/>
        <v>0</v>
      </c>
      <c r="O281" s="66">
        <f t="shared" si="9"/>
        <v>0</v>
      </c>
    </row>
    <row r="282" spans="1:15" x14ac:dyDescent="0.3">
      <c r="A282" s="58">
        <v>4</v>
      </c>
      <c r="B282" s="59">
        <v>3</v>
      </c>
      <c r="C282" s="63">
        <v>281</v>
      </c>
      <c r="D282" s="67">
        <v>2</v>
      </c>
      <c r="E282" s="67" t="s">
        <v>80</v>
      </c>
      <c r="F282" s="68" t="s">
        <v>0</v>
      </c>
      <c r="G282" s="47" t="s">
        <v>41</v>
      </c>
      <c r="H282" s="47" t="s">
        <v>73</v>
      </c>
      <c r="I282" s="66"/>
      <c r="J282" s="66">
        <v>1</v>
      </c>
      <c r="K282" s="66" t="s">
        <v>9</v>
      </c>
      <c r="L282" s="57">
        <f>IF(Table1214[[#This Row],[modality]]=E281,1,0)</f>
        <v>1</v>
      </c>
      <c r="M282" s="66">
        <f>IF(Table1214[[#This Row],[stimulus]]=H283, 1, 0)</f>
        <v>1</v>
      </c>
      <c r="N282" s="66">
        <f t="shared" si="8"/>
        <v>1</v>
      </c>
      <c r="O282" s="66">
        <f t="shared" si="9"/>
        <v>0</v>
      </c>
    </row>
    <row r="283" spans="1:15" x14ac:dyDescent="0.3">
      <c r="A283" s="58">
        <v>4</v>
      </c>
      <c r="B283" s="59">
        <v>3</v>
      </c>
      <c r="C283" s="63">
        <v>282</v>
      </c>
      <c r="D283" s="57">
        <v>2</v>
      </c>
      <c r="E283" s="57" t="s">
        <v>80</v>
      </c>
      <c r="F283" s="65" t="s">
        <v>40</v>
      </c>
      <c r="G283" s="58" t="s">
        <v>9</v>
      </c>
      <c r="H283" s="58" t="s">
        <v>73</v>
      </c>
      <c r="I283" s="66"/>
      <c r="J283" s="65">
        <v>0</v>
      </c>
      <c r="K283" s="66"/>
      <c r="L283" s="57">
        <f>IF(Table1214[[#This Row],[modality]]=E282,1,0)</f>
        <v>1</v>
      </c>
      <c r="M283" s="66">
        <f>IF(Table1214[[#This Row],[stimulus]]=H284, 1, 0)</f>
        <v>0</v>
      </c>
      <c r="N283" s="66">
        <f t="shared" si="8"/>
        <v>0</v>
      </c>
      <c r="O283" s="66">
        <f t="shared" si="9"/>
        <v>0</v>
      </c>
    </row>
    <row r="284" spans="1:15" x14ac:dyDescent="0.3">
      <c r="A284" s="58">
        <v>4</v>
      </c>
      <c r="B284" s="59">
        <v>3</v>
      </c>
      <c r="C284" s="63">
        <v>283</v>
      </c>
      <c r="D284" s="91">
        <v>1</v>
      </c>
      <c r="E284" s="91" t="s">
        <v>81</v>
      </c>
      <c r="F284" s="91" t="s">
        <v>29</v>
      </c>
      <c r="G284" s="47" t="s">
        <v>42</v>
      </c>
      <c r="H284" s="47" t="s">
        <v>65</v>
      </c>
      <c r="I284" s="66"/>
      <c r="J284" s="65">
        <v>0</v>
      </c>
      <c r="K284" s="66"/>
      <c r="L284" s="57">
        <f>IF(Table1214[[#This Row],[modality]]=E283,1,0)</f>
        <v>0</v>
      </c>
      <c r="M284" s="66">
        <f>IF(Table1214[[#This Row],[stimulus]]=H285, 1, 0)</f>
        <v>0</v>
      </c>
      <c r="N284" s="66">
        <f t="shared" si="8"/>
        <v>1</v>
      </c>
      <c r="O284" s="66">
        <f t="shared" si="9"/>
        <v>0</v>
      </c>
    </row>
    <row r="285" spans="1:15" x14ac:dyDescent="0.3">
      <c r="A285" s="58">
        <v>4</v>
      </c>
      <c r="B285" s="59">
        <v>3</v>
      </c>
      <c r="C285" s="63">
        <v>284</v>
      </c>
      <c r="D285" s="91">
        <v>2</v>
      </c>
      <c r="E285" s="91" t="s">
        <v>80</v>
      </c>
      <c r="F285" s="91" t="s">
        <v>29</v>
      </c>
      <c r="G285" s="58" t="s">
        <v>42</v>
      </c>
      <c r="H285" s="58" t="s">
        <v>60</v>
      </c>
      <c r="I285" s="66"/>
      <c r="J285" s="65">
        <v>0</v>
      </c>
      <c r="K285" s="66"/>
      <c r="L285" s="57">
        <f>IF(Table1214[[#This Row],[modality]]=E284,1,0)</f>
        <v>0</v>
      </c>
      <c r="M285" s="66">
        <f>IF(Table1214[[#This Row],[stimulus]]=H286, 1, 0)</f>
        <v>0</v>
      </c>
      <c r="N285" s="66">
        <f t="shared" si="8"/>
        <v>0</v>
      </c>
      <c r="O285" s="66">
        <f t="shared" si="9"/>
        <v>1</v>
      </c>
    </row>
    <row r="286" spans="1:15" x14ac:dyDescent="0.3">
      <c r="A286" s="58">
        <v>4</v>
      </c>
      <c r="B286" s="59">
        <v>3</v>
      </c>
      <c r="C286" s="63">
        <v>285</v>
      </c>
      <c r="D286" s="67">
        <v>2</v>
      </c>
      <c r="E286" s="67" t="s">
        <v>80</v>
      </c>
      <c r="F286" s="68" t="s">
        <v>0</v>
      </c>
      <c r="G286" s="47" t="s">
        <v>41</v>
      </c>
      <c r="H286" s="47" t="s">
        <v>70</v>
      </c>
      <c r="I286" s="66"/>
      <c r="J286" s="66">
        <v>1</v>
      </c>
      <c r="K286" s="66" t="s">
        <v>9</v>
      </c>
      <c r="L286" s="57">
        <f>IF(Table1214[[#This Row],[modality]]=E285,1,0)</f>
        <v>1</v>
      </c>
      <c r="M286" s="66">
        <f>IF(Table1214[[#This Row],[stimulus]]=H287, 1, 0)</f>
        <v>1</v>
      </c>
      <c r="N286" s="66">
        <f t="shared" si="8"/>
        <v>0</v>
      </c>
      <c r="O286" s="66">
        <f t="shared" si="9"/>
        <v>1</v>
      </c>
    </row>
    <row r="287" spans="1:15" x14ac:dyDescent="0.3">
      <c r="A287" s="58">
        <v>4</v>
      </c>
      <c r="B287" s="59">
        <v>3</v>
      </c>
      <c r="C287" s="63">
        <v>286</v>
      </c>
      <c r="D287" s="57">
        <v>1</v>
      </c>
      <c r="E287" s="57" t="s">
        <v>81</v>
      </c>
      <c r="F287" s="65" t="s">
        <v>40</v>
      </c>
      <c r="G287" s="58" t="s">
        <v>10</v>
      </c>
      <c r="H287" s="58" t="s">
        <v>70</v>
      </c>
      <c r="I287" s="66"/>
      <c r="J287" s="65">
        <v>0</v>
      </c>
      <c r="K287" s="66"/>
      <c r="L287" s="57">
        <f>IF(Table1214[[#This Row],[modality]]=E286,1,0)</f>
        <v>0</v>
      </c>
      <c r="M287" s="66">
        <f>IF(Table1214[[#This Row],[stimulus]]=H288, 1, 0)</f>
        <v>0</v>
      </c>
      <c r="N287" s="66">
        <f t="shared" si="8"/>
        <v>0</v>
      </c>
      <c r="O287" s="66">
        <f t="shared" si="9"/>
        <v>0</v>
      </c>
    </row>
    <row r="288" spans="1:15" x14ac:dyDescent="0.3">
      <c r="A288" s="58">
        <v>4</v>
      </c>
      <c r="B288" s="59">
        <v>3</v>
      </c>
      <c r="C288" s="63">
        <v>287</v>
      </c>
      <c r="D288" s="67">
        <v>1</v>
      </c>
      <c r="E288" s="67" t="s">
        <v>81</v>
      </c>
      <c r="F288" s="68" t="s">
        <v>0</v>
      </c>
      <c r="G288" s="47" t="s">
        <v>41</v>
      </c>
      <c r="H288" s="47" t="s">
        <v>74</v>
      </c>
      <c r="I288" s="66"/>
      <c r="J288" s="65">
        <v>0</v>
      </c>
      <c r="K288" s="66"/>
      <c r="L288" s="57">
        <f>IF(Table1214[[#This Row],[modality]]=E287,1,0)</f>
        <v>1</v>
      </c>
      <c r="M288" s="66">
        <f>IF(Table1214[[#This Row],[stimulus]]=H289, 1, 0)</f>
        <v>1</v>
      </c>
      <c r="N288" s="66">
        <f t="shared" si="8"/>
        <v>1</v>
      </c>
      <c r="O288" s="66">
        <f t="shared" si="9"/>
        <v>0</v>
      </c>
    </row>
    <row r="289" spans="1:15" x14ac:dyDescent="0.3">
      <c r="A289" s="58">
        <v>4</v>
      </c>
      <c r="B289" s="59">
        <v>3</v>
      </c>
      <c r="C289" s="63">
        <v>288</v>
      </c>
      <c r="D289" s="57">
        <v>2</v>
      </c>
      <c r="E289" s="57" t="s">
        <v>80</v>
      </c>
      <c r="F289" s="65" t="s">
        <v>40</v>
      </c>
      <c r="G289" s="58" t="s">
        <v>10</v>
      </c>
      <c r="H289" s="58" t="s">
        <v>74</v>
      </c>
      <c r="I289" s="66"/>
      <c r="J289" s="65">
        <v>0</v>
      </c>
      <c r="K289" s="66"/>
      <c r="L289" s="57">
        <f>IF(Table1214[[#This Row],[modality]]=E288,1,0)</f>
        <v>0</v>
      </c>
      <c r="M289" s="66">
        <f>IF(Table1214[[#This Row],[stimulus]]=H290, 1, 0)</f>
        <v>0</v>
      </c>
      <c r="N289" s="66">
        <f t="shared" si="8"/>
        <v>0</v>
      </c>
      <c r="O289" s="66">
        <f t="shared" si="9"/>
        <v>0</v>
      </c>
    </row>
    <row r="290" spans="1:15" x14ac:dyDescent="0.3">
      <c r="A290" s="58">
        <v>4</v>
      </c>
      <c r="B290" s="59">
        <v>3</v>
      </c>
      <c r="C290" s="63">
        <v>289</v>
      </c>
      <c r="D290" s="91">
        <v>1</v>
      </c>
      <c r="E290" s="91" t="s">
        <v>81</v>
      </c>
      <c r="F290" s="91" t="s">
        <v>29</v>
      </c>
      <c r="G290" s="47" t="s">
        <v>42</v>
      </c>
      <c r="H290" s="47" t="s">
        <v>64</v>
      </c>
      <c r="I290" s="66"/>
      <c r="J290" s="66">
        <v>1</v>
      </c>
      <c r="K290" s="66" t="s">
        <v>10</v>
      </c>
      <c r="L290" s="57">
        <f>IF(Table1214[[#This Row],[modality]]=E289,1,0)</f>
        <v>0</v>
      </c>
      <c r="M290" s="66">
        <f>IF(Table1214[[#This Row],[stimulus]]=H291, 1, 0)</f>
        <v>0</v>
      </c>
      <c r="N290" s="66">
        <f t="shared" si="8"/>
        <v>1</v>
      </c>
      <c r="O290" s="66">
        <f t="shared" si="9"/>
        <v>0</v>
      </c>
    </row>
    <row r="291" spans="1:15" x14ac:dyDescent="0.3">
      <c r="A291" s="58">
        <v>4</v>
      </c>
      <c r="B291" s="59">
        <v>3</v>
      </c>
      <c r="C291" s="63">
        <v>290</v>
      </c>
      <c r="D291" s="57">
        <v>2</v>
      </c>
      <c r="E291" s="57" t="s">
        <v>80</v>
      </c>
      <c r="F291" s="65" t="s">
        <v>0</v>
      </c>
      <c r="G291" s="58" t="s">
        <v>41</v>
      </c>
      <c r="H291" s="58" t="s">
        <v>67</v>
      </c>
      <c r="I291" s="66"/>
      <c r="J291" s="66">
        <v>1</v>
      </c>
      <c r="K291" s="66" t="s">
        <v>10</v>
      </c>
      <c r="L291" s="57">
        <f>IF(Table1214[[#This Row],[modality]]=E290,1,0)</f>
        <v>0</v>
      </c>
      <c r="M291" s="66">
        <f>IF(Table1214[[#This Row],[stimulus]]=H292, 1, 0)</f>
        <v>1</v>
      </c>
      <c r="N291" s="66">
        <f t="shared" si="8"/>
        <v>0</v>
      </c>
      <c r="O291" s="66">
        <f t="shared" si="9"/>
        <v>1</v>
      </c>
    </row>
    <row r="292" spans="1:15" x14ac:dyDescent="0.3">
      <c r="A292" s="58">
        <v>4</v>
      </c>
      <c r="B292" s="59">
        <v>3</v>
      </c>
      <c r="C292" s="63">
        <v>291</v>
      </c>
      <c r="D292" s="67">
        <v>2</v>
      </c>
      <c r="E292" s="67" t="s">
        <v>80</v>
      </c>
      <c r="F292" s="68" t="s">
        <v>40</v>
      </c>
      <c r="G292" s="47" t="s">
        <v>9</v>
      </c>
      <c r="H292" s="47" t="s">
        <v>67</v>
      </c>
      <c r="I292" s="66"/>
      <c r="J292" s="65">
        <v>0</v>
      </c>
      <c r="K292" s="66"/>
      <c r="L292" s="57">
        <f>IF(Table1214[[#This Row],[modality]]=E291,1,0)</f>
        <v>1</v>
      </c>
      <c r="M292" s="66">
        <f>IF(Table1214[[#This Row],[stimulus]]=H293, 1, 0)</f>
        <v>0</v>
      </c>
      <c r="N292" s="66">
        <f t="shared" si="8"/>
        <v>0</v>
      </c>
      <c r="O292" s="66">
        <f t="shared" si="9"/>
        <v>0</v>
      </c>
    </row>
    <row r="293" spans="1:15" x14ac:dyDescent="0.3">
      <c r="A293" s="58">
        <v>4</v>
      </c>
      <c r="B293" s="59">
        <v>3</v>
      </c>
      <c r="C293" s="63">
        <v>292</v>
      </c>
      <c r="D293" s="91">
        <v>1</v>
      </c>
      <c r="E293" s="91" t="s">
        <v>81</v>
      </c>
      <c r="F293" s="91" t="s">
        <v>29</v>
      </c>
      <c r="G293" s="58" t="s">
        <v>42</v>
      </c>
      <c r="H293" s="58" t="s">
        <v>66</v>
      </c>
      <c r="I293" s="66"/>
      <c r="J293" s="65">
        <v>0</v>
      </c>
      <c r="K293" s="66"/>
      <c r="L293" s="57">
        <f>IF(Table1214[[#This Row],[modality]]=E292,1,0)</f>
        <v>0</v>
      </c>
      <c r="M293" s="66">
        <f>IF(Table1214[[#This Row],[stimulus]]=H294, 1, 0)</f>
        <v>0</v>
      </c>
      <c r="N293" s="66">
        <f t="shared" si="8"/>
        <v>1</v>
      </c>
      <c r="O293" s="66">
        <f t="shared" si="9"/>
        <v>0</v>
      </c>
    </row>
    <row r="294" spans="1:15" x14ac:dyDescent="0.3">
      <c r="A294" s="58">
        <v>4</v>
      </c>
      <c r="B294" s="59">
        <v>3</v>
      </c>
      <c r="C294" s="63">
        <v>293</v>
      </c>
      <c r="D294" s="91">
        <v>2</v>
      </c>
      <c r="E294" s="91" t="s">
        <v>80</v>
      </c>
      <c r="F294" s="91" t="s">
        <v>29</v>
      </c>
      <c r="G294" s="47" t="s">
        <v>42</v>
      </c>
      <c r="H294" s="47" t="s">
        <v>59</v>
      </c>
      <c r="I294" s="66"/>
      <c r="J294" s="65">
        <v>0</v>
      </c>
      <c r="K294" s="66"/>
      <c r="L294" s="57">
        <f>IF(Table1214[[#This Row],[modality]]=E293,1,0)</f>
        <v>0</v>
      </c>
      <c r="M294" s="66">
        <f>IF(Table1214[[#This Row],[stimulus]]=H295, 1, 0)</f>
        <v>0</v>
      </c>
      <c r="N294" s="66">
        <f t="shared" si="8"/>
        <v>0</v>
      </c>
      <c r="O294" s="66">
        <f t="shared" si="9"/>
        <v>1</v>
      </c>
    </row>
    <row r="295" spans="1:15" x14ac:dyDescent="0.3">
      <c r="A295" s="58">
        <v>4</v>
      </c>
      <c r="B295" s="59">
        <v>3</v>
      </c>
      <c r="C295" s="63">
        <v>294</v>
      </c>
      <c r="D295" s="67">
        <v>2</v>
      </c>
      <c r="E295" s="67" t="s">
        <v>80</v>
      </c>
      <c r="F295" s="68" t="s">
        <v>0</v>
      </c>
      <c r="G295" s="47" t="s">
        <v>41</v>
      </c>
      <c r="H295" s="47" t="s">
        <v>72</v>
      </c>
      <c r="I295" s="66"/>
      <c r="J295" s="66">
        <v>1</v>
      </c>
      <c r="K295" s="66" t="s">
        <v>9</v>
      </c>
      <c r="L295" s="57">
        <f>IF(Table1214[[#This Row],[modality]]=E294,1,0)</f>
        <v>1</v>
      </c>
      <c r="M295" s="66">
        <f>IF(Table1214[[#This Row],[stimulus]]=H296, 1, 0)</f>
        <v>1</v>
      </c>
      <c r="N295" s="66">
        <f t="shared" si="8"/>
        <v>0</v>
      </c>
      <c r="O295" s="66">
        <f t="shared" si="9"/>
        <v>1</v>
      </c>
    </row>
    <row r="296" spans="1:15" x14ac:dyDescent="0.3">
      <c r="A296" s="58">
        <v>4</v>
      </c>
      <c r="B296" s="59">
        <v>3</v>
      </c>
      <c r="C296" s="63">
        <v>295</v>
      </c>
      <c r="D296" s="69">
        <v>1</v>
      </c>
      <c r="E296" s="69" t="s">
        <v>81</v>
      </c>
      <c r="F296" s="70" t="s">
        <v>40</v>
      </c>
      <c r="G296" s="71" t="s">
        <v>10</v>
      </c>
      <c r="H296" s="71" t="s">
        <v>72</v>
      </c>
      <c r="I296" s="66"/>
      <c r="J296" s="65">
        <v>0</v>
      </c>
      <c r="K296" s="66"/>
      <c r="L296" s="57">
        <f>IF(Table1214[[#This Row],[modality]]=E295,1,0)</f>
        <v>0</v>
      </c>
      <c r="M296" s="66">
        <f>IF(Table1214[[#This Row],[stimulus]]=H297, 1, 0)</f>
        <v>0</v>
      </c>
      <c r="N296" s="66">
        <f t="shared" si="8"/>
        <v>0</v>
      </c>
      <c r="O296" s="66">
        <f t="shared" si="9"/>
        <v>0</v>
      </c>
    </row>
    <row r="297" spans="1:15" x14ac:dyDescent="0.3">
      <c r="A297" s="58">
        <v>4</v>
      </c>
      <c r="B297" s="59">
        <v>3</v>
      </c>
      <c r="C297" s="63">
        <v>296</v>
      </c>
      <c r="D297" s="80">
        <v>2</v>
      </c>
      <c r="E297" s="80" t="s">
        <v>80</v>
      </c>
      <c r="F297" s="80" t="s">
        <v>29</v>
      </c>
      <c r="G297" s="52" t="s">
        <v>42</v>
      </c>
      <c r="H297" s="52"/>
      <c r="I297" s="106" t="s">
        <v>127</v>
      </c>
      <c r="J297" s="65">
        <v>0</v>
      </c>
      <c r="K297" s="66"/>
      <c r="L297" s="57">
        <f>IF(Table1214[[#This Row],[modality]]=E296,1,0)</f>
        <v>0</v>
      </c>
      <c r="M297" s="66">
        <f>IF(Table1214[[#This Row],[stimulus]]=H298, 1, 0)</f>
        <v>0</v>
      </c>
      <c r="N297" s="66">
        <f t="shared" si="8"/>
        <v>1</v>
      </c>
      <c r="O297" s="66">
        <f t="shared" si="9"/>
        <v>0</v>
      </c>
    </row>
    <row r="298" spans="1:15" x14ac:dyDescent="0.3">
      <c r="A298" s="58">
        <v>4</v>
      </c>
      <c r="B298" s="59">
        <v>3</v>
      </c>
      <c r="C298" s="63">
        <v>297</v>
      </c>
      <c r="D298" s="91">
        <v>1</v>
      </c>
      <c r="E298" s="91" t="s">
        <v>81</v>
      </c>
      <c r="F298" s="91" t="s">
        <v>29</v>
      </c>
      <c r="G298" s="47" t="s">
        <v>42</v>
      </c>
      <c r="H298" s="47" t="s">
        <v>63</v>
      </c>
      <c r="I298" s="66"/>
      <c r="J298" s="66">
        <v>1</v>
      </c>
      <c r="K298" s="66" t="s">
        <v>10</v>
      </c>
      <c r="L298" s="57">
        <f>IF(Table1214[[#This Row],[modality]]=E297,1,0)</f>
        <v>0</v>
      </c>
      <c r="M298" s="66">
        <f>IF(Table1214[[#This Row],[stimulus]]=H299, 1, 0)</f>
        <v>0</v>
      </c>
      <c r="N298" s="66">
        <f t="shared" si="8"/>
        <v>0</v>
      </c>
      <c r="O298" s="66">
        <f t="shared" si="9"/>
        <v>1</v>
      </c>
    </row>
    <row r="299" spans="1:15" x14ac:dyDescent="0.3">
      <c r="A299" s="58">
        <v>4</v>
      </c>
      <c r="B299" s="59">
        <v>3</v>
      </c>
      <c r="C299" s="63">
        <v>298</v>
      </c>
      <c r="D299" s="93">
        <v>2</v>
      </c>
      <c r="E299" s="93" t="s">
        <v>80</v>
      </c>
      <c r="F299" s="93" t="s">
        <v>29</v>
      </c>
      <c r="G299" s="53" t="s">
        <v>42</v>
      </c>
      <c r="H299" s="53"/>
      <c r="I299" s="75" t="s">
        <v>127</v>
      </c>
      <c r="J299" s="65">
        <v>0</v>
      </c>
      <c r="K299" s="66"/>
      <c r="L299" s="57">
        <f>IF(Table1214[[#This Row],[modality]]=E298,1,0)</f>
        <v>0</v>
      </c>
      <c r="M299" s="66">
        <f>IF(Table1214[[#This Row],[stimulus]]=H300, 1, 0)</f>
        <v>0</v>
      </c>
      <c r="N299" s="66">
        <f t="shared" si="8"/>
        <v>0</v>
      </c>
      <c r="O299" s="66">
        <f t="shared" si="9"/>
        <v>1</v>
      </c>
    </row>
    <row r="300" spans="1:15" x14ac:dyDescent="0.3">
      <c r="A300" s="58">
        <v>4</v>
      </c>
      <c r="B300" s="59">
        <v>3</v>
      </c>
      <c r="C300" s="63">
        <v>299</v>
      </c>
      <c r="D300" s="91">
        <v>1</v>
      </c>
      <c r="E300" s="91" t="s">
        <v>81</v>
      </c>
      <c r="F300" s="91" t="s">
        <v>29</v>
      </c>
      <c r="G300" s="58" t="s">
        <v>42</v>
      </c>
      <c r="H300" s="58" t="s">
        <v>61</v>
      </c>
      <c r="I300" s="66"/>
      <c r="J300" s="66">
        <v>1</v>
      </c>
      <c r="K300" s="66" t="s">
        <v>10</v>
      </c>
      <c r="L300" s="57">
        <f>IF(Table1214[[#This Row],[modality]]=E299,1,0)</f>
        <v>0</v>
      </c>
      <c r="M300" s="66">
        <f>IF(Table1214[[#This Row],[stimulus]]=H301, 1, 0)</f>
        <v>0</v>
      </c>
      <c r="N300" s="66">
        <f t="shared" si="8"/>
        <v>0</v>
      </c>
      <c r="O300" s="66">
        <f t="shared" si="9"/>
        <v>1</v>
      </c>
    </row>
    <row r="301" spans="1:15" x14ac:dyDescent="0.3">
      <c r="A301" s="58">
        <v>4</v>
      </c>
      <c r="B301" s="59">
        <v>3</v>
      </c>
      <c r="C301" s="63">
        <v>300</v>
      </c>
      <c r="D301" s="67">
        <v>1</v>
      </c>
      <c r="E301" s="67" t="s">
        <v>81</v>
      </c>
      <c r="F301" s="68" t="s">
        <v>0</v>
      </c>
      <c r="G301" s="47" t="s">
        <v>41</v>
      </c>
      <c r="H301" s="47" t="s">
        <v>68</v>
      </c>
      <c r="I301" s="66"/>
      <c r="J301" s="66">
        <v>1</v>
      </c>
      <c r="K301" s="66" t="s">
        <v>9</v>
      </c>
      <c r="L301" s="57">
        <f>IF(Table1214[[#This Row],[modality]]=E300,1,0)</f>
        <v>1</v>
      </c>
      <c r="M301" s="66">
        <f>IF(Table1214[[#This Row],[stimulus]]=H302, 1, 0)</f>
        <v>1</v>
      </c>
      <c r="N301" s="66">
        <f t="shared" si="8"/>
        <v>0</v>
      </c>
      <c r="O301" s="66">
        <f t="shared" si="9"/>
        <v>1</v>
      </c>
    </row>
    <row r="302" spans="1:15" x14ac:dyDescent="0.3">
      <c r="A302" s="58">
        <v>4</v>
      </c>
      <c r="B302" s="59">
        <v>3</v>
      </c>
      <c r="C302" s="63">
        <v>301</v>
      </c>
      <c r="D302" s="57">
        <v>1</v>
      </c>
      <c r="E302" s="57" t="s">
        <v>81</v>
      </c>
      <c r="F302" s="65" t="s">
        <v>40</v>
      </c>
      <c r="G302" s="58" t="s">
        <v>9</v>
      </c>
      <c r="H302" s="58" t="s">
        <v>68</v>
      </c>
      <c r="I302" s="66"/>
      <c r="J302" s="65">
        <v>0</v>
      </c>
      <c r="K302" s="66"/>
      <c r="L302" s="57">
        <f>IF(Table1214[[#This Row],[modality]]=E301,1,0)</f>
        <v>1</v>
      </c>
      <c r="M302" s="66">
        <f>IF(Table1214[[#This Row],[stimulus]]=H303, 1, 0)</f>
        <v>0</v>
      </c>
      <c r="N302" s="66">
        <f t="shared" si="8"/>
        <v>0</v>
      </c>
      <c r="O302" s="66">
        <f t="shared" si="9"/>
        <v>0</v>
      </c>
    </row>
    <row r="303" spans="1:15" x14ac:dyDescent="0.3">
      <c r="A303" s="58">
        <v>4</v>
      </c>
      <c r="B303" s="59">
        <v>3</v>
      </c>
      <c r="C303" s="63">
        <v>302</v>
      </c>
      <c r="D303" s="64">
        <v>2</v>
      </c>
      <c r="E303" s="64" t="s">
        <v>80</v>
      </c>
      <c r="F303" s="93" t="s">
        <v>29</v>
      </c>
      <c r="G303" s="52" t="s">
        <v>42</v>
      </c>
      <c r="H303" s="52"/>
      <c r="I303" s="106" t="s">
        <v>127</v>
      </c>
      <c r="J303" s="65">
        <v>0</v>
      </c>
      <c r="K303" s="66"/>
      <c r="L303" s="57">
        <f>IF(Table1214[[#This Row],[modality]]=E302,1,0)</f>
        <v>0</v>
      </c>
      <c r="M303" s="66">
        <f>IF(Table1214[[#This Row],[stimulus]]=H304, 1, 0)</f>
        <v>1</v>
      </c>
      <c r="N303" s="66">
        <f t="shared" si="8"/>
        <v>1</v>
      </c>
      <c r="O303" s="66">
        <f t="shared" si="9"/>
        <v>0</v>
      </c>
    </row>
    <row r="304" spans="1:15" x14ac:dyDescent="0.3">
      <c r="A304" s="63" t="s">
        <v>25</v>
      </c>
      <c r="B304" s="63"/>
      <c r="C304" s="63">
        <v>303</v>
      </c>
      <c r="D304" s="101"/>
      <c r="E304" s="101" t="s">
        <v>142</v>
      </c>
      <c r="F304" s="101" t="s">
        <v>142</v>
      </c>
      <c r="G304" s="102"/>
      <c r="H304" s="102"/>
      <c r="I304" s="66"/>
      <c r="J304" s="65">
        <v>0</v>
      </c>
      <c r="K304" s="66"/>
      <c r="L304" s="57">
        <f>IF(Table1214[[#This Row],[modality]]=E303,1,0)</f>
        <v>0</v>
      </c>
      <c r="M304" s="66">
        <f>IF(Table1214[[#This Row],[stimulus]]=H305, 1, 0)</f>
        <v>0</v>
      </c>
      <c r="N304" s="66">
        <f t="shared" si="8"/>
        <v>0</v>
      </c>
      <c r="O304" s="66">
        <f t="shared" si="9"/>
        <v>1</v>
      </c>
    </row>
    <row r="305" spans="1:15" x14ac:dyDescent="0.3">
      <c r="A305" s="59">
        <v>1</v>
      </c>
      <c r="B305" s="59">
        <v>4</v>
      </c>
      <c r="C305" s="63">
        <v>304</v>
      </c>
      <c r="D305" s="72">
        <v>2</v>
      </c>
      <c r="E305" s="73" t="s">
        <v>80</v>
      </c>
      <c r="F305" s="74" t="s">
        <v>29</v>
      </c>
      <c r="G305" s="47" t="s">
        <v>42</v>
      </c>
      <c r="H305" s="47" t="s">
        <v>71</v>
      </c>
      <c r="I305" s="66"/>
      <c r="J305" s="65">
        <v>0</v>
      </c>
      <c r="K305" s="66"/>
      <c r="L305" s="57">
        <f>IF(Table1214[[#This Row],[modality]]=E304,1,0)</f>
        <v>0</v>
      </c>
      <c r="M305" s="66">
        <f>IF(Table1214[[#This Row],[stimulus]]=H306, 1, 0)</f>
        <v>0</v>
      </c>
      <c r="N305" s="66">
        <f t="shared" si="8"/>
        <v>0</v>
      </c>
      <c r="O305" s="66">
        <f t="shared" si="9"/>
        <v>0</v>
      </c>
    </row>
    <row r="306" spans="1:15" x14ac:dyDescent="0.3">
      <c r="A306" s="59">
        <v>1</v>
      </c>
      <c r="B306" s="59">
        <v>4</v>
      </c>
      <c r="C306" s="63">
        <v>305</v>
      </c>
      <c r="D306" s="70">
        <v>2</v>
      </c>
      <c r="E306" s="70" t="s">
        <v>80</v>
      </c>
      <c r="F306" s="70" t="s">
        <v>0</v>
      </c>
      <c r="G306" s="71" t="s">
        <v>41</v>
      </c>
      <c r="H306" s="71" t="s">
        <v>47</v>
      </c>
      <c r="I306" s="66"/>
      <c r="J306" s="66">
        <v>1</v>
      </c>
      <c r="K306" s="66" t="s">
        <v>9</v>
      </c>
      <c r="L306" s="57">
        <f>IF(Table1214[[#This Row],[modality]]=E305,1,0)</f>
        <v>1</v>
      </c>
      <c r="M306" s="66">
        <f>IF(Table1214[[#This Row],[stimulus]]=H307, 1, 0)</f>
        <v>1</v>
      </c>
      <c r="N306" s="66">
        <f t="shared" si="8"/>
        <v>0</v>
      </c>
      <c r="O306" s="66">
        <f t="shared" si="9"/>
        <v>1</v>
      </c>
    </row>
    <row r="307" spans="1:15" x14ac:dyDescent="0.3">
      <c r="A307" s="59">
        <v>1</v>
      </c>
      <c r="B307" s="59">
        <v>4</v>
      </c>
      <c r="C307" s="63">
        <v>306</v>
      </c>
      <c r="D307" s="68">
        <v>2</v>
      </c>
      <c r="E307" s="68" t="s">
        <v>80</v>
      </c>
      <c r="F307" s="68" t="s">
        <v>40</v>
      </c>
      <c r="G307" s="47" t="s">
        <v>9</v>
      </c>
      <c r="H307" s="47" t="s">
        <v>47</v>
      </c>
      <c r="I307" s="66"/>
      <c r="J307" s="65">
        <v>0</v>
      </c>
      <c r="K307" s="66"/>
      <c r="L307" s="57">
        <f>IF(Table1214[[#This Row],[modality]]=E306,1,0)</f>
        <v>1</v>
      </c>
      <c r="M307" s="66">
        <f>IF(Table1214[[#This Row],[stimulus]]=H308, 1, 0)</f>
        <v>0</v>
      </c>
      <c r="N307" s="66">
        <f t="shared" si="8"/>
        <v>0</v>
      </c>
      <c r="O307" s="66">
        <f t="shared" si="9"/>
        <v>0</v>
      </c>
    </row>
    <row r="308" spans="1:15" x14ac:dyDescent="0.3">
      <c r="A308" s="59">
        <v>1</v>
      </c>
      <c r="B308" s="59">
        <v>4</v>
      </c>
      <c r="C308" s="63">
        <v>307</v>
      </c>
      <c r="D308" s="72">
        <v>1</v>
      </c>
      <c r="E308" s="72" t="s">
        <v>81</v>
      </c>
      <c r="F308" s="74" t="s">
        <v>29</v>
      </c>
      <c r="G308" s="71" t="s">
        <v>42</v>
      </c>
      <c r="H308" s="71" t="s">
        <v>72</v>
      </c>
      <c r="I308" s="66"/>
      <c r="J308" s="65">
        <v>0</v>
      </c>
      <c r="K308" s="66"/>
      <c r="L308" s="57">
        <f>IF(Table1214[[#This Row],[modality]]=E307,1,0)</f>
        <v>0</v>
      </c>
      <c r="M308" s="66">
        <f>IF(Table1214[[#This Row],[stimulus]]=H309, 1, 0)</f>
        <v>0</v>
      </c>
      <c r="N308" s="66">
        <f t="shared" si="8"/>
        <v>1</v>
      </c>
      <c r="O308" s="66">
        <f t="shared" si="9"/>
        <v>0</v>
      </c>
    </row>
    <row r="309" spans="1:15" x14ac:dyDescent="0.3">
      <c r="A309" s="59">
        <v>1</v>
      </c>
      <c r="B309" s="59">
        <v>4</v>
      </c>
      <c r="C309" s="63">
        <v>308</v>
      </c>
      <c r="D309" s="72">
        <v>1</v>
      </c>
      <c r="E309" s="72" t="s">
        <v>81</v>
      </c>
      <c r="F309" s="74" t="s">
        <v>29</v>
      </c>
      <c r="G309" s="58" t="s">
        <v>42</v>
      </c>
      <c r="H309" s="58" t="s">
        <v>74</v>
      </c>
      <c r="I309" s="66"/>
      <c r="J309" s="66">
        <v>1</v>
      </c>
      <c r="K309" s="66" t="s">
        <v>9</v>
      </c>
      <c r="L309" s="57">
        <f>IF(Table1214[[#This Row],[modality]]=E308,1,0)</f>
        <v>1</v>
      </c>
      <c r="M309" s="66">
        <f>IF(Table1214[[#This Row],[stimulus]]=H310, 1, 0)</f>
        <v>0</v>
      </c>
      <c r="N309" s="66">
        <f t="shared" si="8"/>
        <v>0</v>
      </c>
      <c r="O309" s="66">
        <f t="shared" si="9"/>
        <v>1</v>
      </c>
    </row>
    <row r="310" spans="1:15" x14ac:dyDescent="0.3">
      <c r="A310" s="59">
        <v>1</v>
      </c>
      <c r="B310" s="59">
        <v>4</v>
      </c>
      <c r="C310" s="63">
        <v>309</v>
      </c>
      <c r="D310" s="68">
        <v>2</v>
      </c>
      <c r="E310" s="68" t="s">
        <v>80</v>
      </c>
      <c r="F310" s="68" t="s">
        <v>0</v>
      </c>
      <c r="G310" s="47" t="s">
        <v>41</v>
      </c>
      <c r="H310" s="47" t="s">
        <v>50</v>
      </c>
      <c r="I310" s="66"/>
      <c r="J310" s="66">
        <v>1</v>
      </c>
      <c r="K310" s="66" t="s">
        <v>10</v>
      </c>
      <c r="L310" s="57">
        <f>IF(Table1214[[#This Row],[modality]]=E309,1,0)</f>
        <v>0</v>
      </c>
      <c r="M310" s="66">
        <f>IF(Table1214[[#This Row],[stimulus]]=H311, 1, 0)</f>
        <v>1</v>
      </c>
      <c r="N310" s="66">
        <f t="shared" si="8"/>
        <v>0</v>
      </c>
      <c r="O310" s="66">
        <f t="shared" si="9"/>
        <v>1</v>
      </c>
    </row>
    <row r="311" spans="1:15" x14ac:dyDescent="0.3">
      <c r="A311" s="59">
        <v>1</v>
      </c>
      <c r="B311" s="59">
        <v>4</v>
      </c>
      <c r="C311" s="63">
        <v>310</v>
      </c>
      <c r="D311" s="65">
        <v>2</v>
      </c>
      <c r="E311" s="68" t="s">
        <v>80</v>
      </c>
      <c r="F311" s="65" t="s">
        <v>40</v>
      </c>
      <c r="G311" s="58" t="s">
        <v>9</v>
      </c>
      <c r="H311" s="58" t="s">
        <v>50</v>
      </c>
      <c r="I311" s="66"/>
      <c r="J311" s="65">
        <v>0</v>
      </c>
      <c r="K311" s="66"/>
      <c r="L311" s="57">
        <f>IF(Table1214[[#This Row],[modality]]=E310,1,0)</f>
        <v>1</v>
      </c>
      <c r="M311" s="66">
        <f>IF(Table1214[[#This Row],[stimulus]]=H312, 1, 0)</f>
        <v>0</v>
      </c>
      <c r="N311" s="66">
        <f t="shared" si="8"/>
        <v>0</v>
      </c>
      <c r="O311" s="66">
        <f t="shared" si="9"/>
        <v>0</v>
      </c>
    </row>
    <row r="312" spans="1:15" x14ac:dyDescent="0.3">
      <c r="A312" s="59">
        <v>1</v>
      </c>
      <c r="B312" s="59">
        <v>4</v>
      </c>
      <c r="C312" s="63">
        <v>311</v>
      </c>
      <c r="D312" s="72">
        <v>1</v>
      </c>
      <c r="E312" s="73" t="s">
        <v>81</v>
      </c>
      <c r="F312" s="74" t="s">
        <v>29</v>
      </c>
      <c r="G312" s="47" t="s">
        <v>42</v>
      </c>
      <c r="H312" s="47" t="s">
        <v>67</v>
      </c>
      <c r="I312" s="66"/>
      <c r="J312" s="65">
        <v>0</v>
      </c>
      <c r="K312" s="66"/>
      <c r="L312" s="57">
        <f>IF(Table1214[[#This Row],[modality]]=E311,1,0)</f>
        <v>0</v>
      </c>
      <c r="M312" s="66">
        <f>IF(Table1214[[#This Row],[stimulus]]=H313, 1, 0)</f>
        <v>0</v>
      </c>
      <c r="N312" s="66">
        <f t="shared" si="8"/>
        <v>1</v>
      </c>
      <c r="O312" s="66">
        <f t="shared" si="9"/>
        <v>0</v>
      </c>
    </row>
    <row r="313" spans="1:15" x14ac:dyDescent="0.3">
      <c r="A313" s="59">
        <v>1</v>
      </c>
      <c r="B313" s="59">
        <v>4</v>
      </c>
      <c r="C313" s="63">
        <v>312</v>
      </c>
      <c r="D313" s="68">
        <v>2</v>
      </c>
      <c r="E313" s="68" t="s">
        <v>80</v>
      </c>
      <c r="F313" s="68" t="s">
        <v>0</v>
      </c>
      <c r="G313" s="47" t="s">
        <v>41</v>
      </c>
      <c r="H313" s="47" t="s">
        <v>49</v>
      </c>
      <c r="I313" s="66"/>
      <c r="J313" s="66">
        <v>1</v>
      </c>
      <c r="K313" s="66" t="s">
        <v>10</v>
      </c>
      <c r="L313" s="57">
        <f>IF(Table1214[[#This Row],[modality]]=E312,1,0)</f>
        <v>0</v>
      </c>
      <c r="M313" s="66">
        <f>IF(Table1214[[#This Row],[stimulus]]=H314, 1, 0)</f>
        <v>1</v>
      </c>
      <c r="N313" s="66">
        <f t="shared" si="8"/>
        <v>0</v>
      </c>
      <c r="O313" s="66">
        <f t="shared" si="9"/>
        <v>1</v>
      </c>
    </row>
    <row r="314" spans="1:15" x14ac:dyDescent="0.3">
      <c r="A314" s="59">
        <v>1</v>
      </c>
      <c r="B314" s="59">
        <v>4</v>
      </c>
      <c r="C314" s="63">
        <v>313</v>
      </c>
      <c r="D314" s="70">
        <v>1</v>
      </c>
      <c r="E314" s="70" t="s">
        <v>81</v>
      </c>
      <c r="F314" s="70" t="s">
        <v>40</v>
      </c>
      <c r="G314" s="71" t="s">
        <v>10</v>
      </c>
      <c r="H314" s="71" t="s">
        <v>49</v>
      </c>
      <c r="I314" s="66"/>
      <c r="J314" s="65">
        <v>0</v>
      </c>
      <c r="K314" s="66"/>
      <c r="L314" s="57">
        <f>IF(Table1214[[#This Row],[modality]]=E313,1,0)</f>
        <v>0</v>
      </c>
      <c r="M314" s="66">
        <f>IF(Table1214[[#This Row],[stimulus]]=H315, 1, 0)</f>
        <v>0</v>
      </c>
      <c r="N314" s="66">
        <f t="shared" si="8"/>
        <v>0</v>
      </c>
      <c r="O314" s="66">
        <f t="shared" si="9"/>
        <v>0</v>
      </c>
    </row>
    <row r="315" spans="1:15" x14ac:dyDescent="0.3">
      <c r="A315" s="59">
        <v>1</v>
      </c>
      <c r="B315" s="59">
        <v>4</v>
      </c>
      <c r="C315" s="63">
        <v>314</v>
      </c>
      <c r="D315" s="72">
        <v>1</v>
      </c>
      <c r="E315" s="73" t="s">
        <v>81</v>
      </c>
      <c r="F315" s="74" t="s">
        <v>29</v>
      </c>
      <c r="G315" s="47" t="s">
        <v>42</v>
      </c>
      <c r="H315" s="47" t="s">
        <v>69</v>
      </c>
      <c r="I315" s="66"/>
      <c r="J315" s="66">
        <v>1</v>
      </c>
      <c r="K315" s="66" t="s">
        <v>9</v>
      </c>
      <c r="L315" s="57">
        <f>IF(Table1214[[#This Row],[modality]]=E314,1,0)</f>
        <v>1</v>
      </c>
      <c r="M315" s="66">
        <f>IF(Table1214[[#This Row],[stimulus]]=H316, 1, 0)</f>
        <v>0</v>
      </c>
      <c r="N315" s="66">
        <f t="shared" si="8"/>
        <v>1</v>
      </c>
      <c r="O315" s="66">
        <f t="shared" si="9"/>
        <v>0</v>
      </c>
    </row>
    <row r="316" spans="1:15" x14ac:dyDescent="0.3">
      <c r="A316" s="59">
        <v>1</v>
      </c>
      <c r="B316" s="59">
        <v>4</v>
      </c>
      <c r="C316" s="63">
        <v>315</v>
      </c>
      <c r="D316" s="70">
        <v>1</v>
      </c>
      <c r="E316" s="70" t="s">
        <v>81</v>
      </c>
      <c r="F316" s="70" t="s">
        <v>0</v>
      </c>
      <c r="G316" s="71" t="s">
        <v>41</v>
      </c>
      <c r="H316" s="71" t="s">
        <v>45</v>
      </c>
      <c r="I316" s="66"/>
      <c r="J316" s="66">
        <v>1</v>
      </c>
      <c r="K316" s="66" t="s">
        <v>9</v>
      </c>
      <c r="L316" s="57">
        <f>IF(Table1214[[#This Row],[modality]]=E315,1,0)</f>
        <v>1</v>
      </c>
      <c r="M316" s="66">
        <f>IF(Table1214[[#This Row],[stimulus]]=H317, 1, 0)</f>
        <v>1</v>
      </c>
      <c r="N316" s="66">
        <f t="shared" si="8"/>
        <v>0</v>
      </c>
      <c r="O316" s="66">
        <f t="shared" si="9"/>
        <v>1</v>
      </c>
    </row>
    <row r="317" spans="1:15" x14ac:dyDescent="0.3">
      <c r="A317" s="59">
        <v>1</v>
      </c>
      <c r="B317" s="59">
        <v>4</v>
      </c>
      <c r="C317" s="63">
        <v>316</v>
      </c>
      <c r="D317" s="68">
        <v>2</v>
      </c>
      <c r="E317" s="68" t="s">
        <v>80</v>
      </c>
      <c r="F317" s="68" t="s">
        <v>40</v>
      </c>
      <c r="G317" s="47" t="s">
        <v>10</v>
      </c>
      <c r="H317" s="47" t="s">
        <v>45</v>
      </c>
      <c r="I317" s="66"/>
      <c r="J317" s="65">
        <v>0</v>
      </c>
      <c r="K317" s="66"/>
      <c r="L317" s="57">
        <f>IF(Table1214[[#This Row],[modality]]=E316,1,0)</f>
        <v>0</v>
      </c>
      <c r="M317" s="66">
        <f>IF(Table1214[[#This Row],[stimulus]]=H318, 1, 0)</f>
        <v>0</v>
      </c>
      <c r="N317" s="66">
        <f t="shared" si="8"/>
        <v>0</v>
      </c>
      <c r="O317" s="66">
        <f t="shared" si="9"/>
        <v>0</v>
      </c>
    </row>
    <row r="318" spans="1:15" x14ac:dyDescent="0.3">
      <c r="A318" s="59">
        <v>1</v>
      </c>
      <c r="B318" s="59">
        <v>4</v>
      </c>
      <c r="C318" s="63">
        <v>317</v>
      </c>
      <c r="D318" s="70">
        <v>2</v>
      </c>
      <c r="E318" s="70" t="s">
        <v>80</v>
      </c>
      <c r="F318" s="70" t="s">
        <v>0</v>
      </c>
      <c r="G318" s="71" t="s">
        <v>41</v>
      </c>
      <c r="H318" s="71" t="s">
        <v>44</v>
      </c>
      <c r="I318" s="66"/>
      <c r="J318" s="66">
        <v>1</v>
      </c>
      <c r="K318" s="66" t="s">
        <v>9</v>
      </c>
      <c r="L318" s="57">
        <f>IF(Table1214[[#This Row],[modality]]=E317,1,0)</f>
        <v>1</v>
      </c>
      <c r="M318" s="66">
        <f>IF(Table1214[[#This Row],[stimulus]]=H319, 1, 0)</f>
        <v>1</v>
      </c>
      <c r="N318" s="66">
        <f t="shared" si="8"/>
        <v>1</v>
      </c>
      <c r="O318" s="66">
        <f t="shared" si="9"/>
        <v>0</v>
      </c>
    </row>
    <row r="319" spans="1:15" x14ac:dyDescent="0.3">
      <c r="A319" s="59">
        <v>1</v>
      </c>
      <c r="B319" s="59">
        <v>4</v>
      </c>
      <c r="C319" s="63">
        <v>318</v>
      </c>
      <c r="D319" s="68">
        <v>1</v>
      </c>
      <c r="E319" s="68" t="s">
        <v>81</v>
      </c>
      <c r="F319" s="68" t="s">
        <v>40</v>
      </c>
      <c r="G319" s="47" t="s">
        <v>10</v>
      </c>
      <c r="H319" s="47" t="s">
        <v>44</v>
      </c>
      <c r="I319" s="66"/>
      <c r="J319" s="65">
        <v>0</v>
      </c>
      <c r="K319" s="66"/>
      <c r="L319" s="57">
        <f>IF(Table1214[[#This Row],[modality]]=E318,1,0)</f>
        <v>0</v>
      </c>
      <c r="M319" s="66">
        <f>IF(Table1214[[#This Row],[stimulus]]=H320, 1, 0)</f>
        <v>0</v>
      </c>
      <c r="N319" s="66">
        <f t="shared" si="8"/>
        <v>0</v>
      </c>
      <c r="O319" s="66">
        <f t="shared" si="9"/>
        <v>0</v>
      </c>
    </row>
    <row r="320" spans="1:15" x14ac:dyDescent="0.3">
      <c r="A320" s="59">
        <v>1</v>
      </c>
      <c r="B320" s="59">
        <v>4</v>
      </c>
      <c r="C320" s="63">
        <v>319</v>
      </c>
      <c r="D320" s="72">
        <v>1</v>
      </c>
      <c r="E320" s="72" t="s">
        <v>81</v>
      </c>
      <c r="F320" s="74" t="s">
        <v>29</v>
      </c>
      <c r="G320" s="71" t="s">
        <v>42</v>
      </c>
      <c r="H320" s="71" t="s">
        <v>68</v>
      </c>
      <c r="I320" s="66"/>
      <c r="J320" s="65">
        <v>0</v>
      </c>
      <c r="K320" s="66"/>
      <c r="L320" s="57">
        <f>IF(Table1214[[#This Row],[modality]]=E319,1,0)</f>
        <v>1</v>
      </c>
      <c r="M320" s="66">
        <f>IF(Table1214[[#This Row],[stimulus]]=H321, 1, 0)</f>
        <v>0</v>
      </c>
      <c r="N320" s="66">
        <f t="shared" si="8"/>
        <v>1</v>
      </c>
      <c r="O320" s="66">
        <f t="shared" si="9"/>
        <v>0</v>
      </c>
    </row>
    <row r="321" spans="1:18" x14ac:dyDescent="0.3">
      <c r="A321" s="59">
        <v>1</v>
      </c>
      <c r="B321" s="59">
        <v>4</v>
      </c>
      <c r="C321" s="63">
        <v>320</v>
      </c>
      <c r="D321" s="72">
        <v>2</v>
      </c>
      <c r="E321" s="73" t="s">
        <v>80</v>
      </c>
      <c r="F321" s="74" t="s">
        <v>29</v>
      </c>
      <c r="G321" s="47" t="s">
        <v>42</v>
      </c>
      <c r="H321" s="47" t="s">
        <v>70</v>
      </c>
      <c r="I321" s="66"/>
      <c r="J321" s="65">
        <v>0</v>
      </c>
      <c r="K321" s="66"/>
      <c r="L321" s="57">
        <f>IF(Table1214[[#This Row],[modality]]=E320,1,0)</f>
        <v>0</v>
      </c>
      <c r="M321" s="66">
        <f>IF(Table1214[[#This Row],[stimulus]]=H322, 1, 0)</f>
        <v>0</v>
      </c>
      <c r="N321" s="66">
        <f t="shared" si="8"/>
        <v>0</v>
      </c>
      <c r="O321" s="66">
        <f t="shared" si="9"/>
        <v>1</v>
      </c>
    </row>
    <row r="322" spans="1:18" x14ac:dyDescent="0.3">
      <c r="A322" s="59">
        <v>1</v>
      </c>
      <c r="B322" s="59">
        <v>4</v>
      </c>
      <c r="C322" s="63">
        <v>321</v>
      </c>
      <c r="D322" s="68">
        <v>1</v>
      </c>
      <c r="E322" s="68" t="s">
        <v>81</v>
      </c>
      <c r="F322" s="68" t="s">
        <v>0</v>
      </c>
      <c r="G322" s="47" t="s">
        <v>41</v>
      </c>
      <c r="H322" s="47" t="s">
        <v>46</v>
      </c>
      <c r="I322" s="66"/>
      <c r="J322" s="65">
        <v>0</v>
      </c>
      <c r="K322" s="66"/>
      <c r="L322" s="57">
        <f>IF(Table1214[[#This Row],[modality]]=E321,1,0)</f>
        <v>0</v>
      </c>
      <c r="M322" s="66">
        <f>IF(Table1214[[#This Row],[stimulus]]=H323, 1, 0)</f>
        <v>1</v>
      </c>
      <c r="N322" s="66">
        <f t="shared" si="8"/>
        <v>0</v>
      </c>
      <c r="O322" s="66">
        <f t="shared" si="9"/>
        <v>1</v>
      </c>
    </row>
    <row r="323" spans="1:18" x14ac:dyDescent="0.3">
      <c r="A323" s="59">
        <v>1</v>
      </c>
      <c r="B323" s="59">
        <v>4</v>
      </c>
      <c r="C323" s="63">
        <v>322</v>
      </c>
      <c r="D323" s="65">
        <v>1</v>
      </c>
      <c r="E323" s="68" t="s">
        <v>81</v>
      </c>
      <c r="F323" s="65" t="s">
        <v>40</v>
      </c>
      <c r="G323" s="58" t="s">
        <v>9</v>
      </c>
      <c r="H323" s="58" t="s">
        <v>46</v>
      </c>
      <c r="I323" s="66"/>
      <c r="J323" s="65">
        <v>0</v>
      </c>
      <c r="K323" s="66"/>
      <c r="L323" s="57">
        <f>IF(Table1214[[#This Row],[modality]]=E322,1,0)</f>
        <v>1</v>
      </c>
      <c r="M323" s="66">
        <f>IF(Table1214[[#This Row],[stimulus]]=H324, 1, 0)</f>
        <v>0</v>
      </c>
      <c r="N323" s="66">
        <f t="shared" ref="N323:N387" si="10">IF(F322="T",1,0)</f>
        <v>0</v>
      </c>
      <c r="O323" s="66">
        <f t="shared" ref="O323:O387" si="11">IF(F322="F",1,0)</f>
        <v>0</v>
      </c>
    </row>
    <row r="324" spans="1:18" x14ac:dyDescent="0.3">
      <c r="A324" s="59">
        <v>1</v>
      </c>
      <c r="B324" s="59">
        <v>4</v>
      </c>
      <c r="C324" s="63">
        <v>323</v>
      </c>
      <c r="D324" s="72">
        <v>2</v>
      </c>
      <c r="E324" s="72" t="s">
        <v>80</v>
      </c>
      <c r="F324" s="74" t="s">
        <v>29</v>
      </c>
      <c r="G324" s="71" t="s">
        <v>42</v>
      </c>
      <c r="H324" s="71" t="s">
        <v>73</v>
      </c>
      <c r="I324" s="66"/>
      <c r="J324" s="66">
        <v>1</v>
      </c>
      <c r="K324" s="66" t="s">
        <v>10</v>
      </c>
      <c r="L324" s="57">
        <f>IF(Table1214[[#This Row],[modality]]=E323,1,0)</f>
        <v>0</v>
      </c>
      <c r="M324" s="66">
        <f>IF(Table1214[[#This Row],[stimulus]]=H325, 1, 0)</f>
        <v>0</v>
      </c>
      <c r="N324" s="66">
        <f t="shared" si="10"/>
        <v>1</v>
      </c>
      <c r="O324" s="66">
        <f t="shared" si="11"/>
        <v>0</v>
      </c>
      <c r="R324" t="s">
        <v>19</v>
      </c>
    </row>
    <row r="325" spans="1:18" x14ac:dyDescent="0.3">
      <c r="A325" s="59">
        <v>1</v>
      </c>
      <c r="B325" s="59">
        <v>4</v>
      </c>
      <c r="C325" s="63">
        <v>324</v>
      </c>
      <c r="D325" s="68">
        <v>1</v>
      </c>
      <c r="E325" s="68" t="s">
        <v>81</v>
      </c>
      <c r="F325" s="68" t="s">
        <v>0</v>
      </c>
      <c r="G325" s="47" t="s">
        <v>41</v>
      </c>
      <c r="H325" s="47" t="s">
        <v>43</v>
      </c>
      <c r="I325" s="66"/>
      <c r="J325" s="66">
        <v>1</v>
      </c>
      <c r="K325" s="66" t="s">
        <v>10</v>
      </c>
      <c r="L325" s="57">
        <f>IF(Table1214[[#This Row],[modality]]=E324,1,0)</f>
        <v>0</v>
      </c>
      <c r="M325" s="66">
        <f>IF(Table1214[[#This Row],[stimulus]]=H326, 1, 0)</f>
        <v>1</v>
      </c>
      <c r="N325" s="66">
        <f t="shared" si="10"/>
        <v>0</v>
      </c>
      <c r="O325" s="66">
        <f t="shared" si="11"/>
        <v>1</v>
      </c>
    </row>
    <row r="326" spans="1:18" x14ac:dyDescent="0.3">
      <c r="A326" s="59">
        <v>1</v>
      </c>
      <c r="B326" s="59">
        <v>4</v>
      </c>
      <c r="C326" s="63">
        <v>325</v>
      </c>
      <c r="D326" s="70">
        <v>1</v>
      </c>
      <c r="E326" s="68" t="s">
        <v>81</v>
      </c>
      <c r="F326" s="70" t="s">
        <v>40</v>
      </c>
      <c r="G326" s="71" t="s">
        <v>9</v>
      </c>
      <c r="H326" s="71" t="s">
        <v>43</v>
      </c>
      <c r="I326" s="66"/>
      <c r="J326" s="65">
        <v>0</v>
      </c>
      <c r="K326" s="66"/>
      <c r="L326" s="57">
        <f>IF(Table1214[[#This Row],[modality]]=E325,1,0)</f>
        <v>1</v>
      </c>
      <c r="M326" s="66">
        <f>IF(Table1214[[#This Row],[stimulus]]=H327, 1, 0)</f>
        <v>0</v>
      </c>
      <c r="N326" s="66">
        <f t="shared" si="10"/>
        <v>0</v>
      </c>
      <c r="O326" s="66">
        <f t="shared" si="11"/>
        <v>0</v>
      </c>
    </row>
    <row r="327" spans="1:18" x14ac:dyDescent="0.3">
      <c r="A327" s="59">
        <v>1</v>
      </c>
      <c r="B327" s="59">
        <v>4</v>
      </c>
      <c r="C327" s="63">
        <v>326</v>
      </c>
      <c r="D327" s="68">
        <v>1</v>
      </c>
      <c r="E327" s="68" t="s">
        <v>81</v>
      </c>
      <c r="F327" s="68" t="s">
        <v>0</v>
      </c>
      <c r="G327" s="47" t="s">
        <v>41</v>
      </c>
      <c r="H327" s="47" t="s">
        <v>48</v>
      </c>
      <c r="I327" s="66"/>
      <c r="J327" s="66">
        <v>1</v>
      </c>
      <c r="K327" s="66" t="s">
        <v>9</v>
      </c>
      <c r="L327" s="57">
        <f>IF(Table1214[[#This Row],[modality]]=E326,1,0)</f>
        <v>1</v>
      </c>
      <c r="M327" s="66">
        <f>IF(Table1214[[#This Row],[stimulus]]=H328, 1, 0)</f>
        <v>1</v>
      </c>
      <c r="N327" s="66">
        <f t="shared" si="10"/>
        <v>1</v>
      </c>
      <c r="O327" s="66">
        <f t="shared" si="11"/>
        <v>0</v>
      </c>
    </row>
    <row r="328" spans="1:18" x14ac:dyDescent="0.3">
      <c r="A328" s="59">
        <v>1</v>
      </c>
      <c r="B328" s="59">
        <v>4</v>
      </c>
      <c r="C328" s="63">
        <v>327</v>
      </c>
      <c r="D328" s="70">
        <v>2</v>
      </c>
      <c r="E328" s="70" t="s">
        <v>80</v>
      </c>
      <c r="F328" s="70" t="s">
        <v>40</v>
      </c>
      <c r="G328" s="71" t="s">
        <v>10</v>
      </c>
      <c r="H328" s="71" t="s">
        <v>48</v>
      </c>
      <c r="I328" s="66"/>
      <c r="J328" s="65">
        <v>0</v>
      </c>
      <c r="K328" s="66"/>
      <c r="L328" s="57">
        <f>IF(Table1214[[#This Row],[modality]]=E327,1,0)</f>
        <v>0</v>
      </c>
      <c r="M328" s="66">
        <f>IF(Table1214[[#This Row],[stimulus]]=H329, 1, 0)</f>
        <v>0</v>
      </c>
      <c r="N328" s="66">
        <f t="shared" si="10"/>
        <v>0</v>
      </c>
      <c r="O328" s="66">
        <f t="shared" si="11"/>
        <v>0</v>
      </c>
    </row>
    <row r="329" spans="1:18" x14ac:dyDescent="0.3">
      <c r="A329" s="58">
        <v>2</v>
      </c>
      <c r="B329" s="59">
        <v>4</v>
      </c>
      <c r="C329" s="63">
        <v>328</v>
      </c>
      <c r="D329" s="78">
        <v>1</v>
      </c>
      <c r="E329" s="78" t="s">
        <v>81</v>
      </c>
      <c r="F329" s="78" t="s">
        <v>29</v>
      </c>
      <c r="G329" s="58" t="s">
        <v>42</v>
      </c>
      <c r="H329" s="58" t="s">
        <v>47</v>
      </c>
      <c r="I329" s="66"/>
      <c r="J329" s="65">
        <v>0</v>
      </c>
      <c r="K329" s="66"/>
      <c r="L329" s="57">
        <f>IF(Table1214[[#This Row],[modality]]=E328,1,0)</f>
        <v>0</v>
      </c>
      <c r="M329" s="66">
        <f>IF(Table1214[[#This Row],[stimulus]]=H330, 1, 0)</f>
        <v>0</v>
      </c>
      <c r="N329" s="66">
        <f t="shared" si="10"/>
        <v>1</v>
      </c>
      <c r="O329" s="66">
        <f t="shared" si="11"/>
        <v>0</v>
      </c>
    </row>
    <row r="330" spans="1:18" x14ac:dyDescent="0.3">
      <c r="A330" s="58">
        <v>2</v>
      </c>
      <c r="B330" s="59">
        <v>4</v>
      </c>
      <c r="C330" s="63">
        <v>329</v>
      </c>
      <c r="D330" s="70">
        <v>1</v>
      </c>
      <c r="E330" s="70" t="s">
        <v>81</v>
      </c>
      <c r="F330" s="70" t="s">
        <v>0</v>
      </c>
      <c r="G330" s="71" t="s">
        <v>41</v>
      </c>
      <c r="H330" s="71" t="s">
        <v>51</v>
      </c>
      <c r="I330" s="66"/>
      <c r="J330" s="66">
        <v>1</v>
      </c>
      <c r="K330" s="66" t="s">
        <v>9</v>
      </c>
      <c r="L330" s="57">
        <f>IF(Table1214[[#This Row],[modality]]=E329,1,0)</f>
        <v>1</v>
      </c>
      <c r="M330" s="66">
        <f>IF(Table1214[[#This Row],[stimulus]]=H331, 1, 0)</f>
        <v>1</v>
      </c>
      <c r="N330" s="66">
        <f t="shared" si="10"/>
        <v>0</v>
      </c>
      <c r="O330" s="66">
        <f t="shared" si="11"/>
        <v>1</v>
      </c>
    </row>
    <row r="331" spans="1:18" x14ac:dyDescent="0.3">
      <c r="A331" s="58">
        <v>2</v>
      </c>
      <c r="B331" s="59">
        <v>4</v>
      </c>
      <c r="C331" s="63">
        <v>330</v>
      </c>
      <c r="D331" s="65">
        <v>1</v>
      </c>
      <c r="E331" s="65" t="s">
        <v>81</v>
      </c>
      <c r="F331" s="65" t="s">
        <v>40</v>
      </c>
      <c r="G331" s="58" t="s">
        <v>9</v>
      </c>
      <c r="H331" s="58" t="s">
        <v>51</v>
      </c>
      <c r="I331" s="66"/>
      <c r="J331" s="65">
        <v>0</v>
      </c>
      <c r="K331" s="66"/>
      <c r="L331" s="57">
        <f>IF(Table1214[[#This Row],[modality]]=E330,1,0)</f>
        <v>1</v>
      </c>
      <c r="M331" s="66">
        <f>IF(Table1214[[#This Row],[stimulus]]=H332, 1, 0)</f>
        <v>0</v>
      </c>
      <c r="N331" s="66">
        <f t="shared" si="10"/>
        <v>0</v>
      </c>
      <c r="O331" s="66">
        <f t="shared" si="11"/>
        <v>0</v>
      </c>
    </row>
    <row r="332" spans="1:18" x14ac:dyDescent="0.3">
      <c r="A332" s="58">
        <v>2</v>
      </c>
      <c r="B332" s="59">
        <v>4</v>
      </c>
      <c r="C332" s="63">
        <v>331</v>
      </c>
      <c r="D332" s="78">
        <v>2</v>
      </c>
      <c r="E332" s="78" t="s">
        <v>80</v>
      </c>
      <c r="F332" s="78" t="s">
        <v>29</v>
      </c>
      <c r="G332" s="71" t="s">
        <v>42</v>
      </c>
      <c r="H332" s="71" t="s">
        <v>43</v>
      </c>
      <c r="I332" s="66"/>
      <c r="J332" s="66">
        <v>1</v>
      </c>
      <c r="K332" s="66" t="s">
        <v>10</v>
      </c>
      <c r="L332" s="57">
        <f>IF(Table1214[[#This Row],[modality]]=E331,1,0)</f>
        <v>0</v>
      </c>
      <c r="M332" s="66">
        <f>IF(Table1214[[#This Row],[stimulus]]=H333, 1, 0)</f>
        <v>0</v>
      </c>
      <c r="N332" s="66">
        <f t="shared" si="10"/>
        <v>1</v>
      </c>
      <c r="O332" s="66">
        <f t="shared" si="11"/>
        <v>0</v>
      </c>
    </row>
    <row r="333" spans="1:18" x14ac:dyDescent="0.3">
      <c r="A333" s="58">
        <v>2</v>
      </c>
      <c r="B333" s="59">
        <v>4</v>
      </c>
      <c r="C333" s="63">
        <v>332</v>
      </c>
      <c r="D333" s="68">
        <v>1</v>
      </c>
      <c r="E333" s="68" t="s">
        <v>81</v>
      </c>
      <c r="F333" s="68" t="s">
        <v>0</v>
      </c>
      <c r="G333" s="47" t="s">
        <v>41</v>
      </c>
      <c r="H333" s="47" t="s">
        <v>55</v>
      </c>
      <c r="I333" s="66"/>
      <c r="J333" s="66">
        <v>1</v>
      </c>
      <c r="K333" s="66" t="s">
        <v>10</v>
      </c>
      <c r="L333" s="57">
        <f>IF(Table1214[[#This Row],[modality]]=E332,1,0)</f>
        <v>0</v>
      </c>
      <c r="M333" s="66">
        <f>IF(Table1214[[#This Row],[stimulus]]=H334, 1, 0)</f>
        <v>1</v>
      </c>
      <c r="N333" s="66">
        <f t="shared" si="10"/>
        <v>0</v>
      </c>
      <c r="O333" s="66">
        <f t="shared" si="11"/>
        <v>1</v>
      </c>
    </row>
    <row r="334" spans="1:18" x14ac:dyDescent="0.3">
      <c r="A334" s="58">
        <v>2</v>
      </c>
      <c r="B334" s="59">
        <v>4</v>
      </c>
      <c r="C334" s="63">
        <v>333</v>
      </c>
      <c r="D334" s="70">
        <v>1</v>
      </c>
      <c r="E334" s="70" t="s">
        <v>81</v>
      </c>
      <c r="F334" s="70" t="s">
        <v>40</v>
      </c>
      <c r="G334" s="71" t="s">
        <v>9</v>
      </c>
      <c r="H334" s="71" t="s">
        <v>55</v>
      </c>
      <c r="I334" s="66"/>
      <c r="J334" s="65">
        <v>0</v>
      </c>
      <c r="K334" s="66"/>
      <c r="L334" s="57">
        <f>IF(Table1214[[#This Row],[modality]]=E333,1,0)</f>
        <v>1</v>
      </c>
      <c r="M334" s="66">
        <f>IF(Table1214[[#This Row],[stimulus]]=H335, 1, 0)</f>
        <v>0</v>
      </c>
      <c r="N334" s="66">
        <f t="shared" si="10"/>
        <v>0</v>
      </c>
      <c r="O334" s="66">
        <f t="shared" si="11"/>
        <v>0</v>
      </c>
    </row>
    <row r="335" spans="1:18" x14ac:dyDescent="0.3">
      <c r="A335" s="58">
        <v>2</v>
      </c>
      <c r="B335" s="59">
        <v>4</v>
      </c>
      <c r="C335" s="63">
        <v>334</v>
      </c>
      <c r="D335" s="78">
        <v>1</v>
      </c>
      <c r="E335" s="78" t="s">
        <v>81</v>
      </c>
      <c r="F335" s="78" t="s">
        <v>29</v>
      </c>
      <c r="G335" s="47" t="s">
        <v>42</v>
      </c>
      <c r="H335" s="47" t="s">
        <v>50</v>
      </c>
      <c r="I335" s="66"/>
      <c r="J335" s="65">
        <v>0</v>
      </c>
      <c r="K335" s="66"/>
      <c r="L335" s="57">
        <f>IF(Table1214[[#This Row],[modality]]=E334,1,0)</f>
        <v>1</v>
      </c>
      <c r="M335" s="66">
        <f>IF(Table1214[[#This Row],[stimulus]]=H336, 1, 0)</f>
        <v>0</v>
      </c>
      <c r="N335" s="66">
        <f t="shared" si="10"/>
        <v>1</v>
      </c>
      <c r="O335" s="66">
        <f t="shared" si="11"/>
        <v>0</v>
      </c>
    </row>
    <row r="336" spans="1:18" x14ac:dyDescent="0.3">
      <c r="A336" s="58">
        <v>2</v>
      </c>
      <c r="B336" s="59">
        <v>4</v>
      </c>
      <c r="C336" s="63">
        <v>335</v>
      </c>
      <c r="D336" s="93">
        <v>2</v>
      </c>
      <c r="E336" s="93" t="s">
        <v>80</v>
      </c>
      <c r="F336" s="93" t="s">
        <v>29</v>
      </c>
      <c r="G336" s="53" t="s">
        <v>42</v>
      </c>
      <c r="H336" s="53"/>
      <c r="I336" s="75" t="s">
        <v>127</v>
      </c>
      <c r="J336" s="65">
        <v>0</v>
      </c>
      <c r="K336" s="107"/>
      <c r="L336" s="57">
        <f>IF(Table1214[[#This Row],[modality]]=E335,1,0)</f>
        <v>0</v>
      </c>
      <c r="M336" s="66">
        <f>IF(Table1214[[#This Row],[stimulus]]=H337, 1, 0)</f>
        <v>0</v>
      </c>
      <c r="N336" s="66">
        <f t="shared" si="10"/>
        <v>0</v>
      </c>
      <c r="O336" s="66">
        <f t="shared" si="11"/>
        <v>1</v>
      </c>
    </row>
    <row r="337" spans="1:15" x14ac:dyDescent="0.3">
      <c r="A337" s="58">
        <v>2</v>
      </c>
      <c r="B337" s="59">
        <v>4</v>
      </c>
      <c r="C337" s="63">
        <v>336</v>
      </c>
      <c r="D337" s="78">
        <v>1</v>
      </c>
      <c r="E337" s="78" t="s">
        <v>81</v>
      </c>
      <c r="F337" s="78" t="s">
        <v>29</v>
      </c>
      <c r="G337" s="58" t="s">
        <v>42</v>
      </c>
      <c r="H337" s="58" t="s">
        <v>49</v>
      </c>
      <c r="I337" s="66"/>
      <c r="J337" s="66">
        <v>1</v>
      </c>
      <c r="K337" s="66" t="s">
        <v>10</v>
      </c>
      <c r="L337" s="57">
        <f>IF(Table1214[[#This Row],[modality]]=E336,1,0)</f>
        <v>0</v>
      </c>
      <c r="M337" s="66">
        <f>IF(Table1214[[#This Row],[stimulus]]=H338, 1, 0)</f>
        <v>0</v>
      </c>
      <c r="N337" s="66">
        <f t="shared" si="10"/>
        <v>0</v>
      </c>
      <c r="O337" s="66">
        <f t="shared" si="11"/>
        <v>1</v>
      </c>
    </row>
    <row r="338" spans="1:15" x14ac:dyDescent="0.3">
      <c r="A338" s="58">
        <v>2</v>
      </c>
      <c r="B338" s="59">
        <v>4</v>
      </c>
      <c r="C338" s="63">
        <v>337</v>
      </c>
      <c r="D338" s="68">
        <v>1</v>
      </c>
      <c r="E338" s="68" t="s">
        <v>81</v>
      </c>
      <c r="F338" s="68" t="s">
        <v>0</v>
      </c>
      <c r="G338" s="47" t="s">
        <v>41</v>
      </c>
      <c r="H338" s="47" t="s">
        <v>53</v>
      </c>
      <c r="I338" s="66"/>
      <c r="J338" s="66">
        <v>1</v>
      </c>
      <c r="K338" s="66" t="s">
        <v>9</v>
      </c>
      <c r="L338" s="57">
        <f>IF(Table1214[[#This Row],[modality]]=E337,1,0)</f>
        <v>1</v>
      </c>
      <c r="M338" s="66">
        <f>IF(Table1214[[#This Row],[stimulus]]=H339, 1, 0)</f>
        <v>1</v>
      </c>
      <c r="N338" s="66">
        <f t="shared" si="10"/>
        <v>0</v>
      </c>
      <c r="O338" s="66">
        <f t="shared" si="11"/>
        <v>1</v>
      </c>
    </row>
    <row r="339" spans="1:15" x14ac:dyDescent="0.3">
      <c r="A339" s="58">
        <v>2</v>
      </c>
      <c r="B339" s="59">
        <v>4</v>
      </c>
      <c r="C339" s="63">
        <v>338</v>
      </c>
      <c r="D339" s="65">
        <v>1</v>
      </c>
      <c r="E339" s="103" t="s">
        <v>80</v>
      </c>
      <c r="F339" s="65" t="s">
        <v>40</v>
      </c>
      <c r="G339" s="58" t="s">
        <v>10</v>
      </c>
      <c r="H339" s="58" t="s">
        <v>53</v>
      </c>
      <c r="I339" s="66"/>
      <c r="J339" s="65">
        <v>0</v>
      </c>
      <c r="K339" s="66"/>
      <c r="L339" s="57">
        <f>IF(Table1214[[#This Row],[modality]]=E338,1,0)</f>
        <v>0</v>
      </c>
      <c r="M339" s="66">
        <f>IF(Table1214[[#This Row],[stimulus]]=H340, 1, 0)</f>
        <v>0</v>
      </c>
      <c r="N339" s="66">
        <f t="shared" si="10"/>
        <v>0</v>
      </c>
      <c r="O339" s="66">
        <f t="shared" si="11"/>
        <v>0</v>
      </c>
    </row>
    <row r="340" spans="1:15" x14ac:dyDescent="0.3">
      <c r="A340" s="58">
        <v>2</v>
      </c>
      <c r="B340" s="59">
        <v>4</v>
      </c>
      <c r="C340" s="63">
        <v>339</v>
      </c>
      <c r="D340" s="78">
        <v>2</v>
      </c>
      <c r="E340" s="78" t="s">
        <v>80</v>
      </c>
      <c r="F340" s="78" t="s">
        <v>29</v>
      </c>
      <c r="G340" s="47" t="s">
        <v>42</v>
      </c>
      <c r="H340" s="47" t="s">
        <v>45</v>
      </c>
      <c r="I340" s="66"/>
      <c r="J340" s="65">
        <v>0</v>
      </c>
      <c r="K340" s="66"/>
      <c r="L340" s="57">
        <f>IF(Table1214[[#This Row],[modality]]=E339,1,0)</f>
        <v>1</v>
      </c>
      <c r="M340" s="66">
        <f>IF(Table1214[[#This Row],[stimulus]]=H341, 1, 0)</f>
        <v>0</v>
      </c>
      <c r="N340" s="66">
        <f t="shared" si="10"/>
        <v>1</v>
      </c>
      <c r="O340" s="66">
        <f t="shared" si="11"/>
        <v>0</v>
      </c>
    </row>
    <row r="341" spans="1:15" x14ac:dyDescent="0.3">
      <c r="A341" s="58">
        <v>2</v>
      </c>
      <c r="B341" s="59">
        <v>4</v>
      </c>
      <c r="C341" s="63">
        <v>340</v>
      </c>
      <c r="D341" s="65">
        <v>2</v>
      </c>
      <c r="E341" s="65" t="s">
        <v>80</v>
      </c>
      <c r="F341" s="65" t="s">
        <v>0</v>
      </c>
      <c r="G341" s="58" t="s">
        <v>41</v>
      </c>
      <c r="H341" s="58" t="s">
        <v>57</v>
      </c>
      <c r="I341" s="66"/>
      <c r="J341" s="66">
        <v>1</v>
      </c>
      <c r="K341" s="66" t="s">
        <v>9</v>
      </c>
      <c r="L341" s="57">
        <f>IF(Table1214[[#This Row],[modality]]=E340,1,0)</f>
        <v>1</v>
      </c>
      <c r="M341" s="66">
        <f>IF(Table1214[[#This Row],[stimulus]]=H342, 1, 0)</f>
        <v>1</v>
      </c>
      <c r="N341" s="66">
        <f t="shared" si="10"/>
        <v>0</v>
      </c>
      <c r="O341" s="66">
        <f t="shared" si="11"/>
        <v>1</v>
      </c>
    </row>
    <row r="342" spans="1:15" x14ac:dyDescent="0.3">
      <c r="A342" s="58">
        <v>2</v>
      </c>
      <c r="B342" s="59">
        <v>4</v>
      </c>
      <c r="C342" s="63">
        <v>341</v>
      </c>
      <c r="D342" s="70">
        <v>1</v>
      </c>
      <c r="E342" s="70" t="s">
        <v>81</v>
      </c>
      <c r="F342" s="70" t="s">
        <v>40</v>
      </c>
      <c r="G342" s="71" t="s">
        <v>10</v>
      </c>
      <c r="H342" s="71" t="s">
        <v>57</v>
      </c>
      <c r="I342" s="66"/>
      <c r="J342" s="65">
        <v>0</v>
      </c>
      <c r="K342" s="66"/>
      <c r="L342" s="57">
        <f>IF(Table1214[[#This Row],[modality]]=E341,1,0)</f>
        <v>0</v>
      </c>
      <c r="M342" s="66">
        <f>IF(Table1214[[#This Row],[stimulus]]=H343, 1, 0)</f>
        <v>0</v>
      </c>
      <c r="N342" s="66">
        <f t="shared" si="10"/>
        <v>0</v>
      </c>
      <c r="O342" s="66">
        <f t="shared" si="11"/>
        <v>0</v>
      </c>
    </row>
    <row r="343" spans="1:15" x14ac:dyDescent="0.3">
      <c r="A343" s="58">
        <v>2</v>
      </c>
      <c r="B343" s="59">
        <v>4</v>
      </c>
      <c r="C343" s="63">
        <v>342</v>
      </c>
      <c r="D343" s="78">
        <v>1</v>
      </c>
      <c r="E343" s="78" t="s">
        <v>81</v>
      </c>
      <c r="F343" s="78" t="s">
        <v>29</v>
      </c>
      <c r="G343" s="58" t="s">
        <v>42</v>
      </c>
      <c r="H343" s="58" t="s">
        <v>44</v>
      </c>
      <c r="I343" s="66"/>
      <c r="J343" s="65">
        <v>0</v>
      </c>
      <c r="K343" s="66"/>
      <c r="L343" s="57">
        <f>IF(Table1214[[#This Row],[modality]]=E342,1,0)</f>
        <v>1</v>
      </c>
      <c r="M343" s="66">
        <f>IF(Table1214[[#This Row],[stimulus]]=H344, 1, 0)</f>
        <v>0</v>
      </c>
      <c r="N343" s="66">
        <f t="shared" si="10"/>
        <v>1</v>
      </c>
      <c r="O343" s="66">
        <f t="shared" si="11"/>
        <v>0</v>
      </c>
    </row>
    <row r="344" spans="1:15" x14ac:dyDescent="0.3">
      <c r="A344" s="58">
        <v>2</v>
      </c>
      <c r="B344" s="59">
        <v>4</v>
      </c>
      <c r="C344" s="63">
        <v>343</v>
      </c>
      <c r="D344" s="68">
        <v>1</v>
      </c>
      <c r="E344" s="68" t="s">
        <v>81</v>
      </c>
      <c r="F344" s="68" t="s">
        <v>0</v>
      </c>
      <c r="G344" s="47" t="s">
        <v>41</v>
      </c>
      <c r="H344" s="47" t="s">
        <v>52</v>
      </c>
      <c r="I344" s="66"/>
      <c r="J344" s="66">
        <v>1</v>
      </c>
      <c r="K344" s="66" t="s">
        <v>9</v>
      </c>
      <c r="L344" s="57">
        <f>IF(Table1214[[#This Row],[modality]]=E343,1,0)</f>
        <v>1</v>
      </c>
      <c r="M344" s="66">
        <f>IF(Table1214[[#This Row],[stimulus]]=H345, 1, 0)</f>
        <v>1</v>
      </c>
      <c r="N344" s="66">
        <f t="shared" si="10"/>
        <v>0</v>
      </c>
      <c r="O344" s="66">
        <f t="shared" si="11"/>
        <v>1</v>
      </c>
    </row>
    <row r="345" spans="1:15" x14ac:dyDescent="0.3">
      <c r="A345" s="58">
        <v>2</v>
      </c>
      <c r="B345" s="59">
        <v>4</v>
      </c>
      <c r="C345" s="63">
        <v>344</v>
      </c>
      <c r="D345" s="65">
        <v>2</v>
      </c>
      <c r="E345" s="65" t="s">
        <v>80</v>
      </c>
      <c r="F345" s="65" t="s">
        <v>40</v>
      </c>
      <c r="G345" s="58" t="s">
        <v>10</v>
      </c>
      <c r="H345" s="58" t="s">
        <v>52</v>
      </c>
      <c r="I345" s="66"/>
      <c r="J345" s="65">
        <v>0</v>
      </c>
      <c r="K345" s="66"/>
      <c r="L345" s="57">
        <f>IF(Table1214[[#This Row],[modality]]=E344,1,0)</f>
        <v>0</v>
      </c>
      <c r="M345" s="66">
        <f>IF(Table1214[[#This Row],[stimulus]]=H346, 1, 0)</f>
        <v>0</v>
      </c>
      <c r="N345" s="66">
        <f t="shared" si="10"/>
        <v>0</v>
      </c>
      <c r="O345" s="66">
        <f t="shared" si="11"/>
        <v>0</v>
      </c>
    </row>
    <row r="346" spans="1:15" x14ac:dyDescent="0.3">
      <c r="A346" s="58">
        <v>2</v>
      </c>
      <c r="B346" s="59">
        <v>4</v>
      </c>
      <c r="C346" s="63">
        <v>345</v>
      </c>
      <c r="D346" s="68">
        <v>2</v>
      </c>
      <c r="E346" s="68" t="s">
        <v>80</v>
      </c>
      <c r="F346" s="68" t="s">
        <v>0</v>
      </c>
      <c r="G346" s="47" t="s">
        <v>41</v>
      </c>
      <c r="H346" s="47" t="s">
        <v>56</v>
      </c>
      <c r="I346" s="66"/>
      <c r="J346" s="65">
        <v>0</v>
      </c>
      <c r="K346" s="66"/>
      <c r="L346" s="57">
        <f>IF(Table1214[[#This Row],[modality]]=E345,1,0)</f>
        <v>1</v>
      </c>
      <c r="M346" s="66">
        <f>IF(Table1214[[#This Row],[stimulus]]=H347, 1, 0)</f>
        <v>1</v>
      </c>
      <c r="N346" s="66">
        <f t="shared" si="10"/>
        <v>1</v>
      </c>
      <c r="O346" s="66">
        <f t="shared" si="11"/>
        <v>0</v>
      </c>
    </row>
    <row r="347" spans="1:15" x14ac:dyDescent="0.3">
      <c r="A347" s="58">
        <v>2</v>
      </c>
      <c r="B347" s="59">
        <v>4</v>
      </c>
      <c r="C347" s="63">
        <v>346</v>
      </c>
      <c r="D347" s="65">
        <v>2</v>
      </c>
      <c r="E347" s="65" t="s">
        <v>80</v>
      </c>
      <c r="F347" s="65" t="s">
        <v>40</v>
      </c>
      <c r="G347" s="58" t="s">
        <v>9</v>
      </c>
      <c r="H347" s="58" t="s">
        <v>56</v>
      </c>
      <c r="I347" s="66"/>
      <c r="J347" s="65">
        <v>0</v>
      </c>
      <c r="K347" s="66"/>
      <c r="L347" s="57">
        <f>IF(Table1214[[#This Row],[modality]]=E346,1,0)</f>
        <v>1</v>
      </c>
      <c r="M347" s="66">
        <f>IF(Table1214[[#This Row],[stimulus]]=H348, 1, 0)</f>
        <v>0</v>
      </c>
      <c r="N347" s="66">
        <f t="shared" si="10"/>
        <v>0</v>
      </c>
      <c r="O347" s="66">
        <f t="shared" si="11"/>
        <v>0</v>
      </c>
    </row>
    <row r="348" spans="1:15" x14ac:dyDescent="0.3">
      <c r="A348" s="58">
        <v>2</v>
      </c>
      <c r="B348" s="59">
        <v>4</v>
      </c>
      <c r="C348" s="63">
        <v>347</v>
      </c>
      <c r="D348" s="78">
        <v>1</v>
      </c>
      <c r="E348" s="78" t="s">
        <v>81</v>
      </c>
      <c r="F348" s="78" t="s">
        <v>29</v>
      </c>
      <c r="G348" s="47" t="s">
        <v>42</v>
      </c>
      <c r="H348" s="47" t="s">
        <v>46</v>
      </c>
      <c r="I348" s="66"/>
      <c r="J348" s="65">
        <v>0</v>
      </c>
      <c r="K348" s="66"/>
      <c r="L348" s="57">
        <f>IF(Table1214[[#This Row],[modality]]=E347,1,0)</f>
        <v>0</v>
      </c>
      <c r="M348" s="66">
        <f>IF(Table1214[[#This Row],[stimulus]]=H349, 1, 0)</f>
        <v>0</v>
      </c>
      <c r="N348" s="66">
        <f t="shared" si="10"/>
        <v>1</v>
      </c>
      <c r="O348" s="66">
        <f t="shared" si="11"/>
        <v>0</v>
      </c>
    </row>
    <row r="349" spans="1:15" x14ac:dyDescent="0.3">
      <c r="A349" s="58">
        <v>2</v>
      </c>
      <c r="B349" s="59">
        <v>4</v>
      </c>
      <c r="C349" s="63">
        <v>348</v>
      </c>
      <c r="D349" s="65">
        <v>2</v>
      </c>
      <c r="E349" s="65" t="s">
        <v>80</v>
      </c>
      <c r="F349" s="65" t="s">
        <v>0</v>
      </c>
      <c r="G349" s="58" t="s">
        <v>41</v>
      </c>
      <c r="H349" s="58" t="s">
        <v>54</v>
      </c>
      <c r="I349" s="66"/>
      <c r="J349" s="66">
        <v>1</v>
      </c>
      <c r="K349" s="66" t="s">
        <v>10</v>
      </c>
      <c r="L349" s="57">
        <f>IF(Table1214[[#This Row],[modality]]=E348,1,0)</f>
        <v>0</v>
      </c>
      <c r="M349" s="66">
        <f>IF(Table1214[[#This Row],[stimulus]]=H350, 1, 0)</f>
        <v>1</v>
      </c>
      <c r="N349" s="66">
        <f t="shared" si="10"/>
        <v>0</v>
      </c>
      <c r="O349" s="66">
        <f t="shared" si="11"/>
        <v>1</v>
      </c>
    </row>
    <row r="350" spans="1:15" x14ac:dyDescent="0.3">
      <c r="A350" s="58">
        <v>2</v>
      </c>
      <c r="B350" s="59">
        <v>4</v>
      </c>
      <c r="C350" s="63">
        <v>349</v>
      </c>
      <c r="D350" s="70">
        <v>2</v>
      </c>
      <c r="E350" s="70" t="s">
        <v>80</v>
      </c>
      <c r="F350" s="70" t="s">
        <v>40</v>
      </c>
      <c r="G350" s="71" t="s">
        <v>9</v>
      </c>
      <c r="H350" s="71" t="s">
        <v>54</v>
      </c>
      <c r="I350" s="66"/>
      <c r="J350" s="65">
        <v>0</v>
      </c>
      <c r="K350" s="66"/>
      <c r="L350" s="57">
        <f>IF(Table1214[[#This Row],[modality]]=E349,1,0)</f>
        <v>1</v>
      </c>
      <c r="M350" s="66">
        <f>IF(Table1214[[#This Row],[stimulus]]=H351, 1, 0)</f>
        <v>0</v>
      </c>
      <c r="N350" s="66">
        <f t="shared" si="10"/>
        <v>0</v>
      </c>
      <c r="O350" s="66">
        <f t="shared" si="11"/>
        <v>0</v>
      </c>
    </row>
    <row r="351" spans="1:15" x14ac:dyDescent="0.3">
      <c r="A351" s="58">
        <v>2</v>
      </c>
      <c r="B351" s="59">
        <v>4</v>
      </c>
      <c r="C351" s="63">
        <v>350</v>
      </c>
      <c r="D351" s="93">
        <v>1</v>
      </c>
      <c r="E351" s="93" t="s">
        <v>81</v>
      </c>
      <c r="F351" s="93" t="s">
        <v>29</v>
      </c>
      <c r="G351" s="52" t="s">
        <v>42</v>
      </c>
      <c r="H351" s="52"/>
      <c r="I351" s="75" t="s">
        <v>127</v>
      </c>
      <c r="J351" s="65">
        <v>0</v>
      </c>
      <c r="K351" s="66"/>
      <c r="L351" s="57">
        <f>IF(Table1214[[#This Row],[modality]]=E350,1,0)</f>
        <v>0</v>
      </c>
      <c r="M351" s="66">
        <f>IF(Table1214[[#This Row],[stimulus]]=H352, 1, 0)</f>
        <v>0</v>
      </c>
      <c r="N351" s="66">
        <f t="shared" si="10"/>
        <v>1</v>
      </c>
      <c r="O351" s="66">
        <f t="shared" si="11"/>
        <v>0</v>
      </c>
    </row>
    <row r="352" spans="1:15" x14ac:dyDescent="0.3">
      <c r="A352" s="58">
        <v>2</v>
      </c>
      <c r="B352" s="59">
        <v>4</v>
      </c>
      <c r="C352" s="63">
        <v>351</v>
      </c>
      <c r="D352" s="78">
        <v>2</v>
      </c>
      <c r="E352" s="78" t="s">
        <v>80</v>
      </c>
      <c r="F352" s="78" t="s">
        <v>29</v>
      </c>
      <c r="G352" s="47" t="s">
        <v>42</v>
      </c>
      <c r="H352" s="47" t="s">
        <v>48</v>
      </c>
      <c r="I352" s="66"/>
      <c r="J352" s="65">
        <v>0</v>
      </c>
      <c r="K352" s="66"/>
      <c r="L352" s="57">
        <f>IF(Table1214[[#This Row],[modality]]=E351,1,0)</f>
        <v>0</v>
      </c>
      <c r="M352" s="66">
        <f>IF(Table1214[[#This Row],[stimulus]]=H353, 1, 0)</f>
        <v>0</v>
      </c>
      <c r="N352" s="66">
        <f t="shared" si="10"/>
        <v>0</v>
      </c>
      <c r="O352" s="66">
        <f t="shared" si="11"/>
        <v>1</v>
      </c>
    </row>
    <row r="353" spans="1:15" x14ac:dyDescent="0.3">
      <c r="A353" s="58">
        <v>2</v>
      </c>
      <c r="B353" s="59">
        <v>4</v>
      </c>
      <c r="C353" s="63">
        <v>352</v>
      </c>
      <c r="D353" s="65">
        <v>2</v>
      </c>
      <c r="E353" s="65" t="s">
        <v>80</v>
      </c>
      <c r="F353" s="65" t="s">
        <v>0</v>
      </c>
      <c r="G353" s="58" t="s">
        <v>41</v>
      </c>
      <c r="H353" s="58" t="s">
        <v>58</v>
      </c>
      <c r="I353" s="66"/>
      <c r="J353" s="66">
        <v>1</v>
      </c>
      <c r="K353" s="66" t="s">
        <v>9</v>
      </c>
      <c r="L353" s="57">
        <f>IF(Table1214[[#This Row],[modality]]=E352,1,0)</f>
        <v>1</v>
      </c>
      <c r="M353" s="66">
        <f>IF(Table1214[[#This Row],[stimulus]]=H354, 1, 0)</f>
        <v>1</v>
      </c>
      <c r="N353" s="66">
        <f t="shared" si="10"/>
        <v>0</v>
      </c>
      <c r="O353" s="66">
        <f t="shared" si="11"/>
        <v>1</v>
      </c>
    </row>
    <row r="354" spans="1:15" x14ac:dyDescent="0.3">
      <c r="A354" s="58">
        <v>2</v>
      </c>
      <c r="B354" s="59">
        <v>4</v>
      </c>
      <c r="C354" s="63">
        <v>353</v>
      </c>
      <c r="D354" s="70">
        <v>1</v>
      </c>
      <c r="E354" s="70" t="s">
        <v>81</v>
      </c>
      <c r="F354" s="70" t="s">
        <v>40</v>
      </c>
      <c r="G354" s="71" t="s">
        <v>10</v>
      </c>
      <c r="H354" s="71" t="s">
        <v>58</v>
      </c>
      <c r="I354" s="66"/>
      <c r="J354" s="65">
        <v>0</v>
      </c>
      <c r="K354" s="66"/>
      <c r="L354" s="57">
        <f>IF(Table1214[[#This Row],[modality]]=E353,1,0)</f>
        <v>0</v>
      </c>
      <c r="M354" s="66">
        <f>IF(Table1214[[#This Row],[stimulus]]=H355, 1, 0)</f>
        <v>0</v>
      </c>
      <c r="N354" s="66">
        <f t="shared" si="10"/>
        <v>0</v>
      </c>
      <c r="O354" s="66">
        <f t="shared" si="11"/>
        <v>0</v>
      </c>
    </row>
    <row r="355" spans="1:15" x14ac:dyDescent="0.3">
      <c r="A355" s="59">
        <v>3</v>
      </c>
      <c r="B355" s="59">
        <v>4</v>
      </c>
      <c r="C355" s="63">
        <v>354</v>
      </c>
      <c r="D355" s="68">
        <v>1</v>
      </c>
      <c r="E355" s="68" t="s">
        <v>81</v>
      </c>
      <c r="F355" s="68" t="s">
        <v>0</v>
      </c>
      <c r="G355" s="47" t="s">
        <v>41</v>
      </c>
      <c r="H355" s="47" t="s">
        <v>63</v>
      </c>
      <c r="I355" s="66"/>
      <c r="J355" s="65">
        <v>0</v>
      </c>
      <c r="K355" s="66"/>
      <c r="L355" s="57">
        <f>IF(Table1214[[#This Row],[modality]]=E354,1,0)</f>
        <v>1</v>
      </c>
      <c r="M355" s="66">
        <f>IF(Table1214[[#This Row],[stimulus]]=H356, 1, 0)</f>
        <v>1</v>
      </c>
      <c r="N355" s="66">
        <f t="shared" si="10"/>
        <v>1</v>
      </c>
      <c r="O355" s="66">
        <f t="shared" si="11"/>
        <v>0</v>
      </c>
    </row>
    <row r="356" spans="1:15" x14ac:dyDescent="0.3">
      <c r="A356" s="59">
        <v>3</v>
      </c>
      <c r="B356" s="59">
        <v>4</v>
      </c>
      <c r="C356" s="63">
        <v>355</v>
      </c>
      <c r="D356" s="70">
        <v>2</v>
      </c>
      <c r="E356" s="70" t="s">
        <v>80</v>
      </c>
      <c r="F356" s="70" t="s">
        <v>40</v>
      </c>
      <c r="G356" s="71" t="s">
        <v>10</v>
      </c>
      <c r="H356" s="71" t="s">
        <v>63</v>
      </c>
      <c r="I356" s="66"/>
      <c r="J356" s="65">
        <v>0</v>
      </c>
      <c r="K356" s="66"/>
      <c r="L356" s="57">
        <f>IF(Table1214[[#This Row],[modality]]=E355,1,0)</f>
        <v>0</v>
      </c>
      <c r="M356" s="66">
        <f>IF(Table1214[[#This Row],[stimulus]]=H357, 1, 0)</f>
        <v>0</v>
      </c>
      <c r="N356" s="66">
        <f t="shared" si="10"/>
        <v>0</v>
      </c>
      <c r="O356" s="66">
        <f t="shared" si="11"/>
        <v>0</v>
      </c>
    </row>
    <row r="357" spans="1:15" x14ac:dyDescent="0.3">
      <c r="A357" s="59">
        <v>3</v>
      </c>
      <c r="B357" s="59">
        <v>4</v>
      </c>
      <c r="C357" s="63">
        <v>356</v>
      </c>
      <c r="D357" s="84">
        <v>2</v>
      </c>
      <c r="E357" s="84" t="s">
        <v>80</v>
      </c>
      <c r="F357" s="84" t="s">
        <v>29</v>
      </c>
      <c r="G357" s="47" t="s">
        <v>42</v>
      </c>
      <c r="H357" s="47" t="s">
        <v>51</v>
      </c>
      <c r="I357" s="66"/>
      <c r="J357" s="65">
        <v>0</v>
      </c>
      <c r="K357" s="66"/>
      <c r="L357" s="57">
        <f>IF(Table1214[[#This Row],[modality]]=E356,1,0)</f>
        <v>1</v>
      </c>
      <c r="M357" s="66">
        <f>IF(Table1214[[#This Row],[stimulus]]=H358, 1, 0)</f>
        <v>0</v>
      </c>
      <c r="N357" s="66">
        <f t="shared" si="10"/>
        <v>1</v>
      </c>
      <c r="O357" s="66">
        <f t="shared" si="11"/>
        <v>0</v>
      </c>
    </row>
    <row r="358" spans="1:15" x14ac:dyDescent="0.3">
      <c r="A358" s="59">
        <v>3</v>
      </c>
      <c r="B358" s="59">
        <v>4</v>
      </c>
      <c r="C358" s="63">
        <v>357</v>
      </c>
      <c r="D358" s="68">
        <v>2</v>
      </c>
      <c r="E358" s="68" t="s">
        <v>80</v>
      </c>
      <c r="F358" s="68" t="s">
        <v>0</v>
      </c>
      <c r="G358" s="47" t="s">
        <v>41</v>
      </c>
      <c r="H358" s="47" t="s">
        <v>59</v>
      </c>
      <c r="I358" s="66"/>
      <c r="J358" s="66">
        <v>1</v>
      </c>
      <c r="K358" s="66" t="s">
        <v>9</v>
      </c>
      <c r="L358" s="57">
        <f>IF(Table1214[[#This Row],[modality]]=E357,1,0)</f>
        <v>1</v>
      </c>
      <c r="M358" s="66">
        <f>IF(Table1214[[#This Row],[stimulus]]=H359, 1, 0)</f>
        <v>1</v>
      </c>
      <c r="N358" s="66">
        <f t="shared" si="10"/>
        <v>0</v>
      </c>
      <c r="O358" s="66">
        <f t="shared" si="11"/>
        <v>1</v>
      </c>
    </row>
    <row r="359" spans="1:15" x14ac:dyDescent="0.3">
      <c r="A359" s="59">
        <v>3</v>
      </c>
      <c r="B359" s="59">
        <v>4</v>
      </c>
      <c r="C359" s="63">
        <v>358</v>
      </c>
      <c r="D359" s="65">
        <v>1</v>
      </c>
      <c r="E359" s="65" t="s">
        <v>81</v>
      </c>
      <c r="F359" s="65" t="s">
        <v>40</v>
      </c>
      <c r="G359" s="58" t="s">
        <v>10</v>
      </c>
      <c r="H359" s="58" t="s">
        <v>59</v>
      </c>
      <c r="I359" s="66"/>
      <c r="J359" s="65">
        <v>0</v>
      </c>
      <c r="K359" s="66"/>
      <c r="L359" s="57">
        <f>IF(Table1214[[#This Row],[modality]]=E358,1,0)</f>
        <v>0</v>
      </c>
      <c r="M359" s="66">
        <f>IF(Table1214[[#This Row],[stimulus]]=H360, 1, 0)</f>
        <v>0</v>
      </c>
      <c r="N359" s="66">
        <f t="shared" si="10"/>
        <v>0</v>
      </c>
      <c r="O359" s="66">
        <f t="shared" si="11"/>
        <v>0</v>
      </c>
    </row>
    <row r="360" spans="1:15" x14ac:dyDescent="0.3">
      <c r="A360" s="59">
        <v>3</v>
      </c>
      <c r="B360" s="59">
        <v>4</v>
      </c>
      <c r="C360" s="63">
        <v>359</v>
      </c>
      <c r="D360" s="84">
        <v>1</v>
      </c>
      <c r="E360" s="84" t="s">
        <v>81</v>
      </c>
      <c r="F360" s="84" t="s">
        <v>29</v>
      </c>
      <c r="G360" s="71" t="s">
        <v>42</v>
      </c>
      <c r="H360" s="71" t="s">
        <v>55</v>
      </c>
      <c r="I360" s="66"/>
      <c r="J360" s="66">
        <v>1</v>
      </c>
      <c r="K360" s="66" t="s">
        <v>9</v>
      </c>
      <c r="L360" s="57">
        <f>IF(Table1214[[#This Row],[modality]]=E359,1,0)</f>
        <v>1</v>
      </c>
      <c r="M360" s="66">
        <f>IF(Table1214[[#This Row],[stimulus]]=H361, 1, 0)</f>
        <v>0</v>
      </c>
      <c r="N360" s="66">
        <f t="shared" si="10"/>
        <v>1</v>
      </c>
      <c r="O360" s="66">
        <f t="shared" si="11"/>
        <v>0</v>
      </c>
    </row>
    <row r="361" spans="1:15" x14ac:dyDescent="0.3">
      <c r="A361" s="59">
        <v>3</v>
      </c>
      <c r="B361" s="59">
        <v>4</v>
      </c>
      <c r="C361" s="63">
        <v>360</v>
      </c>
      <c r="D361" s="68">
        <v>1</v>
      </c>
      <c r="E361" s="68" t="s">
        <v>81</v>
      </c>
      <c r="F361" s="68" t="s">
        <v>0</v>
      </c>
      <c r="G361" s="47" t="s">
        <v>41</v>
      </c>
      <c r="H361" s="47" t="s">
        <v>65</v>
      </c>
      <c r="I361" s="66"/>
      <c r="J361" s="66">
        <v>1</v>
      </c>
      <c r="K361" s="66" t="s">
        <v>9</v>
      </c>
      <c r="L361" s="57">
        <f>IF(Table1214[[#This Row],[modality]]=E360,1,0)</f>
        <v>1</v>
      </c>
      <c r="M361" s="66">
        <f>IF(Table1214[[#This Row],[stimulus]]=H362, 1, 0)</f>
        <v>1</v>
      </c>
      <c r="N361" s="66">
        <f t="shared" si="10"/>
        <v>0</v>
      </c>
      <c r="O361" s="66">
        <f t="shared" si="11"/>
        <v>1</v>
      </c>
    </row>
    <row r="362" spans="1:15" x14ac:dyDescent="0.3">
      <c r="A362" s="59">
        <v>3</v>
      </c>
      <c r="B362" s="59">
        <v>4</v>
      </c>
      <c r="C362" s="63">
        <v>361</v>
      </c>
      <c r="D362" s="70">
        <v>2</v>
      </c>
      <c r="E362" s="70" t="s">
        <v>80</v>
      </c>
      <c r="F362" s="70" t="s">
        <v>40</v>
      </c>
      <c r="G362" s="71" t="s">
        <v>10</v>
      </c>
      <c r="H362" s="71" t="s">
        <v>65</v>
      </c>
      <c r="I362" s="66"/>
      <c r="J362" s="65">
        <v>0</v>
      </c>
      <c r="K362" s="66"/>
      <c r="L362" s="57">
        <f>IF(Table1214[[#This Row],[modality]]=E361,1,0)</f>
        <v>0</v>
      </c>
      <c r="M362" s="66">
        <f>IF(Table1214[[#This Row],[stimulus]]=H363, 1, 0)</f>
        <v>0</v>
      </c>
      <c r="N362" s="66">
        <f t="shared" si="10"/>
        <v>0</v>
      </c>
      <c r="O362" s="66">
        <f t="shared" si="11"/>
        <v>0</v>
      </c>
    </row>
    <row r="363" spans="1:15" x14ac:dyDescent="0.3">
      <c r="A363" s="59">
        <v>3</v>
      </c>
      <c r="B363" s="59">
        <v>4</v>
      </c>
      <c r="C363" s="63">
        <v>362</v>
      </c>
      <c r="D363" s="84">
        <v>1</v>
      </c>
      <c r="E363" s="84" t="s">
        <v>81</v>
      </c>
      <c r="F363" s="84" t="s">
        <v>29</v>
      </c>
      <c r="G363" s="47" t="s">
        <v>42</v>
      </c>
      <c r="H363" s="47" t="s">
        <v>53</v>
      </c>
      <c r="I363" s="66"/>
      <c r="J363" s="65">
        <v>0</v>
      </c>
      <c r="K363" s="66"/>
      <c r="L363" s="57">
        <f>IF(Table1214[[#This Row],[modality]]=E362,1,0)</f>
        <v>0</v>
      </c>
      <c r="M363" s="66">
        <f>IF(Table1214[[#This Row],[stimulus]]=H364, 1, 0)</f>
        <v>0</v>
      </c>
      <c r="N363" s="66">
        <f t="shared" si="10"/>
        <v>1</v>
      </c>
      <c r="O363" s="66">
        <f t="shared" si="11"/>
        <v>0</v>
      </c>
    </row>
    <row r="364" spans="1:15" x14ac:dyDescent="0.3">
      <c r="A364" s="59">
        <v>3</v>
      </c>
      <c r="B364" s="59">
        <v>4</v>
      </c>
      <c r="C364" s="63">
        <v>363</v>
      </c>
      <c r="D364" s="65">
        <v>2</v>
      </c>
      <c r="E364" s="65" t="s">
        <v>80</v>
      </c>
      <c r="F364" s="65" t="s">
        <v>0</v>
      </c>
      <c r="G364" s="58" t="s">
        <v>41</v>
      </c>
      <c r="H364" s="58" t="s">
        <v>61</v>
      </c>
      <c r="I364" s="66"/>
      <c r="J364" s="66">
        <v>1</v>
      </c>
      <c r="K364" s="66" t="s">
        <v>10</v>
      </c>
      <c r="L364" s="57">
        <f>IF(Table1214[[#This Row],[modality]]=E363,1,0)</f>
        <v>0</v>
      </c>
      <c r="M364" s="66">
        <f>IF(Table1214[[#This Row],[stimulus]]=H365, 1, 0)</f>
        <v>1</v>
      </c>
      <c r="N364" s="66">
        <f t="shared" si="10"/>
        <v>0</v>
      </c>
      <c r="O364" s="66">
        <f t="shared" si="11"/>
        <v>1</v>
      </c>
    </row>
    <row r="365" spans="1:15" x14ac:dyDescent="0.3">
      <c r="A365" s="59">
        <v>3</v>
      </c>
      <c r="B365" s="59">
        <v>4</v>
      </c>
      <c r="C365" s="63">
        <v>364</v>
      </c>
      <c r="D365" s="68">
        <v>2</v>
      </c>
      <c r="E365" s="68" t="s">
        <v>80</v>
      </c>
      <c r="F365" s="68" t="s">
        <v>40</v>
      </c>
      <c r="G365" s="47" t="s">
        <v>9</v>
      </c>
      <c r="H365" s="47" t="s">
        <v>61</v>
      </c>
      <c r="I365" s="66"/>
      <c r="J365" s="65">
        <v>0</v>
      </c>
      <c r="K365" s="66"/>
      <c r="L365" s="57">
        <f>IF(Table1214[[#This Row],[modality]]=E364,1,0)</f>
        <v>1</v>
      </c>
      <c r="M365" s="66">
        <f>IF(Table1214[[#This Row],[stimulus]]=H366, 1, 0)</f>
        <v>0</v>
      </c>
      <c r="N365" s="66">
        <f t="shared" si="10"/>
        <v>0</v>
      </c>
      <c r="O365" s="66">
        <f t="shared" si="11"/>
        <v>0</v>
      </c>
    </row>
    <row r="366" spans="1:15" x14ac:dyDescent="0.3">
      <c r="A366" s="59">
        <v>3</v>
      </c>
      <c r="B366" s="59">
        <v>4</v>
      </c>
      <c r="C366" s="63">
        <v>365</v>
      </c>
      <c r="D366" s="84">
        <v>2</v>
      </c>
      <c r="E366" s="84" t="s">
        <v>80</v>
      </c>
      <c r="F366" s="84" t="s">
        <v>29</v>
      </c>
      <c r="G366" s="71" t="s">
        <v>42</v>
      </c>
      <c r="H366" s="71" t="s">
        <v>57</v>
      </c>
      <c r="I366" s="66"/>
      <c r="J366" s="65">
        <v>0</v>
      </c>
      <c r="K366" s="66"/>
      <c r="L366" s="57">
        <f>IF(Table1214[[#This Row],[modality]]=E365,1,0)</f>
        <v>1</v>
      </c>
      <c r="M366" s="66">
        <f>IF(Table1214[[#This Row],[stimulus]]=H367, 1, 0)</f>
        <v>0</v>
      </c>
      <c r="N366" s="66">
        <f t="shared" si="10"/>
        <v>1</v>
      </c>
      <c r="O366" s="66">
        <f t="shared" si="11"/>
        <v>0</v>
      </c>
    </row>
    <row r="367" spans="1:15" x14ac:dyDescent="0.3">
      <c r="A367" s="59">
        <v>3</v>
      </c>
      <c r="B367" s="59">
        <v>4</v>
      </c>
      <c r="C367" s="63">
        <v>366</v>
      </c>
      <c r="D367" s="84">
        <v>1</v>
      </c>
      <c r="E367" s="84" t="s">
        <v>81</v>
      </c>
      <c r="F367" s="84" t="s">
        <v>29</v>
      </c>
      <c r="G367" s="47" t="s">
        <v>42</v>
      </c>
      <c r="H367" s="47" t="s">
        <v>52</v>
      </c>
      <c r="I367" s="66"/>
      <c r="J367" s="66">
        <v>1</v>
      </c>
      <c r="K367" s="66" t="s">
        <v>10</v>
      </c>
      <c r="L367" s="57">
        <f>IF(Table1214[[#This Row],[modality]]=E366,1,0)</f>
        <v>0</v>
      </c>
      <c r="M367" s="66">
        <f>IF(Table1214[[#This Row],[stimulus]]=H368, 1, 0)</f>
        <v>0</v>
      </c>
      <c r="N367" s="66">
        <f t="shared" si="10"/>
        <v>0</v>
      </c>
      <c r="O367" s="66">
        <f t="shared" si="11"/>
        <v>1</v>
      </c>
    </row>
    <row r="368" spans="1:15" x14ac:dyDescent="0.3">
      <c r="A368" s="59">
        <v>3</v>
      </c>
      <c r="B368" s="59">
        <v>4</v>
      </c>
      <c r="C368" s="63">
        <v>367</v>
      </c>
      <c r="D368" s="70">
        <v>2</v>
      </c>
      <c r="E368" s="70" t="s">
        <v>80</v>
      </c>
      <c r="F368" s="70" t="s">
        <v>0</v>
      </c>
      <c r="G368" s="71" t="s">
        <v>41</v>
      </c>
      <c r="H368" s="71" t="s">
        <v>60</v>
      </c>
      <c r="I368" s="66"/>
      <c r="J368" s="66">
        <v>1</v>
      </c>
      <c r="K368" s="66" t="s">
        <v>10</v>
      </c>
      <c r="L368" s="57">
        <f>IF(Table1214[[#This Row],[modality]]=E367,1,0)</f>
        <v>0</v>
      </c>
      <c r="M368" s="66">
        <f>IF(Table1214[[#This Row],[stimulus]]=H369, 1, 0)</f>
        <v>1</v>
      </c>
      <c r="N368" s="66">
        <f t="shared" si="10"/>
        <v>0</v>
      </c>
      <c r="O368" s="66">
        <f t="shared" si="11"/>
        <v>1</v>
      </c>
    </row>
    <row r="369" spans="1:15" x14ac:dyDescent="0.3">
      <c r="A369" s="59">
        <v>3</v>
      </c>
      <c r="B369" s="59">
        <v>4</v>
      </c>
      <c r="C369" s="63">
        <v>368</v>
      </c>
      <c r="D369" s="68">
        <v>2</v>
      </c>
      <c r="E369" s="68" t="s">
        <v>80</v>
      </c>
      <c r="F369" s="68" t="s">
        <v>40</v>
      </c>
      <c r="G369" s="47" t="s">
        <v>9</v>
      </c>
      <c r="H369" s="47" t="s">
        <v>60</v>
      </c>
      <c r="I369" s="66"/>
      <c r="J369" s="65">
        <v>0</v>
      </c>
      <c r="K369" s="66"/>
      <c r="L369" s="57">
        <f>IF(Table1214[[#This Row],[modality]]=E368,1,0)</f>
        <v>1</v>
      </c>
      <c r="M369" s="66">
        <f>IF(Table1214[[#This Row],[stimulus]]=H370, 1, 0)</f>
        <v>0</v>
      </c>
      <c r="N369" s="66">
        <f t="shared" si="10"/>
        <v>0</v>
      </c>
      <c r="O369" s="66">
        <f t="shared" si="11"/>
        <v>0</v>
      </c>
    </row>
    <row r="370" spans="1:15" x14ac:dyDescent="0.3">
      <c r="A370" s="59">
        <v>3</v>
      </c>
      <c r="B370" s="59">
        <v>4</v>
      </c>
      <c r="C370" s="63">
        <v>369</v>
      </c>
      <c r="D370" s="70">
        <v>2</v>
      </c>
      <c r="E370" s="70" t="s">
        <v>80</v>
      </c>
      <c r="F370" s="70" t="s">
        <v>0</v>
      </c>
      <c r="G370" s="71" t="s">
        <v>41</v>
      </c>
      <c r="H370" s="71" t="s">
        <v>66</v>
      </c>
      <c r="I370" s="66"/>
      <c r="J370" s="66">
        <v>1</v>
      </c>
      <c r="K370" s="66" t="s">
        <v>9</v>
      </c>
      <c r="L370" s="57">
        <f>IF(Table1214[[#This Row],[modality]]=E369,1,0)</f>
        <v>1</v>
      </c>
      <c r="M370" s="66">
        <f>IF(Table1214[[#This Row],[stimulus]]=H371, 1, 0)</f>
        <v>1</v>
      </c>
      <c r="N370" s="66">
        <f t="shared" si="10"/>
        <v>1</v>
      </c>
      <c r="O370" s="66">
        <f t="shared" si="11"/>
        <v>0</v>
      </c>
    </row>
    <row r="371" spans="1:15" x14ac:dyDescent="0.3">
      <c r="A371" s="59">
        <v>3</v>
      </c>
      <c r="B371" s="59">
        <v>4</v>
      </c>
      <c r="C371" s="63">
        <v>370</v>
      </c>
      <c r="D371" s="68">
        <v>1</v>
      </c>
      <c r="E371" s="68" t="s">
        <v>81</v>
      </c>
      <c r="F371" s="68" t="s">
        <v>40</v>
      </c>
      <c r="G371" s="47" t="s">
        <v>10</v>
      </c>
      <c r="H371" s="47" t="s">
        <v>66</v>
      </c>
      <c r="I371" s="66"/>
      <c r="J371" s="65">
        <v>0</v>
      </c>
      <c r="K371" s="66"/>
      <c r="L371" s="57">
        <f>IF(Table1214[[#This Row],[modality]]=E370,1,0)</f>
        <v>0</v>
      </c>
      <c r="M371" s="66">
        <f>IF(Table1214[[#This Row],[stimulus]]=H372, 1, 0)</f>
        <v>0</v>
      </c>
      <c r="N371" s="66">
        <f t="shared" si="10"/>
        <v>0</v>
      </c>
      <c r="O371" s="66">
        <f t="shared" si="11"/>
        <v>0</v>
      </c>
    </row>
    <row r="372" spans="1:15" x14ac:dyDescent="0.3">
      <c r="A372" s="59">
        <v>3</v>
      </c>
      <c r="B372" s="59">
        <v>4</v>
      </c>
      <c r="C372" s="63">
        <v>371</v>
      </c>
      <c r="D372" s="84">
        <v>2</v>
      </c>
      <c r="E372" s="84" t="s">
        <v>80</v>
      </c>
      <c r="F372" s="84" t="s">
        <v>29</v>
      </c>
      <c r="G372" s="47" t="s">
        <v>42</v>
      </c>
      <c r="H372" s="47" t="s">
        <v>54</v>
      </c>
      <c r="I372" s="66"/>
      <c r="J372" s="65">
        <v>0</v>
      </c>
      <c r="K372" s="66"/>
      <c r="L372" s="57">
        <f>IF(Table1214[[#This Row],[modality]]=E371,1,0)</f>
        <v>0</v>
      </c>
      <c r="M372" s="66">
        <f>IF(Table1214[[#This Row],[stimulus]]=H373, 1, 0)</f>
        <v>0</v>
      </c>
      <c r="N372" s="66">
        <f t="shared" si="10"/>
        <v>1</v>
      </c>
      <c r="O372" s="66">
        <f t="shared" si="11"/>
        <v>0</v>
      </c>
    </row>
    <row r="373" spans="1:15" x14ac:dyDescent="0.3">
      <c r="A373" s="59">
        <v>3</v>
      </c>
      <c r="B373" s="59">
        <v>4</v>
      </c>
      <c r="C373" s="63">
        <v>372</v>
      </c>
      <c r="D373" s="84">
        <v>1</v>
      </c>
      <c r="E373" s="84" t="s">
        <v>81</v>
      </c>
      <c r="F373" s="84" t="s">
        <v>29</v>
      </c>
      <c r="G373" s="58" t="s">
        <v>42</v>
      </c>
      <c r="H373" s="58" t="s">
        <v>56</v>
      </c>
      <c r="I373" s="66"/>
      <c r="J373" s="65">
        <v>0</v>
      </c>
      <c r="K373" s="66"/>
      <c r="L373" s="57">
        <f>IF(Table1214[[#This Row],[modality]]=E372,1,0)</f>
        <v>0</v>
      </c>
      <c r="M373" s="66">
        <f>IF(Table1214[[#This Row],[stimulus]]=H374, 1, 0)</f>
        <v>0</v>
      </c>
      <c r="N373" s="66">
        <f t="shared" si="10"/>
        <v>0</v>
      </c>
      <c r="O373" s="66">
        <f t="shared" si="11"/>
        <v>1</v>
      </c>
    </row>
    <row r="374" spans="1:15" x14ac:dyDescent="0.3">
      <c r="A374" s="59">
        <v>3</v>
      </c>
      <c r="B374" s="59">
        <v>4</v>
      </c>
      <c r="C374" s="63">
        <v>373</v>
      </c>
      <c r="D374" s="70">
        <v>1</v>
      </c>
      <c r="E374" s="70" t="s">
        <v>81</v>
      </c>
      <c r="F374" s="70" t="s">
        <v>0</v>
      </c>
      <c r="G374" s="71" t="s">
        <v>41</v>
      </c>
      <c r="H374" s="71" t="s">
        <v>64</v>
      </c>
      <c r="I374" s="66"/>
      <c r="J374" s="65">
        <v>0</v>
      </c>
      <c r="K374" s="66"/>
      <c r="L374" s="57">
        <f>IF(Table1214[[#This Row],[modality]]=E373,1,0)</f>
        <v>1</v>
      </c>
      <c r="M374" s="66">
        <f>IF(Table1214[[#This Row],[stimulus]]=H375, 1, 0)</f>
        <v>1</v>
      </c>
      <c r="N374" s="66">
        <f t="shared" si="10"/>
        <v>0</v>
      </c>
      <c r="O374" s="66">
        <f t="shared" si="11"/>
        <v>1</v>
      </c>
    </row>
    <row r="375" spans="1:15" x14ac:dyDescent="0.3">
      <c r="A375" s="59">
        <v>3</v>
      </c>
      <c r="B375" s="59">
        <v>4</v>
      </c>
      <c r="C375" s="63">
        <v>374</v>
      </c>
      <c r="D375" s="68">
        <v>1</v>
      </c>
      <c r="E375" s="68" t="s">
        <v>81</v>
      </c>
      <c r="F375" s="68" t="s">
        <v>40</v>
      </c>
      <c r="G375" s="47" t="s">
        <v>9</v>
      </c>
      <c r="H375" s="47" t="s">
        <v>64</v>
      </c>
      <c r="I375" s="66"/>
      <c r="J375" s="65">
        <v>0</v>
      </c>
      <c r="K375" s="66"/>
      <c r="L375" s="57">
        <f>IF(Table1214[[#This Row],[modality]]=E374,1,0)</f>
        <v>1</v>
      </c>
      <c r="M375" s="66">
        <f>IF(Table1214[[#This Row],[stimulus]]=H376, 1, 0)</f>
        <v>0</v>
      </c>
      <c r="N375" s="66">
        <f t="shared" si="10"/>
        <v>0</v>
      </c>
      <c r="O375" s="66">
        <f t="shared" si="11"/>
        <v>0</v>
      </c>
    </row>
    <row r="376" spans="1:15" x14ac:dyDescent="0.3">
      <c r="A376" s="59">
        <v>3</v>
      </c>
      <c r="B376" s="59">
        <v>4</v>
      </c>
      <c r="C376" s="63">
        <v>375</v>
      </c>
      <c r="D376" s="84">
        <v>2</v>
      </c>
      <c r="E376" s="84" t="s">
        <v>80</v>
      </c>
      <c r="F376" s="84" t="s">
        <v>29</v>
      </c>
      <c r="G376" s="71" t="s">
        <v>42</v>
      </c>
      <c r="H376" s="71" t="s">
        <v>58</v>
      </c>
      <c r="I376" s="66"/>
      <c r="J376" s="65">
        <v>0</v>
      </c>
      <c r="K376" s="66"/>
      <c r="L376" s="57">
        <f>IF(Table1214[[#This Row],[modality]]=E375,1,0)</f>
        <v>0</v>
      </c>
      <c r="M376" s="66">
        <f>IF(Table1214[[#This Row],[stimulus]]=H377, 1, 0)</f>
        <v>0</v>
      </c>
      <c r="N376" s="66">
        <f t="shared" si="10"/>
        <v>1</v>
      </c>
      <c r="O376" s="66">
        <f t="shared" si="11"/>
        <v>0</v>
      </c>
    </row>
    <row r="377" spans="1:15" x14ac:dyDescent="0.3">
      <c r="A377" s="59">
        <v>3</v>
      </c>
      <c r="B377" s="59">
        <v>4</v>
      </c>
      <c r="C377" s="63">
        <v>376</v>
      </c>
      <c r="D377" s="68">
        <v>1</v>
      </c>
      <c r="E377" s="68" t="s">
        <v>81</v>
      </c>
      <c r="F377" s="68" t="s">
        <v>0</v>
      </c>
      <c r="G377" s="47" t="s">
        <v>41</v>
      </c>
      <c r="H377" s="47" t="s">
        <v>62</v>
      </c>
      <c r="I377" s="66"/>
      <c r="J377" s="66">
        <v>1</v>
      </c>
      <c r="K377" s="66" t="s">
        <v>10</v>
      </c>
      <c r="L377" s="57">
        <f>IF(Table1214[[#This Row],[modality]]=E376,1,0)</f>
        <v>0</v>
      </c>
      <c r="M377" s="66">
        <f>IF(Table1214[[#This Row],[stimulus]]=H378, 1, 0)</f>
        <v>1</v>
      </c>
      <c r="N377" s="66">
        <f t="shared" si="10"/>
        <v>0</v>
      </c>
      <c r="O377" s="66">
        <f t="shared" si="11"/>
        <v>1</v>
      </c>
    </row>
    <row r="378" spans="1:15" x14ac:dyDescent="0.3">
      <c r="A378" s="59">
        <v>3</v>
      </c>
      <c r="B378" s="59">
        <v>4</v>
      </c>
      <c r="C378" s="63">
        <v>377</v>
      </c>
      <c r="D378" s="70">
        <v>1</v>
      </c>
      <c r="E378" s="70" t="s">
        <v>81</v>
      </c>
      <c r="F378" s="70" t="s">
        <v>40</v>
      </c>
      <c r="G378" s="71" t="s">
        <v>9</v>
      </c>
      <c r="H378" s="71" t="s">
        <v>62</v>
      </c>
      <c r="I378" s="66"/>
      <c r="J378" s="65">
        <v>0</v>
      </c>
      <c r="K378" s="66"/>
      <c r="L378" s="57">
        <f>IF(Table1214[[#This Row],[modality]]=E377,1,0)</f>
        <v>1</v>
      </c>
      <c r="M378" s="66">
        <f>IF(Table1214[[#This Row],[stimulus]]=H379, 1, 0)</f>
        <v>0</v>
      </c>
      <c r="N378" s="66">
        <f t="shared" si="10"/>
        <v>0</v>
      </c>
      <c r="O378" s="66">
        <f t="shared" si="11"/>
        <v>0</v>
      </c>
    </row>
    <row r="379" spans="1:15" x14ac:dyDescent="0.3">
      <c r="A379" s="58">
        <v>4</v>
      </c>
      <c r="B379" s="59">
        <v>4</v>
      </c>
      <c r="C379" s="63">
        <v>378</v>
      </c>
      <c r="D379" s="91">
        <v>1</v>
      </c>
      <c r="E379" s="91" t="s">
        <v>81</v>
      </c>
      <c r="F379" s="91" t="s">
        <v>29</v>
      </c>
      <c r="G379" s="47" t="s">
        <v>42</v>
      </c>
      <c r="H379" s="47" t="s">
        <v>59</v>
      </c>
      <c r="I379" s="66"/>
      <c r="J379" s="66">
        <v>1</v>
      </c>
      <c r="K379" s="66" t="s">
        <v>9</v>
      </c>
      <c r="L379" s="57">
        <f>IF(Table1214[[#This Row],[modality]]=E378,1,0)</f>
        <v>1</v>
      </c>
      <c r="M379" s="66">
        <f>IF(Table1214[[#This Row],[stimulus]]=H380, 1, 0)</f>
        <v>0</v>
      </c>
      <c r="N379" s="66">
        <f t="shared" si="10"/>
        <v>1</v>
      </c>
      <c r="O379" s="66">
        <f t="shared" si="11"/>
        <v>0</v>
      </c>
    </row>
    <row r="380" spans="1:15" x14ac:dyDescent="0.3">
      <c r="A380" s="58">
        <v>4</v>
      </c>
      <c r="B380" s="58">
        <v>4</v>
      </c>
      <c r="C380" s="63">
        <v>379</v>
      </c>
      <c r="D380" s="93">
        <v>2</v>
      </c>
      <c r="E380" s="93" t="s">
        <v>80</v>
      </c>
      <c r="F380" s="93" t="s">
        <v>29</v>
      </c>
      <c r="G380" s="52" t="s">
        <v>42</v>
      </c>
      <c r="H380" s="52"/>
      <c r="I380" s="66"/>
      <c r="J380" s="65">
        <v>0</v>
      </c>
      <c r="K380" s="66"/>
      <c r="L380" s="57">
        <f>IF(Table1214[[#This Row],[modality]]=E379,1,0)</f>
        <v>0</v>
      </c>
      <c r="M380" s="66">
        <f>IF(Table1214[[#This Row],[stimulus]]=H381, 1, 0)</f>
        <v>0</v>
      </c>
      <c r="N380" s="66">
        <f t="shared" si="10"/>
        <v>0</v>
      </c>
      <c r="O380" s="66">
        <f t="shared" si="11"/>
        <v>1</v>
      </c>
    </row>
    <row r="381" spans="1:15" x14ac:dyDescent="0.3">
      <c r="A381" s="58">
        <v>4</v>
      </c>
      <c r="B381" s="59">
        <v>4</v>
      </c>
      <c r="C381" s="63">
        <v>380</v>
      </c>
      <c r="D381" s="91">
        <v>2</v>
      </c>
      <c r="E381" s="91" t="s">
        <v>80</v>
      </c>
      <c r="F381" s="91" t="s">
        <v>29</v>
      </c>
      <c r="G381" s="71" t="s">
        <v>42</v>
      </c>
      <c r="H381" s="71" t="s">
        <v>64</v>
      </c>
      <c r="I381" s="66"/>
      <c r="J381" s="66">
        <v>1</v>
      </c>
      <c r="K381" s="66" t="s">
        <v>9</v>
      </c>
      <c r="L381" s="57">
        <f>IF(Table1214[[#This Row],[modality]]=E380,1,0)</f>
        <v>1</v>
      </c>
      <c r="M381" s="66">
        <f>IF(Table1214[[#This Row],[stimulus]]=H382, 1, 0)</f>
        <v>0</v>
      </c>
      <c r="N381" s="66">
        <f t="shared" si="10"/>
        <v>0</v>
      </c>
      <c r="O381" s="66">
        <f t="shared" si="11"/>
        <v>1</v>
      </c>
    </row>
    <row r="382" spans="1:15" x14ac:dyDescent="0.3">
      <c r="A382" s="58">
        <v>4</v>
      </c>
      <c r="B382" s="59">
        <v>4</v>
      </c>
      <c r="C382" s="63">
        <v>381</v>
      </c>
      <c r="D382" s="65">
        <v>1</v>
      </c>
      <c r="E382" s="65" t="s">
        <v>81</v>
      </c>
      <c r="F382" s="65" t="s">
        <v>0</v>
      </c>
      <c r="G382" s="58" t="s">
        <v>41</v>
      </c>
      <c r="H382" s="58" t="s">
        <v>69</v>
      </c>
      <c r="I382" s="66"/>
      <c r="J382" s="65">
        <v>0</v>
      </c>
      <c r="K382" s="66"/>
      <c r="L382" s="57">
        <f>IF(Table1214[[#This Row],[modality]]=E381,1,0)</f>
        <v>0</v>
      </c>
      <c r="M382" s="66">
        <f>IF(Table1214[[#This Row],[stimulus]]=H383, 1, 0)</f>
        <v>1</v>
      </c>
      <c r="N382" s="66">
        <f t="shared" si="10"/>
        <v>0</v>
      </c>
      <c r="O382" s="66">
        <f t="shared" si="11"/>
        <v>1</v>
      </c>
    </row>
    <row r="383" spans="1:15" x14ac:dyDescent="0.3">
      <c r="A383" s="58">
        <v>4</v>
      </c>
      <c r="B383" s="59">
        <v>4</v>
      </c>
      <c r="C383" s="63">
        <v>382</v>
      </c>
      <c r="D383" s="68">
        <v>1</v>
      </c>
      <c r="E383" s="68" t="s">
        <v>81</v>
      </c>
      <c r="F383" s="68" t="s">
        <v>40</v>
      </c>
      <c r="G383" s="47" t="s">
        <v>9</v>
      </c>
      <c r="H383" s="47" t="s">
        <v>69</v>
      </c>
      <c r="I383" s="66"/>
      <c r="J383" s="65">
        <v>0</v>
      </c>
      <c r="K383" s="66"/>
      <c r="L383" s="57">
        <f>IF(Table1214[[#This Row],[modality]]=E382,1,0)</f>
        <v>1</v>
      </c>
      <c r="M383" s="66">
        <f>IF(Table1214[[#This Row],[stimulus]]=H384, 1, 0)</f>
        <v>0</v>
      </c>
      <c r="N383" s="66">
        <f t="shared" si="10"/>
        <v>0</v>
      </c>
      <c r="O383" s="66">
        <f t="shared" si="11"/>
        <v>0</v>
      </c>
    </row>
    <row r="384" spans="1:15" x14ac:dyDescent="0.3">
      <c r="A384" s="58">
        <v>4</v>
      </c>
      <c r="B384" s="59">
        <v>4</v>
      </c>
      <c r="C384" s="63">
        <v>383</v>
      </c>
      <c r="D384" s="65">
        <v>1</v>
      </c>
      <c r="E384" s="65" t="s">
        <v>81</v>
      </c>
      <c r="F384" s="65" t="s">
        <v>0</v>
      </c>
      <c r="G384" s="58" t="s">
        <v>41</v>
      </c>
      <c r="H384" s="58" t="s">
        <v>72</v>
      </c>
      <c r="I384" s="66"/>
      <c r="J384" s="66">
        <v>1</v>
      </c>
      <c r="K384" s="66" t="s">
        <v>9</v>
      </c>
      <c r="L384" s="57">
        <f>IF(Table1214[[#This Row],[modality]]=E383,1,0)</f>
        <v>1</v>
      </c>
      <c r="M384" s="66">
        <f>IF(Table1214[[#This Row],[stimulus]]=H385, 1, 0)</f>
        <v>1</v>
      </c>
      <c r="N384" s="66">
        <f t="shared" si="10"/>
        <v>1</v>
      </c>
      <c r="O384" s="66">
        <f t="shared" si="11"/>
        <v>0</v>
      </c>
    </row>
    <row r="385" spans="1:15" x14ac:dyDescent="0.3">
      <c r="A385" s="58">
        <v>4</v>
      </c>
      <c r="B385" s="59">
        <v>4</v>
      </c>
      <c r="C385" s="63">
        <v>384</v>
      </c>
      <c r="D385" s="68">
        <v>2</v>
      </c>
      <c r="E385" s="68" t="s">
        <v>80</v>
      </c>
      <c r="F385" s="68" t="s">
        <v>40</v>
      </c>
      <c r="G385" s="47" t="s">
        <v>10</v>
      </c>
      <c r="H385" s="47" t="s">
        <v>72</v>
      </c>
      <c r="I385" s="66"/>
      <c r="J385" s="65">
        <v>0</v>
      </c>
      <c r="K385" s="66"/>
      <c r="L385" s="57">
        <f>IF(Table1214[[#This Row],[modality]]=E384,1,0)</f>
        <v>0</v>
      </c>
      <c r="M385" s="66">
        <f>IF(Table1214[[#This Row],[stimulus]]=H386, 1, 0)</f>
        <v>0</v>
      </c>
      <c r="N385" s="66">
        <f t="shared" si="10"/>
        <v>0</v>
      </c>
      <c r="O385" s="66">
        <f t="shared" si="11"/>
        <v>0</v>
      </c>
    </row>
    <row r="386" spans="1:15" x14ac:dyDescent="0.3">
      <c r="A386" s="58">
        <v>4</v>
      </c>
      <c r="B386" s="59">
        <v>4</v>
      </c>
      <c r="C386" s="63">
        <v>385</v>
      </c>
      <c r="D386" s="91">
        <v>1</v>
      </c>
      <c r="E386" s="91" t="s">
        <v>81</v>
      </c>
      <c r="F386" s="91" t="s">
        <v>29</v>
      </c>
      <c r="G386" s="58" t="s">
        <v>42</v>
      </c>
      <c r="H386" s="58" t="s">
        <v>65</v>
      </c>
      <c r="I386" s="66"/>
      <c r="J386" s="65">
        <v>0</v>
      </c>
      <c r="K386" s="66"/>
      <c r="L386" s="57">
        <f>IF(Table1214[[#This Row],[modality]]=E385,1,0)</f>
        <v>0</v>
      </c>
      <c r="M386" s="66">
        <f>IF(Table1214[[#This Row],[stimulus]]=H387, 1, 0)</f>
        <v>0</v>
      </c>
      <c r="N386" s="66">
        <f t="shared" si="10"/>
        <v>1</v>
      </c>
      <c r="O386" s="66">
        <f t="shared" si="11"/>
        <v>0</v>
      </c>
    </row>
    <row r="387" spans="1:15" x14ac:dyDescent="0.3">
      <c r="A387" s="58">
        <v>4</v>
      </c>
      <c r="B387" s="59">
        <v>4</v>
      </c>
      <c r="C387" s="63">
        <v>386</v>
      </c>
      <c r="D387" s="68">
        <v>2</v>
      </c>
      <c r="E387" s="68" t="s">
        <v>80</v>
      </c>
      <c r="F387" s="68" t="s">
        <v>0</v>
      </c>
      <c r="G387" s="47" t="s">
        <v>41</v>
      </c>
      <c r="H387" s="47" t="s">
        <v>70</v>
      </c>
      <c r="I387" s="66"/>
      <c r="J387" s="66">
        <v>1</v>
      </c>
      <c r="K387" s="66" t="s">
        <v>10</v>
      </c>
      <c r="L387" s="57">
        <f>IF(Table1214[[#This Row],[modality]]=E386,1,0)</f>
        <v>0</v>
      </c>
      <c r="M387" s="66">
        <f>IF(Table1214[[#This Row],[stimulus]]=H388, 1, 0)</f>
        <v>1</v>
      </c>
      <c r="N387" s="66">
        <f t="shared" si="10"/>
        <v>0</v>
      </c>
      <c r="O387" s="66">
        <f t="shared" si="11"/>
        <v>1</v>
      </c>
    </row>
    <row r="388" spans="1:15" x14ac:dyDescent="0.3">
      <c r="A388" s="58">
        <v>4</v>
      </c>
      <c r="B388" s="59">
        <v>4</v>
      </c>
      <c r="C388" s="63">
        <v>387</v>
      </c>
      <c r="D388" s="65">
        <v>2</v>
      </c>
      <c r="E388" s="65" t="s">
        <v>80</v>
      </c>
      <c r="F388" s="65" t="s">
        <v>40</v>
      </c>
      <c r="G388" s="58" t="s">
        <v>9</v>
      </c>
      <c r="H388" s="58" t="s">
        <v>70</v>
      </c>
      <c r="I388" s="66"/>
      <c r="J388" s="65">
        <v>0</v>
      </c>
      <c r="K388" s="66"/>
      <c r="L388" s="57">
        <f>IF(Table1214[[#This Row],[modality]]=E387,1,0)</f>
        <v>1</v>
      </c>
      <c r="M388" s="66">
        <f>IF(Table1214[[#This Row],[stimulus]]=H389, 1, 0)</f>
        <v>0</v>
      </c>
      <c r="N388" s="66">
        <f t="shared" ref="N388:N392" si="12">IF(F387="T",1,0)</f>
        <v>0</v>
      </c>
      <c r="O388" s="66">
        <f t="shared" ref="O388:O406" si="13">IF(F387="F",1,0)</f>
        <v>0</v>
      </c>
    </row>
    <row r="389" spans="1:15" x14ac:dyDescent="0.3">
      <c r="A389" s="58">
        <v>4</v>
      </c>
      <c r="B389" s="59">
        <v>4</v>
      </c>
      <c r="C389" s="63">
        <v>388</v>
      </c>
      <c r="D389" s="68">
        <v>2</v>
      </c>
      <c r="E389" s="68" t="s">
        <v>80</v>
      </c>
      <c r="F389" s="68" t="s">
        <v>0</v>
      </c>
      <c r="G389" s="47" t="s">
        <v>41</v>
      </c>
      <c r="H389" s="47" t="s">
        <v>74</v>
      </c>
      <c r="I389" s="66"/>
      <c r="J389" s="65">
        <v>0</v>
      </c>
      <c r="K389" s="66"/>
      <c r="L389" s="57">
        <f>IF(Table1214[[#This Row],[modality]]=E388,1,0)</f>
        <v>1</v>
      </c>
      <c r="M389" s="66">
        <f>IF(Table1214[[#This Row],[stimulus]]=H390, 1, 0)</f>
        <v>1</v>
      </c>
      <c r="N389" s="66">
        <f t="shared" si="12"/>
        <v>1</v>
      </c>
      <c r="O389" s="66">
        <f t="shared" si="13"/>
        <v>0</v>
      </c>
    </row>
    <row r="390" spans="1:15" x14ac:dyDescent="0.3">
      <c r="A390" s="58">
        <v>4</v>
      </c>
      <c r="B390" s="59">
        <v>4</v>
      </c>
      <c r="C390" s="63">
        <v>389</v>
      </c>
      <c r="D390" s="65">
        <v>1</v>
      </c>
      <c r="E390" s="65" t="s">
        <v>81</v>
      </c>
      <c r="F390" s="65" t="s">
        <v>40</v>
      </c>
      <c r="G390" s="58" t="s">
        <v>10</v>
      </c>
      <c r="H390" s="58" t="s">
        <v>74</v>
      </c>
      <c r="I390" s="66"/>
      <c r="J390" s="65">
        <v>0</v>
      </c>
      <c r="K390" s="66"/>
      <c r="L390" s="57">
        <f>IF(Table1214[[#This Row],[modality]]=E389,1,0)</f>
        <v>0</v>
      </c>
      <c r="M390" s="66">
        <f>IF(Table1214[[#This Row],[stimulus]]=H391, 1, 0)</f>
        <v>0</v>
      </c>
      <c r="N390" s="66">
        <f t="shared" si="12"/>
        <v>0</v>
      </c>
      <c r="O390" s="66">
        <f t="shared" si="13"/>
        <v>0</v>
      </c>
    </row>
    <row r="391" spans="1:15" x14ac:dyDescent="0.3">
      <c r="A391" s="58">
        <v>4</v>
      </c>
      <c r="B391" s="59">
        <v>4</v>
      </c>
      <c r="C391" s="63">
        <v>390</v>
      </c>
      <c r="D391" s="91">
        <v>2</v>
      </c>
      <c r="E391" s="91" t="s">
        <v>80</v>
      </c>
      <c r="F391" s="91" t="s">
        <v>29</v>
      </c>
      <c r="G391" s="47" t="s">
        <v>42</v>
      </c>
      <c r="H391" s="47" t="s">
        <v>61</v>
      </c>
      <c r="I391" s="66"/>
      <c r="J391" s="65">
        <v>0</v>
      </c>
      <c r="K391" s="66"/>
      <c r="L391" s="57">
        <f>IF(Table1214[[#This Row],[modality]]=E390,1,0)</f>
        <v>0</v>
      </c>
      <c r="M391" s="66">
        <f>IF(Table1214[[#This Row],[stimulus]]=H392, 1, 0)</f>
        <v>0</v>
      </c>
      <c r="N391" s="66">
        <f t="shared" si="12"/>
        <v>1</v>
      </c>
      <c r="O391" s="66">
        <f t="shared" si="13"/>
        <v>0</v>
      </c>
    </row>
    <row r="392" spans="1:15" x14ac:dyDescent="0.3">
      <c r="A392" s="58">
        <v>4</v>
      </c>
      <c r="B392" s="59">
        <v>4</v>
      </c>
      <c r="C392" s="63">
        <v>391</v>
      </c>
      <c r="D392" s="65">
        <v>1</v>
      </c>
      <c r="E392" s="65" t="s">
        <v>81</v>
      </c>
      <c r="F392" s="65" t="s">
        <v>0</v>
      </c>
      <c r="G392" s="58" t="s">
        <v>41</v>
      </c>
      <c r="H392" s="58" t="s">
        <v>71</v>
      </c>
      <c r="I392" s="66"/>
      <c r="J392" s="66">
        <v>1</v>
      </c>
      <c r="K392" s="66" t="s">
        <v>10</v>
      </c>
      <c r="L392" s="57">
        <f>IF(Table1214[[#This Row],[modality]]=E391,1,0)</f>
        <v>0</v>
      </c>
      <c r="M392" s="66">
        <f>IF(Table1214[[#This Row],[stimulus]]=H393, 1, 0)</f>
        <v>1</v>
      </c>
      <c r="N392" s="66">
        <f t="shared" si="12"/>
        <v>0</v>
      </c>
      <c r="O392" s="66">
        <f t="shared" si="13"/>
        <v>1</v>
      </c>
    </row>
    <row r="393" spans="1:15" x14ac:dyDescent="0.3">
      <c r="A393" s="58">
        <v>4</v>
      </c>
      <c r="B393" s="59">
        <v>4</v>
      </c>
      <c r="C393" s="63">
        <v>392</v>
      </c>
      <c r="D393" s="68">
        <v>2</v>
      </c>
      <c r="E393" s="68" t="s">
        <v>80</v>
      </c>
      <c r="F393" s="68" t="s">
        <v>40</v>
      </c>
      <c r="G393" s="47" t="s">
        <v>10</v>
      </c>
      <c r="H393" s="47" t="s">
        <v>71</v>
      </c>
      <c r="I393" s="66"/>
      <c r="J393" s="65">
        <v>0</v>
      </c>
      <c r="K393" s="66"/>
      <c r="L393" s="57">
        <f>IF(Table1214[[#This Row],[modality]]=E392,1,0)</f>
        <v>0</v>
      </c>
      <c r="M393" s="66">
        <f>IF(Table1214[[#This Row],[stimulus]]=H394, 1, 0)</f>
        <v>0</v>
      </c>
      <c r="N393" s="66">
        <f t="shared" ref="N393:N406" si="14">IF(F392="T",1,0)</f>
        <v>0</v>
      </c>
      <c r="O393" s="66">
        <f t="shared" si="13"/>
        <v>0</v>
      </c>
    </row>
    <row r="394" spans="1:15" x14ac:dyDescent="0.3">
      <c r="A394" s="58">
        <v>4</v>
      </c>
      <c r="B394" s="59">
        <v>4</v>
      </c>
      <c r="C394" s="63">
        <v>393</v>
      </c>
      <c r="D394" s="80">
        <v>1</v>
      </c>
      <c r="E394" s="80" t="s">
        <v>81</v>
      </c>
      <c r="F394" s="80" t="s">
        <v>29</v>
      </c>
      <c r="G394" s="52" t="s">
        <v>42</v>
      </c>
      <c r="H394" s="52"/>
      <c r="I394" s="75" t="s">
        <v>127</v>
      </c>
      <c r="J394" s="65">
        <v>0</v>
      </c>
      <c r="K394" s="66"/>
      <c r="L394" s="57">
        <f>IF(Table1214[[#This Row],[modality]]=E393,1,0)</f>
        <v>0</v>
      </c>
      <c r="M394" s="66">
        <f>IF(Table1214[[#This Row],[stimulus]]=H395, 1, 0)</f>
        <v>0</v>
      </c>
      <c r="N394" s="66">
        <f t="shared" si="14"/>
        <v>1</v>
      </c>
      <c r="O394" s="66">
        <f t="shared" si="13"/>
        <v>0</v>
      </c>
    </row>
    <row r="395" spans="1:15" x14ac:dyDescent="0.3">
      <c r="A395" s="58">
        <v>4</v>
      </c>
      <c r="B395" s="59">
        <v>4</v>
      </c>
      <c r="C395" s="63">
        <v>394</v>
      </c>
      <c r="D395" s="91">
        <v>2</v>
      </c>
      <c r="E395" s="91" t="s">
        <v>80</v>
      </c>
      <c r="F395" s="91" t="s">
        <v>29</v>
      </c>
      <c r="G395" s="47" t="s">
        <v>42</v>
      </c>
      <c r="H395" s="47" t="s">
        <v>60</v>
      </c>
      <c r="I395" s="66"/>
      <c r="J395" s="65">
        <v>0</v>
      </c>
      <c r="K395" s="66"/>
      <c r="L395" s="57">
        <f>IF(Table1214[[#This Row],[modality]]=E394,1,0)</f>
        <v>0</v>
      </c>
      <c r="M395" s="66">
        <f>IF(Table1214[[#This Row],[stimulus]]=H396, 1, 0)</f>
        <v>0</v>
      </c>
      <c r="N395" s="66">
        <f t="shared" si="14"/>
        <v>0</v>
      </c>
      <c r="O395" s="66">
        <f t="shared" si="13"/>
        <v>1</v>
      </c>
    </row>
    <row r="396" spans="1:15" x14ac:dyDescent="0.3">
      <c r="A396" s="58">
        <v>4</v>
      </c>
      <c r="B396" s="59">
        <v>4</v>
      </c>
      <c r="C396" s="63">
        <v>395</v>
      </c>
      <c r="D396" s="65">
        <v>2</v>
      </c>
      <c r="E396" s="65" t="s">
        <v>80</v>
      </c>
      <c r="F396" s="65" t="s">
        <v>0</v>
      </c>
      <c r="G396" s="58" t="s">
        <v>41</v>
      </c>
      <c r="H396" s="58" t="s">
        <v>68</v>
      </c>
      <c r="I396" s="66"/>
      <c r="J396" s="66">
        <v>1</v>
      </c>
      <c r="K396" s="66" t="s">
        <v>9</v>
      </c>
      <c r="L396" s="57">
        <f>IF(Table1214[[#This Row],[modality]]=E395,1,0)</f>
        <v>1</v>
      </c>
      <c r="M396" s="66">
        <f>IF(Table1214[[#This Row],[stimulus]]=H397, 1, 0)</f>
        <v>1</v>
      </c>
      <c r="N396" s="66">
        <f t="shared" si="14"/>
        <v>0</v>
      </c>
      <c r="O396" s="66">
        <f t="shared" si="13"/>
        <v>1</v>
      </c>
    </row>
    <row r="397" spans="1:15" x14ac:dyDescent="0.3">
      <c r="A397" s="58">
        <v>4</v>
      </c>
      <c r="B397" s="59">
        <v>4</v>
      </c>
      <c r="C397" s="63">
        <v>396</v>
      </c>
      <c r="D397" s="68">
        <v>2</v>
      </c>
      <c r="E397" s="68" t="s">
        <v>80</v>
      </c>
      <c r="F397" s="68" t="s">
        <v>40</v>
      </c>
      <c r="G397" s="47" t="s">
        <v>9</v>
      </c>
      <c r="H397" s="47" t="s">
        <v>68</v>
      </c>
      <c r="I397" s="66"/>
      <c r="J397" s="65">
        <v>0</v>
      </c>
      <c r="K397" s="66"/>
      <c r="L397" s="57">
        <f>IF(Table1214[[#This Row],[modality]]=E396,1,0)</f>
        <v>1</v>
      </c>
      <c r="M397" s="66">
        <f>IF(Table1214[[#This Row],[stimulus]]=H398, 1, 0)</f>
        <v>0</v>
      </c>
      <c r="N397" s="66">
        <f t="shared" si="14"/>
        <v>0</v>
      </c>
      <c r="O397" s="66">
        <f t="shared" si="13"/>
        <v>0</v>
      </c>
    </row>
    <row r="398" spans="1:15" x14ac:dyDescent="0.3">
      <c r="A398" s="58">
        <v>4</v>
      </c>
      <c r="B398" s="59">
        <v>4</v>
      </c>
      <c r="C398" s="63">
        <v>397</v>
      </c>
      <c r="D398" s="91">
        <v>1</v>
      </c>
      <c r="E398" s="91" t="s">
        <v>81</v>
      </c>
      <c r="F398" s="91" t="s">
        <v>29</v>
      </c>
      <c r="G398" s="58" t="s">
        <v>42</v>
      </c>
      <c r="H398" s="58" t="s">
        <v>66</v>
      </c>
      <c r="I398" s="66"/>
      <c r="J398" s="66">
        <v>1</v>
      </c>
      <c r="K398" s="66" t="s">
        <v>10</v>
      </c>
      <c r="L398" s="57">
        <f>IF(Table1214[[#This Row],[modality]]=E397,1,0)</f>
        <v>0</v>
      </c>
      <c r="M398" s="66">
        <f>IF(Table1214[[#This Row],[stimulus]]=H399, 1, 0)</f>
        <v>0</v>
      </c>
      <c r="N398" s="66">
        <f t="shared" si="14"/>
        <v>1</v>
      </c>
      <c r="O398" s="66">
        <f t="shared" si="13"/>
        <v>0</v>
      </c>
    </row>
    <row r="399" spans="1:15" x14ac:dyDescent="0.3">
      <c r="A399" s="58">
        <v>4</v>
      </c>
      <c r="B399" s="59">
        <v>4</v>
      </c>
      <c r="C399" s="63">
        <v>398</v>
      </c>
      <c r="D399" s="91">
        <v>2</v>
      </c>
      <c r="E399" s="91" t="s">
        <v>80</v>
      </c>
      <c r="F399" s="91" t="s">
        <v>29</v>
      </c>
      <c r="G399" s="71" t="s">
        <v>42</v>
      </c>
      <c r="H399" s="71" t="s">
        <v>63</v>
      </c>
      <c r="I399" s="66"/>
      <c r="J399" s="65">
        <v>0</v>
      </c>
      <c r="K399" s="66"/>
      <c r="L399" s="57">
        <f>IF(Table1214[[#This Row],[modality]]=E398,1,0)</f>
        <v>0</v>
      </c>
      <c r="M399" s="66">
        <f>IF(Table1214[[#This Row],[stimulus]]=H400, 1, 0)</f>
        <v>0</v>
      </c>
      <c r="N399" s="66">
        <f t="shared" si="14"/>
        <v>0</v>
      </c>
      <c r="O399" s="66">
        <f t="shared" si="13"/>
        <v>1</v>
      </c>
    </row>
    <row r="400" spans="1:15" x14ac:dyDescent="0.3">
      <c r="A400" s="58">
        <v>4</v>
      </c>
      <c r="B400" s="59">
        <v>4</v>
      </c>
      <c r="C400" s="63">
        <v>399</v>
      </c>
      <c r="D400" s="65">
        <v>2</v>
      </c>
      <c r="E400" s="65" t="s">
        <v>80</v>
      </c>
      <c r="F400" s="65" t="s">
        <v>0</v>
      </c>
      <c r="G400" s="58" t="s">
        <v>41</v>
      </c>
      <c r="H400" s="58" t="s">
        <v>67</v>
      </c>
      <c r="I400" s="66"/>
      <c r="J400" s="66">
        <v>1</v>
      </c>
      <c r="K400" s="66" t="s">
        <v>9</v>
      </c>
      <c r="L400" s="57">
        <f>IF(Table1214[[#This Row],[modality]]=E399,1,0)</f>
        <v>1</v>
      </c>
      <c r="M400" s="66">
        <f>IF(Table1214[[#This Row],[stimulus]]=H401, 1, 0)</f>
        <v>1</v>
      </c>
      <c r="N400" s="66">
        <f t="shared" si="14"/>
        <v>0</v>
      </c>
      <c r="O400" s="66">
        <f t="shared" si="13"/>
        <v>1</v>
      </c>
    </row>
    <row r="401" spans="1:17" x14ac:dyDescent="0.3">
      <c r="A401" s="58">
        <v>4</v>
      </c>
      <c r="B401" s="59">
        <v>4</v>
      </c>
      <c r="C401" s="63">
        <v>400</v>
      </c>
      <c r="D401" s="68">
        <v>1</v>
      </c>
      <c r="E401" s="68" t="s">
        <v>81</v>
      </c>
      <c r="F401" s="68" t="s">
        <v>40</v>
      </c>
      <c r="G401" s="47" t="s">
        <v>10</v>
      </c>
      <c r="H401" s="47" t="s">
        <v>67</v>
      </c>
      <c r="I401" s="66"/>
      <c r="J401" s="65">
        <v>0</v>
      </c>
      <c r="K401" s="66"/>
      <c r="L401" s="57">
        <f>IF(Table1214[[#This Row],[modality]]=E400,1,0)</f>
        <v>0</v>
      </c>
      <c r="M401" s="66">
        <f>IF(Table1214[[#This Row],[stimulus]]=H402, 1, 0)</f>
        <v>0</v>
      </c>
      <c r="N401" s="66">
        <f t="shared" si="14"/>
        <v>0</v>
      </c>
      <c r="O401" s="66">
        <f t="shared" si="13"/>
        <v>0</v>
      </c>
    </row>
    <row r="402" spans="1:17" x14ac:dyDescent="0.3">
      <c r="A402" s="58">
        <v>4</v>
      </c>
      <c r="B402" s="59">
        <v>4</v>
      </c>
      <c r="C402" s="63">
        <v>401</v>
      </c>
      <c r="D402" s="80">
        <v>2</v>
      </c>
      <c r="E402" s="80" t="s">
        <v>80</v>
      </c>
      <c r="F402" s="80" t="s">
        <v>29</v>
      </c>
      <c r="G402" s="52" t="s">
        <v>42</v>
      </c>
      <c r="H402" s="52"/>
      <c r="I402" s="75" t="s">
        <v>127</v>
      </c>
      <c r="J402" s="65">
        <v>0</v>
      </c>
      <c r="K402" s="66"/>
      <c r="L402" s="57">
        <f>IF(Table1214[[#This Row],[modality]]=E401,1,0)</f>
        <v>0</v>
      </c>
      <c r="M402" s="66">
        <f>IF(Table1214[[#This Row],[stimulus]]=H403, 1, 0)</f>
        <v>0</v>
      </c>
      <c r="N402" s="66">
        <f t="shared" si="14"/>
        <v>1</v>
      </c>
      <c r="O402" s="66">
        <f t="shared" si="13"/>
        <v>0</v>
      </c>
    </row>
    <row r="403" spans="1:17" x14ac:dyDescent="0.3">
      <c r="A403" s="58">
        <v>4</v>
      </c>
      <c r="B403" s="59">
        <v>4</v>
      </c>
      <c r="C403" s="63">
        <v>402</v>
      </c>
      <c r="D403" s="91">
        <v>1</v>
      </c>
      <c r="E403" s="91" t="s">
        <v>81</v>
      </c>
      <c r="F403" s="91" t="s">
        <v>29</v>
      </c>
      <c r="G403" s="47" t="s">
        <v>42</v>
      </c>
      <c r="H403" s="47" t="s">
        <v>62</v>
      </c>
      <c r="I403" s="66"/>
      <c r="J403" s="65">
        <v>0</v>
      </c>
      <c r="K403" s="66"/>
      <c r="L403" s="57">
        <f>IF(Table1214[[#This Row],[modality]]=E402,1,0)</f>
        <v>0</v>
      </c>
      <c r="M403" s="66">
        <f>IF(Table1214[[#This Row],[stimulus]]=H404, 1, 0)</f>
        <v>0</v>
      </c>
      <c r="N403" s="66">
        <f t="shared" si="14"/>
        <v>0</v>
      </c>
      <c r="O403" s="66">
        <f t="shared" si="13"/>
        <v>1</v>
      </c>
    </row>
    <row r="404" spans="1:17" x14ac:dyDescent="0.3">
      <c r="A404" s="58">
        <v>4</v>
      </c>
      <c r="B404" s="59">
        <v>4</v>
      </c>
      <c r="C404" s="63">
        <v>403</v>
      </c>
      <c r="D404" s="65">
        <v>1</v>
      </c>
      <c r="E404" s="65" t="s">
        <v>81</v>
      </c>
      <c r="F404" s="65" t="s">
        <v>0</v>
      </c>
      <c r="G404" s="58" t="s">
        <v>41</v>
      </c>
      <c r="H404" s="58" t="s">
        <v>73</v>
      </c>
      <c r="I404" s="66"/>
      <c r="J404" s="66">
        <v>1</v>
      </c>
      <c r="K404" s="66" t="s">
        <v>9</v>
      </c>
      <c r="L404" s="57">
        <f>IF(Table1214[[#This Row],[modality]]=E403,1,0)</f>
        <v>1</v>
      </c>
      <c r="M404" s="66">
        <f>IF(Table1214[[#This Row],[stimulus]]=H405, 1, 0)</f>
        <v>1</v>
      </c>
      <c r="N404" s="66">
        <f t="shared" si="14"/>
        <v>0</v>
      </c>
      <c r="O404" s="66">
        <f t="shared" si="13"/>
        <v>1</v>
      </c>
      <c r="Q404" t="s">
        <v>19</v>
      </c>
    </row>
    <row r="405" spans="1:17" x14ac:dyDescent="0.3">
      <c r="A405" s="58">
        <v>4</v>
      </c>
      <c r="B405" s="59">
        <v>4</v>
      </c>
      <c r="C405" s="63">
        <v>404</v>
      </c>
      <c r="D405" s="68">
        <v>1</v>
      </c>
      <c r="E405" s="68" t="s">
        <v>81</v>
      </c>
      <c r="F405" s="68" t="s">
        <v>40</v>
      </c>
      <c r="G405" s="47" t="s">
        <v>9</v>
      </c>
      <c r="H405" s="47" t="s">
        <v>73</v>
      </c>
      <c r="I405" s="66"/>
      <c r="J405" s="65">
        <v>0</v>
      </c>
      <c r="K405" s="66"/>
      <c r="L405" s="57">
        <f>IF(Table1214[[#This Row],[modality]]=E404,1,0)</f>
        <v>1</v>
      </c>
      <c r="M405" s="66">
        <f>IF(Table1214[[#This Row],[stimulus]]=H406, 1, 0)</f>
        <v>0</v>
      </c>
      <c r="N405" s="66">
        <f t="shared" si="14"/>
        <v>0</v>
      </c>
      <c r="O405" s="66">
        <f t="shared" si="13"/>
        <v>0</v>
      </c>
    </row>
    <row r="406" spans="1:17" x14ac:dyDescent="0.3">
      <c r="A406" s="58">
        <v>4</v>
      </c>
      <c r="B406" s="59">
        <v>4</v>
      </c>
      <c r="C406" s="63">
        <v>405</v>
      </c>
      <c r="D406" s="80">
        <v>2</v>
      </c>
      <c r="E406" s="80" t="s">
        <v>80</v>
      </c>
      <c r="F406" s="80" t="s">
        <v>29</v>
      </c>
      <c r="G406" s="52" t="s">
        <v>42</v>
      </c>
      <c r="H406" s="52"/>
      <c r="I406" s="106" t="s">
        <v>127</v>
      </c>
      <c r="J406" s="65">
        <v>0</v>
      </c>
      <c r="K406" s="66"/>
      <c r="L406" s="57">
        <f>IF(Table1214[[#This Row],[modality]]=E405,1,0)</f>
        <v>0</v>
      </c>
      <c r="M406" s="66">
        <f>IF(Table1214[[#This Row],[stimulus]]=H407, 1, 0)</f>
        <v>1</v>
      </c>
      <c r="N406" s="66">
        <f t="shared" si="14"/>
        <v>1</v>
      </c>
      <c r="O406" s="66">
        <f t="shared" si="13"/>
        <v>0</v>
      </c>
    </row>
    <row r="422" spans="6:6" x14ac:dyDescent="0.3">
      <c r="F422" t="s">
        <v>19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AD19-3775-4C65-BE6F-21375A5FAE07}">
  <dimension ref="A1:O28"/>
  <sheetViews>
    <sheetView workbookViewId="0">
      <selection activeCell="O26" sqref="O26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21.109375" bestFit="1" customWidth="1"/>
  </cols>
  <sheetData>
    <row r="1" spans="1:15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  <c r="O1" t="s">
        <v>162</v>
      </c>
    </row>
    <row r="2" spans="1:15" x14ac:dyDescent="0.3">
      <c r="A2">
        <v>1</v>
      </c>
      <c r="B2">
        <v>3</v>
      </c>
      <c r="C2">
        <v>214</v>
      </c>
      <c r="D2">
        <v>1</v>
      </c>
      <c r="E2" t="s">
        <v>81</v>
      </c>
      <c r="F2" t="s">
        <v>0</v>
      </c>
      <c r="G2" t="s">
        <v>41</v>
      </c>
      <c r="H2" t="s">
        <v>43</v>
      </c>
      <c r="J2" t="s">
        <v>151</v>
      </c>
      <c r="K2">
        <v>1</v>
      </c>
      <c r="L2">
        <v>1</v>
      </c>
      <c r="M2">
        <v>0</v>
      </c>
      <c r="N2">
        <v>1</v>
      </c>
      <c r="O2" s="105" t="s">
        <v>175</v>
      </c>
    </row>
    <row r="3" spans="1:15" x14ac:dyDescent="0.3">
      <c r="A3">
        <v>1</v>
      </c>
      <c r="B3">
        <v>2</v>
      </c>
      <c r="C3">
        <v>113</v>
      </c>
      <c r="D3">
        <v>1</v>
      </c>
      <c r="E3" t="s">
        <v>81</v>
      </c>
      <c r="F3" t="s">
        <v>0</v>
      </c>
      <c r="G3" t="s">
        <v>41</v>
      </c>
      <c r="H3" t="s">
        <v>44</v>
      </c>
      <c r="J3" t="s">
        <v>151</v>
      </c>
      <c r="K3">
        <v>1</v>
      </c>
      <c r="L3">
        <v>1</v>
      </c>
      <c r="M3">
        <v>0</v>
      </c>
      <c r="N3">
        <v>1</v>
      </c>
    </row>
    <row r="4" spans="1:15" x14ac:dyDescent="0.3">
      <c r="A4">
        <v>4</v>
      </c>
      <c r="B4">
        <v>4</v>
      </c>
      <c r="C4">
        <v>402</v>
      </c>
      <c r="D4">
        <v>1</v>
      </c>
      <c r="E4" t="s">
        <v>81</v>
      </c>
      <c r="F4" t="s">
        <v>0</v>
      </c>
      <c r="G4" t="s">
        <v>41</v>
      </c>
      <c r="H4" t="s">
        <v>73</v>
      </c>
      <c r="J4" t="s">
        <v>151</v>
      </c>
      <c r="K4">
        <v>1</v>
      </c>
      <c r="L4">
        <v>1</v>
      </c>
      <c r="M4">
        <v>0</v>
      </c>
      <c r="N4">
        <v>1</v>
      </c>
      <c r="O4" s="105" t="s">
        <v>176</v>
      </c>
    </row>
    <row r="5" spans="1:15" x14ac:dyDescent="0.3">
      <c r="A5">
        <v>1</v>
      </c>
      <c r="B5">
        <v>4</v>
      </c>
      <c r="C5">
        <v>315</v>
      </c>
      <c r="D5">
        <v>1</v>
      </c>
      <c r="E5" t="s">
        <v>81</v>
      </c>
      <c r="F5" t="s">
        <v>0</v>
      </c>
      <c r="G5" t="s">
        <v>41</v>
      </c>
      <c r="H5" t="s">
        <v>45</v>
      </c>
      <c r="J5" t="s">
        <v>151</v>
      </c>
      <c r="K5">
        <v>1</v>
      </c>
      <c r="L5">
        <v>1</v>
      </c>
      <c r="M5">
        <v>0</v>
      </c>
      <c r="N5">
        <v>1</v>
      </c>
    </row>
    <row r="6" spans="1:15" x14ac:dyDescent="0.3">
      <c r="A6">
        <v>3</v>
      </c>
      <c r="B6">
        <v>3</v>
      </c>
      <c r="C6">
        <v>270</v>
      </c>
      <c r="D6">
        <v>1</v>
      </c>
      <c r="E6" t="s">
        <v>81</v>
      </c>
      <c r="F6" t="s">
        <v>0</v>
      </c>
      <c r="G6" t="s">
        <v>41</v>
      </c>
      <c r="H6" t="s">
        <v>61</v>
      </c>
      <c r="J6" t="s">
        <v>150</v>
      </c>
      <c r="K6">
        <v>1</v>
      </c>
      <c r="L6">
        <v>1</v>
      </c>
      <c r="M6">
        <v>0</v>
      </c>
      <c r="N6">
        <v>1</v>
      </c>
    </row>
    <row r="7" spans="1:15" x14ac:dyDescent="0.3">
      <c r="A7">
        <v>3</v>
      </c>
      <c r="B7">
        <v>1</v>
      </c>
      <c r="C7">
        <v>57</v>
      </c>
      <c r="D7">
        <v>1</v>
      </c>
      <c r="E7" t="s">
        <v>81</v>
      </c>
      <c r="F7" t="s">
        <v>0</v>
      </c>
      <c r="G7" t="s">
        <v>41</v>
      </c>
      <c r="H7" t="s">
        <v>61</v>
      </c>
      <c r="J7" t="s">
        <v>151</v>
      </c>
      <c r="K7">
        <v>1</v>
      </c>
      <c r="L7">
        <v>1</v>
      </c>
      <c r="M7">
        <v>0</v>
      </c>
      <c r="N7">
        <v>1</v>
      </c>
      <c r="O7" s="1" t="s">
        <v>182</v>
      </c>
    </row>
    <row r="8" spans="1:15" x14ac:dyDescent="0.3">
      <c r="A8">
        <v>3</v>
      </c>
      <c r="B8">
        <v>3</v>
      </c>
      <c r="C8">
        <v>253</v>
      </c>
      <c r="D8">
        <v>1</v>
      </c>
      <c r="E8" t="s">
        <v>81</v>
      </c>
      <c r="F8" t="s">
        <v>0</v>
      </c>
      <c r="G8" t="s">
        <v>41</v>
      </c>
      <c r="H8" t="s">
        <v>62</v>
      </c>
      <c r="J8" t="s">
        <v>151</v>
      </c>
      <c r="K8">
        <v>1</v>
      </c>
      <c r="L8">
        <v>1</v>
      </c>
      <c r="M8">
        <v>0</v>
      </c>
      <c r="N8">
        <v>1</v>
      </c>
      <c r="O8" t="s">
        <v>181</v>
      </c>
    </row>
    <row r="9" spans="1:15" x14ac:dyDescent="0.3">
      <c r="A9">
        <v>2</v>
      </c>
      <c r="B9">
        <v>2</v>
      </c>
      <c r="C9">
        <v>128</v>
      </c>
      <c r="D9">
        <v>1</v>
      </c>
      <c r="E9" t="s">
        <v>81</v>
      </c>
      <c r="F9" t="s">
        <v>0</v>
      </c>
      <c r="G9" t="s">
        <v>41</v>
      </c>
      <c r="H9" t="s">
        <v>54</v>
      </c>
      <c r="J9" t="s">
        <v>150</v>
      </c>
      <c r="K9">
        <v>1</v>
      </c>
      <c r="L9">
        <v>1</v>
      </c>
      <c r="M9">
        <v>0</v>
      </c>
      <c r="N9">
        <v>1</v>
      </c>
    </row>
    <row r="10" spans="1:15" x14ac:dyDescent="0.3">
      <c r="A10">
        <v>2</v>
      </c>
      <c r="B10">
        <v>1</v>
      </c>
      <c r="C10">
        <v>38</v>
      </c>
      <c r="D10">
        <v>1</v>
      </c>
      <c r="E10" t="s">
        <v>81</v>
      </c>
      <c r="F10" t="s">
        <v>0</v>
      </c>
      <c r="G10" t="s">
        <v>41</v>
      </c>
      <c r="H10" t="s">
        <v>54</v>
      </c>
      <c r="J10" t="s">
        <v>151</v>
      </c>
      <c r="K10">
        <v>1</v>
      </c>
      <c r="L10">
        <v>1</v>
      </c>
      <c r="M10">
        <v>0</v>
      </c>
      <c r="N10">
        <v>1</v>
      </c>
    </row>
    <row r="11" spans="1:15" x14ac:dyDescent="0.3">
      <c r="A11">
        <v>3</v>
      </c>
      <c r="B11">
        <v>2</v>
      </c>
      <c r="C11">
        <v>172</v>
      </c>
      <c r="D11">
        <v>1</v>
      </c>
      <c r="E11" t="s">
        <v>81</v>
      </c>
      <c r="F11" t="s">
        <v>0</v>
      </c>
      <c r="G11" t="s">
        <v>41</v>
      </c>
      <c r="H11" t="s">
        <v>63</v>
      </c>
      <c r="J11" t="s">
        <v>151</v>
      </c>
      <c r="K11">
        <v>1</v>
      </c>
      <c r="L11">
        <v>1</v>
      </c>
      <c r="M11">
        <v>0</v>
      </c>
      <c r="N11">
        <v>1</v>
      </c>
    </row>
    <row r="12" spans="1:15" x14ac:dyDescent="0.3">
      <c r="A12">
        <v>4</v>
      </c>
      <c r="B12">
        <v>1</v>
      </c>
      <c r="C12">
        <v>90</v>
      </c>
      <c r="D12">
        <v>1</v>
      </c>
      <c r="E12" t="s">
        <v>81</v>
      </c>
      <c r="F12" t="s">
        <v>0</v>
      </c>
      <c r="G12" t="s">
        <v>41</v>
      </c>
      <c r="H12" t="s">
        <v>70</v>
      </c>
      <c r="J12" t="s">
        <v>151</v>
      </c>
      <c r="K12">
        <v>1</v>
      </c>
      <c r="L12">
        <v>1</v>
      </c>
      <c r="M12">
        <v>0</v>
      </c>
      <c r="N12">
        <v>1</v>
      </c>
      <c r="O12" s="105" t="s">
        <v>164</v>
      </c>
    </row>
    <row r="13" spans="1:15" x14ac:dyDescent="0.3">
      <c r="A13">
        <v>2</v>
      </c>
      <c r="B13">
        <v>4</v>
      </c>
      <c r="C13">
        <v>337</v>
      </c>
      <c r="D13">
        <v>1</v>
      </c>
      <c r="E13" t="s">
        <v>81</v>
      </c>
      <c r="F13" t="s">
        <v>0</v>
      </c>
      <c r="G13" t="s">
        <v>41</v>
      </c>
      <c r="H13" t="s">
        <v>53</v>
      </c>
      <c r="J13" t="s">
        <v>151</v>
      </c>
      <c r="K13">
        <v>1</v>
      </c>
      <c r="L13">
        <v>1</v>
      </c>
      <c r="M13">
        <v>0</v>
      </c>
      <c r="N13">
        <v>1</v>
      </c>
    </row>
    <row r="14" spans="1:15" x14ac:dyDescent="0.3">
      <c r="A14">
        <v>3</v>
      </c>
      <c r="B14">
        <v>4</v>
      </c>
      <c r="C14">
        <v>373</v>
      </c>
      <c r="D14">
        <v>1</v>
      </c>
      <c r="E14" t="s">
        <v>81</v>
      </c>
      <c r="F14" t="s">
        <v>0</v>
      </c>
      <c r="G14" t="s">
        <v>41</v>
      </c>
      <c r="H14" t="s">
        <v>64</v>
      </c>
      <c r="J14" t="s">
        <v>150</v>
      </c>
      <c r="K14">
        <v>1</v>
      </c>
      <c r="L14">
        <v>1</v>
      </c>
      <c r="M14">
        <v>0</v>
      </c>
      <c r="N14">
        <v>1</v>
      </c>
    </row>
    <row r="15" spans="1:15" x14ac:dyDescent="0.3">
      <c r="A15">
        <v>3</v>
      </c>
      <c r="B15">
        <v>2</v>
      </c>
      <c r="C15">
        <v>153</v>
      </c>
      <c r="D15">
        <v>1</v>
      </c>
      <c r="E15" t="s">
        <v>81</v>
      </c>
      <c r="F15" t="s">
        <v>0</v>
      </c>
      <c r="G15" t="s">
        <v>41</v>
      </c>
      <c r="H15" t="s">
        <v>64</v>
      </c>
      <c r="J15" t="s">
        <v>151</v>
      </c>
      <c r="K15">
        <v>1</v>
      </c>
      <c r="L15">
        <v>1</v>
      </c>
      <c r="M15">
        <v>0</v>
      </c>
      <c r="N15">
        <v>1</v>
      </c>
      <c r="O15" s="1" t="s">
        <v>183</v>
      </c>
    </row>
    <row r="16" spans="1:15" x14ac:dyDescent="0.3">
      <c r="A16">
        <v>1</v>
      </c>
      <c r="B16">
        <v>2</v>
      </c>
      <c r="C16">
        <v>125</v>
      </c>
      <c r="D16">
        <v>1</v>
      </c>
      <c r="E16" t="s">
        <v>81</v>
      </c>
      <c r="F16" t="s">
        <v>0</v>
      </c>
      <c r="G16" t="s">
        <v>41</v>
      </c>
      <c r="H16" t="s">
        <v>49</v>
      </c>
      <c r="J16" t="s">
        <v>150</v>
      </c>
      <c r="K16">
        <v>1</v>
      </c>
      <c r="L16">
        <v>1</v>
      </c>
      <c r="M16">
        <v>0</v>
      </c>
      <c r="N16">
        <v>1</v>
      </c>
    </row>
    <row r="17" spans="1:15" x14ac:dyDescent="0.3">
      <c r="A17">
        <v>1</v>
      </c>
      <c r="B17">
        <v>1</v>
      </c>
      <c r="C17">
        <v>20</v>
      </c>
      <c r="D17">
        <v>1</v>
      </c>
      <c r="E17" t="s">
        <v>81</v>
      </c>
      <c r="F17" t="s">
        <v>0</v>
      </c>
      <c r="G17" t="s">
        <v>41</v>
      </c>
      <c r="H17" t="s">
        <v>49</v>
      </c>
      <c r="J17" t="s">
        <v>151</v>
      </c>
      <c r="K17">
        <v>1</v>
      </c>
      <c r="L17">
        <v>1</v>
      </c>
      <c r="M17">
        <v>0</v>
      </c>
      <c r="N17">
        <v>1</v>
      </c>
    </row>
    <row r="18" spans="1:15" x14ac:dyDescent="0.3">
      <c r="A18">
        <v>2</v>
      </c>
      <c r="B18">
        <v>4</v>
      </c>
      <c r="C18">
        <v>343</v>
      </c>
      <c r="D18">
        <v>1</v>
      </c>
      <c r="E18" t="s">
        <v>81</v>
      </c>
      <c r="F18" t="s">
        <v>0</v>
      </c>
      <c r="G18" t="s">
        <v>41</v>
      </c>
      <c r="H18" t="s">
        <v>52</v>
      </c>
      <c r="J18" t="s">
        <v>151</v>
      </c>
      <c r="K18">
        <v>1</v>
      </c>
      <c r="L18">
        <v>1</v>
      </c>
      <c r="M18">
        <v>0</v>
      </c>
      <c r="N18">
        <v>1</v>
      </c>
    </row>
    <row r="19" spans="1:15" x14ac:dyDescent="0.3">
      <c r="A19">
        <v>2</v>
      </c>
      <c r="B19">
        <v>3</v>
      </c>
      <c r="C19">
        <v>230</v>
      </c>
      <c r="D19">
        <v>1</v>
      </c>
      <c r="E19" t="s">
        <v>81</v>
      </c>
      <c r="F19" t="s">
        <v>0</v>
      </c>
      <c r="G19" t="s">
        <v>41</v>
      </c>
      <c r="H19" t="s">
        <v>52</v>
      </c>
      <c r="J19" t="s">
        <v>150</v>
      </c>
      <c r="K19">
        <v>1</v>
      </c>
      <c r="L19">
        <v>1</v>
      </c>
      <c r="M19">
        <v>0</v>
      </c>
      <c r="N19">
        <v>1</v>
      </c>
    </row>
    <row r="20" spans="1:15" x14ac:dyDescent="0.3">
      <c r="A20">
        <v>3</v>
      </c>
      <c r="B20">
        <v>4</v>
      </c>
      <c r="C20">
        <v>360</v>
      </c>
      <c r="D20">
        <v>1</v>
      </c>
      <c r="E20" t="s">
        <v>81</v>
      </c>
      <c r="F20" t="s">
        <v>0</v>
      </c>
      <c r="G20" t="s">
        <v>41</v>
      </c>
      <c r="H20" t="s">
        <v>65</v>
      </c>
      <c r="J20" t="s">
        <v>151</v>
      </c>
      <c r="K20">
        <v>1</v>
      </c>
      <c r="L20">
        <v>1</v>
      </c>
      <c r="M20">
        <v>0</v>
      </c>
      <c r="N20">
        <v>1</v>
      </c>
    </row>
    <row r="21" spans="1:15" x14ac:dyDescent="0.3">
      <c r="A21">
        <v>4</v>
      </c>
      <c r="B21">
        <v>3</v>
      </c>
      <c r="C21">
        <v>300</v>
      </c>
      <c r="D21">
        <v>1</v>
      </c>
      <c r="E21" t="s">
        <v>81</v>
      </c>
      <c r="F21" t="s">
        <v>0</v>
      </c>
      <c r="G21" t="s">
        <v>41</v>
      </c>
      <c r="H21" t="s">
        <v>68</v>
      </c>
      <c r="J21" t="s">
        <v>151</v>
      </c>
      <c r="K21">
        <v>1</v>
      </c>
      <c r="L21">
        <v>1</v>
      </c>
      <c r="M21">
        <v>0</v>
      </c>
      <c r="N21">
        <v>1</v>
      </c>
    </row>
    <row r="22" spans="1:15" x14ac:dyDescent="0.3">
      <c r="A22">
        <v>1</v>
      </c>
      <c r="B22">
        <v>1</v>
      </c>
      <c r="C22">
        <v>24</v>
      </c>
      <c r="D22">
        <v>1</v>
      </c>
      <c r="E22" t="s">
        <v>81</v>
      </c>
      <c r="F22" t="s">
        <v>0</v>
      </c>
      <c r="G22" t="s">
        <v>41</v>
      </c>
      <c r="H22" t="s">
        <v>50</v>
      </c>
      <c r="J22" t="s">
        <v>151</v>
      </c>
      <c r="K22">
        <v>1</v>
      </c>
      <c r="L22">
        <v>1</v>
      </c>
      <c r="M22">
        <v>0</v>
      </c>
      <c r="N22">
        <v>1</v>
      </c>
    </row>
    <row r="23" spans="1:15" x14ac:dyDescent="0.3">
      <c r="A23">
        <v>2</v>
      </c>
      <c r="B23">
        <v>4</v>
      </c>
      <c r="C23">
        <v>329</v>
      </c>
      <c r="D23">
        <v>1</v>
      </c>
      <c r="E23" t="s">
        <v>81</v>
      </c>
      <c r="F23" t="s">
        <v>0</v>
      </c>
      <c r="G23" t="s">
        <v>41</v>
      </c>
      <c r="H23" t="s">
        <v>51</v>
      </c>
      <c r="J23" t="s">
        <v>151</v>
      </c>
      <c r="K23">
        <v>1</v>
      </c>
      <c r="L23">
        <v>1</v>
      </c>
      <c r="M23">
        <v>0</v>
      </c>
      <c r="N23">
        <v>1</v>
      </c>
    </row>
    <row r="24" spans="1:15" x14ac:dyDescent="0.3">
      <c r="A24">
        <v>2</v>
      </c>
      <c r="B24">
        <v>3</v>
      </c>
      <c r="C24">
        <v>241</v>
      </c>
      <c r="D24">
        <v>1</v>
      </c>
      <c r="E24" t="s">
        <v>81</v>
      </c>
      <c r="F24" t="s">
        <v>0</v>
      </c>
      <c r="G24" t="s">
        <v>41</v>
      </c>
      <c r="H24" t="s">
        <v>51</v>
      </c>
      <c r="J24" t="s">
        <v>150</v>
      </c>
      <c r="K24">
        <v>1</v>
      </c>
      <c r="L24">
        <v>1</v>
      </c>
      <c r="M24">
        <v>0</v>
      </c>
      <c r="N24">
        <v>1</v>
      </c>
    </row>
    <row r="25" spans="1:15" x14ac:dyDescent="0.3">
      <c r="A25">
        <v>3</v>
      </c>
      <c r="B25">
        <v>2</v>
      </c>
      <c r="C25">
        <v>159</v>
      </c>
      <c r="D25">
        <v>1</v>
      </c>
      <c r="E25" t="s">
        <v>81</v>
      </c>
      <c r="F25" t="s">
        <v>0</v>
      </c>
      <c r="G25" t="s">
        <v>41</v>
      </c>
      <c r="H25" t="s">
        <v>66</v>
      </c>
      <c r="J25" t="s">
        <v>150</v>
      </c>
      <c r="K25">
        <v>1</v>
      </c>
      <c r="L25">
        <v>1</v>
      </c>
      <c r="M25">
        <v>0</v>
      </c>
      <c r="N25">
        <v>1</v>
      </c>
    </row>
    <row r="26" spans="1:15" x14ac:dyDescent="0.3">
      <c r="A26">
        <v>3</v>
      </c>
      <c r="B26">
        <v>1</v>
      </c>
      <c r="C26">
        <v>75</v>
      </c>
      <c r="D26">
        <v>1</v>
      </c>
      <c r="E26" t="s">
        <v>81</v>
      </c>
      <c r="F26" t="s">
        <v>0</v>
      </c>
      <c r="G26" t="s">
        <v>41</v>
      </c>
      <c r="H26" t="s">
        <v>66</v>
      </c>
      <c r="J26" t="s">
        <v>151</v>
      </c>
      <c r="K26">
        <v>1</v>
      </c>
      <c r="L26">
        <v>1</v>
      </c>
      <c r="M26">
        <v>0</v>
      </c>
      <c r="N26">
        <v>1</v>
      </c>
      <c r="O26" s="105" t="s">
        <v>161</v>
      </c>
    </row>
    <row r="28" spans="1:15" x14ac:dyDescent="0.3">
      <c r="O28" t="s">
        <v>179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486E-8D14-41BE-83EC-373AD561DF51}">
  <dimension ref="A1:N15"/>
  <sheetViews>
    <sheetView workbookViewId="0">
      <selection activeCell="H15" sqref="H15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</cols>
  <sheetData>
    <row r="1" spans="1:14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</row>
    <row r="2" spans="1:14" x14ac:dyDescent="0.3">
      <c r="A2">
        <v>2</v>
      </c>
      <c r="B2">
        <v>2</v>
      </c>
      <c r="C2">
        <v>133</v>
      </c>
      <c r="D2">
        <v>1</v>
      </c>
      <c r="E2" t="s">
        <v>81</v>
      </c>
      <c r="F2" t="s">
        <v>0</v>
      </c>
      <c r="G2" t="s">
        <v>41</v>
      </c>
      <c r="H2" t="s">
        <v>58</v>
      </c>
      <c r="J2" t="s">
        <v>151</v>
      </c>
      <c r="K2">
        <v>1</v>
      </c>
      <c r="L2">
        <v>1</v>
      </c>
      <c r="M2">
        <v>1</v>
      </c>
      <c r="N2">
        <v>0</v>
      </c>
    </row>
    <row r="3" spans="1:14" x14ac:dyDescent="0.3">
      <c r="A3">
        <v>3</v>
      </c>
      <c r="B3">
        <v>1</v>
      </c>
      <c r="C3">
        <v>51</v>
      </c>
      <c r="D3">
        <v>1</v>
      </c>
      <c r="E3" t="s">
        <v>81</v>
      </c>
      <c r="F3" t="s">
        <v>0</v>
      </c>
      <c r="G3" t="s">
        <v>41</v>
      </c>
      <c r="H3" t="s">
        <v>59</v>
      </c>
      <c r="J3" t="s">
        <v>151</v>
      </c>
      <c r="K3">
        <v>1</v>
      </c>
      <c r="L3">
        <v>1</v>
      </c>
      <c r="M3">
        <v>1</v>
      </c>
      <c r="N3">
        <v>0</v>
      </c>
    </row>
    <row r="4" spans="1:14" x14ac:dyDescent="0.3">
      <c r="A4">
        <v>4</v>
      </c>
      <c r="B4">
        <v>3</v>
      </c>
      <c r="C4">
        <v>287</v>
      </c>
      <c r="D4">
        <v>1</v>
      </c>
      <c r="E4" t="s">
        <v>81</v>
      </c>
      <c r="F4" t="s">
        <v>0</v>
      </c>
      <c r="G4" t="s">
        <v>41</v>
      </c>
      <c r="H4" t="s">
        <v>74</v>
      </c>
      <c r="J4" t="s">
        <v>151</v>
      </c>
      <c r="K4">
        <v>1</v>
      </c>
      <c r="L4">
        <v>1</v>
      </c>
      <c r="M4">
        <v>1</v>
      </c>
      <c r="N4">
        <v>0</v>
      </c>
    </row>
    <row r="5" spans="1:14" x14ac:dyDescent="0.3">
      <c r="A5">
        <v>2</v>
      </c>
      <c r="B5">
        <v>2</v>
      </c>
      <c r="C5">
        <v>138</v>
      </c>
      <c r="D5">
        <v>1</v>
      </c>
      <c r="E5" t="s">
        <v>81</v>
      </c>
      <c r="F5" t="s">
        <v>0</v>
      </c>
      <c r="G5" t="s">
        <v>41</v>
      </c>
      <c r="H5" s="105" t="s">
        <v>57</v>
      </c>
      <c r="J5" t="s">
        <v>151</v>
      </c>
      <c r="K5">
        <v>1</v>
      </c>
      <c r="L5">
        <v>1</v>
      </c>
      <c r="M5">
        <v>1</v>
      </c>
      <c r="N5">
        <v>0</v>
      </c>
    </row>
    <row r="6" spans="1:14" x14ac:dyDescent="0.3">
      <c r="A6">
        <v>3</v>
      </c>
      <c r="B6">
        <v>3</v>
      </c>
      <c r="C6">
        <v>258</v>
      </c>
      <c r="D6">
        <v>1</v>
      </c>
      <c r="E6" t="s">
        <v>81</v>
      </c>
      <c r="F6" t="s">
        <v>0</v>
      </c>
      <c r="G6" t="s">
        <v>41</v>
      </c>
      <c r="H6" s="105" t="s">
        <v>60</v>
      </c>
      <c r="J6" t="s">
        <v>151</v>
      </c>
      <c r="K6">
        <v>1</v>
      </c>
      <c r="L6">
        <v>1</v>
      </c>
      <c r="M6">
        <v>1</v>
      </c>
      <c r="N6">
        <v>0</v>
      </c>
    </row>
    <row r="7" spans="1:14" x14ac:dyDescent="0.3">
      <c r="A7">
        <v>4</v>
      </c>
      <c r="B7">
        <v>1</v>
      </c>
      <c r="C7">
        <v>80</v>
      </c>
      <c r="D7">
        <v>1</v>
      </c>
      <c r="E7" t="s">
        <v>81</v>
      </c>
      <c r="F7" t="s">
        <v>0</v>
      </c>
      <c r="G7" t="s">
        <v>41</v>
      </c>
      <c r="H7" t="s">
        <v>73</v>
      </c>
      <c r="J7" t="s">
        <v>151</v>
      </c>
      <c r="K7">
        <v>1</v>
      </c>
      <c r="L7">
        <v>1</v>
      </c>
      <c r="M7">
        <v>1</v>
      </c>
      <c r="N7">
        <v>0</v>
      </c>
    </row>
    <row r="8" spans="1:14" x14ac:dyDescent="0.3">
      <c r="A8">
        <v>4</v>
      </c>
      <c r="B8">
        <v>4</v>
      </c>
      <c r="C8">
        <v>382</v>
      </c>
      <c r="D8">
        <v>1</v>
      </c>
      <c r="E8" t="s">
        <v>81</v>
      </c>
      <c r="F8" t="s">
        <v>0</v>
      </c>
      <c r="G8" t="s">
        <v>41</v>
      </c>
      <c r="H8" s="105" t="s">
        <v>72</v>
      </c>
      <c r="J8" t="s">
        <v>151</v>
      </c>
      <c r="K8">
        <v>1</v>
      </c>
      <c r="L8">
        <v>1</v>
      </c>
      <c r="M8">
        <v>1</v>
      </c>
      <c r="N8">
        <v>0</v>
      </c>
    </row>
    <row r="9" spans="1:14" x14ac:dyDescent="0.3">
      <c r="A9">
        <v>2</v>
      </c>
      <c r="B9">
        <v>3</v>
      </c>
      <c r="C9">
        <v>235</v>
      </c>
      <c r="D9">
        <v>1</v>
      </c>
      <c r="E9" t="s">
        <v>81</v>
      </c>
      <c r="F9" t="s">
        <v>0</v>
      </c>
      <c r="G9" t="s">
        <v>41</v>
      </c>
      <c r="H9" t="s">
        <v>55</v>
      </c>
      <c r="J9" t="s">
        <v>151</v>
      </c>
      <c r="K9">
        <v>1</v>
      </c>
      <c r="L9">
        <v>1</v>
      </c>
      <c r="M9">
        <v>1</v>
      </c>
      <c r="N9">
        <v>0</v>
      </c>
    </row>
    <row r="10" spans="1:14" x14ac:dyDescent="0.3">
      <c r="A10">
        <v>1</v>
      </c>
      <c r="B10">
        <v>3</v>
      </c>
      <c r="C10">
        <v>226</v>
      </c>
      <c r="D10">
        <v>1</v>
      </c>
      <c r="E10" t="s">
        <v>81</v>
      </c>
      <c r="F10" t="s">
        <v>0</v>
      </c>
      <c r="G10" t="s">
        <v>41</v>
      </c>
      <c r="H10" s="105" t="s">
        <v>47</v>
      </c>
      <c r="J10" t="s">
        <v>151</v>
      </c>
      <c r="K10">
        <v>1</v>
      </c>
      <c r="L10">
        <v>1</v>
      </c>
      <c r="M10">
        <v>1</v>
      </c>
      <c r="N10">
        <v>0</v>
      </c>
    </row>
    <row r="11" spans="1:14" x14ac:dyDescent="0.3">
      <c r="A11">
        <v>3</v>
      </c>
      <c r="B11">
        <v>4</v>
      </c>
      <c r="C11">
        <v>354</v>
      </c>
      <c r="D11">
        <v>1</v>
      </c>
      <c r="E11" t="s">
        <v>81</v>
      </c>
      <c r="F11" t="s">
        <v>0</v>
      </c>
      <c r="G11" t="s">
        <v>41</v>
      </c>
      <c r="H11" t="s">
        <v>63</v>
      </c>
      <c r="J11" t="s">
        <v>151</v>
      </c>
      <c r="K11">
        <v>1</v>
      </c>
      <c r="L11">
        <v>1</v>
      </c>
      <c r="M11">
        <v>1</v>
      </c>
      <c r="N11">
        <v>0</v>
      </c>
    </row>
    <row r="12" spans="1:14" x14ac:dyDescent="0.3">
      <c r="A12">
        <v>4</v>
      </c>
      <c r="B12">
        <v>2</v>
      </c>
      <c r="C12">
        <v>199</v>
      </c>
      <c r="D12">
        <v>1</v>
      </c>
      <c r="E12" t="s">
        <v>81</v>
      </c>
      <c r="F12" t="s">
        <v>0</v>
      </c>
      <c r="G12" t="s">
        <v>41</v>
      </c>
      <c r="H12" t="s">
        <v>70</v>
      </c>
      <c r="J12" t="s">
        <v>151</v>
      </c>
      <c r="K12">
        <v>1</v>
      </c>
      <c r="L12">
        <v>1</v>
      </c>
      <c r="M12">
        <v>1</v>
      </c>
      <c r="N12">
        <v>0</v>
      </c>
    </row>
    <row r="13" spans="1:14" x14ac:dyDescent="0.3">
      <c r="A13">
        <v>1</v>
      </c>
      <c r="B13">
        <v>4</v>
      </c>
      <c r="C13">
        <v>326</v>
      </c>
      <c r="D13">
        <v>1</v>
      </c>
      <c r="E13" t="s">
        <v>81</v>
      </c>
      <c r="F13" t="s">
        <v>0</v>
      </c>
      <c r="G13" t="s">
        <v>41</v>
      </c>
      <c r="H13" s="105" t="s">
        <v>48</v>
      </c>
      <c r="J13" t="s">
        <v>151</v>
      </c>
      <c r="K13">
        <v>1</v>
      </c>
      <c r="L13">
        <v>1</v>
      </c>
      <c r="M13">
        <v>1</v>
      </c>
      <c r="N13">
        <v>0</v>
      </c>
    </row>
    <row r="14" spans="1:14" x14ac:dyDescent="0.3">
      <c r="A14">
        <v>4</v>
      </c>
      <c r="B14">
        <v>2</v>
      </c>
      <c r="C14">
        <v>181</v>
      </c>
      <c r="D14">
        <v>1</v>
      </c>
      <c r="E14" t="s">
        <v>81</v>
      </c>
      <c r="F14" t="s">
        <v>0</v>
      </c>
      <c r="G14" t="s">
        <v>41</v>
      </c>
      <c r="H14" s="105" t="s">
        <v>67</v>
      </c>
      <c r="J14" t="s">
        <v>151</v>
      </c>
      <c r="K14">
        <v>1</v>
      </c>
      <c r="L14">
        <v>1</v>
      </c>
      <c r="M14">
        <v>1</v>
      </c>
      <c r="N14">
        <v>0</v>
      </c>
    </row>
    <row r="15" spans="1:14" x14ac:dyDescent="0.3">
      <c r="A15">
        <v>4</v>
      </c>
      <c r="B15">
        <v>1</v>
      </c>
      <c r="C15">
        <v>98</v>
      </c>
      <c r="D15">
        <v>1</v>
      </c>
      <c r="E15" t="s">
        <v>81</v>
      </c>
      <c r="F15" t="s">
        <v>0</v>
      </c>
      <c r="G15" t="s">
        <v>41</v>
      </c>
      <c r="H15" t="s">
        <v>67</v>
      </c>
      <c r="J15" t="s">
        <v>150</v>
      </c>
      <c r="K15">
        <v>1</v>
      </c>
      <c r="L15">
        <v>1</v>
      </c>
      <c r="M15">
        <v>1</v>
      </c>
      <c r="N15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6E4C-E8EA-4982-B69F-E8481F16199E}">
  <dimension ref="A1:N3"/>
  <sheetViews>
    <sheetView workbookViewId="0">
      <selection activeCell="J9" sqref="J9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</cols>
  <sheetData>
    <row r="1" spans="1:14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</row>
    <row r="2" spans="1:14" x14ac:dyDescent="0.3">
      <c r="A2">
        <v>1</v>
      </c>
      <c r="B2">
        <v>4</v>
      </c>
      <c r="C2">
        <v>308</v>
      </c>
      <c r="D2">
        <v>1</v>
      </c>
      <c r="E2" t="s">
        <v>81</v>
      </c>
      <c r="F2" t="s">
        <v>29</v>
      </c>
      <c r="G2" t="s">
        <v>42</v>
      </c>
      <c r="H2" s="105" t="s">
        <v>74</v>
      </c>
      <c r="J2" t="s">
        <v>151</v>
      </c>
      <c r="K2">
        <v>1</v>
      </c>
      <c r="L2">
        <v>0</v>
      </c>
      <c r="M2">
        <v>0</v>
      </c>
      <c r="N2">
        <v>1</v>
      </c>
    </row>
    <row r="3" spans="1:14" x14ac:dyDescent="0.3">
      <c r="A3">
        <v>1</v>
      </c>
      <c r="B3">
        <v>3</v>
      </c>
      <c r="C3">
        <v>208</v>
      </c>
      <c r="D3">
        <v>1</v>
      </c>
      <c r="E3" t="s">
        <v>81</v>
      </c>
      <c r="F3" t="s">
        <v>29</v>
      </c>
      <c r="G3" t="s">
        <v>42</v>
      </c>
      <c r="H3" t="s">
        <v>73</v>
      </c>
      <c r="J3" t="s">
        <v>150</v>
      </c>
      <c r="K3">
        <v>1</v>
      </c>
      <c r="L3">
        <v>0</v>
      </c>
      <c r="M3">
        <v>0</v>
      </c>
      <c r="N3">
        <v>1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D811-EA2A-4462-908F-B929CCC0455D}">
  <dimension ref="A1:O22"/>
  <sheetViews>
    <sheetView workbookViewId="0">
      <selection activeCell="J21" sqref="J21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18.77734375" customWidth="1"/>
    <col min="12" max="12" width="24" customWidth="1"/>
    <col min="13" max="13" width="21.77734375" customWidth="1"/>
    <col min="14" max="14" width="18.33203125" customWidth="1"/>
    <col min="15" max="15" width="17" customWidth="1"/>
  </cols>
  <sheetData>
    <row r="1" spans="1:15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184</v>
      </c>
      <c r="L1" t="s">
        <v>137</v>
      </c>
      <c r="M1" t="s">
        <v>138</v>
      </c>
      <c r="N1" t="s">
        <v>139</v>
      </c>
      <c r="O1" t="s">
        <v>141</v>
      </c>
    </row>
    <row r="2" spans="1:15" x14ac:dyDescent="0.3">
      <c r="A2">
        <v>3</v>
      </c>
      <c r="B2">
        <v>1</v>
      </c>
      <c r="C2">
        <v>56</v>
      </c>
      <c r="D2">
        <v>1</v>
      </c>
      <c r="E2" t="s">
        <v>81</v>
      </c>
      <c r="F2" t="s">
        <v>29</v>
      </c>
      <c r="G2" t="s">
        <v>42</v>
      </c>
      <c r="H2" t="s">
        <v>58</v>
      </c>
      <c r="J2" t="s">
        <v>151</v>
      </c>
      <c r="K2" t="s">
        <v>9</v>
      </c>
      <c r="L2">
        <v>1</v>
      </c>
      <c r="M2">
        <v>0</v>
      </c>
      <c r="N2">
        <v>1</v>
      </c>
      <c r="O2">
        <v>0</v>
      </c>
    </row>
    <row r="3" spans="1:15" x14ac:dyDescent="0.3">
      <c r="A3">
        <v>4</v>
      </c>
      <c r="B3">
        <v>4</v>
      </c>
      <c r="C3">
        <v>378</v>
      </c>
      <c r="D3">
        <v>1</v>
      </c>
      <c r="E3" t="s">
        <v>81</v>
      </c>
      <c r="F3" t="s">
        <v>29</v>
      </c>
      <c r="G3" t="s">
        <v>42</v>
      </c>
      <c r="H3" t="s">
        <v>59</v>
      </c>
      <c r="J3" t="s">
        <v>151</v>
      </c>
      <c r="K3" t="s">
        <v>9</v>
      </c>
      <c r="L3">
        <v>1</v>
      </c>
      <c r="M3">
        <v>0</v>
      </c>
      <c r="N3">
        <v>1</v>
      </c>
      <c r="O3">
        <v>0</v>
      </c>
    </row>
    <row r="4" spans="1:15" x14ac:dyDescent="0.3">
      <c r="A4">
        <v>2</v>
      </c>
      <c r="B4">
        <v>4</v>
      </c>
      <c r="C4">
        <v>342</v>
      </c>
      <c r="D4">
        <v>1</v>
      </c>
      <c r="E4" t="s">
        <v>81</v>
      </c>
      <c r="F4" t="s">
        <v>29</v>
      </c>
      <c r="G4" t="s">
        <v>42</v>
      </c>
      <c r="H4" t="s">
        <v>44</v>
      </c>
      <c r="L4">
        <v>1</v>
      </c>
      <c r="M4">
        <v>0</v>
      </c>
      <c r="N4">
        <v>1</v>
      </c>
      <c r="O4">
        <v>0</v>
      </c>
    </row>
    <row r="5" spans="1:15" x14ac:dyDescent="0.3">
      <c r="A5">
        <v>2</v>
      </c>
      <c r="B5">
        <v>1</v>
      </c>
      <c r="C5">
        <v>37</v>
      </c>
      <c r="D5">
        <v>1</v>
      </c>
      <c r="E5" t="s">
        <v>81</v>
      </c>
      <c r="F5" t="s">
        <v>29</v>
      </c>
      <c r="G5" t="s">
        <v>42</v>
      </c>
      <c r="H5" t="s">
        <v>45</v>
      </c>
      <c r="L5">
        <v>1</v>
      </c>
      <c r="M5">
        <v>0</v>
      </c>
      <c r="N5">
        <v>1</v>
      </c>
      <c r="O5">
        <v>0</v>
      </c>
    </row>
    <row r="6" spans="1:15" x14ac:dyDescent="0.3">
      <c r="A6">
        <v>3</v>
      </c>
      <c r="B6">
        <v>2</v>
      </c>
      <c r="C6">
        <v>177</v>
      </c>
      <c r="D6">
        <v>1</v>
      </c>
      <c r="E6" t="s">
        <v>81</v>
      </c>
      <c r="F6" t="s">
        <v>29</v>
      </c>
      <c r="G6" t="s">
        <v>42</v>
      </c>
      <c r="H6" t="s">
        <v>56</v>
      </c>
      <c r="J6" t="s">
        <v>151</v>
      </c>
      <c r="K6" t="s">
        <v>9</v>
      </c>
      <c r="L6">
        <v>1</v>
      </c>
      <c r="M6">
        <v>0</v>
      </c>
      <c r="N6">
        <v>1</v>
      </c>
      <c r="O6">
        <v>0</v>
      </c>
    </row>
    <row r="7" spans="1:15" x14ac:dyDescent="0.3">
      <c r="A7">
        <v>2</v>
      </c>
      <c r="B7">
        <v>3</v>
      </c>
      <c r="C7">
        <v>240</v>
      </c>
      <c r="D7">
        <v>1</v>
      </c>
      <c r="E7" t="s">
        <v>81</v>
      </c>
      <c r="F7" t="s">
        <v>29</v>
      </c>
      <c r="G7" t="s">
        <v>42</v>
      </c>
      <c r="H7" t="s">
        <v>46</v>
      </c>
      <c r="J7" t="s">
        <v>151</v>
      </c>
      <c r="K7" t="s">
        <v>9</v>
      </c>
      <c r="L7">
        <v>1</v>
      </c>
      <c r="M7">
        <v>0</v>
      </c>
      <c r="N7">
        <v>1</v>
      </c>
      <c r="O7">
        <v>0</v>
      </c>
    </row>
    <row r="8" spans="1:15" x14ac:dyDescent="0.3">
      <c r="A8">
        <v>3</v>
      </c>
      <c r="B8">
        <v>4</v>
      </c>
      <c r="C8">
        <v>359</v>
      </c>
      <c r="D8">
        <v>1</v>
      </c>
      <c r="E8" t="s">
        <v>81</v>
      </c>
      <c r="F8" t="s">
        <v>29</v>
      </c>
      <c r="G8" t="s">
        <v>42</v>
      </c>
      <c r="H8" t="s">
        <v>55</v>
      </c>
      <c r="J8" t="s">
        <v>151</v>
      </c>
      <c r="K8" t="s">
        <v>9</v>
      </c>
      <c r="L8">
        <v>1</v>
      </c>
      <c r="M8">
        <v>0</v>
      </c>
      <c r="N8">
        <v>1</v>
      </c>
      <c r="O8">
        <v>0</v>
      </c>
    </row>
    <row r="9" spans="1:15" x14ac:dyDescent="0.3">
      <c r="A9">
        <v>1</v>
      </c>
      <c r="B9">
        <v>2</v>
      </c>
      <c r="C9">
        <v>112</v>
      </c>
      <c r="D9">
        <v>1</v>
      </c>
      <c r="E9" t="s">
        <v>81</v>
      </c>
      <c r="F9" t="s">
        <v>29</v>
      </c>
      <c r="G9" t="s">
        <v>42</v>
      </c>
      <c r="H9" t="s">
        <v>71</v>
      </c>
      <c r="J9" t="s">
        <v>151</v>
      </c>
      <c r="K9" t="s">
        <v>9</v>
      </c>
      <c r="L9">
        <v>1</v>
      </c>
      <c r="M9">
        <v>0</v>
      </c>
      <c r="N9">
        <v>1</v>
      </c>
      <c r="O9">
        <v>0</v>
      </c>
    </row>
    <row r="10" spans="1:15" x14ac:dyDescent="0.3">
      <c r="A10">
        <v>3</v>
      </c>
      <c r="B10">
        <v>2</v>
      </c>
      <c r="C10">
        <v>152</v>
      </c>
      <c r="D10">
        <v>1</v>
      </c>
      <c r="E10" t="s">
        <v>81</v>
      </c>
      <c r="F10" t="s">
        <v>29</v>
      </c>
      <c r="G10" t="s">
        <v>42</v>
      </c>
      <c r="H10" t="s">
        <v>54</v>
      </c>
      <c r="L10">
        <v>1</v>
      </c>
      <c r="M10">
        <v>0</v>
      </c>
      <c r="N10">
        <v>1</v>
      </c>
      <c r="O10">
        <v>0</v>
      </c>
    </row>
    <row r="11" spans="1:15" x14ac:dyDescent="0.3">
      <c r="A11">
        <v>1</v>
      </c>
      <c r="B11">
        <v>3</v>
      </c>
      <c r="C11">
        <v>213</v>
      </c>
      <c r="D11">
        <v>1</v>
      </c>
      <c r="E11" t="s">
        <v>81</v>
      </c>
      <c r="F11" t="s">
        <v>29</v>
      </c>
      <c r="G11" t="s">
        <v>42</v>
      </c>
      <c r="H11" t="s">
        <v>70</v>
      </c>
      <c r="L11">
        <v>1</v>
      </c>
      <c r="M11">
        <v>0</v>
      </c>
      <c r="N11">
        <v>1</v>
      </c>
      <c r="O11">
        <v>0</v>
      </c>
    </row>
    <row r="12" spans="1:15" x14ac:dyDescent="0.3">
      <c r="A12">
        <v>1</v>
      </c>
      <c r="B12">
        <v>4</v>
      </c>
      <c r="C12">
        <v>314</v>
      </c>
      <c r="D12">
        <v>1</v>
      </c>
      <c r="E12" t="s">
        <v>81</v>
      </c>
      <c r="F12" t="s">
        <v>29</v>
      </c>
      <c r="G12" t="s">
        <v>42</v>
      </c>
      <c r="H12" t="s">
        <v>69</v>
      </c>
      <c r="J12" t="s">
        <v>151</v>
      </c>
      <c r="K12" t="s">
        <v>9</v>
      </c>
      <c r="L12">
        <v>1</v>
      </c>
      <c r="M12">
        <v>0</v>
      </c>
      <c r="N12">
        <v>1</v>
      </c>
      <c r="O12">
        <v>0</v>
      </c>
    </row>
    <row r="13" spans="1:15" x14ac:dyDescent="0.3">
      <c r="A13">
        <v>3</v>
      </c>
      <c r="B13">
        <v>3</v>
      </c>
      <c r="C13">
        <v>252</v>
      </c>
      <c r="D13">
        <v>1</v>
      </c>
      <c r="E13" t="s">
        <v>81</v>
      </c>
      <c r="F13" t="s">
        <v>29</v>
      </c>
      <c r="G13" t="s">
        <v>42</v>
      </c>
      <c r="H13" t="s">
        <v>52</v>
      </c>
      <c r="L13">
        <v>1</v>
      </c>
      <c r="M13">
        <v>0</v>
      </c>
      <c r="N13">
        <v>1</v>
      </c>
      <c r="O13">
        <v>0</v>
      </c>
    </row>
    <row r="14" spans="1:15" x14ac:dyDescent="0.3">
      <c r="A14">
        <v>1</v>
      </c>
      <c r="B14">
        <v>4</v>
      </c>
      <c r="C14">
        <v>319</v>
      </c>
      <c r="D14">
        <v>1</v>
      </c>
      <c r="E14" t="s">
        <v>81</v>
      </c>
      <c r="F14" t="s">
        <v>29</v>
      </c>
      <c r="G14" t="s">
        <v>42</v>
      </c>
      <c r="H14" t="s">
        <v>68</v>
      </c>
      <c r="L14">
        <v>1</v>
      </c>
      <c r="M14">
        <v>0</v>
      </c>
      <c r="N14">
        <v>1</v>
      </c>
      <c r="O14">
        <v>0</v>
      </c>
    </row>
    <row r="15" spans="1:15" x14ac:dyDescent="0.3">
      <c r="A15">
        <v>1</v>
      </c>
      <c r="B15">
        <v>1</v>
      </c>
      <c r="C15">
        <v>19</v>
      </c>
      <c r="D15">
        <v>1</v>
      </c>
      <c r="E15" t="s">
        <v>81</v>
      </c>
      <c r="F15" t="s">
        <v>29</v>
      </c>
      <c r="G15" t="s">
        <v>42</v>
      </c>
      <c r="H15" t="s">
        <v>68</v>
      </c>
      <c r="L15">
        <v>1</v>
      </c>
      <c r="M15">
        <v>0</v>
      </c>
      <c r="N15">
        <v>1</v>
      </c>
      <c r="O15">
        <v>0</v>
      </c>
    </row>
    <row r="16" spans="1:15" x14ac:dyDescent="0.3">
      <c r="A16">
        <v>2</v>
      </c>
      <c r="B16">
        <v>4</v>
      </c>
      <c r="C16">
        <v>334</v>
      </c>
      <c r="D16">
        <v>1</v>
      </c>
      <c r="E16" t="s">
        <v>81</v>
      </c>
      <c r="F16" t="s">
        <v>29</v>
      </c>
      <c r="G16" t="s">
        <v>42</v>
      </c>
      <c r="H16" t="s">
        <v>50</v>
      </c>
      <c r="L16">
        <v>1</v>
      </c>
      <c r="M16">
        <v>0</v>
      </c>
      <c r="N16">
        <v>1</v>
      </c>
      <c r="O16">
        <v>0</v>
      </c>
    </row>
    <row r="17" spans="1:15" x14ac:dyDescent="0.3">
      <c r="A17">
        <v>3</v>
      </c>
      <c r="B17">
        <v>2</v>
      </c>
      <c r="C17">
        <v>158</v>
      </c>
      <c r="D17">
        <v>1</v>
      </c>
      <c r="E17" t="s">
        <v>81</v>
      </c>
      <c r="F17" t="s">
        <v>29</v>
      </c>
      <c r="G17" t="s">
        <v>42</v>
      </c>
      <c r="I17" t="s">
        <v>127</v>
      </c>
      <c r="L17">
        <v>1</v>
      </c>
      <c r="M17">
        <v>0</v>
      </c>
      <c r="N17">
        <v>1</v>
      </c>
      <c r="O17">
        <v>0</v>
      </c>
    </row>
    <row r="22" spans="1:15" x14ac:dyDescent="0.3">
      <c r="K22" t="s">
        <v>19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C721-0553-494A-8C98-B6FC25B6C96B}">
  <dimension ref="A1:N17"/>
  <sheetViews>
    <sheetView workbookViewId="0">
      <selection activeCell="J24" sqref="J24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</cols>
  <sheetData>
    <row r="1" spans="1:14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</row>
    <row r="2" spans="1:14" x14ac:dyDescent="0.3">
      <c r="A2">
        <v>2</v>
      </c>
      <c r="B2">
        <v>3</v>
      </c>
      <c r="C2">
        <v>240</v>
      </c>
      <c r="D2">
        <v>1</v>
      </c>
      <c r="E2" t="s">
        <v>81</v>
      </c>
      <c r="F2" t="s">
        <v>29</v>
      </c>
      <c r="G2" t="s">
        <v>42</v>
      </c>
      <c r="H2" t="s">
        <v>43</v>
      </c>
      <c r="J2" t="s">
        <v>150</v>
      </c>
      <c r="K2">
        <v>1</v>
      </c>
      <c r="L2">
        <v>0</v>
      </c>
      <c r="M2">
        <v>1</v>
      </c>
      <c r="N2">
        <v>0</v>
      </c>
    </row>
    <row r="3" spans="1:14" x14ac:dyDescent="0.3">
      <c r="A3">
        <v>3</v>
      </c>
      <c r="B3">
        <v>1</v>
      </c>
      <c r="C3">
        <v>56</v>
      </c>
      <c r="D3">
        <v>1</v>
      </c>
      <c r="E3" t="s">
        <v>81</v>
      </c>
      <c r="F3" t="s">
        <v>29</v>
      </c>
      <c r="G3" t="s">
        <v>42</v>
      </c>
      <c r="H3" s="105" t="s">
        <v>58</v>
      </c>
      <c r="J3" t="s">
        <v>151</v>
      </c>
      <c r="K3">
        <v>1</v>
      </c>
      <c r="L3">
        <v>0</v>
      </c>
      <c r="M3">
        <v>1</v>
      </c>
      <c r="N3">
        <v>0</v>
      </c>
    </row>
    <row r="4" spans="1:14" x14ac:dyDescent="0.3">
      <c r="A4">
        <v>4</v>
      </c>
      <c r="B4">
        <v>4</v>
      </c>
      <c r="C4">
        <v>378</v>
      </c>
      <c r="D4">
        <v>1</v>
      </c>
      <c r="E4" t="s">
        <v>81</v>
      </c>
      <c r="F4" t="s">
        <v>29</v>
      </c>
      <c r="G4" t="s">
        <v>42</v>
      </c>
      <c r="H4" s="105" t="s">
        <v>59</v>
      </c>
      <c r="J4" t="s">
        <v>151</v>
      </c>
      <c r="K4">
        <v>1</v>
      </c>
      <c r="L4">
        <v>0</v>
      </c>
      <c r="M4">
        <v>1</v>
      </c>
      <c r="N4">
        <v>0</v>
      </c>
    </row>
    <row r="5" spans="1:14" x14ac:dyDescent="0.3">
      <c r="A5">
        <v>2</v>
      </c>
      <c r="B5">
        <v>4</v>
      </c>
      <c r="C5">
        <v>342</v>
      </c>
      <c r="D5">
        <v>1</v>
      </c>
      <c r="E5" t="s">
        <v>81</v>
      </c>
      <c r="F5" t="s">
        <v>29</v>
      </c>
      <c r="G5" t="s">
        <v>42</v>
      </c>
      <c r="H5" t="s">
        <v>44</v>
      </c>
      <c r="J5" t="s">
        <v>150</v>
      </c>
      <c r="K5">
        <v>1</v>
      </c>
      <c r="L5">
        <v>0</v>
      </c>
      <c r="M5">
        <v>1</v>
      </c>
      <c r="N5">
        <v>0</v>
      </c>
    </row>
    <row r="6" spans="1:14" x14ac:dyDescent="0.3">
      <c r="A6">
        <v>2</v>
      </c>
      <c r="B6">
        <v>1</v>
      </c>
      <c r="C6">
        <v>37</v>
      </c>
      <c r="D6">
        <v>1</v>
      </c>
      <c r="E6" t="s">
        <v>81</v>
      </c>
      <c r="F6" t="s">
        <v>29</v>
      </c>
      <c r="G6" t="s">
        <v>42</v>
      </c>
      <c r="H6" t="s">
        <v>45</v>
      </c>
      <c r="J6" t="s">
        <v>150</v>
      </c>
      <c r="K6">
        <v>1</v>
      </c>
      <c r="L6">
        <v>0</v>
      </c>
      <c r="M6">
        <v>1</v>
      </c>
      <c r="N6">
        <v>0</v>
      </c>
    </row>
    <row r="7" spans="1:14" x14ac:dyDescent="0.3">
      <c r="A7">
        <v>3</v>
      </c>
      <c r="B7">
        <v>4</v>
      </c>
      <c r="C7">
        <v>359</v>
      </c>
      <c r="D7">
        <v>1</v>
      </c>
      <c r="E7" t="s">
        <v>81</v>
      </c>
      <c r="F7" t="s">
        <v>29</v>
      </c>
      <c r="G7" t="s">
        <v>42</v>
      </c>
      <c r="H7" s="105" t="s">
        <v>55</v>
      </c>
      <c r="J7" t="s">
        <v>151</v>
      </c>
      <c r="K7">
        <v>1</v>
      </c>
      <c r="L7">
        <v>0</v>
      </c>
      <c r="M7">
        <v>1</v>
      </c>
      <c r="N7">
        <v>0</v>
      </c>
    </row>
    <row r="8" spans="1:14" x14ac:dyDescent="0.3">
      <c r="A8">
        <v>1</v>
      </c>
      <c r="B8">
        <v>4</v>
      </c>
      <c r="C8">
        <v>314</v>
      </c>
      <c r="D8">
        <v>1</v>
      </c>
      <c r="E8" t="s">
        <v>81</v>
      </c>
      <c r="F8" t="s">
        <v>29</v>
      </c>
      <c r="G8" t="s">
        <v>42</v>
      </c>
      <c r="H8" t="s">
        <v>71</v>
      </c>
      <c r="J8" t="s">
        <v>150</v>
      </c>
      <c r="K8">
        <v>1</v>
      </c>
      <c r="L8">
        <v>0</v>
      </c>
      <c r="M8">
        <v>1</v>
      </c>
      <c r="N8">
        <v>0</v>
      </c>
    </row>
    <row r="9" spans="1:14" x14ac:dyDescent="0.3">
      <c r="A9">
        <v>1</v>
      </c>
      <c r="B9">
        <v>2</v>
      </c>
      <c r="C9">
        <v>112</v>
      </c>
      <c r="D9">
        <v>1</v>
      </c>
      <c r="E9" t="s">
        <v>81</v>
      </c>
      <c r="F9" t="s">
        <v>29</v>
      </c>
      <c r="G9" t="s">
        <v>42</v>
      </c>
      <c r="H9" s="105" t="s">
        <v>71</v>
      </c>
      <c r="J9" t="s">
        <v>151</v>
      </c>
      <c r="K9">
        <v>1</v>
      </c>
      <c r="L9">
        <v>0</v>
      </c>
      <c r="M9">
        <v>1</v>
      </c>
      <c r="N9">
        <v>0</v>
      </c>
    </row>
    <row r="10" spans="1:14" x14ac:dyDescent="0.3">
      <c r="A10">
        <v>3</v>
      </c>
      <c r="B10">
        <v>2</v>
      </c>
      <c r="C10">
        <v>152</v>
      </c>
      <c r="D10">
        <v>1</v>
      </c>
      <c r="E10" t="s">
        <v>81</v>
      </c>
      <c r="F10" t="s">
        <v>29</v>
      </c>
      <c r="G10" t="s">
        <v>42</v>
      </c>
      <c r="H10" t="s">
        <v>54</v>
      </c>
      <c r="J10" t="s">
        <v>150</v>
      </c>
      <c r="K10">
        <v>1</v>
      </c>
      <c r="L10">
        <v>0</v>
      </c>
      <c r="M10">
        <v>1</v>
      </c>
      <c r="N10">
        <v>0</v>
      </c>
    </row>
    <row r="11" spans="1:14" x14ac:dyDescent="0.3">
      <c r="A11">
        <v>1</v>
      </c>
      <c r="B11">
        <v>3</v>
      </c>
      <c r="C11">
        <v>213</v>
      </c>
      <c r="D11">
        <v>1</v>
      </c>
      <c r="E11" t="s">
        <v>81</v>
      </c>
      <c r="F11" t="s">
        <v>29</v>
      </c>
      <c r="G11" t="s">
        <v>42</v>
      </c>
      <c r="H11" t="s">
        <v>70</v>
      </c>
      <c r="J11" t="s">
        <v>150</v>
      </c>
      <c r="K11">
        <v>1</v>
      </c>
      <c r="L11">
        <v>0</v>
      </c>
      <c r="M11">
        <v>1</v>
      </c>
      <c r="N11">
        <v>0</v>
      </c>
    </row>
    <row r="12" spans="1:14" x14ac:dyDescent="0.3">
      <c r="A12">
        <v>3</v>
      </c>
      <c r="B12">
        <v>2</v>
      </c>
      <c r="C12">
        <v>177</v>
      </c>
      <c r="D12">
        <v>1</v>
      </c>
      <c r="E12" t="s">
        <v>81</v>
      </c>
      <c r="F12" t="s">
        <v>29</v>
      </c>
      <c r="G12" t="s">
        <v>42</v>
      </c>
      <c r="H12" t="s">
        <v>53</v>
      </c>
      <c r="J12" t="s">
        <v>150</v>
      </c>
      <c r="K12">
        <v>1</v>
      </c>
      <c r="L12">
        <v>0</v>
      </c>
      <c r="M12">
        <v>1</v>
      </c>
      <c r="N12">
        <v>0</v>
      </c>
    </row>
    <row r="13" spans="1:14" x14ac:dyDescent="0.3">
      <c r="A13">
        <v>3</v>
      </c>
      <c r="B13">
        <v>3</v>
      </c>
      <c r="C13">
        <v>252</v>
      </c>
      <c r="D13">
        <v>1</v>
      </c>
      <c r="E13" t="s">
        <v>81</v>
      </c>
      <c r="F13" t="s">
        <v>29</v>
      </c>
      <c r="G13" t="s">
        <v>42</v>
      </c>
      <c r="H13" t="s">
        <v>52</v>
      </c>
      <c r="J13" t="s">
        <v>150</v>
      </c>
      <c r="K13">
        <v>1</v>
      </c>
      <c r="L13">
        <v>0</v>
      </c>
      <c r="M13">
        <v>1</v>
      </c>
      <c r="N13">
        <v>0</v>
      </c>
    </row>
    <row r="14" spans="1:14" x14ac:dyDescent="0.3">
      <c r="A14">
        <v>1</v>
      </c>
      <c r="B14">
        <v>4</v>
      </c>
      <c r="C14">
        <v>319</v>
      </c>
      <c r="D14">
        <v>1</v>
      </c>
      <c r="E14" t="s">
        <v>81</v>
      </c>
      <c r="F14" t="s">
        <v>29</v>
      </c>
      <c r="G14" t="s">
        <v>42</v>
      </c>
      <c r="H14" t="s">
        <v>68</v>
      </c>
      <c r="J14" t="s">
        <v>150</v>
      </c>
      <c r="K14">
        <v>1</v>
      </c>
      <c r="L14">
        <v>0</v>
      </c>
      <c r="M14">
        <v>1</v>
      </c>
      <c r="N14">
        <v>0</v>
      </c>
    </row>
    <row r="15" spans="1:14" x14ac:dyDescent="0.3">
      <c r="A15">
        <v>1</v>
      </c>
      <c r="B15">
        <v>1</v>
      </c>
      <c r="C15">
        <v>19</v>
      </c>
      <c r="D15">
        <v>1</v>
      </c>
      <c r="E15" t="s">
        <v>81</v>
      </c>
      <c r="F15" t="s">
        <v>29</v>
      </c>
      <c r="G15" t="s">
        <v>42</v>
      </c>
      <c r="H15" t="s">
        <v>68</v>
      </c>
      <c r="J15" t="s">
        <v>150</v>
      </c>
      <c r="K15">
        <v>1</v>
      </c>
      <c r="L15">
        <v>0</v>
      </c>
      <c r="M15">
        <v>1</v>
      </c>
      <c r="N15">
        <v>0</v>
      </c>
    </row>
    <row r="16" spans="1:14" x14ac:dyDescent="0.3">
      <c r="A16">
        <v>2</v>
      </c>
      <c r="B16">
        <v>4</v>
      </c>
      <c r="C16">
        <v>334</v>
      </c>
      <c r="D16">
        <v>1</v>
      </c>
      <c r="E16" t="s">
        <v>81</v>
      </c>
      <c r="F16" t="s">
        <v>29</v>
      </c>
      <c r="G16" t="s">
        <v>42</v>
      </c>
      <c r="H16" t="s">
        <v>50</v>
      </c>
      <c r="J16" t="s">
        <v>150</v>
      </c>
      <c r="K16">
        <v>1</v>
      </c>
      <c r="L16">
        <v>0</v>
      </c>
      <c r="M16">
        <v>1</v>
      </c>
      <c r="N16">
        <v>0</v>
      </c>
    </row>
    <row r="17" spans="1:14" x14ac:dyDescent="0.3">
      <c r="A17">
        <v>3</v>
      </c>
      <c r="B17">
        <v>2</v>
      </c>
      <c r="C17">
        <v>158</v>
      </c>
      <c r="D17">
        <v>1</v>
      </c>
      <c r="E17" t="s">
        <v>81</v>
      </c>
      <c r="F17" t="s">
        <v>29</v>
      </c>
      <c r="G17" t="s">
        <v>42</v>
      </c>
      <c r="I17" t="s">
        <v>127</v>
      </c>
      <c r="J17" t="s">
        <v>150</v>
      </c>
      <c r="K17">
        <v>1</v>
      </c>
      <c r="L17">
        <v>0</v>
      </c>
      <c r="M17">
        <v>1</v>
      </c>
      <c r="N17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AE9C-C419-478B-A505-5ADA7266DA53}">
  <dimension ref="A1:O28"/>
  <sheetViews>
    <sheetView workbookViewId="0">
      <selection activeCell="K18" sqref="K18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  <col min="15" max="15" width="20.6640625" bestFit="1" customWidth="1"/>
  </cols>
  <sheetData>
    <row r="1" spans="1:15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  <c r="O1" t="s">
        <v>162</v>
      </c>
    </row>
    <row r="2" spans="1:15" x14ac:dyDescent="0.3">
      <c r="A2">
        <v>1</v>
      </c>
      <c r="B2">
        <v>1</v>
      </c>
      <c r="C2">
        <v>2</v>
      </c>
      <c r="D2">
        <v>2</v>
      </c>
      <c r="E2" t="s">
        <v>80</v>
      </c>
      <c r="F2" t="s">
        <v>0</v>
      </c>
      <c r="G2" t="s">
        <v>41</v>
      </c>
      <c r="H2" t="s">
        <v>43</v>
      </c>
      <c r="J2" t="s">
        <v>151</v>
      </c>
      <c r="K2">
        <v>1</v>
      </c>
      <c r="L2">
        <v>1</v>
      </c>
      <c r="M2">
        <v>0</v>
      </c>
      <c r="N2">
        <v>1</v>
      </c>
    </row>
    <row r="3" spans="1:15" x14ac:dyDescent="0.3">
      <c r="A3">
        <v>2</v>
      </c>
      <c r="B3">
        <v>4</v>
      </c>
      <c r="C3">
        <v>352</v>
      </c>
      <c r="D3">
        <v>2</v>
      </c>
      <c r="E3" t="s">
        <v>80</v>
      </c>
      <c r="F3" t="s">
        <v>0</v>
      </c>
      <c r="G3" t="s">
        <v>41</v>
      </c>
      <c r="H3" t="s">
        <v>58</v>
      </c>
      <c r="J3" t="s">
        <v>151</v>
      </c>
      <c r="K3">
        <v>1</v>
      </c>
      <c r="L3">
        <v>1</v>
      </c>
      <c r="M3">
        <v>0</v>
      </c>
      <c r="N3">
        <v>1</v>
      </c>
    </row>
    <row r="4" spans="1:15" x14ac:dyDescent="0.3">
      <c r="A4">
        <v>3</v>
      </c>
      <c r="B4">
        <v>4</v>
      </c>
      <c r="C4">
        <v>357</v>
      </c>
      <c r="D4">
        <v>2</v>
      </c>
      <c r="E4" t="s">
        <v>80</v>
      </c>
      <c r="F4" t="s">
        <v>0</v>
      </c>
      <c r="G4" t="s">
        <v>41</v>
      </c>
      <c r="H4" t="s">
        <v>59</v>
      </c>
      <c r="J4" t="s">
        <v>151</v>
      </c>
      <c r="K4">
        <v>1</v>
      </c>
      <c r="L4">
        <v>1</v>
      </c>
      <c r="M4">
        <v>0</v>
      </c>
      <c r="N4">
        <v>1</v>
      </c>
    </row>
    <row r="5" spans="1:15" x14ac:dyDescent="0.3">
      <c r="A5">
        <v>4</v>
      </c>
      <c r="B5">
        <v>2</v>
      </c>
      <c r="C5">
        <v>193</v>
      </c>
      <c r="D5">
        <v>2</v>
      </c>
      <c r="E5" t="s">
        <v>80</v>
      </c>
      <c r="F5" t="s">
        <v>0</v>
      </c>
      <c r="G5" t="s">
        <v>41</v>
      </c>
      <c r="H5" t="s">
        <v>74</v>
      </c>
      <c r="J5" t="s">
        <v>151</v>
      </c>
      <c r="K5">
        <v>1</v>
      </c>
      <c r="L5">
        <v>1</v>
      </c>
      <c r="M5">
        <v>0</v>
      </c>
      <c r="N5">
        <v>1</v>
      </c>
    </row>
    <row r="6" spans="1:15" x14ac:dyDescent="0.3">
      <c r="A6">
        <v>2</v>
      </c>
      <c r="B6">
        <v>4</v>
      </c>
      <c r="C6">
        <v>340</v>
      </c>
      <c r="D6">
        <v>2</v>
      </c>
      <c r="E6" t="s">
        <v>80</v>
      </c>
      <c r="F6" t="s">
        <v>0</v>
      </c>
      <c r="G6" t="s">
        <v>41</v>
      </c>
      <c r="H6" t="s">
        <v>57</v>
      </c>
      <c r="J6" t="s">
        <v>151</v>
      </c>
      <c r="K6">
        <v>1</v>
      </c>
      <c r="L6">
        <v>1</v>
      </c>
      <c r="M6">
        <v>0</v>
      </c>
      <c r="N6">
        <v>1</v>
      </c>
    </row>
    <row r="7" spans="1:15" x14ac:dyDescent="0.3">
      <c r="A7">
        <v>3</v>
      </c>
      <c r="B7">
        <v>1</v>
      </c>
      <c r="C7">
        <v>54</v>
      </c>
      <c r="D7">
        <v>2</v>
      </c>
      <c r="E7" t="s">
        <v>80</v>
      </c>
      <c r="F7" t="s">
        <v>0</v>
      </c>
      <c r="G7" t="s">
        <v>41</v>
      </c>
      <c r="H7" t="s">
        <v>60</v>
      </c>
      <c r="J7" t="s">
        <v>151</v>
      </c>
      <c r="K7">
        <v>1</v>
      </c>
      <c r="L7">
        <v>1</v>
      </c>
      <c r="M7">
        <v>0</v>
      </c>
      <c r="N7">
        <v>1</v>
      </c>
      <c r="O7" s="105" t="s">
        <v>170</v>
      </c>
    </row>
    <row r="8" spans="1:15" x14ac:dyDescent="0.3">
      <c r="A8">
        <v>2</v>
      </c>
      <c r="B8">
        <v>3</v>
      </c>
      <c r="C8">
        <v>250</v>
      </c>
      <c r="D8">
        <v>2</v>
      </c>
      <c r="E8" t="s">
        <v>80</v>
      </c>
      <c r="F8" t="s">
        <v>0</v>
      </c>
      <c r="G8" t="s">
        <v>41</v>
      </c>
      <c r="H8" t="s">
        <v>56</v>
      </c>
      <c r="J8" t="s">
        <v>151</v>
      </c>
      <c r="K8">
        <v>1</v>
      </c>
      <c r="L8">
        <v>1</v>
      </c>
      <c r="M8">
        <v>0</v>
      </c>
      <c r="N8">
        <v>1</v>
      </c>
    </row>
    <row r="9" spans="1:15" x14ac:dyDescent="0.3">
      <c r="A9">
        <v>4</v>
      </c>
      <c r="B9">
        <v>3</v>
      </c>
      <c r="C9">
        <v>294</v>
      </c>
      <c r="D9">
        <v>2</v>
      </c>
      <c r="E9" t="s">
        <v>80</v>
      </c>
      <c r="F9" t="s">
        <v>0</v>
      </c>
      <c r="G9" t="s">
        <v>41</v>
      </c>
      <c r="H9" t="s">
        <v>72</v>
      </c>
      <c r="J9" t="s">
        <v>151</v>
      </c>
      <c r="K9">
        <v>1</v>
      </c>
      <c r="L9">
        <v>1</v>
      </c>
      <c r="M9">
        <v>0</v>
      </c>
      <c r="N9">
        <v>1</v>
      </c>
      <c r="O9" s="105" t="s">
        <v>178</v>
      </c>
    </row>
    <row r="10" spans="1:15" x14ac:dyDescent="0.3">
      <c r="A10">
        <v>3</v>
      </c>
      <c r="B10">
        <v>2</v>
      </c>
      <c r="C10">
        <v>156</v>
      </c>
      <c r="D10">
        <v>2</v>
      </c>
      <c r="E10" t="s">
        <v>80</v>
      </c>
      <c r="F10" t="s">
        <v>0</v>
      </c>
      <c r="G10" t="s">
        <v>41</v>
      </c>
      <c r="H10" t="s">
        <v>62</v>
      </c>
      <c r="J10" t="s">
        <v>151</v>
      </c>
      <c r="K10">
        <v>1</v>
      </c>
      <c r="L10">
        <v>1</v>
      </c>
      <c r="M10">
        <v>0</v>
      </c>
      <c r="N10">
        <v>1</v>
      </c>
      <c r="O10" s="105" t="s">
        <v>177</v>
      </c>
    </row>
    <row r="11" spans="1:15" x14ac:dyDescent="0.3">
      <c r="A11">
        <v>1</v>
      </c>
      <c r="B11">
        <v>4</v>
      </c>
      <c r="C11">
        <v>305</v>
      </c>
      <c r="D11">
        <v>2</v>
      </c>
      <c r="E11" t="s">
        <v>80</v>
      </c>
      <c r="F11" t="s">
        <v>0</v>
      </c>
      <c r="G11" t="s">
        <v>41</v>
      </c>
      <c r="H11" t="s">
        <v>47</v>
      </c>
      <c r="J11" t="s">
        <v>151</v>
      </c>
      <c r="K11">
        <v>1</v>
      </c>
      <c r="L11">
        <v>1</v>
      </c>
      <c r="M11">
        <v>0</v>
      </c>
      <c r="N11">
        <v>1</v>
      </c>
    </row>
    <row r="12" spans="1:15" x14ac:dyDescent="0.3">
      <c r="A12">
        <v>1</v>
      </c>
      <c r="B12">
        <v>1</v>
      </c>
      <c r="C12">
        <v>14</v>
      </c>
      <c r="D12">
        <v>2</v>
      </c>
      <c r="E12" t="s">
        <v>80</v>
      </c>
      <c r="F12" t="s">
        <v>0</v>
      </c>
      <c r="G12" t="s">
        <v>41</v>
      </c>
      <c r="H12" t="s">
        <v>47</v>
      </c>
      <c r="J12" t="s">
        <v>150</v>
      </c>
      <c r="K12">
        <v>1</v>
      </c>
      <c r="L12">
        <v>1</v>
      </c>
      <c r="M12">
        <v>0</v>
      </c>
      <c r="N12">
        <v>1</v>
      </c>
    </row>
    <row r="13" spans="1:15" x14ac:dyDescent="0.3">
      <c r="A13">
        <v>2</v>
      </c>
      <c r="B13">
        <v>3</v>
      </c>
      <c r="C13">
        <v>238</v>
      </c>
      <c r="D13">
        <v>2</v>
      </c>
      <c r="E13" t="s">
        <v>80</v>
      </c>
      <c r="F13" t="s">
        <v>0</v>
      </c>
      <c r="G13" t="s">
        <v>41</v>
      </c>
      <c r="H13" t="s">
        <v>54</v>
      </c>
      <c r="J13" t="s">
        <v>151</v>
      </c>
      <c r="K13">
        <v>1</v>
      </c>
      <c r="L13">
        <v>1</v>
      </c>
      <c r="M13">
        <v>0</v>
      </c>
      <c r="N13">
        <v>1</v>
      </c>
    </row>
    <row r="14" spans="1:15" x14ac:dyDescent="0.3">
      <c r="A14">
        <v>3</v>
      </c>
      <c r="B14">
        <v>1</v>
      </c>
      <c r="C14">
        <v>65</v>
      </c>
      <c r="D14">
        <v>2</v>
      </c>
      <c r="E14" t="s">
        <v>80</v>
      </c>
      <c r="F14" t="s">
        <v>0</v>
      </c>
      <c r="G14" t="s">
        <v>41</v>
      </c>
      <c r="H14" t="s">
        <v>63</v>
      </c>
      <c r="J14" t="s">
        <v>151</v>
      </c>
      <c r="K14">
        <v>1</v>
      </c>
      <c r="L14">
        <v>1</v>
      </c>
      <c r="M14">
        <v>0</v>
      </c>
      <c r="N14">
        <v>1</v>
      </c>
    </row>
    <row r="15" spans="1:15" x14ac:dyDescent="0.3">
      <c r="A15">
        <v>4</v>
      </c>
      <c r="B15">
        <v>3</v>
      </c>
      <c r="C15">
        <v>285</v>
      </c>
      <c r="D15">
        <v>2</v>
      </c>
      <c r="E15" t="s">
        <v>80</v>
      </c>
      <c r="F15" t="s">
        <v>0</v>
      </c>
      <c r="G15" t="s">
        <v>41</v>
      </c>
      <c r="H15" t="s">
        <v>70</v>
      </c>
      <c r="J15" t="s">
        <v>151</v>
      </c>
      <c r="K15">
        <v>1</v>
      </c>
      <c r="L15">
        <v>1</v>
      </c>
      <c r="M15">
        <v>0</v>
      </c>
      <c r="N15">
        <v>1</v>
      </c>
    </row>
    <row r="16" spans="1:15" x14ac:dyDescent="0.3">
      <c r="A16">
        <v>1</v>
      </c>
      <c r="B16">
        <v>2</v>
      </c>
      <c r="C16">
        <v>110</v>
      </c>
      <c r="D16">
        <v>2</v>
      </c>
      <c r="E16" t="s">
        <v>80</v>
      </c>
      <c r="F16" t="s">
        <v>0</v>
      </c>
      <c r="G16" t="s">
        <v>41</v>
      </c>
      <c r="H16" t="s">
        <v>48</v>
      </c>
      <c r="J16" t="s">
        <v>151</v>
      </c>
      <c r="K16">
        <v>1</v>
      </c>
      <c r="L16">
        <v>1</v>
      </c>
      <c r="M16">
        <v>0</v>
      </c>
      <c r="N16">
        <v>1</v>
      </c>
    </row>
    <row r="17" spans="1:15" x14ac:dyDescent="0.3">
      <c r="A17">
        <v>2</v>
      </c>
      <c r="B17">
        <v>2</v>
      </c>
      <c r="C17">
        <v>150</v>
      </c>
      <c r="D17">
        <v>2</v>
      </c>
      <c r="E17" t="s">
        <v>80</v>
      </c>
      <c r="F17" t="s">
        <v>0</v>
      </c>
      <c r="G17" t="s">
        <v>41</v>
      </c>
      <c r="H17" t="s">
        <v>53</v>
      </c>
      <c r="J17" t="s">
        <v>150</v>
      </c>
      <c r="K17">
        <v>1</v>
      </c>
      <c r="L17">
        <v>1</v>
      </c>
      <c r="M17">
        <v>0</v>
      </c>
      <c r="N17">
        <v>1</v>
      </c>
    </row>
    <row r="18" spans="1:15" x14ac:dyDescent="0.3">
      <c r="A18">
        <v>2</v>
      </c>
      <c r="B18">
        <v>1</v>
      </c>
      <c r="C18">
        <v>42</v>
      </c>
      <c r="D18">
        <v>2</v>
      </c>
      <c r="E18" t="s">
        <v>80</v>
      </c>
      <c r="F18" t="s">
        <v>0</v>
      </c>
      <c r="G18" t="s">
        <v>41</v>
      </c>
      <c r="H18" t="s">
        <v>53</v>
      </c>
      <c r="J18" t="s">
        <v>151</v>
      </c>
      <c r="K18">
        <v>1</v>
      </c>
      <c r="L18">
        <v>1</v>
      </c>
      <c r="M18">
        <v>0</v>
      </c>
      <c r="N18">
        <v>1</v>
      </c>
    </row>
    <row r="19" spans="1:15" x14ac:dyDescent="0.3">
      <c r="A19">
        <v>4</v>
      </c>
      <c r="B19">
        <v>2</v>
      </c>
      <c r="C19">
        <v>197</v>
      </c>
      <c r="D19">
        <v>2</v>
      </c>
      <c r="E19" t="s">
        <v>80</v>
      </c>
      <c r="F19" t="s">
        <v>0</v>
      </c>
      <c r="G19" t="s">
        <v>41</v>
      </c>
      <c r="H19" t="s">
        <v>69</v>
      </c>
      <c r="J19" t="s">
        <v>151</v>
      </c>
      <c r="K19">
        <v>1</v>
      </c>
      <c r="L19">
        <v>1</v>
      </c>
      <c r="M19">
        <v>0</v>
      </c>
      <c r="N19">
        <v>1</v>
      </c>
      <c r="O19" s="1" t="s">
        <v>165</v>
      </c>
    </row>
    <row r="20" spans="1:15" x14ac:dyDescent="0.3">
      <c r="A20">
        <v>1</v>
      </c>
      <c r="B20">
        <v>3</v>
      </c>
      <c r="C20">
        <v>205</v>
      </c>
      <c r="D20">
        <v>2</v>
      </c>
      <c r="E20" t="s">
        <v>80</v>
      </c>
      <c r="F20" t="s">
        <v>0</v>
      </c>
      <c r="G20" t="s">
        <v>41</v>
      </c>
      <c r="H20" t="s">
        <v>49</v>
      </c>
      <c r="J20" t="s">
        <v>151</v>
      </c>
      <c r="K20">
        <v>1</v>
      </c>
      <c r="L20">
        <v>1</v>
      </c>
      <c r="M20">
        <v>0</v>
      </c>
      <c r="N20">
        <v>1</v>
      </c>
    </row>
    <row r="21" spans="1:15" x14ac:dyDescent="0.3">
      <c r="A21">
        <v>2</v>
      </c>
      <c r="B21">
        <v>2</v>
      </c>
      <c r="C21">
        <v>136</v>
      </c>
      <c r="D21">
        <v>2</v>
      </c>
      <c r="E21" t="s">
        <v>80</v>
      </c>
      <c r="F21" t="s">
        <v>0</v>
      </c>
      <c r="G21" t="s">
        <v>41</v>
      </c>
      <c r="H21" t="s">
        <v>52</v>
      </c>
      <c r="J21" t="s">
        <v>151</v>
      </c>
      <c r="K21">
        <v>1</v>
      </c>
      <c r="L21">
        <v>1</v>
      </c>
      <c r="M21">
        <v>0</v>
      </c>
      <c r="N21">
        <v>1</v>
      </c>
    </row>
    <row r="22" spans="1:15" x14ac:dyDescent="0.3">
      <c r="A22">
        <v>3</v>
      </c>
      <c r="B22">
        <v>3</v>
      </c>
      <c r="C22">
        <v>256</v>
      </c>
      <c r="D22">
        <v>2</v>
      </c>
      <c r="E22" t="s">
        <v>80</v>
      </c>
      <c r="F22" t="s">
        <v>0</v>
      </c>
      <c r="G22" t="s">
        <v>41</v>
      </c>
      <c r="H22" t="s">
        <v>65</v>
      </c>
      <c r="J22" t="s">
        <v>151</v>
      </c>
      <c r="K22">
        <v>1</v>
      </c>
      <c r="L22">
        <v>1</v>
      </c>
      <c r="M22">
        <v>0</v>
      </c>
      <c r="N22">
        <v>1</v>
      </c>
    </row>
    <row r="23" spans="1:15" x14ac:dyDescent="0.3">
      <c r="A23">
        <v>4</v>
      </c>
      <c r="B23">
        <v>4</v>
      </c>
      <c r="C23">
        <v>394</v>
      </c>
      <c r="D23">
        <v>2</v>
      </c>
      <c r="E23" t="s">
        <v>80</v>
      </c>
      <c r="F23" t="s">
        <v>0</v>
      </c>
      <c r="G23" t="s">
        <v>41</v>
      </c>
      <c r="H23" t="s">
        <v>68</v>
      </c>
      <c r="J23" t="s">
        <v>151</v>
      </c>
      <c r="K23">
        <v>1</v>
      </c>
      <c r="L23">
        <v>1</v>
      </c>
      <c r="M23">
        <v>0</v>
      </c>
      <c r="N23">
        <v>1</v>
      </c>
    </row>
    <row r="24" spans="1:15" x14ac:dyDescent="0.3">
      <c r="A24">
        <v>4</v>
      </c>
      <c r="B24">
        <v>1</v>
      </c>
      <c r="C24">
        <v>96</v>
      </c>
      <c r="D24">
        <v>2</v>
      </c>
      <c r="E24" t="s">
        <v>80</v>
      </c>
      <c r="F24" t="s">
        <v>0</v>
      </c>
      <c r="G24" t="s">
        <v>41</v>
      </c>
      <c r="H24" t="s">
        <v>68</v>
      </c>
      <c r="J24" t="s">
        <v>150</v>
      </c>
      <c r="K24">
        <v>1</v>
      </c>
      <c r="L24">
        <v>1</v>
      </c>
      <c r="M24">
        <v>0</v>
      </c>
      <c r="N24">
        <v>1</v>
      </c>
    </row>
    <row r="25" spans="1:15" x14ac:dyDescent="0.3">
      <c r="A25">
        <v>2</v>
      </c>
      <c r="B25">
        <v>1</v>
      </c>
      <c r="C25">
        <v>49</v>
      </c>
      <c r="D25">
        <v>2</v>
      </c>
      <c r="E25" t="s">
        <v>80</v>
      </c>
      <c r="F25" t="s">
        <v>0</v>
      </c>
      <c r="G25" t="s">
        <v>41</v>
      </c>
      <c r="H25" t="s">
        <v>51</v>
      </c>
      <c r="J25" t="s">
        <v>151</v>
      </c>
      <c r="K25">
        <v>1</v>
      </c>
      <c r="L25">
        <v>1</v>
      </c>
      <c r="M25">
        <v>0</v>
      </c>
      <c r="N25">
        <v>1</v>
      </c>
    </row>
    <row r="26" spans="1:15" x14ac:dyDescent="0.3">
      <c r="A26">
        <v>4</v>
      </c>
      <c r="B26">
        <v>4</v>
      </c>
      <c r="C26">
        <v>398</v>
      </c>
      <c r="D26">
        <v>2</v>
      </c>
      <c r="E26" t="s">
        <v>80</v>
      </c>
      <c r="F26" t="s">
        <v>0</v>
      </c>
      <c r="G26" t="s">
        <v>41</v>
      </c>
      <c r="H26" t="s">
        <v>67</v>
      </c>
      <c r="J26" t="s">
        <v>151</v>
      </c>
      <c r="K26">
        <v>1</v>
      </c>
      <c r="L26">
        <v>1</v>
      </c>
      <c r="M26">
        <v>0</v>
      </c>
      <c r="N26">
        <v>1</v>
      </c>
      <c r="O26" s="105" t="s">
        <v>173</v>
      </c>
    </row>
    <row r="28" spans="1:15" x14ac:dyDescent="0.3">
      <c r="O28" t="s">
        <v>180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317F-9BCE-4256-B934-43C8078DA0DF}">
  <dimension ref="A1:N15"/>
  <sheetViews>
    <sheetView workbookViewId="0">
      <selection activeCell="A5" sqref="A5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</cols>
  <sheetData>
    <row r="1" spans="1:14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</row>
    <row r="2" spans="1:14" x14ac:dyDescent="0.3">
      <c r="A2">
        <v>1</v>
      </c>
      <c r="B2">
        <v>2</v>
      </c>
      <c r="C2">
        <v>115</v>
      </c>
      <c r="D2">
        <v>2</v>
      </c>
      <c r="E2" t="s">
        <v>80</v>
      </c>
      <c r="F2" t="s">
        <v>0</v>
      </c>
      <c r="G2" t="s">
        <v>41</v>
      </c>
      <c r="H2" t="s">
        <v>43</v>
      </c>
      <c r="J2" t="s">
        <v>151</v>
      </c>
      <c r="K2">
        <v>1</v>
      </c>
      <c r="L2">
        <v>1</v>
      </c>
      <c r="M2">
        <v>1</v>
      </c>
      <c r="N2">
        <v>0</v>
      </c>
    </row>
    <row r="3" spans="1:14" x14ac:dyDescent="0.3">
      <c r="A3">
        <v>4</v>
      </c>
      <c r="B3">
        <v>4</v>
      </c>
      <c r="C3">
        <v>387</v>
      </c>
      <c r="D3">
        <v>2</v>
      </c>
      <c r="E3" t="s">
        <v>80</v>
      </c>
      <c r="F3" t="s">
        <v>0</v>
      </c>
      <c r="G3" t="s">
        <v>41</v>
      </c>
      <c r="H3" t="s">
        <v>74</v>
      </c>
      <c r="J3" t="s">
        <v>151</v>
      </c>
      <c r="K3">
        <v>1</v>
      </c>
      <c r="L3">
        <v>1</v>
      </c>
      <c r="M3">
        <v>1</v>
      </c>
      <c r="N3">
        <v>0</v>
      </c>
    </row>
    <row r="4" spans="1:14" x14ac:dyDescent="0.3">
      <c r="A4">
        <v>1</v>
      </c>
      <c r="B4">
        <v>4</v>
      </c>
      <c r="C4">
        <v>317</v>
      </c>
      <c r="D4">
        <v>2</v>
      </c>
      <c r="E4" t="s">
        <v>80</v>
      </c>
      <c r="F4" t="s">
        <v>0</v>
      </c>
      <c r="G4" t="s">
        <v>41</v>
      </c>
      <c r="H4" s="105" t="s">
        <v>44</v>
      </c>
      <c r="J4" t="s">
        <v>151</v>
      </c>
      <c r="K4">
        <v>1</v>
      </c>
      <c r="L4">
        <v>1</v>
      </c>
      <c r="M4">
        <v>1</v>
      </c>
      <c r="N4">
        <v>0</v>
      </c>
    </row>
    <row r="5" spans="1:14" x14ac:dyDescent="0.3">
      <c r="A5">
        <v>4</v>
      </c>
      <c r="B5">
        <v>3</v>
      </c>
      <c r="C5">
        <v>281</v>
      </c>
      <c r="D5">
        <v>2</v>
      </c>
      <c r="E5" t="s">
        <v>80</v>
      </c>
      <c r="F5" t="s">
        <v>0</v>
      </c>
      <c r="G5" t="s">
        <v>41</v>
      </c>
      <c r="H5" s="105" t="s">
        <v>73</v>
      </c>
      <c r="J5" t="s">
        <v>151</v>
      </c>
      <c r="K5">
        <v>1</v>
      </c>
      <c r="L5">
        <v>1</v>
      </c>
      <c r="M5">
        <v>1</v>
      </c>
      <c r="N5">
        <v>0</v>
      </c>
    </row>
    <row r="6" spans="1:14" x14ac:dyDescent="0.3">
      <c r="A6">
        <v>4</v>
      </c>
      <c r="B6">
        <v>2</v>
      </c>
      <c r="C6">
        <v>186</v>
      </c>
      <c r="D6">
        <v>2</v>
      </c>
      <c r="E6" t="s">
        <v>80</v>
      </c>
      <c r="F6" t="s">
        <v>0</v>
      </c>
      <c r="G6" t="s">
        <v>41</v>
      </c>
      <c r="H6" t="s">
        <v>73</v>
      </c>
      <c r="J6" t="s">
        <v>150</v>
      </c>
      <c r="K6">
        <v>1</v>
      </c>
      <c r="L6">
        <v>1</v>
      </c>
      <c r="M6">
        <v>1</v>
      </c>
      <c r="N6">
        <v>0</v>
      </c>
    </row>
    <row r="7" spans="1:14" x14ac:dyDescent="0.3">
      <c r="A7">
        <v>2</v>
      </c>
      <c r="B7">
        <v>4</v>
      </c>
      <c r="C7">
        <v>345</v>
      </c>
      <c r="D7">
        <v>2</v>
      </c>
      <c r="E7" t="s">
        <v>80</v>
      </c>
      <c r="F7" t="s">
        <v>0</v>
      </c>
      <c r="G7" t="s">
        <v>41</v>
      </c>
      <c r="H7" t="s">
        <v>56</v>
      </c>
      <c r="J7" t="s">
        <v>151</v>
      </c>
      <c r="K7">
        <v>1</v>
      </c>
      <c r="L7">
        <v>1</v>
      </c>
      <c r="M7">
        <v>1</v>
      </c>
      <c r="N7">
        <v>0</v>
      </c>
    </row>
    <row r="8" spans="1:14" x14ac:dyDescent="0.3">
      <c r="A8">
        <v>3</v>
      </c>
      <c r="B8">
        <v>2</v>
      </c>
      <c r="C8">
        <v>168</v>
      </c>
      <c r="D8">
        <v>2</v>
      </c>
      <c r="E8" t="s">
        <v>80</v>
      </c>
      <c r="F8" t="s">
        <v>0</v>
      </c>
      <c r="G8" t="s">
        <v>41</v>
      </c>
      <c r="H8" t="s">
        <v>61</v>
      </c>
      <c r="J8" t="s">
        <v>151</v>
      </c>
      <c r="K8">
        <v>1</v>
      </c>
      <c r="L8">
        <v>1</v>
      </c>
      <c r="M8">
        <v>1</v>
      </c>
      <c r="N8">
        <v>0</v>
      </c>
    </row>
    <row r="9" spans="1:14" x14ac:dyDescent="0.3">
      <c r="A9">
        <v>1</v>
      </c>
      <c r="B9">
        <v>3</v>
      </c>
      <c r="C9">
        <v>216</v>
      </c>
      <c r="D9">
        <v>2</v>
      </c>
      <c r="E9" t="s">
        <v>80</v>
      </c>
      <c r="F9" t="s">
        <v>0</v>
      </c>
      <c r="G9" t="s">
        <v>41</v>
      </c>
      <c r="H9" s="105" t="s">
        <v>46</v>
      </c>
      <c r="J9" t="s">
        <v>151</v>
      </c>
      <c r="K9">
        <v>1</v>
      </c>
      <c r="L9">
        <v>1</v>
      </c>
      <c r="M9">
        <v>1</v>
      </c>
      <c r="N9">
        <v>0</v>
      </c>
    </row>
    <row r="10" spans="1:14" x14ac:dyDescent="0.3">
      <c r="A10">
        <v>2</v>
      </c>
      <c r="B10">
        <v>1</v>
      </c>
      <c r="C10">
        <v>35</v>
      </c>
      <c r="D10">
        <v>2</v>
      </c>
      <c r="E10" t="s">
        <v>80</v>
      </c>
      <c r="F10" t="s">
        <v>0</v>
      </c>
      <c r="G10" t="s">
        <v>41</v>
      </c>
      <c r="H10" s="105" t="s">
        <v>55</v>
      </c>
      <c r="J10" t="s">
        <v>151</v>
      </c>
      <c r="K10">
        <v>1</v>
      </c>
      <c r="L10">
        <v>1</v>
      </c>
      <c r="M10">
        <v>1</v>
      </c>
      <c r="N10">
        <v>0</v>
      </c>
    </row>
    <row r="11" spans="1:14" x14ac:dyDescent="0.3">
      <c r="A11">
        <v>4</v>
      </c>
      <c r="B11">
        <v>1</v>
      </c>
      <c r="C11">
        <v>86</v>
      </c>
      <c r="D11">
        <v>2</v>
      </c>
      <c r="E11" t="s">
        <v>80</v>
      </c>
      <c r="F11" t="s">
        <v>0</v>
      </c>
      <c r="G11" t="s">
        <v>41</v>
      </c>
      <c r="H11" s="105" t="s">
        <v>71</v>
      </c>
      <c r="J11" t="s">
        <v>151</v>
      </c>
      <c r="K11">
        <v>1</v>
      </c>
      <c r="L11">
        <v>1</v>
      </c>
      <c r="M11">
        <v>1</v>
      </c>
      <c r="N11">
        <v>0</v>
      </c>
    </row>
    <row r="12" spans="1:14" x14ac:dyDescent="0.3">
      <c r="A12">
        <v>3</v>
      </c>
      <c r="B12">
        <v>3</v>
      </c>
      <c r="C12">
        <v>266</v>
      </c>
      <c r="D12">
        <v>2</v>
      </c>
      <c r="E12" t="s">
        <v>80</v>
      </c>
      <c r="F12" t="s">
        <v>0</v>
      </c>
      <c r="G12" t="s">
        <v>41</v>
      </c>
      <c r="H12" t="s">
        <v>63</v>
      </c>
      <c r="J12" t="s">
        <v>151</v>
      </c>
      <c r="K12">
        <v>1</v>
      </c>
      <c r="L12">
        <v>1</v>
      </c>
      <c r="M12">
        <v>1</v>
      </c>
      <c r="N12">
        <v>0</v>
      </c>
    </row>
    <row r="13" spans="1:14" x14ac:dyDescent="0.3">
      <c r="A13">
        <v>4</v>
      </c>
      <c r="B13">
        <v>1</v>
      </c>
      <c r="C13">
        <v>92</v>
      </c>
      <c r="D13">
        <v>2</v>
      </c>
      <c r="E13" t="s">
        <v>80</v>
      </c>
      <c r="F13" t="s">
        <v>0</v>
      </c>
      <c r="G13" t="s">
        <v>41</v>
      </c>
      <c r="H13" t="s">
        <v>69</v>
      </c>
      <c r="J13" t="s">
        <v>151</v>
      </c>
      <c r="K13">
        <v>1</v>
      </c>
      <c r="L13">
        <v>1</v>
      </c>
      <c r="M13">
        <v>1</v>
      </c>
      <c r="N13">
        <v>0</v>
      </c>
    </row>
    <row r="14" spans="1:14" x14ac:dyDescent="0.3">
      <c r="A14">
        <v>1</v>
      </c>
      <c r="B14">
        <v>3</v>
      </c>
      <c r="C14">
        <v>211</v>
      </c>
      <c r="D14">
        <v>2</v>
      </c>
      <c r="E14" t="s">
        <v>80</v>
      </c>
      <c r="F14" t="s">
        <v>0</v>
      </c>
      <c r="G14" t="s">
        <v>41</v>
      </c>
      <c r="H14" t="s">
        <v>50</v>
      </c>
      <c r="J14" t="s">
        <v>151</v>
      </c>
      <c r="K14">
        <v>1</v>
      </c>
      <c r="L14">
        <v>1</v>
      </c>
      <c r="M14">
        <v>1</v>
      </c>
      <c r="N14">
        <v>0</v>
      </c>
    </row>
    <row r="15" spans="1:14" x14ac:dyDescent="0.3">
      <c r="A15">
        <v>3</v>
      </c>
      <c r="B15">
        <v>4</v>
      </c>
      <c r="C15">
        <v>369</v>
      </c>
      <c r="D15">
        <v>2</v>
      </c>
      <c r="E15" t="s">
        <v>80</v>
      </c>
      <c r="F15" t="s">
        <v>0</v>
      </c>
      <c r="G15" t="s">
        <v>41</v>
      </c>
      <c r="H15" s="105" t="s">
        <v>66</v>
      </c>
      <c r="J15" t="s">
        <v>151</v>
      </c>
      <c r="K15">
        <v>1</v>
      </c>
      <c r="L15">
        <v>1</v>
      </c>
      <c r="M15">
        <v>1</v>
      </c>
      <c r="N15">
        <v>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BEB0-1F93-4D68-B7BC-C0529F0C146F}">
  <dimension ref="A1:O4"/>
  <sheetViews>
    <sheetView workbookViewId="0">
      <selection activeCell="J11" sqref="J11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18.77734375" customWidth="1"/>
    <col min="12" max="12" width="24" customWidth="1"/>
    <col min="13" max="13" width="21.77734375" customWidth="1"/>
    <col min="14" max="14" width="18.33203125" customWidth="1"/>
    <col min="15" max="15" width="17" customWidth="1"/>
  </cols>
  <sheetData>
    <row r="1" spans="1:15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184</v>
      </c>
      <c r="L1" t="s">
        <v>137</v>
      </c>
      <c r="M1" t="s">
        <v>138</v>
      </c>
      <c r="N1" t="s">
        <v>139</v>
      </c>
      <c r="O1" t="s">
        <v>141</v>
      </c>
    </row>
    <row r="2" spans="1:15" x14ac:dyDescent="0.3">
      <c r="A2">
        <v>4</v>
      </c>
      <c r="B2">
        <v>4</v>
      </c>
      <c r="C2">
        <v>380</v>
      </c>
      <c r="D2">
        <v>2</v>
      </c>
      <c r="E2" t="s">
        <v>80</v>
      </c>
      <c r="F2" t="s">
        <v>29</v>
      </c>
      <c r="G2" t="s">
        <v>42</v>
      </c>
      <c r="H2" s="105" t="s">
        <v>64</v>
      </c>
      <c r="J2" t="s">
        <v>151</v>
      </c>
      <c r="L2">
        <v>1</v>
      </c>
      <c r="M2">
        <v>0</v>
      </c>
      <c r="N2">
        <v>0</v>
      </c>
      <c r="O2">
        <v>1</v>
      </c>
    </row>
    <row r="3" spans="1:15" x14ac:dyDescent="0.3">
      <c r="A3">
        <v>1</v>
      </c>
      <c r="B3">
        <v>3</v>
      </c>
      <c r="C3">
        <v>223</v>
      </c>
      <c r="D3">
        <v>2</v>
      </c>
      <c r="E3" t="s">
        <v>80</v>
      </c>
      <c r="F3" t="s">
        <v>29</v>
      </c>
      <c r="G3" t="s">
        <v>42</v>
      </c>
      <c r="H3" t="s">
        <v>68</v>
      </c>
      <c r="L3">
        <v>1</v>
      </c>
      <c r="M3">
        <v>0</v>
      </c>
      <c r="N3">
        <v>0</v>
      </c>
      <c r="O3">
        <v>1</v>
      </c>
    </row>
    <row r="4" spans="1:15" x14ac:dyDescent="0.3">
      <c r="A4">
        <v>1</v>
      </c>
      <c r="B4">
        <v>3</v>
      </c>
      <c r="C4">
        <v>219</v>
      </c>
      <c r="D4">
        <v>2</v>
      </c>
      <c r="E4" t="s">
        <v>80</v>
      </c>
      <c r="F4" t="s">
        <v>29</v>
      </c>
      <c r="G4" t="s">
        <v>42</v>
      </c>
      <c r="H4" t="s">
        <v>67</v>
      </c>
      <c r="L4">
        <v>1</v>
      </c>
      <c r="M4">
        <v>0</v>
      </c>
      <c r="N4">
        <v>0</v>
      </c>
      <c r="O4">
        <v>1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935A-7A86-4B9B-8F3A-24C954ED58D1}">
  <dimension ref="A1:N16"/>
  <sheetViews>
    <sheetView workbookViewId="0">
      <selection activeCell="A8" sqref="A8"/>
    </sheetView>
  </sheetViews>
  <sheetFormatPr defaultRowHeight="14.4" x14ac:dyDescent="0.3"/>
  <cols>
    <col min="4" max="4" width="10.88671875" customWidth="1"/>
    <col min="5" max="5" width="10.33203125" customWidth="1"/>
    <col min="7" max="7" width="11.21875" customWidth="1"/>
    <col min="8" max="8" width="9.88671875" customWidth="1"/>
    <col min="9" max="9" width="10.88671875" customWidth="1"/>
    <col min="10" max="10" width="9.77734375" customWidth="1"/>
    <col min="11" max="11" width="24" customWidth="1"/>
    <col min="12" max="12" width="21.77734375" customWidth="1"/>
    <col min="13" max="13" width="18.33203125" customWidth="1"/>
    <col min="14" max="14" width="17" customWidth="1"/>
  </cols>
  <sheetData>
    <row r="1" spans="1:14" x14ac:dyDescent="0.3">
      <c r="A1" t="s">
        <v>83</v>
      </c>
      <c r="B1" t="s">
        <v>157</v>
      </c>
      <c r="C1" t="s">
        <v>136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128</v>
      </c>
      <c r="J1" t="s">
        <v>140</v>
      </c>
      <c r="K1" t="s">
        <v>137</v>
      </c>
      <c r="L1" t="s">
        <v>138</v>
      </c>
      <c r="M1" t="s">
        <v>139</v>
      </c>
      <c r="N1" t="s">
        <v>141</v>
      </c>
    </row>
    <row r="2" spans="1:14" x14ac:dyDescent="0.3">
      <c r="A2">
        <v>2</v>
      </c>
      <c r="B2">
        <v>1</v>
      </c>
      <c r="C2">
        <v>26</v>
      </c>
      <c r="D2">
        <v>2</v>
      </c>
      <c r="E2" t="s">
        <v>80</v>
      </c>
      <c r="F2" t="s">
        <v>29</v>
      </c>
      <c r="G2" t="s">
        <v>42</v>
      </c>
      <c r="H2" t="s">
        <v>43</v>
      </c>
      <c r="J2" t="s">
        <v>150</v>
      </c>
      <c r="K2">
        <v>1</v>
      </c>
      <c r="L2">
        <v>0</v>
      </c>
      <c r="M2">
        <v>1</v>
      </c>
      <c r="N2">
        <v>0</v>
      </c>
    </row>
    <row r="3" spans="1:14" x14ac:dyDescent="0.3">
      <c r="A3">
        <v>3</v>
      </c>
      <c r="B3">
        <v>4</v>
      </c>
      <c r="C3">
        <v>365</v>
      </c>
      <c r="D3">
        <v>2</v>
      </c>
      <c r="E3" t="s">
        <v>80</v>
      </c>
      <c r="F3" t="s">
        <v>29</v>
      </c>
      <c r="G3" t="s">
        <v>42</v>
      </c>
      <c r="H3" t="s">
        <v>57</v>
      </c>
      <c r="J3" t="s">
        <v>150</v>
      </c>
      <c r="K3">
        <v>1</v>
      </c>
      <c r="L3">
        <v>0</v>
      </c>
      <c r="M3">
        <v>1</v>
      </c>
      <c r="N3">
        <v>0</v>
      </c>
    </row>
    <row r="4" spans="1:14" x14ac:dyDescent="0.3">
      <c r="A4">
        <v>3</v>
      </c>
      <c r="B4">
        <v>1</v>
      </c>
      <c r="C4">
        <v>59</v>
      </c>
      <c r="D4">
        <v>2</v>
      </c>
      <c r="E4" t="s">
        <v>80</v>
      </c>
      <c r="F4" t="s">
        <v>29</v>
      </c>
      <c r="G4" t="s">
        <v>42</v>
      </c>
      <c r="H4" t="s">
        <v>57</v>
      </c>
      <c r="J4" t="s">
        <v>150</v>
      </c>
      <c r="K4">
        <v>1</v>
      </c>
      <c r="L4">
        <v>0</v>
      </c>
      <c r="M4">
        <v>1</v>
      </c>
      <c r="N4">
        <v>0</v>
      </c>
    </row>
    <row r="5" spans="1:14" x14ac:dyDescent="0.3">
      <c r="A5">
        <v>2</v>
      </c>
      <c r="B5">
        <v>4</v>
      </c>
      <c r="C5">
        <v>339</v>
      </c>
      <c r="D5">
        <v>2</v>
      </c>
      <c r="E5" t="s">
        <v>80</v>
      </c>
      <c r="F5" t="s">
        <v>29</v>
      </c>
      <c r="G5" t="s">
        <v>42</v>
      </c>
      <c r="H5" s="105" t="s">
        <v>45</v>
      </c>
      <c r="J5" t="s">
        <v>150</v>
      </c>
      <c r="K5">
        <v>1</v>
      </c>
      <c r="L5">
        <v>0</v>
      </c>
      <c r="M5">
        <v>1</v>
      </c>
      <c r="N5">
        <v>0</v>
      </c>
    </row>
    <row r="6" spans="1:14" x14ac:dyDescent="0.3">
      <c r="A6">
        <v>2</v>
      </c>
      <c r="B6">
        <v>2</v>
      </c>
      <c r="C6">
        <v>135</v>
      </c>
      <c r="D6">
        <v>2</v>
      </c>
      <c r="E6" t="s">
        <v>80</v>
      </c>
      <c r="F6" t="s">
        <v>29</v>
      </c>
      <c r="G6" t="s">
        <v>42</v>
      </c>
      <c r="H6" s="105" t="s">
        <v>45</v>
      </c>
      <c r="J6" t="s">
        <v>151</v>
      </c>
      <c r="K6">
        <v>1</v>
      </c>
      <c r="L6">
        <v>0</v>
      </c>
      <c r="M6">
        <v>1</v>
      </c>
      <c r="N6">
        <v>0</v>
      </c>
    </row>
    <row r="7" spans="1:14" x14ac:dyDescent="0.3">
      <c r="A7">
        <v>3</v>
      </c>
      <c r="B7">
        <v>2</v>
      </c>
      <c r="C7">
        <v>155</v>
      </c>
      <c r="D7">
        <v>2</v>
      </c>
      <c r="E7" t="s">
        <v>80</v>
      </c>
      <c r="F7" t="s">
        <v>29</v>
      </c>
      <c r="G7" t="s">
        <v>42</v>
      </c>
      <c r="H7" t="s">
        <v>56</v>
      </c>
      <c r="J7" t="s">
        <v>150</v>
      </c>
      <c r="K7">
        <v>1</v>
      </c>
      <c r="L7">
        <v>0</v>
      </c>
      <c r="M7">
        <v>1</v>
      </c>
      <c r="N7">
        <v>0</v>
      </c>
    </row>
    <row r="8" spans="1:14" x14ac:dyDescent="0.3">
      <c r="A8">
        <v>4</v>
      </c>
      <c r="B8">
        <v>1</v>
      </c>
      <c r="C8">
        <v>82</v>
      </c>
      <c r="D8">
        <v>2</v>
      </c>
      <c r="E8" t="s">
        <v>80</v>
      </c>
      <c r="F8" t="s">
        <v>29</v>
      </c>
      <c r="G8" t="s">
        <v>42</v>
      </c>
      <c r="H8" s="105" t="s">
        <v>61</v>
      </c>
      <c r="J8" t="s">
        <v>151</v>
      </c>
      <c r="K8">
        <v>1</v>
      </c>
      <c r="L8">
        <v>0</v>
      </c>
      <c r="M8">
        <v>1</v>
      </c>
      <c r="N8">
        <v>0</v>
      </c>
    </row>
    <row r="9" spans="1:14" x14ac:dyDescent="0.3">
      <c r="A9">
        <v>1</v>
      </c>
      <c r="B9">
        <v>1</v>
      </c>
      <c r="C9">
        <v>13</v>
      </c>
      <c r="D9">
        <v>2</v>
      </c>
      <c r="E9" t="s">
        <v>80</v>
      </c>
      <c r="F9" t="s">
        <v>29</v>
      </c>
      <c r="G9" t="s">
        <v>42</v>
      </c>
      <c r="H9" t="s">
        <v>72</v>
      </c>
      <c r="J9" t="s">
        <v>150</v>
      </c>
      <c r="K9">
        <v>1</v>
      </c>
      <c r="L9">
        <v>0</v>
      </c>
      <c r="M9">
        <v>1</v>
      </c>
      <c r="N9">
        <v>0</v>
      </c>
    </row>
    <row r="10" spans="1:14" x14ac:dyDescent="0.3">
      <c r="A10">
        <v>2</v>
      </c>
      <c r="B10">
        <v>3</v>
      </c>
      <c r="C10">
        <v>249</v>
      </c>
      <c r="D10">
        <v>2</v>
      </c>
      <c r="E10" t="s">
        <v>80</v>
      </c>
      <c r="F10" t="s">
        <v>29</v>
      </c>
      <c r="G10" t="s">
        <v>42</v>
      </c>
      <c r="H10" t="s">
        <v>47</v>
      </c>
      <c r="J10" t="s">
        <v>150</v>
      </c>
      <c r="K10">
        <v>1</v>
      </c>
      <c r="L10">
        <v>0</v>
      </c>
      <c r="M10">
        <v>1</v>
      </c>
      <c r="N10">
        <v>0</v>
      </c>
    </row>
    <row r="11" spans="1:14" x14ac:dyDescent="0.3">
      <c r="A11">
        <v>3</v>
      </c>
      <c r="B11">
        <v>3</v>
      </c>
      <c r="C11">
        <v>255</v>
      </c>
      <c r="D11">
        <v>2</v>
      </c>
      <c r="E11" t="s">
        <v>80</v>
      </c>
      <c r="F11" t="s">
        <v>29</v>
      </c>
      <c r="G11" t="s">
        <v>42</v>
      </c>
      <c r="H11" t="s">
        <v>53</v>
      </c>
      <c r="J11" t="s">
        <v>150</v>
      </c>
      <c r="K11">
        <v>1</v>
      </c>
      <c r="L11">
        <v>0</v>
      </c>
      <c r="M11">
        <v>1</v>
      </c>
      <c r="N11">
        <v>0</v>
      </c>
    </row>
    <row r="12" spans="1:14" x14ac:dyDescent="0.3">
      <c r="A12">
        <v>2</v>
      </c>
      <c r="B12">
        <v>3</v>
      </c>
      <c r="C12">
        <v>228</v>
      </c>
      <c r="D12">
        <v>2</v>
      </c>
      <c r="E12" t="s">
        <v>80</v>
      </c>
      <c r="F12" t="s">
        <v>29</v>
      </c>
      <c r="G12" t="s">
        <v>42</v>
      </c>
      <c r="H12" t="s">
        <v>49</v>
      </c>
      <c r="J12" t="s">
        <v>150</v>
      </c>
      <c r="K12">
        <v>1</v>
      </c>
      <c r="L12">
        <v>0</v>
      </c>
      <c r="M12">
        <v>1</v>
      </c>
      <c r="N12">
        <v>0</v>
      </c>
    </row>
    <row r="13" spans="1:14" x14ac:dyDescent="0.3">
      <c r="A13">
        <v>3</v>
      </c>
      <c r="B13">
        <v>2</v>
      </c>
      <c r="C13">
        <v>164</v>
      </c>
      <c r="D13">
        <v>2</v>
      </c>
      <c r="E13" t="s">
        <v>80</v>
      </c>
      <c r="F13" t="s">
        <v>29</v>
      </c>
      <c r="G13" t="s">
        <v>42</v>
      </c>
      <c r="H13" t="s">
        <v>52</v>
      </c>
      <c r="J13" t="s">
        <v>150</v>
      </c>
      <c r="K13">
        <v>1</v>
      </c>
      <c r="L13">
        <v>0</v>
      </c>
      <c r="M13">
        <v>1</v>
      </c>
      <c r="N13">
        <v>0</v>
      </c>
    </row>
    <row r="14" spans="1:14" x14ac:dyDescent="0.3">
      <c r="A14">
        <v>2</v>
      </c>
      <c r="B14">
        <v>3</v>
      </c>
      <c r="C14">
        <v>237</v>
      </c>
      <c r="D14">
        <v>2</v>
      </c>
      <c r="E14" t="s">
        <v>80</v>
      </c>
      <c r="F14" t="s">
        <v>29</v>
      </c>
      <c r="G14" t="s">
        <v>42</v>
      </c>
      <c r="H14" s="105" t="s">
        <v>50</v>
      </c>
      <c r="J14" t="s">
        <v>151</v>
      </c>
      <c r="K14">
        <v>1</v>
      </c>
      <c r="L14">
        <v>0</v>
      </c>
      <c r="M14">
        <v>1</v>
      </c>
      <c r="N14">
        <v>0</v>
      </c>
    </row>
    <row r="15" spans="1:14" x14ac:dyDescent="0.3">
      <c r="A15">
        <v>3</v>
      </c>
      <c r="B15">
        <v>4</v>
      </c>
      <c r="C15">
        <v>356</v>
      </c>
      <c r="D15">
        <v>2</v>
      </c>
      <c r="E15" t="s">
        <v>80</v>
      </c>
      <c r="F15" t="s">
        <v>29</v>
      </c>
      <c r="G15" t="s">
        <v>42</v>
      </c>
      <c r="H15" t="s">
        <v>51</v>
      </c>
      <c r="J15" t="s">
        <v>150</v>
      </c>
      <c r="K15">
        <v>1</v>
      </c>
      <c r="L15">
        <v>0</v>
      </c>
      <c r="M15">
        <v>1</v>
      </c>
      <c r="N15">
        <v>0</v>
      </c>
    </row>
    <row r="16" spans="1:14" x14ac:dyDescent="0.3">
      <c r="A16">
        <v>3</v>
      </c>
      <c r="B16">
        <v>1</v>
      </c>
      <c r="C16">
        <v>53</v>
      </c>
      <c r="D16">
        <v>2</v>
      </c>
      <c r="E16" t="s">
        <v>80</v>
      </c>
      <c r="F16" t="s">
        <v>29</v>
      </c>
      <c r="G16" t="s">
        <v>42</v>
      </c>
      <c r="I16" t="s">
        <v>127</v>
      </c>
      <c r="J16" t="s">
        <v>150</v>
      </c>
      <c r="K16">
        <v>1</v>
      </c>
      <c r="L16">
        <v>0</v>
      </c>
      <c r="M16">
        <v>1</v>
      </c>
      <c r="N1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Sheet2</vt:lpstr>
      <vt:lpstr>Sheet6</vt:lpstr>
      <vt:lpstr>Sheet3</vt:lpstr>
      <vt:lpstr>Sheet4</vt:lpstr>
      <vt:lpstr>List1</vt:lpstr>
      <vt:lpstr>List2</vt:lpstr>
      <vt:lpstr>List3</vt:lpstr>
      <vt:lpstr>List4</vt:lpstr>
      <vt:lpstr>22.06_NT_fillers</vt:lpstr>
      <vt:lpstr>List_11.07.023 (2)</vt:lpstr>
      <vt:lpstr>NT_Type00</vt:lpstr>
      <vt:lpstr>F_Type00</vt:lpstr>
      <vt:lpstr>F_Type01</vt:lpstr>
      <vt:lpstr>NT_Speak00</vt:lpstr>
      <vt:lpstr>F_Speak00</vt:lpstr>
      <vt:lpstr>F_Speak01</vt:lpstr>
      <vt:lpstr>Pivot_Tables (11.07.)</vt:lpstr>
      <vt:lpstr>List_11.07.023</vt:lpstr>
      <vt:lpstr>NT_Type10</vt:lpstr>
      <vt:lpstr>NT_Type11</vt:lpstr>
      <vt:lpstr>F_Type10</vt:lpstr>
      <vt:lpstr>Sheet12</vt:lpstr>
      <vt:lpstr>F_Type11</vt:lpstr>
      <vt:lpstr>NT_Speak10</vt:lpstr>
      <vt:lpstr>NT_Speak11</vt:lpstr>
      <vt:lpstr>F_Speak10</vt:lpstr>
      <vt:lpstr>F_Speak11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cp:lastPrinted>2023-06-06T11:46:44Z</cp:lastPrinted>
  <dcterms:created xsi:type="dcterms:W3CDTF">2023-03-31T13:21:22Z</dcterms:created>
  <dcterms:modified xsi:type="dcterms:W3CDTF">2023-10-28T10:57:16Z</dcterms:modified>
</cp:coreProperties>
</file>