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Stimuli_design\List_design\"/>
    </mc:Choice>
  </mc:AlternateContent>
  <xr:revisionPtr revIDLastSave="0" documentId="13_ncr:1_{5E6082FA-91F2-43A1-9A7E-25B8A1CFEED3}" xr6:coauthVersionLast="47" xr6:coauthVersionMax="47" xr10:uidLastSave="{00000000-0000-0000-0000-000000000000}"/>
  <bookViews>
    <workbookView xWindow="-108" yWindow="492" windowWidth="23256" windowHeight="12576" activeTab="5" xr2:uid="{00000000-000D-0000-FFFF-FFFF00000000}"/>
  </bookViews>
  <sheets>
    <sheet name="List" sheetId="1" r:id="rId1"/>
    <sheet name="Accent_remove" sheetId="9" r:id="rId2"/>
    <sheet name="Sem_cat_no" sheetId="2" r:id="rId3"/>
    <sheet name="Under discussion" sheetId="3" r:id="rId4"/>
    <sheet name="1st_attempt" sheetId="4" r:id="rId5"/>
    <sheet name="22.11.022" sheetId="7" r:id="rId6"/>
  </sheets>
  <externalReferences>
    <externalReference r:id="rId7"/>
    <externalReference r:id="rId8"/>
    <externalReference r:id="rId9"/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P39" i="9"/>
  <c r="O39" i="9"/>
  <c r="P38" i="9"/>
  <c r="O38" i="9"/>
  <c r="P34" i="9"/>
  <c r="O34" i="9"/>
  <c r="I191" i="1"/>
  <c r="I190" i="1"/>
  <c r="J192" i="1"/>
  <c r="J191" i="1"/>
  <c r="H191" i="1"/>
  <c r="H190" i="1"/>
  <c r="J190" i="1"/>
  <c r="J189" i="1"/>
  <c r="H189" i="1"/>
  <c r="AJ193" i="1"/>
  <c r="I189" i="1"/>
  <c r="U2" i="4"/>
  <c r="K13" i="7"/>
  <c r="K18" i="7"/>
  <c r="K11" i="7"/>
  <c r="K40" i="7"/>
  <c r="K15" i="7"/>
  <c r="K19" i="7"/>
  <c r="K31" i="7"/>
  <c r="K24" i="7"/>
  <c r="K29" i="7"/>
  <c r="K37" i="7"/>
  <c r="K26" i="7"/>
  <c r="K16" i="7"/>
  <c r="K39" i="7"/>
  <c r="K14" i="7"/>
  <c r="K38" i="7"/>
  <c r="K12" i="7"/>
  <c r="K17" i="7"/>
  <c r="K20" i="7"/>
  <c r="K25" i="7"/>
  <c r="K8" i="7"/>
  <c r="K28" i="7"/>
  <c r="K21" i="7"/>
  <c r="K2" i="7"/>
  <c r="K42" i="7"/>
  <c r="K30" i="7"/>
  <c r="K6" i="7"/>
  <c r="K5" i="7"/>
  <c r="K10" i="7"/>
  <c r="K7" i="7"/>
  <c r="K34" i="7"/>
  <c r="K32" i="7"/>
  <c r="K22" i="7"/>
  <c r="K4" i="7"/>
  <c r="K35" i="7"/>
  <c r="K23" i="7"/>
  <c r="K33" i="7"/>
  <c r="K3" i="7"/>
  <c r="K36" i="7"/>
  <c r="K41" i="7"/>
  <c r="K27" i="7"/>
  <c r="K9" i="7"/>
  <c r="J13" i="7"/>
  <c r="J18" i="7"/>
  <c r="J11" i="7"/>
  <c r="J40" i="7"/>
  <c r="J15" i="7"/>
  <c r="J19" i="7"/>
  <c r="J31" i="7"/>
  <c r="J24" i="7"/>
  <c r="J29" i="7"/>
  <c r="J37" i="7"/>
  <c r="J26" i="7"/>
  <c r="J16" i="7"/>
  <c r="J39" i="7"/>
  <c r="J14" i="7"/>
  <c r="J38" i="7"/>
  <c r="J12" i="7"/>
  <c r="J17" i="7"/>
  <c r="J20" i="7"/>
  <c r="J25" i="7"/>
  <c r="J8" i="7"/>
  <c r="J28" i="7"/>
  <c r="J21" i="7"/>
  <c r="J2" i="7"/>
  <c r="J42" i="7"/>
  <c r="J30" i="7"/>
  <c r="J6" i="7"/>
  <c r="J5" i="7"/>
  <c r="J10" i="7"/>
  <c r="J7" i="7"/>
  <c r="J34" i="7"/>
  <c r="J32" i="7"/>
  <c r="J22" i="7"/>
  <c r="J4" i="7"/>
  <c r="J35" i="7"/>
  <c r="J23" i="7"/>
  <c r="J33" i="7"/>
  <c r="J3" i="7"/>
  <c r="J36" i="7"/>
  <c r="J41" i="7"/>
  <c r="J27" i="7"/>
  <c r="J9" i="7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N14" i="3"/>
  <c r="L14" i="3"/>
  <c r="N13" i="3"/>
  <c r="L13" i="3"/>
  <c r="N12" i="3"/>
  <c r="L12" i="3"/>
  <c r="N11" i="3"/>
  <c r="L11" i="3"/>
  <c r="N10" i="3"/>
  <c r="L10" i="3"/>
  <c r="N9" i="3"/>
  <c r="L9" i="3"/>
  <c r="N8" i="3"/>
  <c r="L8" i="3"/>
  <c r="N7" i="3"/>
  <c r="L7" i="3"/>
  <c r="L6" i="3"/>
  <c r="B10" i="2"/>
  <c r="K112" i="4"/>
  <c r="J112" i="4"/>
</calcChain>
</file>

<file path=xl/sharedStrings.xml><?xml version="1.0" encoding="utf-8"?>
<sst xmlns="http://schemas.openxmlformats.org/spreadsheetml/2006/main" count="3282" uniqueCount="1425">
  <si>
    <t>Order</t>
  </si>
  <si>
    <t>Picture_no</t>
  </si>
  <si>
    <t>Spanish</t>
  </si>
  <si>
    <t>IPA_SP</t>
  </si>
  <si>
    <t>English</t>
  </si>
  <si>
    <t>IPA_ENG</t>
  </si>
  <si>
    <t>Semantic_category</t>
  </si>
  <si>
    <t>Phon_Similarity</t>
  </si>
  <si>
    <t>Orth_Similarity</t>
  </si>
  <si>
    <t>Levenshtein</t>
  </si>
  <si>
    <t>Length_graphemes_SP</t>
  </si>
  <si>
    <t>Length_graphemes_ENG</t>
  </si>
  <si>
    <t>Length_phonemes_SP</t>
  </si>
  <si>
    <t>Length_phonemes_ENG</t>
  </si>
  <si>
    <t>No_Syllables_SP</t>
  </si>
  <si>
    <t>No_Syllables_ENG</t>
  </si>
  <si>
    <t>Log_Freq_SP</t>
  </si>
  <si>
    <t>Log_Freq_ENG</t>
  </si>
  <si>
    <t>Imageability_SP</t>
  </si>
  <si>
    <t>H_Index_SP</t>
  </si>
  <si>
    <t>Name_Agreement_SP</t>
  </si>
  <si>
    <t>Visual_Complexity_SP</t>
  </si>
  <si>
    <t>1</t>
  </si>
  <si>
    <t>2</t>
  </si>
  <si>
    <t>3</t>
  </si>
  <si>
    <t>4</t>
  </si>
  <si>
    <t>5</t>
  </si>
  <si>
    <t>13</t>
  </si>
  <si>
    <t>15</t>
  </si>
  <si>
    <t>21</t>
  </si>
  <si>
    <t>24</t>
  </si>
  <si>
    <t>38</t>
  </si>
  <si>
    <t>43</t>
  </si>
  <si>
    <t>49</t>
  </si>
  <si>
    <t>54</t>
  </si>
  <si>
    <t>63</t>
  </si>
  <si>
    <t>72</t>
  </si>
  <si>
    <t>75</t>
  </si>
  <si>
    <t>82</t>
  </si>
  <si>
    <t>91</t>
  </si>
  <si>
    <t>101</t>
  </si>
  <si>
    <t>115</t>
  </si>
  <si>
    <t>119</t>
  </si>
  <si>
    <t>120</t>
  </si>
  <si>
    <t>127</t>
  </si>
  <si>
    <t>128</t>
  </si>
  <si>
    <t>151</t>
  </si>
  <si>
    <t>157</t>
  </si>
  <si>
    <t>169</t>
  </si>
  <si>
    <t>179</t>
  </si>
  <si>
    <t>201</t>
  </si>
  <si>
    <t>205</t>
  </si>
  <si>
    <t>208</t>
  </si>
  <si>
    <t>210</t>
  </si>
  <si>
    <t>214</t>
  </si>
  <si>
    <t>220</t>
  </si>
  <si>
    <t>229</t>
  </si>
  <si>
    <t>231</t>
  </si>
  <si>
    <t>235</t>
  </si>
  <si>
    <t>246</t>
  </si>
  <si>
    <t>PICTURE_1</t>
  </si>
  <si>
    <t>PICTURE_100</t>
  </si>
  <si>
    <t>PICTURE_110</t>
  </si>
  <si>
    <t>PICTURE_111</t>
  </si>
  <si>
    <t>PICTURE_112</t>
  </si>
  <si>
    <t>PICTURE_114</t>
  </si>
  <si>
    <t>PICTURE_119</t>
  </si>
  <si>
    <t>PICTURE_12</t>
  </si>
  <si>
    <t>PICTURE_123</t>
  </si>
  <si>
    <t>PICTURE_125</t>
  </si>
  <si>
    <t>PICTURE_127</t>
  </si>
  <si>
    <t>PICTURE_128</t>
  </si>
  <si>
    <t>PICTURE_129</t>
  </si>
  <si>
    <t>PICTURE_135</t>
  </si>
  <si>
    <t>PICTURE_136</t>
  </si>
  <si>
    <t>PICTURE_140</t>
  </si>
  <si>
    <t>PICTURE_141</t>
  </si>
  <si>
    <t>PICTURE_142</t>
  </si>
  <si>
    <t>PICTURE_143</t>
  </si>
  <si>
    <t>PICTURE_148</t>
  </si>
  <si>
    <t>PICTURE_15</t>
  </si>
  <si>
    <t>PICTURE_151</t>
  </si>
  <si>
    <t>PICTURE_152</t>
  </si>
  <si>
    <t>PICTURE_154</t>
  </si>
  <si>
    <t>PICTURE_155</t>
  </si>
  <si>
    <t>PICTURE_156</t>
  </si>
  <si>
    <t>PICTURE_158</t>
  </si>
  <si>
    <t>PICTURE_159</t>
  </si>
  <si>
    <t>PICTURE_16</t>
  </si>
  <si>
    <t>PICTURE_161</t>
  </si>
  <si>
    <t>PICTURE_163</t>
  </si>
  <si>
    <t>PICTURE_169</t>
  </si>
  <si>
    <t>PICTURE_171</t>
  </si>
  <si>
    <t>PICTURE_172</t>
  </si>
  <si>
    <t>PICTURE_175</t>
  </si>
  <si>
    <t>PICTURE_178</t>
  </si>
  <si>
    <t>PICTURE_184</t>
  </si>
  <si>
    <t>PICTURE_185</t>
  </si>
  <si>
    <t>PICTURE_186</t>
  </si>
  <si>
    <t>PICTURE_187</t>
  </si>
  <si>
    <t>PICTURE_19</t>
  </si>
  <si>
    <t>PICTURE_193</t>
  </si>
  <si>
    <t>PICTURE_197</t>
  </si>
  <si>
    <t>PICTURE_199</t>
  </si>
  <si>
    <t>PICTURE_212</t>
  </si>
  <si>
    <t>PICTURE_215</t>
  </si>
  <si>
    <t>PICTURE_218</t>
  </si>
  <si>
    <t>PICTURE_226</t>
  </si>
  <si>
    <t>PICTURE_230</t>
  </si>
  <si>
    <t>PICTURE_234</t>
  </si>
  <si>
    <t>PICTURE_235</t>
  </si>
  <si>
    <t>PICTURE_236</t>
  </si>
  <si>
    <t>PICTURE_242</t>
  </si>
  <si>
    <t>PICTURE_245</t>
  </si>
  <si>
    <t>PICTURE_247</t>
  </si>
  <si>
    <t>PICTURE_249</t>
  </si>
  <si>
    <t>PICTURE_253</t>
  </si>
  <si>
    <t>PICTURE_255</t>
  </si>
  <si>
    <t>PICTURE_259</t>
  </si>
  <si>
    <t>PICTURE_260</t>
  </si>
  <si>
    <t>PICTURE_264</t>
  </si>
  <si>
    <t>PICTURE_265</t>
  </si>
  <si>
    <t>PICTURE_266</t>
  </si>
  <si>
    <t>PICTURE_267</t>
  </si>
  <si>
    <t>PICTURE_268</t>
  </si>
  <si>
    <t>PICTURE_271</t>
  </si>
  <si>
    <t>PICTURE_273</t>
  </si>
  <si>
    <t>PICTURE_275</t>
  </si>
  <si>
    <t>PICTURE_277</t>
  </si>
  <si>
    <t>PICTURE_278</t>
  </si>
  <si>
    <t>PICTURE_279</t>
  </si>
  <si>
    <t>PICTURE_286</t>
  </si>
  <si>
    <t>PICTURE_287</t>
  </si>
  <si>
    <t>PICTURE_290</t>
  </si>
  <si>
    <t>PICTURE_292</t>
  </si>
  <si>
    <t>PICTURE_295</t>
  </si>
  <si>
    <t>PICTURE_297</t>
  </si>
  <si>
    <t>PICTURE_30</t>
  </si>
  <si>
    <t>PICTURE_301</t>
  </si>
  <si>
    <t>PICTURE_303</t>
  </si>
  <si>
    <t>PICTURE_304</t>
  </si>
  <si>
    <t>PICTURE_305</t>
  </si>
  <si>
    <t>PICTURE_308</t>
  </si>
  <si>
    <t>PICTURE_31</t>
  </si>
  <si>
    <t>PICTURE_312</t>
  </si>
  <si>
    <t>PICTURE_319</t>
  </si>
  <si>
    <t>PICTURE_32</t>
  </si>
  <si>
    <t>PICTURE_320</t>
  </si>
  <si>
    <t>PICTURE_326</t>
  </si>
  <si>
    <t>PICTURE_327</t>
  </si>
  <si>
    <t>PICTURE_332</t>
  </si>
  <si>
    <t>PICTURE_336</t>
  </si>
  <si>
    <t>PICTURE_338</t>
  </si>
  <si>
    <t>PICTURE_340</t>
  </si>
  <si>
    <t>PICTURE_341</t>
  </si>
  <si>
    <t>PICTURE_344</t>
  </si>
  <si>
    <t>PICTURE_349</t>
  </si>
  <si>
    <t>PICTURE_35</t>
  </si>
  <si>
    <t>PICTURE_350</t>
  </si>
  <si>
    <t>PICTURE_354</t>
  </si>
  <si>
    <t>PICTURE_361</t>
  </si>
  <si>
    <t>PICTURE_362</t>
  </si>
  <si>
    <t>PICTURE_365</t>
  </si>
  <si>
    <t>PICTURE_37</t>
  </si>
  <si>
    <t>PICTURE_377</t>
  </si>
  <si>
    <t>PICTURE_379</t>
  </si>
  <si>
    <t>PICTURE_38</t>
  </si>
  <si>
    <t>PICTURE_381</t>
  </si>
  <si>
    <t>PICTURE_383</t>
  </si>
  <si>
    <t>PICTURE_386</t>
  </si>
  <si>
    <t>PICTURE_388</t>
  </si>
  <si>
    <t>PICTURE_389</t>
  </si>
  <si>
    <t>PICTURE_391</t>
  </si>
  <si>
    <t>PICTURE_392</t>
  </si>
  <si>
    <t>PICTURE_40</t>
  </si>
  <si>
    <t>PICTURE_400</t>
  </si>
  <si>
    <t>PICTURE_405</t>
  </si>
  <si>
    <t>PICTURE_411</t>
  </si>
  <si>
    <t>PICTURE_412</t>
  </si>
  <si>
    <t>PICTURE_414</t>
  </si>
  <si>
    <t>PICTURE_418</t>
  </si>
  <si>
    <t>PICTURE_42</t>
  </si>
  <si>
    <t>PICTURE_425</t>
  </si>
  <si>
    <t>PICTURE_426</t>
  </si>
  <si>
    <t>PICTURE_433</t>
  </si>
  <si>
    <t>PICTURE_436</t>
  </si>
  <si>
    <t>PICTURE_437</t>
  </si>
  <si>
    <t>PICTURE_439</t>
  </si>
  <si>
    <t>PICTURE_442</t>
  </si>
  <si>
    <t>PICTURE_445</t>
  </si>
  <si>
    <t>PICTURE_446</t>
  </si>
  <si>
    <t>PICTURE_449</t>
  </si>
  <si>
    <t>PICTURE_452</t>
  </si>
  <si>
    <t>PICTURE_453</t>
  </si>
  <si>
    <t>PICTURE_461</t>
  </si>
  <si>
    <t>PICTURE_462</t>
  </si>
  <si>
    <t>PICTURE_464</t>
  </si>
  <si>
    <t>PICTURE_465</t>
  </si>
  <si>
    <t>PICTURE_466</t>
  </si>
  <si>
    <t>PICTURE_467</t>
  </si>
  <si>
    <t>PICTURE_473</t>
  </si>
  <si>
    <t>PICTURE_479</t>
  </si>
  <si>
    <t>PICTURE_48</t>
  </si>
  <si>
    <t>PICTURE_480</t>
  </si>
  <si>
    <t>PICTURE_485</t>
  </si>
  <si>
    <t>PICTURE_487</t>
  </si>
  <si>
    <t>PICTURE_489</t>
  </si>
  <si>
    <t>PICTURE_494</t>
  </si>
  <si>
    <t>PICTURE_495</t>
  </si>
  <si>
    <t>PICTURE_496</t>
  </si>
  <si>
    <t>PICTURE_497</t>
  </si>
  <si>
    <t>PICTURE_498</t>
  </si>
  <si>
    <t>PICTURE_499</t>
  </si>
  <si>
    <t>PICTURE_501</t>
  </si>
  <si>
    <t>PICTURE_502</t>
  </si>
  <si>
    <t>PICTURE_503</t>
  </si>
  <si>
    <t>PICTURE_504</t>
  </si>
  <si>
    <t>PICTURE_505</t>
  </si>
  <si>
    <t>PICTURE_507</t>
  </si>
  <si>
    <t>PICTURE_508</t>
  </si>
  <si>
    <t>PICTURE_513</t>
  </si>
  <si>
    <t>PICTURE_517</t>
  </si>
  <si>
    <t>PICTURE_518</t>
  </si>
  <si>
    <t>PICTURE_523</t>
  </si>
  <si>
    <t>PICTURE_528</t>
  </si>
  <si>
    <t>PICTURE_53</t>
  </si>
  <si>
    <t>PICTURE_531</t>
  </si>
  <si>
    <t>PICTURE_532</t>
  </si>
  <si>
    <t>PICTURE_533</t>
  </si>
  <si>
    <t>PICTURE_535</t>
  </si>
  <si>
    <t>PICTURE_536</t>
  </si>
  <si>
    <t>PICTURE_540</t>
  </si>
  <si>
    <t>PICTURE_541</t>
  </si>
  <si>
    <t>PICTURE_545</t>
  </si>
  <si>
    <t>PICTURE_546</t>
  </si>
  <si>
    <t>PICTURE_552</t>
  </si>
  <si>
    <t>PICTURE_557</t>
  </si>
  <si>
    <t>PICTURE_56</t>
  </si>
  <si>
    <t>PICTURE_560</t>
  </si>
  <si>
    <t>PICTURE_565</t>
  </si>
  <si>
    <t>PICTURE_566</t>
  </si>
  <si>
    <t>PICTURE_570</t>
  </si>
  <si>
    <t>PICTURE_575</t>
  </si>
  <si>
    <t>PICTURE_576</t>
  </si>
  <si>
    <t>PICTURE_583</t>
  </si>
  <si>
    <t>PICTURE_588</t>
  </si>
  <si>
    <t>PICTURE_590</t>
  </si>
  <si>
    <t>PICTURE_595</t>
  </si>
  <si>
    <t>PICTURE_596</t>
  </si>
  <si>
    <t>PICTURE_597</t>
  </si>
  <si>
    <t>PICTURE_599</t>
  </si>
  <si>
    <t>PICTURE_60</t>
  </si>
  <si>
    <t>PICTURE_601</t>
  </si>
  <si>
    <t>PICTURE_605</t>
  </si>
  <si>
    <t>PICTURE_606</t>
  </si>
  <si>
    <t>PICTURE_607</t>
  </si>
  <si>
    <t>PICTURE_610</t>
  </si>
  <si>
    <t>PICTURE_611</t>
  </si>
  <si>
    <t>PICTURE_612</t>
  </si>
  <si>
    <t>PICTURE_614</t>
  </si>
  <si>
    <t>PICTURE_619</t>
  </si>
  <si>
    <t>PICTURE_622</t>
  </si>
  <si>
    <t>PICTURE_625</t>
  </si>
  <si>
    <t>PICTURE_626</t>
  </si>
  <si>
    <t>PICTURE_63</t>
  </si>
  <si>
    <t>PICTURE_631</t>
  </si>
  <si>
    <t>PICTURE_633</t>
  </si>
  <si>
    <t>PICTURE_635</t>
  </si>
  <si>
    <t>PICTURE_636</t>
  </si>
  <si>
    <t>PICTURE_64</t>
  </si>
  <si>
    <t>PICTURE_640</t>
  </si>
  <si>
    <t>PICTURE_646</t>
  </si>
  <si>
    <t>PICTURE_650</t>
  </si>
  <si>
    <t>PICTURE_654</t>
  </si>
  <si>
    <t>PICTURE_656</t>
  </si>
  <si>
    <t>PICTURE_66</t>
  </si>
  <si>
    <t>PICTURE_661</t>
  </si>
  <si>
    <t>PICTURE_663</t>
  </si>
  <si>
    <t>PICTURE_664</t>
  </si>
  <si>
    <t>PICTURE_666</t>
  </si>
  <si>
    <t>PICTURE_669</t>
  </si>
  <si>
    <t>PICTURE_67</t>
  </si>
  <si>
    <t>PICTURE_673</t>
  </si>
  <si>
    <t>PICTURE_675</t>
  </si>
  <si>
    <t>PICTURE_678</t>
  </si>
  <si>
    <t>PICTURE_68</t>
  </si>
  <si>
    <t>PICTURE_680</t>
  </si>
  <si>
    <t>PICTURE_687</t>
  </si>
  <si>
    <t>PICTURE_69</t>
  </si>
  <si>
    <t>PICTURE_692</t>
  </si>
  <si>
    <t>PICTURE_693</t>
  </si>
  <si>
    <t>PICTURE_695</t>
  </si>
  <si>
    <t>PICTURE_719</t>
  </si>
  <si>
    <t>PICTURE_720</t>
  </si>
  <si>
    <t>PICTURE_721</t>
  </si>
  <si>
    <t>PICTURE_728</t>
  </si>
  <si>
    <t>PICTURE_730</t>
  </si>
  <si>
    <t>PICTURE_733</t>
  </si>
  <si>
    <t>PICTURE_74</t>
  </si>
  <si>
    <t>PICTURE_745</t>
  </si>
  <si>
    <t>PICTURE_747</t>
  </si>
  <si>
    <t>PICTURE_749</t>
  </si>
  <si>
    <t>PICTURE_75</t>
  </si>
  <si>
    <t>PICTURE_79</t>
  </si>
  <si>
    <t>PICTURE_8</t>
  </si>
  <si>
    <t>PICTURE_83</t>
  </si>
  <si>
    <t>PICTURE_87</t>
  </si>
  <si>
    <t>PICTURE_88</t>
  </si>
  <si>
    <t>PICTURE_90</t>
  </si>
  <si>
    <t>PICTURE_91</t>
  </si>
  <si>
    <t>PICTURE_92</t>
  </si>
  <si>
    <t>PICTURE_95</t>
  </si>
  <si>
    <t>PICTURE_97</t>
  </si>
  <si>
    <t>PICTURE_98</t>
  </si>
  <si>
    <t>PICTURE_99</t>
  </si>
  <si>
    <t>ratón</t>
  </si>
  <si>
    <t>nariz</t>
  </si>
  <si>
    <t>mesa</t>
  </si>
  <si>
    <t>dragón</t>
  </si>
  <si>
    <t>pulmón</t>
  </si>
  <si>
    <t>fruta</t>
  </si>
  <si>
    <t>nuez</t>
  </si>
  <si>
    <t>sirena</t>
  </si>
  <si>
    <t>dardo</t>
  </si>
  <si>
    <t>kiwi</t>
  </si>
  <si>
    <t>saco</t>
  </si>
  <si>
    <t>muñeca</t>
  </si>
  <si>
    <t>limón</t>
  </si>
  <si>
    <t>traje</t>
  </si>
  <si>
    <t>melón</t>
  </si>
  <si>
    <t>grifo</t>
  </si>
  <si>
    <t>girasol</t>
  </si>
  <si>
    <t>vaso</t>
  </si>
  <si>
    <t>ángel</t>
  </si>
  <si>
    <t>pipa</t>
  </si>
  <si>
    <t>león</t>
  </si>
  <si>
    <t>bandeja</t>
  </si>
  <si>
    <t>caracol</t>
  </si>
  <si>
    <t>dominó</t>
  </si>
  <si>
    <t>bala</t>
  </si>
  <si>
    <t>flauta</t>
  </si>
  <si>
    <t>mando</t>
  </si>
  <si>
    <t>barba</t>
  </si>
  <si>
    <t>cazador</t>
  </si>
  <si>
    <t>corbata</t>
  </si>
  <si>
    <t>coco</t>
  </si>
  <si>
    <t>espalda</t>
  </si>
  <si>
    <t>portero</t>
  </si>
  <si>
    <t>loro</t>
  </si>
  <si>
    <t>pintor</t>
  </si>
  <si>
    <t>puente</t>
  </si>
  <si>
    <t>bruja</t>
  </si>
  <si>
    <t>balón</t>
  </si>
  <si>
    <t>motor</t>
  </si>
  <si>
    <t>ciudad</t>
  </si>
  <si>
    <t>pavo</t>
  </si>
  <si>
    <t>medusa</t>
  </si>
  <si>
    <t>compás</t>
  </si>
  <si>
    <t>falda</t>
  </si>
  <si>
    <t>balanza</t>
  </si>
  <si>
    <t>bota</t>
  </si>
  <si>
    <t>pañal</t>
  </si>
  <si>
    <t>tren</t>
  </si>
  <si>
    <t>frontón</t>
  </si>
  <si>
    <t>plato</t>
  </si>
  <si>
    <t>aguja</t>
  </si>
  <si>
    <t>jirafa</t>
  </si>
  <si>
    <t>cartero</t>
  </si>
  <si>
    <t>raíz</t>
  </si>
  <si>
    <t>cerebro</t>
  </si>
  <si>
    <t>patata</t>
  </si>
  <si>
    <t>coro</t>
  </si>
  <si>
    <t>pala</t>
  </si>
  <si>
    <t>cono</t>
  </si>
  <si>
    <t>isla</t>
  </si>
  <si>
    <t>mano</t>
  </si>
  <si>
    <t>pirata</t>
  </si>
  <si>
    <t>tacón</t>
  </si>
  <si>
    <t>nudo</t>
  </si>
  <si>
    <t>cama</t>
  </si>
  <si>
    <t>conejo</t>
  </si>
  <si>
    <t>autobús</t>
  </si>
  <si>
    <t>capa</t>
  </si>
  <si>
    <t>peluca</t>
  </si>
  <si>
    <t>tambor</t>
  </si>
  <si>
    <t>piedra</t>
  </si>
  <si>
    <t>túnel</t>
  </si>
  <si>
    <t>vena</t>
  </si>
  <si>
    <t>jaula</t>
  </si>
  <si>
    <t>brújula</t>
  </si>
  <si>
    <t>bandera</t>
  </si>
  <si>
    <t>avión</t>
  </si>
  <si>
    <t>granja</t>
  </si>
  <si>
    <t>espada</t>
  </si>
  <si>
    <t>mimo</t>
  </si>
  <si>
    <t>cuna</t>
  </si>
  <si>
    <t>buzón</t>
  </si>
  <si>
    <t>dado</t>
  </si>
  <si>
    <t>minero</t>
  </si>
  <si>
    <t>flor</t>
  </si>
  <si>
    <t>vaca</t>
  </si>
  <si>
    <t>corona</t>
  </si>
  <si>
    <t>iglesia</t>
  </si>
  <si>
    <t>tomate</t>
  </si>
  <si>
    <t>casco</t>
  </si>
  <si>
    <t>cigüeña</t>
  </si>
  <si>
    <t>regla</t>
  </si>
  <si>
    <t>regalo</t>
  </si>
  <si>
    <t>espejo</t>
  </si>
  <si>
    <t>aleta</t>
  </si>
  <si>
    <t>fuente</t>
  </si>
  <si>
    <t>candado</t>
  </si>
  <si>
    <t>oreja</t>
  </si>
  <si>
    <t>biblia</t>
  </si>
  <si>
    <t>cabra</t>
  </si>
  <si>
    <t>delfín</t>
  </si>
  <si>
    <t>piscina</t>
  </si>
  <si>
    <t>erizo</t>
  </si>
  <si>
    <t>donuts</t>
  </si>
  <si>
    <t>babero</t>
  </si>
  <si>
    <t>cebra</t>
  </si>
  <si>
    <t>araña</t>
  </si>
  <si>
    <t>fresa</t>
  </si>
  <si>
    <t>moneda</t>
  </si>
  <si>
    <t>bomba</t>
  </si>
  <si>
    <t>bolso</t>
  </si>
  <si>
    <t>antena</t>
  </si>
  <si>
    <t>cadena</t>
  </si>
  <si>
    <t>tetera</t>
  </si>
  <si>
    <t>trébol</t>
  </si>
  <si>
    <t>pato</t>
  </si>
  <si>
    <t>ancla</t>
  </si>
  <si>
    <t>puño</t>
  </si>
  <si>
    <t>fábrica</t>
  </si>
  <si>
    <t>lámpara</t>
  </si>
  <si>
    <t>cortina</t>
  </si>
  <si>
    <t>pera</t>
  </si>
  <si>
    <t>gaita</t>
  </si>
  <si>
    <t>peine</t>
  </si>
  <si>
    <t>timbre</t>
  </si>
  <si>
    <t>niña</t>
  </si>
  <si>
    <t>cañón</t>
  </si>
  <si>
    <t>volcán</t>
  </si>
  <si>
    <t>piña</t>
  </si>
  <si>
    <t>nido</t>
  </si>
  <si>
    <t>cerdo</t>
  </si>
  <si>
    <t>banco</t>
  </si>
  <si>
    <t>reloj</t>
  </si>
  <si>
    <t>tijeras</t>
  </si>
  <si>
    <t>pistola</t>
  </si>
  <si>
    <t>mosca</t>
  </si>
  <si>
    <t>goma</t>
  </si>
  <si>
    <t>navaja</t>
  </si>
  <si>
    <t>juez</t>
  </si>
  <si>
    <t>pinza</t>
  </si>
  <si>
    <t>brazo</t>
  </si>
  <si>
    <t>canguro</t>
  </si>
  <si>
    <t>bombero</t>
  </si>
  <si>
    <t>rosa</t>
  </si>
  <si>
    <t>clavo</t>
  </si>
  <si>
    <t>cesta</t>
  </si>
  <si>
    <t>pizza</t>
  </si>
  <si>
    <t>bigote</t>
  </si>
  <si>
    <t>puerto</t>
  </si>
  <si>
    <t>círculo</t>
  </si>
  <si>
    <t>ataúd</t>
  </si>
  <si>
    <t>taza</t>
  </si>
  <si>
    <t>niño</t>
  </si>
  <si>
    <t>escudo</t>
  </si>
  <si>
    <t>pastor</t>
  </si>
  <si>
    <t>lengua</t>
  </si>
  <si>
    <t>timón</t>
  </si>
  <si>
    <t>libro</t>
  </si>
  <si>
    <t>bebé</t>
  </si>
  <si>
    <t>caja</t>
  </si>
  <si>
    <t>labios</t>
  </si>
  <si>
    <t>cuerda</t>
  </si>
  <si>
    <t>copa</t>
  </si>
  <si>
    <t>cable</t>
  </si>
  <si>
    <t>cisne</t>
  </si>
  <si>
    <t>bolsa</t>
  </si>
  <si>
    <t>tortuga</t>
  </si>
  <si>
    <t>payaso</t>
  </si>
  <si>
    <t>tiburón</t>
  </si>
  <si>
    <t>camión</t>
  </si>
  <si>
    <t>rama</t>
  </si>
  <si>
    <t>faro</t>
  </si>
  <si>
    <t>zapato</t>
  </si>
  <si>
    <t>braga</t>
  </si>
  <si>
    <t>puerta</t>
  </si>
  <si>
    <t>manzana</t>
  </si>
  <si>
    <t>lobo</t>
  </si>
  <si>
    <t>codo</t>
  </si>
  <si>
    <t>sandía</t>
  </si>
  <si>
    <t>campana</t>
  </si>
  <si>
    <t>violín</t>
  </si>
  <si>
    <t>toro</t>
  </si>
  <si>
    <t>pico</t>
  </si>
  <si>
    <t>guante</t>
  </si>
  <si>
    <t>barco</t>
  </si>
  <si>
    <t>pulsera</t>
  </si>
  <si>
    <t>escoba</t>
  </si>
  <si>
    <t>cubo</t>
  </si>
  <si>
    <t>carpeta</t>
  </si>
  <si>
    <t>ventana</t>
  </si>
  <si>
    <t>nube</t>
  </si>
  <si>
    <t>leñador</t>
  </si>
  <si>
    <t>koala</t>
  </si>
  <si>
    <t>arpa</t>
  </si>
  <si>
    <t>gato</t>
  </si>
  <si>
    <t>jersey</t>
  </si>
  <si>
    <t>miel</t>
  </si>
  <si>
    <t>planta</t>
  </si>
  <si>
    <t>rana</t>
  </si>
  <si>
    <t>reina</t>
  </si>
  <si>
    <t>jabón</t>
  </si>
  <si>
    <t>tiza</t>
  </si>
  <si>
    <t>trineo</t>
  </si>
  <si>
    <t>piano</t>
  </si>
  <si>
    <t>balcón</t>
  </si>
  <si>
    <t>ladrón</t>
  </si>
  <si>
    <t>embudo</t>
  </si>
  <si>
    <t>jabalí</t>
  </si>
  <si>
    <t>oveja</t>
  </si>
  <si>
    <t>botón</t>
  </si>
  <si>
    <t>cactus</t>
  </si>
  <si>
    <t>tronco</t>
  </si>
  <si>
    <t>esponja</t>
  </si>
  <si>
    <t>lápiz</t>
  </si>
  <si>
    <t>pila</t>
  </si>
  <si>
    <t>tejado</t>
  </si>
  <si>
    <t>cajón</t>
  </si>
  <si>
    <t>columna</t>
  </si>
  <si>
    <t>vestido</t>
  </si>
  <si>
    <t>café</t>
  </si>
  <si>
    <t>piloto</t>
  </si>
  <si>
    <t>sofá</t>
  </si>
  <si>
    <t>tenedor</t>
  </si>
  <si>
    <t>molino</t>
  </si>
  <si>
    <t>cuerno</t>
  </si>
  <si>
    <t>vela</t>
  </si>
  <si>
    <t>arco</t>
  </si>
  <si>
    <t>camisa</t>
  </si>
  <si>
    <t>plátano</t>
  </si>
  <si>
    <t>cereza</t>
  </si>
  <si>
    <t>árbol</t>
  </si>
  <si>
    <t>naranja</t>
  </si>
  <si>
    <t>baño</t>
  </si>
  <si>
    <t>cometa</t>
  </si>
  <si>
    <t>cámara</t>
  </si>
  <si>
    <t>pulpo</t>
  </si>
  <si>
    <t>cocina</t>
  </si>
  <si>
    <t>gafas</t>
  </si>
  <si>
    <t>tractor</t>
  </si>
  <si>
    <t>pozo</t>
  </si>
  <si>
    <t>bañera</t>
  </si>
  <si>
    <t>basura</t>
  </si>
  <si>
    <t>globo</t>
  </si>
  <si>
    <t>teclado</t>
  </si>
  <si>
    <t>pierna</t>
  </si>
  <si>
    <t>corazón</t>
  </si>
  <si>
    <t>robot</t>
  </si>
  <si>
    <t>muleta</t>
  </si>
  <si>
    <t>luna</t>
  </si>
  <si>
    <t>boca</t>
  </si>
  <si>
    <t>foca</t>
  </si>
  <si>
    <t>maleta</t>
  </si>
  <si>
    <t>pluma</t>
  </si>
  <si>
    <t>tigre</t>
  </si>
  <si>
    <t>cuadro</t>
  </si>
  <si>
    <t>ɾɾaton</t>
  </si>
  <si>
    <t>naɾiθ</t>
  </si>
  <si>
    <t>dɾaɣon</t>
  </si>
  <si>
    <t>pulmon</t>
  </si>
  <si>
    <t>fɾuta</t>
  </si>
  <si>
    <t>nweθ</t>
  </si>
  <si>
    <t>siɾena</t>
  </si>
  <si>
    <t>daɾðo</t>
  </si>
  <si>
    <t>sako</t>
  </si>
  <si>
    <t>muɲeka</t>
  </si>
  <si>
    <t>limon</t>
  </si>
  <si>
    <t>tɾaxe</t>
  </si>
  <si>
    <t>melon</t>
  </si>
  <si>
    <t>ɡɾifo</t>
  </si>
  <si>
    <t>xiɾasol</t>
  </si>
  <si>
    <t>baso</t>
  </si>
  <si>
    <t>aŋxel</t>
  </si>
  <si>
    <t>leon</t>
  </si>
  <si>
    <t>bandexa</t>
  </si>
  <si>
    <t>kaɾakol</t>
  </si>
  <si>
    <t>domino</t>
  </si>
  <si>
    <t>flaʊta</t>
  </si>
  <si>
    <t>baɾβa</t>
  </si>
  <si>
    <t>kaθaðoɾ</t>
  </si>
  <si>
    <t>koɾβata</t>
  </si>
  <si>
    <t>koko</t>
  </si>
  <si>
    <t>espalða</t>
  </si>
  <si>
    <t>poɾteɾo</t>
  </si>
  <si>
    <t>loɾo</t>
  </si>
  <si>
    <t>pintoɾ</t>
  </si>
  <si>
    <t>pwɛnte</t>
  </si>
  <si>
    <t>bɾuxa</t>
  </si>
  <si>
    <t>balon</t>
  </si>
  <si>
    <t>motoɾ</t>
  </si>
  <si>
    <t>θjuðad</t>
  </si>
  <si>
    <t>paβo</t>
  </si>
  <si>
    <t>meðusa</t>
  </si>
  <si>
    <t>kompas</t>
  </si>
  <si>
    <t>falða</t>
  </si>
  <si>
    <t>balanθa</t>
  </si>
  <si>
    <t>paɲal</t>
  </si>
  <si>
    <t>tɾen</t>
  </si>
  <si>
    <t>fɾonton</t>
  </si>
  <si>
    <t>aɣuxa</t>
  </si>
  <si>
    <t>xiɾafa</t>
  </si>
  <si>
    <t>kaɾteɾo</t>
  </si>
  <si>
    <t>ɾɾaiθ</t>
  </si>
  <si>
    <t>θeɾeβɾo</t>
  </si>
  <si>
    <t>koɾo</t>
  </si>
  <si>
    <t>kono</t>
  </si>
  <si>
    <t>piɾata</t>
  </si>
  <si>
    <t>takon</t>
  </si>
  <si>
    <t>nuðo</t>
  </si>
  <si>
    <t>kama</t>
  </si>
  <si>
    <t>konexo</t>
  </si>
  <si>
    <t>aʊtoβus</t>
  </si>
  <si>
    <t>kapa</t>
  </si>
  <si>
    <t>peluka</t>
  </si>
  <si>
    <t>tamboɾ</t>
  </si>
  <si>
    <t>pjeðɾa</t>
  </si>
  <si>
    <t>tunel</t>
  </si>
  <si>
    <t>bena</t>
  </si>
  <si>
    <t>xaʊla</t>
  </si>
  <si>
    <t>bɾuxula</t>
  </si>
  <si>
    <t>bandeɾa</t>
  </si>
  <si>
    <t>aβjon</t>
  </si>
  <si>
    <t>ɡɾaŋxa</t>
  </si>
  <si>
    <t>espaða</t>
  </si>
  <si>
    <t>kuna</t>
  </si>
  <si>
    <t>buθon</t>
  </si>
  <si>
    <t>daðo</t>
  </si>
  <si>
    <t>mineɾo</t>
  </si>
  <si>
    <t>floɾ</t>
  </si>
  <si>
    <t>baka</t>
  </si>
  <si>
    <t>koɾona</t>
  </si>
  <si>
    <t>iɣlesja</t>
  </si>
  <si>
    <t>kasko</t>
  </si>
  <si>
    <t>θiɣueɲa</t>
  </si>
  <si>
    <t>ɾɾeɣla</t>
  </si>
  <si>
    <t>ɾɾeɣalo</t>
  </si>
  <si>
    <t>espexo</t>
  </si>
  <si>
    <t>fwɛnte</t>
  </si>
  <si>
    <t>kandaðo</t>
  </si>
  <si>
    <t>oɾexa</t>
  </si>
  <si>
    <t>biβlia</t>
  </si>
  <si>
    <t>kaβɾa</t>
  </si>
  <si>
    <t>delfin</t>
  </si>
  <si>
    <t>pisθina</t>
  </si>
  <si>
    <t>eɾiθo</t>
  </si>
  <si>
    <t>baβeɾo</t>
  </si>
  <si>
    <t>θeβɾa</t>
  </si>
  <si>
    <t>aɾaɲa</t>
  </si>
  <si>
    <t>fɾesa</t>
  </si>
  <si>
    <t>moneða</t>
  </si>
  <si>
    <t>kaðena</t>
  </si>
  <si>
    <t>teteɾa</t>
  </si>
  <si>
    <t>tɾeβol</t>
  </si>
  <si>
    <t>ankla</t>
  </si>
  <si>
    <t>puɲo</t>
  </si>
  <si>
    <t>faβɾika</t>
  </si>
  <si>
    <t>lampaɾa</t>
  </si>
  <si>
    <t>koɾtina</t>
  </si>
  <si>
    <t>peɾa</t>
  </si>
  <si>
    <t>ɡaɪta</t>
  </si>
  <si>
    <t>peɪne</t>
  </si>
  <si>
    <t>timbɾe</t>
  </si>
  <si>
    <t>niɲa</t>
  </si>
  <si>
    <t>kaɲon</t>
  </si>
  <si>
    <t>bolkan</t>
  </si>
  <si>
    <t>piɲa</t>
  </si>
  <si>
    <t>niðo</t>
  </si>
  <si>
    <t>θeɾðo</t>
  </si>
  <si>
    <t>banko</t>
  </si>
  <si>
    <t>ɾɾelox</t>
  </si>
  <si>
    <t>tixeɾas</t>
  </si>
  <si>
    <t>moska</t>
  </si>
  <si>
    <t>ɡoma</t>
  </si>
  <si>
    <t>naβaxa</t>
  </si>
  <si>
    <t>xweθ</t>
  </si>
  <si>
    <t>pinθa</t>
  </si>
  <si>
    <t>bɾaθo</t>
  </si>
  <si>
    <t>kaŋɡuɾo</t>
  </si>
  <si>
    <t>bombeɾo</t>
  </si>
  <si>
    <t>ɾɾosa</t>
  </si>
  <si>
    <t>klaβo</t>
  </si>
  <si>
    <t>θesta</t>
  </si>
  <si>
    <t>pitsa</t>
  </si>
  <si>
    <t>biɣote</t>
  </si>
  <si>
    <t>pweɾto</t>
  </si>
  <si>
    <t>θiɾkulo</t>
  </si>
  <si>
    <t>ataud</t>
  </si>
  <si>
    <t>taθa</t>
  </si>
  <si>
    <t>niɲo</t>
  </si>
  <si>
    <t>eskuðo</t>
  </si>
  <si>
    <t>pastoɾ</t>
  </si>
  <si>
    <t>lɛŋɡwa</t>
  </si>
  <si>
    <t>timon</t>
  </si>
  <si>
    <t>liβɾo</t>
  </si>
  <si>
    <t>beβe</t>
  </si>
  <si>
    <t>kaxa</t>
  </si>
  <si>
    <t>laβjos</t>
  </si>
  <si>
    <t>kweɾða</t>
  </si>
  <si>
    <t>kopa</t>
  </si>
  <si>
    <t>kaβle</t>
  </si>
  <si>
    <t>θisne</t>
  </si>
  <si>
    <t>toɾtuɣa</t>
  </si>
  <si>
    <t>pajjaso</t>
  </si>
  <si>
    <t>tiβuɾon</t>
  </si>
  <si>
    <t>kamjon</t>
  </si>
  <si>
    <t>ɾɾama</t>
  </si>
  <si>
    <t>faɾo</t>
  </si>
  <si>
    <t>θapato</t>
  </si>
  <si>
    <t>bɾaɣa</t>
  </si>
  <si>
    <t>pweɾta</t>
  </si>
  <si>
    <t>manθana</t>
  </si>
  <si>
    <t>loβo</t>
  </si>
  <si>
    <t>koðo</t>
  </si>
  <si>
    <t>sandia</t>
  </si>
  <si>
    <t>kampana</t>
  </si>
  <si>
    <t>bjolin</t>
  </si>
  <si>
    <t>toɾo</t>
  </si>
  <si>
    <t>piko</t>
  </si>
  <si>
    <t>ɡwante</t>
  </si>
  <si>
    <t>baɾko</t>
  </si>
  <si>
    <t>pulseɾa</t>
  </si>
  <si>
    <t>eskoβa</t>
  </si>
  <si>
    <t>kuβo</t>
  </si>
  <si>
    <t>kaɾpeta</t>
  </si>
  <si>
    <t>bentana</t>
  </si>
  <si>
    <t>nuβe</t>
  </si>
  <si>
    <t>leɲaðoɾ</t>
  </si>
  <si>
    <t>aɾpa</t>
  </si>
  <si>
    <t>ɡato</t>
  </si>
  <si>
    <t>xeɾseɪ</t>
  </si>
  <si>
    <t>mjel</t>
  </si>
  <si>
    <t>ɾɾana</t>
  </si>
  <si>
    <t>ɾɾeɪna</t>
  </si>
  <si>
    <t>xaβon</t>
  </si>
  <si>
    <t>tiθa</t>
  </si>
  <si>
    <t>tɾineo</t>
  </si>
  <si>
    <t>pjano</t>
  </si>
  <si>
    <t>balkon</t>
  </si>
  <si>
    <t>laðɾon</t>
  </si>
  <si>
    <t>embuðo</t>
  </si>
  <si>
    <t>xaβali</t>
  </si>
  <si>
    <t>oβexa</t>
  </si>
  <si>
    <t>boton</t>
  </si>
  <si>
    <t>kaktus</t>
  </si>
  <si>
    <t>tɾonko</t>
  </si>
  <si>
    <t>espoŋxa</t>
  </si>
  <si>
    <t>lapiθ</t>
  </si>
  <si>
    <t>texaðo</t>
  </si>
  <si>
    <t>kaxon</t>
  </si>
  <si>
    <t>kolumna</t>
  </si>
  <si>
    <t>bestiðo</t>
  </si>
  <si>
    <t>kafe</t>
  </si>
  <si>
    <t>sofa</t>
  </si>
  <si>
    <t>teneðoɾ</t>
  </si>
  <si>
    <t>kweɾno</t>
  </si>
  <si>
    <t>bela</t>
  </si>
  <si>
    <t>aɾko</t>
  </si>
  <si>
    <t>kamisa</t>
  </si>
  <si>
    <t>platano</t>
  </si>
  <si>
    <t>θeɾeθa</t>
  </si>
  <si>
    <t>aɾβol</t>
  </si>
  <si>
    <t>naɾaŋxa</t>
  </si>
  <si>
    <t>baɲo</t>
  </si>
  <si>
    <t>kometa</t>
  </si>
  <si>
    <t>kamaɾa</t>
  </si>
  <si>
    <t>koθina</t>
  </si>
  <si>
    <t>ɡafas</t>
  </si>
  <si>
    <t>tɾaktoɾ</t>
  </si>
  <si>
    <t>poθo</t>
  </si>
  <si>
    <t>baɲeɾa</t>
  </si>
  <si>
    <t>basuɾa</t>
  </si>
  <si>
    <t>ɡloβo</t>
  </si>
  <si>
    <t>teklaðo</t>
  </si>
  <si>
    <t>pjeɾna</t>
  </si>
  <si>
    <t>koɾaθon</t>
  </si>
  <si>
    <t>ɾɾoβot</t>
  </si>
  <si>
    <t>boka</t>
  </si>
  <si>
    <t>foka</t>
  </si>
  <si>
    <t>tiɣɾe</t>
  </si>
  <si>
    <t>kwaðɾo</t>
  </si>
  <si>
    <t>mouse</t>
  </si>
  <si>
    <t>nose</t>
  </si>
  <si>
    <t>table</t>
  </si>
  <si>
    <t>dragon</t>
  </si>
  <si>
    <t>lung</t>
  </si>
  <si>
    <t>fruit</t>
  </si>
  <si>
    <t>nut</t>
  </si>
  <si>
    <t>mermaid</t>
  </si>
  <si>
    <t>dart</t>
  </si>
  <si>
    <t>sack</t>
  </si>
  <si>
    <t>doll</t>
  </si>
  <si>
    <t>lemon</t>
  </si>
  <si>
    <t>suit</t>
  </si>
  <si>
    <t>tap</t>
  </si>
  <si>
    <t>sunflower</t>
  </si>
  <si>
    <t>glass</t>
  </si>
  <si>
    <t>angel</t>
  </si>
  <si>
    <t>pipe</t>
  </si>
  <si>
    <t>lion</t>
  </si>
  <si>
    <t>tray</t>
  </si>
  <si>
    <t>snail</t>
  </si>
  <si>
    <t>dominoes</t>
  </si>
  <si>
    <t>bullet</t>
  </si>
  <si>
    <t>recorder</t>
  </si>
  <si>
    <t>controller</t>
  </si>
  <si>
    <t>beard</t>
  </si>
  <si>
    <t>hunter</t>
  </si>
  <si>
    <t>tie</t>
  </si>
  <si>
    <t>coconut</t>
  </si>
  <si>
    <t>back</t>
  </si>
  <si>
    <t>goalkeeper</t>
  </si>
  <si>
    <t>parrot</t>
  </si>
  <si>
    <t>artist</t>
  </si>
  <si>
    <t>bridge</t>
  </si>
  <si>
    <t>witch</t>
  </si>
  <si>
    <t>football</t>
  </si>
  <si>
    <t>engine</t>
  </si>
  <si>
    <t>city</t>
  </si>
  <si>
    <t>turkey</t>
  </si>
  <si>
    <t>jellyfish</t>
  </si>
  <si>
    <t>compass</t>
  </si>
  <si>
    <t>skirt</t>
  </si>
  <si>
    <t>scales</t>
  </si>
  <si>
    <t>boot</t>
  </si>
  <si>
    <t>nappy</t>
  </si>
  <si>
    <t>train</t>
  </si>
  <si>
    <t>court</t>
  </si>
  <si>
    <t>plate</t>
  </si>
  <si>
    <t>needle</t>
  </si>
  <si>
    <t>giraffe</t>
  </si>
  <si>
    <t>postman</t>
  </si>
  <si>
    <t>roots</t>
  </si>
  <si>
    <t>brain</t>
  </si>
  <si>
    <t>potato</t>
  </si>
  <si>
    <t>choir</t>
  </si>
  <si>
    <t>shovel</t>
  </si>
  <si>
    <t>cone</t>
  </si>
  <si>
    <t>island</t>
  </si>
  <si>
    <t>hand</t>
  </si>
  <si>
    <t>pirate</t>
  </si>
  <si>
    <t>heel</t>
  </si>
  <si>
    <t>knot</t>
  </si>
  <si>
    <t>bed</t>
  </si>
  <si>
    <t>rabbit</t>
  </si>
  <si>
    <t>bus</t>
  </si>
  <si>
    <t>cape</t>
  </si>
  <si>
    <t>wig</t>
  </si>
  <si>
    <t>drum</t>
  </si>
  <si>
    <t>rock</t>
  </si>
  <si>
    <t>tunnel</t>
  </si>
  <si>
    <t>vein</t>
  </si>
  <si>
    <t>cage</t>
  </si>
  <si>
    <t>flag</t>
  </si>
  <si>
    <t>airplane</t>
  </si>
  <si>
    <t>farm</t>
  </si>
  <si>
    <t>sword</t>
  </si>
  <si>
    <t>mime</t>
  </si>
  <si>
    <t>cot</t>
  </si>
  <si>
    <t>letterbox</t>
  </si>
  <si>
    <t>dice</t>
  </si>
  <si>
    <t>miner</t>
  </si>
  <si>
    <t>flower</t>
  </si>
  <si>
    <t>cow</t>
  </si>
  <si>
    <t>crown</t>
  </si>
  <si>
    <t>church</t>
  </si>
  <si>
    <t>tomato</t>
  </si>
  <si>
    <t>helmet</t>
  </si>
  <si>
    <t>bird</t>
  </si>
  <si>
    <t>ruler</t>
  </si>
  <si>
    <t>present</t>
  </si>
  <si>
    <t>mirror</t>
  </si>
  <si>
    <t>flipper</t>
  </si>
  <si>
    <t>fountain</t>
  </si>
  <si>
    <t>lock</t>
  </si>
  <si>
    <t>ear</t>
  </si>
  <si>
    <t>bible</t>
  </si>
  <si>
    <t>goat</t>
  </si>
  <si>
    <t>dolphin</t>
  </si>
  <si>
    <t>pool</t>
  </si>
  <si>
    <t>hedgehog</t>
  </si>
  <si>
    <t>doughnut</t>
  </si>
  <si>
    <t>bib</t>
  </si>
  <si>
    <t>zebra</t>
  </si>
  <si>
    <t>spider</t>
  </si>
  <si>
    <t>strawberry</t>
  </si>
  <si>
    <t>coin</t>
  </si>
  <si>
    <t>bomb</t>
  </si>
  <si>
    <t>bag</t>
  </si>
  <si>
    <t>aerial</t>
  </si>
  <si>
    <t>chain</t>
  </si>
  <si>
    <t>teapot</t>
  </si>
  <si>
    <t>clover</t>
  </si>
  <si>
    <t>duck</t>
  </si>
  <si>
    <t>anchor</t>
  </si>
  <si>
    <t>fist</t>
  </si>
  <si>
    <t>factory</t>
  </si>
  <si>
    <t>lamp</t>
  </si>
  <si>
    <t>curtain</t>
  </si>
  <si>
    <t>pear</t>
  </si>
  <si>
    <t>bagpipes</t>
  </si>
  <si>
    <t>comb</t>
  </si>
  <si>
    <t>bell</t>
  </si>
  <si>
    <t>girl</t>
  </si>
  <si>
    <t>cannon</t>
  </si>
  <si>
    <t>volcano</t>
  </si>
  <si>
    <t>pineapple</t>
  </si>
  <si>
    <t>nest</t>
  </si>
  <si>
    <t>pig</t>
  </si>
  <si>
    <t>bench</t>
  </si>
  <si>
    <t>watch</t>
  </si>
  <si>
    <t>scissors</t>
  </si>
  <si>
    <t>gun</t>
  </si>
  <si>
    <t>fly</t>
  </si>
  <si>
    <t>rubber</t>
  </si>
  <si>
    <t>knife</t>
  </si>
  <si>
    <t>judge</t>
  </si>
  <si>
    <t>peg</t>
  </si>
  <si>
    <t>arm</t>
  </si>
  <si>
    <t>kangaroo</t>
  </si>
  <si>
    <t>fireman</t>
  </si>
  <si>
    <t>rose</t>
  </si>
  <si>
    <t>nail</t>
  </si>
  <si>
    <t>basket</t>
  </si>
  <si>
    <t>moustache</t>
  </si>
  <si>
    <t>harbour</t>
  </si>
  <si>
    <t>circle</t>
  </si>
  <si>
    <t>coffin</t>
  </si>
  <si>
    <t>mug</t>
  </si>
  <si>
    <t>boy</t>
  </si>
  <si>
    <t>shield</t>
  </si>
  <si>
    <t>farmer</t>
  </si>
  <si>
    <t>tongue</t>
  </si>
  <si>
    <t>wheel</t>
  </si>
  <si>
    <t>book</t>
  </si>
  <si>
    <t>baby</t>
  </si>
  <si>
    <t>box</t>
  </si>
  <si>
    <t>lips</t>
  </si>
  <si>
    <t>rope</t>
  </si>
  <si>
    <t>wire</t>
  </si>
  <si>
    <t>swan</t>
  </si>
  <si>
    <t>turtle</t>
  </si>
  <si>
    <t>clown</t>
  </si>
  <si>
    <t>shark</t>
  </si>
  <si>
    <t>truck</t>
  </si>
  <si>
    <t>branch</t>
  </si>
  <si>
    <t>lighthouse</t>
  </si>
  <si>
    <t>shoe</t>
  </si>
  <si>
    <t>knickers</t>
  </si>
  <si>
    <t>door</t>
  </si>
  <si>
    <t>apple</t>
  </si>
  <si>
    <t>wolf</t>
  </si>
  <si>
    <t>elbow</t>
  </si>
  <si>
    <t>watermelon</t>
  </si>
  <si>
    <t>violin</t>
  </si>
  <si>
    <t>bull</t>
  </si>
  <si>
    <t>beak</t>
  </si>
  <si>
    <t>glove</t>
  </si>
  <si>
    <t>ship</t>
  </si>
  <si>
    <t>bracelet</t>
  </si>
  <si>
    <t>broom</t>
  </si>
  <si>
    <t>cube</t>
  </si>
  <si>
    <t>folder</t>
  </si>
  <si>
    <t>window</t>
  </si>
  <si>
    <t>cloud</t>
  </si>
  <si>
    <t>lumberjack</t>
  </si>
  <si>
    <t>harp</t>
  </si>
  <si>
    <t>cat</t>
  </si>
  <si>
    <t>jumper</t>
  </si>
  <si>
    <t>honey</t>
  </si>
  <si>
    <t>plant</t>
  </si>
  <si>
    <t>frog</t>
  </si>
  <si>
    <t>queen</t>
  </si>
  <si>
    <t>soap</t>
  </si>
  <si>
    <t>chalk</t>
  </si>
  <si>
    <t>sledge</t>
  </si>
  <si>
    <t>balcony</t>
  </si>
  <si>
    <t>burglar</t>
  </si>
  <si>
    <t>funnel</t>
  </si>
  <si>
    <t>sheep</t>
  </si>
  <si>
    <t>button</t>
  </si>
  <si>
    <t>stump</t>
  </si>
  <si>
    <t>sponge</t>
  </si>
  <si>
    <t>pencil</t>
  </si>
  <si>
    <t>battery</t>
  </si>
  <si>
    <t>roof</t>
  </si>
  <si>
    <t>drawer</t>
  </si>
  <si>
    <t>pillar</t>
  </si>
  <si>
    <t>dress</t>
  </si>
  <si>
    <t>coffee</t>
  </si>
  <si>
    <t>pilot</t>
  </si>
  <si>
    <t>fork</t>
  </si>
  <si>
    <t>windmill</t>
  </si>
  <si>
    <t>horn</t>
  </si>
  <si>
    <t>candle</t>
  </si>
  <si>
    <t>bow</t>
  </si>
  <si>
    <t>shirt</t>
  </si>
  <si>
    <t>banana</t>
  </si>
  <si>
    <t>cherry</t>
  </si>
  <si>
    <t>tree</t>
  </si>
  <si>
    <t>orange</t>
  </si>
  <si>
    <t>bathroom</t>
  </si>
  <si>
    <t>kite</t>
  </si>
  <si>
    <t>camera</t>
  </si>
  <si>
    <t>octopus</t>
  </si>
  <si>
    <t>kitchen</t>
  </si>
  <si>
    <t>glasses</t>
  </si>
  <si>
    <t>well</t>
  </si>
  <si>
    <t>bath</t>
  </si>
  <si>
    <t>bin</t>
  </si>
  <si>
    <t>balloon</t>
  </si>
  <si>
    <t>keyboard</t>
  </si>
  <si>
    <t>leg</t>
  </si>
  <si>
    <t>heart</t>
  </si>
  <si>
    <t>crutches</t>
  </si>
  <si>
    <t>moon</t>
  </si>
  <si>
    <t>mouth</t>
  </si>
  <si>
    <t>seal</t>
  </si>
  <si>
    <t>suitcase</t>
  </si>
  <si>
    <t>feather</t>
  </si>
  <si>
    <t>tiger</t>
  </si>
  <si>
    <t>painting</t>
  </si>
  <si>
    <t>maʊs</t>
  </si>
  <si>
    <t>nəʊz</t>
  </si>
  <si>
    <t>teɪbl</t>
  </si>
  <si>
    <t>drægən</t>
  </si>
  <si>
    <t>lʌŋ</t>
  </si>
  <si>
    <t>fruːt</t>
  </si>
  <si>
    <t>nʌt</t>
  </si>
  <si>
    <t>mɜːmeɪd</t>
  </si>
  <si>
    <t>dɑːt</t>
  </si>
  <si>
    <t>kiːwiː</t>
  </si>
  <si>
    <t>sæk</t>
  </si>
  <si>
    <t>dɒl</t>
  </si>
  <si>
    <t>lɛmən</t>
  </si>
  <si>
    <t>sjuːt</t>
  </si>
  <si>
    <t>mɛlən</t>
  </si>
  <si>
    <t>tæp</t>
  </si>
  <si>
    <t>sʌnflaʊə</t>
  </si>
  <si>
    <t>glɑːs</t>
  </si>
  <si>
    <t>eɪnʤəl</t>
  </si>
  <si>
    <t>paɪp</t>
  </si>
  <si>
    <t>laɪən</t>
  </si>
  <si>
    <t>treɪ</t>
  </si>
  <si>
    <t>sneɪl</t>
  </si>
  <si>
    <t>dɒmɪnəʊz</t>
  </si>
  <si>
    <t>bʊlɪt</t>
  </si>
  <si>
    <t>rɪkɔːdə</t>
  </si>
  <si>
    <t>kəntrəʊlə</t>
  </si>
  <si>
    <t>bɪəd</t>
  </si>
  <si>
    <t>hʌntə</t>
  </si>
  <si>
    <t>taɪ</t>
  </si>
  <si>
    <t>kəʊkənʌt</t>
  </si>
  <si>
    <t>bæk</t>
  </si>
  <si>
    <t>gəʊlkiːpə</t>
  </si>
  <si>
    <t>pærət</t>
  </si>
  <si>
    <t>ɑːtɪst</t>
  </si>
  <si>
    <t>brɪʤ</t>
  </si>
  <si>
    <t>wɪʧ</t>
  </si>
  <si>
    <t>fʊtbɔːl</t>
  </si>
  <si>
    <t>ɛnʤɪn</t>
  </si>
  <si>
    <t>sɪti</t>
  </si>
  <si>
    <t>tɜːki</t>
  </si>
  <si>
    <t>ʤɛlɪfɪʃ</t>
  </si>
  <si>
    <t>kʌmpəs</t>
  </si>
  <si>
    <t>skɜːt</t>
  </si>
  <si>
    <t>skeɪlz</t>
  </si>
  <si>
    <t>buːt</t>
  </si>
  <si>
    <t>næpi</t>
  </si>
  <si>
    <t>treɪn</t>
  </si>
  <si>
    <t>kɔːt</t>
  </si>
  <si>
    <t>pleɪt</t>
  </si>
  <si>
    <t>niːdl</t>
  </si>
  <si>
    <t>ʤɪrɑːf</t>
  </si>
  <si>
    <t>pəʊstmən</t>
  </si>
  <si>
    <t>ruːts</t>
  </si>
  <si>
    <t>breɪn</t>
  </si>
  <si>
    <t>pəteɪtəʊ</t>
  </si>
  <si>
    <t>kwaɪə</t>
  </si>
  <si>
    <t>ʃʌvl</t>
  </si>
  <si>
    <t>kəʊn</t>
  </si>
  <si>
    <t>aɪlənd</t>
  </si>
  <si>
    <t>hænd</t>
  </si>
  <si>
    <t>paɪərɪt</t>
  </si>
  <si>
    <t>hiːl</t>
  </si>
  <si>
    <t>nɒt</t>
  </si>
  <si>
    <t>bɛd</t>
  </si>
  <si>
    <t>ræbɪt</t>
  </si>
  <si>
    <t>bʌs</t>
  </si>
  <si>
    <t>keɪp</t>
  </si>
  <si>
    <t>wɪg</t>
  </si>
  <si>
    <t>drʌm</t>
  </si>
  <si>
    <t>rɒk</t>
  </si>
  <si>
    <t>tʌnl</t>
  </si>
  <si>
    <t>veɪn</t>
  </si>
  <si>
    <t>keɪʤ</t>
  </si>
  <si>
    <t>flæg</t>
  </si>
  <si>
    <t>ɛrpleɪn</t>
  </si>
  <si>
    <t>fɑːm</t>
  </si>
  <si>
    <t>sɔːd</t>
  </si>
  <si>
    <t>maɪm</t>
  </si>
  <si>
    <t>kɒt</t>
  </si>
  <si>
    <t>lɛtəbɒks</t>
  </si>
  <si>
    <t>daɪs</t>
  </si>
  <si>
    <t>maɪnə</t>
  </si>
  <si>
    <t>flaʊə</t>
  </si>
  <si>
    <t>kaʊ</t>
  </si>
  <si>
    <t>kraʊn</t>
  </si>
  <si>
    <t>ʧɜːʧ</t>
  </si>
  <si>
    <t>təmɑːtəʊ</t>
  </si>
  <si>
    <t>hɛlmɪt</t>
  </si>
  <si>
    <t>bɜːd</t>
  </si>
  <si>
    <t>ruːlə</t>
  </si>
  <si>
    <t>prɛznt</t>
  </si>
  <si>
    <t>mɪrə</t>
  </si>
  <si>
    <t>flɪpə</t>
  </si>
  <si>
    <t>faʊntɪn</t>
  </si>
  <si>
    <t>lɒk</t>
  </si>
  <si>
    <t>ɪə</t>
  </si>
  <si>
    <t>baɪbl</t>
  </si>
  <si>
    <t>gəʊt</t>
  </si>
  <si>
    <t>dɒlfɪn</t>
  </si>
  <si>
    <t>puːl</t>
  </si>
  <si>
    <t>hɛʤhɒg</t>
  </si>
  <si>
    <t>dəʊnʌt</t>
  </si>
  <si>
    <t>bɪb</t>
  </si>
  <si>
    <t>ziːbrə</t>
  </si>
  <si>
    <t>spaɪdə</t>
  </si>
  <si>
    <t>strɔːbəri</t>
  </si>
  <si>
    <t>kɔɪn</t>
  </si>
  <si>
    <t>bɒm</t>
  </si>
  <si>
    <t>bæg</t>
  </si>
  <si>
    <t>eərɪəl</t>
  </si>
  <si>
    <t>ʧeɪn</t>
  </si>
  <si>
    <t>tiːpɒt</t>
  </si>
  <si>
    <t>kləʊvə</t>
  </si>
  <si>
    <t>dʌk</t>
  </si>
  <si>
    <t>æŋkə</t>
  </si>
  <si>
    <t>fɪst</t>
  </si>
  <si>
    <t>fæktəri</t>
  </si>
  <si>
    <t>læmp</t>
  </si>
  <si>
    <t>kɜːtn</t>
  </si>
  <si>
    <t>peə</t>
  </si>
  <si>
    <t>bægpaɪps</t>
  </si>
  <si>
    <t>kəʊm</t>
  </si>
  <si>
    <t>bɛl</t>
  </si>
  <si>
    <t>gɜːl</t>
  </si>
  <si>
    <t>kænən</t>
  </si>
  <si>
    <t>vɒlkeɪnəʊ</t>
  </si>
  <si>
    <t>paɪnæpl</t>
  </si>
  <si>
    <t>nɛst</t>
  </si>
  <si>
    <t>pɪg</t>
  </si>
  <si>
    <t>bɛnʧ</t>
  </si>
  <si>
    <t>wɒʧ</t>
  </si>
  <si>
    <t>sɪzəz</t>
  </si>
  <si>
    <t>gʌn</t>
  </si>
  <si>
    <t>flaɪ</t>
  </si>
  <si>
    <t>rʌbə</t>
  </si>
  <si>
    <t>naɪf</t>
  </si>
  <si>
    <t>ʤʌʤ</t>
  </si>
  <si>
    <t>pɛg</t>
  </si>
  <si>
    <t>ɑːm</t>
  </si>
  <si>
    <t>kæŋgəruː</t>
  </si>
  <si>
    <t>faɪəmən</t>
  </si>
  <si>
    <t>rəʊz</t>
  </si>
  <si>
    <t>neɪl</t>
  </si>
  <si>
    <t>bɑːskɪt</t>
  </si>
  <si>
    <t>piːtsə</t>
  </si>
  <si>
    <t>məstɑːʃ</t>
  </si>
  <si>
    <t>hɑːbə</t>
  </si>
  <si>
    <t>sɜːkl</t>
  </si>
  <si>
    <t>kɒfɪn</t>
  </si>
  <si>
    <t>mʌg</t>
  </si>
  <si>
    <t>bɔɪ</t>
  </si>
  <si>
    <t>ʃiːld</t>
  </si>
  <si>
    <t>fɑːmə</t>
  </si>
  <si>
    <t>tʌŋ</t>
  </si>
  <si>
    <t>wiːl</t>
  </si>
  <si>
    <t>bʊk</t>
  </si>
  <si>
    <t>beɪbi</t>
  </si>
  <si>
    <t>bɒks</t>
  </si>
  <si>
    <t>lɪps</t>
  </si>
  <si>
    <t>rəʊp</t>
  </si>
  <si>
    <t>waɪə</t>
  </si>
  <si>
    <t>swɒn</t>
  </si>
  <si>
    <t>tɜːtl</t>
  </si>
  <si>
    <t>klaʊn</t>
  </si>
  <si>
    <t>ʃɑːk</t>
  </si>
  <si>
    <t>trʌk</t>
  </si>
  <si>
    <t>brɑːnʧ</t>
  </si>
  <si>
    <t>laɪthaʊs</t>
  </si>
  <si>
    <t>ʃuː</t>
  </si>
  <si>
    <t>nɪkəz</t>
  </si>
  <si>
    <t>dɔː</t>
  </si>
  <si>
    <t>æpl</t>
  </si>
  <si>
    <t>wʊlf</t>
  </si>
  <si>
    <t>ɛlbəʊ</t>
  </si>
  <si>
    <t>wɔːtəmɛlən</t>
  </si>
  <si>
    <t>vaɪəlɪn</t>
  </si>
  <si>
    <t>bʊl</t>
  </si>
  <si>
    <t>biːk</t>
  </si>
  <si>
    <t>glʌv</t>
  </si>
  <si>
    <t>ʃɪp</t>
  </si>
  <si>
    <t>breɪslɪt</t>
  </si>
  <si>
    <t>brʊm</t>
  </si>
  <si>
    <t>kjuːb</t>
  </si>
  <si>
    <t>fəʊldə</t>
  </si>
  <si>
    <t>wɪndəʊ</t>
  </si>
  <si>
    <t>klaʊd</t>
  </si>
  <si>
    <t>lʌmbəʤæk</t>
  </si>
  <si>
    <t>kəʊɑːlə</t>
  </si>
  <si>
    <t>hɑːp</t>
  </si>
  <si>
    <t>kæt</t>
  </si>
  <si>
    <t>ʤʌmpə</t>
  </si>
  <si>
    <t>hʌni</t>
  </si>
  <si>
    <t>plɑːnt</t>
  </si>
  <si>
    <t>frɒg</t>
  </si>
  <si>
    <t>kwiːn</t>
  </si>
  <si>
    <t>səʊp</t>
  </si>
  <si>
    <t>ʧɔːk</t>
  </si>
  <si>
    <t>slɛʤ</t>
  </si>
  <si>
    <t>pɪænəʊ</t>
  </si>
  <si>
    <t>bælkəni</t>
  </si>
  <si>
    <t>bɜːglə</t>
  </si>
  <si>
    <t>fʌnl</t>
  </si>
  <si>
    <t>ʃiːp</t>
  </si>
  <si>
    <t>bʌtn</t>
  </si>
  <si>
    <t>kæktəs</t>
  </si>
  <si>
    <t>stʌmp</t>
  </si>
  <si>
    <t>spʌnʤ</t>
  </si>
  <si>
    <t>pɛnsl</t>
  </si>
  <si>
    <t>bætəri</t>
  </si>
  <si>
    <t>ruːf</t>
  </si>
  <si>
    <t>drɔːə</t>
  </si>
  <si>
    <t>pɪlə</t>
  </si>
  <si>
    <t>drɛs</t>
  </si>
  <si>
    <t>kɒfi</t>
  </si>
  <si>
    <t>paɪlət</t>
  </si>
  <si>
    <t>səʊfə</t>
  </si>
  <si>
    <t>fɔːk</t>
  </si>
  <si>
    <t>wɪnmɪl</t>
  </si>
  <si>
    <t>hɔːn</t>
  </si>
  <si>
    <t>kændl</t>
  </si>
  <si>
    <t>baʊ</t>
  </si>
  <si>
    <t>ʃɜːt</t>
  </si>
  <si>
    <t>bənɑːnə</t>
  </si>
  <si>
    <t>ʧɛri</t>
  </si>
  <si>
    <t>triː</t>
  </si>
  <si>
    <t>ɒrɪnʤ</t>
  </si>
  <si>
    <t>bɑːθruːm</t>
  </si>
  <si>
    <t>kaɪt</t>
  </si>
  <si>
    <t>kæmərə</t>
  </si>
  <si>
    <t>ɒktəpəs</t>
  </si>
  <si>
    <t>kɪʧɪn</t>
  </si>
  <si>
    <t>glɑːsɪz</t>
  </si>
  <si>
    <t>træktə</t>
  </si>
  <si>
    <t>wɛl</t>
  </si>
  <si>
    <t>bɑːθ</t>
  </si>
  <si>
    <t>bɪn</t>
  </si>
  <si>
    <t>bəluːn</t>
  </si>
  <si>
    <t>kiːbɔːd</t>
  </si>
  <si>
    <t>lɛg</t>
  </si>
  <si>
    <t>hɑːt</t>
  </si>
  <si>
    <t>rəʊbɒt</t>
  </si>
  <si>
    <t>krʌʧɪz</t>
  </si>
  <si>
    <t>muːn</t>
  </si>
  <si>
    <t>maʊθ</t>
  </si>
  <si>
    <t>siːl</t>
  </si>
  <si>
    <t>sjuːtkeɪs</t>
  </si>
  <si>
    <t>fɛðə</t>
  </si>
  <si>
    <t>taɪgə</t>
  </si>
  <si>
    <t>peɪntɪŋ</t>
  </si>
  <si>
    <t>animal</t>
  </si>
  <si>
    <t>body part</t>
  </si>
  <si>
    <t>furniture</t>
  </si>
  <si>
    <t>food</t>
  </si>
  <si>
    <t>person</t>
  </si>
  <si>
    <t>object</t>
  </si>
  <si>
    <t>clothes</t>
  </si>
  <si>
    <t>person/occupation</t>
  </si>
  <si>
    <t>place</t>
  </si>
  <si>
    <t>vehicle</t>
  </si>
  <si>
    <t>instrument</t>
  </si>
  <si>
    <t>shape</t>
  </si>
  <si>
    <t>nature</t>
  </si>
  <si>
    <t>Person/Occupation</t>
  </si>
  <si>
    <t xml:space="preserve">Plant </t>
  </si>
  <si>
    <t>Place</t>
  </si>
  <si>
    <t xml:space="preserve">Object </t>
  </si>
  <si>
    <t>Clothes</t>
  </si>
  <si>
    <t>Body part</t>
  </si>
  <si>
    <t>Animal</t>
  </si>
  <si>
    <t>Food</t>
  </si>
  <si>
    <t>Number of images</t>
  </si>
  <si>
    <t>Semantic categories</t>
  </si>
  <si>
    <t>PICTURE_524</t>
  </si>
  <si>
    <t>indio</t>
  </si>
  <si>
    <t>indjo</t>
  </si>
  <si>
    <t>indian</t>
  </si>
  <si>
    <t>ɪndiən</t>
  </si>
  <si>
    <t>NO</t>
  </si>
  <si>
    <t>1.3305750000000001</t>
  </si>
  <si>
    <t>PICTURE_55</t>
  </si>
  <si>
    <t>sombra</t>
  </si>
  <si>
    <t>sombɾa</t>
  </si>
  <si>
    <t>shadow</t>
  </si>
  <si>
    <t>ʃædəʊ</t>
  </si>
  <si>
    <t>1.685794</t>
  </si>
  <si>
    <t>PICTURE_694</t>
  </si>
  <si>
    <t>abrazo</t>
  </si>
  <si>
    <t>aβɾaθo</t>
  </si>
  <si>
    <t>hug</t>
  </si>
  <si>
    <t>hʌg</t>
  </si>
  <si>
    <t>0.845172</t>
  </si>
  <si>
    <t>PICTURE_706</t>
  </si>
  <si>
    <t>gota</t>
  </si>
  <si>
    <t>ɡota</t>
  </si>
  <si>
    <t>drop</t>
  </si>
  <si>
    <t>drɒp</t>
  </si>
  <si>
    <t>1.039757</t>
  </si>
  <si>
    <t>PICTURE_709</t>
  </si>
  <si>
    <t>nadador</t>
  </si>
  <si>
    <t>naðaðoɾ</t>
  </si>
  <si>
    <t>swimming</t>
  </si>
  <si>
    <t>swɪmɪŋ</t>
  </si>
  <si>
    <t>0.430729</t>
  </si>
  <si>
    <t>PICTURE_396</t>
  </si>
  <si>
    <t>cajero</t>
  </si>
  <si>
    <t>kaxeɾo</t>
  </si>
  <si>
    <t>atm</t>
  </si>
  <si>
    <t>0.362889</t>
  </si>
  <si>
    <t>PICTURE_598</t>
  </si>
  <si>
    <t>diana</t>
  </si>
  <si>
    <t>djana</t>
  </si>
  <si>
    <t>dart board</t>
  </si>
  <si>
    <t>dɑːt bɔːd</t>
  </si>
  <si>
    <t>1.073917</t>
  </si>
  <si>
    <t>PICTURE_746</t>
  </si>
  <si>
    <t>bolo</t>
  </si>
  <si>
    <t>bowling pin</t>
  </si>
  <si>
    <t>bəʊlɪŋ pɪn</t>
  </si>
  <si>
    <t>0.38669999999999999</t>
  </si>
  <si>
    <t>PICTURE_676</t>
  </si>
  <si>
    <t>bastón</t>
  </si>
  <si>
    <t>baston</t>
  </si>
  <si>
    <t>walking stick</t>
  </si>
  <si>
    <t>wɔːkɪŋ stɪk</t>
  </si>
  <si>
    <t>0.936288</t>
  </si>
  <si>
    <t>PICTURE_511</t>
  </si>
  <si>
    <t>jamón</t>
  </si>
  <si>
    <t>xamon</t>
  </si>
  <si>
    <t>leg of meat</t>
  </si>
  <si>
    <t>lɛg ɒv miːt</t>
  </si>
  <si>
    <t>0.717184</t>
  </si>
  <si>
    <t>PICTURE_202</t>
  </si>
  <si>
    <t>caña</t>
  </si>
  <si>
    <t>kaɲa</t>
  </si>
  <si>
    <t>fishing rod</t>
  </si>
  <si>
    <t>fɪʃɪŋ rɒd</t>
  </si>
  <si>
    <t>1.0842670000000001</t>
  </si>
  <si>
    <t>PICTURE_101</t>
  </si>
  <si>
    <t>batería</t>
  </si>
  <si>
    <t>bateɾia</t>
  </si>
  <si>
    <t>drum kit</t>
  </si>
  <si>
    <t>drʌm kɪt</t>
  </si>
  <si>
    <t>1.5569280000000001</t>
  </si>
  <si>
    <t>PICTURE_144</t>
  </si>
  <si>
    <t>torero</t>
  </si>
  <si>
    <t>toɾeɾo</t>
  </si>
  <si>
    <t>bull fighter</t>
  </si>
  <si>
    <t>bʊl faɪtə</t>
  </si>
  <si>
    <t>0.969769</t>
  </si>
  <si>
    <t>PICTURE_398</t>
  </si>
  <si>
    <t>volante</t>
  </si>
  <si>
    <t>bolante</t>
  </si>
  <si>
    <t>steering wheel</t>
  </si>
  <si>
    <t>stɪərɪŋ wiːl</t>
  </si>
  <si>
    <t>0.937756</t>
  </si>
  <si>
    <t>PICTURE_652</t>
  </si>
  <si>
    <t>noria</t>
  </si>
  <si>
    <t>noɾja</t>
  </si>
  <si>
    <t>ferris wheel</t>
  </si>
  <si>
    <t>fɛrɪs wiːl</t>
  </si>
  <si>
    <t>0.400383</t>
  </si>
  <si>
    <t>PICTURE_261</t>
  </si>
  <si>
    <t>farola</t>
  </si>
  <si>
    <t>faɾola</t>
  </si>
  <si>
    <t>lamp post</t>
  </si>
  <si>
    <t>læmp pəʊst</t>
  </si>
  <si>
    <t>0.179944</t>
  </si>
  <si>
    <t>PICTURE_224</t>
  </si>
  <si>
    <t>pincel</t>
  </si>
  <si>
    <t>pinθel</t>
  </si>
  <si>
    <t>Paint brush</t>
  </si>
  <si>
    <t>peɪnt brʌʃ</t>
  </si>
  <si>
    <t>0.528708</t>
  </si>
  <si>
    <t xml:space="preserve"> </t>
  </si>
  <si>
    <t>job</t>
  </si>
  <si>
    <t>Inverse_Phon_Sim</t>
  </si>
  <si>
    <t>Inverse_Orth_Sim</t>
  </si>
  <si>
    <t>No_phonemes_SP</t>
  </si>
  <si>
    <t>No_phonemes_ENG</t>
  </si>
  <si>
    <t>No_graphemes_SP</t>
  </si>
  <si>
    <t>No_graphemes_ENG</t>
  </si>
  <si>
    <t>PO_Sim</t>
  </si>
  <si>
    <t>LP-LO</t>
  </si>
  <si>
    <t>HP-HO</t>
  </si>
  <si>
    <t>Bimanual_Transitions</t>
  </si>
  <si>
    <t>Inverse_Phon_Sim2</t>
  </si>
  <si>
    <t>Inverse_Orth_Sim2</t>
  </si>
  <si>
    <t>Code</t>
  </si>
  <si>
    <t>Basque_translation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</si>
</sst>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charset val="161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8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8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0" borderId="1" xfId="0" applyFont="1" applyBorder="1"/>
    <xf numFmtId="0" fontId="1" fillId="0" borderId="2" xfId="0" applyFont="1" applyBorder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0" fontId="0" fillId="3" borderId="0" xfId="0" applyFill="1"/>
    <xf numFmtId="0" fontId="3" fillId="0" borderId="4" xfId="0" applyFont="1" applyBorder="1"/>
    <xf numFmtId="2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5" xfId="0" applyFont="1" applyBorder="1"/>
    <xf numFmtId="2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2" fontId="0" fillId="0" borderId="0" xfId="0" applyNumberFormat="1"/>
    <xf numFmtId="0" fontId="3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4" borderId="2" xfId="0" applyFont="1" applyFill="1" applyBorder="1"/>
    <xf numFmtId="2" fontId="1" fillId="4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left"/>
    </xf>
    <xf numFmtId="0" fontId="1" fillId="5" borderId="2" xfId="0" applyFont="1" applyFill="1" applyBorder="1"/>
    <xf numFmtId="2" fontId="1" fillId="5" borderId="2" xfId="0" applyNumberFormat="1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2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/>
    <xf numFmtId="0" fontId="4" fillId="0" borderId="6" xfId="0" applyFont="1" applyBorder="1"/>
    <xf numFmtId="2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/>
    <xf numFmtId="2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/>
    <xf numFmtId="2" fontId="4" fillId="2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2" fontId="4" fillId="2" borderId="3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2" fontId="4" fillId="0" borderId="3" xfId="0" applyNumberFormat="1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1" fillId="7" borderId="2" xfId="0" applyFont="1" applyFill="1" applyBorder="1"/>
    <xf numFmtId="0" fontId="1" fillId="8" borderId="2" xfId="0" applyFont="1" applyFill="1" applyBorder="1"/>
    <xf numFmtId="0" fontId="1" fillId="6" borderId="1" xfId="0" applyFont="1" applyFill="1" applyBorder="1" applyAlignment="1">
      <alignment horizontal="left"/>
    </xf>
    <xf numFmtId="0" fontId="1" fillId="6" borderId="2" xfId="0" applyFont="1" applyFill="1" applyBorder="1"/>
    <xf numFmtId="2" fontId="1" fillId="6" borderId="2" xfId="0" applyNumberFormat="1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2" fontId="1" fillId="6" borderId="3" xfId="0" applyNumberFormat="1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6" xfId="0" applyFont="1" applyBorder="1"/>
    <xf numFmtId="2" fontId="1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8" borderId="0" xfId="0" applyFill="1"/>
    <xf numFmtId="10" fontId="1" fillId="0" borderId="2" xfId="0" applyNumberFormat="1" applyFont="1" applyBorder="1"/>
    <xf numFmtId="10" fontId="1" fillId="2" borderId="2" xfId="0" applyNumberFormat="1" applyFont="1" applyFill="1" applyBorder="1"/>
    <xf numFmtId="2" fontId="1" fillId="2" borderId="3" xfId="0" applyNumberFormat="1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8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2" fillId="8" borderId="0" xfId="0" applyFont="1" applyFill="1"/>
  </cellXfs>
  <cellStyles count="1">
    <cellStyle name="Normal" xfId="0" builtinId="0"/>
  </cellStyles>
  <dxfs count="1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items per semantic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Sem_cat_no!$B$1</c:f>
              <c:strCache>
                <c:ptCount val="1"/>
                <c:pt idx="0">
                  <c:v>Number of images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l-G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Sem_cat_no!$A$2:$A$9</c:f>
              <c:strCache>
                <c:ptCount val="8"/>
                <c:pt idx="0">
                  <c:v>Food</c:v>
                </c:pt>
                <c:pt idx="1">
                  <c:v>Animal</c:v>
                </c:pt>
                <c:pt idx="2">
                  <c:v>Body part</c:v>
                </c:pt>
                <c:pt idx="3">
                  <c:v>Clothes</c:v>
                </c:pt>
                <c:pt idx="4">
                  <c:v>Object </c:v>
                </c:pt>
                <c:pt idx="5">
                  <c:v>Place</c:v>
                </c:pt>
                <c:pt idx="6">
                  <c:v>Plant </c:v>
                </c:pt>
                <c:pt idx="7">
                  <c:v>Person/Occupation</c:v>
                </c:pt>
              </c:strCache>
            </c:strRef>
          </c:cat>
          <c:val>
            <c:numRef>
              <c:f>Sem_cat_no!$B$2:$B$9</c:f>
              <c:numCache>
                <c:formatCode>General</c:formatCode>
                <c:ptCount val="8"/>
                <c:pt idx="0">
                  <c:v>14</c:v>
                </c:pt>
                <c:pt idx="1">
                  <c:v>27</c:v>
                </c:pt>
                <c:pt idx="2">
                  <c:v>16</c:v>
                </c:pt>
                <c:pt idx="3">
                  <c:v>15</c:v>
                </c:pt>
                <c:pt idx="4">
                  <c:v>80</c:v>
                </c:pt>
                <c:pt idx="5">
                  <c:v>15</c:v>
                </c:pt>
                <c:pt idx="6">
                  <c:v>7</c:v>
                </c:pt>
                <c:pt idx="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E4-40B7-8690-8D6AD177C2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3511632"/>
        <c:axId val="401223136"/>
      </c:barChart>
      <c:catAx>
        <c:axId val="403511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Semantic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1223136"/>
        <c:crosses val="autoZero"/>
        <c:auto val="1"/>
        <c:lblAlgn val="ctr"/>
        <c:lblOffset val="100"/>
        <c:noMultiLvlLbl val="0"/>
      </c:catAx>
      <c:valAx>
        <c:axId val="40122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items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40351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571500</xdr:colOff>
      <xdr:row>3</xdr:row>
      <xdr:rowOff>0</xdr:rowOff>
    </xdr:from>
    <xdr:to>
      <xdr:col>19</xdr:col>
      <xdr:colOff>266700</xdr:colOff>
      <xdr:row>18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8A4C06-5852-C645-4CDA-EE554433C6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922;&#945;&#964;&#949;&#961;&#943;&#957;&#945;\Nextcloud\Multipic_Exp_1\MultiPic%20Dataset%20Open%20Materials.xlsx" TargetMode="External"/><Relationship Id="rId1" Type="http://schemas.openxmlformats.org/officeDocument/2006/relationships/externalLinkPath" Target="/GitHub/experiment1/Stimuli_design/MultiPic%20Dataset%20Open%20Material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itHub\experiment1\Stimuli_design\Phon_Orth_Similarity_11_11_022.xlsx" TargetMode="External"/><Relationship Id="rId1" Type="http://schemas.openxmlformats.org/officeDocument/2006/relationships/externalLinkPath" Target="/GitHub/experiment1/Stimuli_design/Phon_Orth_Similarity_11_11_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922;&#945;&#964;&#949;&#961;&#943;&#957;&#945;\Nextcloud\Multipic_Exp.1\Clearpond_E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922;&#945;&#964;&#949;&#961;&#943;&#957;&#945;\Nextcloud\Multipic_Exp_1\Databases\Espal_wordlist.xlsx" TargetMode="External"/><Relationship Id="rId1" Type="http://schemas.openxmlformats.org/officeDocument/2006/relationships/externalLinkPath" Target="/GitHub/experiment1/Stimuli_design/Databases/Espal_word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 DATA ALL LANGUAGES"/>
      <sheetName val="Basque"/>
    </sheetNames>
    <sheetDataSet>
      <sheetData sheetId="0"/>
      <sheetData sheetId="1">
        <row r="1">
          <cell r="A1" t="str">
            <v>Code</v>
          </cell>
          <cell r="B1" t="str">
            <v>Number of Responses</v>
          </cell>
          <cell r="C1" t="str">
            <v>H Statistic</v>
          </cell>
          <cell r="D1" t="str">
            <v>Modal Response</v>
          </cell>
        </row>
        <row r="2">
          <cell r="A2">
            <v>1</v>
          </cell>
          <cell r="B2">
            <v>80</v>
          </cell>
          <cell r="C2">
            <v>0.34037328575964598</v>
          </cell>
          <cell r="D2" t="str">
            <v>sagu</v>
          </cell>
        </row>
        <row r="3">
          <cell r="A3">
            <v>4</v>
          </cell>
          <cell r="B3">
            <v>80</v>
          </cell>
          <cell r="C3">
            <v>1.24867694379975</v>
          </cell>
          <cell r="D3" t="str">
            <v>eliza</v>
          </cell>
        </row>
        <row r="4">
          <cell r="A4">
            <v>5</v>
          </cell>
          <cell r="B4">
            <v>80</v>
          </cell>
          <cell r="C4">
            <v>1.0462312456072</v>
          </cell>
          <cell r="D4" t="str">
            <v>sorbalda</v>
          </cell>
        </row>
        <row r="5">
          <cell r="A5">
            <v>6</v>
          </cell>
          <cell r="B5">
            <v>80</v>
          </cell>
          <cell r="C5">
            <v>0</v>
          </cell>
          <cell r="D5" t="str">
            <v>kokotxa</v>
          </cell>
        </row>
        <row r="6">
          <cell r="A6">
            <v>7</v>
          </cell>
          <cell r="B6">
            <v>80</v>
          </cell>
          <cell r="C6">
            <v>1.8107388843454799</v>
          </cell>
          <cell r="D6" t="str">
            <v>maitagarri</v>
          </cell>
        </row>
        <row r="7">
          <cell r="A7">
            <v>8</v>
          </cell>
          <cell r="B7">
            <v>80</v>
          </cell>
          <cell r="C7">
            <v>0.45318373168058301</v>
          </cell>
          <cell r="D7" t="str">
            <v>hanka</v>
          </cell>
        </row>
        <row r="8">
          <cell r="A8">
            <v>9</v>
          </cell>
          <cell r="B8">
            <v>80</v>
          </cell>
          <cell r="C8">
            <v>0</v>
          </cell>
          <cell r="D8" t="str">
            <v>dutxa</v>
          </cell>
        </row>
        <row r="9">
          <cell r="A9">
            <v>11</v>
          </cell>
          <cell r="B9">
            <v>80</v>
          </cell>
          <cell r="C9">
            <v>0</v>
          </cell>
          <cell r="D9" t="str">
            <v>hanburgesa</v>
          </cell>
        </row>
        <row r="10">
          <cell r="A10">
            <v>12</v>
          </cell>
          <cell r="B10">
            <v>80</v>
          </cell>
          <cell r="C10">
            <v>1.0624522549530799</v>
          </cell>
          <cell r="D10" t="str">
            <v>sirena</v>
          </cell>
        </row>
        <row r="11">
          <cell r="A11">
            <v>14</v>
          </cell>
          <cell r="B11">
            <v>80</v>
          </cell>
          <cell r="C11">
            <v>1.1238561897747199</v>
          </cell>
          <cell r="D11" t="str">
            <v>bata</v>
          </cell>
        </row>
        <row r="12">
          <cell r="A12">
            <v>15</v>
          </cell>
          <cell r="B12">
            <v>80</v>
          </cell>
          <cell r="C12">
            <v>0</v>
          </cell>
          <cell r="D12" t="str">
            <v>lehoi</v>
          </cell>
        </row>
        <row r="13">
          <cell r="A13">
            <v>16</v>
          </cell>
          <cell r="B13">
            <v>80</v>
          </cell>
          <cell r="C13">
            <v>0.39797447877043002</v>
          </cell>
          <cell r="D13" t="str">
            <v>ehiztari</v>
          </cell>
        </row>
        <row r="14">
          <cell r="A14">
            <v>17</v>
          </cell>
          <cell r="B14">
            <v>80</v>
          </cell>
          <cell r="C14">
            <v>0</v>
          </cell>
          <cell r="D14" t="str">
            <v>deabru</v>
          </cell>
        </row>
        <row r="15">
          <cell r="A15">
            <v>19</v>
          </cell>
          <cell r="B15">
            <v>80</v>
          </cell>
          <cell r="C15">
            <v>0.88033973416464595</v>
          </cell>
          <cell r="D15" t="str">
            <v>indioilar</v>
          </cell>
        </row>
        <row r="16">
          <cell r="A16">
            <v>20</v>
          </cell>
          <cell r="B16">
            <v>80</v>
          </cell>
          <cell r="C16">
            <v>0.77880026899351495</v>
          </cell>
          <cell r="D16" t="str">
            <v>eskeleto</v>
          </cell>
        </row>
        <row r="17">
          <cell r="A17">
            <v>21</v>
          </cell>
          <cell r="B17">
            <v>80</v>
          </cell>
          <cell r="C17">
            <v>1.5483039296977501</v>
          </cell>
          <cell r="D17" t="str">
            <v>boxeolari</v>
          </cell>
        </row>
        <row r="18">
          <cell r="A18">
            <v>23</v>
          </cell>
          <cell r="B18">
            <v>80</v>
          </cell>
          <cell r="C18">
            <v>0.66901583505655704</v>
          </cell>
          <cell r="D18" t="str">
            <v>bizikleta</v>
          </cell>
        </row>
        <row r="19">
          <cell r="A19">
            <v>24</v>
          </cell>
          <cell r="B19">
            <v>80</v>
          </cell>
          <cell r="C19">
            <v>0</v>
          </cell>
          <cell r="D19" t="str">
            <v>hezur</v>
          </cell>
        </row>
        <row r="20">
          <cell r="A20">
            <v>26</v>
          </cell>
          <cell r="B20">
            <v>80</v>
          </cell>
          <cell r="C20">
            <v>0</v>
          </cell>
          <cell r="D20" t="str">
            <v>tipula</v>
          </cell>
        </row>
        <row r="21">
          <cell r="A21">
            <v>28</v>
          </cell>
          <cell r="B21">
            <v>80</v>
          </cell>
          <cell r="C21">
            <v>0.24229218908241401</v>
          </cell>
          <cell r="D21" t="str">
            <v>mikroskopio</v>
          </cell>
        </row>
        <row r="22">
          <cell r="A22">
            <v>29</v>
          </cell>
          <cell r="B22">
            <v>80</v>
          </cell>
          <cell r="C22">
            <v>0.86395953859444996</v>
          </cell>
          <cell r="D22" t="str">
            <v>bakero</v>
          </cell>
        </row>
        <row r="23">
          <cell r="A23">
            <v>30</v>
          </cell>
          <cell r="B23">
            <v>80</v>
          </cell>
          <cell r="C23">
            <v>1.2707667609717399</v>
          </cell>
          <cell r="D23" t="str">
            <v>baserria</v>
          </cell>
        </row>
        <row r="24">
          <cell r="A24">
            <v>32</v>
          </cell>
          <cell r="B24">
            <v>80</v>
          </cell>
          <cell r="C24">
            <v>0</v>
          </cell>
          <cell r="D24" t="str">
            <v>koro</v>
          </cell>
        </row>
        <row r="25">
          <cell r="A25">
            <v>35</v>
          </cell>
          <cell r="B25">
            <v>80</v>
          </cell>
          <cell r="C25">
            <v>0</v>
          </cell>
          <cell r="D25" t="str">
            <v>belarri</v>
          </cell>
        </row>
        <row r="26">
          <cell r="A26">
            <v>38</v>
          </cell>
          <cell r="B26">
            <v>80</v>
          </cell>
          <cell r="C26">
            <v>0.48043345745296201</v>
          </cell>
          <cell r="D26" t="str">
            <v>armiarma</v>
          </cell>
        </row>
        <row r="27">
          <cell r="A27">
            <v>39</v>
          </cell>
          <cell r="B27">
            <v>80</v>
          </cell>
          <cell r="C27">
            <v>1.6087968943189399</v>
          </cell>
          <cell r="D27" t="str">
            <v>poltsiko</v>
          </cell>
        </row>
        <row r="28">
          <cell r="A28">
            <v>42</v>
          </cell>
          <cell r="B28">
            <v>80</v>
          </cell>
          <cell r="C28">
            <v>1.4721385264644899</v>
          </cell>
          <cell r="D28" t="str">
            <v>udare</v>
          </cell>
        </row>
        <row r="29">
          <cell r="A29">
            <v>43</v>
          </cell>
          <cell r="B29">
            <v>80</v>
          </cell>
          <cell r="C29">
            <v>0.766901292241014</v>
          </cell>
          <cell r="D29" t="str">
            <v>orrazi</v>
          </cell>
        </row>
        <row r="30">
          <cell r="A30">
            <v>46</v>
          </cell>
          <cell r="B30">
            <v>80</v>
          </cell>
          <cell r="C30">
            <v>0.65830822212723605</v>
          </cell>
          <cell r="D30" t="str">
            <v>destorniladore</v>
          </cell>
        </row>
        <row r="31">
          <cell r="A31">
            <v>47</v>
          </cell>
          <cell r="B31">
            <v>80</v>
          </cell>
          <cell r="C31">
            <v>0.96123660472287498</v>
          </cell>
          <cell r="D31" t="str">
            <v>basamortu</v>
          </cell>
        </row>
        <row r="32">
          <cell r="A32">
            <v>48</v>
          </cell>
          <cell r="B32">
            <v>80</v>
          </cell>
          <cell r="C32">
            <v>0.72696258133539704</v>
          </cell>
          <cell r="D32" t="str">
            <v>suhiltzaile</v>
          </cell>
        </row>
        <row r="33">
          <cell r="A33">
            <v>52</v>
          </cell>
          <cell r="B33">
            <v>80</v>
          </cell>
          <cell r="C33">
            <v>0</v>
          </cell>
          <cell r="D33" t="str">
            <v>zerra</v>
          </cell>
        </row>
        <row r="34">
          <cell r="A34">
            <v>53</v>
          </cell>
          <cell r="B34">
            <v>80</v>
          </cell>
          <cell r="C34">
            <v>0.701206584453966</v>
          </cell>
          <cell r="D34" t="str">
            <v>poltsa</v>
          </cell>
        </row>
        <row r="35">
          <cell r="A35">
            <v>55</v>
          </cell>
          <cell r="B35">
            <v>80</v>
          </cell>
          <cell r="C35">
            <v>0.52033461578575901</v>
          </cell>
          <cell r="D35" t="str">
            <v>itzal</v>
          </cell>
        </row>
        <row r="36">
          <cell r="A36">
            <v>56</v>
          </cell>
          <cell r="B36">
            <v>80</v>
          </cell>
          <cell r="C36">
            <v>0.81625540880879999</v>
          </cell>
          <cell r="D36" t="str">
            <v>ukondo</v>
          </cell>
        </row>
        <row r="37">
          <cell r="A37">
            <v>57</v>
          </cell>
          <cell r="B37">
            <v>80</v>
          </cell>
          <cell r="C37">
            <v>1.45807416829475</v>
          </cell>
          <cell r="D37" t="str">
            <v>zigilu</v>
          </cell>
        </row>
        <row r="38">
          <cell r="A38">
            <v>61</v>
          </cell>
          <cell r="B38">
            <v>80</v>
          </cell>
          <cell r="C38">
            <v>1.2278876257383899</v>
          </cell>
          <cell r="D38" t="str">
            <v>egunkari</v>
          </cell>
        </row>
        <row r="39">
          <cell r="A39">
            <v>62</v>
          </cell>
          <cell r="B39">
            <v>80</v>
          </cell>
          <cell r="C39">
            <v>1.1223353858313401</v>
          </cell>
          <cell r="D39" t="str">
            <v>listor</v>
          </cell>
        </row>
        <row r="40">
          <cell r="A40">
            <v>63</v>
          </cell>
          <cell r="B40">
            <v>80</v>
          </cell>
          <cell r="C40">
            <v>0.470956313625853</v>
          </cell>
          <cell r="D40" t="str">
            <v>balkoi</v>
          </cell>
        </row>
        <row r="41">
          <cell r="A41">
            <v>64</v>
          </cell>
          <cell r="B41">
            <v>80</v>
          </cell>
          <cell r="C41">
            <v>0.17033057560105899</v>
          </cell>
          <cell r="D41" t="str">
            <v>botoi</v>
          </cell>
        </row>
        <row r="42">
          <cell r="A42">
            <v>66</v>
          </cell>
          <cell r="B42">
            <v>80</v>
          </cell>
          <cell r="C42">
            <v>0</v>
          </cell>
          <cell r="D42" t="str">
            <v>teilatu</v>
          </cell>
        </row>
        <row r="43">
          <cell r="A43">
            <v>67</v>
          </cell>
          <cell r="B43">
            <v>80</v>
          </cell>
          <cell r="C43">
            <v>0.173781322679432</v>
          </cell>
          <cell r="D43" t="str">
            <v>sofa</v>
          </cell>
        </row>
        <row r="44">
          <cell r="A44">
            <v>68</v>
          </cell>
          <cell r="B44">
            <v>80</v>
          </cell>
          <cell r="C44">
            <v>0.17033057560105899</v>
          </cell>
          <cell r="D44" t="str">
            <v>kandel</v>
          </cell>
        </row>
        <row r="45">
          <cell r="A45">
            <v>69</v>
          </cell>
          <cell r="B45">
            <v>80</v>
          </cell>
          <cell r="C45">
            <v>0.72192809488736198</v>
          </cell>
          <cell r="D45" t="str">
            <v>platano</v>
          </cell>
        </row>
        <row r="46">
          <cell r="A46">
            <v>70</v>
          </cell>
          <cell r="B46">
            <v>80</v>
          </cell>
          <cell r="C46">
            <v>0.66891282508840899</v>
          </cell>
          <cell r="D46" t="str">
            <v>orkestra</v>
          </cell>
        </row>
        <row r="47">
          <cell r="A47">
            <v>71</v>
          </cell>
          <cell r="B47">
            <v>80</v>
          </cell>
          <cell r="C47">
            <v>0.91842420085921395</v>
          </cell>
          <cell r="D47" t="str">
            <v>kopa</v>
          </cell>
        </row>
        <row r="48">
          <cell r="A48">
            <v>72</v>
          </cell>
          <cell r="B48">
            <v>80</v>
          </cell>
          <cell r="C48">
            <v>0</v>
          </cell>
          <cell r="D48" t="str">
            <v>gazta</v>
          </cell>
        </row>
        <row r="49">
          <cell r="A49">
            <v>73</v>
          </cell>
          <cell r="B49">
            <v>80</v>
          </cell>
          <cell r="C49">
            <v>0</v>
          </cell>
          <cell r="D49" t="str">
            <v>olatu</v>
          </cell>
        </row>
        <row r="50">
          <cell r="A50">
            <v>74</v>
          </cell>
          <cell r="B50">
            <v>80</v>
          </cell>
          <cell r="C50">
            <v>0</v>
          </cell>
          <cell r="D50" t="str">
            <v>traktore</v>
          </cell>
        </row>
        <row r="51">
          <cell r="A51">
            <v>75</v>
          </cell>
          <cell r="B51">
            <v>80</v>
          </cell>
          <cell r="C51">
            <v>1.3092927383248101</v>
          </cell>
          <cell r="D51" t="str">
            <v>globo</v>
          </cell>
        </row>
        <row r="52">
          <cell r="A52">
            <v>76</v>
          </cell>
          <cell r="B52">
            <v>80</v>
          </cell>
          <cell r="C52">
            <v>0</v>
          </cell>
          <cell r="D52" t="str">
            <v>brokoli</v>
          </cell>
        </row>
        <row r="53">
          <cell r="A53">
            <v>77</v>
          </cell>
          <cell r="B53">
            <v>80</v>
          </cell>
          <cell r="C53">
            <v>0.70627408918760004</v>
          </cell>
          <cell r="D53" t="str">
            <v>gamelu</v>
          </cell>
        </row>
        <row r="54">
          <cell r="A54">
            <v>78</v>
          </cell>
          <cell r="B54">
            <v>80</v>
          </cell>
          <cell r="C54">
            <v>0</v>
          </cell>
          <cell r="D54" t="str">
            <v>giltza</v>
          </cell>
        </row>
        <row r="55">
          <cell r="A55">
            <v>79</v>
          </cell>
          <cell r="B55">
            <v>80</v>
          </cell>
          <cell r="C55">
            <v>0</v>
          </cell>
          <cell r="D55" t="str">
            <v>teklatu</v>
          </cell>
        </row>
        <row r="56">
          <cell r="A56">
            <v>80</v>
          </cell>
          <cell r="B56">
            <v>80</v>
          </cell>
          <cell r="C56">
            <v>0</v>
          </cell>
          <cell r="D56" t="str">
            <v>helikoptero</v>
          </cell>
        </row>
        <row r="57">
          <cell r="A57">
            <v>81</v>
          </cell>
          <cell r="B57">
            <v>80</v>
          </cell>
          <cell r="C57">
            <v>1.38294574165913</v>
          </cell>
          <cell r="D57" t="str">
            <v>haragi</v>
          </cell>
        </row>
        <row r="58">
          <cell r="A58">
            <v>82</v>
          </cell>
          <cell r="B58">
            <v>80</v>
          </cell>
          <cell r="C58">
            <v>1.2949950747154599</v>
          </cell>
          <cell r="D58" t="str">
            <v>parke</v>
          </cell>
        </row>
        <row r="59">
          <cell r="A59">
            <v>83</v>
          </cell>
          <cell r="B59">
            <v>80</v>
          </cell>
          <cell r="C59">
            <v>0</v>
          </cell>
          <cell r="D59" t="str">
            <v>bihotz</v>
          </cell>
        </row>
        <row r="60">
          <cell r="A60">
            <v>84</v>
          </cell>
          <cell r="B60">
            <v>80</v>
          </cell>
          <cell r="C60">
            <v>0.80469244740911805</v>
          </cell>
          <cell r="D60" t="str">
            <v>maskara</v>
          </cell>
        </row>
        <row r="61">
          <cell r="A61">
            <v>85</v>
          </cell>
          <cell r="B61">
            <v>80</v>
          </cell>
          <cell r="C61">
            <v>0.23292785546981201</v>
          </cell>
          <cell r="D61" t="str">
            <v>diamante</v>
          </cell>
        </row>
        <row r="62">
          <cell r="A62">
            <v>86</v>
          </cell>
          <cell r="B62">
            <v>80</v>
          </cell>
          <cell r="C62">
            <v>0.99819587904280904</v>
          </cell>
          <cell r="D62" t="str">
            <v>ibai</v>
          </cell>
        </row>
        <row r="63">
          <cell r="A63">
            <v>87</v>
          </cell>
          <cell r="B63">
            <v>80</v>
          </cell>
          <cell r="C63">
            <v>0</v>
          </cell>
          <cell r="D63" t="str">
            <v>robota</v>
          </cell>
        </row>
        <row r="64">
          <cell r="A64">
            <v>88</v>
          </cell>
          <cell r="B64">
            <v>80</v>
          </cell>
          <cell r="C64">
            <v>1.06953865814906</v>
          </cell>
          <cell r="D64" t="str">
            <v>muleta</v>
          </cell>
        </row>
        <row r="65">
          <cell r="A65">
            <v>90</v>
          </cell>
          <cell r="B65">
            <v>80</v>
          </cell>
          <cell r="C65">
            <v>0.23070995569147601</v>
          </cell>
          <cell r="D65" t="str">
            <v>ilargi</v>
          </cell>
        </row>
        <row r="66">
          <cell r="A66">
            <v>91</v>
          </cell>
          <cell r="B66">
            <v>80</v>
          </cell>
          <cell r="C66">
            <v>0</v>
          </cell>
          <cell r="D66" t="str">
            <v>aho</v>
          </cell>
        </row>
        <row r="67">
          <cell r="A67">
            <v>92</v>
          </cell>
          <cell r="B67">
            <v>80</v>
          </cell>
          <cell r="C67">
            <v>0.95201425165408604</v>
          </cell>
          <cell r="D67" t="str">
            <v>foka</v>
          </cell>
        </row>
        <row r="68">
          <cell r="A68">
            <v>96</v>
          </cell>
          <cell r="B68">
            <v>80</v>
          </cell>
          <cell r="C68">
            <v>0.63706981968589205</v>
          </cell>
          <cell r="D68" t="str">
            <v>esne</v>
          </cell>
        </row>
        <row r="69">
          <cell r="A69">
            <v>97</v>
          </cell>
          <cell r="B69">
            <v>80</v>
          </cell>
          <cell r="C69">
            <v>0.17033057560105899</v>
          </cell>
          <cell r="D69" t="str">
            <v>luma</v>
          </cell>
        </row>
        <row r="70">
          <cell r="A70">
            <v>98</v>
          </cell>
          <cell r="B70">
            <v>80</v>
          </cell>
          <cell r="C70">
            <v>0.23292785546981201</v>
          </cell>
          <cell r="D70" t="str">
            <v>tigre</v>
          </cell>
        </row>
        <row r="71">
          <cell r="A71">
            <v>99</v>
          </cell>
          <cell r="B71">
            <v>80</v>
          </cell>
          <cell r="C71">
            <v>0.59167277858232703</v>
          </cell>
          <cell r="D71" t="str">
            <v>koadro</v>
          </cell>
        </row>
        <row r="72">
          <cell r="A72">
            <v>100</v>
          </cell>
          <cell r="B72">
            <v>80</v>
          </cell>
          <cell r="C72">
            <v>0.16866093149667</v>
          </cell>
          <cell r="D72" t="str">
            <v>sudur</v>
          </cell>
        </row>
        <row r="73">
          <cell r="A73">
            <v>101</v>
          </cell>
          <cell r="B73">
            <v>80</v>
          </cell>
          <cell r="C73">
            <v>0</v>
          </cell>
          <cell r="D73" t="str">
            <v>bateria</v>
          </cell>
        </row>
        <row r="74">
          <cell r="A74">
            <v>102</v>
          </cell>
          <cell r="B74">
            <v>80</v>
          </cell>
          <cell r="C74">
            <v>0.79889615213118303</v>
          </cell>
          <cell r="D74" t="str">
            <v>ilea</v>
          </cell>
        </row>
        <row r="75">
          <cell r="A75">
            <v>104</v>
          </cell>
          <cell r="B75">
            <v>80</v>
          </cell>
          <cell r="C75">
            <v>0.86546989742859204</v>
          </cell>
          <cell r="D75" t="str">
            <v>igogailu</v>
          </cell>
        </row>
        <row r="76">
          <cell r="A76">
            <v>105</v>
          </cell>
          <cell r="B76">
            <v>80</v>
          </cell>
          <cell r="C76">
            <v>0.36121925041845998</v>
          </cell>
          <cell r="D76" t="str">
            <v>orein</v>
          </cell>
        </row>
        <row r="77">
          <cell r="A77">
            <v>106</v>
          </cell>
          <cell r="B77">
            <v>80</v>
          </cell>
          <cell r="C77">
            <v>1.6331110144765499</v>
          </cell>
          <cell r="D77" t="str">
            <v>negutegi</v>
          </cell>
        </row>
        <row r="78">
          <cell r="A78">
            <v>107</v>
          </cell>
          <cell r="B78">
            <v>80</v>
          </cell>
          <cell r="C78">
            <v>0.61530303692945398</v>
          </cell>
          <cell r="D78" t="str">
            <v>saxofoi</v>
          </cell>
        </row>
        <row r="79">
          <cell r="A79">
            <v>108</v>
          </cell>
          <cell r="B79">
            <v>80</v>
          </cell>
          <cell r="C79">
            <v>0.80609146961922196</v>
          </cell>
          <cell r="D79" t="str">
            <v>egutegi</v>
          </cell>
        </row>
        <row r="80">
          <cell r="A80">
            <v>110</v>
          </cell>
          <cell r="B80">
            <v>80</v>
          </cell>
          <cell r="C80">
            <v>0</v>
          </cell>
          <cell r="D80" t="str">
            <v>mahai</v>
          </cell>
        </row>
        <row r="81">
          <cell r="A81">
            <v>111</v>
          </cell>
          <cell r="B81">
            <v>80</v>
          </cell>
          <cell r="C81">
            <v>0.87969757827751605</v>
          </cell>
          <cell r="D81" t="str">
            <v>dragoi</v>
          </cell>
        </row>
        <row r="82">
          <cell r="A82">
            <v>112</v>
          </cell>
          <cell r="B82">
            <v>80</v>
          </cell>
          <cell r="C82">
            <v>0</v>
          </cell>
          <cell r="D82" t="str">
            <v>birika</v>
          </cell>
        </row>
        <row r="83">
          <cell r="A83">
            <v>113</v>
          </cell>
          <cell r="B83">
            <v>80</v>
          </cell>
          <cell r="C83">
            <v>1.0263150990031</v>
          </cell>
          <cell r="D83" t="str">
            <v>laku</v>
          </cell>
        </row>
        <row r="84">
          <cell r="A84">
            <v>114</v>
          </cell>
          <cell r="B84">
            <v>80</v>
          </cell>
          <cell r="C84">
            <v>0.17203694935311301</v>
          </cell>
          <cell r="D84" t="str">
            <v>fruta</v>
          </cell>
        </row>
        <row r="85">
          <cell r="A85">
            <v>115</v>
          </cell>
          <cell r="B85">
            <v>80</v>
          </cell>
          <cell r="C85">
            <v>0.29747224891928897</v>
          </cell>
          <cell r="D85" t="str">
            <v>hipopotamo</v>
          </cell>
        </row>
        <row r="86">
          <cell r="A86">
            <v>116</v>
          </cell>
          <cell r="B86">
            <v>80</v>
          </cell>
          <cell r="C86">
            <v>0.23292785546981201</v>
          </cell>
          <cell r="D86" t="str">
            <v>sua</v>
          </cell>
        </row>
        <row r="87">
          <cell r="A87">
            <v>117</v>
          </cell>
          <cell r="B87">
            <v>80</v>
          </cell>
          <cell r="C87">
            <v>1.00454723324364</v>
          </cell>
          <cell r="D87" t="str">
            <v>zaldi</v>
          </cell>
        </row>
        <row r="88">
          <cell r="A88">
            <v>118</v>
          </cell>
          <cell r="B88">
            <v>80</v>
          </cell>
          <cell r="C88">
            <v>0.79672583440725997</v>
          </cell>
          <cell r="D88" t="str">
            <v>zauri</v>
          </cell>
        </row>
        <row r="89">
          <cell r="A89">
            <v>121</v>
          </cell>
          <cell r="B89">
            <v>80</v>
          </cell>
          <cell r="C89">
            <v>0</v>
          </cell>
          <cell r="D89" t="str">
            <v>labirinto</v>
          </cell>
        </row>
        <row r="90">
          <cell r="A90">
            <v>122</v>
          </cell>
          <cell r="B90">
            <v>80</v>
          </cell>
          <cell r="C90">
            <v>0.719385644163125</v>
          </cell>
          <cell r="D90" t="str">
            <v>aulki</v>
          </cell>
        </row>
        <row r="91">
          <cell r="A91">
            <v>124</v>
          </cell>
          <cell r="B91">
            <v>80</v>
          </cell>
          <cell r="C91">
            <v>1.86013691130578</v>
          </cell>
          <cell r="D91" t="str">
            <v>izkina</v>
          </cell>
        </row>
        <row r="92">
          <cell r="A92">
            <v>125</v>
          </cell>
          <cell r="B92">
            <v>80</v>
          </cell>
          <cell r="C92">
            <v>0</v>
          </cell>
          <cell r="D92" t="str">
            <v>kiwi</v>
          </cell>
        </row>
        <row r="93">
          <cell r="A93">
            <v>126</v>
          </cell>
          <cell r="B93">
            <v>80</v>
          </cell>
          <cell r="C93">
            <v>1.8572686791534001</v>
          </cell>
          <cell r="D93" t="str">
            <v>parakaidas</v>
          </cell>
        </row>
        <row r="94">
          <cell r="A94">
            <v>127</v>
          </cell>
          <cell r="B94">
            <v>80</v>
          </cell>
          <cell r="C94">
            <v>0</v>
          </cell>
          <cell r="D94" t="str">
            <v>zaku</v>
          </cell>
        </row>
        <row r="95">
          <cell r="A95">
            <v>128</v>
          </cell>
          <cell r="B95">
            <v>80</v>
          </cell>
          <cell r="C95">
            <v>1.5906230033739499</v>
          </cell>
          <cell r="D95" t="str">
            <v>panpin</v>
          </cell>
        </row>
        <row r="96">
          <cell r="A96">
            <v>129</v>
          </cell>
          <cell r="B96">
            <v>80</v>
          </cell>
          <cell r="C96">
            <v>0.23292785546981201</v>
          </cell>
          <cell r="D96" t="str">
            <v>limoi</v>
          </cell>
        </row>
        <row r="97">
          <cell r="A97">
            <v>131</v>
          </cell>
          <cell r="B97">
            <v>80</v>
          </cell>
          <cell r="C97">
            <v>1.53098085424979</v>
          </cell>
          <cell r="D97" t="str">
            <v>abeslari</v>
          </cell>
        </row>
        <row r="98">
          <cell r="A98">
            <v>137</v>
          </cell>
          <cell r="B98">
            <v>80</v>
          </cell>
          <cell r="C98">
            <v>0.92650444562329903</v>
          </cell>
          <cell r="D98" t="str">
            <v>arratoi</v>
          </cell>
        </row>
        <row r="99">
          <cell r="A99">
            <v>138</v>
          </cell>
          <cell r="B99">
            <v>80</v>
          </cell>
          <cell r="C99">
            <v>1.57967759659753</v>
          </cell>
          <cell r="D99" t="str">
            <v>hozkailu</v>
          </cell>
        </row>
        <row r="100">
          <cell r="A100">
            <v>139</v>
          </cell>
          <cell r="B100">
            <v>80</v>
          </cell>
          <cell r="C100">
            <v>0</v>
          </cell>
          <cell r="D100" t="str">
            <v>mamu</v>
          </cell>
        </row>
        <row r="101">
          <cell r="A101">
            <v>140</v>
          </cell>
          <cell r="B101">
            <v>80</v>
          </cell>
          <cell r="C101">
            <v>1.6719296496570399</v>
          </cell>
          <cell r="D101" t="str">
            <v>iturri</v>
          </cell>
        </row>
        <row r="102">
          <cell r="A102">
            <v>141</v>
          </cell>
          <cell r="B102">
            <v>80</v>
          </cell>
          <cell r="C102">
            <v>0.56899559358928098</v>
          </cell>
          <cell r="D102" t="str">
            <v>eguzki-lore</v>
          </cell>
        </row>
        <row r="103">
          <cell r="A103">
            <v>142</v>
          </cell>
          <cell r="B103">
            <v>80</v>
          </cell>
          <cell r="C103">
            <v>0.99432904559338797</v>
          </cell>
          <cell r="D103" t="str">
            <v>edalontzi</v>
          </cell>
        </row>
        <row r="104">
          <cell r="A104">
            <v>145</v>
          </cell>
          <cell r="B104">
            <v>80</v>
          </cell>
          <cell r="C104">
            <v>2.0048793066946899</v>
          </cell>
          <cell r="D104" t="str">
            <v>zakarrontzi</v>
          </cell>
        </row>
        <row r="105">
          <cell r="A105">
            <v>146</v>
          </cell>
          <cell r="B105">
            <v>80</v>
          </cell>
          <cell r="C105">
            <v>1.2256061313642299</v>
          </cell>
          <cell r="D105" t="str">
            <v>azeituna</v>
          </cell>
        </row>
        <row r="106">
          <cell r="A106">
            <v>148</v>
          </cell>
          <cell r="B106">
            <v>80</v>
          </cell>
          <cell r="C106">
            <v>0</v>
          </cell>
          <cell r="D106" t="str">
            <v>pipa</v>
          </cell>
        </row>
        <row r="107">
          <cell r="A107">
            <v>149</v>
          </cell>
          <cell r="B107">
            <v>80</v>
          </cell>
          <cell r="C107">
            <v>1.24568630672461</v>
          </cell>
          <cell r="D107" t="str">
            <v>zarraila</v>
          </cell>
        </row>
        <row r="108">
          <cell r="A108">
            <v>150</v>
          </cell>
          <cell r="B108">
            <v>80</v>
          </cell>
          <cell r="C108">
            <v>0.59072391864064999</v>
          </cell>
          <cell r="D108" t="str">
            <v>putzu</v>
          </cell>
        </row>
        <row r="109">
          <cell r="A109">
            <v>152</v>
          </cell>
          <cell r="B109">
            <v>80</v>
          </cell>
          <cell r="C109">
            <v>0.95204028013987896</v>
          </cell>
          <cell r="D109" t="str">
            <v>barraskilo</v>
          </cell>
        </row>
        <row r="110">
          <cell r="A110">
            <v>153</v>
          </cell>
          <cell r="B110">
            <v>80</v>
          </cell>
          <cell r="C110">
            <v>0.17033057560105899</v>
          </cell>
          <cell r="D110" t="str">
            <v>zigarro</v>
          </cell>
        </row>
        <row r="111">
          <cell r="A111">
            <v>154</v>
          </cell>
          <cell r="B111">
            <v>80</v>
          </cell>
          <cell r="C111">
            <v>0.47299536229314798</v>
          </cell>
          <cell r="D111" t="str">
            <v>domino</v>
          </cell>
        </row>
        <row r="112">
          <cell r="A112">
            <v>155</v>
          </cell>
          <cell r="B112">
            <v>80</v>
          </cell>
          <cell r="C112">
            <v>0.54961133817458596</v>
          </cell>
          <cell r="D112" t="str">
            <v>bala</v>
          </cell>
        </row>
        <row r="113">
          <cell r="A113">
            <v>156</v>
          </cell>
          <cell r="B113">
            <v>80</v>
          </cell>
          <cell r="C113">
            <v>0.614571561223626</v>
          </cell>
          <cell r="D113" t="str">
            <v>txirula</v>
          </cell>
        </row>
        <row r="114">
          <cell r="A114">
            <v>159</v>
          </cell>
          <cell r="B114">
            <v>80</v>
          </cell>
          <cell r="C114">
            <v>0</v>
          </cell>
          <cell r="D114" t="str">
            <v>bizar</v>
          </cell>
        </row>
        <row r="115">
          <cell r="A115">
            <v>160</v>
          </cell>
          <cell r="B115">
            <v>80</v>
          </cell>
          <cell r="C115">
            <v>0.858040334779272</v>
          </cell>
          <cell r="D115" t="str">
            <v>karretila</v>
          </cell>
        </row>
        <row r="116">
          <cell r="A116">
            <v>161</v>
          </cell>
          <cell r="B116">
            <v>80</v>
          </cell>
          <cell r="C116">
            <v>0</v>
          </cell>
          <cell r="D116" t="str">
            <v>gorbata</v>
          </cell>
        </row>
        <row r="117">
          <cell r="A117">
            <v>163</v>
          </cell>
          <cell r="B117">
            <v>80</v>
          </cell>
          <cell r="C117">
            <v>0</v>
          </cell>
          <cell r="D117" t="str">
            <v>koko</v>
          </cell>
        </row>
        <row r="118">
          <cell r="A118">
            <v>164</v>
          </cell>
          <cell r="B118">
            <v>80</v>
          </cell>
          <cell r="C118">
            <v>1.2466330220245501</v>
          </cell>
          <cell r="D118" t="str">
            <v>errepide</v>
          </cell>
        </row>
        <row r="119">
          <cell r="A119">
            <v>165</v>
          </cell>
          <cell r="B119">
            <v>80</v>
          </cell>
          <cell r="C119">
            <v>0.81625540880879999</v>
          </cell>
          <cell r="D119" t="str">
            <v>gerriko</v>
          </cell>
        </row>
        <row r="120">
          <cell r="A120">
            <v>167</v>
          </cell>
          <cell r="B120">
            <v>80</v>
          </cell>
          <cell r="C120">
            <v>1.5529438713705901</v>
          </cell>
          <cell r="D120" t="str">
            <v>lokarri</v>
          </cell>
        </row>
        <row r="121">
          <cell r="A121">
            <v>169</v>
          </cell>
          <cell r="B121">
            <v>80</v>
          </cell>
          <cell r="C121">
            <v>1.0813929610822299</v>
          </cell>
          <cell r="D121" t="str">
            <v>bizkar</v>
          </cell>
        </row>
        <row r="122">
          <cell r="A122">
            <v>170</v>
          </cell>
          <cell r="B122">
            <v>80</v>
          </cell>
          <cell r="C122">
            <v>0.80609146961922196</v>
          </cell>
          <cell r="D122" t="str">
            <v>porteria</v>
          </cell>
        </row>
        <row r="123">
          <cell r="A123">
            <v>172</v>
          </cell>
          <cell r="B123">
            <v>80</v>
          </cell>
          <cell r="C123">
            <v>0.177389453185997</v>
          </cell>
          <cell r="D123" t="str">
            <v>loro</v>
          </cell>
        </row>
        <row r="124">
          <cell r="A124">
            <v>173</v>
          </cell>
          <cell r="B124">
            <v>80</v>
          </cell>
          <cell r="C124">
            <v>0.701206584453966</v>
          </cell>
          <cell r="D124" t="str">
            <v>farmazia</v>
          </cell>
        </row>
        <row r="125">
          <cell r="A125">
            <v>175</v>
          </cell>
          <cell r="B125">
            <v>80</v>
          </cell>
          <cell r="C125">
            <v>0.815218225063159</v>
          </cell>
          <cell r="D125" t="str">
            <v>margolari</v>
          </cell>
        </row>
        <row r="126">
          <cell r="A126">
            <v>177</v>
          </cell>
          <cell r="B126">
            <v>80</v>
          </cell>
          <cell r="C126">
            <v>1.1577443821019899</v>
          </cell>
          <cell r="D126" t="str">
            <v>perretxiko</v>
          </cell>
        </row>
        <row r="127">
          <cell r="A127">
            <v>178</v>
          </cell>
          <cell r="B127">
            <v>80</v>
          </cell>
          <cell r="C127">
            <v>0</v>
          </cell>
          <cell r="D127" t="str">
            <v>zubi</v>
          </cell>
        </row>
        <row r="128">
          <cell r="A128">
            <v>181</v>
          </cell>
          <cell r="B128">
            <v>80</v>
          </cell>
          <cell r="C128">
            <v>0.983708262623185</v>
          </cell>
          <cell r="D128" t="str">
            <v>triangelu</v>
          </cell>
        </row>
        <row r="129">
          <cell r="A129">
            <v>184</v>
          </cell>
          <cell r="B129">
            <v>80</v>
          </cell>
          <cell r="C129">
            <v>0.17033057560105899</v>
          </cell>
          <cell r="D129" t="str">
            <v>sorgin</v>
          </cell>
        </row>
        <row r="130">
          <cell r="A130">
            <v>185</v>
          </cell>
          <cell r="B130">
            <v>80</v>
          </cell>
          <cell r="C130">
            <v>0.16866093149667</v>
          </cell>
          <cell r="D130" t="str">
            <v>baloi</v>
          </cell>
        </row>
        <row r="131">
          <cell r="A131">
            <v>186</v>
          </cell>
          <cell r="B131">
            <v>80</v>
          </cell>
          <cell r="C131">
            <v>0.28290479297989102</v>
          </cell>
          <cell r="D131" t="str">
            <v>motorra</v>
          </cell>
        </row>
        <row r="132">
          <cell r="A132">
            <v>187</v>
          </cell>
          <cell r="B132">
            <v>80</v>
          </cell>
          <cell r="C132">
            <v>0.30039141736478098</v>
          </cell>
          <cell r="D132" t="str">
            <v>hiri</v>
          </cell>
        </row>
        <row r="133">
          <cell r="A133">
            <v>189</v>
          </cell>
          <cell r="B133">
            <v>80</v>
          </cell>
          <cell r="C133">
            <v>0.47299536229314798</v>
          </cell>
          <cell r="D133" t="str">
            <v>krokodilo</v>
          </cell>
        </row>
        <row r="134">
          <cell r="A134">
            <v>190</v>
          </cell>
          <cell r="B134">
            <v>80</v>
          </cell>
          <cell r="C134">
            <v>0</v>
          </cell>
          <cell r="D134" t="str">
            <v>euri</v>
          </cell>
        </row>
        <row r="135">
          <cell r="A135">
            <v>191</v>
          </cell>
          <cell r="B135">
            <v>80</v>
          </cell>
          <cell r="C135">
            <v>0.16866093149667</v>
          </cell>
          <cell r="D135" t="str">
            <v>entsalada</v>
          </cell>
        </row>
        <row r="136">
          <cell r="A136">
            <v>192</v>
          </cell>
          <cell r="B136">
            <v>80</v>
          </cell>
          <cell r="C136">
            <v>0</v>
          </cell>
          <cell r="D136" t="str">
            <v>termometro</v>
          </cell>
        </row>
        <row r="137">
          <cell r="A137">
            <v>193</v>
          </cell>
          <cell r="B137">
            <v>80</v>
          </cell>
          <cell r="C137">
            <v>0.95562226935314698</v>
          </cell>
          <cell r="D137" t="str">
            <v>medusa</v>
          </cell>
        </row>
        <row r="138">
          <cell r="A138">
            <v>196</v>
          </cell>
          <cell r="B138">
            <v>80</v>
          </cell>
          <cell r="C138">
            <v>0.66901583505655704</v>
          </cell>
          <cell r="D138" t="str">
            <v>ordenagailu</v>
          </cell>
        </row>
        <row r="139">
          <cell r="A139">
            <v>197</v>
          </cell>
          <cell r="B139">
            <v>80</v>
          </cell>
          <cell r="C139">
            <v>0</v>
          </cell>
          <cell r="D139" t="str">
            <v>konpas</v>
          </cell>
        </row>
        <row r="140">
          <cell r="A140">
            <v>199</v>
          </cell>
          <cell r="B140">
            <v>80</v>
          </cell>
          <cell r="C140">
            <v>0.17203694935311301</v>
          </cell>
          <cell r="D140" t="str">
            <v>gona</v>
          </cell>
        </row>
        <row r="141">
          <cell r="A141">
            <v>200</v>
          </cell>
          <cell r="B141">
            <v>80</v>
          </cell>
          <cell r="C141">
            <v>0</v>
          </cell>
          <cell r="D141" t="str">
            <v>tronpeta</v>
          </cell>
        </row>
        <row r="142">
          <cell r="A142">
            <v>204</v>
          </cell>
          <cell r="B142">
            <v>80</v>
          </cell>
          <cell r="C142">
            <v>0.98037750871569096</v>
          </cell>
          <cell r="D142" t="str">
            <v>inprimagailu</v>
          </cell>
        </row>
        <row r="143">
          <cell r="A143">
            <v>205</v>
          </cell>
          <cell r="B143">
            <v>80</v>
          </cell>
          <cell r="C143">
            <v>1.29272103351652</v>
          </cell>
          <cell r="D143" t="str">
            <v>orkatil</v>
          </cell>
        </row>
        <row r="144">
          <cell r="A144">
            <v>207</v>
          </cell>
          <cell r="B144">
            <v>80</v>
          </cell>
          <cell r="C144">
            <v>1.92148647084345</v>
          </cell>
          <cell r="D144" t="str">
            <v>zikatriz</v>
          </cell>
        </row>
        <row r="145">
          <cell r="A145">
            <v>208</v>
          </cell>
          <cell r="B145">
            <v>80</v>
          </cell>
          <cell r="C145">
            <v>0.16866093149667</v>
          </cell>
          <cell r="D145" t="str">
            <v>mikrofono</v>
          </cell>
        </row>
        <row r="146">
          <cell r="A146">
            <v>209</v>
          </cell>
          <cell r="B146">
            <v>80</v>
          </cell>
          <cell r="C146">
            <v>0.26982844770307401</v>
          </cell>
          <cell r="D146" t="str">
            <v>bumeran</v>
          </cell>
        </row>
        <row r="147">
          <cell r="A147">
            <v>210</v>
          </cell>
          <cell r="B147">
            <v>80</v>
          </cell>
          <cell r="C147">
            <v>2.3244259825062601</v>
          </cell>
          <cell r="D147" t="str">
            <v>titi</v>
          </cell>
        </row>
        <row r="148">
          <cell r="A148">
            <v>212</v>
          </cell>
          <cell r="B148">
            <v>80</v>
          </cell>
          <cell r="C148">
            <v>0.621065406068398</v>
          </cell>
          <cell r="D148" t="str">
            <v>balantza</v>
          </cell>
        </row>
        <row r="149">
          <cell r="A149">
            <v>216</v>
          </cell>
          <cell r="B149">
            <v>80</v>
          </cell>
          <cell r="C149">
            <v>0.69388965713914796</v>
          </cell>
          <cell r="D149" t="str">
            <v>mailu</v>
          </cell>
        </row>
        <row r="150">
          <cell r="A150">
            <v>218</v>
          </cell>
          <cell r="B150">
            <v>80</v>
          </cell>
          <cell r="C150">
            <v>1.8458038657258899</v>
          </cell>
          <cell r="D150" t="str">
            <v>fardel</v>
          </cell>
        </row>
        <row r="151">
          <cell r="A151">
            <v>220</v>
          </cell>
          <cell r="B151">
            <v>80</v>
          </cell>
          <cell r="C151">
            <v>1.5873639024314701</v>
          </cell>
          <cell r="D151" t="str">
            <v>kaia</v>
          </cell>
        </row>
        <row r="152">
          <cell r="A152">
            <v>221</v>
          </cell>
          <cell r="B152">
            <v>80</v>
          </cell>
          <cell r="C152">
            <v>0</v>
          </cell>
          <cell r="D152" t="str">
            <v>txupete</v>
          </cell>
        </row>
        <row r="153">
          <cell r="A153">
            <v>222</v>
          </cell>
          <cell r="B153">
            <v>80</v>
          </cell>
          <cell r="C153">
            <v>0</v>
          </cell>
          <cell r="D153" t="str">
            <v>belaun</v>
          </cell>
        </row>
        <row r="154">
          <cell r="A154">
            <v>223</v>
          </cell>
          <cell r="B154">
            <v>80</v>
          </cell>
          <cell r="C154">
            <v>0</v>
          </cell>
          <cell r="D154" t="str">
            <v>kremailera</v>
          </cell>
        </row>
        <row r="155">
          <cell r="A155">
            <v>224</v>
          </cell>
          <cell r="B155">
            <v>80</v>
          </cell>
          <cell r="C155">
            <v>0</v>
          </cell>
          <cell r="D155" t="str">
            <v>pintzel</v>
          </cell>
        </row>
        <row r="156">
          <cell r="A156">
            <v>226</v>
          </cell>
          <cell r="B156">
            <v>80</v>
          </cell>
          <cell r="C156">
            <v>0.28639695711595597</v>
          </cell>
          <cell r="D156" t="str">
            <v>trena</v>
          </cell>
        </row>
        <row r="157">
          <cell r="A157">
            <v>227</v>
          </cell>
          <cell r="B157">
            <v>80</v>
          </cell>
          <cell r="C157">
            <v>1.5546333396193699</v>
          </cell>
          <cell r="D157" t="str">
            <v>horma</v>
          </cell>
        </row>
        <row r="158">
          <cell r="A158">
            <v>228</v>
          </cell>
          <cell r="B158">
            <v>80</v>
          </cell>
          <cell r="C158">
            <v>1.1798406393690599</v>
          </cell>
          <cell r="D158" t="str">
            <v>ezkurra</v>
          </cell>
        </row>
        <row r="159">
          <cell r="A159">
            <v>231</v>
          </cell>
          <cell r="B159">
            <v>80</v>
          </cell>
          <cell r="C159">
            <v>1.4012468023606699</v>
          </cell>
          <cell r="D159" t="str">
            <v>bular</v>
          </cell>
        </row>
        <row r="160">
          <cell r="A160">
            <v>232</v>
          </cell>
          <cell r="B160">
            <v>80</v>
          </cell>
          <cell r="C160">
            <v>0.75624521893427099</v>
          </cell>
          <cell r="D160" t="str">
            <v>llama</v>
          </cell>
        </row>
        <row r="161">
          <cell r="A161">
            <v>233</v>
          </cell>
          <cell r="B161">
            <v>80</v>
          </cell>
          <cell r="C161">
            <v>0.62427410101303804</v>
          </cell>
          <cell r="D161" t="str">
            <v>gatza</v>
          </cell>
        </row>
        <row r="162">
          <cell r="A162">
            <v>234</v>
          </cell>
          <cell r="B162">
            <v>80</v>
          </cell>
          <cell r="C162">
            <v>0.26982844770307401</v>
          </cell>
          <cell r="D162" t="str">
            <v>plater</v>
          </cell>
        </row>
        <row r="163">
          <cell r="A163">
            <v>235</v>
          </cell>
          <cell r="B163">
            <v>80</v>
          </cell>
          <cell r="C163">
            <v>0.97663491144401005</v>
          </cell>
          <cell r="D163" t="str">
            <v>orratz</v>
          </cell>
        </row>
        <row r="164">
          <cell r="A164">
            <v>236</v>
          </cell>
          <cell r="B164">
            <v>80</v>
          </cell>
          <cell r="C164">
            <v>0.16866093149667</v>
          </cell>
          <cell r="D164" t="str">
            <v>girafa</v>
          </cell>
        </row>
        <row r="165">
          <cell r="A165">
            <v>238</v>
          </cell>
          <cell r="B165">
            <v>80</v>
          </cell>
          <cell r="C165">
            <v>0</v>
          </cell>
          <cell r="D165" t="str">
            <v>puzzle</v>
          </cell>
        </row>
        <row r="166">
          <cell r="A166">
            <v>239</v>
          </cell>
          <cell r="B166">
            <v>80</v>
          </cell>
          <cell r="C166">
            <v>1.5452099152901</v>
          </cell>
          <cell r="D166" t="str">
            <v>emakume</v>
          </cell>
        </row>
        <row r="167">
          <cell r="A167">
            <v>240</v>
          </cell>
          <cell r="B167">
            <v>80</v>
          </cell>
          <cell r="C167">
            <v>0.92026567053538999</v>
          </cell>
          <cell r="D167" t="str">
            <v>dorre</v>
          </cell>
        </row>
        <row r="168">
          <cell r="A168">
            <v>241</v>
          </cell>
          <cell r="B168">
            <v>80</v>
          </cell>
          <cell r="C168">
            <v>0</v>
          </cell>
          <cell r="D168" t="str">
            <v>begi</v>
          </cell>
        </row>
        <row r="169">
          <cell r="A169">
            <v>242</v>
          </cell>
          <cell r="B169">
            <v>80</v>
          </cell>
          <cell r="C169">
            <v>1.35304719377826</v>
          </cell>
          <cell r="D169" t="str">
            <v>postari</v>
          </cell>
        </row>
        <row r="170">
          <cell r="A170">
            <v>244</v>
          </cell>
          <cell r="B170">
            <v>80</v>
          </cell>
          <cell r="C170">
            <v>0</v>
          </cell>
          <cell r="D170" t="str">
            <v>bonbila</v>
          </cell>
        </row>
        <row r="171">
          <cell r="A171">
            <v>245</v>
          </cell>
          <cell r="B171">
            <v>80</v>
          </cell>
          <cell r="C171">
            <v>0.84758467982457397</v>
          </cell>
          <cell r="D171" t="str">
            <v>sustraiak</v>
          </cell>
        </row>
        <row r="172">
          <cell r="A172">
            <v>246</v>
          </cell>
          <cell r="B172">
            <v>80</v>
          </cell>
          <cell r="C172">
            <v>0.75661856827317997</v>
          </cell>
          <cell r="D172" t="str">
            <v>dentista</v>
          </cell>
        </row>
        <row r="173">
          <cell r="A173">
            <v>247</v>
          </cell>
          <cell r="B173">
            <v>80</v>
          </cell>
          <cell r="C173">
            <v>1.11385607425183</v>
          </cell>
          <cell r="D173" t="str">
            <v>burmuin</v>
          </cell>
        </row>
        <row r="174">
          <cell r="A174">
            <v>248</v>
          </cell>
          <cell r="B174">
            <v>80</v>
          </cell>
          <cell r="C174">
            <v>1.4749870333545401</v>
          </cell>
          <cell r="D174" t="str">
            <v>gurdi</v>
          </cell>
        </row>
        <row r="175">
          <cell r="A175">
            <v>249</v>
          </cell>
          <cell r="B175">
            <v>80</v>
          </cell>
          <cell r="C175">
            <v>0</v>
          </cell>
          <cell r="D175" t="str">
            <v>patata</v>
          </cell>
        </row>
        <row r="176">
          <cell r="A176">
            <v>252</v>
          </cell>
          <cell r="B176">
            <v>80</v>
          </cell>
          <cell r="C176">
            <v>0.88840747814545096</v>
          </cell>
          <cell r="D176" t="str">
            <v>sugandila (hainbat aldaera)</v>
          </cell>
        </row>
        <row r="177">
          <cell r="A177">
            <v>253</v>
          </cell>
          <cell r="B177">
            <v>80</v>
          </cell>
          <cell r="C177">
            <v>0.96454765891432304</v>
          </cell>
          <cell r="D177" t="str">
            <v>koro</v>
          </cell>
        </row>
        <row r="178">
          <cell r="A178">
            <v>254</v>
          </cell>
          <cell r="B178">
            <v>80</v>
          </cell>
          <cell r="C178">
            <v>1.3293330813384101</v>
          </cell>
          <cell r="D178" t="str">
            <v>harakin</v>
          </cell>
        </row>
        <row r="179">
          <cell r="A179">
            <v>255</v>
          </cell>
          <cell r="B179">
            <v>80</v>
          </cell>
          <cell r="C179">
            <v>0</v>
          </cell>
          <cell r="D179" t="str">
            <v>pala</v>
          </cell>
        </row>
        <row r="180">
          <cell r="A180">
            <v>258</v>
          </cell>
          <cell r="B180">
            <v>80</v>
          </cell>
          <cell r="C180">
            <v>0.337290066617013</v>
          </cell>
          <cell r="D180" t="str">
            <v>ogi</v>
          </cell>
        </row>
        <row r="181">
          <cell r="A181">
            <v>260</v>
          </cell>
          <cell r="B181">
            <v>80</v>
          </cell>
          <cell r="C181">
            <v>0.89603823253455706</v>
          </cell>
          <cell r="D181" t="str">
            <v>irla</v>
          </cell>
        </row>
        <row r="182">
          <cell r="A182">
            <v>261</v>
          </cell>
          <cell r="B182">
            <v>80</v>
          </cell>
          <cell r="C182">
            <v>0.173781322679432</v>
          </cell>
          <cell r="D182" t="str">
            <v>farola</v>
          </cell>
        </row>
        <row r="183">
          <cell r="A183">
            <v>264</v>
          </cell>
          <cell r="B183">
            <v>80</v>
          </cell>
          <cell r="C183">
            <v>0.23070995569147601</v>
          </cell>
          <cell r="D183" t="str">
            <v>esku</v>
          </cell>
        </row>
        <row r="184">
          <cell r="A184">
            <v>265</v>
          </cell>
          <cell r="B184">
            <v>80</v>
          </cell>
          <cell r="C184">
            <v>0.173781322679432</v>
          </cell>
          <cell r="D184" t="str">
            <v>pirata</v>
          </cell>
        </row>
        <row r="185">
          <cell r="A185">
            <v>266</v>
          </cell>
          <cell r="B185">
            <v>80</v>
          </cell>
          <cell r="C185">
            <v>0.16866093149667</v>
          </cell>
          <cell r="D185" t="str">
            <v>takoi</v>
          </cell>
        </row>
        <row r="186">
          <cell r="A186">
            <v>267</v>
          </cell>
          <cell r="B186">
            <v>80</v>
          </cell>
          <cell r="C186">
            <v>0.75117146657559497</v>
          </cell>
          <cell r="D186" t="str">
            <v>korapilo</v>
          </cell>
        </row>
        <row r="187">
          <cell r="A187">
            <v>268</v>
          </cell>
          <cell r="B187">
            <v>80</v>
          </cell>
          <cell r="C187">
            <v>0</v>
          </cell>
          <cell r="D187" t="str">
            <v>ohe</v>
          </cell>
        </row>
        <row r="188">
          <cell r="A188">
            <v>269</v>
          </cell>
          <cell r="B188">
            <v>80</v>
          </cell>
          <cell r="C188">
            <v>1.0612781244591301</v>
          </cell>
          <cell r="D188" t="str">
            <v>kameleoi</v>
          </cell>
        </row>
        <row r="189">
          <cell r="A189">
            <v>270</v>
          </cell>
          <cell r="B189">
            <v>80</v>
          </cell>
          <cell r="C189">
            <v>0.80095910773690504</v>
          </cell>
          <cell r="D189" t="str">
            <v>gezi</v>
          </cell>
        </row>
        <row r="190">
          <cell r="A190">
            <v>271</v>
          </cell>
          <cell r="B190">
            <v>80</v>
          </cell>
          <cell r="C190">
            <v>0.468995593589281</v>
          </cell>
          <cell r="D190" t="str">
            <v>untxi</v>
          </cell>
        </row>
        <row r="191">
          <cell r="A191">
            <v>273</v>
          </cell>
          <cell r="B191">
            <v>80</v>
          </cell>
          <cell r="C191">
            <v>0.16866093149667</v>
          </cell>
          <cell r="D191" t="str">
            <v>autobus</v>
          </cell>
        </row>
        <row r="192">
          <cell r="A192">
            <v>275</v>
          </cell>
          <cell r="B192">
            <v>80</v>
          </cell>
          <cell r="C192">
            <v>0.175565025857502</v>
          </cell>
          <cell r="D192" t="str">
            <v>kapa</v>
          </cell>
        </row>
        <row r="193">
          <cell r="A193">
            <v>277</v>
          </cell>
          <cell r="B193">
            <v>80</v>
          </cell>
          <cell r="C193">
            <v>1.1130844267034801</v>
          </cell>
          <cell r="D193" t="str">
            <v>peluka</v>
          </cell>
        </row>
        <row r="194">
          <cell r="A194">
            <v>278</v>
          </cell>
          <cell r="B194">
            <v>80</v>
          </cell>
          <cell r="C194">
            <v>0.55012340603519405</v>
          </cell>
          <cell r="D194" t="str">
            <v>danbor</v>
          </cell>
        </row>
        <row r="195">
          <cell r="A195">
            <v>281</v>
          </cell>
          <cell r="B195">
            <v>80</v>
          </cell>
          <cell r="C195">
            <v>0.32984607020714601</v>
          </cell>
          <cell r="D195" t="str">
            <v>granada</v>
          </cell>
        </row>
        <row r="196">
          <cell r="A196">
            <v>282</v>
          </cell>
          <cell r="B196">
            <v>80</v>
          </cell>
          <cell r="C196">
            <v>0.51594693000744696</v>
          </cell>
          <cell r="D196" t="str">
            <v>errinozeronte</v>
          </cell>
        </row>
        <row r="197">
          <cell r="A197">
            <v>283</v>
          </cell>
          <cell r="B197">
            <v>80</v>
          </cell>
          <cell r="C197">
            <v>0</v>
          </cell>
          <cell r="D197" t="str">
            <v>limusina</v>
          </cell>
        </row>
        <row r="198">
          <cell r="A198">
            <v>285</v>
          </cell>
          <cell r="B198">
            <v>80</v>
          </cell>
          <cell r="C198">
            <v>0.94030478121861805</v>
          </cell>
          <cell r="D198" t="str">
            <v>azenario</v>
          </cell>
        </row>
        <row r="199">
          <cell r="A199">
            <v>286</v>
          </cell>
          <cell r="B199">
            <v>80</v>
          </cell>
          <cell r="C199">
            <v>0</v>
          </cell>
          <cell r="D199" t="str">
            <v>tunel</v>
          </cell>
        </row>
        <row r="200">
          <cell r="A200">
            <v>288</v>
          </cell>
          <cell r="B200">
            <v>80</v>
          </cell>
          <cell r="C200">
            <v>0.52295609249450004</v>
          </cell>
          <cell r="D200" t="str">
            <v>baso</v>
          </cell>
        </row>
        <row r="201">
          <cell r="A201">
            <v>289</v>
          </cell>
          <cell r="B201">
            <v>80</v>
          </cell>
          <cell r="C201">
            <v>1.42266824283906</v>
          </cell>
          <cell r="D201" t="str">
            <v>azazkal</v>
          </cell>
        </row>
        <row r="202">
          <cell r="A202">
            <v>290</v>
          </cell>
          <cell r="B202">
            <v>80</v>
          </cell>
          <cell r="C202">
            <v>0</v>
          </cell>
          <cell r="D202" t="str">
            <v>kaiola</v>
          </cell>
        </row>
        <row r="203">
          <cell r="A203">
            <v>291</v>
          </cell>
          <cell r="B203">
            <v>80</v>
          </cell>
          <cell r="C203">
            <v>1.4722341190419099</v>
          </cell>
          <cell r="D203" t="str">
            <v>gatillo</v>
          </cell>
        </row>
        <row r="204">
          <cell r="A204">
            <v>292</v>
          </cell>
          <cell r="B204">
            <v>80</v>
          </cell>
          <cell r="C204">
            <v>0.76683793168563197</v>
          </cell>
          <cell r="D204" t="str">
            <v>iparrorratz</v>
          </cell>
        </row>
        <row r="205">
          <cell r="A205">
            <v>293</v>
          </cell>
          <cell r="B205">
            <v>80</v>
          </cell>
          <cell r="C205">
            <v>0</v>
          </cell>
          <cell r="D205" t="str">
            <v>dinosauro</v>
          </cell>
        </row>
        <row r="206">
          <cell r="A206">
            <v>294</v>
          </cell>
          <cell r="B206">
            <v>80</v>
          </cell>
          <cell r="C206">
            <v>1.66034786412255</v>
          </cell>
          <cell r="D206" t="str">
            <v>iturgin</v>
          </cell>
        </row>
        <row r="207">
          <cell r="A207">
            <v>295</v>
          </cell>
          <cell r="B207">
            <v>80</v>
          </cell>
          <cell r="C207">
            <v>0.39845927409523502</v>
          </cell>
          <cell r="D207" t="str">
            <v>bandera</v>
          </cell>
        </row>
        <row r="208">
          <cell r="A208">
            <v>297</v>
          </cell>
          <cell r="B208">
            <v>80</v>
          </cell>
          <cell r="C208">
            <v>0.60984030471640005</v>
          </cell>
          <cell r="D208" t="str">
            <v>hegazkin</v>
          </cell>
        </row>
        <row r="209">
          <cell r="A209">
            <v>299</v>
          </cell>
          <cell r="B209">
            <v>80</v>
          </cell>
          <cell r="C209">
            <v>0.61436944588675602</v>
          </cell>
          <cell r="D209" t="str">
            <v>ostruka</v>
          </cell>
        </row>
        <row r="210">
          <cell r="A210">
            <v>301</v>
          </cell>
          <cell r="B210">
            <v>80</v>
          </cell>
          <cell r="C210">
            <v>0</v>
          </cell>
          <cell r="D210" t="str">
            <v>ezpata</v>
          </cell>
        </row>
        <row r="211">
          <cell r="A211">
            <v>303</v>
          </cell>
          <cell r="B211">
            <v>80</v>
          </cell>
          <cell r="C211">
            <v>0.16866093149667</v>
          </cell>
          <cell r="D211" t="str">
            <v>mimo</v>
          </cell>
        </row>
        <row r="212">
          <cell r="A212">
            <v>307</v>
          </cell>
          <cell r="B212">
            <v>80</v>
          </cell>
          <cell r="C212">
            <v>1.2366993776622599</v>
          </cell>
          <cell r="D212" t="str">
            <v>hego</v>
          </cell>
        </row>
        <row r="213">
          <cell r="A213">
            <v>308</v>
          </cell>
          <cell r="B213">
            <v>80</v>
          </cell>
          <cell r="C213">
            <v>0</v>
          </cell>
          <cell r="D213" t="str">
            <v>dado</v>
          </cell>
        </row>
        <row r="214">
          <cell r="A214">
            <v>309</v>
          </cell>
          <cell r="B214">
            <v>80</v>
          </cell>
          <cell r="C214">
            <v>1.0221381403460199</v>
          </cell>
          <cell r="D214" t="str">
            <v>izozki</v>
          </cell>
        </row>
        <row r="215">
          <cell r="A215">
            <v>310</v>
          </cell>
          <cell r="B215">
            <v>80</v>
          </cell>
          <cell r="C215">
            <v>2.59384187775865</v>
          </cell>
          <cell r="D215" t="str">
            <v>gutun</v>
          </cell>
        </row>
        <row r="216">
          <cell r="A216">
            <v>311</v>
          </cell>
          <cell r="B216">
            <v>80</v>
          </cell>
          <cell r="C216">
            <v>1.53348224660697</v>
          </cell>
          <cell r="D216" t="str">
            <v>kutxilla</v>
          </cell>
        </row>
        <row r="217">
          <cell r="A217">
            <v>312</v>
          </cell>
          <cell r="B217">
            <v>80</v>
          </cell>
          <cell r="C217">
            <v>0</v>
          </cell>
          <cell r="D217" t="str">
            <v>lore</v>
          </cell>
        </row>
        <row r="218">
          <cell r="A218">
            <v>313</v>
          </cell>
          <cell r="B218">
            <v>80</v>
          </cell>
          <cell r="C218">
            <v>2.0059030288965101</v>
          </cell>
          <cell r="D218" t="str">
            <v>pelukeroa</v>
          </cell>
        </row>
        <row r="219">
          <cell r="A219">
            <v>314</v>
          </cell>
          <cell r="B219">
            <v>80</v>
          </cell>
          <cell r="C219">
            <v>1.0860944276411599</v>
          </cell>
          <cell r="D219" t="str">
            <v>kolonia</v>
          </cell>
        </row>
        <row r="220">
          <cell r="A220">
            <v>315</v>
          </cell>
          <cell r="B220">
            <v>80</v>
          </cell>
          <cell r="C220">
            <v>1.39506559624064</v>
          </cell>
          <cell r="D220" t="str">
            <v>obni</v>
          </cell>
        </row>
        <row r="221">
          <cell r="A221">
            <v>317</v>
          </cell>
          <cell r="B221">
            <v>80</v>
          </cell>
          <cell r="C221">
            <v>1.2346647659868599</v>
          </cell>
          <cell r="D221" t="str">
            <v>militarra</v>
          </cell>
        </row>
        <row r="222">
          <cell r="A222">
            <v>318</v>
          </cell>
          <cell r="B222">
            <v>80</v>
          </cell>
          <cell r="C222">
            <v>0.63030185998877997</v>
          </cell>
          <cell r="D222" t="str">
            <v>hosto</v>
          </cell>
        </row>
        <row r="223">
          <cell r="A223">
            <v>319</v>
          </cell>
          <cell r="B223">
            <v>80</v>
          </cell>
          <cell r="C223">
            <v>0</v>
          </cell>
          <cell r="D223" t="str">
            <v>behi</v>
          </cell>
        </row>
        <row r="224">
          <cell r="A224">
            <v>320</v>
          </cell>
          <cell r="B224">
            <v>80</v>
          </cell>
          <cell r="C224">
            <v>0.34037328575964598</v>
          </cell>
          <cell r="D224" t="str">
            <v>eliza</v>
          </cell>
        </row>
        <row r="225">
          <cell r="A225">
            <v>323</v>
          </cell>
          <cell r="B225">
            <v>80</v>
          </cell>
          <cell r="C225">
            <v>0.54799000809397203</v>
          </cell>
          <cell r="D225" t="str">
            <v>hontz</v>
          </cell>
        </row>
        <row r="226">
          <cell r="A226">
            <v>324</v>
          </cell>
          <cell r="B226">
            <v>80</v>
          </cell>
          <cell r="C226">
            <v>0</v>
          </cell>
          <cell r="D226" t="str">
            <v>arrain</v>
          </cell>
        </row>
        <row r="227">
          <cell r="A227">
            <v>326</v>
          </cell>
          <cell r="B227">
            <v>80</v>
          </cell>
          <cell r="C227">
            <v>0</v>
          </cell>
          <cell r="D227" t="str">
            <v>tomate</v>
          </cell>
        </row>
        <row r="228">
          <cell r="A228">
            <v>327</v>
          </cell>
          <cell r="B228">
            <v>80</v>
          </cell>
          <cell r="C228">
            <v>0</v>
          </cell>
          <cell r="D228" t="str">
            <v>kasko</v>
          </cell>
        </row>
        <row r="229">
          <cell r="A229">
            <v>330</v>
          </cell>
          <cell r="B229">
            <v>80</v>
          </cell>
          <cell r="C229">
            <v>0.306424729870515</v>
          </cell>
          <cell r="D229" t="str">
            <v>krokodilo</v>
          </cell>
        </row>
        <row r="230">
          <cell r="A230">
            <v>331</v>
          </cell>
          <cell r="B230">
            <v>80</v>
          </cell>
          <cell r="C230">
            <v>1.7002771116290301</v>
          </cell>
          <cell r="D230" t="str">
            <v>sujetadore</v>
          </cell>
        </row>
        <row r="231">
          <cell r="A231">
            <v>335</v>
          </cell>
          <cell r="B231">
            <v>80</v>
          </cell>
          <cell r="C231">
            <v>1.06822531688835</v>
          </cell>
          <cell r="D231" t="str">
            <v>gurina</v>
          </cell>
        </row>
        <row r="232">
          <cell r="A232">
            <v>336</v>
          </cell>
          <cell r="B232">
            <v>80</v>
          </cell>
          <cell r="C232">
            <v>0.34037328575964598</v>
          </cell>
          <cell r="D232" t="str">
            <v>erregela</v>
          </cell>
        </row>
        <row r="233">
          <cell r="A233">
            <v>337</v>
          </cell>
          <cell r="B233">
            <v>80</v>
          </cell>
          <cell r="C233">
            <v>0.64880403896846905</v>
          </cell>
          <cell r="D233" t="str">
            <v>munstro</v>
          </cell>
        </row>
        <row r="234">
          <cell r="A234">
            <v>338</v>
          </cell>
          <cell r="B234">
            <v>80</v>
          </cell>
          <cell r="C234">
            <v>0.47299536229314798</v>
          </cell>
          <cell r="D234" t="str">
            <v>opari</v>
          </cell>
        </row>
        <row r="235">
          <cell r="A235">
            <v>340</v>
          </cell>
          <cell r="B235">
            <v>80</v>
          </cell>
          <cell r="C235">
            <v>0</v>
          </cell>
          <cell r="D235" t="str">
            <v>izpilu</v>
          </cell>
        </row>
        <row r="236">
          <cell r="A236">
            <v>341</v>
          </cell>
          <cell r="B236">
            <v>80</v>
          </cell>
          <cell r="C236">
            <v>0.31933738653397198</v>
          </cell>
          <cell r="D236" t="str">
            <v>aleta</v>
          </cell>
        </row>
        <row r="237">
          <cell r="A237">
            <v>342</v>
          </cell>
          <cell r="B237">
            <v>80</v>
          </cell>
          <cell r="C237">
            <v>0.41388892150942802</v>
          </cell>
          <cell r="D237" t="str">
            <v>gau</v>
          </cell>
        </row>
        <row r="238">
          <cell r="A238">
            <v>343</v>
          </cell>
          <cell r="B238">
            <v>80</v>
          </cell>
          <cell r="C238">
            <v>0</v>
          </cell>
          <cell r="D238" t="str">
            <v>botila</v>
          </cell>
        </row>
        <row r="239">
          <cell r="A239">
            <v>346</v>
          </cell>
          <cell r="B239">
            <v>80</v>
          </cell>
          <cell r="C239">
            <v>0</v>
          </cell>
          <cell r="D239" t="str">
            <v>sare</v>
          </cell>
        </row>
        <row r="240">
          <cell r="A240">
            <v>348</v>
          </cell>
          <cell r="B240">
            <v>80</v>
          </cell>
          <cell r="C240">
            <v>0</v>
          </cell>
          <cell r="D240" t="str">
            <v>piper</v>
          </cell>
        </row>
        <row r="241">
          <cell r="A241">
            <v>349</v>
          </cell>
          <cell r="B241">
            <v>80</v>
          </cell>
          <cell r="C241">
            <v>0.98813119264003002</v>
          </cell>
          <cell r="D241" t="str">
            <v>kandadu</v>
          </cell>
        </row>
        <row r="242">
          <cell r="A242">
            <v>350</v>
          </cell>
          <cell r="B242">
            <v>80</v>
          </cell>
          <cell r="C242">
            <v>0.17203694935311301</v>
          </cell>
          <cell r="D242" t="str">
            <v>biblia</v>
          </cell>
        </row>
        <row r="243">
          <cell r="A243">
            <v>351</v>
          </cell>
          <cell r="B243">
            <v>80</v>
          </cell>
          <cell r="C243">
            <v>0.50828403199630101</v>
          </cell>
          <cell r="D243" t="str">
            <v>tximeleta</v>
          </cell>
        </row>
        <row r="244">
          <cell r="A244">
            <v>353</v>
          </cell>
          <cell r="B244">
            <v>80</v>
          </cell>
          <cell r="C244">
            <v>0.55515010907382001</v>
          </cell>
          <cell r="D244" t="str">
            <v>kamiseta</v>
          </cell>
        </row>
        <row r="245">
          <cell r="A245">
            <v>354</v>
          </cell>
          <cell r="B245">
            <v>80</v>
          </cell>
          <cell r="C245">
            <v>0.57496197318599196</v>
          </cell>
          <cell r="D245" t="str">
            <v>ahuntz</v>
          </cell>
        </row>
        <row r="246">
          <cell r="A246">
            <v>357</v>
          </cell>
          <cell r="B246">
            <v>80</v>
          </cell>
          <cell r="C246">
            <v>0</v>
          </cell>
          <cell r="D246" t="str">
            <v>gitar</v>
          </cell>
        </row>
        <row r="247">
          <cell r="A247">
            <v>358</v>
          </cell>
          <cell r="B247">
            <v>80</v>
          </cell>
          <cell r="C247">
            <v>0.83540652544604999</v>
          </cell>
          <cell r="D247" t="str">
            <v>kotxe</v>
          </cell>
        </row>
        <row r="248">
          <cell r="A248">
            <v>359</v>
          </cell>
          <cell r="B248">
            <v>80</v>
          </cell>
          <cell r="C248">
            <v>1.1027763590737201</v>
          </cell>
          <cell r="D248" t="str">
            <v>labana</v>
          </cell>
        </row>
        <row r="249">
          <cell r="A249">
            <v>361</v>
          </cell>
          <cell r="B249">
            <v>80</v>
          </cell>
          <cell r="C249">
            <v>0.72696258133539704</v>
          </cell>
          <cell r="D249" t="str">
            <v>izurde</v>
          </cell>
        </row>
        <row r="250">
          <cell r="A250">
            <v>362</v>
          </cell>
          <cell r="B250">
            <v>80</v>
          </cell>
          <cell r="C250">
            <v>0.999549110825248</v>
          </cell>
          <cell r="D250" t="str">
            <v>piszina</v>
          </cell>
        </row>
        <row r="251">
          <cell r="A251">
            <v>363</v>
          </cell>
          <cell r="B251">
            <v>80</v>
          </cell>
          <cell r="C251">
            <v>1.1839856872664101</v>
          </cell>
          <cell r="D251" t="str">
            <v>bentiladore</v>
          </cell>
        </row>
        <row r="252">
          <cell r="A252">
            <v>365</v>
          </cell>
          <cell r="B252">
            <v>80</v>
          </cell>
          <cell r="C252">
            <v>1.0923679048777799</v>
          </cell>
          <cell r="D252" t="str">
            <v>triku</v>
          </cell>
        </row>
        <row r="253">
          <cell r="A253">
            <v>367</v>
          </cell>
          <cell r="B253">
            <v>80</v>
          </cell>
          <cell r="C253">
            <v>0.95978162362674002</v>
          </cell>
          <cell r="D253" t="str">
            <v>lantza</v>
          </cell>
        </row>
        <row r="254">
          <cell r="A254">
            <v>368</v>
          </cell>
          <cell r="B254">
            <v>80</v>
          </cell>
          <cell r="C254">
            <v>0.177389453185997</v>
          </cell>
          <cell r="D254" t="str">
            <v>abaniko</v>
          </cell>
        </row>
        <row r="255">
          <cell r="A255">
            <v>369</v>
          </cell>
          <cell r="B255">
            <v>80</v>
          </cell>
          <cell r="C255">
            <v>1.7837719439610999</v>
          </cell>
          <cell r="D255" t="str">
            <v>lapiko</v>
          </cell>
        </row>
        <row r="256">
          <cell r="A256">
            <v>370</v>
          </cell>
          <cell r="B256">
            <v>80</v>
          </cell>
          <cell r="C256">
            <v>0.766421261625161</v>
          </cell>
          <cell r="D256" t="str">
            <v>eskorpioi</v>
          </cell>
        </row>
        <row r="257">
          <cell r="A257">
            <v>373</v>
          </cell>
          <cell r="B257">
            <v>80</v>
          </cell>
          <cell r="C257">
            <v>1.35922004266812</v>
          </cell>
          <cell r="D257" t="str">
            <v>azalore</v>
          </cell>
        </row>
        <row r="258">
          <cell r="A258">
            <v>376</v>
          </cell>
          <cell r="B258">
            <v>80</v>
          </cell>
          <cell r="C258">
            <v>0.68413771345944796</v>
          </cell>
          <cell r="D258" t="str">
            <v>eskultore</v>
          </cell>
        </row>
        <row r="259">
          <cell r="A259">
            <v>378</v>
          </cell>
          <cell r="B259">
            <v>80</v>
          </cell>
          <cell r="C259">
            <v>2.3645005508910999</v>
          </cell>
          <cell r="D259" t="str">
            <v>langosta</v>
          </cell>
        </row>
        <row r="260">
          <cell r="A260">
            <v>379</v>
          </cell>
          <cell r="B260">
            <v>80</v>
          </cell>
          <cell r="C260">
            <v>0</v>
          </cell>
          <cell r="D260" t="str">
            <v>zebra</v>
          </cell>
        </row>
        <row r="261">
          <cell r="A261">
            <v>380</v>
          </cell>
          <cell r="B261">
            <v>80</v>
          </cell>
          <cell r="C261">
            <v>0.40182585502892798</v>
          </cell>
          <cell r="D261" t="str">
            <v>gorila</v>
          </cell>
        </row>
        <row r="262">
          <cell r="A262">
            <v>381</v>
          </cell>
          <cell r="B262">
            <v>80</v>
          </cell>
          <cell r="C262">
            <v>0.701206584453966</v>
          </cell>
          <cell r="D262" t="str">
            <v>marrubi</v>
          </cell>
        </row>
        <row r="263">
          <cell r="A263">
            <v>383</v>
          </cell>
          <cell r="B263">
            <v>80</v>
          </cell>
          <cell r="C263">
            <v>0.40182585502892798</v>
          </cell>
          <cell r="D263" t="str">
            <v>txanpon</v>
          </cell>
        </row>
        <row r="264">
          <cell r="A264">
            <v>386</v>
          </cell>
          <cell r="B264">
            <v>80</v>
          </cell>
          <cell r="C264">
            <v>0.707343667963653</v>
          </cell>
          <cell r="D264" t="str">
            <v>bonba</v>
          </cell>
        </row>
        <row r="265">
          <cell r="A265">
            <v>387</v>
          </cell>
          <cell r="B265">
            <v>80</v>
          </cell>
          <cell r="C265">
            <v>0.89603823253455706</v>
          </cell>
          <cell r="D265" t="str">
            <v>grapagailu</v>
          </cell>
        </row>
        <row r="266">
          <cell r="A266">
            <v>388</v>
          </cell>
          <cell r="B266">
            <v>80</v>
          </cell>
          <cell r="C266">
            <v>0.77934983729208396</v>
          </cell>
          <cell r="D266" t="str">
            <v>poltsa</v>
          </cell>
        </row>
        <row r="267">
          <cell r="A267">
            <v>390</v>
          </cell>
          <cell r="B267">
            <v>80</v>
          </cell>
          <cell r="C267">
            <v>0.97262556515520204</v>
          </cell>
          <cell r="D267" t="str">
            <v>elur</v>
          </cell>
        </row>
        <row r="268">
          <cell r="A268">
            <v>391</v>
          </cell>
          <cell r="B268">
            <v>80</v>
          </cell>
          <cell r="C268">
            <v>0.17033057560105899</v>
          </cell>
          <cell r="D268" t="str">
            <v>kate</v>
          </cell>
        </row>
        <row r="269">
          <cell r="A269">
            <v>392</v>
          </cell>
          <cell r="B269">
            <v>80</v>
          </cell>
          <cell r="C269">
            <v>2.1689105297432798</v>
          </cell>
          <cell r="D269" t="str">
            <v>tetera</v>
          </cell>
        </row>
        <row r="270">
          <cell r="A270">
            <v>397</v>
          </cell>
          <cell r="B270">
            <v>80</v>
          </cell>
          <cell r="C270">
            <v>1.01364057824468</v>
          </cell>
          <cell r="D270" t="str">
            <v>piku</v>
          </cell>
        </row>
        <row r="271">
          <cell r="A271">
            <v>398</v>
          </cell>
          <cell r="B271">
            <v>80</v>
          </cell>
          <cell r="C271">
            <v>0</v>
          </cell>
          <cell r="D271" t="str">
            <v>bolante</v>
          </cell>
        </row>
        <row r="272">
          <cell r="A272">
            <v>399</v>
          </cell>
          <cell r="B272">
            <v>80</v>
          </cell>
          <cell r="C272">
            <v>0.88515502721002204</v>
          </cell>
          <cell r="D272" t="str">
            <v>dantzari</v>
          </cell>
        </row>
        <row r="273">
          <cell r="A273">
            <v>400</v>
          </cell>
          <cell r="B273">
            <v>80</v>
          </cell>
          <cell r="C273">
            <v>0.552495114325111</v>
          </cell>
          <cell r="D273" t="str">
            <v>ahate</v>
          </cell>
        </row>
        <row r="274">
          <cell r="A274">
            <v>404</v>
          </cell>
          <cell r="B274">
            <v>80</v>
          </cell>
          <cell r="C274">
            <v>2.1208398691798802</v>
          </cell>
          <cell r="D274" t="str">
            <v>libelula</v>
          </cell>
        </row>
        <row r="275">
          <cell r="A275">
            <v>405</v>
          </cell>
          <cell r="B275">
            <v>80</v>
          </cell>
          <cell r="C275">
            <v>0.99498482818597</v>
          </cell>
          <cell r="D275" t="str">
            <v>aingura</v>
          </cell>
        </row>
        <row r="276">
          <cell r="A276">
            <v>407</v>
          </cell>
          <cell r="B276">
            <v>80</v>
          </cell>
          <cell r="C276">
            <v>0.17203694935311301</v>
          </cell>
          <cell r="D276" t="str">
            <v>mendi</v>
          </cell>
        </row>
        <row r="277">
          <cell r="A277">
            <v>408</v>
          </cell>
          <cell r="B277">
            <v>80</v>
          </cell>
          <cell r="C277">
            <v>1.7802837522783299</v>
          </cell>
          <cell r="D277" t="str">
            <v>behatz</v>
          </cell>
        </row>
        <row r="278">
          <cell r="A278">
            <v>409</v>
          </cell>
          <cell r="B278">
            <v>80</v>
          </cell>
          <cell r="C278">
            <v>0.24229218908241401</v>
          </cell>
          <cell r="D278" t="str">
            <v>kortxo</v>
          </cell>
        </row>
        <row r="279">
          <cell r="A279">
            <v>410</v>
          </cell>
          <cell r="B279">
            <v>80</v>
          </cell>
          <cell r="C279">
            <v>0.53448751150701601</v>
          </cell>
          <cell r="D279" t="str">
            <v>pistatxo</v>
          </cell>
        </row>
        <row r="280">
          <cell r="A280">
            <v>411</v>
          </cell>
          <cell r="B280">
            <v>80</v>
          </cell>
          <cell r="C280">
            <v>1.30427031041861</v>
          </cell>
          <cell r="D280" t="str">
            <v>ukabil</v>
          </cell>
        </row>
        <row r="281">
          <cell r="A281">
            <v>412</v>
          </cell>
          <cell r="B281">
            <v>80</v>
          </cell>
          <cell r="C281">
            <v>1.20028090191755</v>
          </cell>
          <cell r="D281" t="str">
            <v>fabrika</v>
          </cell>
        </row>
        <row r="282">
          <cell r="A282">
            <v>413</v>
          </cell>
          <cell r="B282">
            <v>80</v>
          </cell>
          <cell r="C282">
            <v>0.94510986461183999</v>
          </cell>
          <cell r="D282" t="str">
            <v>tatuaje</v>
          </cell>
        </row>
        <row r="283">
          <cell r="A283">
            <v>414</v>
          </cell>
          <cell r="B283">
            <v>80</v>
          </cell>
          <cell r="C283">
            <v>0</v>
          </cell>
          <cell r="D283" t="str">
            <v>lanpara</v>
          </cell>
        </row>
        <row r="284">
          <cell r="A284">
            <v>416</v>
          </cell>
          <cell r="B284">
            <v>80</v>
          </cell>
          <cell r="C284">
            <v>0.701206584453966</v>
          </cell>
          <cell r="D284" t="str">
            <v>galtzerdi</v>
          </cell>
        </row>
        <row r="285">
          <cell r="A285">
            <v>418</v>
          </cell>
          <cell r="B285">
            <v>80</v>
          </cell>
          <cell r="C285">
            <v>0</v>
          </cell>
          <cell r="D285" t="str">
            <v>gortina</v>
          </cell>
        </row>
        <row r="286">
          <cell r="A286">
            <v>420</v>
          </cell>
          <cell r="B286">
            <v>80</v>
          </cell>
          <cell r="C286">
            <v>1.1856304235019299</v>
          </cell>
          <cell r="D286" t="str">
            <v>trono</v>
          </cell>
        </row>
        <row r="287">
          <cell r="A287">
            <v>422</v>
          </cell>
          <cell r="B287">
            <v>80</v>
          </cell>
          <cell r="C287">
            <v>0.17203694935311301</v>
          </cell>
          <cell r="D287" t="str">
            <v>aizkora</v>
          </cell>
        </row>
        <row r="288">
          <cell r="A288">
            <v>423</v>
          </cell>
          <cell r="B288">
            <v>80</v>
          </cell>
          <cell r="C288">
            <v>0</v>
          </cell>
          <cell r="D288" t="str">
            <v>arrautz</v>
          </cell>
        </row>
        <row r="289">
          <cell r="A289">
            <v>425</v>
          </cell>
          <cell r="B289">
            <v>80</v>
          </cell>
          <cell r="C289">
            <v>0</v>
          </cell>
          <cell r="D289" t="str">
            <v>gaita</v>
          </cell>
        </row>
        <row r="290">
          <cell r="A290">
            <v>426</v>
          </cell>
          <cell r="B290">
            <v>80</v>
          </cell>
          <cell r="C290">
            <v>0</v>
          </cell>
          <cell r="D290" t="str">
            <v>orrazi</v>
          </cell>
        </row>
        <row r="291">
          <cell r="A291">
            <v>428</v>
          </cell>
          <cell r="B291">
            <v>80</v>
          </cell>
          <cell r="C291">
            <v>0.472736923952572</v>
          </cell>
          <cell r="D291" t="str">
            <v>karramarro</v>
          </cell>
        </row>
        <row r="292">
          <cell r="A292">
            <v>430</v>
          </cell>
          <cell r="B292">
            <v>80</v>
          </cell>
          <cell r="C292">
            <v>0</v>
          </cell>
          <cell r="D292" t="str">
            <v>txori</v>
          </cell>
        </row>
        <row r="293">
          <cell r="A293">
            <v>431</v>
          </cell>
          <cell r="B293">
            <v>80</v>
          </cell>
          <cell r="C293">
            <v>1.18416364111948</v>
          </cell>
          <cell r="D293" t="str">
            <v>eskularru</v>
          </cell>
        </row>
        <row r="294">
          <cell r="A294">
            <v>433</v>
          </cell>
          <cell r="B294">
            <v>80</v>
          </cell>
          <cell r="C294">
            <v>0.85337281884278804</v>
          </cell>
          <cell r="D294" t="str">
            <v>txirrin</v>
          </cell>
        </row>
        <row r="295">
          <cell r="A295">
            <v>437</v>
          </cell>
          <cell r="B295">
            <v>80</v>
          </cell>
          <cell r="C295">
            <v>0</v>
          </cell>
          <cell r="D295" t="str">
            <v>kanoi</v>
          </cell>
        </row>
        <row r="296">
          <cell r="A296">
            <v>438</v>
          </cell>
          <cell r="B296">
            <v>80</v>
          </cell>
          <cell r="C296">
            <v>1.8886814892114201</v>
          </cell>
          <cell r="D296" t="str">
            <v>behatz</v>
          </cell>
        </row>
        <row r="297">
          <cell r="A297">
            <v>439</v>
          </cell>
          <cell r="B297">
            <v>80</v>
          </cell>
          <cell r="C297">
            <v>0.34037328575964598</v>
          </cell>
          <cell r="D297" t="str">
            <v>sumendi</v>
          </cell>
        </row>
        <row r="298">
          <cell r="A298">
            <v>441</v>
          </cell>
          <cell r="B298">
            <v>80</v>
          </cell>
          <cell r="C298">
            <v>1.00735028733329</v>
          </cell>
          <cell r="D298" t="str">
            <v>txorizo</v>
          </cell>
        </row>
        <row r="299">
          <cell r="A299">
            <v>442</v>
          </cell>
          <cell r="B299">
            <v>80</v>
          </cell>
          <cell r="C299">
            <v>0.92240626175907203</v>
          </cell>
          <cell r="D299" t="str">
            <v>pi</v>
          </cell>
        </row>
        <row r="300">
          <cell r="A300">
            <v>446</v>
          </cell>
          <cell r="B300">
            <v>80</v>
          </cell>
          <cell r="C300">
            <v>0.23070995569147601</v>
          </cell>
          <cell r="D300" t="str">
            <v>txerri</v>
          </cell>
        </row>
        <row r="301">
          <cell r="A301">
            <v>447</v>
          </cell>
          <cell r="B301">
            <v>80</v>
          </cell>
          <cell r="C301">
            <v>0</v>
          </cell>
          <cell r="D301" t="str">
            <v>izar</v>
          </cell>
        </row>
        <row r="302">
          <cell r="A302">
            <v>448</v>
          </cell>
          <cell r="B302">
            <v>80</v>
          </cell>
          <cell r="C302">
            <v>1.1779914377014999</v>
          </cell>
          <cell r="D302" t="str">
            <v>pote</v>
          </cell>
        </row>
        <row r="303">
          <cell r="A303">
            <v>449</v>
          </cell>
          <cell r="B303">
            <v>80</v>
          </cell>
          <cell r="C303">
            <v>0.84854425639005804</v>
          </cell>
          <cell r="D303" t="str">
            <v>banku</v>
          </cell>
        </row>
        <row r="304">
          <cell r="A304">
            <v>451</v>
          </cell>
          <cell r="B304">
            <v>80</v>
          </cell>
          <cell r="C304">
            <v>0</v>
          </cell>
          <cell r="D304" t="str">
            <v>errege</v>
          </cell>
        </row>
        <row r="305">
          <cell r="A305">
            <v>452</v>
          </cell>
          <cell r="B305">
            <v>80</v>
          </cell>
          <cell r="C305">
            <v>0.54356444319959596</v>
          </cell>
          <cell r="D305" t="str">
            <v>erloju</v>
          </cell>
        </row>
        <row r="306">
          <cell r="A306">
            <v>453</v>
          </cell>
          <cell r="B306">
            <v>80</v>
          </cell>
          <cell r="C306">
            <v>1.06146350293685</v>
          </cell>
          <cell r="D306" t="str">
            <v>guraizak</v>
          </cell>
        </row>
        <row r="307">
          <cell r="A307">
            <v>454</v>
          </cell>
          <cell r="B307">
            <v>80</v>
          </cell>
          <cell r="C307">
            <v>1.0922559497458499</v>
          </cell>
          <cell r="D307" t="str">
            <v>oilo</v>
          </cell>
        </row>
        <row r="308">
          <cell r="A308">
            <v>455</v>
          </cell>
          <cell r="B308">
            <v>80</v>
          </cell>
          <cell r="C308">
            <v>1.72764634534216</v>
          </cell>
          <cell r="D308" t="str">
            <v>oin</v>
          </cell>
        </row>
        <row r="309">
          <cell r="A309">
            <v>456</v>
          </cell>
          <cell r="B309">
            <v>80</v>
          </cell>
          <cell r="C309">
            <v>0</v>
          </cell>
          <cell r="D309" t="str">
            <v>olio</v>
          </cell>
        </row>
        <row r="310">
          <cell r="A310">
            <v>457</v>
          </cell>
          <cell r="B310">
            <v>80</v>
          </cell>
          <cell r="C310">
            <v>0.35372475069811499</v>
          </cell>
          <cell r="D310" t="str">
            <v>piramidea</v>
          </cell>
        </row>
        <row r="311">
          <cell r="A311">
            <v>458</v>
          </cell>
          <cell r="B311">
            <v>80</v>
          </cell>
          <cell r="C311">
            <v>0</v>
          </cell>
          <cell r="D311" t="str">
            <v>armairu</v>
          </cell>
        </row>
        <row r="312">
          <cell r="A312">
            <v>461</v>
          </cell>
          <cell r="B312">
            <v>80</v>
          </cell>
          <cell r="C312">
            <v>0</v>
          </cell>
          <cell r="D312" t="str">
            <v>pistola</v>
          </cell>
        </row>
        <row r="313">
          <cell r="A313">
            <v>462</v>
          </cell>
          <cell r="B313">
            <v>80</v>
          </cell>
          <cell r="C313">
            <v>0.28639695711595597</v>
          </cell>
          <cell r="D313" t="str">
            <v>euli</v>
          </cell>
        </row>
        <row r="314">
          <cell r="A314">
            <v>463</v>
          </cell>
          <cell r="B314">
            <v>80</v>
          </cell>
          <cell r="C314">
            <v>1.48381390029848</v>
          </cell>
          <cell r="D314" t="str">
            <v>laukizuzen</v>
          </cell>
        </row>
        <row r="315">
          <cell r="A315">
            <v>464</v>
          </cell>
          <cell r="B315">
            <v>80</v>
          </cell>
          <cell r="C315">
            <v>0.87471004006726505</v>
          </cell>
          <cell r="D315" t="str">
            <v>borragoma</v>
          </cell>
        </row>
        <row r="316">
          <cell r="A316">
            <v>465</v>
          </cell>
          <cell r="B316">
            <v>80</v>
          </cell>
          <cell r="C316">
            <v>1.60240799793793</v>
          </cell>
          <cell r="D316" t="str">
            <v>laban</v>
          </cell>
        </row>
        <row r="317">
          <cell r="A317">
            <v>466</v>
          </cell>
          <cell r="B317">
            <v>80</v>
          </cell>
          <cell r="C317">
            <v>0.862412556451429</v>
          </cell>
          <cell r="D317" t="str">
            <v>epaile</v>
          </cell>
        </row>
        <row r="318">
          <cell r="A318">
            <v>467</v>
          </cell>
          <cell r="B318">
            <v>80</v>
          </cell>
          <cell r="C318">
            <v>0.346731468249663</v>
          </cell>
          <cell r="D318" t="str">
            <v>pintza</v>
          </cell>
        </row>
        <row r="319">
          <cell r="A319">
            <v>472</v>
          </cell>
          <cell r="B319">
            <v>80</v>
          </cell>
          <cell r="C319">
            <v>1.47228481154166</v>
          </cell>
          <cell r="D319" t="str">
            <v>karratu</v>
          </cell>
        </row>
        <row r="320">
          <cell r="A320">
            <v>473</v>
          </cell>
          <cell r="B320">
            <v>80</v>
          </cell>
          <cell r="C320">
            <v>0</v>
          </cell>
          <cell r="D320" t="str">
            <v>beso</v>
          </cell>
        </row>
        <row r="321">
          <cell r="A321">
            <v>476</v>
          </cell>
          <cell r="B321">
            <v>80</v>
          </cell>
          <cell r="C321">
            <v>0.88542019046703402</v>
          </cell>
          <cell r="D321" t="str">
            <v>amantal</v>
          </cell>
        </row>
        <row r="322">
          <cell r="A322">
            <v>477</v>
          </cell>
          <cell r="B322">
            <v>80</v>
          </cell>
          <cell r="C322">
            <v>0</v>
          </cell>
          <cell r="D322" t="str">
            <v>aguakate</v>
          </cell>
        </row>
        <row r="323">
          <cell r="A323">
            <v>478</v>
          </cell>
          <cell r="B323">
            <v>80</v>
          </cell>
          <cell r="C323">
            <v>1.87287542578115</v>
          </cell>
          <cell r="D323" t="str">
            <v>lababo</v>
          </cell>
        </row>
        <row r="324">
          <cell r="A324">
            <v>479</v>
          </cell>
          <cell r="B324">
            <v>80</v>
          </cell>
          <cell r="C324">
            <v>0</v>
          </cell>
          <cell r="D324" t="str">
            <v>kanguro</v>
          </cell>
        </row>
        <row r="325">
          <cell r="A325">
            <v>480</v>
          </cell>
          <cell r="B325">
            <v>80</v>
          </cell>
          <cell r="C325">
            <v>0.91921236996988398</v>
          </cell>
          <cell r="D325" t="str">
            <v>larrosa</v>
          </cell>
        </row>
        <row r="326">
          <cell r="A326">
            <v>482</v>
          </cell>
          <cell r="B326">
            <v>80</v>
          </cell>
          <cell r="C326">
            <v>0.72742883967229799</v>
          </cell>
          <cell r="D326" t="str">
            <v>txalupa</v>
          </cell>
        </row>
        <row r="327">
          <cell r="A327">
            <v>484</v>
          </cell>
          <cell r="B327">
            <v>80</v>
          </cell>
          <cell r="C327">
            <v>1.2342276732061199</v>
          </cell>
          <cell r="D327" t="str">
            <v>urtxintxa</v>
          </cell>
        </row>
        <row r="328">
          <cell r="A328">
            <v>487</v>
          </cell>
          <cell r="B328">
            <v>80</v>
          </cell>
          <cell r="C328">
            <v>1.96479263327036</v>
          </cell>
          <cell r="D328" t="str">
            <v>saski</v>
          </cell>
        </row>
        <row r="329">
          <cell r="A329">
            <v>488</v>
          </cell>
          <cell r="B329">
            <v>80</v>
          </cell>
          <cell r="C329">
            <v>0</v>
          </cell>
          <cell r="D329" t="str">
            <v>eguzki</v>
          </cell>
        </row>
        <row r="330">
          <cell r="A330">
            <v>489</v>
          </cell>
          <cell r="B330">
            <v>80</v>
          </cell>
          <cell r="C330">
            <v>0</v>
          </cell>
          <cell r="D330" t="str">
            <v>pizza</v>
          </cell>
        </row>
        <row r="331">
          <cell r="A331">
            <v>491</v>
          </cell>
          <cell r="B331">
            <v>80</v>
          </cell>
          <cell r="C331">
            <v>0.57531333441358301</v>
          </cell>
          <cell r="D331" t="str">
            <v>alfonbra</v>
          </cell>
        </row>
        <row r="332">
          <cell r="A332">
            <v>493</v>
          </cell>
          <cell r="B332">
            <v>80</v>
          </cell>
          <cell r="C332">
            <v>0.79732651014744205</v>
          </cell>
          <cell r="D332" t="str">
            <v>mofeta</v>
          </cell>
        </row>
        <row r="333">
          <cell r="A333">
            <v>494</v>
          </cell>
          <cell r="B333">
            <v>80</v>
          </cell>
          <cell r="C333">
            <v>0</v>
          </cell>
          <cell r="D333" t="str">
            <v>bibote</v>
          </cell>
        </row>
        <row r="334">
          <cell r="A334">
            <v>496</v>
          </cell>
          <cell r="B334">
            <v>80</v>
          </cell>
          <cell r="C334">
            <v>1.1359626162502301</v>
          </cell>
          <cell r="D334" t="str">
            <v>biribil</v>
          </cell>
        </row>
        <row r="335">
          <cell r="A335">
            <v>497</v>
          </cell>
          <cell r="B335">
            <v>80</v>
          </cell>
          <cell r="C335">
            <v>1.69138582496642</v>
          </cell>
          <cell r="D335" t="str">
            <v>hilkutxa</v>
          </cell>
        </row>
        <row r="336">
          <cell r="A336">
            <v>499</v>
          </cell>
          <cell r="B336">
            <v>80</v>
          </cell>
          <cell r="C336">
            <v>2.0785087862596501</v>
          </cell>
          <cell r="D336" t="str">
            <v>ume</v>
          </cell>
        </row>
        <row r="337">
          <cell r="A337">
            <v>500</v>
          </cell>
          <cell r="B337">
            <v>80</v>
          </cell>
          <cell r="C337">
            <v>0</v>
          </cell>
          <cell r="D337" t="str">
            <v>eskailera</v>
          </cell>
        </row>
        <row r="338">
          <cell r="A338">
            <v>501</v>
          </cell>
          <cell r="B338">
            <v>80</v>
          </cell>
          <cell r="C338">
            <v>0.92989600759431401</v>
          </cell>
          <cell r="D338" t="str">
            <v>ezkutu</v>
          </cell>
        </row>
        <row r="339">
          <cell r="A339">
            <v>502</v>
          </cell>
          <cell r="B339">
            <v>80</v>
          </cell>
          <cell r="C339">
            <v>0.23750814382859201</v>
          </cell>
          <cell r="D339" t="str">
            <v>artzain</v>
          </cell>
        </row>
        <row r="340">
          <cell r="A340">
            <v>503</v>
          </cell>
          <cell r="B340">
            <v>80</v>
          </cell>
          <cell r="C340">
            <v>1.1334519731183801</v>
          </cell>
          <cell r="D340" t="str">
            <v>mingain</v>
          </cell>
        </row>
        <row r="341">
          <cell r="A341">
            <v>505</v>
          </cell>
          <cell r="B341">
            <v>80</v>
          </cell>
          <cell r="C341">
            <v>0.16866093149667</v>
          </cell>
          <cell r="D341" t="str">
            <v>liburu</v>
          </cell>
        </row>
        <row r="342">
          <cell r="A342">
            <v>506</v>
          </cell>
          <cell r="B342">
            <v>80</v>
          </cell>
          <cell r="C342">
            <v>0.81677969525148797</v>
          </cell>
          <cell r="D342" t="str">
            <v>tximist</v>
          </cell>
        </row>
        <row r="343">
          <cell r="A343">
            <v>507</v>
          </cell>
          <cell r="B343">
            <v>80</v>
          </cell>
          <cell r="C343">
            <v>0.98037750871569096</v>
          </cell>
          <cell r="D343" t="str">
            <v>ume</v>
          </cell>
        </row>
        <row r="344">
          <cell r="A344">
            <v>508</v>
          </cell>
          <cell r="B344">
            <v>80</v>
          </cell>
          <cell r="C344">
            <v>0.90973612253116598</v>
          </cell>
          <cell r="D344" t="str">
            <v>kaxa</v>
          </cell>
        </row>
        <row r="345">
          <cell r="A345">
            <v>509</v>
          </cell>
          <cell r="B345">
            <v>80</v>
          </cell>
          <cell r="C345">
            <v>0</v>
          </cell>
          <cell r="D345" t="str">
            <v>telefono</v>
          </cell>
        </row>
        <row r="346">
          <cell r="A346">
            <v>510</v>
          </cell>
          <cell r="B346">
            <v>80</v>
          </cell>
          <cell r="C346">
            <v>0.17203694935311301</v>
          </cell>
          <cell r="D346" t="str">
            <v>aurpegi</v>
          </cell>
        </row>
        <row r="347">
          <cell r="A347">
            <v>513</v>
          </cell>
          <cell r="B347">
            <v>80</v>
          </cell>
          <cell r="C347">
            <v>0</v>
          </cell>
          <cell r="D347" t="str">
            <v>ezpainak</v>
          </cell>
        </row>
        <row r="348">
          <cell r="A348">
            <v>514</v>
          </cell>
          <cell r="B348">
            <v>80</v>
          </cell>
          <cell r="C348">
            <v>1.67554469532376</v>
          </cell>
          <cell r="D348" t="str">
            <v>submarino</v>
          </cell>
        </row>
        <row r="349">
          <cell r="A349">
            <v>516</v>
          </cell>
          <cell r="B349">
            <v>80</v>
          </cell>
          <cell r="C349">
            <v>0.79085809055280998</v>
          </cell>
          <cell r="D349" t="str">
            <v>kalkulagailu</v>
          </cell>
        </row>
        <row r="350">
          <cell r="A350">
            <v>517</v>
          </cell>
          <cell r="B350">
            <v>80</v>
          </cell>
          <cell r="C350">
            <v>0.16866093149667</v>
          </cell>
          <cell r="D350" t="str">
            <v>soka</v>
          </cell>
        </row>
        <row r="351">
          <cell r="A351">
            <v>521</v>
          </cell>
          <cell r="B351">
            <v>80</v>
          </cell>
          <cell r="C351">
            <v>0.63706981968589205</v>
          </cell>
          <cell r="D351" t="str">
            <v>azeri</v>
          </cell>
        </row>
        <row r="352">
          <cell r="A352">
            <v>522</v>
          </cell>
          <cell r="B352">
            <v>80</v>
          </cell>
          <cell r="C352">
            <v>0</v>
          </cell>
          <cell r="D352" t="str">
            <v>etxe</v>
          </cell>
        </row>
        <row r="353">
          <cell r="A353">
            <v>524</v>
          </cell>
          <cell r="B353">
            <v>80</v>
          </cell>
          <cell r="C353">
            <v>0.391243563629255</v>
          </cell>
          <cell r="D353" t="str">
            <v>indio</v>
          </cell>
        </row>
        <row r="354">
          <cell r="A354">
            <v>528</v>
          </cell>
          <cell r="B354">
            <v>80</v>
          </cell>
          <cell r="C354">
            <v>1.36111035668923</v>
          </cell>
          <cell r="D354" t="str">
            <v>zisne</v>
          </cell>
        </row>
        <row r="355">
          <cell r="A355">
            <v>529</v>
          </cell>
          <cell r="B355">
            <v>80</v>
          </cell>
          <cell r="C355">
            <v>2.24379069279001</v>
          </cell>
          <cell r="D355" t="str">
            <v>morsa</v>
          </cell>
        </row>
        <row r="356">
          <cell r="A356">
            <v>530</v>
          </cell>
          <cell r="B356">
            <v>80</v>
          </cell>
          <cell r="C356">
            <v>0.918105192287065</v>
          </cell>
          <cell r="D356" t="str">
            <v>hesi</v>
          </cell>
        </row>
        <row r="357">
          <cell r="A357">
            <v>531</v>
          </cell>
          <cell r="B357">
            <v>80</v>
          </cell>
          <cell r="C357">
            <v>0.337290066617013</v>
          </cell>
          <cell r="D357" t="str">
            <v>dortoka</v>
          </cell>
        </row>
        <row r="358">
          <cell r="A358">
            <v>532</v>
          </cell>
          <cell r="B358">
            <v>80</v>
          </cell>
          <cell r="C358">
            <v>0</v>
          </cell>
          <cell r="D358" t="str">
            <v>pailazo</v>
          </cell>
        </row>
        <row r="359">
          <cell r="A359">
            <v>533</v>
          </cell>
          <cell r="B359">
            <v>80</v>
          </cell>
          <cell r="C359">
            <v>0.614571561223626</v>
          </cell>
          <cell r="D359" t="str">
            <v>marrazo</v>
          </cell>
        </row>
        <row r="360">
          <cell r="A360">
            <v>535</v>
          </cell>
          <cell r="B360">
            <v>80</v>
          </cell>
          <cell r="C360">
            <v>0</v>
          </cell>
          <cell r="D360" t="str">
            <v>kamioi</v>
          </cell>
        </row>
        <row r="361">
          <cell r="A361">
            <v>536</v>
          </cell>
          <cell r="B361">
            <v>80</v>
          </cell>
          <cell r="C361">
            <v>0.74702429649775803</v>
          </cell>
          <cell r="D361" t="str">
            <v>adar</v>
          </cell>
        </row>
        <row r="362">
          <cell r="A362">
            <v>537</v>
          </cell>
          <cell r="B362">
            <v>80</v>
          </cell>
          <cell r="C362">
            <v>1.55795302589616</v>
          </cell>
          <cell r="D362" t="str">
            <v>hatzmarka</v>
          </cell>
        </row>
        <row r="363">
          <cell r="A363">
            <v>539</v>
          </cell>
          <cell r="B363">
            <v>80</v>
          </cell>
          <cell r="C363">
            <v>0.16866093149667</v>
          </cell>
          <cell r="D363" t="str">
            <v>astronauta</v>
          </cell>
        </row>
        <row r="364">
          <cell r="A364">
            <v>540</v>
          </cell>
          <cell r="B364">
            <v>80</v>
          </cell>
          <cell r="C364">
            <v>0.99239850033322197</v>
          </cell>
          <cell r="D364" t="str">
            <v>faro</v>
          </cell>
        </row>
        <row r="365">
          <cell r="A365">
            <v>541</v>
          </cell>
          <cell r="B365">
            <v>80</v>
          </cell>
          <cell r="C365">
            <v>0.740906550316349</v>
          </cell>
          <cell r="D365" t="str">
            <v>zapata</v>
          </cell>
        </row>
        <row r="366">
          <cell r="A366">
            <v>544</v>
          </cell>
          <cell r="B366">
            <v>80</v>
          </cell>
          <cell r="C366">
            <v>0.67749216313907801</v>
          </cell>
          <cell r="D366" t="str">
            <v>mediku</v>
          </cell>
        </row>
        <row r="367">
          <cell r="A367">
            <v>545</v>
          </cell>
          <cell r="B367">
            <v>80</v>
          </cell>
          <cell r="C367">
            <v>0.23519338181924099</v>
          </cell>
          <cell r="D367" t="str">
            <v>kulero</v>
          </cell>
        </row>
        <row r="368">
          <cell r="A368">
            <v>546</v>
          </cell>
          <cell r="B368">
            <v>80</v>
          </cell>
          <cell r="C368">
            <v>0</v>
          </cell>
          <cell r="D368" t="str">
            <v>ate</v>
          </cell>
        </row>
        <row r="369">
          <cell r="A369">
            <v>547</v>
          </cell>
          <cell r="B369">
            <v>80</v>
          </cell>
          <cell r="C369">
            <v>0</v>
          </cell>
          <cell r="D369" t="str">
            <v>saguzar</v>
          </cell>
        </row>
        <row r="370">
          <cell r="A370">
            <v>549</v>
          </cell>
          <cell r="B370">
            <v>80</v>
          </cell>
          <cell r="C370">
            <v>0</v>
          </cell>
          <cell r="D370" t="str">
            <v>suge</v>
          </cell>
        </row>
        <row r="371">
          <cell r="A371">
            <v>551</v>
          </cell>
          <cell r="B371">
            <v>80</v>
          </cell>
          <cell r="C371">
            <v>0.23519338181924099</v>
          </cell>
          <cell r="D371" t="str">
            <v>kalabaza</v>
          </cell>
        </row>
        <row r="372">
          <cell r="A372">
            <v>552</v>
          </cell>
          <cell r="B372">
            <v>80</v>
          </cell>
          <cell r="C372">
            <v>0</v>
          </cell>
          <cell r="D372" t="str">
            <v>sagar</v>
          </cell>
        </row>
        <row r="373">
          <cell r="A373">
            <v>554</v>
          </cell>
          <cell r="B373">
            <v>80</v>
          </cell>
          <cell r="C373">
            <v>0.90911994987132005</v>
          </cell>
          <cell r="D373" t="str">
            <v>txotxongilo</v>
          </cell>
        </row>
        <row r="374">
          <cell r="A374">
            <v>555</v>
          </cell>
          <cell r="B374">
            <v>80</v>
          </cell>
          <cell r="C374">
            <v>0.97855409141419902</v>
          </cell>
          <cell r="D374" t="str">
            <v>gosari</v>
          </cell>
        </row>
        <row r="375">
          <cell r="A375">
            <v>557</v>
          </cell>
          <cell r="B375">
            <v>80</v>
          </cell>
          <cell r="C375">
            <v>0.173781322679432</v>
          </cell>
          <cell r="D375" t="str">
            <v>otso</v>
          </cell>
        </row>
        <row r="376">
          <cell r="A376">
            <v>558</v>
          </cell>
          <cell r="B376">
            <v>80</v>
          </cell>
          <cell r="C376">
            <v>1.1940134842978301</v>
          </cell>
          <cell r="D376" t="str">
            <v>metxero</v>
          </cell>
        </row>
        <row r="377">
          <cell r="A377">
            <v>559</v>
          </cell>
          <cell r="B377">
            <v>80</v>
          </cell>
          <cell r="C377">
            <v>0.68920198511736497</v>
          </cell>
          <cell r="D377" t="str">
            <v>pepino</v>
          </cell>
        </row>
        <row r="378">
          <cell r="A378">
            <v>560</v>
          </cell>
          <cell r="B378">
            <v>80</v>
          </cell>
          <cell r="C378">
            <v>0.71392052464006095</v>
          </cell>
          <cell r="D378" t="str">
            <v>sandia</v>
          </cell>
        </row>
        <row r="379">
          <cell r="A379">
            <v>561</v>
          </cell>
          <cell r="B379">
            <v>80</v>
          </cell>
          <cell r="C379">
            <v>2.2124482581735498</v>
          </cell>
          <cell r="D379" t="str">
            <v>har</v>
          </cell>
        </row>
        <row r="380">
          <cell r="A380">
            <v>562</v>
          </cell>
          <cell r="B380">
            <v>80</v>
          </cell>
          <cell r="C380">
            <v>1.6384580339447099</v>
          </cell>
          <cell r="D380" t="str">
            <v>tostadora</v>
          </cell>
        </row>
        <row r="381">
          <cell r="A381">
            <v>563</v>
          </cell>
          <cell r="B381">
            <v>80</v>
          </cell>
          <cell r="C381">
            <v>1.66012821151616</v>
          </cell>
          <cell r="D381" t="str">
            <v>putre</v>
          </cell>
        </row>
        <row r="382">
          <cell r="A382">
            <v>564</v>
          </cell>
          <cell r="B382">
            <v>80</v>
          </cell>
          <cell r="C382">
            <v>1.0875921653930101</v>
          </cell>
          <cell r="D382" t="str">
            <v>koilara</v>
          </cell>
        </row>
        <row r="383">
          <cell r="A383">
            <v>565</v>
          </cell>
          <cell r="B383">
            <v>80</v>
          </cell>
          <cell r="C383">
            <v>0.43180499427520702</v>
          </cell>
          <cell r="D383" t="str">
            <v>kanpai</v>
          </cell>
        </row>
        <row r="384">
          <cell r="A384">
            <v>566</v>
          </cell>
          <cell r="B384">
            <v>80</v>
          </cell>
          <cell r="C384">
            <v>0.23987382528036499</v>
          </cell>
          <cell r="D384" t="str">
            <v>bibolin</v>
          </cell>
        </row>
        <row r="385">
          <cell r="A385">
            <v>568</v>
          </cell>
          <cell r="B385">
            <v>80</v>
          </cell>
          <cell r="C385">
            <v>0.46637036556720701</v>
          </cell>
          <cell r="D385" t="str">
            <v>gaztelu</v>
          </cell>
        </row>
        <row r="386">
          <cell r="A386">
            <v>569</v>
          </cell>
          <cell r="B386">
            <v>80</v>
          </cell>
          <cell r="C386">
            <v>1.14204742866742</v>
          </cell>
          <cell r="D386" t="str">
            <v>hagin</v>
          </cell>
        </row>
        <row r="387">
          <cell r="A387">
            <v>570</v>
          </cell>
          <cell r="B387">
            <v>80</v>
          </cell>
          <cell r="C387">
            <v>0</v>
          </cell>
          <cell r="D387" t="str">
            <v>zezen</v>
          </cell>
        </row>
        <row r="388">
          <cell r="A388">
            <v>571</v>
          </cell>
          <cell r="B388">
            <v>80</v>
          </cell>
          <cell r="C388">
            <v>0.52452571888071198</v>
          </cell>
          <cell r="D388" t="str">
            <v>iman</v>
          </cell>
        </row>
        <row r="389">
          <cell r="A389">
            <v>572</v>
          </cell>
          <cell r="B389">
            <v>80</v>
          </cell>
          <cell r="C389">
            <v>0.263777436694138</v>
          </cell>
          <cell r="D389" t="str">
            <v>malabarista</v>
          </cell>
        </row>
        <row r="390">
          <cell r="A390">
            <v>573</v>
          </cell>
          <cell r="B390">
            <v>80</v>
          </cell>
          <cell r="C390">
            <v>0.402179190202272</v>
          </cell>
          <cell r="D390" t="str">
            <v>berenjena</v>
          </cell>
        </row>
        <row r="391">
          <cell r="A391">
            <v>575</v>
          </cell>
          <cell r="B391">
            <v>80</v>
          </cell>
          <cell r="C391">
            <v>0.79819433906674098</v>
          </cell>
          <cell r="D391" t="str">
            <v>moko</v>
          </cell>
        </row>
        <row r="392">
          <cell r="A392">
            <v>576</v>
          </cell>
          <cell r="B392">
            <v>80</v>
          </cell>
          <cell r="C392">
            <v>0.77424115808472704</v>
          </cell>
          <cell r="D392" t="str">
            <v>eskularrua</v>
          </cell>
        </row>
        <row r="393">
          <cell r="A393">
            <v>577</v>
          </cell>
          <cell r="B393">
            <v>80</v>
          </cell>
          <cell r="C393">
            <v>0.71462598001745403</v>
          </cell>
          <cell r="D393" t="str">
            <v>iceberg</v>
          </cell>
        </row>
        <row r="394">
          <cell r="A394">
            <v>578</v>
          </cell>
          <cell r="B394">
            <v>80</v>
          </cell>
          <cell r="C394">
            <v>0.94258957660892895</v>
          </cell>
          <cell r="D394" t="str">
            <v>bekain</v>
          </cell>
        </row>
        <row r="395">
          <cell r="A395">
            <v>579</v>
          </cell>
          <cell r="B395">
            <v>80</v>
          </cell>
          <cell r="C395">
            <v>0</v>
          </cell>
          <cell r="D395" t="str">
            <v>elefante</v>
          </cell>
        </row>
        <row r="396">
          <cell r="A396">
            <v>581</v>
          </cell>
          <cell r="B396">
            <v>80</v>
          </cell>
          <cell r="C396">
            <v>1.13011523538128</v>
          </cell>
          <cell r="D396" t="str">
            <v>esparrago</v>
          </cell>
        </row>
        <row r="397">
          <cell r="A397">
            <v>582</v>
          </cell>
          <cell r="B397">
            <v>80</v>
          </cell>
          <cell r="C397">
            <v>0.173781322679432</v>
          </cell>
          <cell r="D397" t="str">
            <v>laborategi</v>
          </cell>
        </row>
        <row r="398">
          <cell r="A398">
            <v>584</v>
          </cell>
          <cell r="B398">
            <v>80</v>
          </cell>
          <cell r="C398">
            <v>1.54361099620964</v>
          </cell>
          <cell r="D398" t="str">
            <v>igel</v>
          </cell>
        </row>
        <row r="399">
          <cell r="A399">
            <v>585</v>
          </cell>
          <cell r="B399">
            <v>80</v>
          </cell>
          <cell r="C399">
            <v>1.18175770662694</v>
          </cell>
          <cell r="D399" t="str">
            <v>inurri</v>
          </cell>
        </row>
        <row r="400">
          <cell r="A400">
            <v>586</v>
          </cell>
          <cell r="B400">
            <v>80</v>
          </cell>
          <cell r="C400">
            <v>0.67749216313907801</v>
          </cell>
          <cell r="D400" t="str">
            <v>plantxa</v>
          </cell>
        </row>
        <row r="401">
          <cell r="A401">
            <v>587</v>
          </cell>
          <cell r="B401">
            <v>80</v>
          </cell>
          <cell r="C401">
            <v>0.67895389951857499</v>
          </cell>
          <cell r="D401" t="str">
            <v>arto</v>
          </cell>
        </row>
        <row r="402">
          <cell r="A402">
            <v>588</v>
          </cell>
          <cell r="B402">
            <v>80</v>
          </cell>
          <cell r="C402">
            <v>1.3774800792467199</v>
          </cell>
          <cell r="D402" t="str">
            <v>pultsera</v>
          </cell>
        </row>
        <row r="403">
          <cell r="A403">
            <v>590</v>
          </cell>
          <cell r="B403">
            <v>80</v>
          </cell>
          <cell r="C403">
            <v>0.99263968624596099</v>
          </cell>
          <cell r="D403" t="str">
            <v>erratza</v>
          </cell>
        </row>
        <row r="404">
          <cell r="A404">
            <v>591</v>
          </cell>
          <cell r="B404">
            <v>80</v>
          </cell>
          <cell r="C404">
            <v>0.89126938627741503</v>
          </cell>
          <cell r="D404" t="str">
            <v>toaila</v>
          </cell>
        </row>
        <row r="405">
          <cell r="A405">
            <v>592</v>
          </cell>
          <cell r="B405">
            <v>80</v>
          </cell>
          <cell r="C405">
            <v>0.46188170471036999</v>
          </cell>
          <cell r="D405" t="str">
            <v>letxuga</v>
          </cell>
        </row>
        <row r="406">
          <cell r="A406">
            <v>593</v>
          </cell>
          <cell r="B406">
            <v>80</v>
          </cell>
          <cell r="C406">
            <v>0</v>
          </cell>
          <cell r="D406" t="str">
            <v>txokolatea</v>
          </cell>
        </row>
        <row r="407">
          <cell r="A407">
            <v>594</v>
          </cell>
          <cell r="B407">
            <v>80</v>
          </cell>
          <cell r="C407">
            <v>1.85395152503394</v>
          </cell>
          <cell r="D407" t="str">
            <v>jeringa</v>
          </cell>
        </row>
        <row r="408">
          <cell r="A408">
            <v>595</v>
          </cell>
          <cell r="B408">
            <v>80</v>
          </cell>
          <cell r="C408">
            <v>1.05863374087128</v>
          </cell>
          <cell r="D408" t="str">
            <v>kubo</v>
          </cell>
        </row>
        <row r="409">
          <cell r="A409">
            <v>597</v>
          </cell>
          <cell r="B409">
            <v>80</v>
          </cell>
          <cell r="C409">
            <v>0.42806962922930603</v>
          </cell>
          <cell r="D409" t="str">
            <v>leiho</v>
          </cell>
        </row>
        <row r="410">
          <cell r="A410">
            <v>599</v>
          </cell>
          <cell r="B410">
            <v>80</v>
          </cell>
          <cell r="C410">
            <v>0.95786302374797905</v>
          </cell>
          <cell r="D410" t="str">
            <v>hodei</v>
          </cell>
        </row>
        <row r="411">
          <cell r="A411">
            <v>601</v>
          </cell>
          <cell r="B411">
            <v>80</v>
          </cell>
          <cell r="C411">
            <v>0</v>
          </cell>
          <cell r="D411" t="str">
            <v>koala</v>
          </cell>
        </row>
        <row r="412">
          <cell r="A412">
            <v>603</v>
          </cell>
          <cell r="B412">
            <v>80</v>
          </cell>
          <cell r="C412">
            <v>0.88242595433753401</v>
          </cell>
          <cell r="D412" t="str">
            <v>hilerri</v>
          </cell>
        </row>
        <row r="413">
          <cell r="A413">
            <v>605</v>
          </cell>
          <cell r="B413">
            <v>80</v>
          </cell>
          <cell r="C413">
            <v>0</v>
          </cell>
          <cell r="D413" t="str">
            <v>harpa</v>
          </cell>
        </row>
        <row r="414">
          <cell r="A414">
            <v>606</v>
          </cell>
          <cell r="B414">
            <v>80</v>
          </cell>
          <cell r="C414">
            <v>0.337290066617013</v>
          </cell>
          <cell r="D414" t="str">
            <v>katu</v>
          </cell>
        </row>
        <row r="415">
          <cell r="A415">
            <v>607</v>
          </cell>
          <cell r="B415">
            <v>80</v>
          </cell>
          <cell r="C415">
            <v>0.23292785546981201</v>
          </cell>
          <cell r="D415" t="str">
            <v>jestse</v>
          </cell>
        </row>
        <row r="416">
          <cell r="A416">
            <v>608</v>
          </cell>
          <cell r="B416">
            <v>80</v>
          </cell>
          <cell r="C416">
            <v>0.621904141629119</v>
          </cell>
          <cell r="D416" t="str">
            <v>kondoi</v>
          </cell>
        </row>
        <row r="417">
          <cell r="A417">
            <v>609</v>
          </cell>
          <cell r="B417">
            <v>80</v>
          </cell>
          <cell r="C417">
            <v>0.742940665251692</v>
          </cell>
          <cell r="D417" t="str">
            <v>estutxe</v>
          </cell>
        </row>
        <row r="418">
          <cell r="A418">
            <v>610</v>
          </cell>
          <cell r="B418">
            <v>80</v>
          </cell>
          <cell r="C418">
            <v>0</v>
          </cell>
          <cell r="D418" t="str">
            <v>eztia</v>
          </cell>
        </row>
        <row r="419">
          <cell r="A419">
            <v>611</v>
          </cell>
          <cell r="B419">
            <v>80</v>
          </cell>
          <cell r="C419">
            <v>0.56964690689314401</v>
          </cell>
          <cell r="D419" t="str">
            <v>landare</v>
          </cell>
        </row>
        <row r="420">
          <cell r="A420">
            <v>612</v>
          </cell>
          <cell r="B420">
            <v>80</v>
          </cell>
          <cell r="C420">
            <v>0.34656325760085899</v>
          </cell>
          <cell r="D420" t="str">
            <v>igel</v>
          </cell>
        </row>
        <row r="421">
          <cell r="A421">
            <v>614</v>
          </cell>
          <cell r="B421">
            <v>80</v>
          </cell>
          <cell r="C421">
            <v>0.17033057560105899</v>
          </cell>
          <cell r="D421" t="str">
            <v>erregin</v>
          </cell>
        </row>
        <row r="422">
          <cell r="A422">
            <v>616</v>
          </cell>
          <cell r="B422">
            <v>80</v>
          </cell>
          <cell r="C422">
            <v>0</v>
          </cell>
          <cell r="D422" t="str">
            <v>gaileta</v>
          </cell>
        </row>
        <row r="423">
          <cell r="A423">
            <v>617</v>
          </cell>
          <cell r="B423">
            <v>80</v>
          </cell>
          <cell r="C423">
            <v>0</v>
          </cell>
          <cell r="D423" t="str">
            <v>aireportu</v>
          </cell>
        </row>
        <row r="424">
          <cell r="A424">
            <v>619</v>
          </cell>
          <cell r="B424">
            <v>80</v>
          </cell>
          <cell r="C424">
            <v>0.45541667185852203</v>
          </cell>
          <cell r="D424" t="str">
            <v>xaboi</v>
          </cell>
        </row>
        <row r="425">
          <cell r="A425">
            <v>621</v>
          </cell>
          <cell r="B425">
            <v>80</v>
          </cell>
          <cell r="C425">
            <v>0</v>
          </cell>
          <cell r="D425" t="str">
            <v>tanke</v>
          </cell>
        </row>
        <row r="426">
          <cell r="A426">
            <v>623</v>
          </cell>
          <cell r="B426">
            <v>80</v>
          </cell>
          <cell r="C426">
            <v>0.51270914203087703</v>
          </cell>
          <cell r="D426" t="str">
            <v>kartzela</v>
          </cell>
        </row>
        <row r="427">
          <cell r="A427">
            <v>624</v>
          </cell>
          <cell r="B427">
            <v>80</v>
          </cell>
          <cell r="C427">
            <v>0</v>
          </cell>
          <cell r="D427" t="str">
            <v>asto</v>
          </cell>
        </row>
        <row r="428">
          <cell r="A428">
            <v>625</v>
          </cell>
          <cell r="B428">
            <v>80</v>
          </cell>
          <cell r="C428">
            <v>0.50325833477564497</v>
          </cell>
          <cell r="D428" t="str">
            <v>trineo</v>
          </cell>
        </row>
        <row r="429">
          <cell r="A429">
            <v>626</v>
          </cell>
          <cell r="B429">
            <v>80</v>
          </cell>
          <cell r="C429">
            <v>0</v>
          </cell>
          <cell r="D429" t="str">
            <v>piano</v>
          </cell>
        </row>
        <row r="430">
          <cell r="A430">
            <v>627</v>
          </cell>
          <cell r="B430">
            <v>80</v>
          </cell>
          <cell r="C430">
            <v>0</v>
          </cell>
          <cell r="D430" t="str">
            <v>saltxitxa</v>
          </cell>
        </row>
        <row r="431">
          <cell r="A431">
            <v>628</v>
          </cell>
          <cell r="B431">
            <v>80</v>
          </cell>
          <cell r="C431">
            <v>0.69220513181459498</v>
          </cell>
          <cell r="D431" t="str">
            <v>bufanda</v>
          </cell>
        </row>
        <row r="432">
          <cell r="A432">
            <v>633</v>
          </cell>
          <cell r="B432">
            <v>80</v>
          </cell>
          <cell r="C432">
            <v>0.19590927087360399</v>
          </cell>
          <cell r="D432" t="str">
            <v>inbutu</v>
          </cell>
        </row>
        <row r="433">
          <cell r="A433">
            <v>634</v>
          </cell>
          <cell r="B433">
            <v>80</v>
          </cell>
          <cell r="C433">
            <v>1.78623571016486</v>
          </cell>
          <cell r="D433" t="str">
            <v>dinamita</v>
          </cell>
        </row>
        <row r="434">
          <cell r="A434">
            <v>636</v>
          </cell>
          <cell r="B434">
            <v>80</v>
          </cell>
          <cell r="C434">
            <v>0</v>
          </cell>
          <cell r="D434" t="str">
            <v>ardi</v>
          </cell>
        </row>
        <row r="435">
          <cell r="A435">
            <v>637</v>
          </cell>
          <cell r="B435">
            <v>80</v>
          </cell>
          <cell r="C435">
            <v>0.16866093149667</v>
          </cell>
          <cell r="D435" t="str">
            <v>hartz</v>
          </cell>
        </row>
        <row r="436">
          <cell r="A436">
            <v>640</v>
          </cell>
          <cell r="B436">
            <v>80</v>
          </cell>
          <cell r="C436">
            <v>0</v>
          </cell>
          <cell r="D436" t="str">
            <v>kaktus</v>
          </cell>
        </row>
        <row r="437">
          <cell r="A437">
            <v>644</v>
          </cell>
          <cell r="B437">
            <v>80</v>
          </cell>
          <cell r="C437">
            <v>2.1940742526236101</v>
          </cell>
          <cell r="D437" t="str">
            <v>beroki</v>
          </cell>
        </row>
        <row r="438">
          <cell r="A438">
            <v>645</v>
          </cell>
          <cell r="B438">
            <v>80</v>
          </cell>
          <cell r="C438">
            <v>0</v>
          </cell>
          <cell r="D438" t="str">
            <v>eskopeta</v>
          </cell>
        </row>
        <row r="439">
          <cell r="A439">
            <v>649</v>
          </cell>
          <cell r="B439">
            <v>80</v>
          </cell>
          <cell r="C439">
            <v>0</v>
          </cell>
          <cell r="D439" t="str">
            <v>anbulantzia</v>
          </cell>
        </row>
        <row r="440">
          <cell r="A440">
            <v>650</v>
          </cell>
          <cell r="B440">
            <v>80</v>
          </cell>
          <cell r="C440">
            <v>1.1453075674934601</v>
          </cell>
          <cell r="D440" t="str">
            <v>esponja</v>
          </cell>
        </row>
        <row r="441">
          <cell r="A441">
            <v>651</v>
          </cell>
          <cell r="B441">
            <v>80</v>
          </cell>
          <cell r="C441">
            <v>1.2121919074404699</v>
          </cell>
          <cell r="D441" t="str">
            <v>zopa</v>
          </cell>
        </row>
        <row r="442">
          <cell r="A442">
            <v>652</v>
          </cell>
          <cell r="B442">
            <v>80</v>
          </cell>
          <cell r="C442">
            <v>0</v>
          </cell>
          <cell r="D442" t="str">
            <v>noria</v>
          </cell>
        </row>
        <row r="443">
          <cell r="A443">
            <v>653</v>
          </cell>
          <cell r="B443">
            <v>80</v>
          </cell>
          <cell r="C443">
            <v>1.1525777371241801</v>
          </cell>
          <cell r="D443" t="str">
            <v>aterki</v>
          </cell>
        </row>
        <row r="444">
          <cell r="A444">
            <v>654</v>
          </cell>
          <cell r="B444">
            <v>80</v>
          </cell>
          <cell r="C444">
            <v>0.28639695711595597</v>
          </cell>
          <cell r="D444" t="str">
            <v>arkatz</v>
          </cell>
        </row>
        <row r="445">
          <cell r="A445">
            <v>656</v>
          </cell>
          <cell r="B445">
            <v>80</v>
          </cell>
          <cell r="C445">
            <v>0</v>
          </cell>
          <cell r="D445" t="str">
            <v>pila</v>
          </cell>
        </row>
        <row r="446">
          <cell r="A446">
            <v>657</v>
          </cell>
          <cell r="B446">
            <v>80</v>
          </cell>
          <cell r="C446">
            <v>0.99370710660450801</v>
          </cell>
          <cell r="D446" t="str">
            <v>medaila</v>
          </cell>
        </row>
        <row r="447">
          <cell r="A447">
            <v>659</v>
          </cell>
          <cell r="B447">
            <v>80</v>
          </cell>
          <cell r="C447">
            <v>0.96694985609562401</v>
          </cell>
          <cell r="D447" t="str">
            <v>irrati</v>
          </cell>
        </row>
        <row r="448">
          <cell r="A448">
            <v>661</v>
          </cell>
          <cell r="B448">
            <v>80</v>
          </cell>
          <cell r="C448">
            <v>0.65372580560343296</v>
          </cell>
          <cell r="D448" t="str">
            <v>kajoi</v>
          </cell>
        </row>
        <row r="449">
          <cell r="A449">
            <v>662</v>
          </cell>
          <cell r="B449">
            <v>80</v>
          </cell>
          <cell r="C449">
            <v>1.38092043778026</v>
          </cell>
          <cell r="D449" t="str">
            <v>pelikano</v>
          </cell>
        </row>
        <row r="450">
          <cell r="A450">
            <v>663</v>
          </cell>
          <cell r="B450">
            <v>80</v>
          </cell>
          <cell r="C450">
            <v>1.36460269497424</v>
          </cell>
          <cell r="D450" t="str">
            <v>zutabe</v>
          </cell>
        </row>
        <row r="451">
          <cell r="A451">
            <v>666</v>
          </cell>
          <cell r="B451">
            <v>80</v>
          </cell>
          <cell r="C451">
            <v>0</v>
          </cell>
          <cell r="D451" t="str">
            <v>kafe</v>
          </cell>
        </row>
        <row r="452">
          <cell r="A452">
            <v>668</v>
          </cell>
          <cell r="B452">
            <v>80</v>
          </cell>
          <cell r="C452">
            <v>0.43561337348743201</v>
          </cell>
          <cell r="D452" t="str">
            <v>oilasko</v>
          </cell>
        </row>
        <row r="453">
          <cell r="A453">
            <v>669</v>
          </cell>
          <cell r="B453">
            <v>80</v>
          </cell>
          <cell r="C453">
            <v>0.42806962922930603</v>
          </cell>
          <cell r="D453" t="str">
            <v>piloto</v>
          </cell>
        </row>
        <row r="454">
          <cell r="A454">
            <v>671</v>
          </cell>
          <cell r="B454">
            <v>80</v>
          </cell>
          <cell r="C454">
            <v>0</v>
          </cell>
          <cell r="D454" t="str">
            <v>tiranteak</v>
          </cell>
        </row>
        <row r="455">
          <cell r="A455">
            <v>672</v>
          </cell>
          <cell r="B455">
            <v>80</v>
          </cell>
          <cell r="C455">
            <v>0.84057981989524</v>
          </cell>
          <cell r="D455" t="str">
            <v>erle</v>
          </cell>
        </row>
        <row r="456">
          <cell r="A456">
            <v>673</v>
          </cell>
          <cell r="B456">
            <v>80</v>
          </cell>
          <cell r="C456">
            <v>0.94182853544751499</v>
          </cell>
          <cell r="D456" t="str">
            <v>sardexka</v>
          </cell>
        </row>
        <row r="457">
          <cell r="A457">
            <v>675</v>
          </cell>
          <cell r="B457">
            <v>80</v>
          </cell>
          <cell r="C457">
            <v>0.81651871195382797</v>
          </cell>
          <cell r="D457" t="str">
            <v>errota</v>
          </cell>
        </row>
        <row r="458">
          <cell r="A458">
            <v>676</v>
          </cell>
          <cell r="B458">
            <v>80</v>
          </cell>
          <cell r="C458">
            <v>1.61215321435762</v>
          </cell>
          <cell r="D458" t="str">
            <v>bastoi</v>
          </cell>
        </row>
        <row r="459">
          <cell r="A459">
            <v>677</v>
          </cell>
          <cell r="B459">
            <v>80</v>
          </cell>
          <cell r="C459">
            <v>1.0540157730727999</v>
          </cell>
          <cell r="D459" t="str">
            <v>mapa</v>
          </cell>
        </row>
        <row r="460">
          <cell r="A460">
            <v>678</v>
          </cell>
          <cell r="B460">
            <v>80</v>
          </cell>
          <cell r="C460">
            <v>0</v>
          </cell>
          <cell r="D460" t="str">
            <v>adar</v>
          </cell>
        </row>
        <row r="461">
          <cell r="A461">
            <v>680</v>
          </cell>
          <cell r="B461">
            <v>80</v>
          </cell>
          <cell r="C461">
            <v>0</v>
          </cell>
          <cell r="D461" t="str">
            <v>arko</v>
          </cell>
        </row>
        <row r="462">
          <cell r="A462">
            <v>681</v>
          </cell>
          <cell r="B462">
            <v>80</v>
          </cell>
          <cell r="C462">
            <v>1.3380981750504499</v>
          </cell>
          <cell r="D462" t="str">
            <v>kohete</v>
          </cell>
        </row>
        <row r="463">
          <cell r="A463">
            <v>682</v>
          </cell>
          <cell r="B463">
            <v>80</v>
          </cell>
          <cell r="C463">
            <v>0</v>
          </cell>
          <cell r="D463" t="str">
            <v>pinguino</v>
          </cell>
        </row>
        <row r="464">
          <cell r="A464">
            <v>683</v>
          </cell>
          <cell r="B464">
            <v>80</v>
          </cell>
          <cell r="C464">
            <v>0.69254228271023399</v>
          </cell>
          <cell r="D464" t="str">
            <v>karabana</v>
          </cell>
        </row>
        <row r="465">
          <cell r="A465">
            <v>687</v>
          </cell>
          <cell r="B465">
            <v>80</v>
          </cell>
          <cell r="C465">
            <v>0.66890702039649697</v>
          </cell>
          <cell r="D465" t="str">
            <v>alkandora</v>
          </cell>
        </row>
        <row r="466">
          <cell r="A466">
            <v>689</v>
          </cell>
          <cell r="B466">
            <v>80</v>
          </cell>
          <cell r="C466">
            <v>1.88060713681912</v>
          </cell>
          <cell r="D466" t="str">
            <v>pezera</v>
          </cell>
        </row>
        <row r="467">
          <cell r="A467">
            <v>690</v>
          </cell>
          <cell r="B467">
            <v>80</v>
          </cell>
          <cell r="C467">
            <v>1.5081206370787601</v>
          </cell>
          <cell r="D467" t="str">
            <v>txapel</v>
          </cell>
        </row>
        <row r="468">
          <cell r="A468">
            <v>691</v>
          </cell>
          <cell r="B468">
            <v>80</v>
          </cell>
          <cell r="C468">
            <v>0.51307291169212998</v>
          </cell>
          <cell r="D468" t="str">
            <v>gizona</v>
          </cell>
        </row>
        <row r="469">
          <cell r="A469">
            <v>692</v>
          </cell>
          <cell r="B469">
            <v>80</v>
          </cell>
          <cell r="C469">
            <v>0.75128657671834298</v>
          </cell>
          <cell r="D469" t="str">
            <v>gerezi</v>
          </cell>
        </row>
        <row r="470">
          <cell r="A470">
            <v>693</v>
          </cell>
          <cell r="B470">
            <v>80</v>
          </cell>
          <cell r="C470">
            <v>0.66901583505655704</v>
          </cell>
          <cell r="D470" t="str">
            <v>zuhaitz</v>
          </cell>
        </row>
        <row r="471">
          <cell r="A471">
            <v>694</v>
          </cell>
          <cell r="B471">
            <v>80</v>
          </cell>
          <cell r="C471">
            <v>0.16866093149667</v>
          </cell>
          <cell r="D471" t="str">
            <v>besarkada</v>
          </cell>
        </row>
        <row r="472">
          <cell r="A472">
            <v>697</v>
          </cell>
          <cell r="B472">
            <v>80</v>
          </cell>
          <cell r="C472">
            <v>0.66744895067937404</v>
          </cell>
          <cell r="D472" t="str">
            <v>melokotoi</v>
          </cell>
        </row>
        <row r="473">
          <cell r="A473">
            <v>698</v>
          </cell>
          <cell r="B473">
            <v>80</v>
          </cell>
          <cell r="C473">
            <v>0.29461520565280702</v>
          </cell>
          <cell r="D473" t="str">
            <v>belarritako</v>
          </cell>
        </row>
        <row r="474">
          <cell r="A474">
            <v>699</v>
          </cell>
          <cell r="B474">
            <v>80</v>
          </cell>
          <cell r="C474">
            <v>0.30039141736478098</v>
          </cell>
          <cell r="D474" t="str">
            <v>teleskopio</v>
          </cell>
        </row>
        <row r="475">
          <cell r="A475">
            <v>700</v>
          </cell>
          <cell r="B475">
            <v>80</v>
          </cell>
          <cell r="C475">
            <v>0.78363508278621796</v>
          </cell>
          <cell r="D475" t="str">
            <v>grano</v>
          </cell>
        </row>
        <row r="476">
          <cell r="A476">
            <v>701</v>
          </cell>
          <cell r="B476">
            <v>80</v>
          </cell>
          <cell r="C476">
            <v>0.77477896330011997</v>
          </cell>
          <cell r="D476" t="str">
            <v>zimur</v>
          </cell>
        </row>
        <row r="477">
          <cell r="A477">
            <v>702</v>
          </cell>
          <cell r="B477">
            <v>80</v>
          </cell>
          <cell r="C477">
            <v>1.02155926963941</v>
          </cell>
          <cell r="D477" t="str">
            <v>estintore</v>
          </cell>
        </row>
        <row r="478">
          <cell r="A478">
            <v>707</v>
          </cell>
          <cell r="B478">
            <v>80</v>
          </cell>
          <cell r="C478">
            <v>0</v>
          </cell>
          <cell r="D478" t="str">
            <v>txakur</v>
          </cell>
        </row>
        <row r="479">
          <cell r="A479">
            <v>708</v>
          </cell>
          <cell r="B479">
            <v>80</v>
          </cell>
          <cell r="C479">
            <v>1.82217327511912</v>
          </cell>
          <cell r="D479" t="str">
            <v>tximino</v>
          </cell>
        </row>
        <row r="480">
          <cell r="A480">
            <v>709</v>
          </cell>
          <cell r="B480">
            <v>80</v>
          </cell>
          <cell r="C480">
            <v>1.0694199657708201</v>
          </cell>
          <cell r="D480" t="str">
            <v>igerilari</v>
          </cell>
        </row>
        <row r="481">
          <cell r="A481">
            <v>710</v>
          </cell>
          <cell r="B481">
            <v>80</v>
          </cell>
          <cell r="C481">
            <v>0.910695332923808</v>
          </cell>
          <cell r="D481" t="str">
            <v>mediku</v>
          </cell>
        </row>
        <row r="482">
          <cell r="A482">
            <v>711</v>
          </cell>
          <cell r="B482">
            <v>80</v>
          </cell>
          <cell r="C482">
            <v>2.2382782249655699</v>
          </cell>
          <cell r="D482" t="str">
            <v>belarra-moztekoa (makina/gailua/tresna/zera)</v>
          </cell>
        </row>
        <row r="483">
          <cell r="A483">
            <v>715</v>
          </cell>
          <cell r="B483">
            <v>80</v>
          </cell>
          <cell r="C483">
            <v>0.59167277858232703</v>
          </cell>
          <cell r="D483" t="str">
            <v>billar</v>
          </cell>
        </row>
        <row r="484">
          <cell r="A484">
            <v>717</v>
          </cell>
          <cell r="B484">
            <v>80</v>
          </cell>
          <cell r="C484">
            <v>1.67667757027261</v>
          </cell>
          <cell r="D484" t="str">
            <v>trikitixa</v>
          </cell>
        </row>
        <row r="485">
          <cell r="A485">
            <v>718</v>
          </cell>
          <cell r="B485">
            <v>80</v>
          </cell>
          <cell r="C485">
            <v>0.97383548198914105</v>
          </cell>
          <cell r="D485" t="str">
            <v>galtzak</v>
          </cell>
        </row>
        <row r="486">
          <cell r="A486">
            <v>720</v>
          </cell>
          <cell r="B486">
            <v>80</v>
          </cell>
          <cell r="C486">
            <v>0</v>
          </cell>
          <cell r="D486" t="str">
            <v>kometa</v>
          </cell>
        </row>
        <row r="487">
          <cell r="A487">
            <v>724</v>
          </cell>
          <cell r="B487">
            <v>80</v>
          </cell>
          <cell r="C487">
            <v>0.23750814382859201</v>
          </cell>
          <cell r="D487" t="str">
            <v>bale</v>
          </cell>
        </row>
        <row r="488">
          <cell r="A488">
            <v>726</v>
          </cell>
          <cell r="B488">
            <v>80</v>
          </cell>
          <cell r="C488">
            <v>0.95562226935314698</v>
          </cell>
          <cell r="D488" t="str">
            <v>zerbitzari</v>
          </cell>
        </row>
        <row r="489">
          <cell r="A489">
            <v>727</v>
          </cell>
          <cell r="B489">
            <v>80</v>
          </cell>
          <cell r="C489">
            <v>0</v>
          </cell>
          <cell r="D489" t="str">
            <v>mangera</v>
          </cell>
        </row>
        <row r="490">
          <cell r="A490">
            <v>729</v>
          </cell>
          <cell r="B490">
            <v>80</v>
          </cell>
          <cell r="C490">
            <v>0.291818256598885</v>
          </cell>
          <cell r="D490" t="str">
            <v>estatua</v>
          </cell>
        </row>
        <row r="491">
          <cell r="A491">
            <v>730</v>
          </cell>
          <cell r="B491">
            <v>80</v>
          </cell>
          <cell r="C491">
            <v>0.61890702039649603</v>
          </cell>
          <cell r="D491" t="str">
            <v>sukalde</v>
          </cell>
        </row>
        <row r="492">
          <cell r="A492">
            <v>732</v>
          </cell>
          <cell r="B492">
            <v>80</v>
          </cell>
          <cell r="C492">
            <v>0.93058612913199201</v>
          </cell>
          <cell r="D492" t="str">
            <v>baloi</v>
          </cell>
        </row>
        <row r="493">
          <cell r="A493">
            <v>733</v>
          </cell>
          <cell r="B493">
            <v>80</v>
          </cell>
          <cell r="C493">
            <v>0.77255857130846395</v>
          </cell>
          <cell r="D493" t="str">
            <v>betaurrekoak</v>
          </cell>
        </row>
        <row r="494">
          <cell r="A494">
            <v>734</v>
          </cell>
          <cell r="B494">
            <v>80</v>
          </cell>
          <cell r="C494">
            <v>0.99810213273901005</v>
          </cell>
          <cell r="D494" t="str">
            <v>garbigailu</v>
          </cell>
        </row>
        <row r="495">
          <cell r="A495">
            <v>736</v>
          </cell>
          <cell r="B495">
            <v>80</v>
          </cell>
          <cell r="C495">
            <v>1.2971860766379999</v>
          </cell>
          <cell r="D495" t="str">
            <v>azti</v>
          </cell>
        </row>
        <row r="496">
          <cell r="A496">
            <v>740</v>
          </cell>
          <cell r="B496">
            <v>80</v>
          </cell>
          <cell r="C496">
            <v>0.60143538642907701</v>
          </cell>
          <cell r="D496" t="str">
            <v>arrantzale</v>
          </cell>
        </row>
        <row r="497">
          <cell r="A497">
            <v>741</v>
          </cell>
          <cell r="B497">
            <v>80</v>
          </cell>
          <cell r="C497">
            <v>0.95786302374797905</v>
          </cell>
          <cell r="D497" t="str">
            <v>gozoki</v>
          </cell>
        </row>
        <row r="498">
          <cell r="A498">
            <v>743</v>
          </cell>
          <cell r="B498">
            <v>80</v>
          </cell>
          <cell r="C498">
            <v>0.36509898470587998</v>
          </cell>
          <cell r="D498" t="str">
            <v>txorimalo</v>
          </cell>
        </row>
        <row r="499">
          <cell r="A499">
            <v>745</v>
          </cell>
          <cell r="B499">
            <v>80</v>
          </cell>
          <cell r="C499">
            <v>0.43055186701043902</v>
          </cell>
          <cell r="D499" t="str">
            <v>putzu</v>
          </cell>
        </row>
        <row r="500">
          <cell r="A500">
            <v>746</v>
          </cell>
          <cell r="B500">
            <v>80</v>
          </cell>
          <cell r="C500">
            <v>0.18312206830137201</v>
          </cell>
          <cell r="D500" t="str">
            <v>bolo</v>
          </cell>
        </row>
        <row r="501">
          <cell r="A501">
            <v>747</v>
          </cell>
          <cell r="B501">
            <v>80</v>
          </cell>
          <cell r="C501">
            <v>1.0680046946453099</v>
          </cell>
          <cell r="D501" t="str">
            <v>bainera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Removed"/>
      <sheetName val="Phon_Orth_Similarity_11_11_022"/>
    </sheetNames>
    <sheetDataSet>
      <sheetData sheetId="0"/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earpondEN_HE1IR"/>
      <sheetName val="Φύλλο1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written_es_wordlist_out_imageab"/>
      <sheetName val="Output_Espal_Zipf"/>
      <sheetName val="output_Zipf"/>
    </sheetNames>
    <sheetDataSet>
      <sheetData sheetId="0"/>
      <sheetData sheetId="1">
        <row r="1">
          <cell r="A1" t="str">
            <v>word</v>
          </cell>
          <cell r="B1" t="str">
            <v>imageability</v>
          </cell>
        </row>
        <row r="2">
          <cell r="A2" t="str">
            <v>arpa</v>
          </cell>
        </row>
        <row r="3">
          <cell r="A3" t="str">
            <v>bolo</v>
          </cell>
        </row>
        <row r="4">
          <cell r="A4" t="str">
            <v>café</v>
          </cell>
        </row>
        <row r="5">
          <cell r="A5" t="str">
            <v>caja</v>
          </cell>
          <cell r="B5">
            <v>6.2320000000000002</v>
          </cell>
          <cell r="D5">
            <v>1000</v>
          </cell>
        </row>
        <row r="6">
          <cell r="A6" t="str">
            <v>cama</v>
          </cell>
          <cell r="B6">
            <v>7</v>
          </cell>
        </row>
        <row r="7">
          <cell r="A7" t="str">
            <v>caña</v>
          </cell>
        </row>
        <row r="8">
          <cell r="A8" t="str">
            <v>coco</v>
          </cell>
        </row>
        <row r="9">
          <cell r="A9" t="str">
            <v>codo</v>
          </cell>
          <cell r="B9">
            <v>4.2850000000000001</v>
          </cell>
        </row>
        <row r="10">
          <cell r="A10" t="str">
            <v>cuna</v>
          </cell>
          <cell r="B10">
            <v>6.069</v>
          </cell>
        </row>
        <row r="11">
          <cell r="A11" t="str">
            <v>dado</v>
          </cell>
          <cell r="B11">
            <v>5.2729999999999997</v>
          </cell>
        </row>
        <row r="12">
          <cell r="A12" t="str">
            <v>flor</v>
          </cell>
          <cell r="B12">
            <v>6.306</v>
          </cell>
        </row>
        <row r="13">
          <cell r="A13" t="str">
            <v>gato</v>
          </cell>
        </row>
        <row r="14">
          <cell r="A14" t="str">
            <v>goma</v>
          </cell>
          <cell r="B14">
            <v>6.1639999999999997</v>
          </cell>
        </row>
        <row r="15">
          <cell r="A15" t="str">
            <v>isla</v>
          </cell>
          <cell r="B15">
            <v>6.15</v>
          </cell>
        </row>
        <row r="16">
          <cell r="A16" t="str">
            <v>juez</v>
          </cell>
          <cell r="B16">
            <v>5.9630000000000001</v>
          </cell>
        </row>
        <row r="17">
          <cell r="A17" t="str">
            <v>kiwi</v>
          </cell>
        </row>
        <row r="18">
          <cell r="A18" t="str">
            <v>león</v>
          </cell>
          <cell r="B18">
            <v>6.7629999999999999</v>
          </cell>
        </row>
        <row r="19">
          <cell r="A19" t="str">
            <v>loro</v>
          </cell>
          <cell r="B19">
            <v>6.109</v>
          </cell>
        </row>
        <row r="20">
          <cell r="A20" t="str">
            <v>luna</v>
          </cell>
          <cell r="B20">
            <v>5.7489999999999997</v>
          </cell>
        </row>
        <row r="21">
          <cell r="A21" t="str">
            <v>miel</v>
          </cell>
          <cell r="B21">
            <v>5.4009999999999998</v>
          </cell>
        </row>
        <row r="22">
          <cell r="A22" t="str">
            <v>nido</v>
          </cell>
          <cell r="B22">
            <v>6.33</v>
          </cell>
        </row>
        <row r="23">
          <cell r="A23" t="str">
            <v>niña</v>
          </cell>
          <cell r="B23">
            <v>6.3159999999999998</v>
          </cell>
        </row>
        <row r="24">
          <cell r="A24" t="str">
            <v>niño</v>
          </cell>
          <cell r="B24">
            <v>6.39</v>
          </cell>
        </row>
        <row r="25">
          <cell r="A25" t="str">
            <v>nube</v>
          </cell>
          <cell r="B25">
            <v>6.6180000000000003</v>
          </cell>
        </row>
        <row r="26">
          <cell r="A26" t="str">
            <v>nuez</v>
          </cell>
          <cell r="B26">
            <v>5.3090000000000002</v>
          </cell>
        </row>
        <row r="27">
          <cell r="A27" t="str">
            <v>pala</v>
          </cell>
          <cell r="B27">
            <v>6.2629999999999999</v>
          </cell>
        </row>
        <row r="28">
          <cell r="A28" t="str">
            <v>pato</v>
          </cell>
          <cell r="B28">
            <v>6.5730000000000004</v>
          </cell>
        </row>
        <row r="29">
          <cell r="A29" t="str">
            <v>pera</v>
          </cell>
          <cell r="B29">
            <v>5.548</v>
          </cell>
        </row>
        <row r="30">
          <cell r="A30" t="str">
            <v>pila</v>
          </cell>
          <cell r="B30">
            <v>6.0279999999999996</v>
          </cell>
        </row>
        <row r="31">
          <cell r="A31" t="str">
            <v>piña</v>
          </cell>
        </row>
        <row r="32">
          <cell r="A32" t="str">
            <v>pipa</v>
          </cell>
          <cell r="B32">
            <v>6.2709999999999999</v>
          </cell>
        </row>
        <row r="33">
          <cell r="A33" t="str">
            <v>pozo</v>
          </cell>
          <cell r="B33">
            <v>6.1689999999999996</v>
          </cell>
        </row>
        <row r="34">
          <cell r="A34" t="str">
            <v>raíz</v>
          </cell>
          <cell r="B34">
            <v>5.8010000000000002</v>
          </cell>
        </row>
        <row r="35">
          <cell r="A35" t="str">
            <v>rana</v>
          </cell>
          <cell r="B35">
            <v>6.2670000000000003</v>
          </cell>
        </row>
        <row r="36">
          <cell r="A36" t="str">
            <v>saco</v>
          </cell>
          <cell r="B36">
            <v>5.7670000000000003</v>
          </cell>
        </row>
        <row r="37">
          <cell r="A37" t="str">
            <v>taxi</v>
          </cell>
          <cell r="B37">
            <v>6.6539999999999999</v>
          </cell>
        </row>
        <row r="38">
          <cell r="A38" t="str">
            <v>taza</v>
          </cell>
          <cell r="B38">
            <v>5.3410000000000002</v>
          </cell>
        </row>
        <row r="39">
          <cell r="A39" t="str">
            <v>toro</v>
          </cell>
          <cell r="B39">
            <v>5.8579999999999997</v>
          </cell>
        </row>
        <row r="40">
          <cell r="A40" t="str">
            <v>vaca</v>
          </cell>
          <cell r="B40">
            <v>6.0229999999999997</v>
          </cell>
        </row>
        <row r="41">
          <cell r="A41" t="str">
            <v>vaso</v>
          </cell>
          <cell r="B41">
            <v>6.6130000000000004</v>
          </cell>
        </row>
        <row r="42">
          <cell r="A42" t="str">
            <v>vela</v>
          </cell>
          <cell r="B42">
            <v>5.7809999999999997</v>
          </cell>
        </row>
        <row r="43">
          <cell r="A43" t="str">
            <v>aleta</v>
          </cell>
          <cell r="B43">
            <v>5.7460000000000004</v>
          </cell>
        </row>
        <row r="44">
          <cell r="A44" t="str">
            <v>ancla</v>
          </cell>
          <cell r="B44">
            <v>5.7060000000000004</v>
          </cell>
        </row>
        <row r="45">
          <cell r="A45" t="str">
            <v>araña</v>
          </cell>
          <cell r="B45">
            <v>6.1429999999999998</v>
          </cell>
        </row>
        <row r="46">
          <cell r="A46" t="str">
            <v>árbol</v>
          </cell>
          <cell r="B46">
            <v>6.2919999999999998</v>
          </cell>
        </row>
        <row r="47">
          <cell r="A47" t="str">
            <v>avión</v>
          </cell>
          <cell r="B47">
            <v>5.81</v>
          </cell>
        </row>
        <row r="48">
          <cell r="A48" t="str">
            <v>banco</v>
          </cell>
          <cell r="B48">
            <v>5.7110000000000003</v>
          </cell>
        </row>
        <row r="49">
          <cell r="A49" t="str">
            <v>barba</v>
          </cell>
          <cell r="B49">
            <v>6.0549999999999997</v>
          </cell>
        </row>
        <row r="50">
          <cell r="A50" t="str">
            <v>bolsa</v>
          </cell>
          <cell r="B50">
            <v>5.0350000000000001</v>
          </cell>
        </row>
        <row r="51">
          <cell r="A51" t="str">
            <v>bomba</v>
          </cell>
          <cell r="B51">
            <v>5.7919999999999998</v>
          </cell>
        </row>
        <row r="52">
          <cell r="A52" t="str">
            <v>botón</v>
          </cell>
          <cell r="B52">
            <v>6.5259999999999998</v>
          </cell>
        </row>
        <row r="53">
          <cell r="A53" t="str">
            <v>braga</v>
          </cell>
        </row>
        <row r="54">
          <cell r="A54" t="str">
            <v>brazo</v>
          </cell>
          <cell r="B54">
            <v>6.0860000000000003</v>
          </cell>
        </row>
        <row r="55">
          <cell r="A55" t="str">
            <v>bruja</v>
          </cell>
          <cell r="B55">
            <v>6.1269999999999998</v>
          </cell>
        </row>
        <row r="56">
          <cell r="A56" t="str">
            <v>buzón</v>
          </cell>
          <cell r="B56">
            <v>6.2880000000000003</v>
          </cell>
        </row>
        <row r="57">
          <cell r="A57" t="str">
            <v>cable</v>
          </cell>
          <cell r="B57">
            <v>5.7119999999999997</v>
          </cell>
        </row>
        <row r="58">
          <cell r="A58" t="str">
            <v>cajón</v>
          </cell>
          <cell r="B58">
            <v>6.3920000000000003</v>
          </cell>
        </row>
        <row r="59">
          <cell r="A59" t="str">
            <v>cañón</v>
          </cell>
          <cell r="B59">
            <v>5.5940000000000003</v>
          </cell>
        </row>
        <row r="60">
          <cell r="A60" t="str">
            <v>casco</v>
          </cell>
          <cell r="B60">
            <v>5.7969999999999997</v>
          </cell>
        </row>
        <row r="61">
          <cell r="A61" t="str">
            <v>cebra</v>
          </cell>
        </row>
        <row r="62">
          <cell r="A62" t="str">
            <v>cerdo</v>
          </cell>
          <cell r="B62">
            <v>5.8040000000000003</v>
          </cell>
        </row>
        <row r="63">
          <cell r="A63" t="str">
            <v>cesta</v>
          </cell>
          <cell r="B63">
            <v>6.0570000000000004</v>
          </cell>
        </row>
        <row r="64">
          <cell r="A64" t="str">
            <v>cisne</v>
          </cell>
          <cell r="B64">
            <v>6.3330000000000002</v>
          </cell>
        </row>
        <row r="65">
          <cell r="A65" t="str">
            <v>coche</v>
          </cell>
          <cell r="B65">
            <v>6.5659999999999998</v>
          </cell>
        </row>
        <row r="66">
          <cell r="A66" t="str">
            <v>diana</v>
          </cell>
          <cell r="B66">
            <v>5.4539999999999997</v>
          </cell>
        </row>
        <row r="67">
          <cell r="A67" t="str">
            <v>ducha</v>
          </cell>
          <cell r="B67">
            <v>6.5650000000000004</v>
          </cell>
        </row>
        <row r="68">
          <cell r="A68" t="str">
            <v>falda</v>
          </cell>
          <cell r="B68">
            <v>6.5910000000000002</v>
          </cell>
        </row>
        <row r="69">
          <cell r="A69" t="str">
            <v>fresa</v>
          </cell>
          <cell r="B69">
            <v>6.67</v>
          </cell>
        </row>
        <row r="70">
          <cell r="A70" t="str">
            <v>gafas</v>
          </cell>
          <cell r="B70">
            <v>5.8010000000000002</v>
          </cell>
        </row>
        <row r="71">
          <cell r="A71" t="str">
            <v>gaita</v>
          </cell>
        </row>
        <row r="72">
          <cell r="A72" t="str">
            <v>globo</v>
          </cell>
          <cell r="B72">
            <v>6.2430000000000003</v>
          </cell>
        </row>
        <row r="73">
          <cell r="A73" t="str">
            <v>grifo</v>
          </cell>
          <cell r="B73">
            <v>5.8070000000000004</v>
          </cell>
        </row>
        <row r="74">
          <cell r="A74" t="str">
            <v>jaula</v>
          </cell>
          <cell r="B74">
            <v>6.4850000000000003</v>
          </cell>
        </row>
        <row r="75">
          <cell r="A75" t="str">
            <v>koala</v>
          </cell>
        </row>
        <row r="76">
          <cell r="A76" t="str">
            <v>limón</v>
          </cell>
        </row>
        <row r="77">
          <cell r="A77" t="str">
            <v>llave</v>
          </cell>
          <cell r="B77">
            <v>5.7679999999999998</v>
          </cell>
        </row>
        <row r="78">
          <cell r="A78" t="str">
            <v>melón</v>
          </cell>
        </row>
        <row r="79">
          <cell r="A79" t="str">
            <v>motor</v>
          </cell>
          <cell r="B79">
            <v>5.6520000000000001</v>
          </cell>
        </row>
        <row r="80">
          <cell r="A80" t="str">
            <v>nariz</v>
          </cell>
          <cell r="B80">
            <v>6.39</v>
          </cell>
        </row>
        <row r="81">
          <cell r="A81" t="str">
            <v>oreja</v>
          </cell>
          <cell r="B81">
            <v>6.4509999999999996</v>
          </cell>
        </row>
        <row r="82">
          <cell r="A82" t="str">
            <v>oveja</v>
          </cell>
          <cell r="B82">
            <v>6.3220000000000001</v>
          </cell>
        </row>
        <row r="83">
          <cell r="A83" t="str">
            <v>perro</v>
          </cell>
          <cell r="B83">
            <v>6.5730000000000004</v>
          </cell>
        </row>
        <row r="84">
          <cell r="A84" t="str">
            <v>piano</v>
          </cell>
          <cell r="B84">
            <v>6.5650000000000004</v>
          </cell>
        </row>
        <row r="85">
          <cell r="A85" t="str">
            <v>pinza</v>
          </cell>
        </row>
        <row r="86">
          <cell r="A86" t="str">
            <v>pizza</v>
          </cell>
        </row>
        <row r="87">
          <cell r="A87" t="str">
            <v>queso</v>
          </cell>
          <cell r="B87">
            <v>5.8490000000000002</v>
          </cell>
        </row>
        <row r="88">
          <cell r="A88" t="str">
            <v>regla</v>
          </cell>
          <cell r="B88">
            <v>5.585</v>
          </cell>
        </row>
        <row r="89">
          <cell r="A89" t="str">
            <v>reina</v>
          </cell>
          <cell r="B89">
            <v>6.3440000000000003</v>
          </cell>
        </row>
        <row r="90">
          <cell r="A90" t="str">
            <v>reloj</v>
          </cell>
          <cell r="B90">
            <v>6.0430000000000001</v>
          </cell>
        </row>
        <row r="91">
          <cell r="A91" t="str">
            <v>robot</v>
          </cell>
          <cell r="B91">
            <v>6.0990000000000002</v>
          </cell>
        </row>
        <row r="92">
          <cell r="A92" t="str">
            <v>silla</v>
          </cell>
          <cell r="B92">
            <v>6.54</v>
          </cell>
        </row>
        <row r="93">
          <cell r="A93" t="str">
            <v>tacón</v>
          </cell>
          <cell r="B93">
            <v>6.1029999999999998</v>
          </cell>
        </row>
        <row r="94">
          <cell r="A94" t="str">
            <v>traje</v>
          </cell>
          <cell r="B94">
            <v>5.9429999999999996</v>
          </cell>
        </row>
        <row r="95">
          <cell r="A95" t="str">
            <v>túnel</v>
          </cell>
          <cell r="B95">
            <v>6.2069999999999999</v>
          </cell>
        </row>
        <row r="96">
          <cell r="A96" t="str">
            <v>abrazo</v>
          </cell>
          <cell r="B96">
            <v>6.2089999999999996</v>
          </cell>
        </row>
        <row r="97">
          <cell r="A97" t="str">
            <v>antena</v>
          </cell>
          <cell r="B97">
            <v>6.5780000000000003</v>
          </cell>
        </row>
        <row r="98">
          <cell r="A98" t="str">
            <v>babero</v>
          </cell>
        </row>
        <row r="99">
          <cell r="A99" t="str">
            <v>bañera</v>
          </cell>
          <cell r="B99">
            <v>6.6920000000000002</v>
          </cell>
        </row>
        <row r="100">
          <cell r="A100" t="str">
            <v>biblia</v>
          </cell>
          <cell r="B100">
            <v>5.702</v>
          </cell>
        </row>
        <row r="101">
          <cell r="A101" t="str">
            <v>bigote</v>
          </cell>
          <cell r="B101">
            <v>6.5039999999999996</v>
          </cell>
        </row>
        <row r="102">
          <cell r="A102" t="str">
            <v>billar</v>
          </cell>
        </row>
        <row r="103">
          <cell r="A103" t="str">
            <v>cactus</v>
          </cell>
          <cell r="B103">
            <v>6.5090000000000003</v>
          </cell>
        </row>
        <row r="104">
          <cell r="A104" t="str">
            <v>cadena</v>
          </cell>
          <cell r="B104">
            <v>6.4429999999999996</v>
          </cell>
        </row>
        <row r="105">
          <cell r="A105" t="str">
            <v>cámara</v>
          </cell>
          <cell r="B105">
            <v>6.2569999999999997</v>
          </cell>
        </row>
        <row r="106">
          <cell r="A106" t="str">
            <v>camisa</v>
          </cell>
          <cell r="B106">
            <v>6.2809999999999997</v>
          </cell>
        </row>
        <row r="107">
          <cell r="A107" t="str">
            <v>cereza</v>
          </cell>
        </row>
        <row r="108">
          <cell r="A108" t="str">
            <v>cocina</v>
          </cell>
          <cell r="B108">
            <v>6.0590000000000002</v>
          </cell>
        </row>
        <row r="109">
          <cell r="A109" t="str">
            <v>cometa</v>
          </cell>
          <cell r="B109">
            <v>6.0659999999999998</v>
          </cell>
        </row>
        <row r="110">
          <cell r="A110" t="str">
            <v>compás</v>
          </cell>
          <cell r="B110">
            <v>6.1820000000000004</v>
          </cell>
        </row>
        <row r="111">
          <cell r="A111" t="str">
            <v>conejo</v>
          </cell>
          <cell r="B111">
            <v>6.0609999999999999</v>
          </cell>
        </row>
        <row r="112">
          <cell r="A112" t="str">
            <v>corona</v>
          </cell>
          <cell r="B112">
            <v>5.5570000000000004</v>
          </cell>
        </row>
        <row r="113">
          <cell r="A113" t="str">
            <v>delfín</v>
          </cell>
        </row>
        <row r="114">
          <cell r="A114" t="str">
            <v>dominó</v>
          </cell>
        </row>
        <row r="115">
          <cell r="A115" t="str">
            <v>escoba</v>
          </cell>
          <cell r="B115">
            <v>5.8490000000000002</v>
          </cell>
        </row>
        <row r="116">
          <cell r="A116" t="str">
            <v>espada</v>
          </cell>
          <cell r="B116">
            <v>5.8760000000000003</v>
          </cell>
        </row>
        <row r="117">
          <cell r="A117" t="str">
            <v>espejo</v>
          </cell>
          <cell r="B117">
            <v>5.5949999999999998</v>
          </cell>
        </row>
        <row r="118">
          <cell r="A118" t="str">
            <v>farola</v>
          </cell>
        </row>
        <row r="119">
          <cell r="A119" t="str">
            <v>flauta</v>
          </cell>
          <cell r="B119">
            <v>5.9710000000000001</v>
          </cell>
        </row>
        <row r="120">
          <cell r="A120" t="str">
            <v>flecha</v>
          </cell>
          <cell r="B120">
            <v>6.1189999999999998</v>
          </cell>
        </row>
        <row r="121">
          <cell r="A121" t="str">
            <v>fuente</v>
          </cell>
          <cell r="B121">
            <v>6.524</v>
          </cell>
        </row>
        <row r="122">
          <cell r="A122" t="str">
            <v>guante</v>
          </cell>
          <cell r="B122">
            <v>6.3280000000000003</v>
          </cell>
        </row>
        <row r="123">
          <cell r="A123" t="str">
            <v>jirafa</v>
          </cell>
        </row>
        <row r="124">
          <cell r="A124" t="str">
            <v>lengua</v>
          </cell>
          <cell r="B124">
            <v>6.4059999999999997</v>
          </cell>
        </row>
        <row r="125">
          <cell r="A125" t="str">
            <v>maleta</v>
          </cell>
          <cell r="B125">
            <v>4.87</v>
          </cell>
        </row>
        <row r="126">
          <cell r="A126" t="str">
            <v>medusa</v>
          </cell>
        </row>
        <row r="127">
          <cell r="A127" t="str">
            <v>minero</v>
          </cell>
          <cell r="B127">
            <v>5.5609999999999999</v>
          </cell>
        </row>
        <row r="128">
          <cell r="A128" t="str">
            <v>molino</v>
          </cell>
          <cell r="B128">
            <v>6.0979999999999999</v>
          </cell>
        </row>
        <row r="129">
          <cell r="A129" t="str">
            <v>moneda</v>
          </cell>
          <cell r="B129">
            <v>6.2949999999999999</v>
          </cell>
        </row>
        <row r="130">
          <cell r="A130" t="str">
            <v>muleta</v>
          </cell>
        </row>
        <row r="131">
          <cell r="A131" t="str">
            <v>paella</v>
          </cell>
          <cell r="B131">
            <v>5.8230000000000004</v>
          </cell>
        </row>
        <row r="132">
          <cell r="A132" t="str">
            <v>patata</v>
          </cell>
          <cell r="B132">
            <v>6.3129999999999997</v>
          </cell>
        </row>
        <row r="133">
          <cell r="A133" t="str">
            <v>payaso</v>
          </cell>
          <cell r="B133">
            <v>6.3310000000000004</v>
          </cell>
        </row>
        <row r="134">
          <cell r="A134" t="str">
            <v>percha</v>
          </cell>
          <cell r="B134">
            <v>6.6139999999999999</v>
          </cell>
        </row>
        <row r="135">
          <cell r="A135" t="str">
            <v>pincel</v>
          </cell>
          <cell r="B135">
            <v>5.86</v>
          </cell>
        </row>
        <row r="136">
          <cell r="A136" t="str">
            <v>puerta</v>
          </cell>
          <cell r="B136">
            <v>5.8040000000000003</v>
          </cell>
        </row>
        <row r="137">
          <cell r="A137" t="str">
            <v>pulmón</v>
          </cell>
          <cell r="B137">
            <v>5.4409999999999998</v>
          </cell>
        </row>
        <row r="138">
          <cell r="A138" t="str">
            <v>regalo</v>
          </cell>
          <cell r="B138">
            <v>6.03</v>
          </cell>
        </row>
        <row r="139">
          <cell r="A139" t="str">
            <v>sirena</v>
          </cell>
          <cell r="B139">
            <v>5.8810000000000002</v>
          </cell>
        </row>
        <row r="140">
          <cell r="A140" t="str">
            <v>sombra</v>
          </cell>
          <cell r="B140">
            <v>6.0449999999999999</v>
          </cell>
        </row>
        <row r="141">
          <cell r="A141" t="str">
            <v>tambor</v>
          </cell>
          <cell r="B141">
            <v>6.2130000000000001</v>
          </cell>
        </row>
        <row r="142">
          <cell r="A142" t="str">
            <v>tanque</v>
          </cell>
          <cell r="B142">
            <v>5.9930000000000003</v>
          </cell>
        </row>
        <row r="143">
          <cell r="A143" t="str">
            <v>tejado</v>
          </cell>
          <cell r="B143">
            <v>6.1369999999999996</v>
          </cell>
        </row>
        <row r="144">
          <cell r="A144" t="str">
            <v>tomate</v>
          </cell>
          <cell r="B144">
            <v>6.6280000000000001</v>
          </cell>
        </row>
        <row r="145">
          <cell r="A145" t="str">
            <v>torero</v>
          </cell>
          <cell r="B145">
            <v>6.1070000000000002</v>
          </cell>
        </row>
        <row r="146">
          <cell r="A146" t="str">
            <v>trébol</v>
          </cell>
        </row>
        <row r="147">
          <cell r="A147" t="str">
            <v>volcán</v>
          </cell>
          <cell r="B147">
            <v>6.1669999999999998</v>
          </cell>
        </row>
        <row r="148">
          <cell r="A148" t="str">
            <v>zapato</v>
          </cell>
          <cell r="B148">
            <v>5.6360000000000001</v>
          </cell>
        </row>
        <row r="149">
          <cell r="A149" t="str">
            <v>abanico</v>
          </cell>
          <cell r="B149">
            <v>5.7279999999999998</v>
          </cell>
        </row>
        <row r="150">
          <cell r="A150" t="str">
            <v>ardilla</v>
          </cell>
          <cell r="B150">
            <v>5.8730000000000002</v>
          </cell>
        </row>
        <row r="151">
          <cell r="A151" t="str">
            <v>autobús</v>
          </cell>
          <cell r="B151">
            <v>6.3040000000000003</v>
          </cell>
        </row>
        <row r="152">
          <cell r="A152" t="str">
            <v>bandeja</v>
          </cell>
          <cell r="B152">
            <v>5.5970000000000004</v>
          </cell>
        </row>
        <row r="153">
          <cell r="A153" t="str">
            <v>bandera</v>
          </cell>
          <cell r="B153">
            <v>6.0510000000000002</v>
          </cell>
        </row>
        <row r="154">
          <cell r="A154" t="str">
            <v>batería</v>
          </cell>
          <cell r="B154">
            <v>5.9139999999999997</v>
          </cell>
        </row>
        <row r="155">
          <cell r="A155" t="str">
            <v>billete</v>
          </cell>
          <cell r="B155">
            <v>6.5140000000000002</v>
          </cell>
        </row>
        <row r="156">
          <cell r="A156" t="str">
            <v>bombero</v>
          </cell>
        </row>
        <row r="157">
          <cell r="A157" t="str">
            <v>botella</v>
          </cell>
          <cell r="B157">
            <v>6.7649999999999997</v>
          </cell>
        </row>
        <row r="158">
          <cell r="A158" t="str">
            <v>brújula</v>
          </cell>
        </row>
        <row r="159">
          <cell r="A159" t="str">
            <v>campana</v>
          </cell>
          <cell r="B159">
            <v>6.4880000000000004</v>
          </cell>
        </row>
        <row r="160">
          <cell r="A160" t="str">
            <v>canguro</v>
          </cell>
        </row>
        <row r="161">
          <cell r="A161" t="str">
            <v>caracol</v>
          </cell>
          <cell r="B161">
            <v>6.5350000000000001</v>
          </cell>
        </row>
        <row r="162">
          <cell r="A162" t="str">
            <v>cazador</v>
          </cell>
          <cell r="B162">
            <v>5.5119999999999996</v>
          </cell>
        </row>
        <row r="163">
          <cell r="A163" t="str">
            <v>cebolla</v>
          </cell>
          <cell r="B163">
            <v>6.4059999999999997</v>
          </cell>
        </row>
        <row r="164">
          <cell r="A164" t="str">
            <v>cerebro</v>
          </cell>
          <cell r="B164">
            <v>5.7080000000000002</v>
          </cell>
        </row>
        <row r="165">
          <cell r="A165" t="str">
            <v>chaleco</v>
          </cell>
          <cell r="B165">
            <v>6.4950000000000001</v>
          </cell>
        </row>
        <row r="166">
          <cell r="A166" t="str">
            <v>chupete</v>
          </cell>
        </row>
        <row r="167">
          <cell r="A167" t="str">
            <v>corazón</v>
          </cell>
          <cell r="B167">
            <v>6.1580000000000004</v>
          </cell>
        </row>
        <row r="168">
          <cell r="A168" t="str">
            <v>corbata</v>
          </cell>
          <cell r="B168">
            <v>6.1479999999999997</v>
          </cell>
        </row>
        <row r="169">
          <cell r="A169" t="str">
            <v>cortina</v>
          </cell>
          <cell r="B169">
            <v>5.6390000000000002</v>
          </cell>
        </row>
        <row r="170">
          <cell r="A170" t="str">
            <v>enchufe</v>
          </cell>
        </row>
        <row r="171">
          <cell r="A171" t="str">
            <v>espalda</v>
          </cell>
          <cell r="B171">
            <v>6.48</v>
          </cell>
        </row>
        <row r="172">
          <cell r="A172" t="str">
            <v>estuche</v>
          </cell>
          <cell r="B172">
            <v>5.774</v>
          </cell>
        </row>
        <row r="173">
          <cell r="A173" t="str">
            <v>galleta</v>
          </cell>
        </row>
        <row r="174">
          <cell r="A174" t="str">
            <v>girasol</v>
          </cell>
        </row>
        <row r="175">
          <cell r="A175" t="str">
            <v>lámpara</v>
          </cell>
          <cell r="B175">
            <v>6.1040000000000001</v>
          </cell>
        </row>
        <row r="176">
          <cell r="A176" t="str">
            <v>lechuga</v>
          </cell>
          <cell r="B176">
            <v>5.6580000000000004</v>
          </cell>
        </row>
        <row r="177">
          <cell r="A177" t="str">
            <v>manzana</v>
          </cell>
          <cell r="B177">
            <v>6.58</v>
          </cell>
        </row>
        <row r="178">
          <cell r="A178" t="str">
            <v>mechero</v>
          </cell>
          <cell r="B178">
            <v>6.5519999999999996</v>
          </cell>
        </row>
        <row r="179">
          <cell r="A179" t="str">
            <v>medalla</v>
          </cell>
          <cell r="B179">
            <v>6.391</v>
          </cell>
        </row>
        <row r="180">
          <cell r="A180" t="str">
            <v>mochila</v>
          </cell>
          <cell r="B180">
            <v>5.8250000000000002</v>
          </cell>
        </row>
        <row r="181">
          <cell r="A181" t="str">
            <v>nadador</v>
          </cell>
        </row>
        <row r="182">
          <cell r="A182" t="str">
            <v>naranja</v>
          </cell>
          <cell r="B182">
            <v>6.0510000000000002</v>
          </cell>
        </row>
        <row r="183">
          <cell r="A183" t="str">
            <v>pasillo</v>
          </cell>
          <cell r="B183">
            <v>6.274</v>
          </cell>
        </row>
        <row r="184">
          <cell r="A184" t="str">
            <v>piscina</v>
          </cell>
          <cell r="B184">
            <v>6.54</v>
          </cell>
        </row>
        <row r="185">
          <cell r="A185" t="str">
            <v>plancha</v>
          </cell>
          <cell r="B185">
            <v>5.6580000000000004</v>
          </cell>
        </row>
        <row r="186">
          <cell r="A186" t="str">
            <v>portero</v>
          </cell>
          <cell r="B186">
            <v>6.1689999999999996</v>
          </cell>
        </row>
        <row r="187">
          <cell r="A187" t="str">
            <v>rodilla</v>
          </cell>
          <cell r="B187">
            <v>4.6340000000000003</v>
          </cell>
        </row>
        <row r="188">
          <cell r="A188" t="str">
            <v>teclado</v>
          </cell>
        </row>
        <row r="189">
          <cell r="A189" t="str">
            <v>tenedor</v>
          </cell>
          <cell r="B189">
            <v>6.4130000000000003</v>
          </cell>
        </row>
        <row r="190">
          <cell r="A190" t="str">
            <v>tiburón</v>
          </cell>
        </row>
        <row r="191">
          <cell r="A191" t="str">
            <v>tijeras</v>
          </cell>
          <cell r="B191">
            <v>6.2539999999999996</v>
          </cell>
        </row>
        <row r="192">
          <cell r="A192" t="str">
            <v>tortuga</v>
          </cell>
          <cell r="B192">
            <v>6.4180000000000001</v>
          </cell>
        </row>
        <row r="193">
          <cell r="A193" t="str">
            <v>tractor</v>
          </cell>
        </row>
        <row r="194">
          <cell r="A194" t="str">
            <v>vestido</v>
          </cell>
        </row>
        <row r="195">
          <cell r="A195" t="str">
            <v>volante</v>
          </cell>
          <cell r="B195">
            <v>6.5090000000000003</v>
          </cell>
        </row>
        <row r="196">
          <cell r="A196" t="str">
            <v>copa</v>
          </cell>
          <cell r="B196">
            <v>6.3879999999999999</v>
          </cell>
        </row>
        <row r="197">
          <cell r="A197" t="str">
            <v>faro</v>
          </cell>
        </row>
        <row r="198">
          <cell r="A198" t="str">
            <v>pico</v>
          </cell>
          <cell r="B198">
            <v>5.944</v>
          </cell>
        </row>
        <row r="199">
          <cell r="A199" t="str">
            <v>puño</v>
          </cell>
          <cell r="B199">
            <v>5</v>
          </cell>
        </row>
        <row r="200">
          <cell r="A200" t="str">
            <v>fruta</v>
          </cell>
          <cell r="B200">
            <v>5.3330000000000002</v>
          </cell>
        </row>
        <row r="201">
          <cell r="A201" t="str">
            <v>pluma</v>
          </cell>
          <cell r="B201">
            <v>5.9580000000000002</v>
          </cell>
        </row>
        <row r="202">
          <cell r="A202" t="str">
            <v>escudo</v>
          </cell>
          <cell r="B202">
            <v>5.117</v>
          </cell>
        </row>
        <row r="203">
          <cell r="A203" t="str">
            <v>ladrón</v>
          </cell>
          <cell r="B203">
            <v>5.4379999999999997</v>
          </cell>
        </row>
        <row r="204">
          <cell r="A204" t="str">
            <v>plátano</v>
          </cell>
        </row>
        <row r="205">
          <cell r="A205" t="str">
            <v>jamón</v>
          </cell>
          <cell r="B205">
            <v>6.125</v>
          </cell>
        </row>
        <row r="206">
          <cell r="A206" t="str">
            <v>camión</v>
          </cell>
          <cell r="B206">
            <v>6.548</v>
          </cell>
        </row>
        <row r="207">
          <cell r="A207" t="str">
            <v>cohete</v>
          </cell>
          <cell r="B207">
            <v>6.2709999999999999</v>
          </cell>
        </row>
        <row r="208">
          <cell r="A208" t="str">
            <v>dragón</v>
          </cell>
          <cell r="B208">
            <v>5.8819999999999997</v>
          </cell>
        </row>
        <row r="209">
          <cell r="A209" t="str">
            <v>puente</v>
          </cell>
          <cell r="B209">
            <v>5.6950000000000003</v>
          </cell>
        </row>
        <row r="210">
          <cell r="A210" t="str">
            <v>pistola</v>
          </cell>
          <cell r="B210">
            <v>6.0110000000000001</v>
          </cell>
        </row>
        <row r="211">
          <cell r="A211" t="str">
            <v>cubo</v>
          </cell>
          <cell r="B211">
            <v>5.1289999999999996</v>
          </cell>
        </row>
        <row r="212">
          <cell r="A212" t="str">
            <v>noria</v>
          </cell>
        </row>
        <row r="213">
          <cell r="A213" t="str">
            <v>peine</v>
          </cell>
          <cell r="B213">
            <v>6.2409999999999997</v>
          </cell>
        </row>
        <row r="214">
          <cell r="A214" t="str">
            <v>cajero</v>
          </cell>
          <cell r="B214">
            <v>5.6379999999999999</v>
          </cell>
        </row>
        <row r="215">
          <cell r="A215" t="str">
            <v>cuadro</v>
          </cell>
          <cell r="B215">
            <v>6.6559999999999997</v>
          </cell>
        </row>
        <row r="216">
          <cell r="A216" t="str">
            <v>pastor</v>
          </cell>
          <cell r="B216">
            <v>5.6479999999999997</v>
          </cell>
        </row>
        <row r="217">
          <cell r="A217" t="str">
            <v>cartero</v>
          </cell>
          <cell r="B217">
            <v>5.9509999999999996</v>
          </cell>
        </row>
        <row r="218">
          <cell r="A218" t="str">
            <v>ventana</v>
          </cell>
          <cell r="B218">
            <v>6.5179999999999998</v>
          </cell>
        </row>
        <row r="219">
          <cell r="A219" t="str">
            <v>indio</v>
          </cell>
          <cell r="B219">
            <v>6.5940000000000003</v>
          </cell>
        </row>
        <row r="220">
          <cell r="A220" t="str">
            <v>piloto</v>
          </cell>
          <cell r="B220">
            <v>5.3890000000000002</v>
          </cell>
        </row>
        <row r="221">
          <cell r="A221" t="str">
            <v>pirata</v>
          </cell>
          <cell r="B221">
            <v>6.1520000000000001</v>
          </cell>
        </row>
        <row r="222">
          <cell r="A222" t="str">
            <v>trineo</v>
          </cell>
        </row>
        <row r="223">
          <cell r="A223" t="str">
            <v>erizo</v>
          </cell>
        </row>
        <row r="224">
          <cell r="A224" t="str">
            <v>bala</v>
          </cell>
          <cell r="B224">
            <v>5.5750000000000002</v>
          </cell>
        </row>
        <row r="225">
          <cell r="A225" t="str">
            <v>balón</v>
          </cell>
          <cell r="B225">
            <v>6.3550000000000004</v>
          </cell>
        </row>
        <row r="226">
          <cell r="A226" t="str">
            <v>bolso</v>
          </cell>
          <cell r="B226">
            <v>6.3090000000000002</v>
          </cell>
        </row>
        <row r="227">
          <cell r="A227" t="str">
            <v>lápiz</v>
          </cell>
          <cell r="B227">
            <v>5.96</v>
          </cell>
        </row>
        <row r="228">
          <cell r="A228" t="str">
            <v>anillo</v>
          </cell>
          <cell r="B228">
            <v>6.6109999999999998</v>
          </cell>
        </row>
        <row r="229">
          <cell r="A229" t="str">
            <v>pintor</v>
          </cell>
          <cell r="B229">
            <v>6.0620000000000003</v>
          </cell>
        </row>
        <row r="230">
          <cell r="A230" t="str">
            <v>carpeta</v>
          </cell>
          <cell r="B230">
            <v>6.4690000000000003</v>
          </cell>
        </row>
        <row r="231">
          <cell r="A231" t="str">
            <v>tren</v>
          </cell>
          <cell r="B231">
            <v>6.5279999999999996</v>
          </cell>
        </row>
        <row r="232">
          <cell r="A232" t="str">
            <v>mosca</v>
          </cell>
          <cell r="B232">
            <v>6.5019999999999998</v>
          </cell>
        </row>
        <row r="233">
          <cell r="A233" t="str">
            <v>puerto</v>
          </cell>
          <cell r="B233">
            <v>6.1260000000000003</v>
          </cell>
        </row>
        <row r="234">
          <cell r="A234" t="str">
            <v>tetera</v>
          </cell>
        </row>
        <row r="235">
          <cell r="A235" t="str">
            <v>fábrica</v>
          </cell>
          <cell r="B235">
            <v>5.2370000000000001</v>
          </cell>
        </row>
        <row r="236">
          <cell r="A236" t="str">
            <v>cuerno</v>
          </cell>
          <cell r="B236">
            <v>6.0540000000000003</v>
          </cell>
        </row>
        <row r="237">
          <cell r="A237" t="str">
            <v>mando</v>
          </cell>
          <cell r="B237">
            <v>4.4619999999999997</v>
          </cell>
        </row>
        <row r="238">
          <cell r="A238" t="str">
            <v>candado</v>
          </cell>
          <cell r="B238">
            <v>6.2220000000000004</v>
          </cell>
        </row>
        <row r="239">
          <cell r="A239" t="str">
            <v>mirilla</v>
          </cell>
          <cell r="B239">
            <v>5.9480000000000004</v>
          </cell>
        </row>
        <row r="240">
          <cell r="A240" t="str">
            <v>baño</v>
          </cell>
          <cell r="B240">
            <v>6.3250000000000002</v>
          </cell>
        </row>
        <row r="241">
          <cell r="A241" t="str">
            <v>muralla</v>
          </cell>
          <cell r="B241">
            <v>5.3170000000000002</v>
          </cell>
        </row>
        <row r="242">
          <cell r="A242" t="str">
            <v>arco</v>
          </cell>
          <cell r="B242">
            <v>6.1630000000000003</v>
          </cell>
        </row>
        <row r="243">
          <cell r="A243" t="str">
            <v>mano</v>
          </cell>
          <cell r="B243">
            <v>6.7169999999999996</v>
          </cell>
        </row>
        <row r="244">
          <cell r="A244" t="str">
            <v>rosa</v>
          </cell>
        </row>
        <row r="245">
          <cell r="A245" t="str">
            <v>tiza</v>
          </cell>
        </row>
        <row r="246">
          <cell r="A246" t="str">
            <v>barco</v>
          </cell>
          <cell r="B246">
            <v>6.2930000000000001</v>
          </cell>
        </row>
        <row r="247">
          <cell r="A247" t="str">
            <v>gallo</v>
          </cell>
          <cell r="B247">
            <v>6.6139999999999999</v>
          </cell>
        </row>
        <row r="248">
          <cell r="A248" t="str">
            <v>basura</v>
          </cell>
        </row>
        <row r="249">
          <cell r="A249" t="str">
            <v>coro</v>
          </cell>
          <cell r="B249">
            <v>5.3339999999999996</v>
          </cell>
        </row>
        <row r="250">
          <cell r="A250" t="str">
            <v>dardo</v>
          </cell>
          <cell r="B250">
            <v>6.2679999999999998</v>
          </cell>
        </row>
        <row r="251">
          <cell r="A251" t="str">
            <v>sello</v>
          </cell>
        </row>
        <row r="252">
          <cell r="A252" t="str">
            <v>zorro</v>
          </cell>
          <cell r="B252">
            <v>6.2039999999999997</v>
          </cell>
        </row>
        <row r="253">
          <cell r="A253" t="str">
            <v>timbre</v>
          </cell>
          <cell r="B253">
            <v>6.133</v>
          </cell>
        </row>
        <row r="254">
          <cell r="A254" t="str">
            <v>peluca</v>
          </cell>
        </row>
        <row r="255">
          <cell r="A255" t="str">
            <v>iglesia</v>
          </cell>
          <cell r="B255">
            <v>5.7130000000000001</v>
          </cell>
        </row>
        <row r="256">
          <cell r="A256" t="str">
            <v>policía</v>
          </cell>
          <cell r="B256">
            <v>6.8609999999999998</v>
          </cell>
        </row>
        <row r="257">
          <cell r="A257" t="str">
            <v>cabra</v>
          </cell>
          <cell r="B257">
            <v>6.1109999999999998</v>
          </cell>
        </row>
        <row r="258">
          <cell r="A258" t="str">
            <v>corcho</v>
          </cell>
        </row>
        <row r="259">
          <cell r="A259" t="str">
            <v>bebé</v>
          </cell>
          <cell r="B259">
            <v>6.8</v>
          </cell>
        </row>
        <row r="260">
          <cell r="A260" t="str">
            <v>rama</v>
          </cell>
          <cell r="B260">
            <v>6.1139999999999999</v>
          </cell>
        </row>
        <row r="261">
          <cell r="A261" t="str">
            <v>tronco</v>
          </cell>
          <cell r="B261">
            <v>5.9089999999999998</v>
          </cell>
        </row>
        <row r="262">
          <cell r="A262" t="str">
            <v>armario</v>
          </cell>
          <cell r="B262">
            <v>6.2389999999999999</v>
          </cell>
        </row>
        <row r="263">
          <cell r="A263" t="str">
            <v>pizarra</v>
          </cell>
          <cell r="B263">
            <v>5.976</v>
          </cell>
        </row>
        <row r="264">
          <cell r="A264" t="str">
            <v>bota</v>
          </cell>
          <cell r="B264">
            <v>6.7489999999999997</v>
          </cell>
        </row>
        <row r="265">
          <cell r="A265" t="str">
            <v>lobo</v>
          </cell>
          <cell r="B265">
            <v>6.1029999999999998</v>
          </cell>
        </row>
        <row r="266">
          <cell r="A266" t="str">
            <v>mesa</v>
          </cell>
          <cell r="B266">
            <v>6.782</v>
          </cell>
        </row>
        <row r="267">
          <cell r="A267" t="str">
            <v>vena</v>
          </cell>
          <cell r="B267">
            <v>5.875</v>
          </cell>
        </row>
        <row r="268">
          <cell r="A268" t="str">
            <v>libro</v>
          </cell>
          <cell r="B268">
            <v>6.2610000000000001</v>
          </cell>
        </row>
        <row r="269">
          <cell r="A269" t="str">
            <v>ratón</v>
          </cell>
          <cell r="B269">
            <v>6.2130000000000001</v>
          </cell>
        </row>
        <row r="270">
          <cell r="A270" t="str">
            <v>tobillo</v>
          </cell>
        </row>
        <row r="271">
          <cell r="A271" t="str">
            <v>mimo</v>
          </cell>
        </row>
        <row r="272">
          <cell r="A272" t="str">
            <v>pavo</v>
          </cell>
          <cell r="B272">
            <v>4.6580000000000004</v>
          </cell>
        </row>
        <row r="273">
          <cell r="A273" t="str">
            <v>foca</v>
          </cell>
          <cell r="B273">
            <v>5.899</v>
          </cell>
        </row>
        <row r="274">
          <cell r="A274" t="str">
            <v>frontón</v>
          </cell>
          <cell r="B274">
            <v>5.7910000000000004</v>
          </cell>
        </row>
        <row r="275">
          <cell r="A275" t="str">
            <v>parche</v>
          </cell>
          <cell r="B275">
            <v>5.9290000000000003</v>
          </cell>
        </row>
        <row r="276">
          <cell r="A276" t="str">
            <v>capa</v>
          </cell>
        </row>
        <row r="277">
          <cell r="A277" t="str">
            <v>timón</v>
          </cell>
          <cell r="B277">
            <v>5.9329999999999998</v>
          </cell>
        </row>
        <row r="278">
          <cell r="A278" t="str">
            <v>leñador</v>
          </cell>
        </row>
        <row r="279">
          <cell r="A279" t="str">
            <v>jabón</v>
          </cell>
          <cell r="B279">
            <v>5.6479999999999997</v>
          </cell>
        </row>
        <row r="280">
          <cell r="A280" t="str">
            <v>tigre</v>
          </cell>
          <cell r="B280">
            <v>6.3630000000000004</v>
          </cell>
        </row>
        <row r="281">
          <cell r="A281" t="str">
            <v>bastón</v>
          </cell>
          <cell r="B281">
            <v>6.601</v>
          </cell>
        </row>
        <row r="282">
          <cell r="A282" t="str">
            <v>pierna</v>
          </cell>
          <cell r="B282">
            <v>5.8680000000000003</v>
          </cell>
        </row>
        <row r="283">
          <cell r="A283" t="str">
            <v>sandía</v>
          </cell>
        </row>
        <row r="284">
          <cell r="A284" t="str">
            <v>boca</v>
          </cell>
          <cell r="B284">
            <v>6.2229999999999999</v>
          </cell>
        </row>
        <row r="285">
          <cell r="A285" t="str">
            <v>pulpo</v>
          </cell>
        </row>
        <row r="286">
          <cell r="A286" t="str">
            <v>bosque</v>
          </cell>
          <cell r="B286">
            <v>6.2389999999999999</v>
          </cell>
        </row>
        <row r="287">
          <cell r="A287" t="str">
            <v>cono</v>
          </cell>
          <cell r="B287">
            <v>5.4809999999999999</v>
          </cell>
        </row>
        <row r="288">
          <cell r="A288" t="str">
            <v>gota</v>
          </cell>
          <cell r="B288">
            <v>6.1769999999999996</v>
          </cell>
        </row>
        <row r="289">
          <cell r="A289" t="str">
            <v>aguja</v>
          </cell>
          <cell r="B289">
            <v>5.93</v>
          </cell>
        </row>
        <row r="290">
          <cell r="A290" t="str">
            <v>violín</v>
          </cell>
          <cell r="B290">
            <v>6.3979999999999997</v>
          </cell>
        </row>
        <row r="291">
          <cell r="A291" t="str">
            <v>granja</v>
          </cell>
          <cell r="B291">
            <v>4.9930000000000003</v>
          </cell>
        </row>
        <row r="292">
          <cell r="A292" t="str">
            <v>balanza</v>
          </cell>
          <cell r="B292">
            <v>6.008</v>
          </cell>
        </row>
        <row r="293">
          <cell r="A293" t="str">
            <v>círculo</v>
          </cell>
          <cell r="B293">
            <v>5.5010000000000003</v>
          </cell>
        </row>
        <row r="294">
          <cell r="A294" t="str">
            <v>embudo</v>
          </cell>
        </row>
        <row r="295">
          <cell r="A295" t="str">
            <v>cigüeña</v>
          </cell>
          <cell r="B295">
            <v>6.0419999999999998</v>
          </cell>
        </row>
        <row r="296">
          <cell r="A296" t="str">
            <v>sofá</v>
          </cell>
          <cell r="B296">
            <v>6.0759999999999996</v>
          </cell>
        </row>
        <row r="297">
          <cell r="A297" t="str">
            <v>ángel</v>
          </cell>
          <cell r="B297">
            <v>5.38</v>
          </cell>
        </row>
        <row r="298">
          <cell r="A298" t="str">
            <v>collar</v>
          </cell>
          <cell r="B298">
            <v>6.5430000000000001</v>
          </cell>
        </row>
        <row r="299">
          <cell r="A299" t="str">
            <v>esponja</v>
          </cell>
          <cell r="B299">
            <v>6.2119999999999997</v>
          </cell>
        </row>
        <row r="300">
          <cell r="A300" t="str">
            <v>pañal</v>
          </cell>
        </row>
        <row r="301">
          <cell r="A301" t="str">
            <v>jersey</v>
          </cell>
          <cell r="B301">
            <v>6.2119999999999997</v>
          </cell>
        </row>
        <row r="302">
          <cell r="A302" t="str">
            <v>pollo</v>
          </cell>
          <cell r="B302">
            <v>6.5049999999999999</v>
          </cell>
        </row>
        <row r="303">
          <cell r="A303" t="str">
            <v>donuts</v>
          </cell>
        </row>
        <row r="304">
          <cell r="A304" t="str">
            <v>labios</v>
          </cell>
        </row>
        <row r="305">
          <cell r="A305" t="str">
            <v>clavo</v>
          </cell>
          <cell r="B305">
            <v>5.8319999999999999</v>
          </cell>
        </row>
        <row r="306">
          <cell r="A306" t="str">
            <v>lluvia</v>
          </cell>
          <cell r="B306">
            <v>6.3310000000000004</v>
          </cell>
        </row>
        <row r="307">
          <cell r="A307" t="str">
            <v>navaja</v>
          </cell>
          <cell r="B307">
            <v>6.6150000000000002</v>
          </cell>
        </row>
        <row r="308">
          <cell r="A308" t="str">
            <v>piedra</v>
          </cell>
          <cell r="B308">
            <v>6.2370000000000001</v>
          </cell>
        </row>
        <row r="309">
          <cell r="A309" t="str">
            <v>aceite</v>
          </cell>
          <cell r="B309">
            <v>5.6319999999999997</v>
          </cell>
        </row>
        <row r="310">
          <cell r="A310" t="str">
            <v>balcón</v>
          </cell>
          <cell r="B310">
            <v>6.1760000000000002</v>
          </cell>
        </row>
        <row r="311">
          <cell r="A311" t="str">
            <v>gatillo</v>
          </cell>
          <cell r="B311">
            <v>6.2759999999999998</v>
          </cell>
        </row>
        <row r="312">
          <cell r="A312" t="str">
            <v>jabalí</v>
          </cell>
          <cell r="B312">
            <v>5.69</v>
          </cell>
        </row>
        <row r="313">
          <cell r="A313" t="str">
            <v>búho</v>
          </cell>
          <cell r="B313">
            <v>6.0720000000000001</v>
          </cell>
        </row>
        <row r="314">
          <cell r="A314" t="str">
            <v>nudo</v>
          </cell>
          <cell r="B314">
            <v>5.2309999999999999</v>
          </cell>
        </row>
        <row r="315">
          <cell r="A315" t="str">
            <v>cuerda</v>
          </cell>
          <cell r="B315">
            <v>6.5469999999999997</v>
          </cell>
        </row>
        <row r="316">
          <cell r="A316" t="str">
            <v>pulsera</v>
          </cell>
          <cell r="B316">
            <v>5.9539999999999997</v>
          </cell>
        </row>
        <row r="317">
          <cell r="A317" t="str">
            <v>esquina</v>
          </cell>
          <cell r="B317">
            <v>6.2539999999999996</v>
          </cell>
        </row>
        <row r="318">
          <cell r="A318" t="str">
            <v>ataúd</v>
          </cell>
          <cell r="B318">
            <v>5.3810000000000002</v>
          </cell>
        </row>
        <row r="319">
          <cell r="A319" t="str">
            <v>chorizo</v>
          </cell>
          <cell r="B319">
            <v>6.335</v>
          </cell>
        </row>
        <row r="320">
          <cell r="A320" t="str">
            <v>plato</v>
          </cell>
        </row>
        <row r="321">
          <cell r="A321" t="str">
            <v>ciudad</v>
          </cell>
          <cell r="B321">
            <v>6.1879999999999997</v>
          </cell>
        </row>
        <row r="322">
          <cell r="A322" t="str">
            <v>columna</v>
          </cell>
          <cell r="B322">
            <v>6.6449999999999996</v>
          </cell>
        </row>
        <row r="323">
          <cell r="A323" t="str">
            <v>olla</v>
          </cell>
          <cell r="B323">
            <v>6.1859999999999999</v>
          </cell>
        </row>
        <row r="324">
          <cell r="A324" t="str">
            <v>muñeca</v>
          </cell>
        </row>
        <row r="325">
          <cell r="A325" t="str">
            <v>planta</v>
          </cell>
          <cell r="B325">
            <v>5.9459999999999997</v>
          </cell>
        </row>
        <row r="326">
          <cell r="A326" t="str">
            <v>gallina</v>
          </cell>
          <cell r="B326">
            <v>6.718</v>
          </cell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E44B28-14C3-4B5B-9BA0-733972E17815}" name="Table1" displayName="Table1" ref="A1:AA189" totalsRowCount="1" dataDxfId="128">
  <autoFilter ref="A1:AA188" xr:uid="{1EE44B28-14C3-4B5B-9BA0-733972E17815}"/>
  <tableColumns count="27">
    <tableColumn id="3" xr3:uid="{F22C4520-4234-45BA-9236-9070BF05C0BF}" name="Picture_no" dataDxfId="127"/>
    <tableColumn id="1" xr3:uid="{235BF4EB-706F-4977-8129-D7E57423E01B}" name="Code" dataDxfId="126"/>
    <tableColumn id="4" xr3:uid="{C1EB3BBE-DA59-461A-B9EB-DF048A149931}" name="Spanish" dataDxfId="125"/>
    <tableColumn id="5" xr3:uid="{3A5550F8-56FF-4791-BBB9-08FADDE1C8AB}" name="IPA_SP" dataDxfId="124"/>
    <tableColumn id="2" xr3:uid="{F9673B9E-E687-448C-BFF1-140BE95B52CC}" name="Basque_translation" dataDxfId="123">
      <calculatedColumnFormula>VLOOKUP(Table1[[#This Row],[Code]], [1]Basque!$1:$1048576, 4, 0)</calculatedColumnFormula>
    </tableColumn>
    <tableColumn id="26" xr3:uid="{F5EDC092-8DD6-48CC-8485-AE8F7603BCF4}" name="Bimanual_Transitions" dataDxfId="122" totalsRowDxfId="121"/>
    <tableColumn id="20" xr3:uid="{7A545640-6C5C-4C98-9889-B4F00EDC80EA}" name="Imageability_SP" dataDxfId="120" totalsRowDxfId="119"/>
    <tableColumn id="21" xr3:uid="{0CEB771E-65EE-4AD8-967C-A6B24A004134}" name="H_Index_SP" totalsRowFunction="custom" dataDxfId="118" totalsRowDxfId="117">
      <totalsRowFormula>MAX(Table1[H_Index_SP])</totalsRowFormula>
    </tableColumn>
    <tableColumn id="22" xr3:uid="{6738B4D1-E2CC-433E-83B5-E581C7371766}" name="Name_Agreement_SP" totalsRowFunction="custom" dataDxfId="116" totalsRowDxfId="115">
      <totalsRowFormula>MIN(Table1[Name_Agreement_SP])</totalsRowFormula>
    </tableColumn>
    <tableColumn id="23" xr3:uid="{CC57FF8E-B762-4C04-9BAF-AA29716D003A}" name="Visual_Complexity_SP" totalsRowFunction="custom" dataDxfId="114" totalsRowDxfId="113">
      <totalsRowFormula>MIN(Table1[Visual_Complexity_SP])</totalsRowFormula>
    </tableColumn>
    <tableColumn id="8" xr3:uid="{D282EC8D-7467-49CA-8E2D-45251AA289E1}" name="Semantic_category" dataDxfId="112"/>
    <tableColumn id="27" xr3:uid="{00525A43-26B0-4301-AA92-D3A9EE9377CF}" name="Inverse_Phon_Sim2" dataDxfId="111" totalsRowDxfId="110">
      <calculatedColumnFormula xml:space="preserve"> 1 - Table1[[#This Row],[Phon_Similarity]]</calculatedColumnFormula>
    </tableColumn>
    <tableColumn id="28" xr3:uid="{F8E26E62-E88A-42B6-BCEC-7588568E371E}" name="Inverse_Orth_Sim2" dataDxfId="109" totalsRowDxfId="108">
      <calculatedColumnFormula xml:space="preserve"> 1 -Table1[[#This Row],[Orth_Similarity]]</calculatedColumnFormula>
    </tableColumn>
    <tableColumn id="12" xr3:uid="{6C3D7631-4518-47A8-878E-CF8F20C1134E}" name="No_graphemes_SP" dataDxfId="107" totalsRowDxfId="106"/>
    <tableColumn id="14" xr3:uid="{A1D7611D-08ED-4B9E-B164-6A7E21380A4D}" name="No_phonemes_SP" dataDxfId="105" totalsRowDxfId="104"/>
    <tableColumn id="16" xr3:uid="{5D3280BA-EF0F-4610-99D7-666F28280CC8}" name="No_Syllables_SP" dataDxfId="103" totalsRowDxfId="102"/>
    <tableColumn id="18" xr3:uid="{60361E83-F3F4-4F11-A95E-ED3B0840A08C}" name="Log_Freq_SP" dataDxfId="101" totalsRowDxfId="100"/>
    <tableColumn id="25" xr3:uid="{322C4017-C63E-4A67-AEBA-59ACE4DF19BE}" name="PO_Sim" dataDxfId="99" totalsRowDxfId="98"/>
    <tableColumn id="6" xr3:uid="{678030BD-B0FD-4CFC-8A98-FD349FAB7471}" name="English" dataDxfId="97"/>
    <tableColumn id="7" xr3:uid="{1EA985D6-F521-48BA-96D9-C72ED126E708}" name="IPA_ENG" dataDxfId="96"/>
    <tableColumn id="13" xr3:uid="{C259EA39-AAB5-4757-956C-DAE7C49CA784}" name="No_graphemes_ENG" dataDxfId="95" totalsRowDxfId="94"/>
    <tableColumn id="15" xr3:uid="{D99DE626-D11F-4172-8BA8-799812E7013A}" name="No_phonemes_ENG" dataDxfId="93" totalsRowDxfId="92"/>
    <tableColumn id="17" xr3:uid="{5AE6853E-6512-476D-9F65-35A3F1034593}" name="No_Syllables_ENG" dataDxfId="91" totalsRowDxfId="90"/>
    <tableColumn id="19" xr3:uid="{D91C373E-E83E-4AD2-B7B8-5B64A4D243D7}" name="Log_Freq_ENG" dataDxfId="89" totalsRowDxfId="88"/>
    <tableColumn id="9" xr3:uid="{DFDF71B2-6F5D-441E-98E5-1478A78358BF}" name="Phon_Similarity" dataDxfId="87" totalsRowDxfId="86"/>
    <tableColumn id="10" xr3:uid="{A5FD61DE-6D21-47BB-A794-F96FB57494F0}" name="Orth_Similarity" dataDxfId="85" totalsRowDxfId="84"/>
    <tableColumn id="11" xr3:uid="{750C3CC9-7858-4FAD-ACCA-39DBF717D940}" name="Levenshtein" dataDxfId="83" totalsRowDxfId="8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C37DF1-A7A6-4550-B46D-37893C7E321C}" name="Table2" displayName="Table2" ref="A1:B10" totalsRowShown="0">
  <autoFilter ref="A1:B10" xr:uid="{24C37DF1-A7A6-4550-B46D-37893C7E321C}"/>
  <tableColumns count="2">
    <tableColumn id="1" xr3:uid="{B5C8E5A5-CB0B-4A17-981D-9E786E578D8A}" name="Semantic categories"/>
    <tableColumn id="2" xr3:uid="{25829A22-9B92-4AD0-9BD8-6EAA618D5849}" name="Number of imag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5F1C6C-9C2F-474F-93B0-9A783B18F863}" name="Table3" displayName="Table3" ref="A1:X112" totalsRowCount="1" headerRowDxfId="81" dataDxfId="79" headerRowBorderDxfId="80" tableBorderDxfId="78" totalsRowBorderDxfId="77">
  <autoFilter ref="A1:X111" xr:uid="{3E5F1C6C-9C2F-474F-93B0-9A783B18F863}"/>
  <sortState xmlns:xlrd2="http://schemas.microsoft.com/office/spreadsheetml/2017/richdata2" ref="A2:X111">
    <sortCondition ref="H1:H111"/>
  </sortState>
  <tableColumns count="24">
    <tableColumn id="1" xr3:uid="{76B716D4-67E1-4338-8525-F0601682EFEB}" name="Order" dataDxfId="76" totalsRowDxfId="75"/>
    <tableColumn id="2" xr3:uid="{CC776C97-BB4B-4301-8F0E-55D914BBD9C7}" name="Picture_no" dataDxfId="74" totalsRowDxfId="73"/>
    <tableColumn id="3" xr3:uid="{47929F4E-2D0A-457C-9652-AFF1B6A7D03A}" name="Spanish" dataDxfId="72" totalsRowDxfId="71"/>
    <tableColumn id="4" xr3:uid="{BC94C758-E424-417C-8928-24FFAB3FA8CF}" name="IPA_SP" dataDxfId="70" totalsRowDxfId="69"/>
    <tableColumn id="5" xr3:uid="{695B74DE-17E5-42BD-B988-96304222C660}" name="English" dataDxfId="68" totalsRowDxfId="67"/>
    <tableColumn id="6" xr3:uid="{93A265AB-550A-4C49-A855-782FA243B3C0}" name="IPA_ENG" dataDxfId="66" totalsRowDxfId="65"/>
    <tableColumn id="7" xr3:uid="{0C89CA70-2D46-46DA-B1F7-31593AF5AD35}" name="Semantic_category" dataDxfId="64" totalsRowDxfId="63"/>
    <tableColumn id="8" xr3:uid="{4A69155A-6174-40F5-9868-EE39A11FE62B}" name="Phon_Similarity" dataDxfId="62" totalsRowDxfId="61"/>
    <tableColumn id="9" xr3:uid="{C256AE46-2B7C-4FC5-9DEB-87C43CA0F747}" name="Orth_Similarity" dataDxfId="60" totalsRowDxfId="59"/>
    <tableColumn id="23" xr3:uid="{AFA3FBC7-53FD-4A4B-A3AB-36DBEF8B91BF}" name="Inverse_Phon_Sim" totalsRowFunction="custom" dataDxfId="58" totalsRowDxfId="57">
      <calculatedColumnFormula xml:space="preserve"> 1 - Table3[[#This Row],[Phon_Similarity]]</calculatedColumnFormula>
      <totalsRowFormula xml:space="preserve"> MEDIAN(Table3[Inverse_Phon_Sim])</totalsRowFormula>
    </tableColumn>
    <tableColumn id="24" xr3:uid="{CB5A0995-E57E-491F-A025-FE302A467628}" name="Inverse_Orth_Sim" totalsRowFunction="custom" dataDxfId="56" totalsRowDxfId="55">
      <calculatedColumnFormula xml:space="preserve"> 1- Table3[[#This Row],[Orth_Similarity]]</calculatedColumnFormula>
      <totalsRowFormula>MEDIAN(Table3[Inverse_Orth_Sim])</totalsRowFormula>
    </tableColumn>
    <tableColumn id="10" xr3:uid="{E0BF355A-8342-4264-B40F-AB064ADD4F9C}" name="Levenshtein" dataDxfId="54" totalsRowDxfId="53"/>
    <tableColumn id="11" xr3:uid="{3458E66E-9832-4051-9D93-CD616D532D9D}" name="Length_graphemes_SP" dataDxfId="52" totalsRowDxfId="51"/>
    <tableColumn id="12" xr3:uid="{801F1C96-4DA7-4359-890C-29EA37E17EAE}" name="Length_graphemes_ENG" dataDxfId="50" totalsRowDxfId="49"/>
    <tableColumn id="13" xr3:uid="{6576454A-B664-4914-9628-1E5FA66A7731}" name="Length_phonemes_SP" dataDxfId="48" totalsRowDxfId="47"/>
    <tableColumn id="14" xr3:uid="{9EB834FB-00EF-42AD-B18A-A815FDB91A82}" name="Length_phonemes_ENG" dataDxfId="46" totalsRowDxfId="45"/>
    <tableColumn id="15" xr3:uid="{CF957CCC-9D62-46B4-90E1-E674FAE35C12}" name="No_Syllables_SP" dataDxfId="44" totalsRowDxfId="43"/>
    <tableColumn id="16" xr3:uid="{6DE28749-39C1-4131-A330-D6C075D485BB}" name="No_Syllables_ENG" dataDxfId="42" totalsRowDxfId="41"/>
    <tableColumn id="17" xr3:uid="{564D61BC-B4E9-42B0-90ED-E09715045FF8}" name="Log_Freq_SP" dataDxfId="40" totalsRowDxfId="39"/>
    <tableColumn id="18" xr3:uid="{C5472B9B-AA4C-45BA-8DEE-5994133318D5}" name="Log_Freq_ENG" dataDxfId="38" totalsRowDxfId="37"/>
    <tableColumn id="19" xr3:uid="{5FDF57BE-0235-4F3F-896D-8D05E0C3E0DC}" name="Imageability_SP" dataDxfId="36" totalsRowDxfId="35"/>
    <tableColumn id="20" xr3:uid="{743A7172-03C9-4510-8207-C061EC7681AB}" name="H_Index_SP" dataDxfId="34" totalsRowDxfId="33"/>
    <tableColumn id="21" xr3:uid="{684B1F4E-AC92-4F95-B2DB-9F86E0770DBC}" name="Name_Agreement_SP" dataDxfId="32" totalsRowDxfId="31"/>
    <tableColumn id="22" xr3:uid="{F80CD607-E0D2-4323-8FFF-B740C850E5D0}" name="Visual_Complexity_SP" dataDxfId="30" totalsRowDxfId="29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75DB5BF-54DC-40F0-AA8D-8600B98B8526}" name="Table6" displayName="Table6" ref="A1:X42" totalsRowShown="0" headerRowDxfId="28" dataDxfId="26" headerRowBorderDxfId="27" tableBorderDxfId="25" totalsRowBorderDxfId="24">
  <autoFilter ref="A1:X42" xr:uid="{E75DB5BF-54DC-40F0-AA8D-8600B98B8526}"/>
  <sortState xmlns:xlrd2="http://schemas.microsoft.com/office/spreadsheetml/2017/richdata2" ref="A2:X42">
    <sortCondition ref="J1:J42"/>
  </sortState>
  <tableColumns count="24">
    <tableColumn id="1" xr3:uid="{1AE89168-B463-4C2E-A3EC-2E1720DBA837}" name="Order" dataDxfId="23"/>
    <tableColumn id="2" xr3:uid="{29C9167E-D827-47B1-9F2F-32FFDD1B7ECE}" name="Picture_no" dataDxfId="22"/>
    <tableColumn id="3" xr3:uid="{CD14EC55-1E24-482A-9DD7-37688299C566}" name="Spanish" dataDxfId="21"/>
    <tableColumn id="4" xr3:uid="{48D7AFEE-E27D-481D-8885-2FFFA3F66F5F}" name="IPA_SP" dataDxfId="20"/>
    <tableColumn id="5" xr3:uid="{16208913-B8C1-4CF5-8F99-0830E85527CB}" name="English" dataDxfId="19"/>
    <tableColumn id="6" xr3:uid="{5EC58D10-2FC0-4961-933E-2E5E62858ABC}" name="IPA_ENG" dataDxfId="18"/>
    <tableColumn id="7" xr3:uid="{ADC72138-D58C-4AEE-849F-C651FD20A315}" name="Semantic_category" dataDxfId="17"/>
    <tableColumn id="8" xr3:uid="{F0D30ABF-1A97-49D8-A698-F627C6171459}" name="Phon_Similarity" dataDxfId="16"/>
    <tableColumn id="9" xr3:uid="{9E2B7703-2C74-47F6-AD17-6832A8DCD9F0}" name="Orth_Similarity" dataDxfId="15"/>
    <tableColumn id="10" xr3:uid="{B14F496F-19B3-4982-AB2F-EC394D1CE32E}" name="Inverse_Phon_Sim" dataDxfId="14">
      <calculatedColumnFormula xml:space="preserve"> 1 - Table6[[#This Row],[Phon_Similarity]]</calculatedColumnFormula>
    </tableColumn>
    <tableColumn id="11" xr3:uid="{7E03641C-241A-4638-B9ED-28245A6258FF}" name="Inverse_Orth_Sim" dataDxfId="13">
      <calculatedColumnFormula xml:space="preserve"> 1 - Table6[[#This Row],[Orth_Similarity]]</calculatedColumnFormula>
    </tableColumn>
    <tableColumn id="12" xr3:uid="{1A6A46A6-D47C-4488-BBF6-C5AF3333D4F7}" name="Levenshtein" dataDxfId="12"/>
    <tableColumn id="13" xr3:uid="{F1940818-5780-4D0D-B475-A6094D76A470}" name="Length_graphemes_SP" dataDxfId="11"/>
    <tableColumn id="14" xr3:uid="{C56645BF-0C4F-4311-88BB-977D4B801502}" name="Length_graphemes_ENG" dataDxfId="10"/>
    <tableColumn id="15" xr3:uid="{28859ACE-CCE1-40DF-8B78-703C4E319F70}" name="Length_phonemes_SP" dataDxfId="9"/>
    <tableColumn id="16" xr3:uid="{45F7FC8D-B488-4394-A074-7FEC20C26ABC}" name="Length_phonemes_ENG" dataDxfId="8"/>
    <tableColumn id="17" xr3:uid="{DC89666A-3CB8-4BCF-8ACF-979F7A4E240E}" name="No_Syllables_SP" dataDxfId="7"/>
    <tableColumn id="18" xr3:uid="{3030485F-7811-4CB1-AB46-173F53676881}" name="No_Syllables_ENG" dataDxfId="6"/>
    <tableColumn id="19" xr3:uid="{2549110E-4D79-4BC9-8E97-683CC3937570}" name="Log_Freq_SP" dataDxfId="5"/>
    <tableColumn id="20" xr3:uid="{160CEE59-72E7-4031-B715-001022ECDADE}" name="Log_Freq_ENG" dataDxfId="4"/>
    <tableColumn id="21" xr3:uid="{11A28B67-4780-4B60-A06B-9E0F93AC6005}" name="Imageability_SP" dataDxfId="3"/>
    <tableColumn id="22" xr3:uid="{91C77B28-2C02-442F-AB9C-ECF148B8ADE3}" name="H_Index_SP" dataDxfId="2"/>
    <tableColumn id="23" xr3:uid="{79061CA7-E617-426F-AEF6-B5F49E6F8EE0}" name="Name_Agreement_SP" dataDxfId="1"/>
    <tableColumn id="24" xr3:uid="{F187F63B-3F03-4359-905A-93F148E4918F}" name="Visual_Complexity_S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24"/>
  <sheetViews>
    <sheetView zoomScale="80" zoomScaleNormal="80" workbookViewId="0">
      <selection activeCell="AA1" sqref="AA1"/>
    </sheetView>
  </sheetViews>
  <sheetFormatPr defaultRowHeight="14.4" x14ac:dyDescent="0.3"/>
  <cols>
    <col min="1" max="2" width="12" customWidth="1"/>
    <col min="3" max="3" width="9.44140625" customWidth="1"/>
    <col min="5" max="5" width="19.5546875" bestFit="1" customWidth="1"/>
    <col min="6" max="6" width="21.44140625" style="6" bestFit="1" customWidth="1"/>
    <col min="7" max="7" width="19" style="5" bestFit="1" customWidth="1"/>
    <col min="8" max="8" width="15.44140625" bestFit="1" customWidth="1"/>
    <col min="9" max="9" width="24.109375" bestFit="1" customWidth="1"/>
    <col min="10" max="10" width="19.33203125" style="6" bestFit="1" customWidth="1"/>
    <col min="12" max="12" width="22.33203125" bestFit="1" customWidth="1"/>
    <col min="13" max="13" width="21.6640625" bestFit="1" customWidth="1"/>
    <col min="14" max="14" width="13.6640625" customWidth="1"/>
    <col min="15" max="15" width="11.6640625" customWidth="1"/>
    <col min="16" max="16" width="10.88671875" style="5" customWidth="1"/>
    <col min="17" max="17" width="9.5546875" style="6" customWidth="1"/>
    <col min="18" max="18" width="6.88671875" customWidth="1"/>
    <col min="19" max="19" width="20.5546875" bestFit="1" customWidth="1"/>
    <col min="20" max="20" width="20.5546875" customWidth="1"/>
    <col min="21" max="21" width="24.5546875" bestFit="1" customWidth="1"/>
    <col min="22" max="22" width="24.109375" bestFit="1" customWidth="1"/>
    <col min="23" max="23" width="15.44140625" style="5" customWidth="1"/>
    <col min="24" max="24" width="19.109375" bestFit="1" customWidth="1"/>
    <col min="25" max="25" width="20.21875" bestFit="1" customWidth="1"/>
    <col min="26" max="26" width="19.6640625" bestFit="1" customWidth="1"/>
    <col min="29" max="29" width="18.77734375" bestFit="1" customWidth="1"/>
    <col min="30" max="30" width="18.109375" bestFit="1" customWidth="1"/>
    <col min="32" max="32" width="20.77734375" style="6" bestFit="1" customWidth="1"/>
    <col min="33" max="33" width="16.21875" style="6" bestFit="1" customWidth="1"/>
    <col min="34" max="34" width="17.77734375" style="6" bestFit="1" customWidth="1"/>
    <col min="36" max="36" width="15.44140625" style="5" bestFit="1" customWidth="1"/>
    <col min="37" max="37" width="24.109375" style="5" bestFit="1" customWidth="1"/>
    <col min="38" max="38" width="18.77734375" style="5" bestFit="1" customWidth="1"/>
    <col min="39" max="39" width="21.33203125" style="5" customWidth="1"/>
    <col min="40" max="40" width="24.21875" style="5" bestFit="1" customWidth="1"/>
    <col min="41" max="41" width="16.109375" style="5" customWidth="1"/>
    <col min="42" max="42" width="21.44140625" style="5" customWidth="1"/>
  </cols>
  <sheetData>
    <row r="1" spans="1:42" x14ac:dyDescent="0.3">
      <c r="A1" t="s">
        <v>1</v>
      </c>
      <c r="B1" t="s">
        <v>1423</v>
      </c>
      <c r="C1" t="s">
        <v>2</v>
      </c>
      <c r="D1" t="s">
        <v>3</v>
      </c>
      <c r="E1" t="s">
        <v>1424</v>
      </c>
      <c r="F1" s="6" t="s">
        <v>1420</v>
      </c>
      <c r="G1" s="5" t="s">
        <v>18</v>
      </c>
      <c r="H1" s="5" t="s">
        <v>19</v>
      </c>
      <c r="I1" s="5" t="s">
        <v>20</v>
      </c>
      <c r="J1" s="5" t="s">
        <v>21</v>
      </c>
      <c r="K1" t="s">
        <v>6</v>
      </c>
      <c r="L1" s="5" t="s">
        <v>1421</v>
      </c>
      <c r="M1" s="5" t="s">
        <v>1422</v>
      </c>
      <c r="N1" s="6" t="s">
        <v>1415</v>
      </c>
      <c r="O1" s="6" t="s">
        <v>1413</v>
      </c>
      <c r="P1" s="6" t="s">
        <v>14</v>
      </c>
      <c r="Q1" s="5" t="s">
        <v>16</v>
      </c>
      <c r="R1" s="5" t="s">
        <v>1417</v>
      </c>
      <c r="S1" t="s">
        <v>4</v>
      </c>
      <c r="T1" t="s">
        <v>5</v>
      </c>
      <c r="U1" s="6" t="s">
        <v>1416</v>
      </c>
      <c r="V1" s="6" t="s">
        <v>1414</v>
      </c>
      <c r="W1" s="6" t="s">
        <v>15</v>
      </c>
      <c r="X1" s="5" t="s">
        <v>17</v>
      </c>
      <c r="Y1" s="5" t="s">
        <v>7</v>
      </c>
      <c r="Z1" s="5" t="s">
        <v>8</v>
      </c>
      <c r="AA1" s="6" t="s">
        <v>9</v>
      </c>
      <c r="AF1"/>
      <c r="AG1"/>
      <c r="AH1"/>
      <c r="AJ1"/>
      <c r="AK1"/>
      <c r="AL1"/>
      <c r="AM1"/>
      <c r="AN1"/>
      <c r="AO1"/>
      <c r="AP1"/>
    </row>
    <row r="2" spans="1:42" x14ac:dyDescent="0.3">
      <c r="A2" t="s">
        <v>217</v>
      </c>
      <c r="B2" s="6">
        <v>505</v>
      </c>
      <c r="C2" t="s">
        <v>472</v>
      </c>
      <c r="D2" t="s">
        <v>707</v>
      </c>
      <c r="E2" t="str">
        <f>VLOOKUP(Table1[[#This Row],[Code]], [1]Basque!$1:$1048576, 4, 0)</f>
        <v>liburu</v>
      </c>
      <c r="F2" s="73">
        <v>0.5</v>
      </c>
      <c r="G2" s="5">
        <v>6.2610000000000001</v>
      </c>
      <c r="H2" s="5">
        <v>0.28853851400000002</v>
      </c>
      <c r="I2" s="5">
        <v>94.949494950000002</v>
      </c>
      <c r="J2" s="5">
        <v>2</v>
      </c>
      <c r="K2" t="s">
        <v>1290</v>
      </c>
      <c r="L2" s="5">
        <f xml:space="preserve"> 1 - Table1[[#This Row],[Phon_Similarity]]</f>
        <v>0.12972972972972974</v>
      </c>
      <c r="M2" s="5">
        <f xml:space="preserve"> 1 -Table1[[#This Row],[Orth_Similarity]]</f>
        <v>0.42553191489361697</v>
      </c>
      <c r="N2" s="6">
        <v>5</v>
      </c>
      <c r="O2" s="6">
        <v>5</v>
      </c>
      <c r="P2" s="6">
        <v>2</v>
      </c>
      <c r="Q2" s="5">
        <v>5.3240080000000001</v>
      </c>
      <c r="R2" s="5"/>
      <c r="S2" t="s">
        <v>947</v>
      </c>
      <c r="T2" t="s">
        <v>1191</v>
      </c>
      <c r="U2" s="6">
        <v>4</v>
      </c>
      <c r="V2" s="6">
        <v>3</v>
      </c>
      <c r="W2" s="6" t="s">
        <v>22</v>
      </c>
      <c r="X2" s="5">
        <v>5.2096588145190843</v>
      </c>
      <c r="Y2" s="5">
        <v>0.87027027027027026</v>
      </c>
      <c r="Z2" s="5">
        <v>0.57446808510638303</v>
      </c>
      <c r="AA2" s="6">
        <v>4</v>
      </c>
      <c r="AF2"/>
      <c r="AG2"/>
      <c r="AH2"/>
      <c r="AJ2"/>
      <c r="AK2"/>
      <c r="AL2"/>
      <c r="AM2"/>
      <c r="AN2"/>
      <c r="AO2"/>
      <c r="AP2"/>
    </row>
    <row r="3" spans="1:42" x14ac:dyDescent="0.3">
      <c r="A3" t="s">
        <v>299</v>
      </c>
      <c r="B3" s="6">
        <v>745</v>
      </c>
      <c r="C3" t="s">
        <v>554</v>
      </c>
      <c r="D3" t="s">
        <v>782</v>
      </c>
      <c r="E3" t="str">
        <f>VLOOKUP(Table1[[#This Row],[Code]], [1]Basque!$1:$1048576, 4, 0)</f>
        <v>putzu</v>
      </c>
      <c r="F3" s="74">
        <v>0.66700000000000004</v>
      </c>
      <c r="G3" s="5">
        <v>6.1689999999999996</v>
      </c>
      <c r="H3" s="5">
        <v>0</v>
      </c>
      <c r="I3" s="5">
        <v>100</v>
      </c>
      <c r="J3" s="5">
        <v>2.87</v>
      </c>
      <c r="K3" t="s">
        <v>1293</v>
      </c>
      <c r="L3" s="5">
        <f xml:space="preserve"> 1 - Table1[[#This Row],[Phon_Similarity]]</f>
        <v>0.1454545454545455</v>
      </c>
      <c r="M3" s="5">
        <f xml:space="preserve"> 1 -Table1[[#This Row],[Orth_Similarity]]</f>
        <v>0.21999999999999997</v>
      </c>
      <c r="N3" s="6">
        <v>4</v>
      </c>
      <c r="O3" s="6">
        <v>4</v>
      </c>
      <c r="P3" s="6">
        <v>3</v>
      </c>
      <c r="Q3" s="5">
        <v>4.2303550000000003</v>
      </c>
      <c r="R3" s="5" t="s">
        <v>1418</v>
      </c>
      <c r="S3" t="s">
        <v>1020</v>
      </c>
      <c r="T3" t="s">
        <v>1269</v>
      </c>
      <c r="U3" s="6">
        <v>4</v>
      </c>
      <c r="V3" s="6">
        <v>3</v>
      </c>
      <c r="W3" s="6" t="s">
        <v>22</v>
      </c>
      <c r="X3" s="5">
        <v>6.4289217524815321</v>
      </c>
      <c r="Y3" s="5">
        <v>0.8545454545454545</v>
      </c>
      <c r="Z3" s="5">
        <v>0.78</v>
      </c>
      <c r="AA3" s="6">
        <v>4</v>
      </c>
      <c r="AF3"/>
      <c r="AG3"/>
      <c r="AH3"/>
      <c r="AJ3"/>
      <c r="AK3"/>
      <c r="AL3"/>
      <c r="AM3"/>
      <c r="AN3"/>
      <c r="AO3"/>
      <c r="AP3"/>
    </row>
    <row r="4" spans="1:42" x14ac:dyDescent="0.3">
      <c r="A4" t="s">
        <v>246</v>
      </c>
      <c r="B4" s="6">
        <v>590</v>
      </c>
      <c r="C4" t="s">
        <v>501</v>
      </c>
      <c r="D4" t="s">
        <v>735</v>
      </c>
      <c r="E4" t="str">
        <f>VLOOKUP(Table1[[#This Row],[Code]], [1]Basque!$1:$1048576, 4, 0)</f>
        <v>erratza</v>
      </c>
      <c r="F4" s="73">
        <v>0.4</v>
      </c>
      <c r="G4" s="5">
        <v>5.8490000000000002</v>
      </c>
      <c r="H4" s="5">
        <v>0</v>
      </c>
      <c r="I4" s="5">
        <v>100</v>
      </c>
      <c r="J4" s="5">
        <v>2.1800000000000002</v>
      </c>
      <c r="K4" t="s">
        <v>1290</v>
      </c>
      <c r="L4" s="5">
        <f xml:space="preserve"> 1 - Table1[[#This Row],[Phon_Similarity]]</f>
        <v>0.17872340425531918</v>
      </c>
      <c r="M4" s="5">
        <f xml:space="preserve"> 1 -Table1[[#This Row],[Orth_Similarity]]</f>
        <v>0.37192982456140355</v>
      </c>
      <c r="N4" s="6">
        <v>6</v>
      </c>
      <c r="O4" s="6">
        <v>6</v>
      </c>
      <c r="P4" s="6">
        <v>3</v>
      </c>
      <c r="Q4" s="5">
        <v>3.3455539999999999</v>
      </c>
      <c r="R4" s="5"/>
      <c r="S4" t="s">
        <v>973</v>
      </c>
      <c r="T4" t="s">
        <v>1217</v>
      </c>
      <c r="U4" s="6">
        <v>5</v>
      </c>
      <c r="V4" s="6">
        <v>4</v>
      </c>
      <c r="W4" s="6" t="s">
        <v>22</v>
      </c>
      <c r="X4" s="5">
        <v>3.5626135405320891</v>
      </c>
      <c r="Y4" s="5">
        <v>0.82127659574468082</v>
      </c>
      <c r="Z4" s="5">
        <v>0.62807017543859645</v>
      </c>
      <c r="AA4" s="6">
        <v>5</v>
      </c>
      <c r="AF4"/>
      <c r="AG4"/>
      <c r="AH4"/>
      <c r="AJ4"/>
      <c r="AK4"/>
      <c r="AL4"/>
      <c r="AM4"/>
      <c r="AN4"/>
      <c r="AO4"/>
      <c r="AP4"/>
    </row>
    <row r="5" spans="1:42" x14ac:dyDescent="0.3">
      <c r="A5" t="s">
        <v>110</v>
      </c>
      <c r="B5" s="6">
        <v>235</v>
      </c>
      <c r="C5" t="s">
        <v>365</v>
      </c>
      <c r="D5" t="s">
        <v>613</v>
      </c>
      <c r="E5" t="str">
        <f>VLOOKUP(Table1[[#This Row],[Code]], [1]Basque!$1:$1048576, 4, 0)</f>
        <v>orratz</v>
      </c>
      <c r="F5" s="73">
        <v>0.5</v>
      </c>
      <c r="G5" s="5">
        <v>5.93</v>
      </c>
      <c r="H5" s="5">
        <v>0.33228663000000003</v>
      </c>
      <c r="I5" s="5">
        <v>93.877551019999999</v>
      </c>
      <c r="J5" s="5">
        <v>1.81</v>
      </c>
      <c r="K5" t="s">
        <v>1290</v>
      </c>
      <c r="L5" s="5">
        <f xml:space="preserve"> 1 - Table1[[#This Row],[Phon_Similarity]]</f>
        <v>0.18723404255319154</v>
      </c>
      <c r="M5" s="5">
        <f xml:space="preserve"> 1 -Table1[[#This Row],[Orth_Similarity]]</f>
        <v>0.42448979591836733</v>
      </c>
      <c r="N5" s="6">
        <v>5</v>
      </c>
      <c r="O5" s="6">
        <v>5</v>
      </c>
      <c r="P5" s="6">
        <v>3</v>
      </c>
      <c r="Q5" s="5">
        <v>3.8020269999999998</v>
      </c>
      <c r="R5" s="5"/>
      <c r="S5" t="s">
        <v>842</v>
      </c>
      <c r="T5" t="s">
        <v>1085</v>
      </c>
      <c r="U5" s="6">
        <v>6</v>
      </c>
      <c r="V5" s="6">
        <v>4</v>
      </c>
      <c r="W5" s="6" t="s">
        <v>23</v>
      </c>
      <c r="X5" s="5">
        <v>3.9287318365867443</v>
      </c>
      <c r="Y5" s="5">
        <v>0.81276595744680846</v>
      </c>
      <c r="Z5" s="5">
        <v>0.57551020408163267</v>
      </c>
      <c r="AA5" s="6">
        <v>6</v>
      </c>
      <c r="AF5"/>
      <c r="AG5"/>
      <c r="AH5"/>
      <c r="AJ5"/>
      <c r="AK5"/>
      <c r="AL5"/>
      <c r="AM5"/>
      <c r="AN5"/>
      <c r="AO5"/>
      <c r="AP5"/>
    </row>
    <row r="6" spans="1:42" x14ac:dyDescent="0.3">
      <c r="A6" t="s">
        <v>275</v>
      </c>
      <c r="B6" s="6">
        <v>66</v>
      </c>
      <c r="C6" t="s">
        <v>530</v>
      </c>
      <c r="D6" t="s">
        <v>761</v>
      </c>
      <c r="E6" t="str">
        <f>VLOOKUP(Table1[[#This Row],[Code]], [1]Basque!$1:$1048576, 4, 0)</f>
        <v>teilatu</v>
      </c>
      <c r="F6" s="73">
        <v>0.6</v>
      </c>
      <c r="G6" s="5">
        <v>6.1369999999999996</v>
      </c>
      <c r="H6" s="5">
        <v>0</v>
      </c>
      <c r="I6" s="5">
        <v>100</v>
      </c>
      <c r="J6" s="5">
        <v>2.41</v>
      </c>
      <c r="K6" t="s">
        <v>1293</v>
      </c>
      <c r="L6" s="5">
        <f xml:space="preserve"> 1 - Table1[[#This Row],[Phon_Similarity]]</f>
        <v>0.21276595744680848</v>
      </c>
      <c r="M6" s="5">
        <f xml:space="preserve"> 1 -Table1[[#This Row],[Orth_Similarity]]</f>
        <v>0.18260869565217397</v>
      </c>
      <c r="N6" s="6">
        <v>6</v>
      </c>
      <c r="O6" s="6">
        <v>6</v>
      </c>
      <c r="P6" s="6">
        <v>3</v>
      </c>
      <c r="Q6" s="5">
        <v>3.7950710000000001</v>
      </c>
      <c r="R6" s="5" t="s">
        <v>1418</v>
      </c>
      <c r="S6" t="s">
        <v>998</v>
      </c>
      <c r="T6" t="s">
        <v>1245</v>
      </c>
      <c r="U6" s="6">
        <v>4</v>
      </c>
      <c r="V6" s="6">
        <v>3</v>
      </c>
      <c r="W6" s="6" t="s">
        <v>22</v>
      </c>
      <c r="X6" s="5">
        <v>4.720426588550021</v>
      </c>
      <c r="Y6" s="5">
        <v>0.78723404255319152</v>
      </c>
      <c r="Z6" s="5">
        <v>0.81739130434782603</v>
      </c>
      <c r="AA6" s="6">
        <v>6</v>
      </c>
      <c r="AF6"/>
      <c r="AG6"/>
      <c r="AH6"/>
      <c r="AJ6"/>
      <c r="AK6"/>
      <c r="AL6"/>
      <c r="AM6"/>
      <c r="AN6"/>
      <c r="AO6"/>
      <c r="AP6"/>
    </row>
    <row r="7" spans="1:42" x14ac:dyDescent="0.3">
      <c r="A7" t="s">
        <v>243</v>
      </c>
      <c r="B7" s="6">
        <v>576</v>
      </c>
      <c r="C7" t="s">
        <v>498</v>
      </c>
      <c r="D7" t="s">
        <v>732</v>
      </c>
      <c r="E7" t="str">
        <f>VLOOKUP(Table1[[#This Row],[Code]], [1]Basque!$1:$1048576, 4, 0)</f>
        <v>eskularrua</v>
      </c>
      <c r="F7" s="73">
        <v>0.8</v>
      </c>
      <c r="G7" s="5">
        <v>6.3280000000000003</v>
      </c>
      <c r="H7" s="5">
        <v>0</v>
      </c>
      <c r="I7" s="5">
        <v>100</v>
      </c>
      <c r="J7" s="5">
        <v>1.92</v>
      </c>
      <c r="K7" t="s">
        <v>1291</v>
      </c>
      <c r="L7" s="5">
        <f xml:space="preserve"> 1 - Table1[[#This Row],[Phon_Similarity]]</f>
        <v>0.22978723404255319</v>
      </c>
      <c r="M7" s="5">
        <f xml:space="preserve"> 1 -Table1[[#This Row],[Orth_Similarity]]</f>
        <v>0.512280701754386</v>
      </c>
      <c r="N7" s="6">
        <v>6</v>
      </c>
      <c r="O7" s="6">
        <v>6</v>
      </c>
      <c r="P7" s="6">
        <v>2</v>
      </c>
      <c r="Q7" s="5">
        <v>3.5675309999999998</v>
      </c>
      <c r="R7" s="5"/>
      <c r="S7" t="s">
        <v>970</v>
      </c>
      <c r="T7" t="s">
        <v>1214</v>
      </c>
      <c r="U7" s="6">
        <v>5</v>
      </c>
      <c r="V7" s="6">
        <v>4</v>
      </c>
      <c r="W7" s="6" t="s">
        <v>22</v>
      </c>
      <c r="X7" s="5">
        <v>3.8100130227561766</v>
      </c>
      <c r="Y7" s="5">
        <v>0.77021276595744681</v>
      </c>
      <c r="Z7" s="5">
        <v>0.487719298245614</v>
      </c>
      <c r="AA7" s="6">
        <v>4</v>
      </c>
      <c r="AF7"/>
      <c r="AG7"/>
      <c r="AH7"/>
      <c r="AJ7"/>
      <c r="AK7"/>
      <c r="AL7"/>
      <c r="AM7"/>
      <c r="AN7"/>
      <c r="AO7"/>
      <c r="AP7"/>
    </row>
    <row r="8" spans="1:42" x14ac:dyDescent="0.3">
      <c r="A8" t="s">
        <v>235</v>
      </c>
      <c r="B8" s="6">
        <v>552</v>
      </c>
      <c r="C8" t="s">
        <v>490</v>
      </c>
      <c r="D8" t="s">
        <v>724</v>
      </c>
      <c r="E8" t="str">
        <f>VLOOKUP(Table1[[#This Row],[Code]], [1]Basque!$1:$1048576, 4, 0)</f>
        <v>sagar</v>
      </c>
      <c r="F8" s="74">
        <v>0.83299999999999996</v>
      </c>
      <c r="G8" s="5">
        <v>6.58</v>
      </c>
      <c r="H8" s="5">
        <v>0</v>
      </c>
      <c r="I8" s="5">
        <v>100</v>
      </c>
      <c r="J8" s="5">
        <v>2.13</v>
      </c>
      <c r="K8" t="s">
        <v>1288</v>
      </c>
      <c r="L8" s="5">
        <f xml:space="preserve"> 1 - Table1[[#This Row],[Phon_Similarity]]</f>
        <v>0.23703703703703705</v>
      </c>
      <c r="M8" s="5">
        <f xml:space="preserve"> 1 -Table1[[#This Row],[Orth_Similarity]]</f>
        <v>0.30625000000000002</v>
      </c>
      <c r="N8" s="6">
        <v>7</v>
      </c>
      <c r="O8" s="6">
        <v>7</v>
      </c>
      <c r="P8" s="6">
        <v>3</v>
      </c>
      <c r="Q8" s="5">
        <v>3.9098839999999999</v>
      </c>
      <c r="R8" s="5" t="s">
        <v>1418</v>
      </c>
      <c r="S8" t="s">
        <v>963</v>
      </c>
      <c r="T8" t="s">
        <v>1207</v>
      </c>
      <c r="U8" s="6">
        <v>5</v>
      </c>
      <c r="V8" s="6">
        <v>3</v>
      </c>
      <c r="W8" s="6" t="s">
        <v>23</v>
      </c>
      <c r="X8" s="5">
        <v>4.5841960442299765</v>
      </c>
      <c r="Y8" s="5">
        <v>0.76296296296296295</v>
      </c>
      <c r="Z8" s="5">
        <v>0.69374999999999998</v>
      </c>
      <c r="AA8" s="6">
        <v>6</v>
      </c>
      <c r="AF8"/>
      <c r="AG8"/>
      <c r="AH8"/>
      <c r="AJ8"/>
      <c r="AK8"/>
      <c r="AL8"/>
      <c r="AM8"/>
      <c r="AN8"/>
      <c r="AO8"/>
      <c r="AP8"/>
    </row>
    <row r="9" spans="1:42" x14ac:dyDescent="0.3">
      <c r="A9" t="s">
        <v>194</v>
      </c>
      <c r="B9" s="6">
        <v>461</v>
      </c>
      <c r="C9" t="s">
        <v>449</v>
      </c>
      <c r="D9" t="s">
        <v>449</v>
      </c>
      <c r="E9" t="str">
        <f>VLOOKUP(Table1[[#This Row],[Code]], [1]Basque!$1:$1048576, 4, 0)</f>
        <v>pistola</v>
      </c>
      <c r="F9" s="73">
        <v>0.5</v>
      </c>
      <c r="G9" s="5">
        <v>6.0110000000000001</v>
      </c>
      <c r="H9" s="5">
        <v>0.14257333</v>
      </c>
      <c r="I9" s="5">
        <v>97.979797980000001</v>
      </c>
      <c r="J9" s="5">
        <v>2.06</v>
      </c>
      <c r="K9" t="s">
        <v>1290</v>
      </c>
      <c r="L9" s="5">
        <f xml:space="preserve"> 1 - Table1[[#This Row],[Phon_Similarity]]</f>
        <v>0.25185185185185177</v>
      </c>
      <c r="M9" s="5">
        <f xml:space="preserve"> 1 -Table1[[#This Row],[Orth_Similarity]]</f>
        <v>0.21481481481481479</v>
      </c>
      <c r="N9" s="6">
        <v>7</v>
      </c>
      <c r="O9" s="6">
        <v>7</v>
      </c>
      <c r="P9" s="6">
        <v>3</v>
      </c>
      <c r="Q9" s="5">
        <v>4.1211510000000002</v>
      </c>
      <c r="R9" s="5" t="s">
        <v>1418</v>
      </c>
      <c r="S9" t="s">
        <v>925</v>
      </c>
      <c r="T9" t="s">
        <v>1168</v>
      </c>
      <c r="U9" s="6">
        <v>3</v>
      </c>
      <c r="V9" s="6">
        <v>3</v>
      </c>
      <c r="W9" s="6" t="s">
        <v>22</v>
      </c>
      <c r="X9" s="5">
        <v>4.5989885430885487</v>
      </c>
      <c r="Y9" s="5">
        <v>0.74814814814814823</v>
      </c>
      <c r="Z9" s="5">
        <v>0.78518518518518521</v>
      </c>
      <c r="AA9" s="6">
        <v>7</v>
      </c>
      <c r="AF9"/>
      <c r="AG9"/>
      <c r="AH9"/>
      <c r="AJ9"/>
      <c r="AK9"/>
      <c r="AL9"/>
      <c r="AM9"/>
      <c r="AN9"/>
      <c r="AO9"/>
      <c r="AP9"/>
    </row>
    <row r="10" spans="1:42" x14ac:dyDescent="0.3">
      <c r="A10" t="s">
        <v>304</v>
      </c>
      <c r="B10" s="6">
        <v>8</v>
      </c>
      <c r="C10" t="s">
        <v>559</v>
      </c>
      <c r="D10" t="s">
        <v>787</v>
      </c>
      <c r="E10" t="str">
        <f>VLOOKUP(Table1[[#This Row],[Code]], [1]Basque!$1:$1048576, 4, 0)</f>
        <v>hanka</v>
      </c>
      <c r="F10" s="73">
        <v>0.4</v>
      </c>
      <c r="G10" s="5">
        <v>5.8680000000000003</v>
      </c>
      <c r="H10" s="5">
        <v>0.327444919</v>
      </c>
      <c r="I10" s="5">
        <v>94</v>
      </c>
      <c r="J10" s="5">
        <v>1.99</v>
      </c>
      <c r="K10" t="s">
        <v>1286</v>
      </c>
      <c r="L10" s="5">
        <f xml:space="preserve"> 1 - Table1[[#This Row],[Phon_Similarity]]</f>
        <v>0.25531914893617014</v>
      </c>
      <c r="M10" s="5">
        <f xml:space="preserve"> 1 -Table1[[#This Row],[Orth_Similarity]]</f>
        <v>0.25531914893617014</v>
      </c>
      <c r="N10" s="6">
        <v>6</v>
      </c>
      <c r="O10" s="6">
        <v>6</v>
      </c>
      <c r="P10" s="6">
        <v>3</v>
      </c>
      <c r="Q10" s="5">
        <v>4.1965260000000004</v>
      </c>
      <c r="R10" s="5" t="s">
        <v>1418</v>
      </c>
      <c r="S10" t="s">
        <v>1025</v>
      </c>
      <c r="T10" t="s">
        <v>1274</v>
      </c>
      <c r="U10" s="6">
        <v>3</v>
      </c>
      <c r="V10" s="6">
        <v>3</v>
      </c>
      <c r="W10" s="6" t="s">
        <v>22</v>
      </c>
      <c r="X10" s="5">
        <v>4.8763203227975458</v>
      </c>
      <c r="Y10" s="5">
        <v>0.74468085106382986</v>
      </c>
      <c r="Z10" s="5">
        <v>0.74468085106382986</v>
      </c>
      <c r="AA10" s="6">
        <v>5</v>
      </c>
      <c r="AF10"/>
      <c r="AG10"/>
      <c r="AH10"/>
      <c r="AJ10"/>
      <c r="AK10"/>
      <c r="AL10"/>
      <c r="AM10"/>
      <c r="AN10"/>
      <c r="AO10"/>
      <c r="AP10"/>
    </row>
    <row r="11" spans="1:42" x14ac:dyDescent="0.3">
      <c r="A11" t="s">
        <v>156</v>
      </c>
      <c r="B11" s="6">
        <v>349</v>
      </c>
      <c r="C11" t="s">
        <v>411</v>
      </c>
      <c r="D11" t="s">
        <v>652</v>
      </c>
      <c r="E11" t="str">
        <f>VLOOKUP(Table1[[#This Row],[Code]], [1]Basque!$1:$1048576, 4, 0)</f>
        <v>kandadu</v>
      </c>
      <c r="F11" s="73">
        <v>0.5</v>
      </c>
      <c r="G11" s="5">
        <v>6.2220000000000004</v>
      </c>
      <c r="H11" s="5">
        <v>0.19902377500000001</v>
      </c>
      <c r="I11" s="5">
        <v>96.907216489999996</v>
      </c>
      <c r="J11" s="5">
        <v>1.7</v>
      </c>
      <c r="K11" t="s">
        <v>1290</v>
      </c>
      <c r="L11" s="5">
        <f xml:space="preserve"> 1 - Table1[[#This Row],[Phon_Similarity]]</f>
        <v>0.2592592592592593</v>
      </c>
      <c r="M11" s="5">
        <f xml:space="preserve"> 1 -Table1[[#This Row],[Orth_Similarity]]</f>
        <v>0.32786885245901631</v>
      </c>
      <c r="N11" s="6">
        <v>7</v>
      </c>
      <c r="O11" s="6">
        <v>7</v>
      </c>
      <c r="P11" s="6">
        <v>2</v>
      </c>
      <c r="Q11" s="5">
        <v>3.027644</v>
      </c>
      <c r="R11" s="5" t="s">
        <v>1418</v>
      </c>
      <c r="S11" t="s">
        <v>887</v>
      </c>
      <c r="T11" t="s">
        <v>1130</v>
      </c>
      <c r="U11" s="6">
        <v>4</v>
      </c>
      <c r="V11" s="6">
        <v>3</v>
      </c>
      <c r="W11" s="6" t="s">
        <v>22</v>
      </c>
      <c r="X11" s="5">
        <v>4.4221368882975129</v>
      </c>
      <c r="Y11" s="5">
        <v>0.7407407407407407</v>
      </c>
      <c r="Z11" s="5">
        <v>0.67213114754098369</v>
      </c>
      <c r="AA11" s="6">
        <v>7</v>
      </c>
      <c r="AF11"/>
      <c r="AG11"/>
      <c r="AH11"/>
      <c r="AJ11"/>
      <c r="AK11"/>
      <c r="AL11"/>
      <c r="AM11"/>
      <c r="AN11"/>
      <c r="AO11"/>
      <c r="AP11"/>
    </row>
    <row r="12" spans="1:42" x14ac:dyDescent="0.3">
      <c r="A12" t="s">
        <v>239</v>
      </c>
      <c r="B12" s="6">
        <v>565</v>
      </c>
      <c r="C12" t="s">
        <v>494</v>
      </c>
      <c r="D12" t="s">
        <v>728</v>
      </c>
      <c r="E12" t="str">
        <f>VLOOKUP(Table1[[#This Row],[Code]], [1]Basque!$1:$1048576, 4, 0)</f>
        <v>kanpai</v>
      </c>
      <c r="F12" s="74">
        <v>0.66700000000000004</v>
      </c>
      <c r="G12" s="5">
        <v>6.4880000000000004</v>
      </c>
      <c r="H12" s="5">
        <v>0</v>
      </c>
      <c r="I12" s="5">
        <v>100</v>
      </c>
      <c r="J12" s="5">
        <v>2.06</v>
      </c>
      <c r="K12" t="s">
        <v>1290</v>
      </c>
      <c r="L12" s="5">
        <f xml:space="preserve"> 1 - Table1[[#This Row],[Phon_Similarity]]</f>
        <v>0.2592592592592593</v>
      </c>
      <c r="M12" s="5">
        <f xml:space="preserve"> 1 -Table1[[#This Row],[Orth_Similarity]]</f>
        <v>0.22950819672131151</v>
      </c>
      <c r="N12" s="6">
        <v>7</v>
      </c>
      <c r="O12" s="6">
        <v>7</v>
      </c>
      <c r="P12" s="6">
        <v>2</v>
      </c>
      <c r="Q12" s="5">
        <v>4.0740629999999998</v>
      </c>
      <c r="R12" s="5" t="s">
        <v>1418</v>
      </c>
      <c r="S12" t="s">
        <v>915</v>
      </c>
      <c r="T12" t="s">
        <v>1158</v>
      </c>
      <c r="U12" s="6">
        <v>4</v>
      </c>
      <c r="V12" s="6">
        <v>3</v>
      </c>
      <c r="W12" s="6" t="s">
        <v>22</v>
      </c>
      <c r="X12" s="5">
        <v>4.5372828914511434</v>
      </c>
      <c r="Y12" s="5">
        <v>0.7407407407407407</v>
      </c>
      <c r="Z12" s="5">
        <v>0.77049180327868849</v>
      </c>
      <c r="AA12" s="6">
        <v>7</v>
      </c>
      <c r="AF12"/>
      <c r="AG12"/>
      <c r="AH12"/>
      <c r="AJ12"/>
      <c r="AK12"/>
      <c r="AL12"/>
      <c r="AM12"/>
      <c r="AN12"/>
      <c r="AO12"/>
      <c r="AP12"/>
    </row>
    <row r="13" spans="1:42" x14ac:dyDescent="0.3">
      <c r="A13" t="s">
        <v>200</v>
      </c>
      <c r="B13" s="6">
        <v>473</v>
      </c>
      <c r="C13" t="s">
        <v>455</v>
      </c>
      <c r="D13" t="s">
        <v>690</v>
      </c>
      <c r="E13" t="str">
        <f>VLOOKUP(Table1[[#This Row],[Code]], [1]Basque!$1:$1048576, 4, 0)</f>
        <v>beso</v>
      </c>
      <c r="F13" s="73">
        <v>0.25</v>
      </c>
      <c r="G13" s="5">
        <v>6.0860000000000003</v>
      </c>
      <c r="H13" s="5">
        <v>0</v>
      </c>
      <c r="I13" s="5">
        <v>100</v>
      </c>
      <c r="J13" s="5">
        <v>1.63</v>
      </c>
      <c r="K13" t="s">
        <v>1286</v>
      </c>
      <c r="L13" s="5">
        <f xml:space="preserve"> 1 - Table1[[#This Row],[Phon_Similarity]]</f>
        <v>0.27027027027027029</v>
      </c>
      <c r="M13" s="5">
        <f xml:space="preserve"> 1 -Table1[[#This Row],[Orth_Similarity]]</f>
        <v>0.4</v>
      </c>
      <c r="N13" s="6">
        <v>5</v>
      </c>
      <c r="O13" s="6">
        <v>5</v>
      </c>
      <c r="P13" s="6">
        <v>2</v>
      </c>
      <c r="Q13" s="5">
        <v>4.6882380000000001</v>
      </c>
      <c r="R13" s="5"/>
      <c r="S13" t="s">
        <v>931</v>
      </c>
      <c r="T13" t="s">
        <v>1174</v>
      </c>
      <c r="U13" s="6">
        <v>3</v>
      </c>
      <c r="V13" s="6">
        <v>2</v>
      </c>
      <c r="W13" s="6" t="s">
        <v>22</v>
      </c>
      <c r="X13" s="5">
        <v>4.7021161847442832</v>
      </c>
      <c r="Y13" s="5">
        <v>0.72972972972972971</v>
      </c>
      <c r="Z13" s="5">
        <v>0.6</v>
      </c>
      <c r="AA13" s="6">
        <v>4</v>
      </c>
      <c r="AF13"/>
      <c r="AG13"/>
      <c r="AH13"/>
      <c r="AJ13"/>
      <c r="AK13"/>
      <c r="AL13"/>
      <c r="AM13"/>
      <c r="AN13"/>
      <c r="AO13"/>
      <c r="AP13"/>
    </row>
    <row r="14" spans="1:42" x14ac:dyDescent="0.3">
      <c r="A14" t="s">
        <v>153</v>
      </c>
      <c r="B14" s="6">
        <v>340</v>
      </c>
      <c r="C14" t="s">
        <v>408</v>
      </c>
      <c r="D14" t="s">
        <v>650</v>
      </c>
      <c r="E14" t="str">
        <f>VLOOKUP(Table1[[#This Row],[Code]], [1]Basque!$1:$1048576, 4, 0)</f>
        <v>izpilu</v>
      </c>
      <c r="F14" s="73">
        <v>0.6</v>
      </c>
      <c r="G14" s="5">
        <v>5.5949999999999998</v>
      </c>
      <c r="H14" s="5">
        <v>0</v>
      </c>
      <c r="I14" s="5">
        <v>100</v>
      </c>
      <c r="J14" s="5">
        <v>2.0299999999999998</v>
      </c>
      <c r="K14" t="s">
        <v>1290</v>
      </c>
      <c r="L14" s="5">
        <f xml:space="preserve"> 1 - Table1[[#This Row],[Phon_Similarity]]</f>
        <v>0.28000000000000003</v>
      </c>
      <c r="M14" s="5">
        <f xml:space="preserve"> 1 -Table1[[#This Row],[Orth_Similarity]]</f>
        <v>0.31333333333333335</v>
      </c>
      <c r="N14" s="6">
        <v>6</v>
      </c>
      <c r="O14" s="6">
        <v>6</v>
      </c>
      <c r="P14" s="6">
        <v>3</v>
      </c>
      <c r="Q14" s="5">
        <v>4.4195039999999999</v>
      </c>
      <c r="R14" s="5" t="s">
        <v>1418</v>
      </c>
      <c r="S14" t="s">
        <v>884</v>
      </c>
      <c r="T14" t="s">
        <v>1127</v>
      </c>
      <c r="U14" s="6">
        <v>6</v>
      </c>
      <c r="V14" s="6">
        <v>4</v>
      </c>
      <c r="W14" s="6" t="s">
        <v>23</v>
      </c>
      <c r="X14" s="5">
        <v>4.4495485097592926</v>
      </c>
      <c r="Y14" s="5">
        <v>0.72</v>
      </c>
      <c r="Z14" s="5">
        <v>0.68666666666666665</v>
      </c>
      <c r="AA14" s="6">
        <v>6</v>
      </c>
      <c r="AF14"/>
      <c r="AG14"/>
      <c r="AH14"/>
      <c r="AJ14"/>
      <c r="AK14"/>
      <c r="AL14"/>
      <c r="AM14"/>
      <c r="AN14"/>
      <c r="AO14"/>
      <c r="AP14"/>
    </row>
    <row r="15" spans="1:42" x14ac:dyDescent="0.3">
      <c r="A15" t="s">
        <v>314</v>
      </c>
      <c r="B15" s="6">
        <v>99</v>
      </c>
      <c r="C15" t="s">
        <v>569</v>
      </c>
      <c r="D15" t="s">
        <v>793</v>
      </c>
      <c r="E15" t="str">
        <f>VLOOKUP(Table1[[#This Row],[Code]], [1]Basque!$1:$1048576, 4, 0)</f>
        <v>koadro</v>
      </c>
      <c r="F15" s="73">
        <v>0.6</v>
      </c>
      <c r="G15" s="5">
        <v>6.6559999999999997</v>
      </c>
      <c r="H15" s="5">
        <v>0.14372616999999999</v>
      </c>
      <c r="I15" s="5">
        <v>97.959183670000002</v>
      </c>
      <c r="J15" s="5">
        <v>2.74</v>
      </c>
      <c r="K15" t="s">
        <v>1290</v>
      </c>
      <c r="L15" s="5">
        <f xml:space="preserve"> 1 - Table1[[#This Row],[Phon_Similarity]]</f>
        <v>0.28059701492537314</v>
      </c>
      <c r="M15" s="5">
        <f xml:space="preserve"> 1 -Table1[[#This Row],[Orth_Similarity]]</f>
        <v>0.35135135135135132</v>
      </c>
      <c r="N15" s="6">
        <v>6</v>
      </c>
      <c r="O15" s="6">
        <v>6</v>
      </c>
      <c r="P15" s="6">
        <v>3</v>
      </c>
      <c r="Q15" s="5">
        <v>4.6494090000000003</v>
      </c>
      <c r="R15" s="5" t="s">
        <v>1418</v>
      </c>
      <c r="S15" t="s">
        <v>1034</v>
      </c>
      <c r="T15" t="s">
        <v>1284</v>
      </c>
      <c r="U15" s="6">
        <v>8</v>
      </c>
      <c r="V15" s="6">
        <v>6</v>
      </c>
      <c r="W15" s="6" t="s">
        <v>23</v>
      </c>
      <c r="X15" s="5">
        <v>4.7656626949470624</v>
      </c>
      <c r="Y15" s="5">
        <v>0.71940298507462686</v>
      </c>
      <c r="Z15" s="5">
        <v>0.64864864864864868</v>
      </c>
      <c r="AA15" s="6">
        <v>8</v>
      </c>
      <c r="AF15"/>
      <c r="AG15"/>
      <c r="AH15"/>
      <c r="AJ15"/>
      <c r="AK15"/>
      <c r="AL15"/>
      <c r="AM15"/>
      <c r="AN15"/>
      <c r="AO15"/>
      <c r="AP15"/>
    </row>
    <row r="16" spans="1:42" x14ac:dyDescent="0.3">
      <c r="A16" t="s">
        <v>211</v>
      </c>
      <c r="B16" s="6">
        <v>498</v>
      </c>
      <c r="C16" t="s">
        <v>466</v>
      </c>
      <c r="D16" t="s">
        <v>701</v>
      </c>
      <c r="E16" s="15" t="e">
        <f>VLOOKUP(Table1[[#This Row],[Code]], [1]Basque!$1:$1048576, 4, 0)</f>
        <v>#N/A</v>
      </c>
      <c r="F16" s="73">
        <v>0</v>
      </c>
      <c r="G16" s="5">
        <v>5.3410000000000002</v>
      </c>
      <c r="H16" s="5">
        <v>0</v>
      </c>
      <c r="I16" s="5">
        <v>100</v>
      </c>
      <c r="J16" s="5">
        <v>1.52</v>
      </c>
      <c r="K16" t="s">
        <v>1290</v>
      </c>
      <c r="L16" s="5">
        <f xml:space="preserve"> 1 - Table1[[#This Row],[Phon_Similarity]]</f>
        <v>0.2810810810810811</v>
      </c>
      <c r="M16" s="5">
        <f xml:space="preserve"> 1 -Table1[[#This Row],[Orth_Similarity]]</f>
        <v>0.2810810810810811</v>
      </c>
      <c r="N16" s="6">
        <v>4</v>
      </c>
      <c r="O16" s="6">
        <v>4</v>
      </c>
      <c r="P16" s="6">
        <v>2</v>
      </c>
      <c r="Q16" s="5">
        <v>3.790524</v>
      </c>
      <c r="R16" s="5" t="s">
        <v>1418</v>
      </c>
      <c r="S16" t="s">
        <v>941</v>
      </c>
      <c r="T16" t="s">
        <v>1185</v>
      </c>
      <c r="U16" s="6">
        <v>3</v>
      </c>
      <c r="V16" s="6">
        <v>3</v>
      </c>
      <c r="W16" s="6" t="s">
        <v>22</v>
      </c>
      <c r="X16" s="5">
        <v>3.9345342889085075</v>
      </c>
      <c r="Y16" s="5">
        <v>0.7189189189189189</v>
      </c>
      <c r="Z16" s="5">
        <v>0.7189189189189189</v>
      </c>
      <c r="AA16" s="6">
        <v>4</v>
      </c>
      <c r="AF16"/>
      <c r="AG16"/>
      <c r="AH16"/>
      <c r="AJ16"/>
      <c r="AK16"/>
      <c r="AL16"/>
      <c r="AM16"/>
      <c r="AN16"/>
      <c r="AO16"/>
      <c r="AP16"/>
    </row>
    <row r="17" spans="1:42" x14ac:dyDescent="0.3">
      <c r="A17" t="s">
        <v>282</v>
      </c>
      <c r="B17" s="6">
        <v>673</v>
      </c>
      <c r="C17" t="s">
        <v>537</v>
      </c>
      <c r="D17" t="s">
        <v>767</v>
      </c>
      <c r="E17" t="str">
        <f>VLOOKUP(Table1[[#This Row],[Code]], [1]Basque!$1:$1048576, 4, 0)</f>
        <v>sardexka</v>
      </c>
      <c r="F17" s="73">
        <v>0.5</v>
      </c>
      <c r="G17" s="5">
        <v>6.4130000000000003</v>
      </c>
      <c r="H17" s="5">
        <v>0</v>
      </c>
      <c r="I17" s="5">
        <v>100</v>
      </c>
      <c r="J17" s="5">
        <v>1.35</v>
      </c>
      <c r="K17" t="s">
        <v>1290</v>
      </c>
      <c r="L17" s="5">
        <f xml:space="preserve"> 1 - Table1[[#This Row],[Phon_Similarity]]</f>
        <v>0.28148148148148144</v>
      </c>
      <c r="M17" s="5">
        <f xml:space="preserve"> 1 -Table1[[#This Row],[Orth_Similarity]]</f>
        <v>0.46557377049180326</v>
      </c>
      <c r="N17" s="6">
        <v>7</v>
      </c>
      <c r="O17" s="6">
        <v>7</v>
      </c>
      <c r="P17" s="6">
        <v>3</v>
      </c>
      <c r="Q17" s="5">
        <v>3.279668</v>
      </c>
      <c r="R17" s="5"/>
      <c r="S17" t="s">
        <v>1004</v>
      </c>
      <c r="T17" t="s">
        <v>1252</v>
      </c>
      <c r="U17" s="6">
        <v>4</v>
      </c>
      <c r="V17" s="6">
        <v>3</v>
      </c>
      <c r="W17" s="6" t="s">
        <v>22</v>
      </c>
      <c r="X17" s="5">
        <v>3.973115700861845</v>
      </c>
      <c r="Y17" s="5">
        <v>0.71851851851851856</v>
      </c>
      <c r="Z17" s="5">
        <v>0.53442622950819674</v>
      </c>
      <c r="AA17" s="6">
        <v>6</v>
      </c>
      <c r="AF17"/>
      <c r="AG17"/>
      <c r="AH17"/>
      <c r="AJ17"/>
      <c r="AK17"/>
      <c r="AL17"/>
      <c r="AM17"/>
      <c r="AN17"/>
      <c r="AO17"/>
      <c r="AP17"/>
    </row>
    <row r="18" spans="1:42" x14ac:dyDescent="0.3">
      <c r="A18" t="s">
        <v>162</v>
      </c>
      <c r="B18" s="6">
        <v>365</v>
      </c>
      <c r="C18" t="s">
        <v>417</v>
      </c>
      <c r="D18" t="s">
        <v>658</v>
      </c>
      <c r="E18" t="str">
        <f>VLOOKUP(Table1[[#This Row],[Code]], [1]Basque!$1:$1048576, 4, 0)</f>
        <v>triku</v>
      </c>
      <c r="F18" s="73">
        <v>0.75</v>
      </c>
      <c r="G18" s="68">
        <v>0</v>
      </c>
      <c r="H18" s="5">
        <v>0.14731066700000001</v>
      </c>
      <c r="I18" s="5">
        <v>97.894736839999993</v>
      </c>
      <c r="J18" s="5">
        <v>3.09</v>
      </c>
      <c r="K18" t="s">
        <v>1285</v>
      </c>
      <c r="L18" s="5">
        <f xml:space="preserve"> 1 - Table1[[#This Row],[Phon_Similarity]]</f>
        <v>0.28771929824561404</v>
      </c>
      <c r="M18" s="5">
        <f xml:space="preserve"> 1 -Table1[[#This Row],[Orth_Similarity]]</f>
        <v>0.32835820895522394</v>
      </c>
      <c r="N18" s="6">
        <v>5</v>
      </c>
      <c r="O18" s="6">
        <v>5</v>
      </c>
      <c r="P18" s="6">
        <v>3</v>
      </c>
      <c r="Q18" s="5">
        <v>3.2098710000000001</v>
      </c>
      <c r="R18" s="5" t="s">
        <v>1418</v>
      </c>
      <c r="S18" t="s">
        <v>893</v>
      </c>
      <c r="T18" t="s">
        <v>1136</v>
      </c>
      <c r="U18" s="6">
        <v>8</v>
      </c>
      <c r="V18" s="6">
        <v>6</v>
      </c>
      <c r="W18" s="6" t="s">
        <v>23</v>
      </c>
      <c r="X18" s="5">
        <v>3.7218602429400405</v>
      </c>
      <c r="Y18" s="5">
        <v>0.71228070175438596</v>
      </c>
      <c r="Z18" s="5">
        <v>0.67164179104477606</v>
      </c>
      <c r="AA18" s="6">
        <v>6</v>
      </c>
      <c r="AF18"/>
      <c r="AG18"/>
      <c r="AH18"/>
      <c r="AJ18"/>
      <c r="AK18"/>
      <c r="AL18"/>
      <c r="AM18"/>
      <c r="AN18"/>
      <c r="AO18"/>
      <c r="AP18"/>
    </row>
    <row r="19" spans="1:42" x14ac:dyDescent="0.3">
      <c r="A19" t="s">
        <v>71</v>
      </c>
      <c r="B19" s="6">
        <v>128</v>
      </c>
      <c r="C19" t="s">
        <v>326</v>
      </c>
      <c r="D19" t="s">
        <v>579</v>
      </c>
      <c r="E19" t="str">
        <f>VLOOKUP(Table1[[#This Row],[Code]], [1]Basque!$1:$1048576, 4, 0)</f>
        <v>panpin</v>
      </c>
      <c r="F19" s="73">
        <v>0.2</v>
      </c>
      <c r="G19" s="68">
        <v>0</v>
      </c>
      <c r="H19" s="5">
        <v>0.46899559400000002</v>
      </c>
      <c r="I19" s="5">
        <v>90</v>
      </c>
      <c r="J19" s="5">
        <v>2.59</v>
      </c>
      <c r="K19" t="s">
        <v>1290</v>
      </c>
      <c r="L19" s="5">
        <f xml:space="preserve"> 1 - Table1[[#This Row],[Phon_Similarity]]</f>
        <v>0.28936170212765955</v>
      </c>
      <c r="M19" s="5">
        <f xml:space="preserve"> 1 -Table1[[#This Row],[Orth_Similarity]]</f>
        <v>0.26382978723404249</v>
      </c>
      <c r="N19" s="6">
        <v>6</v>
      </c>
      <c r="O19" s="6">
        <v>6</v>
      </c>
      <c r="P19" s="6">
        <v>3</v>
      </c>
      <c r="Q19" s="5">
        <v>3.8510230000000001</v>
      </c>
      <c r="R19" s="5" t="s">
        <v>1418</v>
      </c>
      <c r="S19" t="s">
        <v>804</v>
      </c>
      <c r="T19" t="s">
        <v>1046</v>
      </c>
      <c r="U19" s="6">
        <v>4</v>
      </c>
      <c r="V19" s="6">
        <v>3</v>
      </c>
      <c r="W19" s="6" t="s">
        <v>22</v>
      </c>
      <c r="X19" s="5">
        <v>4.0723126832511021</v>
      </c>
      <c r="Y19" s="5">
        <v>0.71063829787234045</v>
      </c>
      <c r="Z19" s="5">
        <v>0.73617021276595751</v>
      </c>
      <c r="AA19" s="6">
        <v>6</v>
      </c>
      <c r="AF19"/>
      <c r="AG19"/>
      <c r="AH19"/>
      <c r="AJ19"/>
      <c r="AK19"/>
      <c r="AL19"/>
      <c r="AM19"/>
      <c r="AN19"/>
      <c r="AO19"/>
      <c r="AP19"/>
    </row>
    <row r="20" spans="1:42" x14ac:dyDescent="0.3">
      <c r="A20" t="s">
        <v>149</v>
      </c>
      <c r="B20" s="6">
        <v>327</v>
      </c>
      <c r="C20" t="s">
        <v>404</v>
      </c>
      <c r="D20" t="s">
        <v>646</v>
      </c>
      <c r="E20" t="str">
        <f>VLOOKUP(Table1[[#This Row],[Code]], [1]Basque!$1:$1048576, 4, 0)</f>
        <v>kasko</v>
      </c>
      <c r="F20" s="73">
        <v>0.25</v>
      </c>
      <c r="G20" s="5">
        <v>5.7969999999999997</v>
      </c>
      <c r="H20" s="5">
        <v>0</v>
      </c>
      <c r="I20" s="5">
        <v>100</v>
      </c>
      <c r="J20" s="5">
        <v>2.33</v>
      </c>
      <c r="K20" t="s">
        <v>1291</v>
      </c>
      <c r="L20" s="5">
        <f xml:space="preserve"> 1 - Table1[[#This Row],[Phon_Similarity]]</f>
        <v>0.29508196721311475</v>
      </c>
      <c r="M20" s="5">
        <f xml:space="preserve"> 1 -Table1[[#This Row],[Orth_Similarity]]</f>
        <v>0.29508196721311475</v>
      </c>
      <c r="N20" s="6">
        <v>5</v>
      </c>
      <c r="O20" s="6">
        <v>5</v>
      </c>
      <c r="P20" s="6">
        <v>2</v>
      </c>
      <c r="Q20" s="5">
        <v>4.3576740000000003</v>
      </c>
      <c r="R20" s="5" t="s">
        <v>1418</v>
      </c>
      <c r="S20" t="s">
        <v>880</v>
      </c>
      <c r="T20" t="s">
        <v>1123</v>
      </c>
      <c r="U20" s="6">
        <v>6</v>
      </c>
      <c r="V20" s="6">
        <v>6</v>
      </c>
      <c r="W20" s="6" t="s">
        <v>23</v>
      </c>
      <c r="X20" s="5">
        <v>4.0757659741624206</v>
      </c>
      <c r="Y20" s="5">
        <v>0.70491803278688525</v>
      </c>
      <c r="Z20" s="5">
        <v>0.70491803278688525</v>
      </c>
      <c r="AA20" s="6">
        <v>6</v>
      </c>
      <c r="AF20"/>
      <c r="AG20"/>
      <c r="AH20"/>
      <c r="AJ20"/>
      <c r="AK20"/>
      <c r="AL20"/>
      <c r="AM20"/>
      <c r="AN20"/>
      <c r="AO20"/>
      <c r="AP20"/>
    </row>
    <row r="21" spans="1:42" x14ac:dyDescent="0.3">
      <c r="A21" t="s">
        <v>208</v>
      </c>
      <c r="B21" s="6">
        <v>495</v>
      </c>
      <c r="C21" t="s">
        <v>463</v>
      </c>
      <c r="D21" t="s">
        <v>698</v>
      </c>
      <c r="E21" s="15" t="e">
        <f>VLOOKUP(Table1[[#This Row],[Code]], [1]Basque!$1:$1048576, 4, 0)</f>
        <v>#N/A</v>
      </c>
      <c r="F21" s="73">
        <v>0.4</v>
      </c>
      <c r="G21" s="5">
        <v>6.1260000000000003</v>
      </c>
      <c r="H21" s="5">
        <v>0.195909271</v>
      </c>
      <c r="I21" s="5">
        <v>96.969696970000001</v>
      </c>
      <c r="J21" s="5">
        <v>3.59</v>
      </c>
      <c r="K21" t="s">
        <v>1293</v>
      </c>
      <c r="L21" s="5">
        <f xml:space="preserve"> 1 - Table1[[#This Row],[Phon_Similarity]]</f>
        <v>0.29600000000000004</v>
      </c>
      <c r="M21" s="5">
        <f xml:space="preserve"> 1 -Table1[[#This Row],[Orth_Similarity]]</f>
        <v>0.4716417910447761</v>
      </c>
      <c r="N21" s="6">
        <v>6</v>
      </c>
      <c r="O21" s="6">
        <v>6</v>
      </c>
      <c r="P21" s="6">
        <v>3</v>
      </c>
      <c r="Q21" s="5">
        <v>5.0618270000000001</v>
      </c>
      <c r="R21" s="5"/>
      <c r="S21" t="s">
        <v>938</v>
      </c>
      <c r="T21" t="s">
        <v>1182</v>
      </c>
      <c r="U21" s="6">
        <v>7</v>
      </c>
      <c r="V21" s="6">
        <v>6</v>
      </c>
      <c r="W21" s="6" t="s">
        <v>23</v>
      </c>
      <c r="X21" s="5">
        <v>4.1243563988665297</v>
      </c>
      <c r="Y21" s="5">
        <v>0.70399999999999996</v>
      </c>
      <c r="Z21" s="5">
        <v>0.5283582089552239</v>
      </c>
      <c r="AA21" s="6">
        <v>6</v>
      </c>
      <c r="AF21"/>
      <c r="AG21"/>
      <c r="AH21"/>
      <c r="AJ21"/>
      <c r="AK21"/>
      <c r="AL21"/>
      <c r="AM21"/>
      <c r="AN21"/>
      <c r="AO21"/>
      <c r="AP21"/>
    </row>
    <row r="22" spans="1:42" x14ac:dyDescent="0.3">
      <c r="A22" t="s">
        <v>91</v>
      </c>
      <c r="B22" s="6">
        <v>169</v>
      </c>
      <c r="C22" t="s">
        <v>346</v>
      </c>
      <c r="D22" t="s">
        <v>596</v>
      </c>
      <c r="E22" t="str">
        <f>VLOOKUP(Table1[[#This Row],[Code]], [1]Basque!$1:$1048576, 4, 0)</f>
        <v>bizkar</v>
      </c>
      <c r="F22" s="74">
        <v>0.66700000000000004</v>
      </c>
      <c r="G22" s="5">
        <v>6.48</v>
      </c>
      <c r="H22" s="5">
        <v>0</v>
      </c>
      <c r="I22" s="5">
        <v>100</v>
      </c>
      <c r="J22" s="5">
        <v>2.0099999999999998</v>
      </c>
      <c r="K22" t="s">
        <v>1286</v>
      </c>
      <c r="L22" s="5">
        <f xml:space="preserve"> 1 - Table1[[#This Row],[Phon_Similarity]]</f>
        <v>0.29629629629629628</v>
      </c>
      <c r="M22" s="5">
        <f xml:space="preserve"> 1 -Table1[[#This Row],[Orth_Similarity]]</f>
        <v>0.38688524590163942</v>
      </c>
      <c r="N22" s="6">
        <v>7</v>
      </c>
      <c r="O22" s="6">
        <v>7</v>
      </c>
      <c r="P22" s="6">
        <v>3</v>
      </c>
      <c r="Q22" s="5">
        <v>4.5110749999999999</v>
      </c>
      <c r="R22" s="5" t="s">
        <v>1418</v>
      </c>
      <c r="S22" t="s">
        <v>823</v>
      </c>
      <c r="T22" t="s">
        <v>1066</v>
      </c>
      <c r="U22" s="6">
        <v>4</v>
      </c>
      <c r="V22" s="6">
        <v>3</v>
      </c>
      <c r="W22" s="6" t="s">
        <v>22</v>
      </c>
      <c r="X22" s="5">
        <v>6.2503084662146806</v>
      </c>
      <c r="Y22" s="5">
        <v>0.70370370370370372</v>
      </c>
      <c r="Z22" s="5">
        <v>0.61311475409836058</v>
      </c>
      <c r="AA22" s="6">
        <v>6</v>
      </c>
      <c r="AF22"/>
      <c r="AG22"/>
      <c r="AH22"/>
      <c r="AJ22"/>
      <c r="AK22"/>
      <c r="AL22"/>
      <c r="AM22"/>
      <c r="AN22"/>
      <c r="AO22"/>
      <c r="AP22"/>
    </row>
    <row r="23" spans="1:42" x14ac:dyDescent="0.3">
      <c r="A23" t="s">
        <v>171</v>
      </c>
      <c r="B23" s="6">
        <v>389</v>
      </c>
      <c r="C23" t="s">
        <v>426</v>
      </c>
      <c r="D23" t="s">
        <v>426</v>
      </c>
      <c r="E23" s="15" t="e">
        <f>VLOOKUP(Table1[[#This Row],[Code]], [1]Basque!$1:$1048576, 4, 0)</f>
        <v>#N/A</v>
      </c>
      <c r="F23" s="73">
        <v>0.8</v>
      </c>
      <c r="G23" s="5">
        <v>6.5780000000000003</v>
      </c>
      <c r="H23" s="5">
        <v>0</v>
      </c>
      <c r="I23" s="5">
        <v>100</v>
      </c>
      <c r="J23" s="5">
        <v>2.56</v>
      </c>
      <c r="K23" t="s">
        <v>1290</v>
      </c>
      <c r="L23" s="5">
        <f xml:space="preserve"> 1 - Table1[[#This Row],[Phon_Similarity]]</f>
        <v>0.30000000000000004</v>
      </c>
      <c r="M23" s="5">
        <f xml:space="preserve"> 1 -Table1[[#This Row],[Orth_Similarity]]</f>
        <v>0.3214285714285714</v>
      </c>
      <c r="N23" s="6">
        <v>6</v>
      </c>
      <c r="O23" s="6">
        <v>6</v>
      </c>
      <c r="P23" s="6">
        <v>3</v>
      </c>
      <c r="Q23" s="5">
        <v>4.2820330000000002</v>
      </c>
      <c r="R23" s="5" t="s">
        <v>1418</v>
      </c>
      <c r="S23" t="s">
        <v>902</v>
      </c>
      <c r="T23" t="s">
        <v>1145</v>
      </c>
      <c r="U23" s="6">
        <v>6</v>
      </c>
      <c r="V23" s="6">
        <v>6</v>
      </c>
      <c r="W23" s="6" t="s">
        <v>23</v>
      </c>
      <c r="X23" s="5">
        <v>3.7218602429400405</v>
      </c>
      <c r="Y23" s="5">
        <v>0.7</v>
      </c>
      <c r="Z23" s="5">
        <v>0.6785714285714286</v>
      </c>
      <c r="AA23" s="6">
        <v>5</v>
      </c>
      <c r="AF23"/>
      <c r="AG23"/>
      <c r="AH23"/>
      <c r="AJ23"/>
      <c r="AK23"/>
      <c r="AL23"/>
      <c r="AM23"/>
      <c r="AN23"/>
      <c r="AO23"/>
      <c r="AP23"/>
    </row>
    <row r="24" spans="1:42" x14ac:dyDescent="0.3">
      <c r="A24" t="s">
        <v>234</v>
      </c>
      <c r="B24" s="6">
        <v>546</v>
      </c>
      <c r="C24" t="s">
        <v>489</v>
      </c>
      <c r="D24" t="s">
        <v>723</v>
      </c>
      <c r="E24" t="str">
        <f>VLOOKUP(Table1[[#This Row],[Code]], [1]Basque!$1:$1048576, 4, 0)</f>
        <v>ate</v>
      </c>
      <c r="F24" s="73">
        <v>0.2</v>
      </c>
      <c r="G24" s="5">
        <v>5.8040000000000003</v>
      </c>
      <c r="H24" s="5">
        <v>0</v>
      </c>
      <c r="I24" s="5">
        <v>100</v>
      </c>
      <c r="J24" s="5">
        <v>1.66</v>
      </c>
      <c r="K24" t="s">
        <v>1290</v>
      </c>
      <c r="L24" s="5">
        <f xml:space="preserve"> 1 - Table1[[#This Row],[Phon_Similarity]]</f>
        <v>0.30000000000000004</v>
      </c>
      <c r="M24" s="5">
        <f xml:space="preserve"> 1 -Table1[[#This Row],[Orth_Similarity]]</f>
        <v>0.59199999999999997</v>
      </c>
      <c r="N24" s="6">
        <v>6</v>
      </c>
      <c r="O24" s="6">
        <v>6</v>
      </c>
      <c r="P24" s="6">
        <v>3</v>
      </c>
      <c r="Q24" s="5">
        <v>5.2013360000000004</v>
      </c>
      <c r="R24" s="5"/>
      <c r="S24" t="s">
        <v>962</v>
      </c>
      <c r="T24" t="s">
        <v>1206</v>
      </c>
      <c r="U24" s="6">
        <v>4</v>
      </c>
      <c r="V24" s="6">
        <v>2</v>
      </c>
      <c r="W24" s="6" t="s">
        <v>22</v>
      </c>
      <c r="X24" s="5">
        <v>5.2597504522237077</v>
      </c>
      <c r="Y24" s="5">
        <v>0.7</v>
      </c>
      <c r="Z24" s="5">
        <v>0.40800000000000003</v>
      </c>
      <c r="AA24" s="6">
        <v>5</v>
      </c>
      <c r="AF24"/>
      <c r="AG24"/>
      <c r="AH24"/>
      <c r="AJ24"/>
      <c r="AK24"/>
      <c r="AL24"/>
      <c r="AM24"/>
      <c r="AN24"/>
      <c r="AO24"/>
      <c r="AP24"/>
    </row>
    <row r="25" spans="1:42" x14ac:dyDescent="0.3">
      <c r="A25" t="s">
        <v>231</v>
      </c>
      <c r="B25" s="6">
        <v>540</v>
      </c>
      <c r="C25" t="s">
        <v>486</v>
      </c>
      <c r="D25" t="s">
        <v>720</v>
      </c>
      <c r="E25" t="str">
        <f>VLOOKUP(Table1[[#This Row],[Code]], [1]Basque!$1:$1048576, 4, 0)</f>
        <v>faro</v>
      </c>
      <c r="F25" s="74">
        <v>0.33300000000000002</v>
      </c>
      <c r="G25" s="68">
        <v>0</v>
      </c>
      <c r="H25" s="5">
        <v>0.141440543</v>
      </c>
      <c r="I25" s="5">
        <v>98</v>
      </c>
      <c r="J25" s="5">
        <v>2.3199999999999998</v>
      </c>
      <c r="K25" t="s">
        <v>1293</v>
      </c>
      <c r="L25" s="5">
        <f xml:space="preserve"> 1 - Table1[[#This Row],[Phon_Similarity]]</f>
        <v>0.32666666666666666</v>
      </c>
      <c r="M25" s="5">
        <f xml:space="preserve"> 1 -Table1[[#This Row],[Orth_Similarity]]</f>
        <v>0.22162162162162158</v>
      </c>
      <c r="N25" s="6">
        <v>4</v>
      </c>
      <c r="O25" s="6">
        <v>4</v>
      </c>
      <c r="P25" s="6">
        <v>3</v>
      </c>
      <c r="Q25" s="5">
        <v>3.8971979999999999</v>
      </c>
      <c r="R25" s="5"/>
      <c r="S25" t="s">
        <v>959</v>
      </c>
      <c r="T25" t="s">
        <v>1203</v>
      </c>
      <c r="U25" s="6">
        <v>10</v>
      </c>
      <c r="V25" s="6">
        <v>6</v>
      </c>
      <c r="W25" s="6" t="s">
        <v>23</v>
      </c>
      <c r="X25" s="5">
        <v>3.76614304793471</v>
      </c>
      <c r="Y25" s="5">
        <v>0.67333333333333334</v>
      </c>
      <c r="Z25" s="5">
        <v>0.77837837837837842</v>
      </c>
      <c r="AA25" s="6">
        <v>9</v>
      </c>
      <c r="AF25"/>
      <c r="AG25"/>
      <c r="AH25"/>
      <c r="AJ25"/>
      <c r="AK25"/>
      <c r="AL25"/>
      <c r="AM25"/>
      <c r="AN25"/>
      <c r="AO25"/>
      <c r="AP25"/>
    </row>
    <row r="26" spans="1:42" x14ac:dyDescent="0.3">
      <c r="A26" t="s">
        <v>137</v>
      </c>
      <c r="B26" s="6">
        <v>30</v>
      </c>
      <c r="C26" t="s">
        <v>392</v>
      </c>
      <c r="D26" t="s">
        <v>636</v>
      </c>
      <c r="E26" t="str">
        <f>VLOOKUP(Table1[[#This Row],[Code]], [1]Basque!$1:$1048576, 4, 0)</f>
        <v>baserria</v>
      </c>
      <c r="F26" s="73">
        <v>0.4</v>
      </c>
      <c r="G26" s="5">
        <v>4.9930000000000003</v>
      </c>
      <c r="H26" s="5">
        <v>0.39156941699999998</v>
      </c>
      <c r="I26" s="5">
        <v>93.81443299</v>
      </c>
      <c r="J26" s="5">
        <v>3.56</v>
      </c>
      <c r="K26" t="s">
        <v>1293</v>
      </c>
      <c r="L26" s="5">
        <f xml:space="preserve"> 1 - Table1[[#This Row],[Phon_Similarity]]</f>
        <v>0.32727272727272727</v>
      </c>
      <c r="M26" s="5">
        <f xml:space="preserve"> 1 -Table1[[#This Row],[Orth_Similarity]]</f>
        <v>0.4814814814814814</v>
      </c>
      <c r="N26" s="6">
        <v>6</v>
      </c>
      <c r="O26" s="6">
        <v>6</v>
      </c>
      <c r="P26" s="6">
        <v>2</v>
      </c>
      <c r="Q26" s="5">
        <v>4.0460500000000001</v>
      </c>
      <c r="R26" s="5"/>
      <c r="S26" t="s">
        <v>868</v>
      </c>
      <c r="T26" t="s">
        <v>1111</v>
      </c>
      <c r="U26" s="6">
        <v>4</v>
      </c>
      <c r="V26" s="6">
        <v>3</v>
      </c>
      <c r="W26" s="6" t="s">
        <v>22</v>
      </c>
      <c r="X26" s="5">
        <v>4.8123434701828387</v>
      </c>
      <c r="Y26" s="5">
        <v>0.67272727272727273</v>
      </c>
      <c r="Z26" s="5">
        <v>0.5185185185185186</v>
      </c>
      <c r="AA26" s="6">
        <v>5</v>
      </c>
      <c r="AF26"/>
      <c r="AG26"/>
      <c r="AH26"/>
      <c r="AJ26"/>
      <c r="AK26"/>
      <c r="AL26"/>
      <c r="AM26"/>
      <c r="AN26"/>
      <c r="AO26"/>
      <c r="AP26"/>
    </row>
    <row r="27" spans="1:42" x14ac:dyDescent="0.3">
      <c r="A27" t="s">
        <v>286</v>
      </c>
      <c r="B27" s="6">
        <v>680</v>
      </c>
      <c r="C27" t="s">
        <v>541</v>
      </c>
      <c r="D27" t="s">
        <v>770</v>
      </c>
      <c r="E27" t="str">
        <f>VLOOKUP(Table1[[#This Row],[Code]], [1]Basque!$1:$1048576, 4, 0)</f>
        <v>arko</v>
      </c>
      <c r="F27" s="74">
        <v>0.33300000000000002</v>
      </c>
      <c r="G27" s="5">
        <v>6.1630000000000003</v>
      </c>
      <c r="H27" s="5">
        <v>0.20390587600000001</v>
      </c>
      <c r="I27" s="5">
        <v>96.808510639999994</v>
      </c>
      <c r="J27" s="5">
        <v>2.2000000000000002</v>
      </c>
      <c r="K27" t="s">
        <v>1290</v>
      </c>
      <c r="L27" s="5">
        <f xml:space="preserve"> 1 - Table1[[#This Row],[Phon_Similarity]]</f>
        <v>0.32727272727272727</v>
      </c>
      <c r="M27" s="5">
        <f xml:space="preserve"> 1 -Table1[[#This Row],[Orth_Similarity]]</f>
        <v>0.33939393939393936</v>
      </c>
      <c r="N27" s="6">
        <v>4</v>
      </c>
      <c r="O27" s="6">
        <v>4</v>
      </c>
      <c r="P27" s="6">
        <v>2</v>
      </c>
      <c r="Q27" s="5">
        <v>4.5486779999999998</v>
      </c>
      <c r="R27" s="5" t="s">
        <v>1418</v>
      </c>
      <c r="S27" t="s">
        <v>1008</v>
      </c>
      <c r="T27" t="s">
        <v>1256</v>
      </c>
      <c r="U27" s="6">
        <v>3</v>
      </c>
      <c r="V27" s="6">
        <v>2</v>
      </c>
      <c r="W27" s="6" t="s">
        <v>22</v>
      </c>
      <c r="X27" s="5">
        <v>4.2190919328493832</v>
      </c>
      <c r="Y27" s="5">
        <v>0.67272727272727273</v>
      </c>
      <c r="Z27" s="5">
        <v>0.66060606060606064</v>
      </c>
      <c r="AA27" s="6">
        <v>4</v>
      </c>
      <c r="AF27"/>
      <c r="AG27"/>
      <c r="AH27"/>
      <c r="AJ27"/>
      <c r="AK27"/>
      <c r="AL27"/>
      <c r="AM27"/>
      <c r="AN27"/>
      <c r="AO27"/>
      <c r="AP27"/>
    </row>
    <row r="28" spans="1:42" x14ac:dyDescent="0.3">
      <c r="A28" t="s">
        <v>135</v>
      </c>
      <c r="B28" s="6">
        <v>295</v>
      </c>
      <c r="C28" t="s">
        <v>390</v>
      </c>
      <c r="D28" t="s">
        <v>634</v>
      </c>
      <c r="E28" t="str">
        <f>VLOOKUP(Table1[[#This Row],[Code]], [1]Basque!$1:$1048576, 4, 0)</f>
        <v>bandera</v>
      </c>
      <c r="F28" s="74">
        <v>0.33300000000000002</v>
      </c>
      <c r="G28" s="5">
        <v>6.0510000000000002</v>
      </c>
      <c r="H28" s="5">
        <v>0</v>
      </c>
      <c r="I28" s="5">
        <v>100</v>
      </c>
      <c r="J28" s="5">
        <v>1.43</v>
      </c>
      <c r="K28" t="s">
        <v>1290</v>
      </c>
      <c r="L28" s="5">
        <f xml:space="preserve"> 1 - Table1[[#This Row],[Phon_Similarity]]</f>
        <v>0.32786885245901631</v>
      </c>
      <c r="M28" s="5">
        <f xml:space="preserve"> 1 -Table1[[#This Row],[Orth_Similarity]]</f>
        <v>0.34754098360655739</v>
      </c>
      <c r="N28" s="6">
        <v>7</v>
      </c>
      <c r="O28" s="6">
        <v>7</v>
      </c>
      <c r="P28" s="6">
        <v>2</v>
      </c>
      <c r="Q28" s="5">
        <v>4.682061</v>
      </c>
      <c r="R28" s="5" t="s">
        <v>1418</v>
      </c>
      <c r="S28" t="s">
        <v>866</v>
      </c>
      <c r="T28" t="s">
        <v>1109</v>
      </c>
      <c r="U28" s="6">
        <v>4</v>
      </c>
      <c r="V28" s="6">
        <v>4</v>
      </c>
      <c r="W28" s="6" t="s">
        <v>22</v>
      </c>
      <c r="X28" s="5">
        <v>4.4161431269976994</v>
      </c>
      <c r="Y28" s="5">
        <v>0.67213114754098369</v>
      </c>
      <c r="Z28" s="5">
        <v>0.65245901639344261</v>
      </c>
      <c r="AA28" s="6">
        <v>7</v>
      </c>
      <c r="AF28"/>
      <c r="AG28"/>
      <c r="AH28"/>
      <c r="AJ28"/>
      <c r="AK28"/>
      <c r="AL28"/>
      <c r="AM28"/>
      <c r="AN28"/>
      <c r="AO28"/>
      <c r="AP28"/>
    </row>
    <row r="29" spans="1:42" x14ac:dyDescent="0.3">
      <c r="A29" t="s">
        <v>192</v>
      </c>
      <c r="B29" s="6">
        <v>452</v>
      </c>
      <c r="C29" t="s">
        <v>447</v>
      </c>
      <c r="D29" t="s">
        <v>683</v>
      </c>
      <c r="E29" t="str">
        <f>VLOOKUP(Table1[[#This Row],[Code]], [1]Basque!$1:$1048576, 4, 0)</f>
        <v>erloju</v>
      </c>
      <c r="F29" s="73">
        <v>0.25</v>
      </c>
      <c r="G29" s="5">
        <v>6.0430000000000001</v>
      </c>
      <c r="H29" s="5">
        <v>0</v>
      </c>
      <c r="I29" s="5">
        <v>100</v>
      </c>
      <c r="J29" s="5">
        <v>2</v>
      </c>
      <c r="K29" t="s">
        <v>1290</v>
      </c>
      <c r="L29" s="5">
        <f xml:space="preserve"> 1 - Table1[[#This Row],[Phon_Similarity]]</f>
        <v>0.33191489361702131</v>
      </c>
      <c r="M29" s="5">
        <f xml:space="preserve"> 1 -Table1[[#This Row],[Orth_Similarity]]</f>
        <v>7.999999999999996E-2</v>
      </c>
      <c r="N29" s="6">
        <v>5</v>
      </c>
      <c r="O29" s="6">
        <v>5</v>
      </c>
      <c r="P29" s="6">
        <v>2</v>
      </c>
      <c r="Q29" s="5">
        <v>4.4174040000000003</v>
      </c>
      <c r="R29" s="5"/>
      <c r="S29" t="s">
        <v>923</v>
      </c>
      <c r="T29" t="s">
        <v>1166</v>
      </c>
      <c r="U29" s="6">
        <v>5</v>
      </c>
      <c r="V29" s="6">
        <v>3</v>
      </c>
      <c r="W29" s="6" t="s">
        <v>22</v>
      </c>
      <c r="X29" s="5">
        <v>5.302890392595101</v>
      </c>
      <c r="Y29" s="5">
        <v>0.66808510638297869</v>
      </c>
      <c r="Z29" s="5">
        <v>0.92</v>
      </c>
      <c r="AA29" s="6">
        <v>5</v>
      </c>
      <c r="AF29"/>
      <c r="AG29"/>
      <c r="AH29"/>
      <c r="AJ29"/>
      <c r="AK29"/>
      <c r="AL29"/>
      <c r="AM29"/>
      <c r="AN29"/>
      <c r="AO29"/>
      <c r="AP29"/>
    </row>
    <row r="30" spans="1:42" x14ac:dyDescent="0.3">
      <c r="A30" t="s">
        <v>161</v>
      </c>
      <c r="B30" s="6">
        <v>362</v>
      </c>
      <c r="C30" t="s">
        <v>416</v>
      </c>
      <c r="D30" t="s">
        <v>657</v>
      </c>
      <c r="E30" t="str">
        <f>VLOOKUP(Table1[[#This Row],[Code]], [1]Basque!$1:$1048576, 4, 0)</f>
        <v>piszina</v>
      </c>
      <c r="F30" s="73">
        <v>0.5</v>
      </c>
      <c r="G30" s="5">
        <v>6.54</v>
      </c>
      <c r="H30" s="5">
        <v>0</v>
      </c>
      <c r="I30" s="5">
        <v>100</v>
      </c>
      <c r="J30" s="5">
        <v>2.1</v>
      </c>
      <c r="K30" t="s">
        <v>1293</v>
      </c>
      <c r="L30" s="5">
        <f xml:space="preserve"> 1 - Table1[[#This Row],[Phon_Similarity]]</f>
        <v>0.33333333333333326</v>
      </c>
      <c r="M30" s="5">
        <f xml:space="preserve"> 1 -Table1[[#This Row],[Orth_Similarity]]</f>
        <v>0.29473684210526319</v>
      </c>
      <c r="N30" s="6">
        <v>7</v>
      </c>
      <c r="O30" s="6">
        <v>7</v>
      </c>
      <c r="P30" s="6">
        <v>3</v>
      </c>
      <c r="Q30" s="5">
        <v>4.0165129999999998</v>
      </c>
      <c r="R30" s="5" t="s">
        <v>1418</v>
      </c>
      <c r="S30" t="s">
        <v>892</v>
      </c>
      <c r="T30" t="s">
        <v>1135</v>
      </c>
      <c r="U30" s="6">
        <v>4</v>
      </c>
      <c r="V30" s="6">
        <v>3</v>
      </c>
      <c r="W30" s="6" t="s">
        <v>22</v>
      </c>
      <c r="X30" s="5">
        <v>4.5385944886398839</v>
      </c>
      <c r="Y30" s="5">
        <v>0.66666666666666674</v>
      </c>
      <c r="Z30" s="5">
        <v>0.70526315789473681</v>
      </c>
      <c r="AA30" s="6">
        <v>6</v>
      </c>
      <c r="AF30"/>
      <c r="AG30"/>
      <c r="AH30"/>
      <c r="AJ30"/>
      <c r="AK30"/>
      <c r="AL30"/>
      <c r="AM30"/>
      <c r="AN30"/>
      <c r="AO30"/>
      <c r="AP30"/>
    </row>
    <row r="31" spans="1:42" x14ac:dyDescent="0.3">
      <c r="A31" t="s">
        <v>227</v>
      </c>
      <c r="B31" s="6">
        <v>532</v>
      </c>
      <c r="C31" t="s">
        <v>482</v>
      </c>
      <c r="D31" t="s">
        <v>716</v>
      </c>
      <c r="E31" t="str">
        <f>VLOOKUP(Table1[[#This Row],[Code]], [1]Basque!$1:$1048576, 4, 0)</f>
        <v>pailazo</v>
      </c>
      <c r="F31" s="73">
        <v>0.8</v>
      </c>
      <c r="G31" s="5">
        <v>6.3310000000000004</v>
      </c>
      <c r="H31" s="5">
        <v>0</v>
      </c>
      <c r="I31" s="5">
        <v>100</v>
      </c>
      <c r="J31" s="5">
        <v>2.94</v>
      </c>
      <c r="K31" t="s">
        <v>1410</v>
      </c>
      <c r="L31" s="5">
        <f xml:space="preserve"> 1 - Table1[[#This Row],[Phon_Similarity]]</f>
        <v>0.33571428571428563</v>
      </c>
      <c r="M31" s="5">
        <f xml:space="preserve"> 1 -Table1[[#This Row],[Orth_Similarity]]</f>
        <v>0.32452830188679238</v>
      </c>
      <c r="N31" s="6">
        <v>6</v>
      </c>
      <c r="O31" s="6">
        <v>6</v>
      </c>
      <c r="P31" s="6">
        <v>3</v>
      </c>
      <c r="Q31" s="5">
        <v>3.5814379999999999</v>
      </c>
      <c r="R31" s="5" t="s">
        <v>1418</v>
      </c>
      <c r="S31" t="s">
        <v>955</v>
      </c>
      <c r="T31" t="s">
        <v>1199</v>
      </c>
      <c r="U31" s="6">
        <v>5</v>
      </c>
      <c r="V31" s="6">
        <v>4</v>
      </c>
      <c r="W31" s="6" t="s">
        <v>22</v>
      </c>
      <c r="X31" s="5">
        <v>3.8984964135877904</v>
      </c>
      <c r="Y31" s="5">
        <v>0.66428571428571437</v>
      </c>
      <c r="Z31" s="5">
        <v>0.67547169811320762</v>
      </c>
      <c r="AA31" s="6">
        <v>6</v>
      </c>
      <c r="AF31"/>
      <c r="AG31"/>
      <c r="AH31"/>
      <c r="AJ31"/>
      <c r="AK31"/>
      <c r="AL31"/>
      <c r="AM31"/>
      <c r="AN31"/>
      <c r="AO31"/>
      <c r="AP31"/>
    </row>
    <row r="32" spans="1:42" x14ac:dyDescent="0.3">
      <c r="A32" t="s">
        <v>177</v>
      </c>
      <c r="B32" s="6">
        <v>411</v>
      </c>
      <c r="C32" t="s">
        <v>432</v>
      </c>
      <c r="D32" t="s">
        <v>668</v>
      </c>
      <c r="E32" t="str">
        <f>VLOOKUP(Table1[[#This Row],[Code]], [1]Basque!$1:$1048576, 4, 0)</f>
        <v>ukabil</v>
      </c>
      <c r="F32" s="74">
        <v>0.33300000000000002</v>
      </c>
      <c r="G32" s="5">
        <v>5</v>
      </c>
      <c r="H32" s="5">
        <v>0.141440543</v>
      </c>
      <c r="I32" s="5">
        <v>98</v>
      </c>
      <c r="J32" s="5">
        <v>2.31</v>
      </c>
      <c r="K32" t="s">
        <v>1286</v>
      </c>
      <c r="L32" s="5">
        <f xml:space="preserve"> 1 - Table1[[#This Row],[Phon_Similarity]]</f>
        <v>0.33636363636363642</v>
      </c>
      <c r="M32" s="5">
        <f xml:space="preserve"> 1 -Table1[[#This Row],[Orth_Similarity]]</f>
        <v>0.31351351351351353</v>
      </c>
      <c r="N32" s="6">
        <v>4</v>
      </c>
      <c r="O32" s="6">
        <v>4</v>
      </c>
      <c r="P32" s="6">
        <v>3</v>
      </c>
      <c r="Q32" s="5">
        <v>3.776824</v>
      </c>
      <c r="R32" s="5" t="s">
        <v>1418</v>
      </c>
      <c r="S32" t="s">
        <v>908</v>
      </c>
      <c r="T32" t="s">
        <v>1151</v>
      </c>
      <c r="U32" s="6">
        <v>4</v>
      </c>
      <c r="V32" s="6">
        <v>4</v>
      </c>
      <c r="W32" s="6" t="s">
        <v>22</v>
      </c>
      <c r="X32" s="5">
        <v>3.6834019911208649</v>
      </c>
      <c r="Y32" s="5">
        <v>0.66363636363636358</v>
      </c>
      <c r="Z32" s="5">
        <v>0.68648648648648647</v>
      </c>
      <c r="AA32" s="6">
        <v>4</v>
      </c>
      <c r="AF32"/>
      <c r="AG32"/>
      <c r="AH32"/>
      <c r="AJ32"/>
      <c r="AK32"/>
      <c r="AL32"/>
      <c r="AM32"/>
      <c r="AN32"/>
      <c r="AO32"/>
      <c r="AP32"/>
    </row>
    <row r="33" spans="1:42" x14ac:dyDescent="0.3">
      <c r="A33" t="s">
        <v>81</v>
      </c>
      <c r="B33" s="6">
        <v>151</v>
      </c>
      <c r="C33" t="s">
        <v>336</v>
      </c>
      <c r="D33" t="s">
        <v>588</v>
      </c>
      <c r="E33" s="15" t="e">
        <f>VLOOKUP(Table1[[#This Row],[Code]], [1]Basque!$1:$1048576, 4, 0)</f>
        <v>#N/A</v>
      </c>
      <c r="F33" s="74">
        <v>0.66700000000000004</v>
      </c>
      <c r="G33" s="5">
        <v>5.5970000000000004</v>
      </c>
      <c r="H33" s="5">
        <v>0</v>
      </c>
      <c r="I33" s="5">
        <v>100</v>
      </c>
      <c r="J33" s="5">
        <v>1.61</v>
      </c>
      <c r="K33" t="s">
        <v>1290</v>
      </c>
      <c r="L33" s="5">
        <f xml:space="preserve"> 1 - Table1[[#This Row],[Phon_Similarity]]</f>
        <v>0.33684210526315783</v>
      </c>
      <c r="M33" s="5">
        <f xml:space="preserve"> 1 -Table1[[#This Row],[Orth_Similarity]]</f>
        <v>0.30943396226415087</v>
      </c>
      <c r="N33" s="6">
        <v>7</v>
      </c>
      <c r="O33" s="6">
        <v>7</v>
      </c>
      <c r="P33" s="6">
        <v>2</v>
      </c>
      <c r="Q33" s="5">
        <v>3.5792130000000002</v>
      </c>
      <c r="R33" s="5" t="s">
        <v>1418</v>
      </c>
      <c r="S33" t="s">
        <v>813</v>
      </c>
      <c r="T33" t="s">
        <v>1056</v>
      </c>
      <c r="U33" s="6">
        <v>4</v>
      </c>
      <c r="V33" s="6">
        <v>3</v>
      </c>
      <c r="W33" s="6" t="s">
        <v>22</v>
      </c>
      <c r="X33" s="5">
        <v>4.1508852473744184</v>
      </c>
      <c r="Y33" s="5">
        <v>0.66315789473684217</v>
      </c>
      <c r="Z33" s="5">
        <v>0.69056603773584913</v>
      </c>
      <c r="AA33" s="6">
        <v>7</v>
      </c>
      <c r="AF33"/>
      <c r="AG33"/>
      <c r="AH33"/>
      <c r="AJ33"/>
      <c r="AK33"/>
      <c r="AL33"/>
      <c r="AM33"/>
      <c r="AN33"/>
      <c r="AO33"/>
      <c r="AP33"/>
    </row>
    <row r="34" spans="1:42" x14ac:dyDescent="0.3">
      <c r="A34" t="s">
        <v>307</v>
      </c>
      <c r="B34" s="6">
        <v>88</v>
      </c>
      <c r="C34" t="s">
        <v>562</v>
      </c>
      <c r="D34" t="s">
        <v>562</v>
      </c>
      <c r="E34" t="str">
        <f>VLOOKUP(Table1[[#This Row],[Code]], [1]Basque!$1:$1048576, 4, 0)</f>
        <v>muleta</v>
      </c>
      <c r="F34" s="73">
        <v>0.2</v>
      </c>
      <c r="G34" s="68">
        <v>0</v>
      </c>
      <c r="H34" s="5">
        <v>0</v>
      </c>
      <c r="I34" s="5">
        <v>100</v>
      </c>
      <c r="J34" s="5">
        <v>1.65</v>
      </c>
      <c r="K34" t="s">
        <v>1290</v>
      </c>
      <c r="L34" s="5">
        <f xml:space="preserve"> 1 - Table1[[#This Row],[Phon_Similarity]]</f>
        <v>0.33750000000000002</v>
      </c>
      <c r="M34" s="5">
        <f xml:space="preserve"> 1 -Table1[[#This Row],[Orth_Similarity]]</f>
        <v>0.32307692307692304</v>
      </c>
      <c r="N34" s="6">
        <v>6</v>
      </c>
      <c r="O34" s="6">
        <v>6</v>
      </c>
      <c r="P34" s="6">
        <v>3</v>
      </c>
      <c r="Q34" s="5">
        <v>3.519091</v>
      </c>
      <c r="R34" s="5" t="s">
        <v>1418</v>
      </c>
      <c r="S34" t="s">
        <v>1027</v>
      </c>
      <c r="T34" t="s">
        <v>1277</v>
      </c>
      <c r="U34" s="6">
        <v>8</v>
      </c>
      <c r="V34" s="6">
        <v>6</v>
      </c>
      <c r="W34" s="6" t="s">
        <v>23</v>
      </c>
      <c r="X34" s="5">
        <v>3.0866708332979695</v>
      </c>
      <c r="Y34" s="5">
        <v>0.66249999999999998</v>
      </c>
      <c r="Z34" s="5">
        <v>0.67692307692307696</v>
      </c>
      <c r="AA34" s="6">
        <v>7</v>
      </c>
      <c r="AF34"/>
      <c r="AG34"/>
      <c r="AH34"/>
      <c r="AJ34"/>
      <c r="AK34"/>
      <c r="AL34"/>
      <c r="AM34"/>
      <c r="AN34"/>
      <c r="AO34"/>
      <c r="AP34"/>
    </row>
    <row r="35" spans="1:42" x14ac:dyDescent="0.3">
      <c r="A35" t="s">
        <v>98</v>
      </c>
      <c r="B35" s="6">
        <v>186</v>
      </c>
      <c r="C35" t="s">
        <v>353</v>
      </c>
      <c r="D35" t="s">
        <v>603</v>
      </c>
      <c r="E35" t="str">
        <f>VLOOKUP(Table1[[#This Row],[Code]], [1]Basque!$1:$1048576, 4, 0)</f>
        <v>motorra</v>
      </c>
      <c r="F35" s="73">
        <v>0.75</v>
      </c>
      <c r="G35" s="5">
        <v>5.6520000000000001</v>
      </c>
      <c r="H35" s="5">
        <v>0</v>
      </c>
      <c r="I35" s="5">
        <v>100</v>
      </c>
      <c r="J35" s="5">
        <v>3.78</v>
      </c>
      <c r="K35" t="s">
        <v>1290</v>
      </c>
      <c r="L35" s="5">
        <f xml:space="preserve"> 1 - Table1[[#This Row],[Phon_Similarity]]</f>
        <v>0.34074074074074079</v>
      </c>
      <c r="M35" s="5">
        <f xml:space="preserve"> 1 -Table1[[#This Row],[Orth_Similarity]]</f>
        <v>0.35789473684210527</v>
      </c>
      <c r="N35" s="6">
        <v>5</v>
      </c>
      <c r="O35" s="6">
        <v>5</v>
      </c>
      <c r="P35" s="6">
        <v>3</v>
      </c>
      <c r="Q35" s="5">
        <v>4.6928419999999997</v>
      </c>
      <c r="R35" s="5" t="s">
        <v>1418</v>
      </c>
      <c r="S35" t="s">
        <v>830</v>
      </c>
      <c r="T35" t="s">
        <v>1073</v>
      </c>
      <c r="U35" s="6">
        <v>6</v>
      </c>
      <c r="V35" s="6">
        <v>5</v>
      </c>
      <c r="W35" s="6" t="s">
        <v>23</v>
      </c>
      <c r="X35" s="5">
        <v>4.5011686143267298</v>
      </c>
      <c r="Y35" s="5">
        <v>0.65925925925925921</v>
      </c>
      <c r="Z35" s="5">
        <v>0.64210526315789473</v>
      </c>
      <c r="AA35" s="6">
        <v>6</v>
      </c>
      <c r="AF35"/>
      <c r="AG35"/>
      <c r="AH35"/>
      <c r="AJ35"/>
      <c r="AK35"/>
      <c r="AL35"/>
      <c r="AM35"/>
      <c r="AN35"/>
      <c r="AO35"/>
      <c r="AP35"/>
    </row>
    <row r="36" spans="1:42" x14ac:dyDescent="0.3">
      <c r="A36" t="s">
        <v>311</v>
      </c>
      <c r="B36" s="6">
        <v>95</v>
      </c>
      <c r="C36" t="s">
        <v>566</v>
      </c>
      <c r="D36" t="s">
        <v>566</v>
      </c>
      <c r="E36" s="15" t="e">
        <f>VLOOKUP(Table1[[#This Row],[Code]], [1]Basque!$1:$1048576, 4, 0)</f>
        <v>#N/A</v>
      </c>
      <c r="F36" s="73">
        <v>0.6</v>
      </c>
      <c r="G36" s="5">
        <v>4.87</v>
      </c>
      <c r="H36" s="5">
        <v>0</v>
      </c>
      <c r="I36" s="5">
        <v>100</v>
      </c>
      <c r="J36" s="5">
        <v>2.1</v>
      </c>
      <c r="K36" t="s">
        <v>1290</v>
      </c>
      <c r="L36" s="5">
        <f xml:space="preserve"> 1 - Table1[[#This Row],[Phon_Similarity]]</f>
        <v>0.34285714285714286</v>
      </c>
      <c r="M36" s="5">
        <f xml:space="preserve"> 1 -Table1[[#This Row],[Orth_Similarity]]</f>
        <v>0.38285714285714278</v>
      </c>
      <c r="N36" s="6">
        <v>6</v>
      </c>
      <c r="O36" s="6">
        <v>6</v>
      </c>
      <c r="P36" s="6">
        <v>3</v>
      </c>
      <c r="Q36" s="5">
        <v>3.6456279999999999</v>
      </c>
      <c r="R36" s="5" t="s">
        <v>1418</v>
      </c>
      <c r="S36" t="s">
        <v>1031</v>
      </c>
      <c r="T36" t="s">
        <v>1281</v>
      </c>
      <c r="U36" s="6">
        <v>8</v>
      </c>
      <c r="V36" s="6">
        <v>6</v>
      </c>
      <c r="W36" s="6" t="s">
        <v>23</v>
      </c>
      <c r="X36" s="5">
        <v>3.7842261963769865</v>
      </c>
      <c r="Y36" s="5">
        <v>0.65714285714285714</v>
      </c>
      <c r="Z36" s="5">
        <v>0.61714285714285722</v>
      </c>
      <c r="AA36" s="6">
        <v>7</v>
      </c>
      <c r="AF36"/>
      <c r="AG36"/>
      <c r="AH36"/>
      <c r="AJ36"/>
      <c r="AK36"/>
      <c r="AL36"/>
      <c r="AM36"/>
      <c r="AN36"/>
      <c r="AO36"/>
      <c r="AP36"/>
    </row>
    <row r="37" spans="1:42" x14ac:dyDescent="0.3">
      <c r="A37" t="s">
        <v>88</v>
      </c>
      <c r="B37" s="6">
        <v>16</v>
      </c>
      <c r="C37" t="s">
        <v>343</v>
      </c>
      <c r="D37" t="s">
        <v>593</v>
      </c>
      <c r="E37" t="str">
        <f>VLOOKUP(Table1[[#This Row],[Code]], [1]Basque!$1:$1048576, 4, 0)</f>
        <v>ehiztari</v>
      </c>
      <c r="F37" s="74">
        <v>0.16700000000000001</v>
      </c>
      <c r="G37" s="5">
        <v>5.5119999999999996</v>
      </c>
      <c r="H37" s="5">
        <v>0</v>
      </c>
      <c r="I37" s="5">
        <v>100</v>
      </c>
      <c r="J37" s="5">
        <v>3.17</v>
      </c>
      <c r="K37" t="s">
        <v>1410</v>
      </c>
      <c r="L37" s="5">
        <f xml:space="preserve"> 1 - Table1[[#This Row],[Phon_Similarity]]</f>
        <v>0.34375</v>
      </c>
      <c r="M37" s="5">
        <f xml:space="preserve"> 1 -Table1[[#This Row],[Orth_Similarity]]</f>
        <v>0.46760563380281694</v>
      </c>
      <c r="N37" s="6">
        <v>7</v>
      </c>
      <c r="O37" s="6">
        <v>7</v>
      </c>
      <c r="P37" s="6">
        <v>2</v>
      </c>
      <c r="Q37" s="5">
        <v>4.0118689999999999</v>
      </c>
      <c r="R37" s="5"/>
      <c r="S37" t="s">
        <v>820</v>
      </c>
      <c r="T37" t="s">
        <v>1063</v>
      </c>
      <c r="U37" s="6">
        <v>6</v>
      </c>
      <c r="V37" s="6">
        <v>5</v>
      </c>
      <c r="W37" s="6" t="s">
        <v>23</v>
      </c>
      <c r="X37" s="5">
        <v>4.1814571526761704</v>
      </c>
      <c r="Y37" s="5">
        <v>0.65625</v>
      </c>
      <c r="Z37" s="5">
        <v>0.53239436619718306</v>
      </c>
      <c r="AA37" s="6">
        <v>6</v>
      </c>
      <c r="AF37"/>
      <c r="AG37"/>
      <c r="AH37"/>
      <c r="AJ37"/>
      <c r="AK37"/>
      <c r="AL37"/>
      <c r="AM37"/>
      <c r="AN37"/>
      <c r="AO37"/>
      <c r="AP37"/>
    </row>
    <row r="38" spans="1:42" x14ac:dyDescent="0.3">
      <c r="A38" t="s">
        <v>125</v>
      </c>
      <c r="B38" s="6">
        <v>271</v>
      </c>
      <c r="C38" t="s">
        <v>380</v>
      </c>
      <c r="D38" t="s">
        <v>624</v>
      </c>
      <c r="E38" t="str">
        <f>VLOOKUP(Table1[[#This Row],[Code]], [1]Basque!$1:$1048576, 4, 0)</f>
        <v>untxi</v>
      </c>
      <c r="F38" s="73">
        <v>0.6</v>
      </c>
      <c r="G38" s="5">
        <v>6.0609999999999999</v>
      </c>
      <c r="H38" s="5">
        <v>0</v>
      </c>
      <c r="I38" s="5">
        <v>100</v>
      </c>
      <c r="J38" s="5">
        <v>2.82</v>
      </c>
      <c r="K38" t="s">
        <v>1285</v>
      </c>
      <c r="L38" s="5">
        <f xml:space="preserve"> 1 - Table1[[#This Row],[Phon_Similarity]]</f>
        <v>0.34385964912280698</v>
      </c>
      <c r="M38" s="5">
        <f xml:space="preserve"> 1 -Table1[[#This Row],[Orth_Similarity]]</f>
        <v>0.32666666666666666</v>
      </c>
      <c r="N38" s="6">
        <v>6</v>
      </c>
      <c r="O38" s="6">
        <v>6</v>
      </c>
      <c r="P38" s="6">
        <v>3</v>
      </c>
      <c r="Q38" s="5">
        <v>3.9318909999999998</v>
      </c>
      <c r="R38" s="5" t="s">
        <v>1418</v>
      </c>
      <c r="S38" t="s">
        <v>857</v>
      </c>
      <c r="T38" t="s">
        <v>1100</v>
      </c>
      <c r="U38" s="6">
        <v>6</v>
      </c>
      <c r="V38" s="6">
        <v>5</v>
      </c>
      <c r="W38" s="6" t="s">
        <v>23</v>
      </c>
      <c r="X38" s="5">
        <v>4.3894626751182368</v>
      </c>
      <c r="Y38" s="5">
        <v>0.65614035087719302</v>
      </c>
      <c r="Z38" s="5">
        <v>0.67333333333333334</v>
      </c>
      <c r="AA38" s="6">
        <v>6</v>
      </c>
      <c r="AF38"/>
      <c r="AG38"/>
      <c r="AH38"/>
      <c r="AJ38"/>
      <c r="AK38"/>
      <c r="AL38"/>
      <c r="AM38"/>
      <c r="AN38"/>
      <c r="AO38"/>
      <c r="AP38"/>
    </row>
    <row r="39" spans="1:42" x14ac:dyDescent="0.3">
      <c r="A39" t="s">
        <v>128</v>
      </c>
      <c r="B39" s="6">
        <v>277</v>
      </c>
      <c r="C39" t="s">
        <v>383</v>
      </c>
      <c r="D39" t="s">
        <v>627</v>
      </c>
      <c r="E39" t="str">
        <f>VLOOKUP(Table1[[#This Row],[Code]], [1]Basque!$1:$1048576, 4, 0)</f>
        <v>peluka</v>
      </c>
      <c r="F39" s="73">
        <v>0.6</v>
      </c>
      <c r="G39" s="68">
        <v>0</v>
      </c>
      <c r="H39" s="5">
        <v>0.24602257799999999</v>
      </c>
      <c r="I39" s="5">
        <v>95.918367349999997</v>
      </c>
      <c r="J39" s="5">
        <v>2.2599999999999998</v>
      </c>
      <c r="K39" t="s">
        <v>1291</v>
      </c>
      <c r="L39" s="5">
        <f xml:space="preserve"> 1 - Table1[[#This Row],[Phon_Similarity]]</f>
        <v>0.34418604651162799</v>
      </c>
      <c r="M39" s="5">
        <f xml:space="preserve"> 1 -Table1[[#This Row],[Orth_Similarity]]</f>
        <v>0.30697674418604648</v>
      </c>
      <c r="N39" s="6">
        <v>6</v>
      </c>
      <c r="O39" s="6">
        <v>6</v>
      </c>
      <c r="P39" s="6">
        <v>3</v>
      </c>
      <c r="Q39" s="5">
        <v>3.2870159999999999</v>
      </c>
      <c r="R39" s="5" t="s">
        <v>1418</v>
      </c>
      <c r="S39" t="s">
        <v>860</v>
      </c>
      <c r="T39" t="s">
        <v>1103</v>
      </c>
      <c r="U39" s="6">
        <v>3</v>
      </c>
      <c r="V39" s="6">
        <v>3</v>
      </c>
      <c r="W39" s="6" t="s">
        <v>22</v>
      </c>
      <c r="X39" s="5">
        <v>3.8205658756084495</v>
      </c>
      <c r="Y39" s="5">
        <v>0.65581395348837201</v>
      </c>
      <c r="Z39" s="5">
        <v>0.69302325581395352</v>
      </c>
      <c r="AA39" s="6">
        <v>6</v>
      </c>
      <c r="AF39"/>
      <c r="AG39"/>
      <c r="AH39"/>
      <c r="AJ39"/>
      <c r="AK39"/>
      <c r="AL39"/>
      <c r="AM39"/>
      <c r="AN39"/>
      <c r="AO39"/>
      <c r="AP39"/>
    </row>
    <row r="40" spans="1:42" x14ac:dyDescent="0.3">
      <c r="A40" t="s">
        <v>157</v>
      </c>
      <c r="B40" s="6">
        <v>35</v>
      </c>
      <c r="C40" t="s">
        <v>412</v>
      </c>
      <c r="D40" t="s">
        <v>653</v>
      </c>
      <c r="E40" t="str">
        <f>VLOOKUP(Table1[[#This Row],[Code]], [1]Basque!$1:$1048576, 4, 0)</f>
        <v>belarri</v>
      </c>
      <c r="F40" s="73">
        <v>0.75</v>
      </c>
      <c r="G40" s="5">
        <v>6.4509999999999996</v>
      </c>
      <c r="H40" s="5">
        <v>0</v>
      </c>
      <c r="I40" s="5">
        <v>100</v>
      </c>
      <c r="J40" s="5">
        <v>2.0707070710000002</v>
      </c>
      <c r="K40" t="s">
        <v>1286</v>
      </c>
      <c r="L40" s="5">
        <f xml:space="preserve"> 1 - Table1[[#This Row],[Phon_Similarity]]</f>
        <v>0.34482758620689657</v>
      </c>
      <c r="M40" s="5">
        <f xml:space="preserve"> 1 -Table1[[#This Row],[Orth_Similarity]]</f>
        <v>0.5</v>
      </c>
      <c r="N40" s="6">
        <v>5</v>
      </c>
      <c r="O40" s="6">
        <v>5</v>
      </c>
      <c r="P40" s="6">
        <v>3</v>
      </c>
      <c r="Q40" s="5">
        <v>4.3224729999999996</v>
      </c>
      <c r="R40" s="5"/>
      <c r="S40" t="s">
        <v>888</v>
      </c>
      <c r="T40" t="s">
        <v>1131</v>
      </c>
      <c r="U40" s="6">
        <v>3</v>
      </c>
      <c r="V40" s="6">
        <v>2</v>
      </c>
      <c r="W40" s="6" t="s">
        <v>22</v>
      </c>
      <c r="X40" s="5">
        <v>4.4060223738974811</v>
      </c>
      <c r="Y40" s="5">
        <v>0.65517241379310343</v>
      </c>
      <c r="Z40" s="5">
        <v>0.5</v>
      </c>
      <c r="AA40" s="6">
        <v>4</v>
      </c>
      <c r="AF40"/>
      <c r="AG40"/>
      <c r="AH40"/>
      <c r="AJ40"/>
      <c r="AK40"/>
      <c r="AL40"/>
      <c r="AM40"/>
      <c r="AN40"/>
      <c r="AO40"/>
      <c r="AP40"/>
    </row>
    <row r="41" spans="1:42" x14ac:dyDescent="0.3">
      <c r="A41" t="s">
        <v>95</v>
      </c>
      <c r="B41" s="6">
        <v>178</v>
      </c>
      <c r="C41" t="s">
        <v>350</v>
      </c>
      <c r="D41" t="s">
        <v>600</v>
      </c>
      <c r="E41" t="str">
        <f>VLOOKUP(Table1[[#This Row],[Code]], [1]Basque!$1:$1048576, 4, 0)</f>
        <v>zubi</v>
      </c>
      <c r="F41" s="73">
        <v>0.6</v>
      </c>
      <c r="G41" s="5">
        <v>5.6950000000000003</v>
      </c>
      <c r="H41" s="5">
        <v>0.14257333</v>
      </c>
      <c r="I41" s="5">
        <v>97.979797980000001</v>
      </c>
      <c r="J41" s="5">
        <v>2.5858585860000001</v>
      </c>
      <c r="K41" t="s">
        <v>1293</v>
      </c>
      <c r="L41" s="5">
        <f xml:space="preserve"> 1 - Table1[[#This Row],[Phon_Similarity]]</f>
        <v>0.35555555555555562</v>
      </c>
      <c r="M41" s="5">
        <f xml:space="preserve"> 1 -Table1[[#This Row],[Orth_Similarity]]</f>
        <v>0.57499999999999996</v>
      </c>
      <c r="N41" s="6">
        <v>6</v>
      </c>
      <c r="O41" s="6">
        <v>6</v>
      </c>
      <c r="P41" s="6">
        <v>3</v>
      </c>
      <c r="Q41" s="5">
        <v>4.8019379999999998</v>
      </c>
      <c r="R41" s="5"/>
      <c r="S41" t="s">
        <v>827</v>
      </c>
      <c r="T41" t="s">
        <v>1070</v>
      </c>
      <c r="U41" s="6">
        <v>6</v>
      </c>
      <c r="V41" s="6">
        <v>4</v>
      </c>
      <c r="W41" s="6" t="s">
        <v>22</v>
      </c>
      <c r="X41" s="5">
        <v>4.7070946799012008</v>
      </c>
      <c r="Y41" s="5">
        <v>0.64444444444444438</v>
      </c>
      <c r="Z41" s="5">
        <v>0.42500000000000004</v>
      </c>
      <c r="AA41" s="6">
        <v>5</v>
      </c>
      <c r="AF41"/>
      <c r="AG41"/>
      <c r="AH41"/>
      <c r="AJ41"/>
      <c r="AK41"/>
      <c r="AL41"/>
      <c r="AM41"/>
      <c r="AN41"/>
      <c r="AO41"/>
      <c r="AP41"/>
    </row>
    <row r="42" spans="1:42" x14ac:dyDescent="0.3">
      <c r="A42" t="s">
        <v>75</v>
      </c>
      <c r="B42" s="6">
        <v>140</v>
      </c>
      <c r="C42" t="s">
        <v>330</v>
      </c>
      <c r="D42" t="s">
        <v>583</v>
      </c>
      <c r="E42" t="str">
        <f>VLOOKUP(Table1[[#This Row],[Code]], [1]Basque!$1:$1048576, 4, 0)</f>
        <v>iturri</v>
      </c>
      <c r="F42" s="73">
        <v>0.75</v>
      </c>
      <c r="G42" s="5">
        <v>5.8070000000000004</v>
      </c>
      <c r="H42" s="5">
        <v>0</v>
      </c>
      <c r="I42" s="5">
        <v>100</v>
      </c>
      <c r="J42" s="5">
        <v>2.15</v>
      </c>
      <c r="K42" t="s">
        <v>1290</v>
      </c>
      <c r="L42" s="5">
        <f xml:space="preserve"> 1 - Table1[[#This Row],[Phon_Similarity]]</f>
        <v>0.35675675675675678</v>
      </c>
      <c r="M42" s="5">
        <f xml:space="preserve"> 1 -Table1[[#This Row],[Orth_Similarity]]</f>
        <v>0.40909090909090917</v>
      </c>
      <c r="N42" s="6">
        <v>5</v>
      </c>
      <c r="O42" s="6">
        <v>5</v>
      </c>
      <c r="P42" s="6">
        <v>2</v>
      </c>
      <c r="Q42" s="5">
        <v>3.3605749999999999</v>
      </c>
      <c r="R42" s="5" t="s">
        <v>1418</v>
      </c>
      <c r="S42" t="s">
        <v>807</v>
      </c>
      <c r="T42" t="s">
        <v>1050</v>
      </c>
      <c r="U42" s="6">
        <v>3</v>
      </c>
      <c r="V42" s="6">
        <v>3</v>
      </c>
      <c r="W42" s="6" t="s">
        <v>22</v>
      </c>
      <c r="X42" s="5">
        <v>4.3295070722771456</v>
      </c>
      <c r="Y42" s="5">
        <v>0.64324324324324322</v>
      </c>
      <c r="Z42" s="5">
        <v>0.59090909090909083</v>
      </c>
      <c r="AA42" s="6">
        <v>5</v>
      </c>
      <c r="AF42"/>
      <c r="AG42"/>
      <c r="AH42"/>
      <c r="AJ42"/>
      <c r="AK42"/>
      <c r="AL42"/>
      <c r="AM42"/>
      <c r="AN42"/>
      <c r="AO42"/>
      <c r="AP42"/>
    </row>
    <row r="43" spans="1:42" x14ac:dyDescent="0.3">
      <c r="A43" t="s">
        <v>106</v>
      </c>
      <c r="B43" s="6">
        <v>218</v>
      </c>
      <c r="C43" t="s">
        <v>361</v>
      </c>
      <c r="D43" t="s">
        <v>610</v>
      </c>
      <c r="E43" t="str">
        <f>VLOOKUP(Table1[[#This Row],[Code]], [1]Basque!$1:$1048576, 4, 0)</f>
        <v>fardel</v>
      </c>
      <c r="F43" s="73">
        <v>1</v>
      </c>
      <c r="G43" s="68">
        <v>0</v>
      </c>
      <c r="H43" s="5">
        <v>0.42958550499999998</v>
      </c>
      <c r="I43" s="5">
        <v>92.929292930000003</v>
      </c>
      <c r="J43" s="5">
        <v>2.48</v>
      </c>
      <c r="K43" t="s">
        <v>1290</v>
      </c>
      <c r="L43" s="5">
        <f xml:space="preserve"> 1 - Table1[[#This Row],[Phon_Similarity]]</f>
        <v>0.35744680851063837</v>
      </c>
      <c r="M43" s="5">
        <f xml:space="preserve"> 1 -Table1[[#This Row],[Orth_Similarity]]</f>
        <v>0.31489361702127661</v>
      </c>
      <c r="N43" s="6">
        <v>5</v>
      </c>
      <c r="O43" s="6">
        <v>5</v>
      </c>
      <c r="P43" s="6">
        <v>3</v>
      </c>
      <c r="Q43" s="5">
        <v>2.6086800000000001</v>
      </c>
      <c r="R43" s="5" t="s">
        <v>1418</v>
      </c>
      <c r="S43" t="s">
        <v>838</v>
      </c>
      <c r="T43" t="s">
        <v>1081</v>
      </c>
      <c r="U43" s="6">
        <v>5</v>
      </c>
      <c r="V43" s="6">
        <v>4</v>
      </c>
      <c r="W43" s="6" t="s">
        <v>23</v>
      </c>
      <c r="X43" s="5">
        <v>3.3903409251281591</v>
      </c>
      <c r="Y43" s="5">
        <v>0.64255319148936163</v>
      </c>
      <c r="Z43" s="5">
        <v>0.68510638297872339</v>
      </c>
      <c r="AA43" s="6">
        <v>4</v>
      </c>
      <c r="AF43"/>
      <c r="AG43"/>
      <c r="AH43"/>
      <c r="AJ43"/>
      <c r="AK43"/>
      <c r="AL43"/>
      <c r="AM43"/>
      <c r="AN43"/>
      <c r="AO43"/>
      <c r="AP43"/>
    </row>
    <row r="44" spans="1:42" x14ac:dyDescent="0.3">
      <c r="A44" t="s">
        <v>73</v>
      </c>
      <c r="B44" s="6">
        <v>135</v>
      </c>
      <c r="C44" t="s">
        <v>328</v>
      </c>
      <c r="D44" t="s">
        <v>581</v>
      </c>
      <c r="E44" s="15" t="e">
        <f>VLOOKUP(Table1[[#This Row],[Code]], [1]Basque!$1:$1048576, 4, 0)</f>
        <v>#N/A</v>
      </c>
      <c r="F44" s="73">
        <v>0.5</v>
      </c>
      <c r="G44" s="5">
        <v>5.9429999999999996</v>
      </c>
      <c r="H44" s="5">
        <v>0</v>
      </c>
      <c r="I44" s="5">
        <v>100</v>
      </c>
      <c r="J44" s="5">
        <v>2.4</v>
      </c>
      <c r="K44" t="s">
        <v>1291</v>
      </c>
      <c r="L44" s="5">
        <f xml:space="preserve"> 1 - Table1[[#This Row],[Phon_Similarity]]</f>
        <v>0.36595744680851061</v>
      </c>
      <c r="M44" s="5">
        <f xml:space="preserve"> 1 -Table1[[#This Row],[Orth_Similarity]]</f>
        <v>0.41860465116279078</v>
      </c>
      <c r="N44" s="6">
        <v>5</v>
      </c>
      <c r="O44" s="6">
        <v>5</v>
      </c>
      <c r="P44" s="6">
        <v>2</v>
      </c>
      <c r="Q44" s="5">
        <v>4.50122</v>
      </c>
      <c r="R44" s="5" t="s">
        <v>1418</v>
      </c>
      <c r="S44" t="s">
        <v>806</v>
      </c>
      <c r="T44" t="s">
        <v>1048</v>
      </c>
      <c r="U44" s="6">
        <v>4</v>
      </c>
      <c r="V44" s="6">
        <v>3</v>
      </c>
      <c r="W44" s="6" t="s">
        <v>22</v>
      </c>
      <c r="X44" s="5">
        <v>4.5882199055592778</v>
      </c>
      <c r="Y44" s="5">
        <v>0.63404255319148939</v>
      </c>
      <c r="Z44" s="5">
        <v>0.58139534883720922</v>
      </c>
      <c r="AA44" s="6">
        <v>5</v>
      </c>
      <c r="AF44"/>
      <c r="AG44"/>
      <c r="AH44"/>
      <c r="AJ44"/>
      <c r="AK44"/>
      <c r="AL44"/>
      <c r="AM44"/>
      <c r="AN44"/>
      <c r="AO44"/>
      <c r="AP44"/>
    </row>
    <row r="45" spans="1:42" x14ac:dyDescent="0.3">
      <c r="A45" t="s">
        <v>221</v>
      </c>
      <c r="B45" s="6">
        <v>517</v>
      </c>
      <c r="C45" t="s">
        <v>476</v>
      </c>
      <c r="D45" t="s">
        <v>711</v>
      </c>
      <c r="E45" t="str">
        <f>VLOOKUP(Table1[[#This Row],[Code]], [1]Basque!$1:$1048576, 4, 0)</f>
        <v>soka</v>
      </c>
      <c r="F45" s="73">
        <v>0.4</v>
      </c>
      <c r="G45" s="5">
        <v>6.5469999999999997</v>
      </c>
      <c r="H45" s="5">
        <v>0.57421419200000001</v>
      </c>
      <c r="I45" s="5">
        <v>91</v>
      </c>
      <c r="J45" s="5">
        <v>1.94</v>
      </c>
      <c r="K45" t="s">
        <v>1290</v>
      </c>
      <c r="L45" s="5">
        <f xml:space="preserve"> 1 - Table1[[#This Row],[Phon_Similarity]]</f>
        <v>0.376</v>
      </c>
      <c r="M45" s="5">
        <f xml:space="preserve"> 1 -Table1[[#This Row],[Orth_Similarity]]</f>
        <v>0.51200000000000001</v>
      </c>
      <c r="N45" s="6">
        <v>6</v>
      </c>
      <c r="O45" s="6">
        <v>6</v>
      </c>
      <c r="P45" s="6">
        <v>3</v>
      </c>
      <c r="Q45" s="5">
        <v>4.3400429999999997</v>
      </c>
      <c r="R45" s="5"/>
      <c r="S45" t="s">
        <v>951</v>
      </c>
      <c r="T45" t="s">
        <v>1195</v>
      </c>
      <c r="U45" s="6">
        <v>4</v>
      </c>
      <c r="V45" s="6">
        <v>3</v>
      </c>
      <c r="W45" s="6" t="s">
        <v>22</v>
      </c>
      <c r="X45" s="5">
        <v>4.3027616046293762</v>
      </c>
      <c r="Y45" s="5">
        <v>0.624</v>
      </c>
      <c r="Z45" s="5">
        <v>0.48799999999999999</v>
      </c>
      <c r="AA45" s="6">
        <v>6</v>
      </c>
      <c r="AF45"/>
      <c r="AG45"/>
      <c r="AH45"/>
      <c r="AJ45"/>
      <c r="AK45"/>
      <c r="AL45"/>
      <c r="AM45"/>
      <c r="AN45"/>
      <c r="AO45"/>
      <c r="AP45"/>
    </row>
    <row r="46" spans="1:42" x14ac:dyDescent="0.3">
      <c r="A46" t="s">
        <v>237</v>
      </c>
      <c r="B46" s="6">
        <v>56</v>
      </c>
      <c r="C46" t="s">
        <v>492</v>
      </c>
      <c r="D46" t="s">
        <v>726</v>
      </c>
      <c r="E46" t="str">
        <f>VLOOKUP(Table1[[#This Row],[Code]], [1]Basque!$1:$1048576, 4, 0)</f>
        <v>ukondo</v>
      </c>
      <c r="F46" s="73">
        <v>1</v>
      </c>
      <c r="G46" s="5">
        <v>4.2850000000000001</v>
      </c>
      <c r="H46" s="5">
        <v>0</v>
      </c>
      <c r="I46" s="5">
        <v>100</v>
      </c>
      <c r="J46" s="5">
        <v>1.91</v>
      </c>
      <c r="K46" t="s">
        <v>1286</v>
      </c>
      <c r="L46" s="5">
        <f xml:space="preserve"> 1 - Table1[[#This Row],[Phon_Similarity]]</f>
        <v>0.38139534883720927</v>
      </c>
      <c r="M46" s="5">
        <f xml:space="preserve"> 1 -Table1[[#This Row],[Orth_Similarity]]</f>
        <v>0.45581395348837206</v>
      </c>
      <c r="N46" s="6">
        <v>4</v>
      </c>
      <c r="O46" s="6">
        <v>4</v>
      </c>
      <c r="P46" s="6">
        <v>3</v>
      </c>
      <c r="Q46" s="5">
        <v>3.8214000000000001</v>
      </c>
      <c r="R46" s="5" t="s">
        <v>1418</v>
      </c>
      <c r="S46" t="s">
        <v>965</v>
      </c>
      <c r="T46" t="s">
        <v>1209</v>
      </c>
      <c r="U46" s="6">
        <v>5</v>
      </c>
      <c r="V46" s="6">
        <v>4</v>
      </c>
      <c r="W46" s="6" t="s">
        <v>23</v>
      </c>
      <c r="X46" s="5">
        <v>3.8543997070085796</v>
      </c>
      <c r="Y46" s="5">
        <v>0.61860465116279073</v>
      </c>
      <c r="Z46" s="5">
        <v>0.54418604651162794</v>
      </c>
      <c r="AA46" s="6">
        <v>4</v>
      </c>
      <c r="AF46"/>
      <c r="AG46"/>
      <c r="AH46"/>
      <c r="AJ46"/>
      <c r="AK46"/>
      <c r="AL46"/>
      <c r="AM46"/>
      <c r="AN46"/>
      <c r="AO46"/>
      <c r="AP46"/>
    </row>
    <row r="47" spans="1:42" x14ac:dyDescent="0.3">
      <c r="A47" t="s">
        <v>170</v>
      </c>
      <c r="B47" s="6">
        <v>388</v>
      </c>
      <c r="C47" t="s">
        <v>425</v>
      </c>
      <c r="D47" t="s">
        <v>425</v>
      </c>
      <c r="E47" t="str">
        <f>VLOOKUP(Table1[[#This Row],[Code]], [1]Basque!$1:$1048576, 4, 0)</f>
        <v>poltsa</v>
      </c>
      <c r="F47" s="73">
        <v>0.75</v>
      </c>
      <c r="G47" s="5">
        <v>6.3090000000000002</v>
      </c>
      <c r="H47" s="5">
        <v>0.194391858</v>
      </c>
      <c r="I47" s="5">
        <v>97</v>
      </c>
      <c r="J47" s="5">
        <v>2.09</v>
      </c>
      <c r="K47" t="s">
        <v>1290</v>
      </c>
      <c r="L47" s="5">
        <f xml:space="preserve"> 1 - Table1[[#This Row],[Phon_Similarity]]</f>
        <v>0.38181818181818183</v>
      </c>
      <c r="M47" s="5">
        <f xml:space="preserve"> 1 -Table1[[#This Row],[Orth_Similarity]]</f>
        <v>0.40909090909090917</v>
      </c>
      <c r="N47" s="6">
        <v>5</v>
      </c>
      <c r="O47" s="6">
        <v>5</v>
      </c>
      <c r="P47" s="6">
        <v>2</v>
      </c>
      <c r="Q47" s="5">
        <v>3.42875</v>
      </c>
      <c r="R47" s="5" t="s">
        <v>1418</v>
      </c>
      <c r="S47" t="s">
        <v>901</v>
      </c>
      <c r="T47" t="s">
        <v>1144</v>
      </c>
      <c r="U47" s="6">
        <v>3</v>
      </c>
      <c r="V47" s="6">
        <v>3</v>
      </c>
      <c r="W47" s="6" t="s">
        <v>22</v>
      </c>
      <c r="X47" s="5">
        <v>4.8857871439537961</v>
      </c>
      <c r="Y47" s="5">
        <v>0.61818181818181817</v>
      </c>
      <c r="Z47" s="5">
        <v>0.59090909090909083</v>
      </c>
      <c r="AA47" s="6">
        <v>4</v>
      </c>
      <c r="AF47"/>
      <c r="AG47"/>
      <c r="AH47"/>
      <c r="AJ47"/>
      <c r="AK47"/>
      <c r="AL47"/>
      <c r="AM47"/>
      <c r="AN47"/>
      <c r="AO47"/>
      <c r="AP47"/>
    </row>
    <row r="48" spans="1:42" x14ac:dyDescent="0.3">
      <c r="A48" t="s">
        <v>93</v>
      </c>
      <c r="B48" s="6">
        <v>172</v>
      </c>
      <c r="C48" t="s">
        <v>348</v>
      </c>
      <c r="D48" t="s">
        <v>598</v>
      </c>
      <c r="E48" t="str">
        <f>VLOOKUP(Table1[[#This Row],[Code]], [1]Basque!$1:$1048576, 4, 0)</f>
        <v>loro</v>
      </c>
      <c r="F48" s="74">
        <v>0.66700000000000004</v>
      </c>
      <c r="G48" s="5">
        <v>6.109</v>
      </c>
      <c r="H48" s="5">
        <v>0</v>
      </c>
      <c r="I48" s="5">
        <v>100</v>
      </c>
      <c r="J48" s="5">
        <v>3.16</v>
      </c>
      <c r="K48" t="s">
        <v>1285</v>
      </c>
      <c r="L48" s="5">
        <f xml:space="preserve"> 1 - Table1[[#This Row],[Phon_Similarity]]</f>
        <v>0.38297872340425532</v>
      </c>
      <c r="M48" s="5">
        <f xml:space="preserve"> 1 -Table1[[#This Row],[Orth_Similarity]]</f>
        <v>0.46666666666666667</v>
      </c>
      <c r="N48" s="6">
        <v>4</v>
      </c>
      <c r="O48" s="6">
        <v>4</v>
      </c>
      <c r="P48" s="6">
        <v>2</v>
      </c>
      <c r="Q48" s="5">
        <v>3.849828</v>
      </c>
      <c r="R48" s="5" t="s">
        <v>1418</v>
      </c>
      <c r="S48" t="s">
        <v>825</v>
      </c>
      <c r="T48" t="s">
        <v>1068</v>
      </c>
      <c r="U48" s="6">
        <v>6</v>
      </c>
      <c r="V48" s="6">
        <v>5</v>
      </c>
      <c r="W48" s="6" t="s">
        <v>23</v>
      </c>
      <c r="X48" s="5">
        <v>3.8409321323087724</v>
      </c>
      <c r="Y48" s="5">
        <v>0.61702127659574468</v>
      </c>
      <c r="Z48" s="5">
        <v>0.53333333333333333</v>
      </c>
      <c r="AA48" s="6">
        <v>4</v>
      </c>
      <c r="AF48"/>
      <c r="AG48"/>
      <c r="AH48"/>
      <c r="AJ48"/>
      <c r="AK48"/>
      <c r="AL48"/>
      <c r="AM48"/>
      <c r="AN48"/>
      <c r="AO48"/>
      <c r="AP48"/>
    </row>
    <row r="49" spans="1:42" x14ac:dyDescent="0.3">
      <c r="A49" t="s">
        <v>195</v>
      </c>
      <c r="B49" s="6">
        <v>462</v>
      </c>
      <c r="C49" t="s">
        <v>450</v>
      </c>
      <c r="D49" t="s">
        <v>685</v>
      </c>
      <c r="E49" t="str">
        <f>VLOOKUP(Table1[[#This Row],[Code]], [1]Basque!$1:$1048576, 4, 0)</f>
        <v>euli</v>
      </c>
      <c r="F49" s="73">
        <v>0.25</v>
      </c>
      <c r="G49" s="5">
        <v>6.5019999999999998</v>
      </c>
      <c r="H49" s="5">
        <v>0.195909271</v>
      </c>
      <c r="I49" s="5">
        <v>96.969696970000001</v>
      </c>
      <c r="J49" s="5">
        <v>3.05</v>
      </c>
      <c r="K49" t="s">
        <v>1285</v>
      </c>
      <c r="L49" s="5">
        <f xml:space="preserve"> 1 - Table1[[#This Row],[Phon_Similarity]]</f>
        <v>0.39148936170212767</v>
      </c>
      <c r="M49" s="5">
        <f xml:space="preserve"> 1 -Table1[[#This Row],[Orth_Similarity]]</f>
        <v>0.30000000000000004</v>
      </c>
      <c r="N49" s="6">
        <v>5</v>
      </c>
      <c r="O49" s="6">
        <v>5</v>
      </c>
      <c r="P49" s="6">
        <v>3</v>
      </c>
      <c r="Q49" s="5">
        <v>3.9287429999999999</v>
      </c>
      <c r="R49" s="5" t="s">
        <v>1418</v>
      </c>
      <c r="S49" t="s">
        <v>926</v>
      </c>
      <c r="T49" t="s">
        <v>1169</v>
      </c>
      <c r="U49" s="6">
        <v>3</v>
      </c>
      <c r="V49" s="6">
        <v>3</v>
      </c>
      <c r="W49" s="6" t="s">
        <v>22</v>
      </c>
      <c r="X49" s="5">
        <v>4.9039620321301731</v>
      </c>
      <c r="Y49" s="5">
        <v>0.60851063829787233</v>
      </c>
      <c r="Z49" s="5">
        <v>0.7</v>
      </c>
      <c r="AA49" s="6">
        <v>5</v>
      </c>
      <c r="AF49"/>
      <c r="AG49"/>
      <c r="AH49"/>
      <c r="AJ49"/>
      <c r="AK49"/>
      <c r="AL49"/>
      <c r="AM49"/>
      <c r="AN49"/>
      <c r="AO49"/>
      <c r="AP49"/>
    </row>
    <row r="50" spans="1:42" x14ac:dyDescent="0.3">
      <c r="A50" t="s">
        <v>184</v>
      </c>
      <c r="B50" s="6">
        <v>433</v>
      </c>
      <c r="C50" t="s">
        <v>439</v>
      </c>
      <c r="D50" t="s">
        <v>675</v>
      </c>
      <c r="E50" t="str">
        <f>VLOOKUP(Table1[[#This Row],[Code]], [1]Basque!$1:$1048576, 4, 0)</f>
        <v>txirrin</v>
      </c>
      <c r="F50" s="73">
        <v>0.4</v>
      </c>
      <c r="G50" s="5">
        <v>6.133</v>
      </c>
      <c r="H50" s="5">
        <v>0.28454568299999999</v>
      </c>
      <c r="I50" s="5">
        <v>95.959595960000001</v>
      </c>
      <c r="J50" s="5">
        <v>2.0099999999999998</v>
      </c>
      <c r="K50" t="s">
        <v>1290</v>
      </c>
      <c r="L50" s="5">
        <f xml:space="preserve"> 1 - Table1[[#This Row],[Phon_Similarity]]</f>
        <v>0.39215686274509798</v>
      </c>
      <c r="M50" s="5">
        <f xml:space="preserve"> 1 -Table1[[#This Row],[Orth_Similarity]]</f>
        <v>0.34482758620689657</v>
      </c>
      <c r="N50" s="6">
        <v>6</v>
      </c>
      <c r="O50" s="6">
        <v>6</v>
      </c>
      <c r="P50" s="6">
        <v>2</v>
      </c>
      <c r="Q50" s="5">
        <v>3.8173360000000001</v>
      </c>
      <c r="R50" s="5" t="s">
        <v>1418</v>
      </c>
      <c r="S50" t="s">
        <v>915</v>
      </c>
      <c r="T50" t="s">
        <v>1158</v>
      </c>
      <c r="U50" s="6">
        <v>4</v>
      </c>
      <c r="V50" s="6">
        <v>3</v>
      </c>
      <c r="W50" s="6" t="s">
        <v>22</v>
      </c>
      <c r="X50" s="5">
        <v>4.5372828914511434</v>
      </c>
      <c r="Y50" s="5">
        <v>0.60784313725490202</v>
      </c>
      <c r="Z50" s="5">
        <v>0.65517241379310343</v>
      </c>
      <c r="AA50" s="6">
        <v>6</v>
      </c>
      <c r="AF50"/>
      <c r="AG50"/>
      <c r="AH50"/>
      <c r="AJ50"/>
      <c r="AK50"/>
      <c r="AL50"/>
      <c r="AM50"/>
      <c r="AN50"/>
      <c r="AO50"/>
      <c r="AP50"/>
    </row>
    <row r="51" spans="1:42" x14ac:dyDescent="0.3">
      <c r="A51" t="s">
        <v>152</v>
      </c>
      <c r="B51" s="6">
        <v>338</v>
      </c>
      <c r="C51" t="s">
        <v>407</v>
      </c>
      <c r="D51" t="s">
        <v>649</v>
      </c>
      <c r="E51" t="str">
        <f>VLOOKUP(Table1[[#This Row],[Code]], [1]Basque!$1:$1048576, 4, 0)</f>
        <v>opari</v>
      </c>
      <c r="F51" s="73">
        <v>0.2</v>
      </c>
      <c r="G51" s="5">
        <v>6.03</v>
      </c>
      <c r="H51" s="5">
        <v>0</v>
      </c>
      <c r="I51" s="5">
        <v>100</v>
      </c>
      <c r="J51" s="5">
        <v>1.85</v>
      </c>
      <c r="K51" t="s">
        <v>1290</v>
      </c>
      <c r="L51" s="5">
        <f xml:space="preserve"> 1 - Table1[[#This Row],[Phon_Similarity]]</f>
        <v>0.4</v>
      </c>
      <c r="M51" s="5">
        <f xml:space="preserve"> 1 -Table1[[#This Row],[Orth_Similarity]]</f>
        <v>0.36619718309859151</v>
      </c>
      <c r="N51" s="6">
        <v>6</v>
      </c>
      <c r="O51" s="6">
        <v>6</v>
      </c>
      <c r="P51" s="6">
        <v>3</v>
      </c>
      <c r="Q51" s="5">
        <v>4.178007</v>
      </c>
      <c r="R51" s="5" t="s">
        <v>1418</v>
      </c>
      <c r="S51" t="s">
        <v>883</v>
      </c>
      <c r="T51" t="s">
        <v>1126</v>
      </c>
      <c r="U51" s="6">
        <v>7</v>
      </c>
      <c r="V51" s="6">
        <v>7</v>
      </c>
      <c r="W51" s="6" t="s">
        <v>23</v>
      </c>
      <c r="X51" s="5">
        <v>4.9011025140610665</v>
      </c>
      <c r="Y51" s="5">
        <v>0.6</v>
      </c>
      <c r="Z51" s="5">
        <v>0.63380281690140849</v>
      </c>
      <c r="AA51" s="6">
        <v>5</v>
      </c>
      <c r="AF51"/>
      <c r="AG51"/>
      <c r="AH51"/>
      <c r="AJ51"/>
      <c r="AK51"/>
      <c r="AL51"/>
      <c r="AM51"/>
      <c r="AN51"/>
      <c r="AO51"/>
      <c r="AP51"/>
    </row>
    <row r="52" spans="1:42" x14ac:dyDescent="0.3">
      <c r="A52" t="s">
        <v>159</v>
      </c>
      <c r="B52" s="6">
        <v>354</v>
      </c>
      <c r="C52" t="s">
        <v>414</v>
      </c>
      <c r="D52" t="s">
        <v>655</v>
      </c>
      <c r="E52" t="str">
        <f>VLOOKUP(Table1[[#This Row],[Code]], [1]Basque!$1:$1048576, 4, 0)</f>
        <v>ahuntz</v>
      </c>
      <c r="F52" s="73">
        <v>0</v>
      </c>
      <c r="G52" s="5">
        <v>6.1109999999999998</v>
      </c>
      <c r="H52" s="5">
        <v>0.291548959</v>
      </c>
      <c r="I52" s="5">
        <v>95.833333330000002</v>
      </c>
      <c r="J52" s="5">
        <v>2.62</v>
      </c>
      <c r="K52" t="s">
        <v>1285</v>
      </c>
      <c r="L52" s="5">
        <f xml:space="preserve"> 1 - Table1[[#This Row],[Phon_Similarity]]</f>
        <v>0.4</v>
      </c>
      <c r="M52" s="5">
        <f xml:space="preserve"> 1 -Table1[[#This Row],[Orth_Similarity]]</f>
        <v>0.46808510638297873</v>
      </c>
      <c r="N52" s="6">
        <v>5</v>
      </c>
      <c r="O52" s="6">
        <v>5</v>
      </c>
      <c r="P52" s="6">
        <v>2</v>
      </c>
      <c r="Q52" s="5">
        <v>3.958618</v>
      </c>
      <c r="R52" s="5" t="s">
        <v>1418</v>
      </c>
      <c r="S52" t="s">
        <v>890</v>
      </c>
      <c r="T52" t="s">
        <v>1133</v>
      </c>
      <c r="U52" s="6">
        <v>4</v>
      </c>
      <c r="V52" s="6">
        <v>3</v>
      </c>
      <c r="W52" s="6" t="s">
        <v>22</v>
      </c>
      <c r="X52" s="5">
        <v>4.1166811321165628</v>
      </c>
      <c r="Y52" s="5">
        <v>0.6</v>
      </c>
      <c r="Z52" s="5">
        <v>0.53191489361702127</v>
      </c>
      <c r="AA52" s="6">
        <v>5</v>
      </c>
      <c r="AF52"/>
      <c r="AG52"/>
      <c r="AH52"/>
      <c r="AJ52"/>
      <c r="AK52"/>
      <c r="AL52"/>
      <c r="AM52"/>
      <c r="AN52"/>
      <c r="AO52"/>
      <c r="AP52"/>
    </row>
    <row r="53" spans="1:42" x14ac:dyDescent="0.3">
      <c r="A53" t="s">
        <v>168</v>
      </c>
      <c r="B53" s="6">
        <v>383</v>
      </c>
      <c r="C53" t="s">
        <v>423</v>
      </c>
      <c r="D53" t="s">
        <v>663</v>
      </c>
      <c r="E53" t="str">
        <f>VLOOKUP(Table1[[#This Row],[Code]], [1]Basque!$1:$1048576, 4, 0)</f>
        <v>txanpon</v>
      </c>
      <c r="F53" s="73">
        <v>0.2</v>
      </c>
      <c r="G53" s="5">
        <v>6.2949999999999999</v>
      </c>
      <c r="H53" s="5">
        <v>0</v>
      </c>
      <c r="I53" s="5">
        <v>100</v>
      </c>
      <c r="J53" s="5">
        <v>2.2599999999999998</v>
      </c>
      <c r="K53" t="s">
        <v>1290</v>
      </c>
      <c r="L53" s="5">
        <f xml:space="preserve"> 1 - Table1[[#This Row],[Phon_Similarity]]</f>
        <v>0.4</v>
      </c>
      <c r="M53" s="5">
        <f xml:space="preserve"> 1 -Table1[[#This Row],[Orth_Similarity]]</f>
        <v>0.43999999999999995</v>
      </c>
      <c r="N53" s="6">
        <v>6</v>
      </c>
      <c r="O53" s="6">
        <v>6</v>
      </c>
      <c r="P53" s="6">
        <v>3</v>
      </c>
      <c r="Q53" s="5">
        <v>4.6699520000000003</v>
      </c>
      <c r="R53" s="5" t="s">
        <v>1418</v>
      </c>
      <c r="S53" t="s">
        <v>899</v>
      </c>
      <c r="T53" t="s">
        <v>1142</v>
      </c>
      <c r="U53" s="6">
        <v>4</v>
      </c>
      <c r="V53" s="6">
        <v>3</v>
      </c>
      <c r="W53" s="6" t="s">
        <v>22</v>
      </c>
      <c r="X53" s="5">
        <v>4.0523351619195616</v>
      </c>
      <c r="Y53" s="5">
        <v>0.6</v>
      </c>
      <c r="Z53" s="5">
        <v>0.56000000000000005</v>
      </c>
      <c r="AA53" s="6">
        <v>5</v>
      </c>
      <c r="AF53"/>
      <c r="AG53"/>
      <c r="AH53"/>
      <c r="AJ53"/>
      <c r="AK53"/>
      <c r="AL53"/>
      <c r="AM53"/>
      <c r="AN53"/>
      <c r="AO53"/>
      <c r="AP53"/>
    </row>
    <row r="54" spans="1:42" x14ac:dyDescent="0.3">
      <c r="A54" t="s">
        <v>190</v>
      </c>
      <c r="B54" s="6">
        <v>446</v>
      </c>
      <c r="C54" t="s">
        <v>445</v>
      </c>
      <c r="D54" t="s">
        <v>681</v>
      </c>
      <c r="E54" t="str">
        <f>VLOOKUP(Table1[[#This Row],[Code]], [1]Basque!$1:$1048576, 4, 0)</f>
        <v>txerri</v>
      </c>
      <c r="F54" s="73">
        <v>0.25</v>
      </c>
      <c r="G54" s="5">
        <v>5.8040000000000003</v>
      </c>
      <c r="H54" s="5">
        <v>0</v>
      </c>
      <c r="I54" s="5">
        <v>100</v>
      </c>
      <c r="J54" s="5">
        <v>2.57</v>
      </c>
      <c r="K54" t="s">
        <v>1285</v>
      </c>
      <c r="L54" s="5">
        <f xml:space="preserve"> 1 - Table1[[#This Row],[Phon_Similarity]]</f>
        <v>0.4</v>
      </c>
      <c r="M54" s="5">
        <f xml:space="preserve"> 1 -Table1[[#This Row],[Orth_Similarity]]</f>
        <v>0.54545454545454541</v>
      </c>
      <c r="N54" s="6">
        <v>5</v>
      </c>
      <c r="O54" s="6">
        <v>5</v>
      </c>
      <c r="P54" s="6">
        <v>2</v>
      </c>
      <c r="Q54" s="5">
        <v>4.1808079999999999</v>
      </c>
      <c r="R54" s="5"/>
      <c r="S54" t="s">
        <v>921</v>
      </c>
      <c r="T54" t="s">
        <v>1164</v>
      </c>
      <c r="U54" s="6">
        <v>3</v>
      </c>
      <c r="V54" s="6">
        <v>3</v>
      </c>
      <c r="W54" s="6" t="s">
        <v>22</v>
      </c>
      <c r="X54" s="5">
        <v>4.5111806424389407</v>
      </c>
      <c r="Y54" s="5">
        <v>0.6</v>
      </c>
      <c r="Z54" s="5">
        <v>0.45454545454545459</v>
      </c>
      <c r="AA54" s="6">
        <v>5</v>
      </c>
      <c r="AF54"/>
      <c r="AG54"/>
      <c r="AH54"/>
      <c r="AJ54"/>
      <c r="AK54"/>
      <c r="AL54"/>
      <c r="AM54"/>
      <c r="AN54"/>
      <c r="AO54"/>
      <c r="AP54"/>
    </row>
    <row r="55" spans="1:42" x14ac:dyDescent="0.3">
      <c r="A55" t="s">
        <v>204</v>
      </c>
      <c r="B55" s="6">
        <v>485</v>
      </c>
      <c r="C55" t="s">
        <v>459</v>
      </c>
      <c r="D55" t="s">
        <v>694</v>
      </c>
      <c r="E55" s="15" t="e">
        <f>VLOOKUP(Table1[[#This Row],[Code]], [1]Basque!$1:$1048576, 4, 0)</f>
        <v>#N/A</v>
      </c>
      <c r="F55" s="73">
        <v>0.75</v>
      </c>
      <c r="G55" s="5">
        <v>5.8319999999999999</v>
      </c>
      <c r="H55" s="5">
        <v>0.48582821300000001</v>
      </c>
      <c r="I55" s="5">
        <v>91.919191920000003</v>
      </c>
      <c r="J55" s="5">
        <v>1.57</v>
      </c>
      <c r="K55" t="s">
        <v>1290</v>
      </c>
      <c r="L55" s="5">
        <f xml:space="preserve"> 1 - Table1[[#This Row],[Phon_Similarity]]</f>
        <v>0.4</v>
      </c>
      <c r="M55" s="5">
        <f xml:space="preserve"> 1 -Table1[[#This Row],[Orth_Similarity]]</f>
        <v>0.37446808510638296</v>
      </c>
      <c r="N55" s="6">
        <v>5</v>
      </c>
      <c r="O55" s="6">
        <v>5</v>
      </c>
      <c r="P55" s="6">
        <v>3</v>
      </c>
      <c r="Q55" s="5">
        <v>3.794845</v>
      </c>
      <c r="R55" s="5" t="s">
        <v>1418</v>
      </c>
      <c r="S55" t="s">
        <v>935</v>
      </c>
      <c r="T55" t="s">
        <v>1178</v>
      </c>
      <c r="U55" s="6">
        <v>4</v>
      </c>
      <c r="V55" s="6">
        <v>3</v>
      </c>
      <c r="W55" s="6" t="s">
        <v>22</v>
      </c>
      <c r="X55" s="5">
        <v>4.1784664262745332</v>
      </c>
      <c r="Y55" s="5">
        <v>0.6</v>
      </c>
      <c r="Z55" s="5">
        <v>0.62553191489361704</v>
      </c>
      <c r="AA55" s="6">
        <v>4</v>
      </c>
      <c r="AF55"/>
      <c r="AG55"/>
      <c r="AH55"/>
      <c r="AJ55"/>
      <c r="AK55"/>
      <c r="AL55"/>
      <c r="AM55"/>
      <c r="AN55"/>
      <c r="AO55"/>
      <c r="AP55"/>
    </row>
    <row r="56" spans="1:42" x14ac:dyDescent="0.3">
      <c r="A56" t="s">
        <v>214</v>
      </c>
      <c r="B56" s="6">
        <v>502</v>
      </c>
      <c r="C56" t="s">
        <v>469</v>
      </c>
      <c r="D56" t="s">
        <v>704</v>
      </c>
      <c r="E56" t="str">
        <f>VLOOKUP(Table1[[#This Row],[Code]], [1]Basque!$1:$1048576, 4, 0)</f>
        <v>artzain</v>
      </c>
      <c r="F56" s="73">
        <v>0.6</v>
      </c>
      <c r="G56" s="5">
        <v>5.6479999999999997</v>
      </c>
      <c r="H56" s="5">
        <v>0.14372616999999999</v>
      </c>
      <c r="I56" s="5">
        <v>97.959183670000002</v>
      </c>
      <c r="J56" s="5">
        <v>2.99</v>
      </c>
      <c r="K56" t="s">
        <v>1410</v>
      </c>
      <c r="L56" s="5">
        <f xml:space="preserve"> 1 - Table1[[#This Row],[Phon_Similarity]]</f>
        <v>0.4</v>
      </c>
      <c r="M56" s="5">
        <f xml:space="preserve"> 1 -Table1[[#This Row],[Orth_Similarity]]</f>
        <v>0.52941176470588236</v>
      </c>
      <c r="N56" s="6">
        <v>6</v>
      </c>
      <c r="O56" s="6">
        <v>6</v>
      </c>
      <c r="P56" s="6">
        <v>3</v>
      </c>
      <c r="Q56" s="5">
        <v>4.367108</v>
      </c>
      <c r="R56" s="5"/>
      <c r="S56" t="s">
        <v>944</v>
      </c>
      <c r="T56" t="s">
        <v>1188</v>
      </c>
      <c r="U56" s="6">
        <v>6</v>
      </c>
      <c r="V56" s="6">
        <v>4</v>
      </c>
      <c r="W56" s="6" t="s">
        <v>23</v>
      </c>
      <c r="X56" s="5">
        <v>4.3544147547770393</v>
      </c>
      <c r="Y56" s="5">
        <v>0.6</v>
      </c>
      <c r="Z56" s="5">
        <v>0.47058823529411764</v>
      </c>
      <c r="AA56" s="6">
        <v>4</v>
      </c>
      <c r="AF56"/>
      <c r="AG56"/>
      <c r="AH56"/>
      <c r="AJ56"/>
      <c r="AK56"/>
      <c r="AL56"/>
      <c r="AM56"/>
      <c r="AN56"/>
      <c r="AO56"/>
      <c r="AP56"/>
    </row>
    <row r="57" spans="1:42" x14ac:dyDescent="0.3">
      <c r="A57" t="s">
        <v>266</v>
      </c>
      <c r="B57" s="6">
        <v>633</v>
      </c>
      <c r="C57" t="s">
        <v>521</v>
      </c>
      <c r="D57" t="s">
        <v>753</v>
      </c>
      <c r="E57" t="str">
        <f>VLOOKUP(Table1[[#This Row],[Code]], [1]Basque!$1:$1048576, 4, 0)</f>
        <v>inbutu</v>
      </c>
      <c r="F57" s="73">
        <v>1</v>
      </c>
      <c r="G57" s="68">
        <v>0</v>
      </c>
      <c r="H57" s="5">
        <v>0.33729006700000003</v>
      </c>
      <c r="I57" s="5">
        <v>93.75</v>
      </c>
      <c r="J57" s="5">
        <v>2</v>
      </c>
      <c r="K57" t="s">
        <v>1290</v>
      </c>
      <c r="L57" s="5">
        <f xml:space="preserve"> 1 - Table1[[#This Row],[Phon_Similarity]]</f>
        <v>0.4</v>
      </c>
      <c r="M57" s="5">
        <f xml:space="preserve"> 1 -Table1[[#This Row],[Orth_Similarity]]</f>
        <v>0.38124999999999998</v>
      </c>
      <c r="N57" s="6">
        <v>6</v>
      </c>
      <c r="O57" s="6">
        <v>6</v>
      </c>
      <c r="P57" s="6">
        <v>3</v>
      </c>
      <c r="Q57" s="5">
        <v>3.1381109999999999</v>
      </c>
      <c r="R57" s="5" t="s">
        <v>1418</v>
      </c>
      <c r="S57" t="s">
        <v>991</v>
      </c>
      <c r="T57" t="s">
        <v>1237</v>
      </c>
      <c r="U57" s="6">
        <v>6</v>
      </c>
      <c r="V57" s="6">
        <v>4</v>
      </c>
      <c r="W57" s="6" t="s">
        <v>23</v>
      </c>
      <c r="X57" s="5">
        <v>3.2639374502615852</v>
      </c>
      <c r="Y57" s="5">
        <v>0.6</v>
      </c>
      <c r="Z57" s="5">
        <v>0.61875000000000002</v>
      </c>
      <c r="AA57" s="6">
        <v>6</v>
      </c>
      <c r="AF57"/>
      <c r="AG57"/>
      <c r="AH57"/>
      <c r="AJ57"/>
      <c r="AK57"/>
      <c r="AL57"/>
      <c r="AM57"/>
      <c r="AN57"/>
      <c r="AO57"/>
      <c r="AP57"/>
    </row>
    <row r="58" spans="1:42" x14ac:dyDescent="0.3">
      <c r="A58" t="s">
        <v>301</v>
      </c>
      <c r="B58" s="6">
        <v>749</v>
      </c>
      <c r="C58" t="s">
        <v>556</v>
      </c>
      <c r="D58" t="s">
        <v>784</v>
      </c>
      <c r="E58" s="15" t="e">
        <f>VLOOKUP(Table1[[#This Row],[Code]], [1]Basque!$1:$1048576, 4, 0)</f>
        <v>#N/A</v>
      </c>
      <c r="F58" s="73">
        <v>0.4</v>
      </c>
      <c r="G58" s="68">
        <v>0</v>
      </c>
      <c r="H58" s="5">
        <v>0.24229218899999999</v>
      </c>
      <c r="I58" s="5">
        <v>96</v>
      </c>
      <c r="J58" s="5">
        <v>2.71</v>
      </c>
      <c r="K58" t="s">
        <v>1290</v>
      </c>
      <c r="L58" s="5">
        <f xml:space="preserve"> 1 - Table1[[#This Row],[Phon_Similarity]]</f>
        <v>0.4</v>
      </c>
      <c r="M58" s="5">
        <f xml:space="preserve"> 1 -Table1[[#This Row],[Orth_Similarity]]</f>
        <v>0.4</v>
      </c>
      <c r="N58" s="6">
        <v>6</v>
      </c>
      <c r="O58" s="6">
        <v>6</v>
      </c>
      <c r="P58" s="6">
        <v>2</v>
      </c>
      <c r="Q58" s="5">
        <v>4.060651</v>
      </c>
      <c r="R58" s="5" t="s">
        <v>1418</v>
      </c>
      <c r="S58" t="s">
        <v>1022</v>
      </c>
      <c r="T58" t="s">
        <v>1271</v>
      </c>
      <c r="U58" s="6">
        <v>3</v>
      </c>
      <c r="V58" s="6">
        <v>3</v>
      </c>
      <c r="W58" s="6" t="s">
        <v>22</v>
      </c>
      <c r="X58" s="5">
        <v>4.4875666738694271</v>
      </c>
      <c r="Y58" s="5">
        <v>0.6</v>
      </c>
      <c r="Z58" s="5">
        <v>0.6</v>
      </c>
      <c r="AA58" s="6">
        <v>5</v>
      </c>
      <c r="AF58"/>
      <c r="AG58"/>
      <c r="AH58"/>
      <c r="AJ58"/>
      <c r="AK58"/>
      <c r="AL58"/>
      <c r="AM58"/>
      <c r="AN58"/>
      <c r="AO58"/>
      <c r="AP58"/>
    </row>
    <row r="59" spans="1:42" x14ac:dyDescent="0.3">
      <c r="A59" t="s">
        <v>112</v>
      </c>
      <c r="B59" s="6">
        <v>242</v>
      </c>
      <c r="C59" t="s">
        <v>367</v>
      </c>
      <c r="D59" t="s">
        <v>615</v>
      </c>
      <c r="E59" t="str">
        <f>VLOOKUP(Table1[[#This Row],[Code]], [1]Basque!$1:$1048576, 4, 0)</f>
        <v>postari</v>
      </c>
      <c r="F59" s="74">
        <v>0.16700000000000001</v>
      </c>
      <c r="G59" s="5">
        <v>5.9509999999999996</v>
      </c>
      <c r="H59" s="5">
        <v>0.14372616999999999</v>
      </c>
      <c r="I59" s="5">
        <v>97.959183670000002</v>
      </c>
      <c r="J59" s="5">
        <v>2.92</v>
      </c>
      <c r="K59" t="s">
        <v>1410</v>
      </c>
      <c r="L59" s="5">
        <f xml:space="preserve"> 1 - Table1[[#This Row],[Phon_Similarity]]</f>
        <v>0.40493827160493834</v>
      </c>
      <c r="M59" s="5">
        <f xml:space="preserve"> 1 -Table1[[#This Row],[Orth_Similarity]]</f>
        <v>0.38974358974358969</v>
      </c>
      <c r="N59" s="6">
        <v>7</v>
      </c>
      <c r="O59" s="6">
        <v>7</v>
      </c>
      <c r="P59" s="6">
        <v>2</v>
      </c>
      <c r="Q59" s="5">
        <v>3.2691659999999998</v>
      </c>
      <c r="R59" s="5" t="s">
        <v>1418</v>
      </c>
      <c r="S59" t="s">
        <v>844</v>
      </c>
      <c r="T59" t="s">
        <v>1087</v>
      </c>
      <c r="U59" s="6">
        <v>7</v>
      </c>
      <c r="V59" s="6">
        <v>7</v>
      </c>
      <c r="W59" s="6" t="s">
        <v>23</v>
      </c>
      <c r="X59" s="5">
        <v>4.0224811057599119</v>
      </c>
      <c r="Y59" s="5">
        <v>0.59506172839506166</v>
      </c>
      <c r="Z59" s="5">
        <v>0.61025641025641031</v>
      </c>
      <c r="AA59" s="6">
        <v>6</v>
      </c>
      <c r="AF59"/>
      <c r="AG59"/>
      <c r="AH59"/>
      <c r="AJ59"/>
      <c r="AK59"/>
      <c r="AL59"/>
      <c r="AM59"/>
      <c r="AN59"/>
      <c r="AO59"/>
      <c r="AP59"/>
    </row>
    <row r="60" spans="1:42" x14ac:dyDescent="0.3">
      <c r="A60" t="s">
        <v>166</v>
      </c>
      <c r="B60" s="6">
        <v>38</v>
      </c>
      <c r="C60" t="s">
        <v>421</v>
      </c>
      <c r="D60" t="s">
        <v>661</v>
      </c>
      <c r="E60" t="str">
        <f>VLOOKUP(Table1[[#This Row],[Code]], [1]Basque!$1:$1048576, 4, 0)</f>
        <v>armiarma</v>
      </c>
      <c r="F60" s="73">
        <v>0.5</v>
      </c>
      <c r="G60" s="5">
        <v>6.1429999999999998</v>
      </c>
      <c r="H60" s="5">
        <v>0</v>
      </c>
      <c r="I60" s="5">
        <v>100</v>
      </c>
      <c r="J60" s="5">
        <v>2.21</v>
      </c>
      <c r="K60" t="s">
        <v>1285</v>
      </c>
      <c r="L60" s="5">
        <f xml:space="preserve"> 1 - Table1[[#This Row],[Phon_Similarity]]</f>
        <v>0.40754716981132078</v>
      </c>
      <c r="M60" s="5">
        <f xml:space="preserve"> 1 -Table1[[#This Row],[Orth_Similarity]]</f>
        <v>0.36</v>
      </c>
      <c r="N60" s="6">
        <v>5</v>
      </c>
      <c r="O60" s="6">
        <v>5</v>
      </c>
      <c r="P60" s="6">
        <v>3</v>
      </c>
      <c r="Q60" s="5">
        <v>4.0837120000000002</v>
      </c>
      <c r="R60" s="5" t="s">
        <v>1418</v>
      </c>
      <c r="S60" t="s">
        <v>897</v>
      </c>
      <c r="T60" t="s">
        <v>1140</v>
      </c>
      <c r="U60" s="6">
        <v>6</v>
      </c>
      <c r="V60" s="6">
        <v>5</v>
      </c>
      <c r="W60" s="6" t="s">
        <v>23</v>
      </c>
      <c r="X60" s="5">
        <v>4.2424017512647749</v>
      </c>
      <c r="Y60" s="5">
        <v>0.59245283018867922</v>
      </c>
      <c r="Z60" s="5">
        <v>0.64</v>
      </c>
      <c r="AA60" s="6">
        <v>6</v>
      </c>
      <c r="AF60"/>
      <c r="AG60"/>
      <c r="AH60"/>
      <c r="AJ60"/>
      <c r="AK60"/>
      <c r="AL60"/>
      <c r="AM60"/>
      <c r="AN60"/>
      <c r="AO60"/>
      <c r="AP60"/>
    </row>
    <row r="61" spans="1:42" x14ac:dyDescent="0.3">
      <c r="A61" t="s">
        <v>261</v>
      </c>
      <c r="B61" s="6">
        <v>622</v>
      </c>
      <c r="C61" t="s">
        <v>516</v>
      </c>
      <c r="D61" t="s">
        <v>748</v>
      </c>
      <c r="E61" s="15" t="e">
        <f>VLOOKUP(Table1[[#This Row],[Code]], [1]Basque!$1:$1048576, 4, 0)</f>
        <v>#N/A</v>
      </c>
      <c r="F61" s="74">
        <v>0.66700000000000004</v>
      </c>
      <c r="G61" s="68">
        <v>0</v>
      </c>
      <c r="H61" s="5">
        <v>0.28229218900000003</v>
      </c>
      <c r="I61" s="5">
        <v>96</v>
      </c>
      <c r="J61" s="5">
        <v>2.06</v>
      </c>
      <c r="K61" t="s">
        <v>1290</v>
      </c>
      <c r="L61" s="5">
        <f xml:space="preserve"> 1 - Table1[[#This Row],[Phon_Similarity]]</f>
        <v>0.41081081081081083</v>
      </c>
      <c r="M61" s="5">
        <f xml:space="preserve"> 1 -Table1[[#This Row],[Orth_Similarity]]</f>
        <v>0.4</v>
      </c>
      <c r="N61" s="6">
        <v>4</v>
      </c>
      <c r="O61" s="6">
        <v>4</v>
      </c>
      <c r="P61" s="6">
        <v>2</v>
      </c>
      <c r="Q61" s="5">
        <v>3.1298180000000002</v>
      </c>
      <c r="R61" s="5" t="s">
        <v>1418</v>
      </c>
      <c r="S61" t="s">
        <v>987</v>
      </c>
      <c r="T61" t="s">
        <v>1232</v>
      </c>
      <c r="U61" s="6">
        <v>5</v>
      </c>
      <c r="V61" s="6">
        <v>3</v>
      </c>
      <c r="W61" s="6" t="s">
        <v>22</v>
      </c>
      <c r="X61" s="5">
        <v>3.8709575265376426</v>
      </c>
      <c r="Y61" s="5">
        <v>0.58918918918918917</v>
      </c>
      <c r="Z61" s="5">
        <v>0.6</v>
      </c>
      <c r="AA61" s="6">
        <v>5</v>
      </c>
      <c r="AF61"/>
      <c r="AG61"/>
      <c r="AH61"/>
      <c r="AJ61"/>
      <c r="AK61"/>
      <c r="AL61"/>
      <c r="AM61"/>
      <c r="AN61"/>
      <c r="AO61"/>
      <c r="AP61"/>
    </row>
    <row r="62" spans="1:42" x14ac:dyDescent="0.3">
      <c r="A62" t="s">
        <v>310</v>
      </c>
      <c r="B62" s="6">
        <v>92</v>
      </c>
      <c r="C62" t="s">
        <v>565</v>
      </c>
      <c r="D62" t="s">
        <v>791</v>
      </c>
      <c r="E62" t="str">
        <f>VLOOKUP(Table1[[#This Row],[Code]], [1]Basque!$1:$1048576, 4, 0)</f>
        <v>foka</v>
      </c>
      <c r="F62" s="74">
        <v>0.66700000000000004</v>
      </c>
      <c r="G62" s="5">
        <v>5.899</v>
      </c>
      <c r="H62" s="5">
        <v>0.295181743</v>
      </c>
      <c r="I62" s="5">
        <v>94.791666669999998</v>
      </c>
      <c r="J62" s="5">
        <v>2.84</v>
      </c>
      <c r="K62" t="s">
        <v>1285</v>
      </c>
      <c r="L62" s="5">
        <f xml:space="preserve"> 1 - Table1[[#This Row],[Phon_Similarity]]</f>
        <v>0.41081081081081083</v>
      </c>
      <c r="M62" s="5">
        <f xml:space="preserve"> 1 -Table1[[#This Row],[Orth_Similarity]]</f>
        <v>0.51</v>
      </c>
      <c r="N62" s="6">
        <v>4</v>
      </c>
      <c r="O62" s="6">
        <v>4</v>
      </c>
      <c r="P62" s="6">
        <v>2</v>
      </c>
      <c r="Q62" s="5">
        <v>3.3233450000000002</v>
      </c>
      <c r="R62" s="5" t="s">
        <v>1418</v>
      </c>
      <c r="S62" t="s">
        <v>1030</v>
      </c>
      <c r="T62" t="s">
        <v>1280</v>
      </c>
      <c r="U62" s="6">
        <v>4</v>
      </c>
      <c r="V62" s="6">
        <v>3</v>
      </c>
      <c r="W62" s="6" t="s">
        <v>22</v>
      </c>
      <c r="X62" s="5">
        <v>4.2835588975135455</v>
      </c>
      <c r="Y62" s="5">
        <v>0.58918918918918917</v>
      </c>
      <c r="Z62" s="5">
        <v>0.49</v>
      </c>
      <c r="AA62" s="6">
        <v>4</v>
      </c>
      <c r="AF62"/>
      <c r="AG62"/>
      <c r="AH62"/>
      <c r="AJ62"/>
      <c r="AK62"/>
      <c r="AL62"/>
      <c r="AM62"/>
      <c r="AN62"/>
      <c r="AO62"/>
      <c r="AP62"/>
    </row>
    <row r="63" spans="1:42" x14ac:dyDescent="0.3">
      <c r="A63" t="s">
        <v>233</v>
      </c>
      <c r="B63" s="6">
        <v>545</v>
      </c>
      <c r="C63" t="s">
        <v>488</v>
      </c>
      <c r="D63" t="s">
        <v>722</v>
      </c>
      <c r="E63" t="str">
        <f>VLOOKUP(Table1[[#This Row],[Code]], [1]Basque!$1:$1048576, 4, 0)</f>
        <v>kulero</v>
      </c>
      <c r="F63" s="73">
        <v>0</v>
      </c>
      <c r="G63" s="68">
        <v>0</v>
      </c>
      <c r="H63" s="5">
        <v>0</v>
      </c>
      <c r="I63" s="5">
        <v>100</v>
      </c>
      <c r="J63" s="5">
        <v>2.1800000000000002</v>
      </c>
      <c r="K63" t="s">
        <v>1291</v>
      </c>
      <c r="L63" s="5">
        <f xml:space="preserve"> 1 - Table1[[#This Row],[Phon_Similarity]]</f>
        <v>0.41481481481481475</v>
      </c>
      <c r="M63" s="5">
        <f xml:space="preserve"> 1 -Table1[[#This Row],[Orth_Similarity]]</f>
        <v>0.32533333333333325</v>
      </c>
      <c r="N63" s="6">
        <v>5</v>
      </c>
      <c r="O63" s="6">
        <v>5</v>
      </c>
      <c r="P63" s="6">
        <v>2</v>
      </c>
      <c r="Q63" s="5">
        <v>3.4010720000000001</v>
      </c>
      <c r="R63" s="5" t="s">
        <v>1418</v>
      </c>
      <c r="S63" t="s">
        <v>961</v>
      </c>
      <c r="T63" t="s">
        <v>1205</v>
      </c>
      <c r="U63" s="6">
        <v>8</v>
      </c>
      <c r="V63" s="6">
        <v>5</v>
      </c>
      <c r="W63" s="6" t="s">
        <v>23</v>
      </c>
      <c r="X63" s="5">
        <v>3.6707077204926595</v>
      </c>
      <c r="Y63" s="5">
        <v>0.58518518518518525</v>
      </c>
      <c r="Z63" s="5">
        <v>0.67466666666666675</v>
      </c>
      <c r="AA63" s="6">
        <v>8</v>
      </c>
      <c r="AF63"/>
      <c r="AG63"/>
      <c r="AH63"/>
      <c r="AJ63"/>
      <c r="AK63"/>
      <c r="AL63"/>
      <c r="AM63"/>
      <c r="AN63"/>
      <c r="AO63"/>
      <c r="AP63"/>
    </row>
    <row r="64" spans="1:42" x14ac:dyDescent="0.3">
      <c r="A64" t="s">
        <v>312</v>
      </c>
      <c r="B64" s="6">
        <v>97</v>
      </c>
      <c r="C64" t="s">
        <v>567</v>
      </c>
      <c r="D64" t="s">
        <v>567</v>
      </c>
      <c r="E64" t="str">
        <f>VLOOKUP(Table1[[#This Row],[Code]], [1]Basque!$1:$1048576, 4, 0)</f>
        <v>luma</v>
      </c>
      <c r="F64" s="73">
        <v>0.25</v>
      </c>
      <c r="G64" s="5">
        <v>5.9580000000000002</v>
      </c>
      <c r="H64" s="5">
        <v>0.141440543</v>
      </c>
      <c r="I64" s="5">
        <v>98</v>
      </c>
      <c r="J64" s="5">
        <v>1.82</v>
      </c>
      <c r="K64" t="s">
        <v>1290</v>
      </c>
      <c r="L64" s="5">
        <f xml:space="preserve"> 1 - Table1[[#This Row],[Phon_Similarity]]</f>
        <v>0.41702127659574462</v>
      </c>
      <c r="M64" s="5">
        <f xml:space="preserve"> 1 -Table1[[#This Row],[Orth_Similarity]]</f>
        <v>0.27500000000000002</v>
      </c>
      <c r="N64" s="6">
        <v>5</v>
      </c>
      <c r="O64" s="6">
        <v>5</v>
      </c>
      <c r="P64" s="6">
        <v>2</v>
      </c>
      <c r="Q64" s="5">
        <v>4.2532370000000004</v>
      </c>
      <c r="R64" s="5"/>
      <c r="S64" t="s">
        <v>1032</v>
      </c>
      <c r="T64" t="s">
        <v>1282</v>
      </c>
      <c r="U64" s="6">
        <v>7</v>
      </c>
      <c r="V64" s="6">
        <v>4</v>
      </c>
      <c r="W64" s="6" t="s">
        <v>23</v>
      </c>
      <c r="X64" s="5">
        <v>3.8772935000573767</v>
      </c>
      <c r="Y64" s="5">
        <v>0.58297872340425538</v>
      </c>
      <c r="Z64" s="5">
        <v>0.72499999999999998</v>
      </c>
      <c r="AA64" s="6">
        <v>7</v>
      </c>
      <c r="AF64"/>
      <c r="AG64"/>
      <c r="AH64"/>
      <c r="AJ64"/>
      <c r="AK64"/>
      <c r="AL64"/>
      <c r="AM64"/>
      <c r="AN64"/>
      <c r="AO64"/>
      <c r="AP64"/>
    </row>
    <row r="65" spans="1:42" x14ac:dyDescent="0.3">
      <c r="A65" t="s">
        <v>82</v>
      </c>
      <c r="B65" s="6">
        <v>152</v>
      </c>
      <c r="C65" t="s">
        <v>337</v>
      </c>
      <c r="D65" t="s">
        <v>589</v>
      </c>
      <c r="E65" t="str">
        <f>VLOOKUP(Table1[[#This Row],[Code]], [1]Basque!$1:$1048576, 4, 0)</f>
        <v>barraskilo</v>
      </c>
      <c r="F65" s="74">
        <v>0.16700000000000001</v>
      </c>
      <c r="G65" s="5">
        <v>6.5350000000000001</v>
      </c>
      <c r="H65" s="5">
        <v>0</v>
      </c>
      <c r="I65" s="5">
        <v>100</v>
      </c>
      <c r="J65" s="5">
        <v>2.9191919190000002</v>
      </c>
      <c r="K65" t="s">
        <v>1285</v>
      </c>
      <c r="L65" s="5">
        <f xml:space="preserve"> 1 - Table1[[#This Row],[Phon_Similarity]]</f>
        <v>0.41874999999999996</v>
      </c>
      <c r="M65" s="5">
        <f xml:space="preserve"> 1 -Table1[[#This Row],[Orth_Similarity]]</f>
        <v>0.47499999999999998</v>
      </c>
      <c r="N65" s="6">
        <v>7</v>
      </c>
      <c r="O65" s="6">
        <v>7</v>
      </c>
      <c r="P65" s="6">
        <v>2</v>
      </c>
      <c r="Q65" s="5">
        <v>3.8360530000000002</v>
      </c>
      <c r="R65" s="5" t="s">
        <v>1418</v>
      </c>
      <c r="S65" t="s">
        <v>814</v>
      </c>
      <c r="T65" t="s">
        <v>1057</v>
      </c>
      <c r="U65" s="6">
        <v>5</v>
      </c>
      <c r="V65" s="6">
        <v>4</v>
      </c>
      <c r="W65" s="6" t="s">
        <v>22</v>
      </c>
      <c r="X65" s="5">
        <v>3.6856302899133633</v>
      </c>
      <c r="Y65" s="5">
        <v>0.58125000000000004</v>
      </c>
      <c r="Z65" s="5">
        <v>0.52500000000000002</v>
      </c>
      <c r="AA65" s="6">
        <v>5</v>
      </c>
      <c r="AF65"/>
      <c r="AG65"/>
      <c r="AH65"/>
      <c r="AJ65"/>
      <c r="AK65"/>
      <c r="AL65"/>
      <c r="AM65"/>
      <c r="AN65"/>
      <c r="AO65"/>
      <c r="AP65"/>
    </row>
    <row r="66" spans="1:42" x14ac:dyDescent="0.3">
      <c r="A66" t="s">
        <v>202</v>
      </c>
      <c r="B66" s="6">
        <v>48</v>
      </c>
      <c r="C66" t="s">
        <v>457</v>
      </c>
      <c r="D66" t="s">
        <v>692</v>
      </c>
      <c r="E66" t="str">
        <f>VLOOKUP(Table1[[#This Row],[Code]], [1]Basque!$1:$1048576, 4, 0)</f>
        <v>suhiltzaile</v>
      </c>
      <c r="F66" s="73">
        <v>0.5</v>
      </c>
      <c r="G66" s="68">
        <v>0</v>
      </c>
      <c r="H66" s="5">
        <v>0</v>
      </c>
      <c r="I66" s="5">
        <v>100</v>
      </c>
      <c r="J66" s="5">
        <v>2.73</v>
      </c>
      <c r="K66" t="s">
        <v>1410</v>
      </c>
      <c r="L66" s="5">
        <f xml:space="preserve"> 1 - Table1[[#This Row],[Phon_Similarity]]</f>
        <v>0.42285714285714282</v>
      </c>
      <c r="M66" s="5">
        <f xml:space="preserve"> 1 -Table1[[#This Row],[Orth_Similarity]]</f>
        <v>0.38918918918918921</v>
      </c>
      <c r="N66" s="6">
        <v>7</v>
      </c>
      <c r="O66" s="6">
        <v>7</v>
      </c>
      <c r="P66" s="6">
        <v>2</v>
      </c>
      <c r="Q66" s="5">
        <v>3.1601300000000001</v>
      </c>
      <c r="R66" s="5" t="s">
        <v>1418</v>
      </c>
      <c r="S66" t="s">
        <v>933</v>
      </c>
      <c r="T66" t="s">
        <v>1176</v>
      </c>
      <c r="U66" s="6">
        <v>7</v>
      </c>
      <c r="V66" s="6">
        <v>6</v>
      </c>
      <c r="W66" s="6" t="s">
        <v>24</v>
      </c>
      <c r="X66" s="5">
        <v>3.4810655612053574</v>
      </c>
      <c r="Y66" s="5">
        <v>0.57714285714285718</v>
      </c>
      <c r="Z66" s="5">
        <v>0.61081081081081079</v>
      </c>
      <c r="AA66" s="6">
        <v>7</v>
      </c>
      <c r="AF66"/>
      <c r="AG66"/>
      <c r="AH66"/>
      <c r="AJ66"/>
      <c r="AK66"/>
      <c r="AL66"/>
      <c r="AM66"/>
      <c r="AN66"/>
      <c r="AO66"/>
      <c r="AP66"/>
    </row>
    <row r="67" spans="1:42" x14ac:dyDescent="0.3">
      <c r="A67" t="s">
        <v>236</v>
      </c>
      <c r="B67" s="6">
        <v>557</v>
      </c>
      <c r="C67" t="s">
        <v>491</v>
      </c>
      <c r="D67" t="s">
        <v>725</v>
      </c>
      <c r="E67" t="str">
        <f>VLOOKUP(Table1[[#This Row],[Code]], [1]Basque!$1:$1048576, 4, 0)</f>
        <v>otso</v>
      </c>
      <c r="F67" s="74">
        <v>0.66700000000000004</v>
      </c>
      <c r="G67" s="5">
        <v>6.1029999999999998</v>
      </c>
      <c r="H67" s="5">
        <v>0.33757642300000001</v>
      </c>
      <c r="I67" s="5">
        <v>94.949494950000002</v>
      </c>
      <c r="J67" s="5">
        <v>3.05</v>
      </c>
      <c r="K67" t="s">
        <v>1285</v>
      </c>
      <c r="L67" s="5">
        <f xml:space="preserve"> 1 - Table1[[#This Row],[Phon_Similarity]]</f>
        <v>0.42424242424242431</v>
      </c>
      <c r="M67" s="5">
        <f xml:space="preserve"> 1 -Table1[[#This Row],[Orth_Similarity]]</f>
        <v>0.48</v>
      </c>
      <c r="N67" s="6">
        <v>4</v>
      </c>
      <c r="O67" s="6">
        <v>4</v>
      </c>
      <c r="P67" s="6">
        <v>2</v>
      </c>
      <c r="Q67" s="5">
        <v>4.2665769999999998</v>
      </c>
      <c r="R67" s="5" t="s">
        <v>1418</v>
      </c>
      <c r="S67" t="s">
        <v>964</v>
      </c>
      <c r="T67" t="s">
        <v>1208</v>
      </c>
      <c r="U67" s="6">
        <v>4</v>
      </c>
      <c r="V67" s="6">
        <v>4</v>
      </c>
      <c r="W67" s="6" t="s">
        <v>22</v>
      </c>
      <c r="X67" s="5">
        <v>4.1655577421727532</v>
      </c>
      <c r="Y67" s="5">
        <v>0.57575757575757569</v>
      </c>
      <c r="Z67" s="5">
        <v>0.52</v>
      </c>
      <c r="AA67" s="6">
        <v>3</v>
      </c>
      <c r="AF67"/>
      <c r="AG67"/>
      <c r="AH67"/>
      <c r="AJ67"/>
      <c r="AK67"/>
      <c r="AL67"/>
      <c r="AM67"/>
      <c r="AN67"/>
      <c r="AO67"/>
      <c r="AP67"/>
    </row>
    <row r="68" spans="1:42" x14ac:dyDescent="0.3">
      <c r="A68" t="s">
        <v>130</v>
      </c>
      <c r="B68" s="6">
        <v>279</v>
      </c>
      <c r="C68" t="s">
        <v>385</v>
      </c>
      <c r="D68" t="s">
        <v>629</v>
      </c>
      <c r="E68" s="15" t="e">
        <f>VLOOKUP(Table1[[#This Row],[Code]], [1]Basque!$1:$1048576, 4, 0)</f>
        <v>#N/A</v>
      </c>
      <c r="F68" s="73">
        <v>0.2</v>
      </c>
      <c r="G68" s="5">
        <v>6.2370000000000001</v>
      </c>
      <c r="H68" s="5">
        <v>0.48726979399999998</v>
      </c>
      <c r="I68" s="5">
        <v>91.860465120000001</v>
      </c>
      <c r="J68" s="5">
        <v>2.5499999999999998</v>
      </c>
      <c r="K68" t="s">
        <v>1290</v>
      </c>
      <c r="L68" s="5">
        <f xml:space="preserve"> 1 - Table1[[#This Row],[Phon_Similarity]]</f>
        <v>0.42553191489361697</v>
      </c>
      <c r="M68" s="5">
        <f xml:space="preserve"> 1 -Table1[[#This Row],[Orth_Similarity]]</f>
        <v>0.29629629629629628</v>
      </c>
      <c r="N68" s="6">
        <v>6</v>
      </c>
      <c r="O68" s="6">
        <v>6</v>
      </c>
      <c r="P68" s="6">
        <v>3</v>
      </c>
      <c r="Q68" s="5">
        <v>4.9004219999999998</v>
      </c>
      <c r="R68" s="5"/>
      <c r="S68" t="s">
        <v>862</v>
      </c>
      <c r="T68" t="s">
        <v>1105</v>
      </c>
      <c r="U68" s="6">
        <v>4</v>
      </c>
      <c r="V68" s="6">
        <v>3</v>
      </c>
      <c r="W68" s="6" t="s">
        <v>22</v>
      </c>
      <c r="X68" s="5">
        <v>5.0149042694238908</v>
      </c>
      <c r="Y68" s="5">
        <v>0.57446808510638303</v>
      </c>
      <c r="Z68" s="5">
        <v>0.70370370370370372</v>
      </c>
      <c r="AA68" s="6">
        <v>6</v>
      </c>
      <c r="AF68"/>
      <c r="AG68"/>
      <c r="AH68"/>
      <c r="AJ68"/>
      <c r="AK68"/>
      <c r="AL68"/>
      <c r="AM68"/>
      <c r="AN68"/>
      <c r="AO68"/>
      <c r="AP68"/>
    </row>
    <row r="69" spans="1:42" x14ac:dyDescent="0.3">
      <c r="A69" t="s">
        <v>92</v>
      </c>
      <c r="B69" s="6">
        <v>171</v>
      </c>
      <c r="C69" t="s">
        <v>347</v>
      </c>
      <c r="D69" t="s">
        <v>597</v>
      </c>
      <c r="E69" s="15" t="e">
        <f>VLOOKUP(Table1[[#This Row],[Code]], [1]Basque!$1:$1048576, 4, 0)</f>
        <v>#N/A</v>
      </c>
      <c r="F69" s="74">
        <v>0.33300000000000002</v>
      </c>
      <c r="G69" s="5">
        <v>6.1689999999999996</v>
      </c>
      <c r="H69" s="5">
        <v>0</v>
      </c>
      <c r="I69" s="5">
        <v>100</v>
      </c>
      <c r="J69" s="5">
        <v>2.71</v>
      </c>
      <c r="K69" t="s">
        <v>1410</v>
      </c>
      <c r="L69" s="5">
        <f xml:space="preserve"> 1 - Table1[[#This Row],[Phon_Similarity]]</f>
        <v>0.42597402597402589</v>
      </c>
      <c r="M69" s="5">
        <f xml:space="preserve"> 1 -Table1[[#This Row],[Orth_Similarity]]</f>
        <v>0.53333333333333333</v>
      </c>
      <c r="N69" s="6">
        <v>7</v>
      </c>
      <c r="O69" s="6">
        <v>7</v>
      </c>
      <c r="P69" s="6">
        <v>3</v>
      </c>
      <c r="Q69" s="5">
        <v>4.2559069999999997</v>
      </c>
      <c r="R69" s="5" t="s">
        <v>1418</v>
      </c>
      <c r="S69" t="s">
        <v>824</v>
      </c>
      <c r="T69" t="s">
        <v>1067</v>
      </c>
      <c r="U69" s="6">
        <v>10</v>
      </c>
      <c r="V69" s="6">
        <v>9</v>
      </c>
      <c r="W69" s="6" t="s">
        <v>24</v>
      </c>
      <c r="X69" s="5">
        <v>4.1334862890149786</v>
      </c>
      <c r="Y69" s="5">
        <v>0.57402597402597411</v>
      </c>
      <c r="Z69" s="5">
        <v>0.46666666666666667</v>
      </c>
      <c r="AA69" s="6">
        <v>8</v>
      </c>
      <c r="AF69"/>
      <c r="AG69"/>
      <c r="AH69"/>
      <c r="AJ69"/>
      <c r="AK69"/>
      <c r="AL69"/>
      <c r="AM69"/>
      <c r="AN69"/>
      <c r="AO69"/>
      <c r="AP69"/>
    </row>
    <row r="70" spans="1:42" x14ac:dyDescent="0.3">
      <c r="A70" t="s">
        <v>225</v>
      </c>
      <c r="B70" s="6">
        <v>53</v>
      </c>
      <c r="C70" t="s">
        <v>480</v>
      </c>
      <c r="D70" t="s">
        <v>480</v>
      </c>
      <c r="E70" t="str">
        <f>VLOOKUP(Table1[[#This Row],[Code]], [1]Basque!$1:$1048576, 4, 0)</f>
        <v>poltsa</v>
      </c>
      <c r="F70" s="73">
        <v>0.5</v>
      </c>
      <c r="G70" s="5">
        <v>5.0350000000000001</v>
      </c>
      <c r="H70" s="5">
        <v>0</v>
      </c>
      <c r="I70" s="5">
        <v>100</v>
      </c>
      <c r="J70" s="5">
        <v>1.63</v>
      </c>
      <c r="K70" t="s">
        <v>1290</v>
      </c>
      <c r="L70" s="5">
        <f xml:space="preserve"> 1 - Table1[[#This Row],[Phon_Similarity]]</f>
        <v>0.42727272727272725</v>
      </c>
      <c r="M70" s="5">
        <f xml:space="preserve"> 1 -Table1[[#This Row],[Orth_Similarity]]</f>
        <v>0.45454545454545459</v>
      </c>
      <c r="N70" s="6">
        <v>5</v>
      </c>
      <c r="O70" s="6">
        <v>5</v>
      </c>
      <c r="P70" s="6">
        <v>2</v>
      </c>
      <c r="Q70" s="5">
        <v>4.7386280000000003</v>
      </c>
      <c r="R70" s="5" t="s">
        <v>1418</v>
      </c>
      <c r="S70" t="s">
        <v>901</v>
      </c>
      <c r="T70" t="s">
        <v>1144</v>
      </c>
      <c r="U70" s="6">
        <v>3</v>
      </c>
      <c r="V70" s="6">
        <v>3</v>
      </c>
      <c r="W70" s="6" t="s">
        <v>22</v>
      </c>
      <c r="X70" s="5">
        <v>4.8857871439537961</v>
      </c>
      <c r="Y70" s="5">
        <v>0.57272727272727275</v>
      </c>
      <c r="Z70" s="5">
        <v>0.54545454545454541</v>
      </c>
      <c r="AA70" s="6">
        <v>4</v>
      </c>
      <c r="AF70"/>
      <c r="AG70"/>
      <c r="AH70"/>
      <c r="AJ70"/>
      <c r="AK70"/>
      <c r="AL70"/>
      <c r="AM70"/>
      <c r="AN70"/>
      <c r="AO70"/>
      <c r="AP70"/>
    </row>
    <row r="71" spans="1:42" x14ac:dyDescent="0.3">
      <c r="A71" t="s">
        <v>114</v>
      </c>
      <c r="B71" s="6">
        <v>247</v>
      </c>
      <c r="C71" t="s">
        <v>369</v>
      </c>
      <c r="D71" t="s">
        <v>617</v>
      </c>
      <c r="E71" t="str">
        <f>VLOOKUP(Table1[[#This Row],[Code]], [1]Basque!$1:$1048576, 4, 0)</f>
        <v>burmuin</v>
      </c>
      <c r="F71" s="74">
        <v>0.16700000000000001</v>
      </c>
      <c r="G71" s="5">
        <v>5.7080000000000002</v>
      </c>
      <c r="H71" s="5">
        <v>0</v>
      </c>
      <c r="I71" s="5">
        <v>100</v>
      </c>
      <c r="J71" s="5">
        <v>2.75</v>
      </c>
      <c r="K71" t="s">
        <v>1286</v>
      </c>
      <c r="L71" s="5">
        <f xml:space="preserve"> 1 - Table1[[#This Row],[Phon_Similarity]]</f>
        <v>0.42807017543859649</v>
      </c>
      <c r="M71" s="5">
        <f xml:space="preserve"> 1 -Table1[[#This Row],[Orth_Similarity]]</f>
        <v>0.52500000000000002</v>
      </c>
      <c r="N71" s="6">
        <v>7</v>
      </c>
      <c r="O71" s="6">
        <v>7</v>
      </c>
      <c r="P71" s="6">
        <v>2</v>
      </c>
      <c r="Q71" s="5">
        <v>4.5005069999999998</v>
      </c>
      <c r="R71" s="5" t="s">
        <v>1418</v>
      </c>
      <c r="S71" t="s">
        <v>846</v>
      </c>
      <c r="T71" t="s">
        <v>1089</v>
      </c>
      <c r="U71" s="6">
        <v>5</v>
      </c>
      <c r="V71" s="6">
        <v>4</v>
      </c>
      <c r="W71" s="6" t="s">
        <v>22</v>
      </c>
      <c r="X71" s="5">
        <v>4.8371854995950576</v>
      </c>
      <c r="Y71" s="5">
        <v>0.57192982456140351</v>
      </c>
      <c r="Z71" s="5">
        <v>0.47499999999999998</v>
      </c>
      <c r="AA71" s="6">
        <v>6</v>
      </c>
      <c r="AF71"/>
      <c r="AG71"/>
      <c r="AH71"/>
      <c r="AJ71"/>
      <c r="AK71"/>
      <c r="AL71"/>
      <c r="AM71"/>
      <c r="AN71"/>
      <c r="AO71"/>
      <c r="AP71"/>
    </row>
    <row r="72" spans="1:42" x14ac:dyDescent="0.3">
      <c r="A72" t="s">
        <v>232</v>
      </c>
      <c r="B72" s="6">
        <v>541</v>
      </c>
      <c r="C72" t="s">
        <v>487</v>
      </c>
      <c r="D72" t="s">
        <v>721</v>
      </c>
      <c r="E72" t="str">
        <f>VLOOKUP(Table1[[#This Row],[Code]], [1]Basque!$1:$1048576, 4, 0)</f>
        <v>zapata</v>
      </c>
      <c r="F72" s="73">
        <v>0.6</v>
      </c>
      <c r="G72" s="5">
        <v>5.6360000000000001</v>
      </c>
      <c r="H72" s="5">
        <v>0</v>
      </c>
      <c r="I72" s="5">
        <v>100</v>
      </c>
      <c r="J72" s="5">
        <v>2.48</v>
      </c>
      <c r="K72" t="s">
        <v>1291</v>
      </c>
      <c r="L72" s="5">
        <f xml:space="preserve"> 1 - Table1[[#This Row],[Phon_Similarity]]</f>
        <v>0.42999999999999994</v>
      </c>
      <c r="M72" s="5">
        <f xml:space="preserve"> 1 -Table1[[#This Row],[Orth_Similarity]]</f>
        <v>0.32000000000000006</v>
      </c>
      <c r="N72" s="6">
        <v>6</v>
      </c>
      <c r="O72" s="6">
        <v>6</v>
      </c>
      <c r="P72" s="6">
        <v>3</v>
      </c>
      <c r="Q72" s="5">
        <v>3.5337860000000001</v>
      </c>
      <c r="R72" s="5" t="s">
        <v>1418</v>
      </c>
      <c r="S72" t="s">
        <v>960</v>
      </c>
      <c r="T72" t="s">
        <v>1204</v>
      </c>
      <c r="U72" s="6">
        <v>4</v>
      </c>
      <c r="V72" s="6">
        <v>2</v>
      </c>
      <c r="W72" s="6" t="s">
        <v>22</v>
      </c>
      <c r="X72" s="5">
        <v>4.1489011187204472</v>
      </c>
      <c r="Y72" s="5">
        <v>0.57000000000000006</v>
      </c>
      <c r="Z72" s="5">
        <v>0.67999999999999994</v>
      </c>
      <c r="AA72" s="6">
        <v>6</v>
      </c>
      <c r="AF72"/>
      <c r="AG72"/>
      <c r="AH72"/>
      <c r="AJ72"/>
      <c r="AK72"/>
      <c r="AL72"/>
      <c r="AM72"/>
      <c r="AN72"/>
      <c r="AO72"/>
      <c r="AP72"/>
    </row>
    <row r="73" spans="1:42" x14ac:dyDescent="0.3">
      <c r="A73" t="s">
        <v>268</v>
      </c>
      <c r="B73" s="6">
        <v>636</v>
      </c>
      <c r="C73" t="s">
        <v>523</v>
      </c>
      <c r="D73" t="s">
        <v>755</v>
      </c>
      <c r="E73" t="str">
        <f>VLOOKUP(Table1[[#This Row],[Code]], [1]Basque!$1:$1048576, 4, 0)</f>
        <v>ardi</v>
      </c>
      <c r="F73" s="73">
        <v>0.75</v>
      </c>
      <c r="G73" s="5">
        <v>6.3220000000000001</v>
      </c>
      <c r="H73" s="5">
        <v>0</v>
      </c>
      <c r="I73" s="5">
        <v>100</v>
      </c>
      <c r="J73" s="5">
        <v>2.7777777779999999</v>
      </c>
      <c r="K73" t="s">
        <v>1285</v>
      </c>
      <c r="L73" s="5">
        <f xml:space="preserve"> 1 - Table1[[#This Row],[Phon_Similarity]]</f>
        <v>0.43636363636363629</v>
      </c>
      <c r="M73" s="5">
        <f xml:space="preserve"> 1 -Table1[[#This Row],[Orth_Similarity]]</f>
        <v>0.41739130434782612</v>
      </c>
      <c r="N73" s="6">
        <v>5</v>
      </c>
      <c r="O73" s="6">
        <v>5</v>
      </c>
      <c r="P73" s="6">
        <v>3</v>
      </c>
      <c r="Q73" s="5">
        <v>4.3206559999999996</v>
      </c>
      <c r="R73" s="5" t="s">
        <v>1418</v>
      </c>
      <c r="S73" t="s">
        <v>992</v>
      </c>
      <c r="T73" t="s">
        <v>1238</v>
      </c>
      <c r="U73" s="6">
        <v>5</v>
      </c>
      <c r="V73" s="6">
        <v>3</v>
      </c>
      <c r="W73" s="6" t="s">
        <v>22</v>
      </c>
      <c r="X73" s="5">
        <v>4.6665937831910931</v>
      </c>
      <c r="Y73" s="5">
        <v>0.56363636363636371</v>
      </c>
      <c r="Z73" s="5">
        <v>0.58260869565217388</v>
      </c>
      <c r="AA73" s="6">
        <v>4</v>
      </c>
      <c r="AF73"/>
      <c r="AG73"/>
      <c r="AH73"/>
      <c r="AJ73"/>
      <c r="AK73"/>
      <c r="AL73"/>
      <c r="AM73"/>
      <c r="AN73"/>
      <c r="AO73"/>
      <c r="AP73"/>
    </row>
    <row r="74" spans="1:42" x14ac:dyDescent="0.3">
      <c r="A74" t="s">
        <v>213</v>
      </c>
      <c r="B74" s="6">
        <v>501</v>
      </c>
      <c r="C74" t="s">
        <v>468</v>
      </c>
      <c r="D74" t="s">
        <v>703</v>
      </c>
      <c r="E74" t="str">
        <f>VLOOKUP(Table1[[#This Row],[Code]], [1]Basque!$1:$1048576, 4, 0)</f>
        <v>ezkutu</v>
      </c>
      <c r="F74" s="73">
        <v>0.6</v>
      </c>
      <c r="G74" s="5">
        <v>5.117</v>
      </c>
      <c r="H74" s="5">
        <v>0.141440543</v>
      </c>
      <c r="I74" s="5">
        <v>98</v>
      </c>
      <c r="J74" s="5">
        <v>2.29</v>
      </c>
      <c r="K74" t="s">
        <v>1290</v>
      </c>
      <c r="L74" s="5">
        <f xml:space="preserve"> 1 - Table1[[#This Row],[Phon_Similarity]]</f>
        <v>0.43703703703703711</v>
      </c>
      <c r="M74" s="5">
        <f xml:space="preserve"> 1 -Table1[[#This Row],[Orth_Similarity]]</f>
        <v>0.47499999999999998</v>
      </c>
      <c r="N74" s="6">
        <v>6</v>
      </c>
      <c r="O74" s="6">
        <v>6</v>
      </c>
      <c r="P74" s="6">
        <v>3</v>
      </c>
      <c r="Q74" s="5">
        <v>4.6411699999999998</v>
      </c>
      <c r="R74" s="5" t="s">
        <v>1418</v>
      </c>
      <c r="S74" t="s">
        <v>943</v>
      </c>
      <c r="T74" t="s">
        <v>1187</v>
      </c>
      <c r="U74" s="6">
        <v>6</v>
      </c>
      <c r="V74" s="6">
        <v>4</v>
      </c>
      <c r="W74" s="6" t="s">
        <v>22</v>
      </c>
      <c r="X74" s="5">
        <v>3.7967950811027058</v>
      </c>
      <c r="Y74" s="5">
        <v>0.56296296296296289</v>
      </c>
      <c r="Z74" s="5">
        <v>0.52500000000000002</v>
      </c>
      <c r="AA74" s="6">
        <v>6</v>
      </c>
      <c r="AF74"/>
      <c r="AG74"/>
      <c r="AH74"/>
      <c r="AJ74"/>
      <c r="AK74"/>
      <c r="AL74"/>
      <c r="AM74"/>
      <c r="AN74"/>
      <c r="AO74"/>
      <c r="AP74"/>
    </row>
    <row r="75" spans="1:42" x14ac:dyDescent="0.3">
      <c r="A75" t="s">
        <v>223</v>
      </c>
      <c r="B75" s="6">
        <v>523</v>
      </c>
      <c r="C75" t="s">
        <v>478</v>
      </c>
      <c r="D75" t="s">
        <v>713</v>
      </c>
      <c r="E75" s="15" t="e">
        <f>VLOOKUP(Table1[[#This Row],[Code]], [1]Basque!$1:$1048576, 4, 0)</f>
        <v>#N/A</v>
      </c>
      <c r="F75" s="73">
        <v>0.5</v>
      </c>
      <c r="G75" s="5">
        <v>5.7119999999999997</v>
      </c>
      <c r="H75" s="5">
        <v>0</v>
      </c>
      <c r="I75" s="5">
        <v>100</v>
      </c>
      <c r="J75" s="5">
        <v>2.02</v>
      </c>
      <c r="K75" t="s">
        <v>1290</v>
      </c>
      <c r="L75" s="5">
        <f xml:space="preserve"> 1 - Table1[[#This Row],[Phon_Similarity]]</f>
        <v>0.4375</v>
      </c>
      <c r="M75" s="5">
        <f xml:space="preserve"> 1 -Table1[[#This Row],[Orth_Similarity]]</f>
        <v>0.32558139534883723</v>
      </c>
      <c r="N75" s="6">
        <v>5</v>
      </c>
      <c r="O75" s="6">
        <v>5</v>
      </c>
      <c r="P75" s="6">
        <v>2</v>
      </c>
      <c r="Q75" s="5">
        <v>4.2192550000000004</v>
      </c>
      <c r="R75" s="5"/>
      <c r="S75" t="s">
        <v>952</v>
      </c>
      <c r="T75" t="s">
        <v>1196</v>
      </c>
      <c r="U75" s="6">
        <v>4</v>
      </c>
      <c r="V75" s="6">
        <v>3</v>
      </c>
      <c r="W75" s="6" t="s">
        <v>23</v>
      </c>
      <c r="X75" s="5">
        <v>4.287912483590457</v>
      </c>
      <c r="Y75" s="5">
        <v>0.5625</v>
      </c>
      <c r="Z75" s="5">
        <v>0.67441860465116277</v>
      </c>
      <c r="AA75" s="6">
        <v>4</v>
      </c>
      <c r="AF75"/>
      <c r="AG75"/>
      <c r="AH75"/>
      <c r="AJ75"/>
      <c r="AK75"/>
      <c r="AL75"/>
      <c r="AM75"/>
      <c r="AN75"/>
      <c r="AO75"/>
      <c r="AP75"/>
    </row>
    <row r="76" spans="1:42" x14ac:dyDescent="0.3">
      <c r="A76" t="s">
        <v>103</v>
      </c>
      <c r="B76" s="6">
        <v>199</v>
      </c>
      <c r="C76" t="s">
        <v>358</v>
      </c>
      <c r="D76" t="s">
        <v>608</v>
      </c>
      <c r="E76" t="str">
        <f>VLOOKUP(Table1[[#This Row],[Code]], [1]Basque!$1:$1048576, 4, 0)</f>
        <v>gona</v>
      </c>
      <c r="F76" s="73">
        <v>0.5</v>
      </c>
      <c r="G76" s="5">
        <v>6.5910000000000002</v>
      </c>
      <c r="H76" s="5">
        <v>0</v>
      </c>
      <c r="I76" s="5">
        <v>100</v>
      </c>
      <c r="J76" s="5">
        <v>2.3199999999999998</v>
      </c>
      <c r="K76" t="s">
        <v>1291</v>
      </c>
      <c r="L76" s="5">
        <f xml:space="preserve"> 1 - Table1[[#This Row],[Phon_Similarity]]</f>
        <v>0.4392156862745098</v>
      </c>
      <c r="M76" s="5">
        <f xml:space="preserve"> 1 -Table1[[#This Row],[Orth_Similarity]]</f>
        <v>0.52413793103448281</v>
      </c>
      <c r="N76" s="6">
        <v>5</v>
      </c>
      <c r="O76" s="6">
        <v>5</v>
      </c>
      <c r="P76" s="6">
        <v>3</v>
      </c>
      <c r="Q76" s="5">
        <v>3.921027</v>
      </c>
      <c r="R76" s="5" t="s">
        <v>1418</v>
      </c>
      <c r="S76" t="s">
        <v>835</v>
      </c>
      <c r="T76" t="s">
        <v>1078</v>
      </c>
      <c r="U76" s="6">
        <v>5</v>
      </c>
      <c r="V76" s="6">
        <v>4</v>
      </c>
      <c r="W76" s="6" t="s">
        <v>22</v>
      </c>
      <c r="X76" s="5">
        <v>3.8073342510749844</v>
      </c>
      <c r="Y76" s="5">
        <v>0.5607843137254902</v>
      </c>
      <c r="Z76" s="5">
        <v>0.47586206896551719</v>
      </c>
      <c r="AA76" s="6">
        <v>5</v>
      </c>
      <c r="AF76"/>
      <c r="AG76"/>
      <c r="AH76"/>
      <c r="AJ76"/>
      <c r="AK76"/>
      <c r="AL76"/>
      <c r="AM76"/>
      <c r="AN76"/>
      <c r="AO76"/>
      <c r="AP76"/>
    </row>
    <row r="77" spans="1:42" x14ac:dyDescent="0.3">
      <c r="A77" t="s">
        <v>248</v>
      </c>
      <c r="B77" s="6">
        <v>596</v>
      </c>
      <c r="C77" t="s">
        <v>503</v>
      </c>
      <c r="D77" t="s">
        <v>737</v>
      </c>
      <c r="E77" s="15" t="e">
        <f>VLOOKUP(Table1[[#This Row],[Code]], [1]Basque!$1:$1048576, 4, 0)</f>
        <v>#N/A</v>
      </c>
      <c r="F77" s="74">
        <v>0.33300000000000002</v>
      </c>
      <c r="G77" s="5">
        <v>6.4690000000000003</v>
      </c>
      <c r="H77" s="5">
        <v>0.194391858</v>
      </c>
      <c r="I77" s="5">
        <v>97</v>
      </c>
      <c r="J77" s="5">
        <v>1.63</v>
      </c>
      <c r="K77" t="s">
        <v>1290</v>
      </c>
      <c r="L77" s="5">
        <f xml:space="preserve"> 1 - Table1[[#This Row],[Phon_Similarity]]</f>
        <v>0.44179104477611941</v>
      </c>
      <c r="M77" s="5">
        <f xml:space="preserve"> 1 -Table1[[#This Row],[Orth_Similarity]]</f>
        <v>0.38309859154929571</v>
      </c>
      <c r="N77" s="6">
        <v>7</v>
      </c>
      <c r="O77" s="6">
        <v>7</v>
      </c>
      <c r="P77" s="6">
        <v>2</v>
      </c>
      <c r="Q77" s="5">
        <v>3.4093969999999998</v>
      </c>
      <c r="R77" s="5" t="s">
        <v>1418</v>
      </c>
      <c r="S77" t="s">
        <v>975</v>
      </c>
      <c r="T77" t="s">
        <v>1219</v>
      </c>
      <c r="U77" s="6">
        <v>6</v>
      </c>
      <c r="V77" s="6">
        <v>5</v>
      </c>
      <c r="W77" s="6" t="s">
        <v>23</v>
      </c>
      <c r="X77" s="5">
        <v>2.9437089925563971</v>
      </c>
      <c r="Y77" s="5">
        <v>0.55820895522388059</v>
      </c>
      <c r="Z77" s="5">
        <v>0.61690140845070429</v>
      </c>
      <c r="AA77" s="6">
        <v>6</v>
      </c>
      <c r="AF77"/>
      <c r="AG77"/>
      <c r="AH77"/>
      <c r="AJ77"/>
      <c r="AK77"/>
      <c r="AL77"/>
      <c r="AM77"/>
      <c r="AN77"/>
      <c r="AO77"/>
      <c r="AP77"/>
    </row>
    <row r="78" spans="1:42" x14ac:dyDescent="0.3">
      <c r="A78" t="s">
        <v>222</v>
      </c>
      <c r="B78" s="6">
        <v>518</v>
      </c>
      <c r="C78" t="s">
        <v>477</v>
      </c>
      <c r="D78" t="s">
        <v>712</v>
      </c>
      <c r="E78" s="15" t="e">
        <f>VLOOKUP(Table1[[#This Row],[Code]], [1]Basque!$1:$1048576, 4, 0)</f>
        <v>#N/A</v>
      </c>
      <c r="F78" s="74">
        <v>0.66700000000000004</v>
      </c>
      <c r="G78" s="5">
        <v>6.3879999999999999</v>
      </c>
      <c r="H78" s="5">
        <v>0.141440543</v>
      </c>
      <c r="I78" s="5">
        <v>98</v>
      </c>
      <c r="J78" s="5">
        <v>1.64</v>
      </c>
      <c r="K78" t="s">
        <v>1290</v>
      </c>
      <c r="L78" s="5">
        <f xml:space="preserve"> 1 - Table1[[#This Row],[Phon_Similarity]]</f>
        <v>0.44545454545454544</v>
      </c>
      <c r="M78" s="5">
        <f xml:space="preserve"> 1 -Table1[[#This Row],[Orth_Similarity]]</f>
        <v>0.35294117647058831</v>
      </c>
      <c r="N78" s="6">
        <v>4</v>
      </c>
      <c r="O78" s="6">
        <v>4</v>
      </c>
      <c r="P78" s="6">
        <v>3</v>
      </c>
      <c r="Q78" s="5">
        <v>5.0708140000000004</v>
      </c>
      <c r="R78" s="5" t="s">
        <v>1418</v>
      </c>
      <c r="S78" t="s">
        <v>809</v>
      </c>
      <c r="T78" t="s">
        <v>1052</v>
      </c>
      <c r="U78" s="6">
        <v>5</v>
      </c>
      <c r="V78" s="6">
        <v>4</v>
      </c>
      <c r="W78" s="6" t="s">
        <v>22</v>
      </c>
      <c r="X78" s="5">
        <v>4.9188940686549341</v>
      </c>
      <c r="Y78" s="5">
        <v>0.55454545454545456</v>
      </c>
      <c r="Z78" s="5">
        <v>0.64705882352941169</v>
      </c>
      <c r="AA78" s="6">
        <v>5</v>
      </c>
      <c r="AF78"/>
      <c r="AG78"/>
      <c r="AH78"/>
      <c r="AJ78"/>
      <c r="AK78"/>
      <c r="AL78"/>
      <c r="AM78"/>
      <c r="AN78"/>
      <c r="AO78"/>
      <c r="AP78"/>
    </row>
    <row r="79" spans="1:42" x14ac:dyDescent="0.3">
      <c r="A79" t="s">
        <v>300</v>
      </c>
      <c r="B79" s="6">
        <v>747</v>
      </c>
      <c r="C79" t="s">
        <v>555</v>
      </c>
      <c r="D79" t="s">
        <v>783</v>
      </c>
      <c r="E79" t="str">
        <f>VLOOKUP(Table1[[#This Row],[Code]], [1]Basque!$1:$1048576, 4, 0)</f>
        <v>bainera</v>
      </c>
      <c r="F79" s="73">
        <v>0.4</v>
      </c>
      <c r="G79" s="5">
        <v>6.6920000000000002</v>
      </c>
      <c r="H79" s="5">
        <v>0</v>
      </c>
      <c r="I79" s="5">
        <v>100</v>
      </c>
      <c r="J79" s="5">
        <v>2.29</v>
      </c>
      <c r="K79" t="s">
        <v>1290</v>
      </c>
      <c r="L79" s="5">
        <f xml:space="preserve"> 1 - Table1[[#This Row],[Phon_Similarity]]</f>
        <v>0.45106382978723403</v>
      </c>
      <c r="M79" s="5">
        <f xml:space="preserve"> 1 -Table1[[#This Row],[Orth_Similarity]]</f>
        <v>0.42553191489361697</v>
      </c>
      <c r="N79" s="6">
        <v>6</v>
      </c>
      <c r="O79" s="6">
        <v>6</v>
      </c>
      <c r="P79" s="6">
        <v>2</v>
      </c>
      <c r="Q79" s="5">
        <v>3.2568450000000002</v>
      </c>
      <c r="R79" s="5" t="s">
        <v>1418</v>
      </c>
      <c r="S79" t="s">
        <v>1021</v>
      </c>
      <c r="T79" t="s">
        <v>1270</v>
      </c>
      <c r="U79" s="6">
        <v>4</v>
      </c>
      <c r="V79" s="6">
        <v>3</v>
      </c>
      <c r="W79" s="6" t="s">
        <v>22</v>
      </c>
      <c r="X79" s="5">
        <v>4.6466844405939902</v>
      </c>
      <c r="Y79" s="5">
        <v>0.54893617021276597</v>
      </c>
      <c r="Z79" s="5">
        <v>0.57446808510638303</v>
      </c>
      <c r="AA79" s="6">
        <v>4</v>
      </c>
      <c r="AF79"/>
      <c r="AG79"/>
      <c r="AH79"/>
      <c r="AJ79"/>
      <c r="AK79"/>
      <c r="AL79"/>
      <c r="AM79"/>
      <c r="AN79"/>
      <c r="AO79"/>
      <c r="AP79"/>
    </row>
    <row r="80" spans="1:42" x14ac:dyDescent="0.3">
      <c r="A80" t="s">
        <v>104</v>
      </c>
      <c r="B80" s="6">
        <v>212</v>
      </c>
      <c r="C80" t="s">
        <v>359</v>
      </c>
      <c r="D80" t="s">
        <v>609</v>
      </c>
      <c r="E80" t="str">
        <f>VLOOKUP(Table1[[#This Row],[Code]], [1]Basque!$1:$1048576, 4, 0)</f>
        <v>balantza</v>
      </c>
      <c r="F80" s="74">
        <v>0.66700000000000004</v>
      </c>
      <c r="G80" s="5">
        <v>6.008</v>
      </c>
      <c r="H80" s="5">
        <v>0.39156941699999998</v>
      </c>
      <c r="I80" s="5">
        <v>93.81443299</v>
      </c>
      <c r="J80" s="5">
        <v>2.0202020200000002</v>
      </c>
      <c r="K80" t="s">
        <v>1290</v>
      </c>
      <c r="L80" s="5">
        <f xml:space="preserve"> 1 - Table1[[#This Row],[Phon_Similarity]]</f>
        <v>0.45633802816901414</v>
      </c>
      <c r="M80" s="5">
        <f xml:space="preserve"> 1 -Table1[[#This Row],[Orth_Similarity]]</f>
        <v>0.55211267605633807</v>
      </c>
      <c r="N80" s="6">
        <v>7</v>
      </c>
      <c r="O80" s="6">
        <v>7</v>
      </c>
      <c r="P80" s="6">
        <v>2</v>
      </c>
      <c r="Q80" s="5">
        <v>3.9227159999999999</v>
      </c>
      <c r="R80" s="5" t="s">
        <v>1418</v>
      </c>
      <c r="S80" t="s">
        <v>836</v>
      </c>
      <c r="T80" t="s">
        <v>1079</v>
      </c>
      <c r="U80" s="6">
        <v>6</v>
      </c>
      <c r="V80" s="6">
        <v>5</v>
      </c>
      <c r="W80" s="6" t="s">
        <v>22</v>
      </c>
      <c r="X80" s="5">
        <v>3.9171499640369292</v>
      </c>
      <c r="Y80" s="5">
        <v>0.54366197183098586</v>
      </c>
      <c r="Z80" s="5">
        <v>0.44788732394366193</v>
      </c>
      <c r="AA80" s="6">
        <v>6</v>
      </c>
      <c r="AF80"/>
      <c r="AG80"/>
      <c r="AH80"/>
      <c r="AJ80"/>
      <c r="AK80"/>
      <c r="AL80"/>
      <c r="AM80"/>
      <c r="AN80"/>
      <c r="AO80"/>
      <c r="AP80"/>
    </row>
    <row r="81" spans="1:42" x14ac:dyDescent="0.3">
      <c r="A81" t="s">
        <v>245</v>
      </c>
      <c r="B81" s="6">
        <v>588</v>
      </c>
      <c r="C81" t="s">
        <v>500</v>
      </c>
      <c r="D81" t="s">
        <v>734</v>
      </c>
      <c r="E81" t="str">
        <f>VLOOKUP(Table1[[#This Row],[Code]], [1]Basque!$1:$1048576, 4, 0)</f>
        <v>pultsera</v>
      </c>
      <c r="F81" s="74">
        <v>0.16700000000000001</v>
      </c>
      <c r="G81" s="5">
        <v>5.9539999999999997</v>
      </c>
      <c r="H81" s="5">
        <v>0.43646981699999998</v>
      </c>
      <c r="I81" s="5">
        <v>91</v>
      </c>
      <c r="J81" s="5">
        <v>2.31</v>
      </c>
      <c r="K81" t="s">
        <v>1290</v>
      </c>
      <c r="L81" s="5">
        <f xml:space="preserve"> 1 - Table1[[#This Row],[Phon_Similarity]]</f>
        <v>0.45925925925925926</v>
      </c>
      <c r="M81" s="5">
        <f xml:space="preserve"> 1 -Table1[[#This Row],[Orth_Similarity]]</f>
        <v>0.46913580246913578</v>
      </c>
      <c r="N81" s="6">
        <v>7</v>
      </c>
      <c r="O81" s="6">
        <v>7</v>
      </c>
      <c r="P81" s="6">
        <v>3</v>
      </c>
      <c r="Q81" s="5">
        <v>3.0915539999999999</v>
      </c>
      <c r="R81" s="5" t="s">
        <v>1418</v>
      </c>
      <c r="S81" t="s">
        <v>972</v>
      </c>
      <c r="T81" t="s">
        <v>1216</v>
      </c>
      <c r="U81" s="6">
        <v>8</v>
      </c>
      <c r="V81" s="6">
        <v>7</v>
      </c>
      <c r="W81" s="6" t="s">
        <v>23</v>
      </c>
      <c r="X81" s="5">
        <v>3.7929930358880104</v>
      </c>
      <c r="Y81" s="5">
        <v>0.54074074074074074</v>
      </c>
      <c r="Z81" s="5">
        <v>0.53086419753086422</v>
      </c>
      <c r="AA81" s="6">
        <v>7</v>
      </c>
      <c r="AF81"/>
      <c r="AG81"/>
      <c r="AH81"/>
      <c r="AJ81"/>
      <c r="AK81"/>
      <c r="AL81"/>
      <c r="AM81"/>
      <c r="AN81"/>
      <c r="AO81"/>
      <c r="AP81"/>
    </row>
    <row r="82" spans="1:42" x14ac:dyDescent="0.3">
      <c r="A82" t="s">
        <v>256</v>
      </c>
      <c r="B82" s="6">
        <v>610</v>
      </c>
      <c r="C82" t="s">
        <v>511</v>
      </c>
      <c r="D82" t="s">
        <v>744</v>
      </c>
      <c r="E82" t="str">
        <f>VLOOKUP(Table1[[#This Row],[Code]], [1]Basque!$1:$1048576, 4, 0)</f>
        <v>eztia</v>
      </c>
      <c r="F82" s="74">
        <v>0.66700000000000004</v>
      </c>
      <c r="G82" s="5">
        <v>5.4009999999999998</v>
      </c>
      <c r="H82" s="5">
        <v>0</v>
      </c>
      <c r="I82" s="5">
        <v>100</v>
      </c>
      <c r="J82" s="5">
        <v>2.3838383840000001</v>
      </c>
      <c r="K82" t="s">
        <v>1288</v>
      </c>
      <c r="L82" s="5">
        <f xml:space="preserve"> 1 - Table1[[#This Row],[Phon_Similarity]]</f>
        <v>0.45999999999999996</v>
      </c>
      <c r="M82" s="5">
        <f xml:space="preserve"> 1 -Table1[[#This Row],[Orth_Similarity]]</f>
        <v>0.45581395348837206</v>
      </c>
      <c r="N82" s="6">
        <v>4</v>
      </c>
      <c r="O82" s="6">
        <v>4</v>
      </c>
      <c r="P82" s="6">
        <v>3</v>
      </c>
      <c r="Q82" s="5">
        <v>4.2208699999999997</v>
      </c>
      <c r="R82" s="5" t="s">
        <v>1418</v>
      </c>
      <c r="S82" t="s">
        <v>982</v>
      </c>
      <c r="T82" t="s">
        <v>1227</v>
      </c>
      <c r="U82" s="6">
        <v>5</v>
      </c>
      <c r="V82" s="6">
        <v>4</v>
      </c>
      <c r="W82" s="6" t="s">
        <v>23</v>
      </c>
      <c r="X82" s="5">
        <v>4.5976297581684111</v>
      </c>
      <c r="Y82" s="5">
        <v>0.54</v>
      </c>
      <c r="Z82" s="5">
        <v>0.54418604651162794</v>
      </c>
      <c r="AA82" s="6">
        <v>4</v>
      </c>
      <c r="AF82"/>
      <c r="AG82"/>
      <c r="AH82"/>
      <c r="AJ82"/>
      <c r="AK82"/>
      <c r="AL82"/>
      <c r="AM82"/>
      <c r="AN82"/>
      <c r="AO82"/>
      <c r="AP82"/>
    </row>
    <row r="83" spans="1:42" x14ac:dyDescent="0.3">
      <c r="A83" t="s">
        <v>89</v>
      </c>
      <c r="B83" s="6">
        <v>161</v>
      </c>
      <c r="C83" t="s">
        <v>344</v>
      </c>
      <c r="D83" t="s">
        <v>594</v>
      </c>
      <c r="E83" t="str">
        <f>VLOOKUP(Table1[[#This Row],[Code]], [1]Basque!$1:$1048576, 4, 0)</f>
        <v>gorbata</v>
      </c>
      <c r="F83" s="74">
        <v>0.33300000000000002</v>
      </c>
      <c r="G83" s="5">
        <v>6.1479999999999997</v>
      </c>
      <c r="H83" s="5">
        <v>0</v>
      </c>
      <c r="I83" s="5">
        <v>100</v>
      </c>
      <c r="J83" s="5">
        <v>2.0499999999999998</v>
      </c>
      <c r="K83" t="s">
        <v>1291</v>
      </c>
      <c r="L83" s="5">
        <f xml:space="preserve"> 1 - Table1[[#This Row],[Phon_Similarity]]</f>
        <v>0.46511627906976738</v>
      </c>
      <c r="M83" s="5">
        <f xml:space="preserve"> 1 -Table1[[#This Row],[Orth_Similarity]]</f>
        <v>0.38400000000000001</v>
      </c>
      <c r="N83" s="6">
        <v>7</v>
      </c>
      <c r="O83" s="6">
        <v>7</v>
      </c>
      <c r="P83" s="6">
        <v>3</v>
      </c>
      <c r="Q83" s="5">
        <v>3.716161</v>
      </c>
      <c r="R83" s="5" t="s">
        <v>1418</v>
      </c>
      <c r="S83" t="s">
        <v>821</v>
      </c>
      <c r="T83" t="s">
        <v>1064</v>
      </c>
      <c r="U83" s="6">
        <v>3</v>
      </c>
      <c r="V83" s="6">
        <v>2</v>
      </c>
      <c r="W83" s="6" t="s">
        <v>22</v>
      </c>
      <c r="X83" s="5">
        <v>4.5805310901435714</v>
      </c>
      <c r="Y83" s="5">
        <v>0.53488372093023262</v>
      </c>
      <c r="Z83" s="5">
        <v>0.61599999999999999</v>
      </c>
      <c r="AA83" s="6">
        <v>7</v>
      </c>
      <c r="AF83"/>
      <c r="AG83"/>
      <c r="AH83"/>
      <c r="AJ83"/>
      <c r="AK83"/>
      <c r="AL83"/>
      <c r="AM83"/>
      <c r="AN83"/>
      <c r="AO83"/>
      <c r="AP83"/>
    </row>
    <row r="84" spans="1:42" x14ac:dyDescent="0.3">
      <c r="A84" t="s">
        <v>85</v>
      </c>
      <c r="B84" s="6">
        <v>156</v>
      </c>
      <c r="C84" t="s">
        <v>340</v>
      </c>
      <c r="D84" t="s">
        <v>591</v>
      </c>
      <c r="E84" t="str">
        <f>VLOOKUP(Table1[[#This Row],[Code]], [1]Basque!$1:$1048576, 4, 0)</f>
        <v>txirula</v>
      </c>
      <c r="F84" s="73">
        <v>0.8</v>
      </c>
      <c r="G84" s="5">
        <v>5.9710000000000001</v>
      </c>
      <c r="H84" s="5">
        <v>0</v>
      </c>
      <c r="I84" s="5">
        <v>100</v>
      </c>
      <c r="J84" s="5">
        <v>1.72</v>
      </c>
      <c r="K84" t="s">
        <v>1290</v>
      </c>
      <c r="L84" s="5">
        <f xml:space="preserve"> 1 - Table1[[#This Row],[Phon_Similarity]]</f>
        <v>0.46666666666666667</v>
      </c>
      <c r="M84" s="5">
        <f xml:space="preserve"> 1 -Table1[[#This Row],[Orth_Similarity]]</f>
        <v>0.3783783783783784</v>
      </c>
      <c r="N84" s="6">
        <v>6</v>
      </c>
      <c r="O84" s="6">
        <v>6</v>
      </c>
      <c r="P84" s="6">
        <v>2</v>
      </c>
      <c r="Q84" s="5">
        <v>3.8907129999999999</v>
      </c>
      <c r="R84" s="5" t="s">
        <v>1418</v>
      </c>
      <c r="S84" t="s">
        <v>817</v>
      </c>
      <c r="T84" t="s">
        <v>1060</v>
      </c>
      <c r="U84" s="6">
        <v>8</v>
      </c>
      <c r="V84" s="6">
        <v>6</v>
      </c>
      <c r="W84" s="6" t="s">
        <v>24</v>
      </c>
      <c r="X84" s="5">
        <v>3.3850445853182105</v>
      </c>
      <c r="Y84" s="5">
        <v>0.53333333333333333</v>
      </c>
      <c r="Z84" s="5">
        <v>0.6216216216216216</v>
      </c>
      <c r="AA84" s="6">
        <v>8</v>
      </c>
      <c r="AF84"/>
      <c r="AG84"/>
      <c r="AH84"/>
      <c r="AJ84"/>
      <c r="AK84"/>
      <c r="AL84"/>
      <c r="AM84"/>
      <c r="AN84"/>
      <c r="AO84"/>
      <c r="AP84"/>
    </row>
    <row r="85" spans="1:42" x14ac:dyDescent="0.3">
      <c r="A85" t="s">
        <v>215</v>
      </c>
      <c r="B85" s="6">
        <v>503</v>
      </c>
      <c r="C85" t="s">
        <v>470</v>
      </c>
      <c r="D85" t="s">
        <v>705</v>
      </c>
      <c r="E85" t="str">
        <f>VLOOKUP(Table1[[#This Row],[Code]], [1]Basque!$1:$1048576, 4, 0)</f>
        <v>mingain</v>
      </c>
      <c r="F85" s="73">
        <v>1</v>
      </c>
      <c r="G85" s="5">
        <v>6.4059999999999997</v>
      </c>
      <c r="H85" s="5">
        <v>0</v>
      </c>
      <c r="I85" s="5">
        <v>100</v>
      </c>
      <c r="J85" s="5">
        <v>1.59</v>
      </c>
      <c r="K85" t="s">
        <v>1286</v>
      </c>
      <c r="L85" s="5">
        <f xml:space="preserve"> 1 - Table1[[#This Row],[Phon_Similarity]]</f>
        <v>0.47</v>
      </c>
      <c r="M85" s="5">
        <f xml:space="preserve"> 1 -Table1[[#This Row],[Orth_Similarity]]</f>
        <v>0.66666666666666663</v>
      </c>
      <c r="N85" s="6">
        <v>6</v>
      </c>
      <c r="O85" s="6">
        <v>6</v>
      </c>
      <c r="P85" s="6">
        <v>2</v>
      </c>
      <c r="Q85" s="5">
        <v>5.0771459999999999</v>
      </c>
      <c r="R85" s="5"/>
      <c r="S85" t="s">
        <v>945</v>
      </c>
      <c r="T85" t="s">
        <v>1189</v>
      </c>
      <c r="U85" s="6">
        <v>6</v>
      </c>
      <c r="V85" s="6">
        <v>3</v>
      </c>
      <c r="W85" s="6" t="s">
        <v>22</v>
      </c>
      <c r="X85" s="5">
        <v>4.3630018455768642</v>
      </c>
      <c r="Y85" s="5">
        <v>0.53</v>
      </c>
      <c r="Z85" s="5">
        <v>0.33333333333333337</v>
      </c>
      <c r="AA85" s="6">
        <v>3</v>
      </c>
      <c r="AF85"/>
      <c r="AG85"/>
      <c r="AH85"/>
      <c r="AJ85"/>
      <c r="AK85"/>
      <c r="AL85"/>
      <c r="AM85"/>
      <c r="AN85"/>
      <c r="AO85"/>
      <c r="AP85"/>
    </row>
    <row r="86" spans="1:42" x14ac:dyDescent="0.3">
      <c r="A86" t="s">
        <v>86</v>
      </c>
      <c r="B86" s="6">
        <v>158</v>
      </c>
      <c r="C86" t="s">
        <v>341</v>
      </c>
      <c r="D86" t="s">
        <v>341</v>
      </c>
      <c r="E86" s="15" t="e">
        <f>VLOOKUP(Table1[[#This Row],[Code]], [1]Basque!$1:$1048576, 4, 0)</f>
        <v>#N/A</v>
      </c>
      <c r="F86" s="73">
        <v>1</v>
      </c>
      <c r="G86" s="5">
        <v>4.4619999999999997</v>
      </c>
      <c r="H86" s="5">
        <v>0.19902377500000001</v>
      </c>
      <c r="I86" s="5">
        <v>96.907216489999996</v>
      </c>
      <c r="J86" s="5">
        <v>2.5099999999999998</v>
      </c>
      <c r="K86" t="s">
        <v>1290</v>
      </c>
      <c r="L86" s="5">
        <f xml:space="preserve"> 1 - Table1[[#This Row],[Phon_Similarity]]</f>
        <v>0.47027027027027035</v>
      </c>
      <c r="M86" s="5">
        <f xml:space="preserve"> 1 -Table1[[#This Row],[Orth_Similarity]]</f>
        <v>0.39058823529411768</v>
      </c>
      <c r="N86" s="6">
        <v>5</v>
      </c>
      <c r="O86" s="6">
        <v>5</v>
      </c>
      <c r="P86" s="6">
        <v>3</v>
      </c>
      <c r="Q86" s="5">
        <v>4.8193520000000003</v>
      </c>
      <c r="R86" s="5" t="s">
        <v>1418</v>
      </c>
      <c r="S86" t="s">
        <v>818</v>
      </c>
      <c r="T86" t="s">
        <v>1061</v>
      </c>
      <c r="U86" s="6">
        <v>10</v>
      </c>
      <c r="V86" s="6">
        <v>8</v>
      </c>
      <c r="W86" s="6" t="s">
        <v>24</v>
      </c>
      <c r="X86" s="5">
        <v>3.5113134745188574</v>
      </c>
      <c r="Y86" s="5">
        <v>0.52972972972972965</v>
      </c>
      <c r="Z86" s="5">
        <v>0.60941176470588232</v>
      </c>
      <c r="AA86" s="6">
        <v>8</v>
      </c>
      <c r="AF86"/>
      <c r="AG86"/>
      <c r="AH86"/>
      <c r="AJ86"/>
      <c r="AK86"/>
      <c r="AL86"/>
      <c r="AM86"/>
      <c r="AN86"/>
      <c r="AO86"/>
      <c r="AP86"/>
    </row>
    <row r="87" spans="1:42" x14ac:dyDescent="0.3">
      <c r="A87" t="s">
        <v>101</v>
      </c>
      <c r="B87" s="6">
        <v>193</v>
      </c>
      <c r="C87" t="s">
        <v>356</v>
      </c>
      <c r="D87" t="s">
        <v>606</v>
      </c>
      <c r="E87" t="str">
        <f>VLOOKUP(Table1[[#This Row],[Code]], [1]Basque!$1:$1048576, 4, 0)</f>
        <v>medusa</v>
      </c>
      <c r="F87" s="73">
        <v>0.6</v>
      </c>
      <c r="G87" s="68">
        <v>0</v>
      </c>
      <c r="H87" s="5">
        <v>0</v>
      </c>
      <c r="I87" s="5">
        <v>100</v>
      </c>
      <c r="J87" s="5">
        <v>2.61</v>
      </c>
      <c r="K87" t="s">
        <v>1285</v>
      </c>
      <c r="L87" s="5">
        <f xml:space="preserve"> 1 - Table1[[#This Row],[Phon_Similarity]]</f>
        <v>0.4716417910447761</v>
      </c>
      <c r="M87" s="5">
        <f xml:space="preserve"> 1 -Table1[[#This Row],[Orth_Similarity]]</f>
        <v>0.35324675324675325</v>
      </c>
      <c r="N87" s="6">
        <v>6</v>
      </c>
      <c r="O87" s="6">
        <v>6</v>
      </c>
      <c r="P87" s="6">
        <v>3</v>
      </c>
      <c r="Q87" s="5">
        <v>3.2607330000000001</v>
      </c>
      <c r="R87" s="5" t="s">
        <v>1418</v>
      </c>
      <c r="S87" t="s">
        <v>833</v>
      </c>
      <c r="T87" t="s">
        <v>1076</v>
      </c>
      <c r="U87" s="6">
        <v>9</v>
      </c>
      <c r="V87" s="6">
        <v>7</v>
      </c>
      <c r="W87" s="6" t="s">
        <v>24</v>
      </c>
      <c r="X87" s="5">
        <v>3.5578671055076274</v>
      </c>
      <c r="Y87" s="5">
        <v>0.5283582089552239</v>
      </c>
      <c r="Z87" s="5">
        <v>0.64675324675324675</v>
      </c>
      <c r="AA87" s="6">
        <v>7</v>
      </c>
      <c r="AF87"/>
      <c r="AG87"/>
      <c r="AH87"/>
      <c r="AJ87"/>
      <c r="AK87"/>
      <c r="AL87"/>
      <c r="AM87"/>
      <c r="AN87"/>
      <c r="AO87"/>
      <c r="AP87"/>
    </row>
    <row r="88" spans="1:42" x14ac:dyDescent="0.3">
      <c r="A88" t="s">
        <v>274</v>
      </c>
      <c r="B88" s="6">
        <v>656</v>
      </c>
      <c r="C88" t="s">
        <v>529</v>
      </c>
      <c r="D88" t="s">
        <v>529</v>
      </c>
      <c r="E88" t="str">
        <f>VLOOKUP(Table1[[#This Row],[Code]], [1]Basque!$1:$1048576, 4, 0)</f>
        <v>pila</v>
      </c>
      <c r="F88" s="74">
        <v>0.33300000000000002</v>
      </c>
      <c r="G88" s="5">
        <v>6.0279999999999996</v>
      </c>
      <c r="H88" s="5">
        <v>0</v>
      </c>
      <c r="I88" s="5">
        <v>100</v>
      </c>
      <c r="J88" s="5">
        <v>1.91</v>
      </c>
      <c r="K88" t="s">
        <v>1290</v>
      </c>
      <c r="L88" s="5">
        <f xml:space="preserve"> 1 - Table1[[#This Row],[Phon_Similarity]]</f>
        <v>0.47199999999999998</v>
      </c>
      <c r="M88" s="5">
        <f xml:space="preserve"> 1 -Table1[[#This Row],[Orth_Similarity]]</f>
        <v>0.42807017543859649</v>
      </c>
      <c r="N88" s="6">
        <v>4</v>
      </c>
      <c r="O88" s="6">
        <v>4</v>
      </c>
      <c r="P88" s="6">
        <v>3</v>
      </c>
      <c r="Q88" s="5">
        <v>3.946977</v>
      </c>
      <c r="R88" s="5" t="s">
        <v>1418</v>
      </c>
      <c r="S88" t="s">
        <v>997</v>
      </c>
      <c r="T88" t="s">
        <v>1244</v>
      </c>
      <c r="U88" s="6">
        <v>7</v>
      </c>
      <c r="V88" s="6">
        <v>6</v>
      </c>
      <c r="W88" s="6" t="s">
        <v>24</v>
      </c>
      <c r="X88" s="5">
        <v>3.870667319723033</v>
      </c>
      <c r="Y88" s="5">
        <v>0.52800000000000002</v>
      </c>
      <c r="Z88" s="5">
        <v>0.57192982456140351</v>
      </c>
      <c r="AA88" s="6">
        <v>7</v>
      </c>
      <c r="AF88"/>
      <c r="AG88"/>
      <c r="AH88"/>
      <c r="AJ88"/>
      <c r="AK88"/>
      <c r="AL88"/>
      <c r="AM88"/>
      <c r="AN88"/>
      <c r="AO88"/>
      <c r="AP88"/>
    </row>
    <row r="89" spans="1:42" x14ac:dyDescent="0.3">
      <c r="A89" t="s">
        <v>133</v>
      </c>
      <c r="B89" s="6">
        <v>290</v>
      </c>
      <c r="C89" t="s">
        <v>388</v>
      </c>
      <c r="D89" t="s">
        <v>632</v>
      </c>
      <c r="E89" t="str">
        <f>VLOOKUP(Table1[[#This Row],[Code]], [1]Basque!$1:$1048576, 4, 0)</f>
        <v>kaiola</v>
      </c>
      <c r="F89" s="73">
        <v>0.75</v>
      </c>
      <c r="G89" s="5">
        <v>6.4850000000000003</v>
      </c>
      <c r="H89" s="5">
        <v>0</v>
      </c>
      <c r="I89" s="5">
        <v>100</v>
      </c>
      <c r="J89" s="5">
        <v>2.57</v>
      </c>
      <c r="K89" t="s">
        <v>1290</v>
      </c>
      <c r="L89" s="5">
        <f xml:space="preserve"> 1 - Table1[[#This Row],[Phon_Similarity]]</f>
        <v>0.47441860465116281</v>
      </c>
      <c r="M89" s="5">
        <f xml:space="preserve"> 1 -Table1[[#This Row],[Orth_Similarity]]</f>
        <v>0.25641025641025639</v>
      </c>
      <c r="N89" s="6">
        <v>5</v>
      </c>
      <c r="O89" s="6">
        <v>5</v>
      </c>
      <c r="P89" s="6">
        <v>2</v>
      </c>
      <c r="Q89" s="5">
        <v>3.8093119999999998</v>
      </c>
      <c r="R89" s="5"/>
      <c r="S89" t="s">
        <v>865</v>
      </c>
      <c r="T89" t="s">
        <v>1108</v>
      </c>
      <c r="U89" s="6">
        <v>4</v>
      </c>
      <c r="V89" s="6">
        <v>3</v>
      </c>
      <c r="W89" s="6" t="s">
        <v>22</v>
      </c>
      <c r="X89" s="5">
        <v>4.0339929564408461</v>
      </c>
      <c r="Y89" s="5">
        <v>0.52558139534883719</v>
      </c>
      <c r="Z89" s="5">
        <v>0.74358974358974361</v>
      </c>
      <c r="AA89" s="6">
        <v>4</v>
      </c>
      <c r="AF89"/>
      <c r="AG89"/>
      <c r="AH89"/>
      <c r="AJ89"/>
      <c r="AK89"/>
      <c r="AL89"/>
      <c r="AM89"/>
      <c r="AN89"/>
      <c r="AO89"/>
      <c r="AP89"/>
    </row>
    <row r="90" spans="1:42" x14ac:dyDescent="0.3">
      <c r="A90" t="s">
        <v>295</v>
      </c>
      <c r="B90" s="6">
        <v>728</v>
      </c>
      <c r="C90" t="s">
        <v>550</v>
      </c>
      <c r="D90" t="s">
        <v>550</v>
      </c>
      <c r="E90" s="15" t="e">
        <f>VLOOKUP(Table1[[#This Row],[Code]], [1]Basque!$1:$1048576, 4, 0)</f>
        <v>#N/A</v>
      </c>
      <c r="F90" s="73">
        <v>0</v>
      </c>
      <c r="G90" s="68">
        <v>0</v>
      </c>
      <c r="H90" s="5">
        <v>0.32984606999999999</v>
      </c>
      <c r="I90" s="5">
        <v>93.939393940000002</v>
      </c>
      <c r="J90" s="5">
        <v>2.71</v>
      </c>
      <c r="K90" t="s">
        <v>1285</v>
      </c>
      <c r="L90" s="5">
        <f xml:space="preserve"> 1 - Table1[[#This Row],[Phon_Similarity]]</f>
        <v>0.47499999999999998</v>
      </c>
      <c r="M90" s="5">
        <f xml:space="preserve"> 1 -Table1[[#This Row],[Orth_Similarity]]</f>
        <v>0.55625000000000002</v>
      </c>
      <c r="N90" s="6">
        <v>5</v>
      </c>
      <c r="O90" s="6">
        <v>5</v>
      </c>
      <c r="P90" s="6">
        <v>3</v>
      </c>
      <c r="Q90" s="5">
        <v>3.1601300000000001</v>
      </c>
      <c r="R90" s="5"/>
      <c r="S90" t="s">
        <v>1017</v>
      </c>
      <c r="T90" t="s">
        <v>1265</v>
      </c>
      <c r="U90" s="6">
        <v>7</v>
      </c>
      <c r="V90" s="6">
        <v>7</v>
      </c>
      <c r="W90" s="6" t="s">
        <v>24</v>
      </c>
      <c r="X90" s="5">
        <v>3.7767227731054778</v>
      </c>
      <c r="Y90" s="5">
        <v>0.52500000000000002</v>
      </c>
      <c r="Z90" s="5">
        <v>0.44374999999999998</v>
      </c>
      <c r="AA90" s="6">
        <v>6</v>
      </c>
      <c r="AF90"/>
      <c r="AG90"/>
      <c r="AH90"/>
      <c r="AJ90"/>
      <c r="AK90"/>
      <c r="AL90"/>
      <c r="AM90"/>
      <c r="AN90"/>
      <c r="AO90"/>
      <c r="AP90"/>
    </row>
    <row r="91" spans="1:42" x14ac:dyDescent="0.3">
      <c r="A91" t="s">
        <v>241</v>
      </c>
      <c r="B91" s="6">
        <v>570</v>
      </c>
      <c r="C91" t="s">
        <v>496</v>
      </c>
      <c r="D91" t="s">
        <v>730</v>
      </c>
      <c r="E91" t="str">
        <f>VLOOKUP(Table1[[#This Row],[Code]], [1]Basque!$1:$1048576, 4, 0)</f>
        <v>zezen</v>
      </c>
      <c r="F91" s="73">
        <v>1</v>
      </c>
      <c r="G91" s="5">
        <v>5.8579999999999997</v>
      </c>
      <c r="H91" s="5">
        <v>0</v>
      </c>
      <c r="I91" s="5">
        <v>100</v>
      </c>
      <c r="J91" s="5">
        <v>2.5299999999999998</v>
      </c>
      <c r="K91" t="s">
        <v>1285</v>
      </c>
      <c r="L91" s="5">
        <f xml:space="preserve"> 1 - Table1[[#This Row],[Phon_Similarity]]</f>
        <v>0.47567567567567604</v>
      </c>
      <c r="M91" s="5">
        <f xml:space="preserve"> 1 -Table1[[#This Row],[Orth_Similarity]]</f>
        <v>0.4</v>
      </c>
      <c r="N91" s="6">
        <v>4</v>
      </c>
      <c r="O91" s="6">
        <v>4</v>
      </c>
      <c r="P91" s="6">
        <v>2</v>
      </c>
      <c r="Q91" s="5">
        <v>4.4924099999999996</v>
      </c>
      <c r="R91" s="5" t="s">
        <v>1418</v>
      </c>
      <c r="S91" t="s">
        <v>968</v>
      </c>
      <c r="T91" t="s">
        <v>1212</v>
      </c>
      <c r="U91" s="6">
        <v>4</v>
      </c>
      <c r="V91" s="6">
        <v>3</v>
      </c>
      <c r="W91" s="6" t="s">
        <v>22</v>
      </c>
      <c r="X91" s="5">
        <v>4.2806320703320404</v>
      </c>
      <c r="Y91" s="5">
        <v>0.52432432432432396</v>
      </c>
      <c r="Z91" s="5">
        <v>0.6</v>
      </c>
      <c r="AA91" s="6">
        <v>4</v>
      </c>
      <c r="AF91"/>
      <c r="AG91"/>
      <c r="AH91"/>
      <c r="AJ91"/>
      <c r="AK91"/>
      <c r="AL91"/>
      <c r="AM91"/>
      <c r="AN91"/>
      <c r="AO91"/>
      <c r="AP91"/>
    </row>
    <row r="92" spans="1:42" x14ac:dyDescent="0.3">
      <c r="A92" t="s">
        <v>287</v>
      </c>
      <c r="B92" s="6">
        <v>687</v>
      </c>
      <c r="C92" t="s">
        <v>542</v>
      </c>
      <c r="D92" t="s">
        <v>771</v>
      </c>
      <c r="E92" t="str">
        <f>VLOOKUP(Table1[[#This Row],[Code]], [1]Basque!$1:$1048576, 4, 0)</f>
        <v>alkandora</v>
      </c>
      <c r="F92" s="73">
        <v>0.4</v>
      </c>
      <c r="G92" s="5">
        <v>6.2809999999999997</v>
      </c>
      <c r="H92" s="5">
        <v>0</v>
      </c>
      <c r="I92" s="5">
        <v>100</v>
      </c>
      <c r="J92" s="5">
        <v>1.86</v>
      </c>
      <c r="K92" t="s">
        <v>1291</v>
      </c>
      <c r="L92" s="5">
        <f xml:space="preserve"> 1 - Table1[[#This Row],[Phon_Similarity]]</f>
        <v>0.47659574468085109</v>
      </c>
      <c r="M92" s="5">
        <f xml:space="preserve"> 1 -Table1[[#This Row],[Orth_Similarity]]</f>
        <v>0.38688524590163942</v>
      </c>
      <c r="N92" s="6">
        <v>6</v>
      </c>
      <c r="O92" s="6">
        <v>6</v>
      </c>
      <c r="P92" s="6">
        <v>2</v>
      </c>
      <c r="Q92" s="5">
        <v>4.1374940000000002</v>
      </c>
      <c r="R92" s="5" t="s">
        <v>1418</v>
      </c>
      <c r="S92" t="s">
        <v>1009</v>
      </c>
      <c r="T92" t="s">
        <v>1257</v>
      </c>
      <c r="U92" s="6">
        <v>5</v>
      </c>
      <c r="V92" s="6">
        <v>3</v>
      </c>
      <c r="W92" s="6" t="s">
        <v>22</v>
      </c>
      <c r="X92" s="5">
        <v>4.4722189820282718</v>
      </c>
      <c r="Y92" s="5">
        <v>0.52340425531914891</v>
      </c>
      <c r="Z92" s="5">
        <v>0.61311475409836058</v>
      </c>
      <c r="AA92" s="6">
        <v>5</v>
      </c>
      <c r="AF92"/>
      <c r="AG92"/>
      <c r="AH92"/>
      <c r="AJ92"/>
      <c r="AK92"/>
      <c r="AL92"/>
      <c r="AM92"/>
      <c r="AN92"/>
      <c r="AO92"/>
      <c r="AP92"/>
    </row>
    <row r="93" spans="1:42" x14ac:dyDescent="0.3">
      <c r="A93" t="s">
        <v>255</v>
      </c>
      <c r="B93" s="6">
        <v>607</v>
      </c>
      <c r="C93" t="s">
        <v>510</v>
      </c>
      <c r="D93" t="s">
        <v>743</v>
      </c>
      <c r="E93" t="str">
        <f>VLOOKUP(Table1[[#This Row],[Code]], [1]Basque!$1:$1048576, 4, 0)</f>
        <v>jestse</v>
      </c>
      <c r="F93" s="73">
        <v>0.4</v>
      </c>
      <c r="G93" s="5">
        <v>6.2119999999999997</v>
      </c>
      <c r="H93" s="5">
        <v>0.44505030400000001</v>
      </c>
      <c r="I93" s="5">
        <v>92.783505149999996</v>
      </c>
      <c r="J93" s="5">
        <v>2.34</v>
      </c>
      <c r="K93" t="s">
        <v>1291</v>
      </c>
      <c r="L93" s="5">
        <f xml:space="preserve"> 1 - Table1[[#This Row],[Phon_Similarity]]</f>
        <v>0.47719298245614028</v>
      </c>
      <c r="M93" s="5">
        <f xml:space="preserve"> 1 -Table1[[#This Row],[Orth_Similarity]]</f>
        <v>0.4642857142857143</v>
      </c>
      <c r="N93" s="6">
        <v>6</v>
      </c>
      <c r="O93" s="6">
        <v>6</v>
      </c>
      <c r="P93" s="6">
        <v>2</v>
      </c>
      <c r="Q93" s="5">
        <v>4.0162409999999999</v>
      </c>
      <c r="R93" s="5" t="s">
        <v>1418</v>
      </c>
      <c r="S93" t="s">
        <v>981</v>
      </c>
      <c r="T93" t="s">
        <v>1226</v>
      </c>
      <c r="U93" s="6">
        <v>6</v>
      </c>
      <c r="V93" s="6">
        <v>5</v>
      </c>
      <c r="W93" s="6" t="s">
        <v>23</v>
      </c>
      <c r="X93" s="5">
        <v>3.8443383810006839</v>
      </c>
      <c r="Y93" s="5">
        <v>0.52280701754385972</v>
      </c>
      <c r="Z93" s="5">
        <v>0.5357142857142857</v>
      </c>
      <c r="AA93" s="6">
        <v>4</v>
      </c>
      <c r="AF93"/>
      <c r="AG93"/>
      <c r="AH93"/>
      <c r="AJ93"/>
      <c r="AK93"/>
      <c r="AL93"/>
      <c r="AM93"/>
      <c r="AN93"/>
      <c r="AO93"/>
      <c r="AP93"/>
    </row>
    <row r="94" spans="1:42" x14ac:dyDescent="0.3">
      <c r="A94" t="s">
        <v>283</v>
      </c>
      <c r="B94" s="6">
        <v>675</v>
      </c>
      <c r="C94" t="s">
        <v>538</v>
      </c>
      <c r="D94" t="s">
        <v>538</v>
      </c>
      <c r="E94" t="str">
        <f>VLOOKUP(Table1[[#This Row],[Code]], [1]Basque!$1:$1048576, 4, 0)</f>
        <v>errota</v>
      </c>
      <c r="F94" s="73">
        <v>0</v>
      </c>
      <c r="G94" s="5">
        <v>6.0979999999999999</v>
      </c>
      <c r="H94" s="5">
        <v>0</v>
      </c>
      <c r="I94" s="5">
        <v>100</v>
      </c>
      <c r="J94" s="5">
        <v>2.64</v>
      </c>
      <c r="K94" t="s">
        <v>1293</v>
      </c>
      <c r="L94" s="5">
        <f xml:space="preserve"> 1 - Table1[[#This Row],[Phon_Similarity]]</f>
        <v>0.48</v>
      </c>
      <c r="M94" s="5">
        <f xml:space="preserve"> 1 -Table1[[#This Row],[Orth_Similarity]]</f>
        <v>0.39459459459459456</v>
      </c>
      <c r="N94" s="6">
        <v>6</v>
      </c>
      <c r="O94" s="6">
        <v>6</v>
      </c>
      <c r="P94" s="6">
        <v>3</v>
      </c>
      <c r="Q94" s="5">
        <v>3.9827680000000001</v>
      </c>
      <c r="R94" s="5" t="s">
        <v>1418</v>
      </c>
      <c r="S94" t="s">
        <v>1005</v>
      </c>
      <c r="T94" t="s">
        <v>1253</v>
      </c>
      <c r="U94" s="6">
        <v>8</v>
      </c>
      <c r="V94" s="6">
        <v>7</v>
      </c>
      <c r="W94" s="6" t="s">
        <v>23</v>
      </c>
      <c r="X94" s="5">
        <v>3.5052954408298582</v>
      </c>
      <c r="Y94" s="5">
        <v>0.52</v>
      </c>
      <c r="Z94" s="5">
        <v>0.60540540540540544</v>
      </c>
      <c r="AA94" s="6">
        <v>7</v>
      </c>
      <c r="AF94"/>
      <c r="AG94"/>
      <c r="AH94"/>
      <c r="AJ94"/>
      <c r="AK94"/>
      <c r="AL94"/>
      <c r="AM94"/>
      <c r="AN94"/>
      <c r="AO94"/>
      <c r="AP94"/>
    </row>
    <row r="95" spans="1:42" x14ac:dyDescent="0.3">
      <c r="A95" t="s">
        <v>277</v>
      </c>
      <c r="B95" s="6">
        <v>663</v>
      </c>
      <c r="C95" t="s">
        <v>532</v>
      </c>
      <c r="D95" t="s">
        <v>763</v>
      </c>
      <c r="E95" t="str">
        <f>VLOOKUP(Table1[[#This Row],[Code]], [1]Basque!$1:$1048576, 4, 0)</f>
        <v>zutabe</v>
      </c>
      <c r="F95" s="74">
        <v>0.33300000000000002</v>
      </c>
      <c r="G95" s="5">
        <v>6.6449999999999996</v>
      </c>
      <c r="H95" s="5">
        <v>0.46206632800000003</v>
      </c>
      <c r="I95" s="5">
        <v>90.217391300000003</v>
      </c>
      <c r="J95" s="5">
        <v>2.1</v>
      </c>
      <c r="K95" t="s">
        <v>1290</v>
      </c>
      <c r="L95" s="5">
        <f xml:space="preserve"> 1 - Table1[[#This Row],[Phon_Similarity]]</f>
        <v>0.48421052631578942</v>
      </c>
      <c r="M95" s="5">
        <f xml:space="preserve"> 1 -Table1[[#This Row],[Orth_Similarity]]</f>
        <v>0.42253521126760563</v>
      </c>
      <c r="N95" s="6">
        <v>7</v>
      </c>
      <c r="O95" s="6">
        <v>7</v>
      </c>
      <c r="P95" s="6">
        <v>3</v>
      </c>
      <c r="Q95" s="5">
        <v>4.4305339999999998</v>
      </c>
      <c r="R95" s="5" t="s">
        <v>1418</v>
      </c>
      <c r="S95" t="s">
        <v>1000</v>
      </c>
      <c r="T95" t="s">
        <v>1247</v>
      </c>
      <c r="U95" s="6">
        <v>6</v>
      </c>
      <c r="V95" s="6">
        <v>4</v>
      </c>
      <c r="W95" s="6" t="s">
        <v>23</v>
      </c>
      <c r="X95" s="5">
        <v>3.5408337662088472</v>
      </c>
      <c r="Y95" s="5">
        <v>0.51578947368421058</v>
      </c>
      <c r="Z95" s="5">
        <v>0.57746478873239437</v>
      </c>
      <c r="AA95" s="6">
        <v>6</v>
      </c>
      <c r="AF95"/>
      <c r="AG95"/>
      <c r="AH95"/>
      <c r="AJ95"/>
      <c r="AK95"/>
      <c r="AL95"/>
      <c r="AM95"/>
      <c r="AN95"/>
      <c r="AO95"/>
      <c r="AP95"/>
    </row>
    <row r="96" spans="1:42" x14ac:dyDescent="0.3">
      <c r="A96" t="s">
        <v>120</v>
      </c>
      <c r="B96" s="6">
        <v>264</v>
      </c>
      <c r="C96" t="s">
        <v>375</v>
      </c>
      <c r="D96" t="s">
        <v>375</v>
      </c>
      <c r="E96" t="str">
        <f>VLOOKUP(Table1[[#This Row],[Code]], [1]Basque!$1:$1048576, 4, 0)</f>
        <v>esku</v>
      </c>
      <c r="F96" s="74">
        <v>0.66700000000000004</v>
      </c>
      <c r="G96" s="5">
        <v>6.7169999999999996</v>
      </c>
      <c r="H96" s="5">
        <v>0.24229218899999999</v>
      </c>
      <c r="I96" s="5">
        <v>96</v>
      </c>
      <c r="J96" s="5">
        <v>2.17</v>
      </c>
      <c r="K96" t="s">
        <v>1286</v>
      </c>
      <c r="L96" s="5">
        <f xml:space="preserve"> 1 - Table1[[#This Row],[Phon_Similarity]]</f>
        <v>0.49090909090909096</v>
      </c>
      <c r="M96" s="5">
        <f xml:space="preserve"> 1 -Table1[[#This Row],[Orth_Similarity]]</f>
        <v>0.49090909090909096</v>
      </c>
      <c r="N96" s="6">
        <v>4</v>
      </c>
      <c r="O96" s="6">
        <v>4</v>
      </c>
      <c r="P96" s="6">
        <v>3</v>
      </c>
      <c r="Q96" s="5">
        <v>5.3698079999999999</v>
      </c>
      <c r="R96" s="5" t="s">
        <v>1418</v>
      </c>
      <c r="S96" t="s">
        <v>852</v>
      </c>
      <c r="T96" t="s">
        <v>1095</v>
      </c>
      <c r="U96" s="6">
        <v>4</v>
      </c>
      <c r="V96" s="6">
        <v>4</v>
      </c>
      <c r="W96" s="6" t="s">
        <v>22</v>
      </c>
      <c r="X96" s="5">
        <v>5.4366192566250202</v>
      </c>
      <c r="Y96" s="5">
        <v>0.50909090909090904</v>
      </c>
      <c r="Z96" s="5">
        <v>0.50909090909090904</v>
      </c>
      <c r="AA96" s="6">
        <v>2</v>
      </c>
      <c r="AF96"/>
      <c r="AG96"/>
      <c r="AH96"/>
      <c r="AJ96"/>
      <c r="AK96"/>
      <c r="AL96"/>
      <c r="AM96"/>
      <c r="AN96"/>
      <c r="AO96"/>
      <c r="AP96"/>
    </row>
    <row r="97" spans="1:42" x14ac:dyDescent="0.3">
      <c r="A97" t="s">
        <v>119</v>
      </c>
      <c r="B97" s="6">
        <v>260</v>
      </c>
      <c r="C97" t="s">
        <v>374</v>
      </c>
      <c r="D97" t="s">
        <v>374</v>
      </c>
      <c r="E97" t="str">
        <f>VLOOKUP(Table1[[#This Row],[Code]], [1]Basque!$1:$1048576, 4, 0)</f>
        <v>irla</v>
      </c>
      <c r="F97" s="73">
        <v>1</v>
      </c>
      <c r="G97" s="5">
        <v>6.15</v>
      </c>
      <c r="H97" s="5">
        <v>0</v>
      </c>
      <c r="I97" s="5">
        <v>100</v>
      </c>
      <c r="J97" s="5">
        <v>2.85</v>
      </c>
      <c r="K97" t="s">
        <v>1293</v>
      </c>
      <c r="L97" s="5">
        <f xml:space="preserve"> 1 - Table1[[#This Row],[Phon_Similarity]]</f>
        <v>0.496</v>
      </c>
      <c r="M97" s="5">
        <f xml:space="preserve"> 1 -Table1[[#This Row],[Orth_Similarity]]</f>
        <v>0.7407407407407407</v>
      </c>
      <c r="N97" s="6">
        <v>4</v>
      </c>
      <c r="O97" s="6">
        <v>4</v>
      </c>
      <c r="P97" s="6">
        <v>2</v>
      </c>
      <c r="Q97" s="5">
        <v>5.1875299999999998</v>
      </c>
      <c r="R97" s="5"/>
      <c r="S97" t="s">
        <v>851</v>
      </c>
      <c r="T97" t="s">
        <v>1094</v>
      </c>
      <c r="U97" s="6">
        <v>6</v>
      </c>
      <c r="V97" s="6">
        <v>5</v>
      </c>
      <c r="W97" s="6" t="s">
        <v>23</v>
      </c>
      <c r="X97" s="5">
        <v>4.964337096934254</v>
      </c>
      <c r="Y97" s="5">
        <v>0.504</v>
      </c>
      <c r="Z97" s="5">
        <v>0.2592592592592593</v>
      </c>
      <c r="AA97" s="6">
        <v>2</v>
      </c>
      <c r="AF97"/>
      <c r="AG97"/>
      <c r="AH97"/>
      <c r="AJ97"/>
      <c r="AK97"/>
      <c r="AL97"/>
      <c r="AM97"/>
      <c r="AN97"/>
      <c r="AO97"/>
      <c r="AP97"/>
    </row>
    <row r="98" spans="1:42" x14ac:dyDescent="0.3">
      <c r="A98" t="s">
        <v>147</v>
      </c>
      <c r="B98" s="6">
        <v>320</v>
      </c>
      <c r="C98" t="s">
        <v>402</v>
      </c>
      <c r="D98" t="s">
        <v>645</v>
      </c>
      <c r="E98" t="str">
        <f>VLOOKUP(Table1[[#This Row],[Code]], [1]Basque!$1:$1048576, 4, 0)</f>
        <v>eliza</v>
      </c>
      <c r="F98" s="74">
        <v>0.83299999999999996</v>
      </c>
      <c r="G98" s="5">
        <v>5.7130000000000001</v>
      </c>
      <c r="H98" s="5">
        <v>0.24793583799999999</v>
      </c>
      <c r="I98" s="5">
        <v>95.87628866</v>
      </c>
      <c r="J98" s="5">
        <v>2.88</v>
      </c>
      <c r="K98" t="s">
        <v>1293</v>
      </c>
      <c r="L98" s="5">
        <f xml:space="preserve"> 1 - Table1[[#This Row],[Phon_Similarity]]</f>
        <v>0.496</v>
      </c>
      <c r="M98" s="5">
        <f xml:space="preserve"> 1 -Table1[[#This Row],[Orth_Similarity]]</f>
        <v>0.29859154929577469</v>
      </c>
      <c r="N98" s="6">
        <v>7</v>
      </c>
      <c r="O98" s="6">
        <v>7</v>
      </c>
      <c r="P98" s="6">
        <v>2</v>
      </c>
      <c r="Q98" s="5">
        <v>5.3351069999999998</v>
      </c>
      <c r="R98" s="5"/>
      <c r="S98" t="s">
        <v>878</v>
      </c>
      <c r="T98" t="s">
        <v>1121</v>
      </c>
      <c r="U98" s="6">
        <v>6</v>
      </c>
      <c r="V98" s="6">
        <v>3</v>
      </c>
      <c r="W98" s="6" t="s">
        <v>22</v>
      </c>
      <c r="X98" s="5">
        <v>5.0194414838122992</v>
      </c>
      <c r="Y98" s="5">
        <v>0.504</v>
      </c>
      <c r="Z98" s="5">
        <v>0.70140845070422531</v>
      </c>
      <c r="AA98" s="6">
        <v>7</v>
      </c>
      <c r="AF98"/>
      <c r="AG98"/>
      <c r="AH98"/>
      <c r="AJ98"/>
      <c r="AK98"/>
      <c r="AL98"/>
      <c r="AM98"/>
      <c r="AN98"/>
      <c r="AO98"/>
      <c r="AP98"/>
    </row>
    <row r="99" spans="1:42" x14ac:dyDescent="0.3">
      <c r="A99" t="s">
        <v>164</v>
      </c>
      <c r="B99" s="6">
        <v>377</v>
      </c>
      <c r="C99" t="s">
        <v>419</v>
      </c>
      <c r="D99" t="s">
        <v>659</v>
      </c>
      <c r="E99" s="15" t="e">
        <f>VLOOKUP(Table1[[#This Row],[Code]], [1]Basque!$1:$1048576, 4, 0)</f>
        <v>#N/A</v>
      </c>
      <c r="F99" s="73">
        <v>0.2</v>
      </c>
      <c r="G99" s="68">
        <v>0</v>
      </c>
      <c r="H99" s="5">
        <v>0</v>
      </c>
      <c r="I99" s="5">
        <v>100</v>
      </c>
      <c r="J99" s="5">
        <v>2.5</v>
      </c>
      <c r="K99" t="s">
        <v>1291</v>
      </c>
      <c r="L99" s="5">
        <f xml:space="preserve"> 1 - Table1[[#This Row],[Phon_Similarity]]</f>
        <v>0.5</v>
      </c>
      <c r="M99" s="5">
        <f xml:space="preserve"> 1 -Table1[[#This Row],[Orth_Similarity]]</f>
        <v>0.65531914893617016</v>
      </c>
      <c r="N99" s="6">
        <v>6</v>
      </c>
      <c r="O99" s="6">
        <v>6</v>
      </c>
      <c r="P99" s="6">
        <v>2</v>
      </c>
      <c r="Q99" s="5">
        <v>2.0915539999999999</v>
      </c>
      <c r="R99" s="5"/>
      <c r="S99" t="s">
        <v>895</v>
      </c>
      <c r="T99" t="s">
        <v>1138</v>
      </c>
      <c r="U99" s="6">
        <v>3</v>
      </c>
      <c r="V99" s="6">
        <v>3</v>
      </c>
      <c r="W99" s="6" t="s">
        <v>22</v>
      </c>
      <c r="X99" s="5">
        <v>2.9287318365867443</v>
      </c>
      <c r="Y99" s="5">
        <v>0.5</v>
      </c>
      <c r="Z99" s="5">
        <v>0.34468085106382984</v>
      </c>
      <c r="AA99" s="6">
        <v>4</v>
      </c>
      <c r="AF99"/>
      <c r="AG99"/>
      <c r="AH99"/>
      <c r="AJ99"/>
      <c r="AK99"/>
      <c r="AL99"/>
      <c r="AM99"/>
      <c r="AN99"/>
      <c r="AO99"/>
      <c r="AP99"/>
    </row>
    <row r="100" spans="1:42" x14ac:dyDescent="0.3">
      <c r="A100" t="s">
        <v>285</v>
      </c>
      <c r="B100" s="6">
        <v>68</v>
      </c>
      <c r="C100" t="s">
        <v>540</v>
      </c>
      <c r="D100" t="s">
        <v>769</v>
      </c>
      <c r="E100" t="str">
        <f>VLOOKUP(Table1[[#This Row],[Code]], [1]Basque!$1:$1048576, 4, 0)</f>
        <v>kandel</v>
      </c>
      <c r="F100" s="74">
        <v>0.66700000000000004</v>
      </c>
      <c r="G100" s="5">
        <v>5.7809999999999997</v>
      </c>
      <c r="H100" s="5">
        <v>0</v>
      </c>
      <c r="I100" s="5">
        <v>100</v>
      </c>
      <c r="J100" s="5">
        <v>1.96</v>
      </c>
      <c r="K100" t="s">
        <v>1290</v>
      </c>
      <c r="L100" s="5">
        <f xml:space="preserve"> 1 - Table1[[#This Row],[Phon_Similarity]]</f>
        <v>0.50196078431372548</v>
      </c>
      <c r="M100" s="5">
        <f xml:space="preserve"> 1 -Table1[[#This Row],[Orth_Similarity]]</f>
        <v>0.48888888888888893</v>
      </c>
      <c r="N100" s="6">
        <v>4</v>
      </c>
      <c r="O100" s="6">
        <v>4</v>
      </c>
      <c r="P100" s="6">
        <v>2</v>
      </c>
      <c r="Q100" s="5">
        <v>4.2966009999999999</v>
      </c>
      <c r="R100" s="5" t="s">
        <v>1418</v>
      </c>
      <c r="S100" t="s">
        <v>1007</v>
      </c>
      <c r="T100" t="s">
        <v>1255</v>
      </c>
      <c r="U100" s="6">
        <v>6</v>
      </c>
      <c r="V100" s="6">
        <v>5</v>
      </c>
      <c r="W100" s="6" t="s">
        <v>23</v>
      </c>
      <c r="X100" s="5">
        <v>3.7859937791259064</v>
      </c>
      <c r="Y100" s="5">
        <v>0.49803921568627452</v>
      </c>
      <c r="Z100" s="5">
        <v>0.51111111111111107</v>
      </c>
      <c r="AA100" s="6">
        <v>5</v>
      </c>
      <c r="AF100"/>
      <c r="AG100"/>
      <c r="AH100"/>
      <c r="AJ100"/>
      <c r="AK100"/>
      <c r="AL100"/>
      <c r="AM100"/>
      <c r="AN100"/>
      <c r="AO100"/>
      <c r="AP100"/>
    </row>
    <row r="101" spans="1:42" x14ac:dyDescent="0.3">
      <c r="A101" t="s">
        <v>258</v>
      </c>
      <c r="B101" s="6">
        <v>612</v>
      </c>
      <c r="C101" t="s">
        <v>513</v>
      </c>
      <c r="D101" t="s">
        <v>745</v>
      </c>
      <c r="E101" t="str">
        <f>VLOOKUP(Table1[[#This Row],[Code]], [1]Basque!$1:$1048576, 4, 0)</f>
        <v>igel</v>
      </c>
      <c r="F101" s="74">
        <v>0.66700000000000004</v>
      </c>
      <c r="G101" s="5">
        <v>6.2670000000000003</v>
      </c>
      <c r="H101" s="5">
        <v>0</v>
      </c>
      <c r="I101" s="5">
        <v>100</v>
      </c>
      <c r="J101" s="5">
        <v>2.67</v>
      </c>
      <c r="K101" t="s">
        <v>1285</v>
      </c>
      <c r="L101" s="5">
        <f xml:space="preserve"> 1 - Table1[[#This Row],[Phon_Similarity]]</f>
        <v>0.50980392156862697</v>
      </c>
      <c r="M101" s="5">
        <f xml:space="preserve"> 1 -Table1[[#This Row],[Orth_Similarity]]</f>
        <v>0.5</v>
      </c>
      <c r="N101" s="6">
        <v>4</v>
      </c>
      <c r="O101" s="6">
        <v>4</v>
      </c>
      <c r="P101" s="6">
        <v>2</v>
      </c>
      <c r="Q101" s="5">
        <v>3.934196</v>
      </c>
      <c r="R101" s="5" t="s">
        <v>1418</v>
      </c>
      <c r="S101" t="s">
        <v>984</v>
      </c>
      <c r="T101" t="s">
        <v>1229</v>
      </c>
      <c r="U101" s="6">
        <v>4</v>
      </c>
      <c r="V101" s="6">
        <v>4</v>
      </c>
      <c r="W101" s="6" t="s">
        <v>22</v>
      </c>
      <c r="X101" s="5">
        <v>4.0484969179184196</v>
      </c>
      <c r="Y101" s="5">
        <v>0.49019607843137297</v>
      </c>
      <c r="Z101" s="5">
        <v>0.5</v>
      </c>
      <c r="AA101" s="6">
        <v>4</v>
      </c>
      <c r="AF101"/>
      <c r="AG101"/>
      <c r="AH101"/>
      <c r="AJ101"/>
      <c r="AK101"/>
      <c r="AL101"/>
      <c r="AM101"/>
      <c r="AN101"/>
      <c r="AO101"/>
      <c r="AP101"/>
    </row>
    <row r="102" spans="1:42" x14ac:dyDescent="0.3">
      <c r="A102" t="s">
        <v>116</v>
      </c>
      <c r="B102" s="6">
        <v>253</v>
      </c>
      <c r="C102" t="s">
        <v>371</v>
      </c>
      <c r="D102" t="s">
        <v>618</v>
      </c>
      <c r="E102" t="str">
        <f>VLOOKUP(Table1[[#This Row],[Code]], [1]Basque!$1:$1048576, 4, 0)</f>
        <v>koro</v>
      </c>
      <c r="F102" s="73">
        <v>1</v>
      </c>
      <c r="G102" s="5">
        <v>5.3339999999999996</v>
      </c>
      <c r="H102" s="5">
        <v>0.28454568299999999</v>
      </c>
      <c r="I102" s="5">
        <v>95.959595960000001</v>
      </c>
      <c r="J102" s="5">
        <v>3.151515152</v>
      </c>
      <c r="K102" t="s">
        <v>1410</v>
      </c>
      <c r="L102" s="5">
        <f xml:space="preserve"> 1 - Table1[[#This Row],[Phon_Similarity]]</f>
        <v>0.51282051282051277</v>
      </c>
      <c r="M102" s="5">
        <f xml:space="preserve"> 1 -Table1[[#This Row],[Orth_Similarity]]</f>
        <v>0.72340425531914898</v>
      </c>
      <c r="N102" s="6">
        <v>4</v>
      </c>
      <c r="O102" s="6">
        <v>4</v>
      </c>
      <c r="P102" s="6">
        <v>3</v>
      </c>
      <c r="Q102" s="5">
        <v>4.4132280000000002</v>
      </c>
      <c r="R102" s="5"/>
      <c r="S102" t="s">
        <v>848</v>
      </c>
      <c r="T102" t="s">
        <v>1091</v>
      </c>
      <c r="U102" s="6">
        <v>5</v>
      </c>
      <c r="V102" s="6">
        <v>4</v>
      </c>
      <c r="W102" s="6" t="s">
        <v>23</v>
      </c>
      <c r="X102" s="5">
        <v>4.2412902334286553</v>
      </c>
      <c r="Y102" s="5">
        <v>0.48717948717948723</v>
      </c>
      <c r="Z102" s="5">
        <v>0.27659574468085102</v>
      </c>
      <c r="AA102" s="6">
        <v>3</v>
      </c>
      <c r="AF102"/>
      <c r="AG102"/>
      <c r="AH102"/>
      <c r="AJ102"/>
      <c r="AK102"/>
      <c r="AL102"/>
      <c r="AM102"/>
      <c r="AN102"/>
      <c r="AO102"/>
      <c r="AP102"/>
    </row>
    <row r="103" spans="1:42" x14ac:dyDescent="0.3">
      <c r="A103" t="s">
        <v>278</v>
      </c>
      <c r="B103" s="6">
        <v>664</v>
      </c>
      <c r="C103" t="s">
        <v>533</v>
      </c>
      <c r="D103" t="s">
        <v>764</v>
      </c>
      <c r="E103" s="15" t="e">
        <f>VLOOKUP(Table1[[#This Row],[Code]], [1]Basque!$1:$1048576, 4, 0)</f>
        <v>#N/A</v>
      </c>
      <c r="F103" s="73">
        <v>0.5</v>
      </c>
      <c r="G103" s="68">
        <v>0</v>
      </c>
      <c r="H103" s="5">
        <v>0</v>
      </c>
      <c r="I103" s="5">
        <v>100</v>
      </c>
      <c r="J103" s="5">
        <v>2.17</v>
      </c>
      <c r="K103" t="s">
        <v>1291</v>
      </c>
      <c r="L103" s="5">
        <f xml:space="preserve"> 1 - Table1[[#This Row],[Phon_Similarity]]</f>
        <v>0.5180327868852459</v>
      </c>
      <c r="M103" s="5">
        <f xml:space="preserve"> 1 -Table1[[#This Row],[Orth_Similarity]]</f>
        <v>0.56470588235294117</v>
      </c>
      <c r="N103" s="6">
        <v>7</v>
      </c>
      <c r="O103" s="6">
        <v>7</v>
      </c>
      <c r="P103" s="6">
        <v>3</v>
      </c>
      <c r="Q103" s="5">
        <v>4.4944940000000004</v>
      </c>
      <c r="R103" s="5" t="s">
        <v>1418</v>
      </c>
      <c r="S103" t="s">
        <v>1001</v>
      </c>
      <c r="T103" t="s">
        <v>1248</v>
      </c>
      <c r="U103" s="6">
        <v>5</v>
      </c>
      <c r="V103" s="6">
        <v>4</v>
      </c>
      <c r="W103" s="6" t="s">
        <v>22</v>
      </c>
      <c r="X103" s="5">
        <v>4.8472587937595346</v>
      </c>
      <c r="Y103" s="5">
        <v>0.4819672131147541</v>
      </c>
      <c r="Z103" s="5">
        <v>0.43529411764705883</v>
      </c>
      <c r="AA103" s="6">
        <v>6</v>
      </c>
      <c r="AF103"/>
      <c r="AG103"/>
      <c r="AH103"/>
      <c r="AJ103"/>
      <c r="AK103"/>
      <c r="AL103"/>
      <c r="AM103"/>
      <c r="AN103"/>
      <c r="AO103"/>
      <c r="AP103"/>
    </row>
    <row r="104" spans="1:42" x14ac:dyDescent="0.3">
      <c r="A104" t="s">
        <v>167</v>
      </c>
      <c r="B104" s="6">
        <v>381</v>
      </c>
      <c r="C104" t="s">
        <v>422</v>
      </c>
      <c r="D104" t="s">
        <v>662</v>
      </c>
      <c r="E104" t="str">
        <f>VLOOKUP(Table1[[#This Row],[Code]], [1]Basque!$1:$1048576, 4, 0)</f>
        <v>marrubi</v>
      </c>
      <c r="F104" s="73">
        <v>0</v>
      </c>
      <c r="G104" s="5">
        <v>6.67</v>
      </c>
      <c r="H104" s="5">
        <v>0</v>
      </c>
      <c r="I104" s="5">
        <v>100</v>
      </c>
      <c r="J104" s="5">
        <v>2.17</v>
      </c>
      <c r="K104" t="s">
        <v>1288</v>
      </c>
      <c r="L104" s="5">
        <f xml:space="preserve"> 1 - Table1[[#This Row],[Phon_Similarity]]</f>
        <v>0.51830985915492955</v>
      </c>
      <c r="M104" s="5">
        <f xml:space="preserve"> 1 -Table1[[#This Row],[Orth_Similarity]]</f>
        <v>0.46913580246913578</v>
      </c>
      <c r="N104" s="6">
        <v>5</v>
      </c>
      <c r="O104" s="6">
        <v>5</v>
      </c>
      <c r="P104" s="6">
        <v>2</v>
      </c>
      <c r="Q104" s="5">
        <v>3.2999390000000002</v>
      </c>
      <c r="R104" s="5" t="s">
        <v>1418</v>
      </c>
      <c r="S104" t="s">
        <v>898</v>
      </c>
      <c r="T104" t="s">
        <v>1141</v>
      </c>
      <c r="U104" s="6">
        <v>10</v>
      </c>
      <c r="V104" s="6">
        <v>8</v>
      </c>
      <c r="W104" s="6" t="s">
        <v>24</v>
      </c>
      <c r="X104" s="5">
        <v>3.986437969482445</v>
      </c>
      <c r="Y104" s="5">
        <v>0.48169014084507045</v>
      </c>
      <c r="Z104" s="5">
        <v>0.53086419753086422</v>
      </c>
      <c r="AA104" s="6">
        <v>8</v>
      </c>
      <c r="AF104"/>
      <c r="AG104"/>
      <c r="AH104"/>
      <c r="AJ104"/>
      <c r="AK104"/>
      <c r="AL104"/>
      <c r="AM104"/>
      <c r="AN104"/>
      <c r="AO104"/>
      <c r="AP104"/>
    </row>
    <row r="105" spans="1:42" x14ac:dyDescent="0.3">
      <c r="A105" t="s">
        <v>309</v>
      </c>
      <c r="B105" s="6">
        <v>91</v>
      </c>
      <c r="C105" t="s">
        <v>564</v>
      </c>
      <c r="D105" t="s">
        <v>790</v>
      </c>
      <c r="E105" t="str">
        <f>VLOOKUP(Table1[[#This Row],[Code]], [1]Basque!$1:$1048576, 4, 0)</f>
        <v>aho</v>
      </c>
      <c r="F105" s="74">
        <v>0.66700000000000004</v>
      </c>
      <c r="G105" s="5">
        <v>6.2229999999999999</v>
      </c>
      <c r="H105" s="5">
        <v>0.38550036300000001</v>
      </c>
      <c r="I105" s="5">
        <v>93.939393940000002</v>
      </c>
      <c r="J105" s="5">
        <v>2.6969696970000001</v>
      </c>
      <c r="K105" t="s">
        <v>1286</v>
      </c>
      <c r="L105" s="5">
        <f xml:space="preserve"> 1 - Table1[[#This Row],[Phon_Similarity]]</f>
        <v>0.52</v>
      </c>
      <c r="M105" s="5">
        <f xml:space="preserve"> 1 -Table1[[#This Row],[Orth_Similarity]]</f>
        <v>0.58723404255319145</v>
      </c>
      <c r="N105" s="6">
        <v>4</v>
      </c>
      <c r="O105" s="6">
        <v>4</v>
      </c>
      <c r="P105" s="6">
        <v>2</v>
      </c>
      <c r="Q105" s="5">
        <v>4.9355070000000003</v>
      </c>
      <c r="R105" s="5"/>
      <c r="S105" t="s">
        <v>1029</v>
      </c>
      <c r="T105" t="s">
        <v>1279</v>
      </c>
      <c r="U105" s="6">
        <v>5</v>
      </c>
      <c r="V105" s="6">
        <v>3</v>
      </c>
      <c r="W105" s="6" t="s">
        <v>22</v>
      </c>
      <c r="X105" s="5">
        <v>4.7804549582058877</v>
      </c>
      <c r="Y105" s="5">
        <v>0.48</v>
      </c>
      <c r="Z105" s="5">
        <v>0.41276595744680855</v>
      </c>
      <c r="AA105" s="6">
        <v>4</v>
      </c>
      <c r="AF105"/>
      <c r="AG105"/>
      <c r="AH105"/>
      <c r="AJ105"/>
      <c r="AK105"/>
      <c r="AL105"/>
      <c r="AM105"/>
      <c r="AN105"/>
      <c r="AO105"/>
      <c r="AP105"/>
    </row>
    <row r="106" spans="1:42" x14ac:dyDescent="0.3">
      <c r="A106" t="s">
        <v>100</v>
      </c>
      <c r="B106" s="6">
        <v>19</v>
      </c>
      <c r="C106" t="s">
        <v>355</v>
      </c>
      <c r="D106" t="s">
        <v>605</v>
      </c>
      <c r="E106" t="str">
        <f>VLOOKUP(Table1[[#This Row],[Code]], [1]Basque!$1:$1048576, 4, 0)</f>
        <v>indioilar</v>
      </c>
      <c r="F106" s="74">
        <v>0.66700000000000004</v>
      </c>
      <c r="G106" s="5">
        <v>4.6580000000000004</v>
      </c>
      <c r="H106" s="5">
        <v>0.34297895099999998</v>
      </c>
      <c r="I106" s="5">
        <v>94.845360819999996</v>
      </c>
      <c r="J106" s="5">
        <v>3.51</v>
      </c>
      <c r="K106" t="s">
        <v>1285</v>
      </c>
      <c r="L106" s="5">
        <f xml:space="preserve"> 1 - Table1[[#This Row],[Phon_Similarity]]</f>
        <v>0.53333333333333333</v>
      </c>
      <c r="M106" s="5">
        <f xml:space="preserve"> 1 -Table1[[#This Row],[Orth_Similarity]]</f>
        <v>0.38400000000000001</v>
      </c>
      <c r="N106" s="6">
        <v>4</v>
      </c>
      <c r="O106" s="6">
        <v>4</v>
      </c>
      <c r="P106" s="6">
        <v>3</v>
      </c>
      <c r="Q106" s="5">
        <v>4.1520530000000004</v>
      </c>
      <c r="R106" s="5"/>
      <c r="S106" t="s">
        <v>832</v>
      </c>
      <c r="T106" t="s">
        <v>1075</v>
      </c>
      <c r="U106" s="6">
        <v>6</v>
      </c>
      <c r="V106" s="6">
        <v>4</v>
      </c>
      <c r="W106" s="6" t="s">
        <v>23</v>
      </c>
      <c r="X106" s="5">
        <v>4.3514502758133</v>
      </c>
      <c r="Y106" s="5">
        <v>0.46666666666666667</v>
      </c>
      <c r="Z106" s="5">
        <v>0.61599999999999999</v>
      </c>
      <c r="AA106" s="6">
        <v>6</v>
      </c>
      <c r="AF106"/>
      <c r="AG106"/>
      <c r="AH106"/>
      <c r="AJ106"/>
      <c r="AK106"/>
      <c r="AL106"/>
      <c r="AM106"/>
      <c r="AN106"/>
      <c r="AO106"/>
      <c r="AP106"/>
    </row>
    <row r="107" spans="1:42" x14ac:dyDescent="0.3">
      <c r="A107" t="s">
        <v>76</v>
      </c>
      <c r="B107" s="6">
        <v>141</v>
      </c>
      <c r="C107" t="s">
        <v>331</v>
      </c>
      <c r="D107" t="s">
        <v>584</v>
      </c>
      <c r="E107" t="str">
        <f>VLOOKUP(Table1[[#This Row],[Code]], [1]Basque!$1:$1048576, 4, 0)</f>
        <v>eguzki-lore</v>
      </c>
      <c r="F107" s="73">
        <v>0.5</v>
      </c>
      <c r="G107" s="68">
        <v>0</v>
      </c>
      <c r="H107" s="5">
        <v>0</v>
      </c>
      <c r="I107" s="5">
        <v>100</v>
      </c>
      <c r="J107" s="5">
        <v>2.83</v>
      </c>
      <c r="K107" t="s">
        <v>983</v>
      </c>
      <c r="L107" s="5">
        <f xml:space="preserve"> 1 - Table1[[#This Row],[Phon_Similarity]]</f>
        <v>0.53506493506493502</v>
      </c>
      <c r="M107" s="5">
        <f xml:space="preserve"> 1 -Table1[[#This Row],[Orth_Similarity]]</f>
        <v>0.39523809523809517</v>
      </c>
      <c r="N107" s="6">
        <v>7</v>
      </c>
      <c r="O107" s="6">
        <v>7</v>
      </c>
      <c r="P107" s="6">
        <v>2</v>
      </c>
      <c r="Q107" s="5">
        <v>3.3104209999999998</v>
      </c>
      <c r="R107" s="5"/>
      <c r="S107" t="s">
        <v>808</v>
      </c>
      <c r="T107" t="s">
        <v>1051</v>
      </c>
      <c r="U107" s="6">
        <v>9</v>
      </c>
      <c r="V107" s="6">
        <v>7</v>
      </c>
      <c r="W107" s="6" t="s">
        <v>24</v>
      </c>
      <c r="X107" s="5">
        <v>3.5536709909140196</v>
      </c>
      <c r="Y107" s="5">
        <v>0.46493506493506498</v>
      </c>
      <c r="Z107" s="5">
        <v>0.60476190476190483</v>
      </c>
      <c r="AA107" s="6">
        <v>8</v>
      </c>
      <c r="AF107"/>
      <c r="AG107"/>
      <c r="AH107"/>
      <c r="AJ107"/>
      <c r="AK107"/>
      <c r="AL107"/>
      <c r="AM107"/>
      <c r="AN107"/>
      <c r="AO107"/>
      <c r="AP107"/>
    </row>
    <row r="108" spans="1:42" x14ac:dyDescent="0.3">
      <c r="A108" t="s">
        <v>138</v>
      </c>
      <c r="B108" s="6">
        <v>301</v>
      </c>
      <c r="C108" t="s">
        <v>393</v>
      </c>
      <c r="D108" t="s">
        <v>637</v>
      </c>
      <c r="E108" t="str">
        <f>VLOOKUP(Table1[[#This Row],[Code]], [1]Basque!$1:$1048576, 4, 0)</f>
        <v>ezpata</v>
      </c>
      <c r="F108" s="73">
        <v>0.4</v>
      </c>
      <c r="G108" s="5">
        <v>5.8760000000000003</v>
      </c>
      <c r="H108" s="5">
        <v>0</v>
      </c>
      <c r="I108" s="5">
        <v>100</v>
      </c>
      <c r="J108" s="5">
        <v>1.9898989899999999</v>
      </c>
      <c r="K108" t="s">
        <v>1290</v>
      </c>
      <c r="L108" s="5">
        <f xml:space="preserve"> 1 - Table1[[#This Row],[Phon_Similarity]]</f>
        <v>0.53617021276595744</v>
      </c>
      <c r="M108" s="5">
        <f xml:space="preserve"> 1 -Table1[[#This Row],[Orth_Similarity]]</f>
        <v>0.52631578947368418</v>
      </c>
      <c r="N108" s="6">
        <v>6</v>
      </c>
      <c r="O108" s="6">
        <v>6</v>
      </c>
      <c r="P108" s="6">
        <v>3</v>
      </c>
      <c r="Q108" s="5">
        <v>4.5944839999999996</v>
      </c>
      <c r="R108" s="5"/>
      <c r="S108" t="s">
        <v>869</v>
      </c>
      <c r="T108" t="s">
        <v>1112</v>
      </c>
      <c r="U108" s="6">
        <v>5</v>
      </c>
      <c r="V108" s="6">
        <v>3</v>
      </c>
      <c r="W108" s="6" t="s">
        <v>22</v>
      </c>
      <c r="X108" s="5">
        <v>4.0922837641817225</v>
      </c>
      <c r="Y108" s="5">
        <v>0.46382978723404256</v>
      </c>
      <c r="Z108" s="5">
        <v>0.47368421052631582</v>
      </c>
      <c r="AA108" s="6">
        <v>5</v>
      </c>
      <c r="AF108"/>
      <c r="AG108"/>
      <c r="AH108"/>
      <c r="AJ108"/>
      <c r="AK108"/>
      <c r="AL108"/>
      <c r="AM108"/>
      <c r="AN108"/>
      <c r="AO108"/>
      <c r="AP108"/>
    </row>
    <row r="109" spans="1:42" x14ac:dyDescent="0.3">
      <c r="A109" t="s">
        <v>226</v>
      </c>
      <c r="B109" s="6">
        <v>531</v>
      </c>
      <c r="C109" t="s">
        <v>481</v>
      </c>
      <c r="D109" t="s">
        <v>715</v>
      </c>
      <c r="E109" t="str">
        <f>VLOOKUP(Table1[[#This Row],[Code]], [1]Basque!$1:$1048576, 4, 0)</f>
        <v>dortoka</v>
      </c>
      <c r="F109" s="74">
        <v>0.66700000000000004</v>
      </c>
      <c r="G109" s="5">
        <v>6.4180000000000001</v>
      </c>
      <c r="H109" s="5">
        <v>0</v>
      </c>
      <c r="I109" s="5">
        <v>100</v>
      </c>
      <c r="J109" s="5">
        <v>3</v>
      </c>
      <c r="K109" t="s">
        <v>1285</v>
      </c>
      <c r="L109" s="5">
        <f xml:space="preserve"> 1 - Table1[[#This Row],[Phon_Similarity]]</f>
        <v>0.53770491803278686</v>
      </c>
      <c r="M109" s="5">
        <f xml:space="preserve"> 1 -Table1[[#This Row],[Orth_Similarity]]</f>
        <v>0.71549295774647892</v>
      </c>
      <c r="N109" s="6">
        <v>7</v>
      </c>
      <c r="O109" s="6">
        <v>7</v>
      </c>
      <c r="P109" s="6">
        <v>3</v>
      </c>
      <c r="Q109" s="5">
        <v>3.7508189999999999</v>
      </c>
      <c r="R109" s="5"/>
      <c r="S109" t="s">
        <v>954</v>
      </c>
      <c r="T109" t="s">
        <v>1198</v>
      </c>
      <c r="U109" s="6">
        <v>6</v>
      </c>
      <c r="V109" s="6">
        <v>4</v>
      </c>
      <c r="W109" s="6" t="s">
        <v>23</v>
      </c>
      <c r="X109" s="5">
        <v>3.6402183983447589</v>
      </c>
      <c r="Y109" s="5">
        <v>0.46229508196721314</v>
      </c>
      <c r="Z109" s="5">
        <v>0.28450704225352108</v>
      </c>
      <c r="AA109" s="6">
        <v>4</v>
      </c>
      <c r="AF109"/>
      <c r="AG109"/>
      <c r="AH109"/>
      <c r="AJ109"/>
      <c r="AK109"/>
      <c r="AL109"/>
      <c r="AM109"/>
      <c r="AN109"/>
      <c r="AO109"/>
      <c r="AP109"/>
    </row>
    <row r="110" spans="1:42" x14ac:dyDescent="0.3">
      <c r="A110" t="s">
        <v>123</v>
      </c>
      <c r="B110" s="6">
        <v>267</v>
      </c>
      <c r="C110" t="s">
        <v>378</v>
      </c>
      <c r="D110" t="s">
        <v>622</v>
      </c>
      <c r="E110" t="str">
        <f>VLOOKUP(Table1[[#This Row],[Code]], [1]Basque!$1:$1048576, 4, 0)</f>
        <v>korapilo</v>
      </c>
      <c r="F110" s="74">
        <v>0.66700000000000004</v>
      </c>
      <c r="G110" s="5">
        <v>5.2309999999999999</v>
      </c>
      <c r="H110" s="5">
        <v>0.57421419200000001</v>
      </c>
      <c r="I110" s="5">
        <v>91</v>
      </c>
      <c r="J110" s="5">
        <v>1.63</v>
      </c>
      <c r="K110" t="s">
        <v>1290</v>
      </c>
      <c r="L110" s="5">
        <f xml:space="preserve"> 1 - Table1[[#This Row],[Phon_Similarity]]</f>
        <v>0.54054054054054057</v>
      </c>
      <c r="M110" s="5">
        <f xml:space="preserve"> 1 -Table1[[#This Row],[Orth_Similarity]]</f>
        <v>0.65454545454545454</v>
      </c>
      <c r="N110" s="6">
        <v>4</v>
      </c>
      <c r="O110" s="6">
        <v>4</v>
      </c>
      <c r="P110" s="6">
        <v>3</v>
      </c>
      <c r="Q110" s="5">
        <v>3.8573400000000002</v>
      </c>
      <c r="R110" s="5"/>
      <c r="S110" t="s">
        <v>855</v>
      </c>
      <c r="T110" t="s">
        <v>1098</v>
      </c>
      <c r="U110" s="6">
        <v>4</v>
      </c>
      <c r="V110" s="6">
        <v>3</v>
      </c>
      <c r="W110" s="6" t="s">
        <v>22</v>
      </c>
      <c r="X110" s="5">
        <v>3.7422308905292985</v>
      </c>
      <c r="Y110" s="5">
        <v>0.45945945945945943</v>
      </c>
      <c r="Z110" s="5">
        <v>0.34545454545454546</v>
      </c>
      <c r="AA110" s="6">
        <v>4</v>
      </c>
      <c r="AF110"/>
      <c r="AG110"/>
      <c r="AH110"/>
      <c r="AJ110"/>
      <c r="AK110"/>
      <c r="AL110"/>
      <c r="AM110"/>
      <c r="AN110"/>
      <c r="AO110"/>
      <c r="AP110"/>
    </row>
    <row r="111" spans="1:42" x14ac:dyDescent="0.3">
      <c r="A111" t="s">
        <v>292</v>
      </c>
      <c r="B111" s="6">
        <v>719</v>
      </c>
      <c r="C111" t="s">
        <v>547</v>
      </c>
      <c r="D111" t="s">
        <v>776</v>
      </c>
      <c r="E111" s="15" t="e">
        <f>VLOOKUP(Table1[[#This Row],[Code]], [1]Basque!$1:$1048576, 4, 0)</f>
        <v>#N/A</v>
      </c>
      <c r="F111" s="74">
        <v>0.33300000000000002</v>
      </c>
      <c r="G111" s="5">
        <v>6.3250000000000002</v>
      </c>
      <c r="H111" s="5">
        <v>0.20062232399999999</v>
      </c>
      <c r="I111" s="5">
        <v>96.875</v>
      </c>
      <c r="J111" s="5">
        <v>2.8181818179999998</v>
      </c>
      <c r="K111" t="s">
        <v>1293</v>
      </c>
      <c r="L111" s="5">
        <f xml:space="preserve"> 1 - Table1[[#This Row],[Phon_Similarity]]</f>
        <v>0.54074074074074074</v>
      </c>
      <c r="M111" s="5">
        <f xml:space="preserve"> 1 -Table1[[#This Row],[Orth_Similarity]]</f>
        <v>0.45614035087719296</v>
      </c>
      <c r="N111" s="6">
        <v>4</v>
      </c>
      <c r="O111" s="6">
        <v>4</v>
      </c>
      <c r="P111" s="6">
        <v>2</v>
      </c>
      <c r="Q111" s="5">
        <v>4.3063979999999997</v>
      </c>
      <c r="R111" s="5"/>
      <c r="S111" t="s">
        <v>1014</v>
      </c>
      <c r="T111" t="s">
        <v>1262</v>
      </c>
      <c r="U111" s="6">
        <v>8</v>
      </c>
      <c r="V111" s="6">
        <v>6</v>
      </c>
      <c r="W111" s="6" t="s">
        <v>23</v>
      </c>
      <c r="X111" s="5">
        <v>4.8129738683344101</v>
      </c>
      <c r="Y111" s="5">
        <v>0.45925925925925926</v>
      </c>
      <c r="Z111" s="5">
        <v>0.54385964912280704</v>
      </c>
      <c r="AA111" s="6">
        <v>5</v>
      </c>
      <c r="AF111"/>
      <c r="AG111"/>
      <c r="AH111"/>
      <c r="AJ111"/>
      <c r="AK111"/>
      <c r="AL111"/>
      <c r="AM111"/>
      <c r="AN111"/>
      <c r="AO111"/>
      <c r="AP111"/>
    </row>
    <row r="112" spans="1:42" x14ac:dyDescent="0.3">
      <c r="A112" t="s">
        <v>230</v>
      </c>
      <c r="B112" s="6">
        <v>536</v>
      </c>
      <c r="C112" t="s">
        <v>485</v>
      </c>
      <c r="D112" t="s">
        <v>719</v>
      </c>
      <c r="E112" t="str">
        <f>VLOOKUP(Table1[[#This Row],[Code]], [1]Basque!$1:$1048576, 4, 0)</f>
        <v>adar</v>
      </c>
      <c r="F112" s="74">
        <v>0.66700000000000004</v>
      </c>
      <c r="G112" s="5">
        <v>6.1139999999999999</v>
      </c>
      <c r="H112" s="5">
        <v>0.33494448700000001</v>
      </c>
      <c r="I112" s="5">
        <v>95</v>
      </c>
      <c r="J112" s="5">
        <v>1.898989899</v>
      </c>
      <c r="K112" t="s">
        <v>983</v>
      </c>
      <c r="L112" s="5">
        <f xml:space="preserve"> 1 - Table1[[#This Row],[Phon_Similarity]]</f>
        <v>0.54482758620689653</v>
      </c>
      <c r="M112" s="5">
        <f xml:space="preserve"> 1 -Table1[[#This Row],[Orth_Similarity]]</f>
        <v>0.54482758620689653</v>
      </c>
      <c r="N112" s="6">
        <v>4</v>
      </c>
      <c r="O112" s="6">
        <v>4</v>
      </c>
      <c r="P112" s="6">
        <v>2</v>
      </c>
      <c r="Q112" s="5">
        <v>4.4487860000000001</v>
      </c>
      <c r="R112" s="5"/>
      <c r="S112" t="s">
        <v>958</v>
      </c>
      <c r="T112" t="s">
        <v>1202</v>
      </c>
      <c r="U112" s="6">
        <v>6</v>
      </c>
      <c r="V112" s="6">
        <v>5</v>
      </c>
      <c r="W112" s="6" t="s">
        <v>22</v>
      </c>
      <c r="X112" s="5">
        <v>4.0993709159851388</v>
      </c>
      <c r="Y112" s="5">
        <v>0.45517241379310347</v>
      </c>
      <c r="Z112" s="5">
        <v>0.45517241379310347</v>
      </c>
      <c r="AA112" s="6">
        <v>4</v>
      </c>
      <c r="AF112"/>
      <c r="AG112"/>
      <c r="AH112"/>
      <c r="AJ112"/>
      <c r="AK112"/>
      <c r="AL112"/>
      <c r="AM112"/>
      <c r="AN112"/>
      <c r="AO112"/>
      <c r="AP112"/>
    </row>
    <row r="113" spans="1:42" x14ac:dyDescent="0.3">
      <c r="A113" t="s">
        <v>196</v>
      </c>
      <c r="B113" s="6">
        <v>464</v>
      </c>
      <c r="C113" t="s">
        <v>451</v>
      </c>
      <c r="D113" t="s">
        <v>686</v>
      </c>
      <c r="E113" t="str">
        <f>VLOOKUP(Table1[[#This Row],[Code]], [1]Basque!$1:$1048576, 4, 0)</f>
        <v>borragoma</v>
      </c>
      <c r="F113" s="74">
        <v>0.66700000000000004</v>
      </c>
      <c r="G113" s="5">
        <v>6.1639999999999997</v>
      </c>
      <c r="H113" s="5">
        <v>0</v>
      </c>
      <c r="I113" s="5">
        <v>100</v>
      </c>
      <c r="J113" s="5">
        <v>1.83</v>
      </c>
      <c r="K113" t="s">
        <v>1290</v>
      </c>
      <c r="L113" s="5">
        <f xml:space="preserve"> 1 - Table1[[#This Row],[Phon_Similarity]]</f>
        <v>0.54545454545454541</v>
      </c>
      <c r="M113" s="5">
        <f xml:space="preserve"> 1 -Table1[[#This Row],[Orth_Similarity]]</f>
        <v>0.4</v>
      </c>
      <c r="N113" s="6">
        <v>4</v>
      </c>
      <c r="O113" s="6">
        <v>4</v>
      </c>
      <c r="P113" s="6">
        <v>2</v>
      </c>
      <c r="Q113" s="5">
        <v>3.806457</v>
      </c>
      <c r="R113" s="5"/>
      <c r="S113" t="s">
        <v>927</v>
      </c>
      <c r="T113" t="s">
        <v>1170</v>
      </c>
      <c r="U113" s="6">
        <v>6</v>
      </c>
      <c r="V113" s="6">
        <v>4</v>
      </c>
      <c r="W113" s="6" t="s">
        <v>23</v>
      </c>
      <c r="X113" s="5">
        <v>4.0634642722815668</v>
      </c>
      <c r="Y113" s="5">
        <v>0.45454545454545459</v>
      </c>
      <c r="Z113" s="5">
        <v>0.6</v>
      </c>
      <c r="AA113" s="6">
        <v>6</v>
      </c>
      <c r="AF113"/>
      <c r="AG113"/>
      <c r="AH113"/>
      <c r="AJ113"/>
      <c r="AK113"/>
      <c r="AL113"/>
      <c r="AM113"/>
      <c r="AN113"/>
      <c r="AO113"/>
      <c r="AP113"/>
    </row>
    <row r="114" spans="1:42" x14ac:dyDescent="0.3">
      <c r="A114" t="s">
        <v>219</v>
      </c>
      <c r="B114" s="6">
        <v>508</v>
      </c>
      <c r="C114" t="s">
        <v>474</v>
      </c>
      <c r="D114" t="s">
        <v>709</v>
      </c>
      <c r="E114" t="str">
        <f>VLOOKUP(Table1[[#This Row],[Code]], [1]Basque!$1:$1048576, 4, 0)</f>
        <v>kaxa</v>
      </c>
      <c r="F114" s="74">
        <v>0.66700000000000004</v>
      </c>
      <c r="G114" s="5">
        <v>6.2320000000000002</v>
      </c>
      <c r="H114" s="5">
        <v>0</v>
      </c>
      <c r="I114" s="5">
        <v>100</v>
      </c>
      <c r="J114" s="5">
        <v>1.56</v>
      </c>
      <c r="K114" t="s">
        <v>1290</v>
      </c>
      <c r="L114" s="5">
        <f xml:space="preserve"> 1 - Table1[[#This Row],[Phon_Similarity]]</f>
        <v>0.54545454545454541</v>
      </c>
      <c r="M114" s="5">
        <f xml:space="preserve"> 1 -Table1[[#This Row],[Orth_Similarity]]</f>
        <v>0.25454545454545452</v>
      </c>
      <c r="N114" s="6">
        <v>4</v>
      </c>
      <c r="O114" s="6">
        <v>4</v>
      </c>
      <c r="P114" s="6">
        <v>2</v>
      </c>
      <c r="Q114" s="5">
        <v>4.7117990000000001</v>
      </c>
      <c r="R114" s="5"/>
      <c r="S114" t="s">
        <v>949</v>
      </c>
      <c r="T114" t="s">
        <v>1193</v>
      </c>
      <c r="U114" s="6">
        <v>3</v>
      </c>
      <c r="V114" s="6">
        <v>4</v>
      </c>
      <c r="W114" s="6" t="s">
        <v>22</v>
      </c>
      <c r="X114" s="5">
        <v>5.1221493823262785</v>
      </c>
      <c r="Y114" s="5">
        <v>0.45454545454545459</v>
      </c>
      <c r="Z114" s="5">
        <v>0.74545454545454548</v>
      </c>
      <c r="AA114" s="6">
        <v>4</v>
      </c>
      <c r="AF114"/>
      <c r="AG114"/>
      <c r="AH114"/>
      <c r="AJ114"/>
      <c r="AK114"/>
      <c r="AL114"/>
      <c r="AM114"/>
      <c r="AN114"/>
      <c r="AO114"/>
      <c r="AP114"/>
    </row>
    <row r="115" spans="1:42" x14ac:dyDescent="0.3">
      <c r="A115" t="s">
        <v>87</v>
      </c>
      <c r="B115" s="6">
        <v>159</v>
      </c>
      <c r="C115" t="s">
        <v>342</v>
      </c>
      <c r="D115" t="s">
        <v>592</v>
      </c>
      <c r="E115" t="str">
        <f>VLOOKUP(Table1[[#This Row],[Code]], [1]Basque!$1:$1048576, 4, 0)</f>
        <v>bizar</v>
      </c>
      <c r="F115" s="73">
        <v>0</v>
      </c>
      <c r="G115" s="5">
        <v>6.0549999999999997</v>
      </c>
      <c r="H115" s="5">
        <v>0</v>
      </c>
      <c r="I115" s="5">
        <v>100</v>
      </c>
      <c r="J115" s="5">
        <v>2.58</v>
      </c>
      <c r="K115" t="s">
        <v>1286</v>
      </c>
      <c r="L115" s="5">
        <f xml:space="preserve"> 1 - Table1[[#This Row],[Phon_Similarity]]</f>
        <v>0.55000000000000004</v>
      </c>
      <c r="M115" s="5">
        <f xml:space="preserve"> 1 -Table1[[#This Row],[Orth_Similarity]]</f>
        <v>0.84444444444444444</v>
      </c>
      <c r="N115" s="6">
        <v>5</v>
      </c>
      <c r="O115" s="6">
        <v>5</v>
      </c>
      <c r="P115" s="6">
        <v>2</v>
      </c>
      <c r="Q115" s="5">
        <v>4.1443289999999999</v>
      </c>
      <c r="R115" s="5"/>
      <c r="S115" t="s">
        <v>819</v>
      </c>
      <c r="T115" t="s">
        <v>1062</v>
      </c>
      <c r="U115" s="6">
        <v>5</v>
      </c>
      <c r="V115" s="6">
        <v>4</v>
      </c>
      <c r="W115" s="6" t="s">
        <v>22</v>
      </c>
      <c r="X115" s="5">
        <v>3.9792630910562838</v>
      </c>
      <c r="Y115" s="5">
        <v>0.44999999999999996</v>
      </c>
      <c r="Z115" s="5">
        <v>0.15555555555555556</v>
      </c>
      <c r="AA115" s="6">
        <v>3</v>
      </c>
      <c r="AF115"/>
      <c r="AG115"/>
      <c r="AH115"/>
      <c r="AJ115"/>
      <c r="AK115"/>
      <c r="AL115"/>
      <c r="AM115"/>
      <c r="AN115"/>
      <c r="AO115"/>
      <c r="AP115"/>
    </row>
    <row r="116" spans="1:42" x14ac:dyDescent="0.3">
      <c r="A116" t="s">
        <v>302</v>
      </c>
      <c r="B116" s="6">
        <v>75</v>
      </c>
      <c r="C116" t="s">
        <v>557</v>
      </c>
      <c r="D116" t="s">
        <v>785</v>
      </c>
      <c r="E116" t="str">
        <f>VLOOKUP(Table1[[#This Row],[Code]], [1]Basque!$1:$1048576, 4, 0)</f>
        <v>globo</v>
      </c>
      <c r="F116" s="73">
        <v>0.75</v>
      </c>
      <c r="G116" s="5">
        <v>6.2430000000000003</v>
      </c>
      <c r="H116" s="5">
        <v>0</v>
      </c>
      <c r="I116" s="5">
        <v>100</v>
      </c>
      <c r="J116" s="5">
        <v>1.43</v>
      </c>
      <c r="K116" t="s">
        <v>1290</v>
      </c>
      <c r="L116" s="5">
        <f xml:space="preserve"> 1 - Table1[[#This Row],[Phon_Similarity]]</f>
        <v>0.55000000000000004</v>
      </c>
      <c r="M116" s="5">
        <f xml:space="preserve"> 1 -Table1[[#This Row],[Orth_Similarity]]</f>
        <v>0.55000000000000004</v>
      </c>
      <c r="N116" s="6">
        <v>5</v>
      </c>
      <c r="O116" s="6">
        <v>5</v>
      </c>
      <c r="P116" s="6">
        <v>2</v>
      </c>
      <c r="Q116" s="5">
        <v>4.2290239999999999</v>
      </c>
      <c r="R116" s="5"/>
      <c r="S116" t="s">
        <v>1023</v>
      </c>
      <c r="T116" t="s">
        <v>1272</v>
      </c>
      <c r="U116" s="6">
        <v>7</v>
      </c>
      <c r="V116" s="6">
        <v>5</v>
      </c>
      <c r="W116" s="6" t="s">
        <v>23</v>
      </c>
      <c r="X116" s="5">
        <v>4.2490117723316896</v>
      </c>
      <c r="Y116" s="5">
        <v>0.44999999999999996</v>
      </c>
      <c r="Z116" s="5">
        <v>0.44999999999999996</v>
      </c>
      <c r="AA116" s="6">
        <v>5</v>
      </c>
      <c r="AF116"/>
      <c r="AG116"/>
      <c r="AH116"/>
      <c r="AJ116"/>
      <c r="AK116"/>
      <c r="AL116"/>
      <c r="AM116"/>
      <c r="AN116"/>
      <c r="AO116"/>
      <c r="AP116"/>
    </row>
    <row r="117" spans="1:42" x14ac:dyDescent="0.3">
      <c r="A117" t="s">
        <v>94</v>
      </c>
      <c r="B117" s="6">
        <v>175</v>
      </c>
      <c r="C117" t="s">
        <v>349</v>
      </c>
      <c r="D117" t="s">
        <v>599</v>
      </c>
      <c r="E117" t="str">
        <f>VLOOKUP(Table1[[#This Row],[Code]], [1]Basque!$1:$1048576, 4, 0)</f>
        <v>margolari</v>
      </c>
      <c r="F117" s="73">
        <v>0.6</v>
      </c>
      <c r="G117" s="5">
        <v>6.0620000000000003</v>
      </c>
      <c r="H117" s="5">
        <v>0.194391858</v>
      </c>
      <c r="I117" s="5">
        <v>97</v>
      </c>
      <c r="J117" s="5">
        <v>2.93</v>
      </c>
      <c r="K117" t="s">
        <v>1410</v>
      </c>
      <c r="L117" s="5">
        <f xml:space="preserve"> 1 - Table1[[#This Row],[Phon_Similarity]]</f>
        <v>0.55081967213114758</v>
      </c>
      <c r="M117" s="5">
        <f xml:space="preserve"> 1 -Table1[[#This Row],[Orth_Similarity]]</f>
        <v>0.49411764705882355</v>
      </c>
      <c r="N117" s="6">
        <v>6</v>
      </c>
      <c r="O117" s="6">
        <v>6</v>
      </c>
      <c r="P117" s="6">
        <v>3</v>
      </c>
      <c r="Q117" s="5">
        <v>4.5818450000000004</v>
      </c>
      <c r="R117" s="5"/>
      <c r="S117" t="s">
        <v>826</v>
      </c>
      <c r="T117" t="s">
        <v>1069</v>
      </c>
      <c r="U117" s="6">
        <v>6</v>
      </c>
      <c r="V117" s="6">
        <v>5</v>
      </c>
      <c r="W117" s="6" t="s">
        <v>23</v>
      </c>
      <c r="X117" s="5">
        <v>4.7099621555838196</v>
      </c>
      <c r="Y117" s="5">
        <v>0.44918032786885242</v>
      </c>
      <c r="Z117" s="5">
        <v>0.50588235294117645</v>
      </c>
      <c r="AA117" s="6">
        <v>6</v>
      </c>
      <c r="AF117"/>
      <c r="AG117"/>
      <c r="AH117"/>
      <c r="AJ117"/>
      <c r="AK117"/>
      <c r="AL117"/>
      <c r="AM117"/>
      <c r="AN117"/>
      <c r="AO117"/>
      <c r="AP117"/>
    </row>
    <row r="118" spans="1:42" x14ac:dyDescent="0.3">
      <c r="A118" t="s">
        <v>249</v>
      </c>
      <c r="B118" s="6">
        <v>597</v>
      </c>
      <c r="C118" t="s">
        <v>504</v>
      </c>
      <c r="D118" t="s">
        <v>738</v>
      </c>
      <c r="E118" t="str">
        <f>VLOOKUP(Table1[[#This Row],[Code]], [1]Basque!$1:$1048576, 4, 0)</f>
        <v>leiho</v>
      </c>
      <c r="F118" s="74">
        <v>0.66700000000000004</v>
      </c>
      <c r="G118" s="5">
        <v>6.5179999999999998</v>
      </c>
      <c r="H118" s="5">
        <v>0.14372616999999999</v>
      </c>
      <c r="I118" s="5">
        <v>97.959183670000002</v>
      </c>
      <c r="J118" s="5">
        <v>2.5299999999999998</v>
      </c>
      <c r="K118" t="s">
        <v>1290</v>
      </c>
      <c r="L118" s="5">
        <f xml:space="preserve"> 1 - Table1[[#This Row],[Phon_Similarity]]</f>
        <v>0.55238095238095242</v>
      </c>
      <c r="M118" s="5">
        <f xml:space="preserve"> 1 -Table1[[#This Row],[Orth_Similarity]]</f>
        <v>0.50793650793650791</v>
      </c>
      <c r="N118" s="6">
        <v>7</v>
      </c>
      <c r="O118" s="6">
        <v>7</v>
      </c>
      <c r="P118" s="6">
        <v>3</v>
      </c>
      <c r="Q118" s="5">
        <v>4.6187430000000003</v>
      </c>
      <c r="R118" s="5"/>
      <c r="S118" t="s">
        <v>976</v>
      </c>
      <c r="T118" t="s">
        <v>1220</v>
      </c>
      <c r="U118" s="6">
        <v>6</v>
      </c>
      <c r="V118" s="6">
        <v>5</v>
      </c>
      <c r="W118" s="6" t="s">
        <v>23</v>
      </c>
      <c r="X118" s="5">
        <v>4.8353629746752276</v>
      </c>
      <c r="Y118" s="5">
        <v>0.44761904761904758</v>
      </c>
      <c r="Z118" s="5">
        <v>0.49206349206349209</v>
      </c>
      <c r="AA118" s="6">
        <v>6</v>
      </c>
      <c r="AF118"/>
      <c r="AG118"/>
      <c r="AH118"/>
      <c r="AJ118"/>
      <c r="AK118"/>
      <c r="AL118"/>
      <c r="AM118"/>
      <c r="AN118"/>
      <c r="AO118"/>
      <c r="AP118"/>
    </row>
    <row r="119" spans="1:42" s="69" customFormat="1" x14ac:dyDescent="0.3">
      <c r="A119" s="69" t="s">
        <v>271</v>
      </c>
      <c r="B119" s="77">
        <v>646</v>
      </c>
      <c r="C119" s="69" t="s">
        <v>526</v>
      </c>
      <c r="D119" s="69" t="s">
        <v>758</v>
      </c>
      <c r="E119" s="78" t="e">
        <f>VLOOKUP(Table1[[#This Row],[Code]], [1]Basque!$1:$1048576, 4, 0)</f>
        <v>#N/A</v>
      </c>
      <c r="F119" s="75">
        <v>0.6</v>
      </c>
      <c r="G119" s="76">
        <v>5.9089999999999998</v>
      </c>
      <c r="H119" s="76">
        <v>0.28639695700000001</v>
      </c>
      <c r="I119" s="76">
        <v>95</v>
      </c>
      <c r="J119" s="76">
        <v>2.86</v>
      </c>
      <c r="K119" s="69" t="s">
        <v>983</v>
      </c>
      <c r="L119" s="76">
        <f xml:space="preserve"> 1 - Table1[[#This Row],[Phon_Similarity]]</f>
        <v>0.55384615384615388</v>
      </c>
      <c r="M119" s="76">
        <f xml:space="preserve"> 1 -Table1[[#This Row],[Orth_Similarity]]</f>
        <v>0.60923076923076924</v>
      </c>
      <c r="N119" s="77">
        <v>6</v>
      </c>
      <c r="O119" s="77">
        <v>6</v>
      </c>
      <c r="P119" s="77">
        <v>2</v>
      </c>
      <c r="Q119" s="76">
        <v>4.0991439999999999</v>
      </c>
      <c r="R119" s="76"/>
      <c r="S119" s="69" t="s">
        <v>994</v>
      </c>
      <c r="T119" s="69" t="s">
        <v>1241</v>
      </c>
      <c r="U119" s="77">
        <v>5</v>
      </c>
      <c r="V119" s="77">
        <v>5</v>
      </c>
      <c r="W119" s="77" t="s">
        <v>22</v>
      </c>
      <c r="X119" s="76">
        <v>3.5231049992484156</v>
      </c>
      <c r="Y119" s="76">
        <v>0.44615384615384612</v>
      </c>
      <c r="Z119" s="76">
        <v>0.39076923076923076</v>
      </c>
      <c r="AA119" s="77">
        <v>6</v>
      </c>
    </row>
    <row r="120" spans="1:42" x14ac:dyDescent="0.3">
      <c r="A120" t="s">
        <v>99</v>
      </c>
      <c r="B120" s="6">
        <v>187</v>
      </c>
      <c r="C120" t="s">
        <v>354</v>
      </c>
      <c r="D120" t="s">
        <v>604</v>
      </c>
      <c r="E120" t="str">
        <f>VLOOKUP(Table1[[#This Row],[Code]], [1]Basque!$1:$1048576, 4, 0)</f>
        <v>hiri</v>
      </c>
      <c r="F120" s="73">
        <v>0.4</v>
      </c>
      <c r="G120" s="5">
        <v>6.1879999999999997</v>
      </c>
      <c r="H120" s="5">
        <v>0.44569317800000002</v>
      </c>
      <c r="I120" s="5">
        <v>90.721649479999996</v>
      </c>
      <c r="J120" s="5">
        <v>3.23</v>
      </c>
      <c r="K120" t="s">
        <v>1293</v>
      </c>
      <c r="L120" s="5">
        <f xml:space="preserve"> 1 - Table1[[#This Row],[Phon_Similarity]]</f>
        <v>0.56000000000000005</v>
      </c>
      <c r="M120" s="5">
        <f xml:space="preserve"> 1 -Table1[[#This Row],[Orth_Similarity]]</f>
        <v>0.61599999999999999</v>
      </c>
      <c r="N120" s="6">
        <v>6</v>
      </c>
      <c r="O120" s="6">
        <v>6</v>
      </c>
      <c r="P120" s="6">
        <v>3</v>
      </c>
      <c r="Q120" s="5">
        <v>5.8179309999999997</v>
      </c>
      <c r="R120" s="5"/>
      <c r="S120" t="s">
        <v>831</v>
      </c>
      <c r="T120" t="s">
        <v>1074</v>
      </c>
      <c r="U120" s="6">
        <v>4</v>
      </c>
      <c r="V120" s="6">
        <v>4</v>
      </c>
      <c r="W120" s="6" t="s">
        <v>23</v>
      </c>
      <c r="X120" s="5">
        <v>5.3974245716235449</v>
      </c>
      <c r="Y120" s="5">
        <v>0.43999999999999995</v>
      </c>
      <c r="Z120" s="5">
        <v>0.38400000000000001</v>
      </c>
      <c r="AA120" s="6">
        <v>4</v>
      </c>
      <c r="AF120"/>
      <c r="AG120"/>
      <c r="AH120"/>
      <c r="AJ120"/>
      <c r="AK120"/>
      <c r="AL120"/>
      <c r="AM120"/>
      <c r="AN120"/>
      <c r="AO120"/>
      <c r="AP120"/>
    </row>
    <row r="121" spans="1:42" x14ac:dyDescent="0.3">
      <c r="A121" t="s">
        <v>198</v>
      </c>
      <c r="B121" s="6">
        <v>466</v>
      </c>
      <c r="C121" t="s">
        <v>453</v>
      </c>
      <c r="D121" t="s">
        <v>688</v>
      </c>
      <c r="E121" t="str">
        <f>VLOOKUP(Table1[[#This Row],[Code]], [1]Basque!$1:$1048576, 4, 0)</f>
        <v>epaile</v>
      </c>
      <c r="F121" s="74">
        <v>0.33300000000000002</v>
      </c>
      <c r="G121" s="5">
        <v>5.9630000000000001</v>
      </c>
      <c r="H121" s="5">
        <v>0</v>
      </c>
      <c r="I121" s="5">
        <v>100</v>
      </c>
      <c r="J121" s="5">
        <v>2.93</v>
      </c>
      <c r="K121" t="s">
        <v>1410</v>
      </c>
      <c r="L121" s="5">
        <f xml:space="preserve"> 1 - Table1[[#This Row],[Phon_Similarity]]</f>
        <v>0.56216216216216219</v>
      </c>
      <c r="M121" s="5">
        <f xml:space="preserve"> 1 -Table1[[#This Row],[Orth_Similarity]]</f>
        <v>0.5641025641025641</v>
      </c>
      <c r="N121" s="6">
        <v>4</v>
      </c>
      <c r="O121" s="6">
        <v>4</v>
      </c>
      <c r="P121" s="6">
        <v>3</v>
      </c>
      <c r="Q121" s="5">
        <v>4.9144439999999996</v>
      </c>
      <c r="R121" s="5"/>
      <c r="S121" t="s">
        <v>929</v>
      </c>
      <c r="T121" t="s">
        <v>1172</v>
      </c>
      <c r="U121" s="6">
        <v>5</v>
      </c>
      <c r="V121" s="6">
        <v>3</v>
      </c>
      <c r="W121" s="6" t="s">
        <v>22</v>
      </c>
      <c r="X121" s="5">
        <v>4.6861633846798538</v>
      </c>
      <c r="Y121" s="5">
        <v>0.43783783783783781</v>
      </c>
      <c r="Z121" s="5">
        <v>0.4358974358974359</v>
      </c>
      <c r="AA121" s="6">
        <v>3</v>
      </c>
      <c r="AF121"/>
      <c r="AG121"/>
      <c r="AH121"/>
      <c r="AJ121"/>
      <c r="AK121"/>
      <c r="AL121"/>
      <c r="AM121"/>
      <c r="AN121"/>
      <c r="AO121"/>
      <c r="AP121"/>
    </row>
    <row r="122" spans="1:42" x14ac:dyDescent="0.3">
      <c r="A122" t="s">
        <v>251</v>
      </c>
      <c r="B122" s="6">
        <v>60</v>
      </c>
      <c r="C122" t="s">
        <v>506</v>
      </c>
      <c r="D122" t="s">
        <v>740</v>
      </c>
      <c r="E122" s="15" t="e">
        <f>VLOOKUP(Table1[[#This Row],[Code]], [1]Basque!$1:$1048576, 4, 0)</f>
        <v>#N/A</v>
      </c>
      <c r="F122" s="74">
        <v>0.83299999999999996</v>
      </c>
      <c r="G122" s="68">
        <v>0</v>
      </c>
      <c r="H122" s="5">
        <v>0.36663735200000003</v>
      </c>
      <c r="I122" s="5">
        <v>94.382022469999995</v>
      </c>
      <c r="J122" s="5">
        <v>3.16</v>
      </c>
      <c r="K122" t="s">
        <v>1410</v>
      </c>
      <c r="L122" s="5">
        <f xml:space="preserve"> 1 - Table1[[#This Row],[Phon_Similarity]]</f>
        <v>0.562962962962963</v>
      </c>
      <c r="M122" s="5">
        <f xml:space="preserve"> 1 -Table1[[#This Row],[Orth_Similarity]]</f>
        <v>0.50476190476190474</v>
      </c>
      <c r="N122" s="6">
        <v>7</v>
      </c>
      <c r="O122" s="6">
        <v>7</v>
      </c>
      <c r="P122" s="6">
        <v>3</v>
      </c>
      <c r="Q122" s="5">
        <v>2.9431340000000001</v>
      </c>
      <c r="R122" s="5"/>
      <c r="S122" t="s">
        <v>978</v>
      </c>
      <c r="T122" t="s">
        <v>1222</v>
      </c>
      <c r="U122" s="6">
        <v>10</v>
      </c>
      <c r="V122" s="6">
        <v>8</v>
      </c>
      <c r="W122" s="6" t="s">
        <v>24</v>
      </c>
      <c r="X122" s="5">
        <v>2.6042207450732402</v>
      </c>
      <c r="Y122" s="5">
        <v>0.437037037037037</v>
      </c>
      <c r="Z122" s="5">
        <v>0.49523809523809526</v>
      </c>
      <c r="AA122" s="6">
        <v>8</v>
      </c>
      <c r="AF122"/>
      <c r="AG122"/>
      <c r="AH122"/>
      <c r="AJ122"/>
      <c r="AK122"/>
      <c r="AL122"/>
      <c r="AM122"/>
      <c r="AN122"/>
      <c r="AO122"/>
      <c r="AP122"/>
    </row>
    <row r="123" spans="1:42" x14ac:dyDescent="0.3">
      <c r="A123" t="s">
        <v>117</v>
      </c>
      <c r="B123" s="6">
        <v>255</v>
      </c>
      <c r="C123" t="s">
        <v>372</v>
      </c>
      <c r="D123" t="s">
        <v>372</v>
      </c>
      <c r="E123" t="str">
        <f>VLOOKUP(Table1[[#This Row],[Code]], [1]Basque!$1:$1048576, 4, 0)</f>
        <v>pala</v>
      </c>
      <c r="F123" s="73">
        <v>1</v>
      </c>
      <c r="G123" s="5">
        <v>6.2629999999999999</v>
      </c>
      <c r="H123" s="5">
        <v>0</v>
      </c>
      <c r="I123" s="5">
        <v>100</v>
      </c>
      <c r="J123" s="5">
        <v>1.76</v>
      </c>
      <c r="K123" t="s">
        <v>1290</v>
      </c>
      <c r="L123" s="5">
        <f xml:space="preserve"> 1 - Table1[[#This Row],[Phon_Similarity]]</f>
        <v>0.5636363636363636</v>
      </c>
      <c r="M123" s="5">
        <f xml:space="preserve"> 1 -Table1[[#This Row],[Orth_Similarity]]</f>
        <v>0.47407407407407409</v>
      </c>
      <c r="N123" s="6">
        <v>4</v>
      </c>
      <c r="O123" s="6">
        <v>4</v>
      </c>
      <c r="P123" s="6">
        <v>3</v>
      </c>
      <c r="Q123" s="5">
        <v>3.614547</v>
      </c>
      <c r="R123" s="5"/>
      <c r="S123" t="s">
        <v>849</v>
      </c>
      <c r="T123" t="s">
        <v>1092</v>
      </c>
      <c r="U123" s="6">
        <v>6</v>
      </c>
      <c r="V123" s="6">
        <v>4</v>
      </c>
      <c r="W123" s="6" t="s">
        <v>23</v>
      </c>
      <c r="X123" s="5">
        <v>3.5500417679956708</v>
      </c>
      <c r="Y123" s="5">
        <v>0.4363636363636364</v>
      </c>
      <c r="Z123" s="5">
        <v>0.52592592592592591</v>
      </c>
      <c r="AA123" s="6">
        <v>6</v>
      </c>
      <c r="AF123"/>
      <c r="AG123"/>
      <c r="AH123"/>
      <c r="AJ123"/>
      <c r="AK123"/>
      <c r="AL123"/>
      <c r="AM123"/>
      <c r="AN123"/>
      <c r="AO123"/>
      <c r="AP123"/>
    </row>
    <row r="124" spans="1:42" x14ac:dyDescent="0.3">
      <c r="A124" t="s">
        <v>199</v>
      </c>
      <c r="B124" s="6">
        <v>467</v>
      </c>
      <c r="C124" t="s">
        <v>454</v>
      </c>
      <c r="D124" t="s">
        <v>689</v>
      </c>
      <c r="E124" t="str">
        <f>VLOOKUP(Table1[[#This Row],[Code]], [1]Basque!$1:$1048576, 4, 0)</f>
        <v>pintza</v>
      </c>
      <c r="F124" s="73">
        <v>0.25</v>
      </c>
      <c r="G124" s="68">
        <v>0</v>
      </c>
      <c r="H124" s="5">
        <v>0</v>
      </c>
      <c r="I124" s="5">
        <v>100</v>
      </c>
      <c r="J124" s="5">
        <v>1.7</v>
      </c>
      <c r="K124" t="s">
        <v>1290</v>
      </c>
      <c r="L124" s="5">
        <f xml:space="preserve"> 1 - Table1[[#This Row],[Phon_Similarity]]</f>
        <v>0.5636363636363636</v>
      </c>
      <c r="M124" s="5">
        <f xml:space="preserve"> 1 -Table1[[#This Row],[Orth_Similarity]]</f>
        <v>0.5636363636363636</v>
      </c>
      <c r="N124" s="6">
        <v>5</v>
      </c>
      <c r="O124" s="6">
        <v>5</v>
      </c>
      <c r="P124" s="6">
        <v>3</v>
      </c>
      <c r="Q124" s="5">
        <v>3.010081</v>
      </c>
      <c r="R124" s="5"/>
      <c r="S124" t="s">
        <v>930</v>
      </c>
      <c r="T124" t="s">
        <v>1173</v>
      </c>
      <c r="U124" s="6">
        <v>3</v>
      </c>
      <c r="V124" s="6">
        <v>3</v>
      </c>
      <c r="W124" s="6" t="s">
        <v>22</v>
      </c>
      <c r="X124" s="5">
        <v>3.6651516385485716</v>
      </c>
      <c r="Y124" s="5">
        <v>0.4363636363636364</v>
      </c>
      <c r="Z124" s="5">
        <v>0.4363636363636364</v>
      </c>
      <c r="AA124" s="6">
        <v>4</v>
      </c>
      <c r="AF124"/>
      <c r="AG124"/>
      <c r="AH124"/>
      <c r="AJ124"/>
      <c r="AK124"/>
      <c r="AL124"/>
      <c r="AM124"/>
      <c r="AN124"/>
      <c r="AO124"/>
      <c r="AP124"/>
    </row>
    <row r="125" spans="1:42" x14ac:dyDescent="0.3">
      <c r="A125" t="s">
        <v>68</v>
      </c>
      <c r="B125" s="6">
        <v>123</v>
      </c>
      <c r="C125" t="s">
        <v>323</v>
      </c>
      <c r="D125" t="s">
        <v>577</v>
      </c>
      <c r="E125" s="15" t="e">
        <f>VLOOKUP(Table1[[#This Row],[Code]], [1]Basque!$1:$1048576, 4, 0)</f>
        <v>#N/A</v>
      </c>
      <c r="F125" s="73">
        <v>0.25</v>
      </c>
      <c r="G125" s="5">
        <v>6.2679999999999998</v>
      </c>
      <c r="H125" s="5">
        <v>0.20995735800000001</v>
      </c>
      <c r="I125" s="5">
        <v>95.959595960000001</v>
      </c>
      <c r="J125" s="5">
        <v>1.81</v>
      </c>
      <c r="K125" t="s">
        <v>1290</v>
      </c>
      <c r="L125" s="5">
        <f xml:space="preserve"> 1 - Table1[[#This Row],[Phon_Similarity]]</f>
        <v>0.57272727272727275</v>
      </c>
      <c r="M125" s="5">
        <f xml:space="preserve"> 1 -Table1[[#This Row],[Orth_Similarity]]</f>
        <v>0.86274509803921573</v>
      </c>
      <c r="N125" s="6">
        <v>5</v>
      </c>
      <c r="O125" s="6">
        <v>5</v>
      </c>
      <c r="P125" s="6">
        <v>3</v>
      </c>
      <c r="Q125" s="5">
        <v>3.2811469999999998</v>
      </c>
      <c r="R125" s="5"/>
      <c r="S125" t="s">
        <v>802</v>
      </c>
      <c r="T125" t="s">
        <v>1043</v>
      </c>
      <c r="U125" s="6">
        <v>4</v>
      </c>
      <c r="V125" s="6">
        <v>3</v>
      </c>
      <c r="W125" s="6" t="s">
        <v>22</v>
      </c>
      <c r="X125" s="5">
        <v>3.9147960586434518</v>
      </c>
      <c r="Y125" s="5">
        <v>0.42727272727272725</v>
      </c>
      <c r="Z125" s="5">
        <v>0.13725490196078427</v>
      </c>
      <c r="AA125" s="6">
        <v>2</v>
      </c>
      <c r="AF125"/>
      <c r="AG125"/>
      <c r="AH125"/>
      <c r="AJ125"/>
      <c r="AK125"/>
      <c r="AL125"/>
      <c r="AM125"/>
      <c r="AN125"/>
      <c r="AO125"/>
      <c r="AP125"/>
    </row>
    <row r="126" spans="1:42" x14ac:dyDescent="0.3">
      <c r="A126" t="s">
        <v>193</v>
      </c>
      <c r="B126" s="6">
        <v>453</v>
      </c>
      <c r="C126" t="s">
        <v>448</v>
      </c>
      <c r="D126" t="s">
        <v>684</v>
      </c>
      <c r="E126" t="str">
        <f>VLOOKUP(Table1[[#This Row],[Code]], [1]Basque!$1:$1048576, 4, 0)</f>
        <v>guraizak</v>
      </c>
      <c r="F126" s="74">
        <v>0.33300000000000002</v>
      </c>
      <c r="G126" s="5">
        <v>6.2539999999999996</v>
      </c>
      <c r="H126" s="5">
        <v>0</v>
      </c>
      <c r="I126" s="5">
        <v>100</v>
      </c>
      <c r="J126" s="5">
        <v>1.6</v>
      </c>
      <c r="K126" t="s">
        <v>1290</v>
      </c>
      <c r="L126" s="5">
        <f xml:space="preserve"> 1 - Table1[[#This Row],[Phon_Similarity]]</f>
        <v>0.57499999999999996</v>
      </c>
      <c r="M126" s="5">
        <f xml:space="preserve"> 1 -Table1[[#This Row],[Orth_Similarity]]</f>
        <v>0.58765432098765435</v>
      </c>
      <c r="N126" s="6">
        <v>7</v>
      </c>
      <c r="O126" s="6">
        <v>7</v>
      </c>
      <c r="P126" s="6">
        <v>3</v>
      </c>
      <c r="Q126" s="5">
        <v>3.3827590000000001</v>
      </c>
      <c r="R126" s="5"/>
      <c r="S126" t="s">
        <v>924</v>
      </c>
      <c r="T126" t="s">
        <v>1167</v>
      </c>
      <c r="U126" s="6">
        <v>8</v>
      </c>
      <c r="V126" s="6">
        <v>5</v>
      </c>
      <c r="W126" s="6" t="s">
        <v>23</v>
      </c>
      <c r="X126" s="5">
        <v>3.9155821122189511</v>
      </c>
      <c r="Y126" s="5">
        <v>0.42500000000000004</v>
      </c>
      <c r="Z126" s="5">
        <v>0.41234567901234565</v>
      </c>
      <c r="AA126" s="6">
        <v>6</v>
      </c>
      <c r="AF126"/>
      <c r="AG126"/>
      <c r="AH126"/>
      <c r="AJ126"/>
      <c r="AK126"/>
      <c r="AL126"/>
      <c r="AM126"/>
      <c r="AN126"/>
      <c r="AO126"/>
      <c r="AP126"/>
    </row>
    <row r="127" spans="1:42" x14ac:dyDescent="0.3">
      <c r="A127" t="s">
        <v>297</v>
      </c>
      <c r="B127" s="6">
        <v>733</v>
      </c>
      <c r="C127" t="s">
        <v>552</v>
      </c>
      <c r="D127" t="s">
        <v>780</v>
      </c>
      <c r="E127" t="str">
        <f>VLOOKUP(Table1[[#This Row],[Code]], [1]Basque!$1:$1048576, 4, 0)</f>
        <v>betaurrekoak</v>
      </c>
      <c r="F127" s="73">
        <v>0</v>
      </c>
      <c r="G127" s="5">
        <v>5.8010000000000002</v>
      </c>
      <c r="H127" s="5">
        <v>0</v>
      </c>
      <c r="I127" s="5">
        <v>100</v>
      </c>
      <c r="J127" s="5">
        <v>1.96</v>
      </c>
      <c r="K127" t="s">
        <v>1290</v>
      </c>
      <c r="L127" s="5">
        <f xml:space="preserve"> 1 - Table1[[#This Row],[Phon_Similarity]]</f>
        <v>0.57777777777777795</v>
      </c>
      <c r="M127" s="5">
        <f xml:space="preserve"> 1 -Table1[[#This Row],[Orth_Similarity]]</f>
        <v>0.77647058823529402</v>
      </c>
      <c r="N127" s="6">
        <v>5</v>
      </c>
      <c r="O127" s="6">
        <v>5</v>
      </c>
      <c r="P127" s="6">
        <v>2</v>
      </c>
      <c r="Q127" s="5">
        <v>3.8088739999999999</v>
      </c>
      <c r="R127" s="5"/>
      <c r="S127" t="s">
        <v>1019</v>
      </c>
      <c r="T127" t="s">
        <v>1267</v>
      </c>
      <c r="U127" s="6">
        <v>7</v>
      </c>
      <c r="V127" s="6">
        <v>6</v>
      </c>
      <c r="W127" s="6" t="s">
        <v>23</v>
      </c>
      <c r="X127" s="5">
        <v>4.3720634600759096</v>
      </c>
      <c r="Y127" s="5">
        <v>0.422222222222222</v>
      </c>
      <c r="Z127" s="5">
        <v>0.223529411764706</v>
      </c>
      <c r="AA127" s="6">
        <v>4</v>
      </c>
      <c r="AF127"/>
      <c r="AG127"/>
      <c r="AH127"/>
      <c r="AJ127"/>
      <c r="AK127"/>
      <c r="AL127"/>
      <c r="AM127"/>
      <c r="AN127"/>
      <c r="AO127"/>
      <c r="AP127"/>
    </row>
    <row r="128" spans="1:42" x14ac:dyDescent="0.3">
      <c r="A128" t="s">
        <v>205</v>
      </c>
      <c r="B128" s="6">
        <v>487</v>
      </c>
      <c r="C128" t="s">
        <v>460</v>
      </c>
      <c r="D128" t="s">
        <v>695</v>
      </c>
      <c r="E128" t="str">
        <f>VLOOKUP(Table1[[#This Row],[Code]], [1]Basque!$1:$1048576, 4, 0)</f>
        <v>saski</v>
      </c>
      <c r="F128" s="73">
        <v>0</v>
      </c>
      <c r="G128" s="5">
        <v>6.0570000000000004</v>
      </c>
      <c r="H128" s="5">
        <v>0</v>
      </c>
      <c r="I128" s="5">
        <v>100</v>
      </c>
      <c r="J128" s="5">
        <v>2.5299999999999998</v>
      </c>
      <c r="K128" t="s">
        <v>1290</v>
      </c>
      <c r="L128" s="5">
        <f xml:space="preserve"> 1 - Table1[[#This Row],[Phon_Similarity]]</f>
        <v>0.58360655737704914</v>
      </c>
      <c r="M128" s="5">
        <f xml:space="preserve"> 1 -Table1[[#This Row],[Orth_Similarity]]</f>
        <v>0.60983606557377046</v>
      </c>
      <c r="N128" s="6">
        <v>5</v>
      </c>
      <c r="O128" s="6">
        <v>5</v>
      </c>
      <c r="P128" s="6">
        <v>2</v>
      </c>
      <c r="Q128" s="5">
        <v>3.6079850000000002</v>
      </c>
      <c r="R128" s="5"/>
      <c r="S128" t="s">
        <v>936</v>
      </c>
      <c r="T128" t="s">
        <v>1179</v>
      </c>
      <c r="U128" s="6">
        <v>6</v>
      </c>
      <c r="V128" s="6">
        <v>6</v>
      </c>
      <c r="W128" s="6" t="s">
        <v>23</v>
      </c>
      <c r="X128" s="5">
        <v>4.1628996921636805</v>
      </c>
      <c r="Y128" s="5">
        <v>0.41639344262295086</v>
      </c>
      <c r="Z128" s="5">
        <v>0.39016393442622954</v>
      </c>
      <c r="AA128" s="6">
        <v>5</v>
      </c>
      <c r="AF128"/>
      <c r="AG128"/>
      <c r="AH128"/>
      <c r="AJ128"/>
      <c r="AK128"/>
      <c r="AL128"/>
      <c r="AM128"/>
      <c r="AN128"/>
      <c r="AO128"/>
      <c r="AP128"/>
    </row>
    <row r="129" spans="1:42" x14ac:dyDescent="0.3">
      <c r="A129" t="s">
        <v>207</v>
      </c>
      <c r="B129" s="6">
        <v>494</v>
      </c>
      <c r="C129" t="s">
        <v>462</v>
      </c>
      <c r="D129" t="s">
        <v>697</v>
      </c>
      <c r="E129" t="str">
        <f>VLOOKUP(Table1[[#This Row],[Code]], [1]Basque!$1:$1048576, 4, 0)</f>
        <v>bibote</v>
      </c>
      <c r="F129" s="73">
        <v>0.8</v>
      </c>
      <c r="G129" s="5">
        <v>6.5039999999999996</v>
      </c>
      <c r="H129" s="5">
        <v>0</v>
      </c>
      <c r="I129" s="5">
        <v>100</v>
      </c>
      <c r="J129" s="5">
        <v>2.41</v>
      </c>
      <c r="K129" t="s">
        <v>1286</v>
      </c>
      <c r="L129" s="5">
        <f xml:space="preserve"> 1 - Table1[[#This Row],[Phon_Similarity]]</f>
        <v>0.59375</v>
      </c>
      <c r="M129" s="5">
        <f xml:space="preserve"> 1 -Table1[[#This Row],[Orth_Similarity]]</f>
        <v>0.48831168831168825</v>
      </c>
      <c r="N129" s="6">
        <v>6</v>
      </c>
      <c r="O129" s="6">
        <v>6</v>
      </c>
      <c r="P129" s="6">
        <v>2</v>
      </c>
      <c r="Q129" s="5">
        <v>3.5938370000000002</v>
      </c>
      <c r="R129" s="5"/>
      <c r="S129" t="s">
        <v>937</v>
      </c>
      <c r="T129" t="s">
        <v>1181</v>
      </c>
      <c r="U129" s="6">
        <v>9</v>
      </c>
      <c r="V129" s="6">
        <v>6</v>
      </c>
      <c r="W129" s="6" t="s">
        <v>23</v>
      </c>
      <c r="X129" s="5">
        <v>3.8049766947827939</v>
      </c>
      <c r="Y129" s="5">
        <v>0.40625</v>
      </c>
      <c r="Z129" s="5">
        <v>0.51168831168831175</v>
      </c>
      <c r="AA129" s="6">
        <v>7</v>
      </c>
      <c r="AF129"/>
      <c r="AG129"/>
      <c r="AH129"/>
      <c r="AJ129"/>
      <c r="AK129"/>
      <c r="AL129"/>
      <c r="AM129"/>
      <c r="AN129"/>
      <c r="AO129"/>
      <c r="AP129"/>
    </row>
    <row r="130" spans="1:42" x14ac:dyDescent="0.3">
      <c r="A130" t="s">
        <v>183</v>
      </c>
      <c r="B130" s="6">
        <v>426</v>
      </c>
      <c r="C130" t="s">
        <v>438</v>
      </c>
      <c r="D130" t="s">
        <v>674</v>
      </c>
      <c r="E130" t="str">
        <f>VLOOKUP(Table1[[#This Row],[Code]], [1]Basque!$1:$1048576, 4, 0)</f>
        <v>orrazi</v>
      </c>
      <c r="F130" s="73">
        <v>0.75</v>
      </c>
      <c r="G130" s="5">
        <v>6.2409999999999997</v>
      </c>
      <c r="H130" s="5">
        <v>0.14372616999999999</v>
      </c>
      <c r="I130" s="5">
        <v>97.959183670000002</v>
      </c>
      <c r="J130" s="5">
        <v>1.69</v>
      </c>
      <c r="K130" t="s">
        <v>1290</v>
      </c>
      <c r="L130" s="5">
        <f xml:space="preserve"> 1 - Table1[[#This Row],[Phon_Similarity]]</f>
        <v>0.60465116279069764</v>
      </c>
      <c r="M130" s="5">
        <f xml:space="preserve"> 1 -Table1[[#This Row],[Orth_Similarity]]</f>
        <v>0.48510638297872344</v>
      </c>
      <c r="N130" s="6">
        <v>5</v>
      </c>
      <c r="O130" s="6">
        <v>5</v>
      </c>
      <c r="P130" s="6">
        <v>3</v>
      </c>
      <c r="Q130" s="5">
        <v>3.2286079999999999</v>
      </c>
      <c r="R130" s="5"/>
      <c r="S130" t="s">
        <v>914</v>
      </c>
      <c r="T130" t="s">
        <v>1157</v>
      </c>
      <c r="U130" s="6">
        <v>4</v>
      </c>
      <c r="V130" s="6">
        <v>3</v>
      </c>
      <c r="W130" s="6" t="s">
        <v>22</v>
      </c>
      <c r="X130" s="5">
        <v>3.5900517888790286</v>
      </c>
      <c r="Y130" s="5">
        <v>0.39534883720930236</v>
      </c>
      <c r="Z130" s="5">
        <v>0.51489361702127656</v>
      </c>
      <c r="AA130" s="6">
        <v>5</v>
      </c>
      <c r="AF130"/>
      <c r="AG130"/>
      <c r="AH130"/>
      <c r="AJ130"/>
      <c r="AK130"/>
      <c r="AL130"/>
      <c r="AM130"/>
      <c r="AN130"/>
      <c r="AO130"/>
      <c r="AP130"/>
    </row>
    <row r="131" spans="1:42" x14ac:dyDescent="0.3">
      <c r="A131" t="s">
        <v>175</v>
      </c>
      <c r="B131" s="6">
        <v>400</v>
      </c>
      <c r="C131" t="s">
        <v>430</v>
      </c>
      <c r="D131" t="s">
        <v>430</v>
      </c>
      <c r="E131" t="str">
        <f>VLOOKUP(Table1[[#This Row],[Code]], [1]Basque!$1:$1048576, 4, 0)</f>
        <v>ahate</v>
      </c>
      <c r="F131" s="74">
        <v>0.66700000000000004</v>
      </c>
      <c r="G131" s="5">
        <v>6.5730000000000004</v>
      </c>
      <c r="H131" s="5">
        <v>0</v>
      </c>
      <c r="I131" s="5">
        <v>100</v>
      </c>
      <c r="J131" s="5">
        <v>3.22</v>
      </c>
      <c r="K131" t="s">
        <v>1285</v>
      </c>
      <c r="L131" s="5">
        <f xml:space="preserve"> 1 - Table1[[#This Row],[Phon_Similarity]]</f>
        <v>0.60540540540540544</v>
      </c>
      <c r="M131" s="5">
        <f xml:space="preserve"> 1 -Table1[[#This Row],[Orth_Similarity]]</f>
        <v>0.45454545454545459</v>
      </c>
      <c r="N131" s="6">
        <v>4</v>
      </c>
      <c r="O131" s="6">
        <v>4</v>
      </c>
      <c r="P131" s="6">
        <v>3</v>
      </c>
      <c r="Q131" s="5">
        <v>4.1599349999999999</v>
      </c>
      <c r="R131" s="5"/>
      <c r="S131" t="s">
        <v>906</v>
      </c>
      <c r="T131" t="s">
        <v>1149</v>
      </c>
      <c r="U131" s="6">
        <v>4</v>
      </c>
      <c r="V131" s="6">
        <v>3</v>
      </c>
      <c r="W131" s="6" t="s">
        <v>22</v>
      </c>
      <c r="X131" s="5">
        <v>4.5295201008510695</v>
      </c>
      <c r="Y131" s="5">
        <v>0.39459459459459456</v>
      </c>
      <c r="Z131" s="5">
        <v>0.54545454545454541</v>
      </c>
      <c r="AA131" s="6">
        <v>4</v>
      </c>
      <c r="AF131"/>
      <c r="AG131"/>
      <c r="AH131"/>
      <c r="AJ131"/>
      <c r="AK131"/>
      <c r="AL131"/>
      <c r="AM131"/>
      <c r="AN131"/>
      <c r="AO131"/>
      <c r="AP131"/>
    </row>
    <row r="132" spans="1:42" x14ac:dyDescent="0.3">
      <c r="A132" s="69" t="s">
        <v>145</v>
      </c>
      <c r="B132" s="77">
        <v>319</v>
      </c>
      <c r="C132" s="69" t="s">
        <v>400</v>
      </c>
      <c r="D132" s="69" t="s">
        <v>643</v>
      </c>
      <c r="E132" s="69" t="str">
        <f>VLOOKUP(Table1[[#This Row],[Code]], [1]Basque!$1:$1048576, 4, 0)</f>
        <v>behi</v>
      </c>
      <c r="F132" s="75">
        <v>0</v>
      </c>
      <c r="G132" s="76">
        <v>6.0229999999999997</v>
      </c>
      <c r="H132" s="76">
        <v>0</v>
      </c>
      <c r="I132" s="76">
        <v>100</v>
      </c>
      <c r="J132" s="76">
        <v>2.65</v>
      </c>
      <c r="K132" s="69" t="s">
        <v>1285</v>
      </c>
      <c r="L132" s="76">
        <f xml:space="preserve"> 1 - Table1[[#This Row],[Phon_Similarity]]</f>
        <v>0.60606060606060608</v>
      </c>
      <c r="M132" s="76">
        <f xml:space="preserve"> 1 -Table1[[#This Row],[Orth_Similarity]]</f>
        <v>0.48484848484848486</v>
      </c>
      <c r="N132" s="77">
        <v>4</v>
      </c>
      <c r="O132" s="77">
        <v>4</v>
      </c>
      <c r="P132" s="77">
        <v>2</v>
      </c>
      <c r="Q132" s="76">
        <v>4.1650790000000004</v>
      </c>
      <c r="R132" s="76"/>
      <c r="S132" s="69" t="s">
        <v>876</v>
      </c>
      <c r="T132" s="69" t="s">
        <v>1119</v>
      </c>
      <c r="U132" s="77">
        <v>3</v>
      </c>
      <c r="V132" s="77">
        <v>2</v>
      </c>
      <c r="W132" s="77" t="s">
        <v>22</v>
      </c>
      <c r="X132" s="76">
        <v>4.4401069535264508</v>
      </c>
      <c r="Y132" s="76">
        <v>0.39393939393939392</v>
      </c>
      <c r="Z132" s="76">
        <v>0.51515151515151514</v>
      </c>
      <c r="AA132" s="77">
        <v>4</v>
      </c>
      <c r="AF132"/>
      <c r="AG132"/>
      <c r="AH132"/>
      <c r="AJ132"/>
      <c r="AK132"/>
      <c r="AL132"/>
      <c r="AM132"/>
      <c r="AN132"/>
      <c r="AO132"/>
      <c r="AP132"/>
    </row>
    <row r="133" spans="1:42" x14ac:dyDescent="0.3">
      <c r="A133" t="s">
        <v>172</v>
      </c>
      <c r="B133" s="6">
        <v>391</v>
      </c>
      <c r="C133" t="s">
        <v>427</v>
      </c>
      <c r="D133" t="s">
        <v>664</v>
      </c>
      <c r="E133" t="str">
        <f>VLOOKUP(Table1[[#This Row],[Code]], [1]Basque!$1:$1048576, 4, 0)</f>
        <v>kate</v>
      </c>
      <c r="F133" s="73">
        <v>0.4</v>
      </c>
      <c r="G133" s="5">
        <v>6.4429999999999996</v>
      </c>
      <c r="H133" s="5">
        <v>0</v>
      </c>
      <c r="I133" s="5">
        <v>100</v>
      </c>
      <c r="J133" s="5">
        <v>2.08</v>
      </c>
      <c r="K133" t="s">
        <v>1290</v>
      </c>
      <c r="L133" s="5">
        <f xml:space="preserve"> 1 - Table1[[#This Row],[Phon_Similarity]]</f>
        <v>0.60799999999999998</v>
      </c>
      <c r="M133" s="5">
        <f xml:space="preserve"> 1 -Table1[[#This Row],[Orth_Similarity]]</f>
        <v>0.68070175438596492</v>
      </c>
      <c r="N133" s="6">
        <v>6</v>
      </c>
      <c r="O133" s="6">
        <v>6</v>
      </c>
      <c r="P133" s="6">
        <v>2</v>
      </c>
      <c r="Q133" s="5">
        <v>4.8367310000000003</v>
      </c>
      <c r="R133" s="5" t="s">
        <v>1419</v>
      </c>
      <c r="S133" t="s">
        <v>903</v>
      </c>
      <c r="T133" t="s">
        <v>1146</v>
      </c>
      <c r="U133" s="6">
        <v>5</v>
      </c>
      <c r="V133" s="6">
        <v>3</v>
      </c>
      <c r="W133" s="6" t="s">
        <v>22</v>
      </c>
      <c r="X133" s="5">
        <v>4.4874965302074958</v>
      </c>
      <c r="Y133" s="5">
        <v>0.39200000000000002</v>
      </c>
      <c r="Z133" s="5">
        <v>0.31929824561403508</v>
      </c>
      <c r="AA133" s="6">
        <v>4</v>
      </c>
      <c r="AF133"/>
      <c r="AG133"/>
      <c r="AH133"/>
      <c r="AJ133"/>
      <c r="AK133"/>
      <c r="AL133"/>
      <c r="AM133"/>
      <c r="AN133"/>
      <c r="AO133"/>
      <c r="AP133"/>
    </row>
    <row r="134" spans="1:42" x14ac:dyDescent="0.3">
      <c r="A134" t="s">
        <v>90</v>
      </c>
      <c r="B134" s="6">
        <v>163</v>
      </c>
      <c r="C134" t="s">
        <v>345</v>
      </c>
      <c r="D134" t="s">
        <v>595</v>
      </c>
      <c r="E134" t="str">
        <f>VLOOKUP(Table1[[#This Row],[Code]], [1]Basque!$1:$1048576, 4, 0)</f>
        <v>koko</v>
      </c>
      <c r="F134" s="73">
        <v>1</v>
      </c>
      <c r="G134" s="68">
        <v>0</v>
      </c>
      <c r="H134" s="5">
        <v>0</v>
      </c>
      <c r="I134" s="5">
        <v>100</v>
      </c>
      <c r="J134" s="5">
        <v>2.29</v>
      </c>
      <c r="K134" t="s">
        <v>1288</v>
      </c>
      <c r="L134" s="5">
        <f xml:space="preserve"> 1 - Table1[[#This Row],[Phon_Similarity]]</f>
        <v>0.61333333333333329</v>
      </c>
      <c r="M134" s="5">
        <f xml:space="preserve"> 1 -Table1[[#This Row],[Orth_Similarity]]</f>
        <v>0.70175438596491224</v>
      </c>
      <c r="N134" s="6">
        <v>4</v>
      </c>
      <c r="O134" s="6">
        <v>4</v>
      </c>
      <c r="P134" s="6">
        <v>3</v>
      </c>
      <c r="Q134" s="5">
        <v>3.7968769999999998</v>
      </c>
      <c r="R134" s="5" t="s">
        <v>1419</v>
      </c>
      <c r="S134" t="s">
        <v>822</v>
      </c>
      <c r="T134" t="s">
        <v>1065</v>
      </c>
      <c r="U134" s="6">
        <v>7</v>
      </c>
      <c r="V134" s="6">
        <v>7</v>
      </c>
      <c r="W134" s="6" t="s">
        <v>24</v>
      </c>
      <c r="X134" s="5">
        <v>4.0825912553793149</v>
      </c>
      <c r="Y134" s="5">
        <v>0.38666666666666671</v>
      </c>
      <c r="Z134" s="5">
        <v>0.29824561403508776</v>
      </c>
      <c r="AA134" s="6">
        <v>3</v>
      </c>
      <c r="AF134"/>
      <c r="AG134"/>
      <c r="AH134"/>
      <c r="AJ134"/>
      <c r="AK134"/>
      <c r="AL134"/>
      <c r="AM134"/>
      <c r="AN134"/>
      <c r="AO134"/>
      <c r="AP134"/>
    </row>
    <row r="135" spans="1:42" x14ac:dyDescent="0.3">
      <c r="A135" t="s">
        <v>254</v>
      </c>
      <c r="B135" s="6">
        <v>606</v>
      </c>
      <c r="C135" t="s">
        <v>509</v>
      </c>
      <c r="D135" t="s">
        <v>742</v>
      </c>
      <c r="E135" t="str">
        <f>VLOOKUP(Table1[[#This Row],[Code]], [1]Basque!$1:$1048576, 4, 0)</f>
        <v>katu</v>
      </c>
      <c r="F135" s="74">
        <v>0.33300000000000002</v>
      </c>
      <c r="G135" s="68">
        <v>0</v>
      </c>
      <c r="H135" s="5">
        <v>0</v>
      </c>
      <c r="I135" s="5">
        <v>100</v>
      </c>
      <c r="J135" s="5">
        <v>2.96</v>
      </c>
      <c r="K135" t="s">
        <v>1285</v>
      </c>
      <c r="L135" s="5">
        <f xml:space="preserve"> 1 - Table1[[#This Row],[Phon_Similarity]]</f>
        <v>0.62666666666666671</v>
      </c>
      <c r="M135" s="5">
        <f xml:space="preserve"> 1 -Table1[[#This Row],[Orth_Similarity]]</f>
        <v>0.76756756756756761</v>
      </c>
      <c r="N135" s="6">
        <v>4</v>
      </c>
      <c r="O135" s="6">
        <v>4</v>
      </c>
      <c r="P135" s="6">
        <v>2</v>
      </c>
      <c r="Q135" s="5">
        <v>4.5861109999999998</v>
      </c>
      <c r="R135" s="5" t="s">
        <v>1419</v>
      </c>
      <c r="S135" t="s">
        <v>980</v>
      </c>
      <c r="T135" t="s">
        <v>1225</v>
      </c>
      <c r="U135" s="6">
        <v>3</v>
      </c>
      <c r="V135" s="6">
        <v>3</v>
      </c>
      <c r="W135" s="6" t="s">
        <v>22</v>
      </c>
      <c r="X135" s="5">
        <v>4.8295619402709846</v>
      </c>
      <c r="Y135" s="5">
        <v>0.37333333333333329</v>
      </c>
      <c r="Z135" s="5">
        <v>0.23243243243243239</v>
      </c>
      <c r="AA135" s="6">
        <v>2</v>
      </c>
      <c r="AF135"/>
      <c r="AG135"/>
      <c r="AH135"/>
      <c r="AJ135"/>
      <c r="AK135"/>
      <c r="AL135"/>
      <c r="AM135"/>
      <c r="AN135"/>
      <c r="AO135"/>
      <c r="AP135"/>
    </row>
    <row r="136" spans="1:42" x14ac:dyDescent="0.3">
      <c r="A136" t="s">
        <v>77</v>
      </c>
      <c r="B136" s="6">
        <v>142</v>
      </c>
      <c r="C136" t="s">
        <v>332</v>
      </c>
      <c r="D136" t="s">
        <v>585</v>
      </c>
      <c r="E136" t="str">
        <f>VLOOKUP(Table1[[#This Row],[Code]], [1]Basque!$1:$1048576, 4, 0)</f>
        <v>edalontzi</v>
      </c>
      <c r="F136" s="74">
        <v>0.33300000000000002</v>
      </c>
      <c r="G136" s="5">
        <v>6.6130000000000004</v>
      </c>
      <c r="H136" s="5">
        <v>0</v>
      </c>
      <c r="I136" s="5">
        <v>100</v>
      </c>
      <c r="J136" s="5">
        <v>1.71</v>
      </c>
      <c r="K136" t="s">
        <v>1290</v>
      </c>
      <c r="L136" s="5">
        <f xml:space="preserve"> 1 - Table1[[#This Row],[Phon_Similarity]]</f>
        <v>0.62727272727272732</v>
      </c>
      <c r="M136" s="5">
        <f xml:space="preserve"> 1 -Table1[[#This Row],[Orth_Similarity]]</f>
        <v>0.47843137254901968</v>
      </c>
      <c r="N136" s="6">
        <v>4</v>
      </c>
      <c r="O136" s="6">
        <v>4</v>
      </c>
      <c r="P136" s="6">
        <v>2</v>
      </c>
      <c r="Q136" s="5">
        <v>4.1775390000000003</v>
      </c>
      <c r="R136" s="5"/>
      <c r="S136" t="s">
        <v>809</v>
      </c>
      <c r="T136" t="s">
        <v>1052</v>
      </c>
      <c r="U136" s="6">
        <v>5</v>
      </c>
      <c r="V136" s="6">
        <v>4</v>
      </c>
      <c r="W136" s="6" t="s">
        <v>22</v>
      </c>
      <c r="X136" s="5">
        <v>4.9188940686549341</v>
      </c>
      <c r="Y136" s="5">
        <v>0.37272727272727268</v>
      </c>
      <c r="Z136" s="5">
        <v>0.52156862745098032</v>
      </c>
      <c r="AA136" s="6">
        <v>3</v>
      </c>
      <c r="AF136"/>
      <c r="AG136"/>
      <c r="AH136"/>
      <c r="AJ136"/>
      <c r="AK136"/>
      <c r="AL136"/>
      <c r="AM136"/>
      <c r="AN136"/>
      <c r="AO136"/>
      <c r="AP136"/>
    </row>
    <row r="137" spans="1:42" x14ac:dyDescent="0.3">
      <c r="A137" t="s">
        <v>151</v>
      </c>
      <c r="B137" s="6">
        <v>336</v>
      </c>
      <c r="C137" t="s">
        <v>406</v>
      </c>
      <c r="D137" t="s">
        <v>648</v>
      </c>
      <c r="E137" t="str">
        <f>VLOOKUP(Table1[[#This Row],[Code]], [1]Basque!$1:$1048576, 4, 0)</f>
        <v>erregela</v>
      </c>
      <c r="F137" s="73">
        <v>0.5</v>
      </c>
      <c r="G137" s="5">
        <v>5.585</v>
      </c>
      <c r="H137" s="5">
        <v>0</v>
      </c>
      <c r="I137" s="5">
        <v>100</v>
      </c>
      <c r="J137" s="5">
        <v>1.6</v>
      </c>
      <c r="K137" t="s">
        <v>1290</v>
      </c>
      <c r="L137" s="5">
        <f xml:space="preserve"> 1 - Table1[[#This Row],[Phon_Similarity]]</f>
        <v>0.62962962962962965</v>
      </c>
      <c r="M137" s="5">
        <f xml:space="preserve"> 1 -Table1[[#This Row],[Orth_Similarity]]</f>
        <v>0.6074074074074074</v>
      </c>
      <c r="N137" s="6">
        <v>5</v>
      </c>
      <c r="O137" s="6">
        <v>5</v>
      </c>
      <c r="P137" s="6">
        <v>2</v>
      </c>
      <c r="Q137" s="5">
        <v>4.5097240000000003</v>
      </c>
      <c r="R137" s="5" t="s">
        <v>1419</v>
      </c>
      <c r="S137" t="s">
        <v>882</v>
      </c>
      <c r="T137" t="s">
        <v>1125</v>
      </c>
      <c r="U137" s="6">
        <v>5</v>
      </c>
      <c r="V137" s="6">
        <v>4</v>
      </c>
      <c r="W137" s="6" t="s">
        <v>23</v>
      </c>
      <c r="X137" s="5">
        <v>3.6327518336594045</v>
      </c>
      <c r="Y137" s="5">
        <v>0.37037037037037035</v>
      </c>
      <c r="Z137" s="5">
        <v>0.3925925925925926</v>
      </c>
      <c r="AA137" s="6">
        <v>4</v>
      </c>
      <c r="AF137"/>
      <c r="AG137"/>
      <c r="AH137"/>
      <c r="AJ137"/>
      <c r="AK137"/>
      <c r="AL137"/>
      <c r="AM137"/>
      <c r="AN137"/>
      <c r="AO137"/>
      <c r="AP137"/>
    </row>
    <row r="138" spans="1:42" x14ac:dyDescent="0.3">
      <c r="A138" t="s">
        <v>291</v>
      </c>
      <c r="B138" s="6">
        <v>695</v>
      </c>
      <c r="C138" t="s">
        <v>546</v>
      </c>
      <c r="D138" t="s">
        <v>775</v>
      </c>
      <c r="E138" s="15" t="e">
        <f>VLOOKUP(Table1[[#This Row],[Code]], [1]Basque!$1:$1048576, 4, 0)</f>
        <v>#N/A</v>
      </c>
      <c r="F138" s="73">
        <v>0.5</v>
      </c>
      <c r="G138" s="5">
        <v>6.0510000000000002</v>
      </c>
      <c r="H138" s="5">
        <v>0</v>
      </c>
      <c r="I138" s="5">
        <v>100</v>
      </c>
      <c r="J138" s="5">
        <v>2.17</v>
      </c>
      <c r="K138" t="s">
        <v>1288</v>
      </c>
      <c r="L138" s="5">
        <f xml:space="preserve"> 1 - Table1[[#This Row],[Phon_Similarity]]</f>
        <v>0.63124999999999998</v>
      </c>
      <c r="M138" s="5">
        <f xml:space="preserve"> 1 -Table1[[#This Row],[Orth_Similarity]]</f>
        <v>0.64761904761904765</v>
      </c>
      <c r="N138" s="6">
        <v>7</v>
      </c>
      <c r="O138" s="6">
        <v>7</v>
      </c>
      <c r="P138" s="6">
        <v>3</v>
      </c>
      <c r="Q138" s="5">
        <v>4.1749049999999999</v>
      </c>
      <c r="R138" s="5" t="s">
        <v>1419</v>
      </c>
      <c r="S138" t="s">
        <v>1013</v>
      </c>
      <c r="T138" t="s">
        <v>1261</v>
      </c>
      <c r="U138" s="6">
        <v>6</v>
      </c>
      <c r="V138" s="6">
        <v>5</v>
      </c>
      <c r="W138" s="6" t="s">
        <v>23</v>
      </c>
      <c r="X138" s="5">
        <v>4.6444909063628597</v>
      </c>
      <c r="Y138" s="5">
        <v>0.36875000000000002</v>
      </c>
      <c r="Z138" s="5">
        <v>0.35238095238095235</v>
      </c>
      <c r="AA138" s="6">
        <v>4</v>
      </c>
      <c r="AF138"/>
      <c r="AG138"/>
      <c r="AH138"/>
      <c r="AJ138"/>
      <c r="AK138"/>
      <c r="AL138"/>
      <c r="AM138"/>
      <c r="AN138"/>
      <c r="AO138"/>
      <c r="AP138"/>
    </row>
    <row r="139" spans="1:42" x14ac:dyDescent="0.3">
      <c r="A139" t="s">
        <v>306</v>
      </c>
      <c r="B139" s="6">
        <v>87</v>
      </c>
      <c r="C139" t="s">
        <v>561</v>
      </c>
      <c r="D139" t="s">
        <v>789</v>
      </c>
      <c r="E139" t="str">
        <f>VLOOKUP(Table1[[#This Row],[Code]], [1]Basque!$1:$1048576, 4, 0)</f>
        <v>robota</v>
      </c>
      <c r="F139" s="73">
        <v>1</v>
      </c>
      <c r="G139" s="5">
        <v>6.0990000000000002</v>
      </c>
      <c r="H139" s="5">
        <v>0</v>
      </c>
      <c r="I139" s="5">
        <v>100</v>
      </c>
      <c r="J139" s="5">
        <v>2.54</v>
      </c>
      <c r="K139" t="s">
        <v>1290</v>
      </c>
      <c r="L139" s="5">
        <f xml:space="preserve"> 1 - Table1[[#This Row],[Phon_Similarity]]</f>
        <v>0.63157894736842102</v>
      </c>
      <c r="M139" s="5">
        <f xml:space="preserve"> 1 -Table1[[#This Row],[Orth_Similarity]]</f>
        <v>1</v>
      </c>
      <c r="N139" s="6">
        <v>5</v>
      </c>
      <c r="O139" s="6">
        <v>5</v>
      </c>
      <c r="P139" s="6">
        <v>2</v>
      </c>
      <c r="Q139" s="5">
        <v>3.9864229999999998</v>
      </c>
      <c r="R139" s="5"/>
      <c r="S139" t="s">
        <v>561</v>
      </c>
      <c r="T139" t="s">
        <v>1276</v>
      </c>
      <c r="U139" s="6">
        <v>5</v>
      </c>
      <c r="V139" s="6">
        <v>5</v>
      </c>
      <c r="W139" s="6" t="s">
        <v>23</v>
      </c>
      <c r="X139" s="5">
        <v>4.0928062761539987</v>
      </c>
      <c r="Y139" s="5">
        <v>0.36842105263157898</v>
      </c>
      <c r="Z139" s="5">
        <v>0</v>
      </c>
      <c r="AA139" s="6">
        <v>0</v>
      </c>
      <c r="AF139"/>
      <c r="AG139"/>
      <c r="AH139"/>
      <c r="AJ139"/>
      <c r="AK139"/>
      <c r="AL139"/>
      <c r="AM139"/>
      <c r="AN139"/>
      <c r="AO139"/>
      <c r="AP139"/>
    </row>
    <row r="140" spans="1:42" x14ac:dyDescent="0.3">
      <c r="A140" t="s">
        <v>189</v>
      </c>
      <c r="B140" s="6">
        <v>445</v>
      </c>
      <c r="C140" t="s">
        <v>444</v>
      </c>
      <c r="D140" t="s">
        <v>680</v>
      </c>
      <c r="E140" s="15" t="e">
        <f>VLOOKUP(Table1[[#This Row],[Code]], [1]Basque!$1:$1048576, 4, 0)</f>
        <v>#N/A</v>
      </c>
      <c r="F140" s="74">
        <v>0.66700000000000004</v>
      </c>
      <c r="G140" s="5">
        <v>6.33</v>
      </c>
      <c r="H140" s="5">
        <v>0</v>
      </c>
      <c r="I140" s="5">
        <v>100</v>
      </c>
      <c r="J140" s="5">
        <v>2.63</v>
      </c>
      <c r="K140" t="s">
        <v>1290</v>
      </c>
      <c r="L140" s="5">
        <f xml:space="preserve"> 1 - Table1[[#This Row],[Phon_Similarity]]</f>
        <v>0.63636363636363635</v>
      </c>
      <c r="M140" s="5">
        <f xml:space="preserve"> 1 -Table1[[#This Row],[Orth_Similarity]]</f>
        <v>0.65454545454545454</v>
      </c>
      <c r="N140" s="6">
        <v>4</v>
      </c>
      <c r="O140" s="6">
        <v>4</v>
      </c>
      <c r="P140" s="6">
        <v>3</v>
      </c>
      <c r="Q140" s="5">
        <v>4.2613519999999996</v>
      </c>
      <c r="R140" s="5" t="s">
        <v>1419</v>
      </c>
      <c r="S140" t="s">
        <v>920</v>
      </c>
      <c r="T140" t="s">
        <v>1163</v>
      </c>
      <c r="U140" s="6">
        <v>4</v>
      </c>
      <c r="V140" s="6">
        <v>4</v>
      </c>
      <c r="W140" s="6" t="s">
        <v>22</v>
      </c>
      <c r="X140" s="5">
        <v>4.4028799145370359</v>
      </c>
      <c r="Y140" s="5">
        <v>0.36363636363636365</v>
      </c>
      <c r="Z140" s="5">
        <v>0.34545454545454546</v>
      </c>
      <c r="AA140" s="6">
        <v>3</v>
      </c>
      <c r="AF140"/>
      <c r="AG140"/>
      <c r="AH140"/>
      <c r="AJ140"/>
      <c r="AK140"/>
      <c r="AL140"/>
      <c r="AM140"/>
      <c r="AN140"/>
      <c r="AO140"/>
      <c r="AP140"/>
    </row>
    <row r="141" spans="1:42" x14ac:dyDescent="0.3">
      <c r="A141" t="s">
        <v>203</v>
      </c>
      <c r="B141" s="6">
        <v>480</v>
      </c>
      <c r="C141" t="s">
        <v>458</v>
      </c>
      <c r="D141" t="s">
        <v>693</v>
      </c>
      <c r="E141" t="str">
        <f>VLOOKUP(Table1[[#This Row],[Code]], [1]Basque!$1:$1048576, 4, 0)</f>
        <v>larrosa</v>
      </c>
      <c r="F141" s="74">
        <v>0.66700000000000004</v>
      </c>
      <c r="G141" s="68">
        <v>0</v>
      </c>
      <c r="H141" s="5">
        <v>0.24229218899999999</v>
      </c>
      <c r="I141" s="5">
        <v>96</v>
      </c>
      <c r="J141" s="5">
        <v>2.44</v>
      </c>
      <c r="K141" t="s">
        <v>983</v>
      </c>
      <c r="L141" s="5">
        <f xml:space="preserve"> 1 - Table1[[#This Row],[Phon_Similarity]]</f>
        <v>0.63829787234042556</v>
      </c>
      <c r="M141" s="5">
        <f xml:space="preserve"> 1 -Table1[[#This Row],[Orth_Similarity]]</f>
        <v>0.95</v>
      </c>
      <c r="N141" s="6">
        <v>4</v>
      </c>
      <c r="O141" s="6">
        <v>4</v>
      </c>
      <c r="P141" s="6">
        <v>2</v>
      </c>
      <c r="Q141" s="5">
        <v>4.7773190000000003</v>
      </c>
      <c r="R141" s="5"/>
      <c r="S141" t="s">
        <v>934</v>
      </c>
      <c r="T141" t="s">
        <v>1177</v>
      </c>
      <c r="U141" s="6">
        <v>4</v>
      </c>
      <c r="V141" s="6">
        <v>3</v>
      </c>
      <c r="W141" s="6" t="s">
        <v>22</v>
      </c>
      <c r="X141" s="5">
        <v>4.643855150575126</v>
      </c>
      <c r="Y141" s="5">
        <v>0.36170212765957444</v>
      </c>
      <c r="Z141" s="5">
        <v>5.0000000000000044E-2</v>
      </c>
      <c r="AA141" s="6">
        <v>1</v>
      </c>
      <c r="AF141"/>
      <c r="AG141"/>
      <c r="AH141"/>
      <c r="AJ141"/>
      <c r="AK141"/>
      <c r="AL141"/>
      <c r="AM141"/>
      <c r="AN141"/>
      <c r="AO141"/>
      <c r="AP141"/>
    </row>
    <row r="142" spans="1:42" x14ac:dyDescent="0.3">
      <c r="A142" t="s">
        <v>173</v>
      </c>
      <c r="B142" s="6">
        <v>392</v>
      </c>
      <c r="C142" t="s">
        <v>428</v>
      </c>
      <c r="D142" t="s">
        <v>665</v>
      </c>
      <c r="E142" t="str">
        <f>VLOOKUP(Table1[[#This Row],[Code]], [1]Basque!$1:$1048576, 4, 0)</f>
        <v>tetera</v>
      </c>
      <c r="F142" s="73">
        <v>0</v>
      </c>
      <c r="G142" s="68">
        <v>0</v>
      </c>
      <c r="H142" s="5">
        <v>0.195909271</v>
      </c>
      <c r="I142" s="5">
        <v>96.969696970000001</v>
      </c>
      <c r="J142" s="5">
        <v>1.82</v>
      </c>
      <c r="K142" t="s">
        <v>1290</v>
      </c>
      <c r="L142" s="5">
        <f xml:space="preserve"> 1 - Table1[[#This Row],[Phon_Similarity]]</f>
        <v>0.63859649122807016</v>
      </c>
      <c r="M142" s="5">
        <f xml:space="preserve"> 1 -Table1[[#This Row],[Orth_Similarity]]</f>
        <v>0.56666666666666665</v>
      </c>
      <c r="N142" s="6">
        <v>6</v>
      </c>
      <c r="O142" s="6">
        <v>6</v>
      </c>
      <c r="P142" s="6">
        <v>3</v>
      </c>
      <c r="Q142" s="5">
        <v>2.852214</v>
      </c>
      <c r="R142" s="5" t="s">
        <v>1419</v>
      </c>
      <c r="S142" t="s">
        <v>904</v>
      </c>
      <c r="T142" t="s">
        <v>1147</v>
      </c>
      <c r="U142" s="6">
        <v>6</v>
      </c>
      <c r="V142" s="6">
        <v>5</v>
      </c>
      <c r="W142" s="6" t="s">
        <v>23</v>
      </c>
      <c r="X142" s="5">
        <v>3.779238346024858</v>
      </c>
      <c r="Y142" s="5">
        <v>0.36140350877192984</v>
      </c>
      <c r="Z142" s="5">
        <v>0.43333333333333335</v>
      </c>
      <c r="AA142" s="6">
        <v>4</v>
      </c>
      <c r="AF142"/>
      <c r="AG142"/>
      <c r="AH142"/>
      <c r="AJ142"/>
      <c r="AK142"/>
      <c r="AL142"/>
      <c r="AM142"/>
      <c r="AN142"/>
      <c r="AO142"/>
      <c r="AP142"/>
    </row>
    <row r="143" spans="1:42" x14ac:dyDescent="0.3">
      <c r="A143" t="s">
        <v>188</v>
      </c>
      <c r="B143" s="6">
        <v>442</v>
      </c>
      <c r="C143" t="s">
        <v>443</v>
      </c>
      <c r="D143" t="s">
        <v>679</v>
      </c>
      <c r="E143" t="str">
        <f>VLOOKUP(Table1[[#This Row],[Code]], [1]Basque!$1:$1048576, 4, 0)</f>
        <v>pi</v>
      </c>
      <c r="F143" s="74">
        <v>0.33300000000000002</v>
      </c>
      <c r="G143" s="68">
        <v>0</v>
      </c>
      <c r="H143" s="5">
        <v>0</v>
      </c>
      <c r="I143" s="5">
        <v>100</v>
      </c>
      <c r="J143" s="5">
        <v>2.36</v>
      </c>
      <c r="K143" t="s">
        <v>1285</v>
      </c>
      <c r="L143" s="5">
        <f xml:space="preserve"> 1 - Table1[[#This Row],[Phon_Similarity]]</f>
        <v>0.63859649122807016</v>
      </c>
      <c r="M143" s="5">
        <f xml:space="preserve"> 1 -Table1[[#This Row],[Orth_Similarity]]</f>
        <v>0.43333333333333335</v>
      </c>
      <c r="N143" s="6">
        <v>4</v>
      </c>
      <c r="O143" s="6">
        <v>4</v>
      </c>
      <c r="P143" s="6">
        <v>3</v>
      </c>
      <c r="Q143" s="5">
        <v>3.3959990000000002</v>
      </c>
      <c r="R143" s="5"/>
      <c r="S143" t="s">
        <v>919</v>
      </c>
      <c r="T143" t="s">
        <v>1162</v>
      </c>
      <c r="U143" s="6">
        <v>9</v>
      </c>
      <c r="V143" s="6">
        <v>6</v>
      </c>
      <c r="W143" s="6" t="s">
        <v>24</v>
      </c>
      <c r="X143" s="5">
        <v>3.8449548388499704</v>
      </c>
      <c r="Y143" s="5">
        <v>0.36140350877192984</v>
      </c>
      <c r="Z143" s="5">
        <v>0.56666666666666665</v>
      </c>
      <c r="AA143" s="6">
        <v>6</v>
      </c>
      <c r="AF143"/>
      <c r="AG143"/>
      <c r="AH143"/>
      <c r="AJ143"/>
      <c r="AK143"/>
      <c r="AL143"/>
      <c r="AM143"/>
      <c r="AN143"/>
      <c r="AO143"/>
      <c r="AP143"/>
    </row>
    <row r="144" spans="1:42" x14ac:dyDescent="0.3">
      <c r="A144" t="s">
        <v>61</v>
      </c>
      <c r="B144" s="6">
        <v>100</v>
      </c>
      <c r="C144" t="s">
        <v>316</v>
      </c>
      <c r="D144" t="s">
        <v>571</v>
      </c>
      <c r="E144" t="str">
        <f>VLOOKUP(Table1[[#This Row],[Code]], [1]Basque!$1:$1048576, 4, 0)</f>
        <v>sudur</v>
      </c>
      <c r="F144" s="73">
        <v>0.75</v>
      </c>
      <c r="G144" s="5">
        <v>6.39</v>
      </c>
      <c r="H144" s="5">
        <v>0</v>
      </c>
      <c r="I144" s="5">
        <v>100</v>
      </c>
      <c r="J144" s="5">
        <v>1.61</v>
      </c>
      <c r="K144" t="s">
        <v>1286</v>
      </c>
      <c r="L144" s="5">
        <f xml:space="preserve"> 1 - Table1[[#This Row],[Phon_Similarity]]</f>
        <v>0.65531914893617016</v>
      </c>
      <c r="M144" s="5">
        <f xml:space="preserve"> 1 -Table1[[#This Row],[Orth_Similarity]]</f>
        <v>0.55319148936170215</v>
      </c>
      <c r="N144" s="6">
        <v>5</v>
      </c>
      <c r="O144" s="6">
        <v>5</v>
      </c>
      <c r="P144" s="6">
        <v>3</v>
      </c>
      <c r="Q144" s="5">
        <v>4.3070940000000002</v>
      </c>
      <c r="R144" s="5" t="s">
        <v>1419</v>
      </c>
      <c r="S144" t="s">
        <v>795</v>
      </c>
      <c r="T144" t="s">
        <v>1036</v>
      </c>
      <c r="U144" s="6">
        <v>4</v>
      </c>
      <c r="V144" s="6">
        <v>3</v>
      </c>
      <c r="W144" s="6" t="s">
        <v>22</v>
      </c>
      <c r="X144" s="5">
        <v>4.7184939204313601</v>
      </c>
      <c r="Y144" s="5">
        <v>0.34468085106382984</v>
      </c>
      <c r="Z144" s="5">
        <v>0.44680851063829785</v>
      </c>
      <c r="AA144" s="6">
        <v>4</v>
      </c>
      <c r="AF144"/>
      <c r="AG144"/>
      <c r="AH144"/>
      <c r="AJ144"/>
      <c r="AK144"/>
      <c r="AL144"/>
      <c r="AM144"/>
      <c r="AN144"/>
      <c r="AO144"/>
      <c r="AP144"/>
    </row>
    <row r="145" spans="1:42" x14ac:dyDescent="0.3">
      <c r="A145" t="s">
        <v>224</v>
      </c>
      <c r="B145" s="6">
        <v>528</v>
      </c>
      <c r="C145" t="s">
        <v>479</v>
      </c>
      <c r="D145" t="s">
        <v>714</v>
      </c>
      <c r="E145" t="str">
        <f>VLOOKUP(Table1[[#This Row],[Code]], [1]Basque!$1:$1048576, 4, 0)</f>
        <v>zisne</v>
      </c>
      <c r="F145" s="73">
        <v>1</v>
      </c>
      <c r="G145" s="5">
        <v>6.3330000000000002</v>
      </c>
      <c r="H145" s="5">
        <v>0</v>
      </c>
      <c r="I145" s="5">
        <v>100</v>
      </c>
      <c r="J145" s="5">
        <v>2.63</v>
      </c>
      <c r="K145" t="s">
        <v>1285</v>
      </c>
      <c r="L145" s="5">
        <f xml:space="preserve"> 1 - Table1[[#This Row],[Phon_Similarity]]</f>
        <v>0.65531914893617016</v>
      </c>
      <c r="M145" s="5">
        <f xml:space="preserve"> 1 -Table1[[#This Row],[Orth_Similarity]]</f>
        <v>0.5957446808510638</v>
      </c>
      <c r="N145" s="6">
        <v>5</v>
      </c>
      <c r="O145" s="6">
        <v>5</v>
      </c>
      <c r="P145" s="6">
        <v>2</v>
      </c>
      <c r="Q145" s="5">
        <v>4.0459230000000002</v>
      </c>
      <c r="R145" s="5" t="s">
        <v>1419</v>
      </c>
      <c r="S145" t="s">
        <v>953</v>
      </c>
      <c r="T145" t="s">
        <v>1197</v>
      </c>
      <c r="U145" s="6">
        <v>4</v>
      </c>
      <c r="V145" s="6">
        <v>4</v>
      </c>
      <c r="W145" s="6" t="s">
        <v>22</v>
      </c>
      <c r="X145" s="5">
        <v>3.983761261582953</v>
      </c>
      <c r="Y145" s="5">
        <v>0.34468085106382984</v>
      </c>
      <c r="Z145" s="5">
        <v>0.4042553191489362</v>
      </c>
      <c r="AA145" s="6">
        <v>4</v>
      </c>
      <c r="AF145"/>
      <c r="AG145"/>
      <c r="AH145"/>
      <c r="AJ145"/>
      <c r="AK145"/>
      <c r="AL145"/>
      <c r="AM145"/>
      <c r="AN145"/>
      <c r="AO145"/>
      <c r="AP145"/>
    </row>
    <row r="146" spans="1:42" x14ac:dyDescent="0.3">
      <c r="A146" t="s">
        <v>158</v>
      </c>
      <c r="B146" s="6">
        <v>350</v>
      </c>
      <c r="C146" t="s">
        <v>413</v>
      </c>
      <c r="D146" t="s">
        <v>654</v>
      </c>
      <c r="E146" t="str">
        <f>VLOOKUP(Table1[[#This Row],[Code]], [1]Basque!$1:$1048576, 4, 0)</f>
        <v>biblia</v>
      </c>
      <c r="F146" s="73">
        <v>0.8</v>
      </c>
      <c r="G146" s="5">
        <v>5.702</v>
      </c>
      <c r="H146" s="5">
        <v>0</v>
      </c>
      <c r="I146" s="5">
        <v>100</v>
      </c>
      <c r="J146" s="5">
        <v>1.76</v>
      </c>
      <c r="K146" t="s">
        <v>1290</v>
      </c>
      <c r="L146" s="5">
        <f xml:space="preserve"> 1 - Table1[[#This Row],[Phon_Similarity]]</f>
        <v>0.68</v>
      </c>
      <c r="M146" s="5">
        <f xml:space="preserve"> 1 -Table1[[#This Row],[Orth_Similarity]]</f>
        <v>0.96140350877192982</v>
      </c>
      <c r="N146" s="6">
        <v>6</v>
      </c>
      <c r="O146" s="6">
        <v>6</v>
      </c>
      <c r="P146" s="6">
        <v>2</v>
      </c>
      <c r="Q146" s="5">
        <v>4.2399620000000002</v>
      </c>
      <c r="R146" s="5"/>
      <c r="S146" t="s">
        <v>889</v>
      </c>
      <c r="T146" t="s">
        <v>1132</v>
      </c>
      <c r="U146" s="6">
        <v>5</v>
      </c>
      <c r="V146" s="6">
        <v>4</v>
      </c>
      <c r="W146" s="6" t="s">
        <v>23</v>
      </c>
      <c r="X146" s="5">
        <v>4.2202616628209659</v>
      </c>
      <c r="Y146" s="5">
        <v>0.31999999999999995</v>
      </c>
      <c r="Z146" s="5">
        <v>3.8596491228070184E-2</v>
      </c>
      <c r="AA146" s="6">
        <v>2</v>
      </c>
      <c r="AF146"/>
      <c r="AG146"/>
      <c r="AH146"/>
      <c r="AJ146"/>
      <c r="AK146"/>
      <c r="AL146"/>
      <c r="AM146"/>
      <c r="AN146"/>
      <c r="AO146"/>
      <c r="AP146"/>
    </row>
    <row r="147" spans="1:42" x14ac:dyDescent="0.3">
      <c r="A147" t="s">
        <v>84</v>
      </c>
      <c r="B147" s="6">
        <v>155</v>
      </c>
      <c r="C147" t="s">
        <v>339</v>
      </c>
      <c r="D147" t="s">
        <v>339</v>
      </c>
      <c r="E147" t="str">
        <f>VLOOKUP(Table1[[#This Row],[Code]], [1]Basque!$1:$1048576, 4, 0)</f>
        <v>bala</v>
      </c>
      <c r="F147" s="74">
        <v>0.66700000000000004</v>
      </c>
      <c r="G147" s="5">
        <v>5.5750000000000002</v>
      </c>
      <c r="H147" s="5">
        <v>0.151096971</v>
      </c>
      <c r="I147" s="5">
        <v>97.826086959999998</v>
      </c>
      <c r="J147" s="5">
        <v>1.96</v>
      </c>
      <c r="K147" t="s">
        <v>1290</v>
      </c>
      <c r="L147" s="5">
        <f xml:space="preserve"> 1 - Table1[[#This Row],[Phon_Similarity]]</f>
        <v>0.68085106382978722</v>
      </c>
      <c r="M147" s="5">
        <f xml:space="preserve"> 1 -Table1[[#This Row],[Orth_Similarity]]</f>
        <v>0.6074074074074074</v>
      </c>
      <c r="N147" s="6">
        <v>4</v>
      </c>
      <c r="O147" s="6">
        <v>4</v>
      </c>
      <c r="P147" s="6">
        <v>2</v>
      </c>
      <c r="Q147" s="5">
        <v>3.9906250000000001</v>
      </c>
      <c r="R147" s="5" t="s">
        <v>1419</v>
      </c>
      <c r="S147" t="s">
        <v>816</v>
      </c>
      <c r="T147" t="s">
        <v>1059</v>
      </c>
      <c r="U147" s="6">
        <v>6</v>
      </c>
      <c r="V147" s="6">
        <v>5</v>
      </c>
      <c r="W147" s="6" t="s">
        <v>23</v>
      </c>
      <c r="X147" s="5">
        <v>4.0757659741624206</v>
      </c>
      <c r="Y147" s="5">
        <v>0.31914893617021278</v>
      </c>
      <c r="Z147" s="5">
        <v>0.3925925925925926</v>
      </c>
      <c r="AA147" s="6">
        <v>4</v>
      </c>
      <c r="AF147"/>
      <c r="AG147"/>
      <c r="AH147"/>
      <c r="AJ147"/>
      <c r="AK147"/>
      <c r="AL147"/>
      <c r="AM147"/>
      <c r="AN147"/>
      <c r="AO147"/>
      <c r="AP147"/>
    </row>
    <row r="148" spans="1:42" x14ac:dyDescent="0.3">
      <c r="A148" t="s">
        <v>169</v>
      </c>
      <c r="B148" s="6">
        <v>386</v>
      </c>
      <c r="C148" t="s">
        <v>424</v>
      </c>
      <c r="D148" t="s">
        <v>424</v>
      </c>
      <c r="E148" t="str">
        <f>VLOOKUP(Table1[[#This Row],[Code]], [1]Basque!$1:$1048576, 4, 0)</f>
        <v>bonba</v>
      </c>
      <c r="F148" s="73">
        <v>0.5</v>
      </c>
      <c r="G148" s="5">
        <v>5.7919999999999998</v>
      </c>
      <c r="H148" s="5">
        <v>0</v>
      </c>
      <c r="I148" s="5">
        <v>100</v>
      </c>
      <c r="J148" s="5">
        <v>1.65</v>
      </c>
      <c r="K148" t="s">
        <v>1290</v>
      </c>
      <c r="L148" s="5">
        <f xml:space="preserve"> 1 - Table1[[#This Row],[Phon_Similarity]]</f>
        <v>0.68181818181818177</v>
      </c>
      <c r="M148" s="5">
        <f xml:space="preserve"> 1 -Table1[[#This Row],[Orth_Similarity]]</f>
        <v>0.94117647058823528</v>
      </c>
      <c r="N148" s="6">
        <v>5</v>
      </c>
      <c r="O148" s="6">
        <v>5</v>
      </c>
      <c r="P148" s="6">
        <v>2</v>
      </c>
      <c r="Q148" s="5">
        <v>4.4692819999999998</v>
      </c>
      <c r="R148" s="5"/>
      <c r="S148" t="s">
        <v>900</v>
      </c>
      <c r="T148" t="s">
        <v>1143</v>
      </c>
      <c r="U148" s="6">
        <v>4</v>
      </c>
      <c r="V148" s="6">
        <v>3</v>
      </c>
      <c r="W148" s="6" t="s">
        <v>22</v>
      </c>
      <c r="X148" s="5">
        <v>4.4911290611258803</v>
      </c>
      <c r="Y148" s="5">
        <v>0.31818181818181823</v>
      </c>
      <c r="Z148" s="5">
        <v>5.8823529411764719E-2</v>
      </c>
      <c r="AA148" s="6">
        <v>1</v>
      </c>
      <c r="AF148"/>
      <c r="AG148"/>
      <c r="AH148"/>
      <c r="AJ148"/>
      <c r="AK148"/>
      <c r="AL148"/>
      <c r="AM148"/>
      <c r="AN148"/>
      <c r="AO148"/>
      <c r="AP148"/>
    </row>
    <row r="149" spans="1:42" x14ac:dyDescent="0.3">
      <c r="A149" t="s">
        <v>293</v>
      </c>
      <c r="B149" s="6">
        <v>720</v>
      </c>
      <c r="C149" t="s">
        <v>548</v>
      </c>
      <c r="D149" t="s">
        <v>777</v>
      </c>
      <c r="E149" t="str">
        <f>VLOOKUP(Table1[[#This Row],[Code]], [1]Basque!$1:$1048576, 4, 0)</f>
        <v>kometa</v>
      </c>
      <c r="F149" s="73">
        <v>0.4</v>
      </c>
      <c r="G149" s="5">
        <v>6.0659999999999998</v>
      </c>
      <c r="H149" s="5">
        <v>0</v>
      </c>
      <c r="I149" s="5">
        <v>100</v>
      </c>
      <c r="J149" s="5">
        <v>2.65</v>
      </c>
      <c r="K149" t="s">
        <v>1290</v>
      </c>
      <c r="L149" s="5">
        <f xml:space="preserve"> 1 - Table1[[#This Row],[Phon_Similarity]]</f>
        <v>0.69599999999999995</v>
      </c>
      <c r="M149" s="5">
        <f xml:space="preserve"> 1 -Table1[[#This Row],[Orth_Similarity]]</f>
        <v>0.70399999999999996</v>
      </c>
      <c r="N149" s="6">
        <v>6</v>
      </c>
      <c r="O149" s="6">
        <v>6</v>
      </c>
      <c r="P149" s="6">
        <v>3</v>
      </c>
      <c r="Q149" s="5">
        <v>3.7812830000000002</v>
      </c>
      <c r="R149" s="5" t="s">
        <v>1419</v>
      </c>
      <c r="S149" t="s">
        <v>1015</v>
      </c>
      <c r="T149" t="s">
        <v>1263</v>
      </c>
      <c r="U149" s="6">
        <v>4</v>
      </c>
      <c r="V149" s="6">
        <v>3</v>
      </c>
      <c r="W149" s="6" t="s">
        <v>22</v>
      </c>
      <c r="X149" s="5">
        <v>3.8852260398939578</v>
      </c>
      <c r="Y149" s="5">
        <v>0.30400000000000005</v>
      </c>
      <c r="Z149" s="5">
        <v>0.29600000000000004</v>
      </c>
      <c r="AA149" s="6">
        <v>5</v>
      </c>
      <c r="AF149"/>
      <c r="AG149"/>
      <c r="AH149"/>
      <c r="AJ149"/>
      <c r="AK149"/>
      <c r="AL149"/>
      <c r="AM149"/>
      <c r="AN149"/>
      <c r="AO149"/>
      <c r="AP149"/>
    </row>
    <row r="150" spans="1:42" x14ac:dyDescent="0.3">
      <c r="A150" t="s">
        <v>313</v>
      </c>
      <c r="B150" s="6">
        <v>98</v>
      </c>
      <c r="C150" t="s">
        <v>568</v>
      </c>
      <c r="D150" t="s">
        <v>792</v>
      </c>
      <c r="E150" t="str">
        <f>VLOOKUP(Table1[[#This Row],[Code]], [1]Basque!$1:$1048576, 4, 0)</f>
        <v>tigre</v>
      </c>
      <c r="F150" s="73">
        <v>0.5</v>
      </c>
      <c r="G150" s="5">
        <v>6.3630000000000004</v>
      </c>
      <c r="H150" s="5">
        <v>0.327444919</v>
      </c>
      <c r="I150" s="5">
        <v>94</v>
      </c>
      <c r="J150" s="5">
        <v>3.03</v>
      </c>
      <c r="K150" t="s">
        <v>1285</v>
      </c>
      <c r="L150" s="5">
        <f xml:space="preserve"> 1 - Table1[[#This Row],[Phon_Similarity]]</f>
        <v>0.69599999999999995</v>
      </c>
      <c r="M150" s="5">
        <f xml:space="preserve"> 1 -Table1[[#This Row],[Orth_Similarity]]</f>
        <v>0.88888888888888884</v>
      </c>
      <c r="N150" s="6">
        <v>5</v>
      </c>
      <c r="O150" s="6">
        <v>5</v>
      </c>
      <c r="P150" s="6">
        <v>2</v>
      </c>
      <c r="Q150" s="5">
        <v>4.4228209999999999</v>
      </c>
      <c r="R150" s="5"/>
      <c r="S150" t="s">
        <v>1033</v>
      </c>
      <c r="T150" t="s">
        <v>1283</v>
      </c>
      <c r="U150" s="6">
        <v>5</v>
      </c>
      <c r="V150" s="6">
        <v>4</v>
      </c>
      <c r="W150" s="6" t="s">
        <v>23</v>
      </c>
      <c r="X150" s="5">
        <v>4.3586823405272153</v>
      </c>
      <c r="Y150" s="5">
        <v>0.30400000000000005</v>
      </c>
      <c r="Z150" s="5">
        <v>0.11111111111111116</v>
      </c>
      <c r="AA150" s="6">
        <v>2</v>
      </c>
      <c r="AF150"/>
      <c r="AG150"/>
      <c r="AH150"/>
      <c r="AJ150"/>
      <c r="AK150"/>
      <c r="AL150"/>
      <c r="AM150"/>
      <c r="AN150"/>
      <c r="AO150"/>
      <c r="AP150"/>
    </row>
    <row r="151" spans="1:42" x14ac:dyDescent="0.3">
      <c r="A151" t="s">
        <v>220</v>
      </c>
      <c r="B151" s="6">
        <v>513</v>
      </c>
      <c r="C151" t="s">
        <v>475</v>
      </c>
      <c r="D151" t="s">
        <v>710</v>
      </c>
      <c r="E151" t="str">
        <f>VLOOKUP(Table1[[#This Row],[Code]], [1]Basque!$1:$1048576, 4, 0)</f>
        <v>ezpainak</v>
      </c>
      <c r="F151" s="73">
        <v>0.6</v>
      </c>
      <c r="G151" s="68">
        <v>0</v>
      </c>
      <c r="H151" s="5">
        <v>0.40217919000000002</v>
      </c>
      <c r="I151" s="5">
        <v>92</v>
      </c>
      <c r="J151" s="5">
        <v>2.04</v>
      </c>
      <c r="K151" t="s">
        <v>1286</v>
      </c>
      <c r="L151" s="5">
        <f xml:space="preserve"> 1 - Table1[[#This Row],[Phon_Similarity]]</f>
        <v>0.69787234042553192</v>
      </c>
      <c r="M151" s="5">
        <f xml:space="preserve"> 1 -Table1[[#This Row],[Orth_Similarity]]</f>
        <v>0.75555555555555554</v>
      </c>
      <c r="N151" s="6">
        <v>6</v>
      </c>
      <c r="O151" s="6">
        <v>6</v>
      </c>
      <c r="P151" s="6">
        <v>3</v>
      </c>
      <c r="Q151" s="5">
        <v>4.5640790000000004</v>
      </c>
      <c r="R151" s="5" t="s">
        <v>1419</v>
      </c>
      <c r="S151" t="s">
        <v>950</v>
      </c>
      <c r="T151" t="s">
        <v>1194</v>
      </c>
      <c r="U151" s="6">
        <v>4</v>
      </c>
      <c r="V151" s="6">
        <v>4</v>
      </c>
      <c r="W151" s="6" t="s">
        <v>22</v>
      </c>
      <c r="X151" s="5">
        <v>4.1250033926277592</v>
      </c>
      <c r="Y151" s="5">
        <v>0.30212765957446808</v>
      </c>
      <c r="Z151" s="5">
        <v>0.24444444444444446</v>
      </c>
      <c r="AA151" s="6">
        <v>3</v>
      </c>
      <c r="AF151"/>
      <c r="AG151"/>
      <c r="AH151"/>
      <c r="AJ151"/>
      <c r="AK151"/>
      <c r="AL151"/>
      <c r="AM151"/>
      <c r="AN151"/>
      <c r="AO151"/>
      <c r="AP151"/>
    </row>
    <row r="152" spans="1:42" x14ac:dyDescent="0.3">
      <c r="A152" t="s">
        <v>272</v>
      </c>
      <c r="B152" s="6">
        <v>650</v>
      </c>
      <c r="C152" t="s">
        <v>527</v>
      </c>
      <c r="D152" t="s">
        <v>759</v>
      </c>
      <c r="E152" t="str">
        <f>VLOOKUP(Table1[[#This Row],[Code]], [1]Basque!$1:$1048576, 4, 0)</f>
        <v>esponja</v>
      </c>
      <c r="F152" s="74">
        <v>0.33300000000000002</v>
      </c>
      <c r="G152" s="5">
        <v>6.2119999999999997</v>
      </c>
      <c r="H152" s="5">
        <v>0.43587529699999999</v>
      </c>
      <c r="I152" s="5">
        <v>92.957746479999997</v>
      </c>
      <c r="J152" s="5">
        <v>3.13</v>
      </c>
      <c r="K152" t="s">
        <v>1290</v>
      </c>
      <c r="L152" s="5">
        <f xml:space="preserve"> 1 - Table1[[#This Row],[Phon_Similarity]]</f>
        <v>0.71176470588235297</v>
      </c>
      <c r="M152" s="5">
        <f xml:space="preserve"> 1 -Table1[[#This Row],[Orth_Similarity]]</f>
        <v>0.78805970149253735</v>
      </c>
      <c r="N152" s="6">
        <v>7</v>
      </c>
      <c r="O152" s="6">
        <v>7</v>
      </c>
      <c r="P152" s="6">
        <v>3</v>
      </c>
      <c r="Q152" s="5">
        <v>3.279668</v>
      </c>
      <c r="R152" s="5" t="s">
        <v>1419</v>
      </c>
      <c r="S152" t="s">
        <v>995</v>
      </c>
      <c r="T152" t="s">
        <v>1242</v>
      </c>
      <c r="U152" s="6">
        <v>6</v>
      </c>
      <c r="V152" s="6">
        <v>5</v>
      </c>
      <c r="W152" s="6" t="s">
        <v>22</v>
      </c>
      <c r="X152" s="5">
        <v>4.1219215514391019</v>
      </c>
      <c r="Y152" s="5">
        <v>0.28823529411764703</v>
      </c>
      <c r="Z152" s="5">
        <v>0.21194029850746265</v>
      </c>
      <c r="AA152" s="6">
        <v>3</v>
      </c>
      <c r="AF152"/>
      <c r="AG152"/>
      <c r="AH152"/>
      <c r="AJ152"/>
      <c r="AK152"/>
      <c r="AL152"/>
      <c r="AM152"/>
      <c r="AN152"/>
      <c r="AO152"/>
      <c r="AP152"/>
    </row>
    <row r="153" spans="1:42" s="16" customFormat="1" x14ac:dyDescent="0.3">
      <c r="A153" t="s">
        <v>154</v>
      </c>
      <c r="B153" s="6">
        <v>341</v>
      </c>
      <c r="C153" t="s">
        <v>409</v>
      </c>
      <c r="D153" t="s">
        <v>409</v>
      </c>
      <c r="E153" t="str">
        <f>VLOOKUP(Table1[[#This Row],[Code]], [1]Basque!$1:$1048576, 4, 0)</f>
        <v>aleta</v>
      </c>
      <c r="F153" s="73">
        <v>0.5</v>
      </c>
      <c r="G153" s="5">
        <v>5.7460000000000004</v>
      </c>
      <c r="H153" s="5">
        <v>0</v>
      </c>
      <c r="I153" s="5">
        <v>100</v>
      </c>
      <c r="J153" s="5">
        <v>2.73</v>
      </c>
      <c r="K153" t="s">
        <v>1291</v>
      </c>
      <c r="L153" s="5">
        <f xml:space="preserve"> 1 - Table1[[#This Row],[Phon_Similarity]]</f>
        <v>0.71199999999999997</v>
      </c>
      <c r="M153" s="5">
        <f xml:space="preserve"> 1 -Table1[[#This Row],[Orth_Similarity]]</f>
        <v>0.5625</v>
      </c>
      <c r="N153" s="6">
        <v>5</v>
      </c>
      <c r="O153" s="6">
        <v>5</v>
      </c>
      <c r="P153" s="6">
        <v>3</v>
      </c>
      <c r="Q153" s="5">
        <v>3.2150609999999999</v>
      </c>
      <c r="R153" s="5"/>
      <c r="S153" t="s">
        <v>885</v>
      </c>
      <c r="T153" t="s">
        <v>1128</v>
      </c>
      <c r="U153" s="6">
        <v>7</v>
      </c>
      <c r="V153" s="6">
        <v>5</v>
      </c>
      <c r="W153" s="6" t="s">
        <v>23</v>
      </c>
      <c r="X153" s="5">
        <v>3.1842864426950346</v>
      </c>
      <c r="Y153" s="5">
        <v>0.28800000000000003</v>
      </c>
      <c r="Z153" s="5">
        <v>0.4375</v>
      </c>
      <c r="AA153" s="6">
        <v>6</v>
      </c>
    </row>
    <row r="154" spans="1:42" x14ac:dyDescent="0.3">
      <c r="A154" t="s">
        <v>144</v>
      </c>
      <c r="B154" s="6">
        <v>312</v>
      </c>
      <c r="C154" t="s">
        <v>399</v>
      </c>
      <c r="D154" t="s">
        <v>642</v>
      </c>
      <c r="E154" t="str">
        <f>VLOOKUP(Table1[[#This Row],[Code]], [1]Basque!$1:$1048576, 4, 0)</f>
        <v>lore</v>
      </c>
      <c r="F154" s="74">
        <v>0.66700000000000004</v>
      </c>
      <c r="G154" s="5">
        <v>6.306</v>
      </c>
      <c r="H154" s="5">
        <v>0</v>
      </c>
      <c r="I154" s="5">
        <v>100</v>
      </c>
      <c r="J154" s="5">
        <v>2.76</v>
      </c>
      <c r="K154" t="s">
        <v>983</v>
      </c>
      <c r="L154" s="5">
        <f xml:space="preserve"> 1 - Table1[[#This Row],[Phon_Similarity]]</f>
        <v>0.72340425531914898</v>
      </c>
      <c r="M154" s="5">
        <f xml:space="preserve"> 1 -Table1[[#This Row],[Orth_Similarity]]</f>
        <v>0.88888888888888884</v>
      </c>
      <c r="N154" s="6">
        <v>4</v>
      </c>
      <c r="O154" s="6">
        <v>4</v>
      </c>
      <c r="P154" s="6">
        <v>2</v>
      </c>
      <c r="Q154" s="5">
        <v>4.5203699999999998</v>
      </c>
      <c r="R154" s="5" t="s">
        <v>1419</v>
      </c>
      <c r="S154" t="s">
        <v>875</v>
      </c>
      <c r="T154" t="s">
        <v>1118</v>
      </c>
      <c r="U154" s="6">
        <v>6</v>
      </c>
      <c r="V154" s="6">
        <v>4</v>
      </c>
      <c r="W154" s="6" t="s">
        <v>23</v>
      </c>
      <c r="X154" s="5">
        <v>4.5012365843529905</v>
      </c>
      <c r="Y154" s="5">
        <v>0.27659574468085102</v>
      </c>
      <c r="Z154" s="5">
        <v>0.11111111111111116</v>
      </c>
      <c r="AA154" s="6">
        <v>2</v>
      </c>
      <c r="AF154"/>
      <c r="AG154"/>
      <c r="AH154"/>
      <c r="AJ154"/>
      <c r="AK154"/>
      <c r="AL154"/>
      <c r="AM154"/>
      <c r="AN154"/>
      <c r="AO154"/>
      <c r="AP154"/>
    </row>
    <row r="155" spans="1:42" x14ac:dyDescent="0.3">
      <c r="A155" t="s">
        <v>165</v>
      </c>
      <c r="B155" s="6">
        <v>379</v>
      </c>
      <c r="C155" t="s">
        <v>420</v>
      </c>
      <c r="D155" t="s">
        <v>660</v>
      </c>
      <c r="E155" t="str">
        <f>VLOOKUP(Table1[[#This Row],[Code]], [1]Basque!$1:$1048576, 4, 0)</f>
        <v>zebra</v>
      </c>
      <c r="F155" s="73">
        <v>0</v>
      </c>
      <c r="G155" s="68">
        <v>0</v>
      </c>
      <c r="H155" s="5">
        <v>0</v>
      </c>
      <c r="I155" s="5">
        <v>100</v>
      </c>
      <c r="J155" s="5">
        <v>2.6464646460000001</v>
      </c>
      <c r="K155" t="s">
        <v>1285</v>
      </c>
      <c r="L155" s="5">
        <f xml:space="preserve"> 1 - Table1[[#This Row],[Phon_Similarity]]</f>
        <v>0.72340425531914898</v>
      </c>
      <c r="M155" s="5">
        <f xml:space="preserve"> 1 -Table1[[#This Row],[Orth_Similarity]]</f>
        <v>0.80740740740740746</v>
      </c>
      <c r="N155" s="6">
        <v>5</v>
      </c>
      <c r="O155" s="6">
        <v>5</v>
      </c>
      <c r="P155" s="6">
        <v>2</v>
      </c>
      <c r="Q155" s="5">
        <v>3.106163</v>
      </c>
      <c r="R155" s="5" t="s">
        <v>1419</v>
      </c>
      <c r="S155" t="s">
        <v>896</v>
      </c>
      <c r="T155" t="s">
        <v>1139</v>
      </c>
      <c r="U155" s="6">
        <v>5</v>
      </c>
      <c r="V155" s="6">
        <v>5</v>
      </c>
      <c r="W155" s="6" t="s">
        <v>23</v>
      </c>
      <c r="X155" s="5">
        <v>3.6922473983487691</v>
      </c>
      <c r="Y155" s="5">
        <v>0.27659574468085102</v>
      </c>
      <c r="Z155" s="5">
        <v>0.19259259259259254</v>
      </c>
      <c r="AA155" s="6">
        <v>1</v>
      </c>
      <c r="AF155"/>
      <c r="AG155"/>
      <c r="AH155"/>
      <c r="AJ155"/>
      <c r="AK155"/>
      <c r="AL155"/>
      <c r="AM155"/>
      <c r="AN155"/>
      <c r="AO155"/>
      <c r="AP155"/>
    </row>
    <row r="156" spans="1:42" x14ac:dyDescent="0.3">
      <c r="A156" t="s">
        <v>176</v>
      </c>
      <c r="B156" s="6">
        <v>405</v>
      </c>
      <c r="C156" t="s">
        <v>431</v>
      </c>
      <c r="D156" t="s">
        <v>667</v>
      </c>
      <c r="E156" t="str">
        <f>VLOOKUP(Table1[[#This Row],[Code]], [1]Basque!$1:$1048576, 4, 0)</f>
        <v>aingura</v>
      </c>
      <c r="F156" s="73">
        <v>1</v>
      </c>
      <c r="G156" s="5">
        <v>5.7060000000000004</v>
      </c>
      <c r="H156" s="5">
        <v>0</v>
      </c>
      <c r="I156" s="5">
        <v>100</v>
      </c>
      <c r="J156" s="5">
        <v>2</v>
      </c>
      <c r="K156" t="s">
        <v>1290</v>
      </c>
      <c r="L156" s="5">
        <f xml:space="preserve"> 1 - Table1[[#This Row],[Phon_Similarity]]</f>
        <v>0.72340425531914898</v>
      </c>
      <c r="M156" s="5">
        <f xml:space="preserve"> 1 -Table1[[#This Row],[Orth_Similarity]]</f>
        <v>0.64262295081967213</v>
      </c>
      <c r="N156" s="6">
        <v>5</v>
      </c>
      <c r="O156" s="6">
        <v>5</v>
      </c>
      <c r="P156" s="6">
        <v>2</v>
      </c>
      <c r="Q156" s="5">
        <v>3.3630279999999999</v>
      </c>
      <c r="R156" s="5"/>
      <c r="S156" t="s">
        <v>907</v>
      </c>
      <c r="T156" t="s">
        <v>1150</v>
      </c>
      <c r="U156" s="6">
        <v>6</v>
      </c>
      <c r="V156" s="6">
        <v>4</v>
      </c>
      <c r="W156" s="6" t="s">
        <v>23</v>
      </c>
      <c r="X156" s="5">
        <v>3.6734593314834383</v>
      </c>
      <c r="Y156" s="5">
        <v>0.27659574468085102</v>
      </c>
      <c r="Z156" s="5">
        <v>0.35737704918032787</v>
      </c>
      <c r="AA156" s="6">
        <v>3</v>
      </c>
      <c r="AF156"/>
      <c r="AG156"/>
      <c r="AH156"/>
      <c r="AJ156"/>
      <c r="AK156"/>
      <c r="AL156"/>
      <c r="AM156"/>
      <c r="AN156"/>
      <c r="AO156"/>
      <c r="AP156"/>
    </row>
    <row r="157" spans="1:42" x14ac:dyDescent="0.3">
      <c r="A157" t="s">
        <v>197</v>
      </c>
      <c r="B157" s="6">
        <v>465</v>
      </c>
      <c r="C157" t="s">
        <v>452</v>
      </c>
      <c r="D157" t="s">
        <v>687</v>
      </c>
      <c r="E157" t="str">
        <f>VLOOKUP(Table1[[#This Row],[Code]], [1]Basque!$1:$1048576, 4, 0)</f>
        <v>laban</v>
      </c>
      <c r="F157" s="73">
        <v>0.6</v>
      </c>
      <c r="G157" s="5">
        <v>6.6150000000000002</v>
      </c>
      <c r="H157" s="5">
        <v>0.405020133</v>
      </c>
      <c r="I157" s="5">
        <v>91.919191920000003</v>
      </c>
      <c r="J157" s="5">
        <v>2.02</v>
      </c>
      <c r="K157" t="s">
        <v>1290</v>
      </c>
      <c r="L157" s="5">
        <f xml:space="preserve"> 1 - Table1[[#This Row],[Phon_Similarity]]</f>
        <v>0.72558139534883725</v>
      </c>
      <c r="M157" s="5">
        <f xml:space="preserve"> 1 -Table1[[#This Row],[Orth_Similarity]]</f>
        <v>0.60377358490566035</v>
      </c>
      <c r="N157" s="6">
        <v>6</v>
      </c>
      <c r="O157" s="6">
        <v>6</v>
      </c>
      <c r="P157" s="6">
        <v>3</v>
      </c>
      <c r="Q157" s="5">
        <v>3.6041400000000001</v>
      </c>
      <c r="R157" s="5"/>
      <c r="S157" t="s">
        <v>928</v>
      </c>
      <c r="T157" t="s">
        <v>1171</v>
      </c>
      <c r="U157" s="6">
        <v>5</v>
      </c>
      <c r="V157" s="6">
        <v>3</v>
      </c>
      <c r="W157" s="6" t="s">
        <v>22</v>
      </c>
      <c r="X157" s="5">
        <v>4.4875666738694271</v>
      </c>
      <c r="Y157" s="5">
        <v>0.27441860465116275</v>
      </c>
      <c r="Z157" s="5">
        <v>0.39622641509433965</v>
      </c>
      <c r="AA157" s="6">
        <v>6</v>
      </c>
      <c r="AF157"/>
      <c r="AG157"/>
      <c r="AH157"/>
      <c r="AJ157"/>
      <c r="AK157"/>
      <c r="AL157"/>
      <c r="AM157"/>
      <c r="AN157"/>
      <c r="AO157"/>
      <c r="AP157"/>
    </row>
    <row r="158" spans="1:42" x14ac:dyDescent="0.3">
      <c r="A158" t="s">
        <v>132</v>
      </c>
      <c r="B158" s="6">
        <v>287</v>
      </c>
      <c r="C158" t="s">
        <v>387</v>
      </c>
      <c r="D158" t="s">
        <v>631</v>
      </c>
      <c r="E158" s="15" t="e">
        <f>VLOOKUP(Table1[[#This Row],[Code]], [1]Basque!$1:$1048576, 4, 0)</f>
        <v>#N/A</v>
      </c>
      <c r="F158" s="74">
        <v>0.66700000000000004</v>
      </c>
      <c r="G158" s="5">
        <v>5.875</v>
      </c>
      <c r="H158" s="5">
        <v>0.33757642300000001</v>
      </c>
      <c r="I158" s="5">
        <v>94.949494950000002</v>
      </c>
      <c r="J158" s="5">
        <v>1.82</v>
      </c>
      <c r="K158" t="s">
        <v>1286</v>
      </c>
      <c r="L158" s="5">
        <f xml:space="preserve"> 1 - Table1[[#This Row],[Phon_Similarity]]</f>
        <v>0.73</v>
      </c>
      <c r="M158" s="5">
        <f xml:space="preserve"> 1 -Table1[[#This Row],[Orth_Similarity]]</f>
        <v>0.85</v>
      </c>
      <c r="N158" s="6">
        <v>4</v>
      </c>
      <c r="O158" s="6">
        <v>4</v>
      </c>
      <c r="P158" s="6">
        <v>2</v>
      </c>
      <c r="Q158" s="5">
        <v>3.5967039999999999</v>
      </c>
      <c r="R158" s="5" t="s">
        <v>1419</v>
      </c>
      <c r="S158" t="s">
        <v>864</v>
      </c>
      <c r="T158" t="s">
        <v>1107</v>
      </c>
      <c r="U158" s="6">
        <v>4</v>
      </c>
      <c r="V158" s="6">
        <v>3</v>
      </c>
      <c r="W158" s="6" t="s">
        <v>22</v>
      </c>
      <c r="X158" s="5">
        <v>3.5793971613482078</v>
      </c>
      <c r="Y158" s="5">
        <v>0.27</v>
      </c>
      <c r="Z158" s="5">
        <v>0.15000000000000002</v>
      </c>
      <c r="AA158" s="6">
        <v>2</v>
      </c>
      <c r="AF158"/>
      <c r="AG158"/>
      <c r="AH158"/>
      <c r="AJ158"/>
      <c r="AK158"/>
      <c r="AL158"/>
      <c r="AM158"/>
      <c r="AN158"/>
      <c r="AO158"/>
      <c r="AP158"/>
    </row>
    <row r="159" spans="1:42" x14ac:dyDescent="0.3">
      <c r="A159" t="s">
        <v>142</v>
      </c>
      <c r="B159" s="6">
        <v>308</v>
      </c>
      <c r="C159" t="s">
        <v>397</v>
      </c>
      <c r="D159" t="s">
        <v>640</v>
      </c>
      <c r="E159" t="str">
        <f>VLOOKUP(Table1[[#This Row],[Code]], [1]Basque!$1:$1048576, 4, 0)</f>
        <v>dado</v>
      </c>
      <c r="F159" s="74">
        <v>0.33300000000000002</v>
      </c>
      <c r="G159" s="5">
        <v>5.2729999999999997</v>
      </c>
      <c r="H159" s="5">
        <v>0</v>
      </c>
      <c r="I159" s="5">
        <v>100</v>
      </c>
      <c r="J159" s="5">
        <v>1.54</v>
      </c>
      <c r="K159" t="s">
        <v>1290</v>
      </c>
      <c r="L159" s="5">
        <f xml:space="preserve"> 1 - Table1[[#This Row],[Phon_Similarity]]</f>
        <v>0.73</v>
      </c>
      <c r="M159" s="5">
        <f xml:space="preserve"> 1 -Table1[[#This Row],[Orth_Similarity]]</f>
        <v>0.66</v>
      </c>
      <c r="N159" s="6">
        <v>4</v>
      </c>
      <c r="O159" s="6">
        <v>4</v>
      </c>
      <c r="P159" s="6">
        <v>3</v>
      </c>
      <c r="Q159" s="5">
        <v>5.3154050000000002</v>
      </c>
      <c r="R159" s="5" t="s">
        <v>1419</v>
      </c>
      <c r="S159" t="s">
        <v>873</v>
      </c>
      <c r="T159" t="s">
        <v>1116</v>
      </c>
      <c r="U159" s="6">
        <v>4</v>
      </c>
      <c r="V159" s="6">
        <v>3</v>
      </c>
      <c r="W159" s="6" t="s">
        <v>22</v>
      </c>
      <c r="X159" s="5">
        <v>3.7089943914781069</v>
      </c>
      <c r="Y159" s="5">
        <v>0.27</v>
      </c>
      <c r="Z159" s="5">
        <v>0.33999999999999997</v>
      </c>
      <c r="AA159" s="6">
        <v>3</v>
      </c>
      <c r="AF159"/>
      <c r="AG159"/>
      <c r="AH159"/>
      <c r="AJ159"/>
      <c r="AK159"/>
      <c r="AL159"/>
      <c r="AM159"/>
      <c r="AN159"/>
      <c r="AO159"/>
      <c r="AP159"/>
    </row>
    <row r="160" spans="1:42" x14ac:dyDescent="0.3">
      <c r="A160" t="s">
        <v>143</v>
      </c>
      <c r="B160" s="6">
        <v>31</v>
      </c>
      <c r="C160" t="s">
        <v>398</v>
      </c>
      <c r="D160" t="s">
        <v>641</v>
      </c>
      <c r="E160" s="15" t="e">
        <f>VLOOKUP(Table1[[#This Row],[Code]], [1]Basque!$1:$1048576, 4, 0)</f>
        <v>#N/A</v>
      </c>
      <c r="F160" s="73">
        <v>0.4</v>
      </c>
      <c r="G160" s="5">
        <v>5.5609999999999999</v>
      </c>
      <c r="H160" s="5">
        <v>0</v>
      </c>
      <c r="I160" s="5">
        <v>100</v>
      </c>
      <c r="J160" s="5">
        <v>3.32</v>
      </c>
      <c r="K160" t="s">
        <v>1410</v>
      </c>
      <c r="L160" s="5">
        <f xml:space="preserve"> 1 - Table1[[#This Row],[Phon_Similarity]]</f>
        <v>0.73207547169811316</v>
      </c>
      <c r="M160" s="5">
        <f xml:space="preserve"> 1 -Table1[[#This Row],[Orth_Similarity]]</f>
        <v>0.94736842105263153</v>
      </c>
      <c r="N160" s="6">
        <v>6</v>
      </c>
      <c r="O160" s="6">
        <v>6</v>
      </c>
      <c r="P160" s="6">
        <v>3</v>
      </c>
      <c r="Q160" s="5">
        <v>3.764138</v>
      </c>
      <c r="R160" s="5"/>
      <c r="S160" t="s">
        <v>874</v>
      </c>
      <c r="T160" t="s">
        <v>1117</v>
      </c>
      <c r="U160" s="6">
        <v>5</v>
      </c>
      <c r="V160" s="6">
        <v>4</v>
      </c>
      <c r="W160" s="6" t="s">
        <v>23</v>
      </c>
      <c r="X160" s="5">
        <v>3.5488252560464559</v>
      </c>
      <c r="Y160" s="5">
        <v>0.26792452830188684</v>
      </c>
      <c r="Z160" s="5">
        <v>5.2631578947368474E-2</v>
      </c>
      <c r="AA160" s="6">
        <v>1</v>
      </c>
      <c r="AF160"/>
      <c r="AG160"/>
      <c r="AH160"/>
      <c r="AJ160"/>
      <c r="AK160"/>
      <c r="AL160"/>
      <c r="AM160"/>
      <c r="AN160"/>
      <c r="AO160"/>
      <c r="AP160"/>
    </row>
    <row r="161" spans="1:42" x14ac:dyDescent="0.3">
      <c r="A161" t="s">
        <v>180</v>
      </c>
      <c r="B161" s="6">
        <v>418</v>
      </c>
      <c r="C161" t="s">
        <v>435</v>
      </c>
      <c r="D161" t="s">
        <v>671</v>
      </c>
      <c r="E161" t="str">
        <f>VLOOKUP(Table1[[#This Row],[Code]], [1]Basque!$1:$1048576, 4, 0)</f>
        <v>gortina</v>
      </c>
      <c r="F161" s="74">
        <v>0.66700000000000004</v>
      </c>
      <c r="G161" s="5">
        <v>5.6390000000000002</v>
      </c>
      <c r="H161" s="5">
        <v>0</v>
      </c>
      <c r="I161" s="5">
        <v>100</v>
      </c>
      <c r="J161" s="5">
        <v>2.2200000000000002</v>
      </c>
      <c r="K161" t="s">
        <v>1290</v>
      </c>
      <c r="L161" s="5">
        <f xml:space="preserve"> 1 - Table1[[#This Row],[Phon_Similarity]]</f>
        <v>0.73442622950819669</v>
      </c>
      <c r="M161" s="5">
        <f xml:space="preserve"> 1 -Table1[[#This Row],[Orth_Similarity]]</f>
        <v>0.9027027027027027</v>
      </c>
      <c r="N161" s="6">
        <v>7</v>
      </c>
      <c r="O161" s="6">
        <v>7</v>
      </c>
      <c r="P161" s="6">
        <v>3</v>
      </c>
      <c r="Q161" s="5">
        <v>3.836875</v>
      </c>
      <c r="R161" s="5"/>
      <c r="S161" t="s">
        <v>911</v>
      </c>
      <c r="T161" t="s">
        <v>1154</v>
      </c>
      <c r="U161" s="6">
        <v>7</v>
      </c>
      <c r="V161" s="6">
        <v>5</v>
      </c>
      <c r="W161" s="6" t="s">
        <v>23</v>
      </c>
      <c r="X161" s="5">
        <v>3.8519819165919351</v>
      </c>
      <c r="Y161" s="5">
        <v>0.26557377049180331</v>
      </c>
      <c r="Z161" s="5">
        <v>9.7297297297297303E-2</v>
      </c>
      <c r="AA161" s="6">
        <v>3</v>
      </c>
      <c r="AF161"/>
      <c r="AG161"/>
      <c r="AH161"/>
      <c r="AJ161"/>
      <c r="AK161"/>
      <c r="AL161"/>
      <c r="AM161"/>
      <c r="AN161"/>
      <c r="AO161"/>
      <c r="AP161"/>
    </row>
    <row r="162" spans="1:42" x14ac:dyDescent="0.3">
      <c r="A162" t="s">
        <v>289</v>
      </c>
      <c r="B162" s="6">
        <v>692</v>
      </c>
      <c r="C162" t="s">
        <v>544</v>
      </c>
      <c r="D162" t="s">
        <v>773</v>
      </c>
      <c r="E162" t="str">
        <f>VLOOKUP(Table1[[#This Row],[Code]], [1]Basque!$1:$1048576, 4, 0)</f>
        <v>gerezi</v>
      </c>
      <c r="F162" s="73">
        <v>0</v>
      </c>
      <c r="G162" s="68">
        <v>0</v>
      </c>
      <c r="H162" s="5">
        <v>0</v>
      </c>
      <c r="I162" s="5">
        <v>100</v>
      </c>
      <c r="J162" s="5">
        <v>1.65</v>
      </c>
      <c r="K162" t="s">
        <v>1288</v>
      </c>
      <c r="L162" s="5">
        <f xml:space="preserve"> 1 - Table1[[#This Row],[Phon_Similarity]]</f>
        <v>0.74399999999999999</v>
      </c>
      <c r="M162" s="5">
        <f xml:space="preserve"> 1 -Table1[[#This Row],[Orth_Similarity]]</f>
        <v>0.625</v>
      </c>
      <c r="N162" s="6">
        <v>6</v>
      </c>
      <c r="O162" s="6">
        <v>6</v>
      </c>
      <c r="P162" s="6">
        <v>2</v>
      </c>
      <c r="Q162" s="5">
        <v>3.1492599999999999</v>
      </c>
      <c r="R162" s="5"/>
      <c r="S162" t="s">
        <v>1011</v>
      </c>
      <c r="T162" t="s">
        <v>1259</v>
      </c>
      <c r="U162" s="6">
        <v>6</v>
      </c>
      <c r="V162" s="6">
        <v>4</v>
      </c>
      <c r="W162" s="6" t="s">
        <v>23</v>
      </c>
      <c r="X162" s="5">
        <v>4.2270868907776498</v>
      </c>
      <c r="Y162" s="5">
        <v>0.25600000000000001</v>
      </c>
      <c r="Z162" s="5">
        <v>0.375</v>
      </c>
      <c r="AA162" s="6">
        <v>4</v>
      </c>
      <c r="AF162"/>
      <c r="AG162"/>
      <c r="AH162"/>
      <c r="AJ162"/>
      <c r="AK162"/>
      <c r="AL162"/>
      <c r="AM162"/>
      <c r="AN162"/>
      <c r="AO162"/>
      <c r="AP162"/>
    </row>
    <row r="163" spans="1:42" x14ac:dyDescent="0.3">
      <c r="A163" t="s">
        <v>181</v>
      </c>
      <c r="B163" s="6">
        <v>42</v>
      </c>
      <c r="C163" t="s">
        <v>436</v>
      </c>
      <c r="D163" t="s">
        <v>672</v>
      </c>
      <c r="E163" t="str">
        <f>VLOOKUP(Table1[[#This Row],[Code]], [1]Basque!$1:$1048576, 4, 0)</f>
        <v>udare</v>
      </c>
      <c r="F163" s="74">
        <v>0.33300000000000002</v>
      </c>
      <c r="G163" s="5">
        <v>5.548</v>
      </c>
      <c r="H163" s="5">
        <v>0</v>
      </c>
      <c r="I163" s="5">
        <v>100</v>
      </c>
      <c r="J163" s="5">
        <v>1.88</v>
      </c>
      <c r="K163" t="s">
        <v>1288</v>
      </c>
      <c r="L163" s="5">
        <f xml:space="preserve"> 1 - Table1[[#This Row],[Phon_Similarity]]</f>
        <v>0.75151515151515147</v>
      </c>
      <c r="M163" s="5">
        <f xml:space="preserve"> 1 -Table1[[#This Row],[Orth_Similarity]]</f>
        <v>0.85</v>
      </c>
      <c r="N163" s="6">
        <v>4</v>
      </c>
      <c r="O163" s="6">
        <v>4</v>
      </c>
      <c r="P163" s="6">
        <v>3</v>
      </c>
      <c r="Q163" s="5">
        <v>3.5491969999999999</v>
      </c>
      <c r="R163" s="5" t="s">
        <v>1419</v>
      </c>
      <c r="S163" t="s">
        <v>912</v>
      </c>
      <c r="T163" t="s">
        <v>1155</v>
      </c>
      <c r="U163" s="6">
        <v>4</v>
      </c>
      <c r="V163" s="6">
        <v>2</v>
      </c>
      <c r="W163" s="6" t="s">
        <v>22</v>
      </c>
      <c r="X163" s="5">
        <v>3.826391075216621</v>
      </c>
      <c r="Y163" s="5">
        <v>0.24848484848484853</v>
      </c>
      <c r="Z163" s="5">
        <v>0.15000000000000002</v>
      </c>
      <c r="AA163" s="6">
        <v>2</v>
      </c>
      <c r="AF163"/>
      <c r="AG163"/>
      <c r="AH163"/>
      <c r="AJ163"/>
      <c r="AK163"/>
      <c r="AL163"/>
      <c r="AM163"/>
      <c r="AN163"/>
      <c r="AO163"/>
      <c r="AP163"/>
    </row>
    <row r="164" spans="1:42" x14ac:dyDescent="0.3">
      <c r="A164" t="s">
        <v>155</v>
      </c>
      <c r="B164" s="6">
        <v>344</v>
      </c>
      <c r="C164" t="s">
        <v>410</v>
      </c>
      <c r="D164" t="s">
        <v>651</v>
      </c>
      <c r="E164" s="15" t="e">
        <f>VLOOKUP(Table1[[#This Row],[Code]], [1]Basque!$1:$1048576, 4, 0)</f>
        <v>#N/A</v>
      </c>
      <c r="F164" s="73">
        <v>0.8</v>
      </c>
      <c r="G164" s="5">
        <v>6.524</v>
      </c>
      <c r="H164" s="5">
        <v>0</v>
      </c>
      <c r="I164" s="5">
        <v>100</v>
      </c>
      <c r="J164" s="5">
        <v>2.42</v>
      </c>
      <c r="K164" t="s">
        <v>1293</v>
      </c>
      <c r="L164" s="5">
        <f xml:space="preserve"> 1 - Table1[[#This Row],[Phon_Similarity]]</f>
        <v>0.75820895522388054</v>
      </c>
      <c r="M164" s="5">
        <f xml:space="preserve"> 1 -Table1[[#This Row],[Orth_Similarity]]</f>
        <v>0.78285714285714281</v>
      </c>
      <c r="N164" s="6">
        <v>6</v>
      </c>
      <c r="O164" s="6">
        <v>6</v>
      </c>
      <c r="P164" s="6">
        <v>2</v>
      </c>
      <c r="Q164" s="5">
        <v>5.0532870000000001</v>
      </c>
      <c r="R164" s="5" t="s">
        <v>1419</v>
      </c>
      <c r="S164" t="s">
        <v>886</v>
      </c>
      <c r="T164" t="s">
        <v>1129</v>
      </c>
      <c r="U164" s="6">
        <v>8</v>
      </c>
      <c r="V164" s="6">
        <v>6</v>
      </c>
      <c r="W164" s="6" t="s">
        <v>23</v>
      </c>
      <c r="X164" s="5">
        <v>3.671626862596383</v>
      </c>
      <c r="Y164" s="5">
        <v>0.24179104477611946</v>
      </c>
      <c r="Z164" s="5">
        <v>0.21714285714285719</v>
      </c>
      <c r="AA164" s="6">
        <v>5</v>
      </c>
      <c r="AF164"/>
      <c r="AG164"/>
      <c r="AH164"/>
      <c r="AJ164"/>
      <c r="AK164"/>
      <c r="AL164"/>
      <c r="AM164"/>
      <c r="AN164"/>
      <c r="AO164"/>
      <c r="AP164"/>
    </row>
    <row r="165" spans="1:42" x14ac:dyDescent="0.3">
      <c r="A165" t="s">
        <v>191</v>
      </c>
      <c r="B165" s="6">
        <v>449</v>
      </c>
      <c r="C165" t="s">
        <v>446</v>
      </c>
      <c r="D165" t="s">
        <v>682</v>
      </c>
      <c r="E165" t="str">
        <f>VLOOKUP(Table1[[#This Row],[Code]], [1]Basque!$1:$1048576, 4, 0)</f>
        <v>banku</v>
      </c>
      <c r="F165" s="73">
        <v>0.75</v>
      </c>
      <c r="G165" s="5">
        <v>5.7110000000000003</v>
      </c>
      <c r="H165" s="5">
        <v>0</v>
      </c>
      <c r="I165" s="5">
        <v>100</v>
      </c>
      <c r="J165" s="5">
        <v>1.919191919</v>
      </c>
      <c r="K165" t="s">
        <v>1293</v>
      </c>
      <c r="L165" s="5">
        <f xml:space="preserve"> 1 - Table1[[#This Row],[Phon_Similarity]]</f>
        <v>0.77647058823529413</v>
      </c>
      <c r="M165" s="5">
        <f xml:space="preserve"> 1 -Table1[[#This Row],[Orth_Similarity]]</f>
        <v>0.7931034482758621</v>
      </c>
      <c r="N165" s="6">
        <v>5</v>
      </c>
      <c r="O165" s="6">
        <v>5</v>
      </c>
      <c r="P165" s="6">
        <v>2</v>
      </c>
      <c r="Q165" s="5">
        <v>5.0741820000000004</v>
      </c>
      <c r="R165" s="5" t="s">
        <v>1419</v>
      </c>
      <c r="S165" t="s">
        <v>922</v>
      </c>
      <c r="T165" t="s">
        <v>1165</v>
      </c>
      <c r="U165" s="6">
        <v>5</v>
      </c>
      <c r="V165" s="6">
        <v>4</v>
      </c>
      <c r="W165" s="6" t="s">
        <v>22</v>
      </c>
      <c r="X165" s="5">
        <v>4.1963837895665019</v>
      </c>
      <c r="Y165" s="5">
        <v>0.22352941176470587</v>
      </c>
      <c r="Z165" s="5">
        <v>0.2068965517241379</v>
      </c>
      <c r="AA165" s="6">
        <v>2</v>
      </c>
      <c r="AF165"/>
      <c r="AG165"/>
      <c r="AH165"/>
      <c r="AJ165"/>
      <c r="AK165"/>
      <c r="AL165"/>
      <c r="AM165"/>
      <c r="AN165"/>
      <c r="AO165"/>
      <c r="AP165"/>
    </row>
    <row r="166" spans="1:42" x14ac:dyDescent="0.3">
      <c r="A166" t="s">
        <v>66</v>
      </c>
      <c r="B166" s="6">
        <v>119</v>
      </c>
      <c r="C166" t="s">
        <v>321</v>
      </c>
      <c r="D166" t="s">
        <v>575</v>
      </c>
      <c r="E166" s="15" t="e">
        <f>VLOOKUP(Table1[[#This Row],[Code]], [1]Basque!$1:$1048576, 4, 0)</f>
        <v>#N/A</v>
      </c>
      <c r="F166" s="74">
        <v>0.33300000000000002</v>
      </c>
      <c r="G166" s="5">
        <v>5.3090000000000002</v>
      </c>
      <c r="H166" s="5">
        <v>0</v>
      </c>
      <c r="I166" s="5">
        <v>100</v>
      </c>
      <c r="J166" s="5">
        <v>3.03</v>
      </c>
      <c r="K166" t="s">
        <v>1288</v>
      </c>
      <c r="L166" s="5">
        <f xml:space="preserve"> 1 - Table1[[#This Row],[Phon_Similarity]]</f>
        <v>0.77837837837837842</v>
      </c>
      <c r="M166" s="5">
        <f xml:space="preserve"> 1 -Table1[[#This Row],[Orth_Similarity]]</f>
        <v>0.70270270270270274</v>
      </c>
      <c r="N166" s="6">
        <v>4</v>
      </c>
      <c r="O166" s="6">
        <v>4</v>
      </c>
      <c r="P166" s="6">
        <v>3</v>
      </c>
      <c r="Q166" s="5">
        <v>3.471765</v>
      </c>
      <c r="R166" s="5" t="s">
        <v>1419</v>
      </c>
      <c r="S166" t="s">
        <v>800</v>
      </c>
      <c r="T166" t="s">
        <v>1041</v>
      </c>
      <c r="U166" s="6">
        <v>3</v>
      </c>
      <c r="V166" s="6">
        <v>3</v>
      </c>
      <c r="W166" s="6" t="s">
        <v>22</v>
      </c>
      <c r="X166" s="5">
        <v>3.9899814423327085</v>
      </c>
      <c r="Y166" s="5">
        <v>0.22162162162162158</v>
      </c>
      <c r="Z166" s="5">
        <v>0.29729729729729726</v>
      </c>
      <c r="AA166" s="6">
        <v>2</v>
      </c>
      <c r="AF166"/>
      <c r="AG166"/>
      <c r="AH166"/>
      <c r="AJ166"/>
      <c r="AK166"/>
      <c r="AL166"/>
      <c r="AM166"/>
      <c r="AN166"/>
      <c r="AO166"/>
      <c r="AP166"/>
    </row>
    <row r="167" spans="1:42" x14ac:dyDescent="0.3">
      <c r="A167" t="s">
        <v>163</v>
      </c>
      <c r="B167" s="6">
        <v>37</v>
      </c>
      <c r="C167" t="s">
        <v>418</v>
      </c>
      <c r="D167" t="s">
        <v>418</v>
      </c>
      <c r="E167" s="15" t="e">
        <f>VLOOKUP(Table1[[#This Row],[Code]], [1]Basque!$1:$1048576, 4, 0)</f>
        <v>#N/A</v>
      </c>
      <c r="F167" s="73">
        <v>0.4</v>
      </c>
      <c r="G167" s="68">
        <v>0</v>
      </c>
      <c r="H167" s="5">
        <v>0.46708144000000001</v>
      </c>
      <c r="I167" s="5">
        <v>92</v>
      </c>
      <c r="J167" s="5">
        <v>2.0699999999999998</v>
      </c>
      <c r="K167" t="s">
        <v>1288</v>
      </c>
      <c r="L167" s="5">
        <f xml:space="preserve"> 1 - Table1[[#This Row],[Phon_Similarity]]</f>
        <v>0.78125</v>
      </c>
      <c r="M167" s="5">
        <f xml:space="preserve"> 1 -Table1[[#This Row],[Orth_Similarity]]</f>
        <v>0.69230769230769229</v>
      </c>
      <c r="N167" s="6">
        <v>6</v>
      </c>
      <c r="O167" s="6">
        <v>6</v>
      </c>
      <c r="P167" s="6">
        <v>3</v>
      </c>
      <c r="Q167" s="5">
        <v>2.4360499999999998</v>
      </c>
      <c r="R167" s="5" t="s">
        <v>1419</v>
      </c>
      <c r="S167" t="s">
        <v>894</v>
      </c>
      <c r="T167" t="s">
        <v>1137</v>
      </c>
      <c r="U167" s="6">
        <v>8</v>
      </c>
      <c r="V167" s="6">
        <v>5</v>
      </c>
      <c r="W167" s="6" t="s">
        <v>23</v>
      </c>
      <c r="X167" s="5">
        <v>3.5005564049157529</v>
      </c>
      <c r="Y167" s="5">
        <v>0.21875</v>
      </c>
      <c r="Z167" s="5">
        <v>0.30769230769230771</v>
      </c>
      <c r="AA167" s="6">
        <v>4</v>
      </c>
      <c r="AF167"/>
      <c r="AG167"/>
      <c r="AH167"/>
      <c r="AJ167"/>
      <c r="AK167"/>
      <c r="AL167"/>
      <c r="AM167"/>
      <c r="AN167"/>
      <c r="AO167"/>
      <c r="AP167"/>
    </row>
    <row r="168" spans="1:42" x14ac:dyDescent="0.3">
      <c r="A168" t="s">
        <v>201</v>
      </c>
      <c r="B168" s="6">
        <v>479</v>
      </c>
      <c r="C168" t="s">
        <v>456</v>
      </c>
      <c r="D168" t="s">
        <v>691</v>
      </c>
      <c r="E168" t="str">
        <f>VLOOKUP(Table1[[#This Row],[Code]], [1]Basque!$1:$1048576, 4, 0)</f>
        <v>kanguro</v>
      </c>
      <c r="F168" s="74">
        <v>0.83299999999999996</v>
      </c>
      <c r="G168" s="68">
        <v>0</v>
      </c>
      <c r="H168" s="5">
        <v>0</v>
      </c>
      <c r="I168" s="5">
        <v>100</v>
      </c>
      <c r="J168" s="5">
        <v>2.5299999999999998</v>
      </c>
      <c r="K168" t="s">
        <v>1285</v>
      </c>
      <c r="L168" s="5">
        <f xml:space="preserve"> 1 - Table1[[#This Row],[Phon_Similarity]]</f>
        <v>0.80597014925373134</v>
      </c>
      <c r="M168" s="5">
        <f xml:space="preserve"> 1 -Table1[[#This Row],[Orth_Similarity]]</f>
        <v>0.87272727272727268</v>
      </c>
      <c r="N168" s="6">
        <v>7</v>
      </c>
      <c r="O168" s="6">
        <v>7</v>
      </c>
      <c r="P168" s="6">
        <v>2</v>
      </c>
      <c r="Q168" s="5">
        <v>2.9917769999999999</v>
      </c>
      <c r="R168" s="5" t="s">
        <v>1419</v>
      </c>
      <c r="S168" t="s">
        <v>932</v>
      </c>
      <c r="T168" t="s">
        <v>1175</v>
      </c>
      <c r="U168" s="6">
        <v>8</v>
      </c>
      <c r="V168" s="6">
        <v>7</v>
      </c>
      <c r="W168" s="6" t="s">
        <v>24</v>
      </c>
      <c r="X168" s="5">
        <v>3.6205317219925024</v>
      </c>
      <c r="Y168" s="5">
        <v>0.19402985074626866</v>
      </c>
      <c r="Z168" s="5">
        <v>0.12727272727272732</v>
      </c>
      <c r="AA168" s="6">
        <v>3</v>
      </c>
      <c r="AF168"/>
      <c r="AG168"/>
      <c r="AH168"/>
      <c r="AJ168"/>
      <c r="AK168"/>
      <c r="AL168"/>
      <c r="AM168"/>
      <c r="AN168"/>
      <c r="AO168"/>
      <c r="AP168"/>
    </row>
    <row r="169" spans="1:42" x14ac:dyDescent="0.3">
      <c r="A169" t="s">
        <v>242</v>
      </c>
      <c r="B169" s="6">
        <v>575</v>
      </c>
      <c r="C169" t="s">
        <v>497</v>
      </c>
      <c r="D169" t="s">
        <v>731</v>
      </c>
      <c r="E169" t="str">
        <f>VLOOKUP(Table1[[#This Row],[Code]], [1]Basque!$1:$1048576, 4, 0)</f>
        <v>moko</v>
      </c>
      <c r="F169" s="74">
        <v>0.66700000000000004</v>
      </c>
      <c r="G169" s="5">
        <v>5.944</v>
      </c>
      <c r="H169" s="5">
        <v>0.141440543</v>
      </c>
      <c r="I169" s="5">
        <v>98</v>
      </c>
      <c r="J169" s="5">
        <v>2.11</v>
      </c>
      <c r="K169" t="s">
        <v>1286</v>
      </c>
      <c r="L169" s="5">
        <f xml:space="preserve"> 1 - Table1[[#This Row],[Phon_Similarity]]</f>
        <v>0.81081081081081086</v>
      </c>
      <c r="M169" s="5">
        <f xml:space="preserve"> 1 -Table1[[#This Row],[Orth_Similarity]]</f>
        <v>0.71</v>
      </c>
      <c r="N169" s="6">
        <v>4</v>
      </c>
      <c r="O169" s="6">
        <v>4</v>
      </c>
      <c r="P169" s="6">
        <v>3</v>
      </c>
      <c r="Q169" s="5">
        <v>4.475841</v>
      </c>
      <c r="R169" s="5" t="s">
        <v>1419</v>
      </c>
      <c r="S169" t="s">
        <v>969</v>
      </c>
      <c r="T169" t="s">
        <v>1213</v>
      </c>
      <c r="U169" s="6">
        <v>4</v>
      </c>
      <c r="V169" s="6">
        <v>3</v>
      </c>
      <c r="W169" s="6" t="s">
        <v>22</v>
      </c>
      <c r="X169" s="5">
        <v>3.8311864255401042</v>
      </c>
      <c r="Y169" s="5">
        <v>0.18918918918918914</v>
      </c>
      <c r="Z169" s="5">
        <v>0.29000000000000004</v>
      </c>
      <c r="AA169" s="6">
        <v>4</v>
      </c>
      <c r="AF169"/>
      <c r="AG169"/>
      <c r="AH169"/>
      <c r="AJ169"/>
      <c r="AK169"/>
      <c r="AL169"/>
      <c r="AM169"/>
      <c r="AN169"/>
      <c r="AO169"/>
      <c r="AP169"/>
    </row>
    <row r="170" spans="1:42" x14ac:dyDescent="0.3">
      <c r="A170" t="s">
        <v>127</v>
      </c>
      <c r="B170" s="6">
        <v>275</v>
      </c>
      <c r="C170" t="s">
        <v>382</v>
      </c>
      <c r="D170" t="s">
        <v>626</v>
      </c>
      <c r="E170" t="str">
        <f>VLOOKUP(Table1[[#This Row],[Code]], [1]Basque!$1:$1048576, 4, 0)</f>
        <v>kapa</v>
      </c>
      <c r="F170" s="74">
        <v>0.66700000000000004</v>
      </c>
      <c r="G170" s="68">
        <v>0</v>
      </c>
      <c r="H170" s="5">
        <v>0.30217361799999998</v>
      </c>
      <c r="I170" s="5">
        <v>94.623655909999997</v>
      </c>
      <c r="J170" s="5">
        <v>2.12</v>
      </c>
      <c r="K170" t="s">
        <v>1291</v>
      </c>
      <c r="L170" s="5">
        <f xml:space="preserve"> 1 - Table1[[#This Row],[Phon_Similarity]]</f>
        <v>0.82</v>
      </c>
      <c r="M170" s="5">
        <f xml:space="preserve"> 1 -Table1[[#This Row],[Orth_Similarity]]</f>
        <v>0.95</v>
      </c>
      <c r="N170" s="6">
        <v>4</v>
      </c>
      <c r="O170" s="6">
        <v>4</v>
      </c>
      <c r="P170" s="6">
        <v>2</v>
      </c>
      <c r="Q170" s="5">
        <v>4.4931809999999999</v>
      </c>
      <c r="R170" s="5" t="s">
        <v>1419</v>
      </c>
      <c r="S170" t="s">
        <v>859</v>
      </c>
      <c r="T170" t="s">
        <v>1102</v>
      </c>
      <c r="U170" s="6">
        <v>4</v>
      </c>
      <c r="V170" s="6">
        <v>3</v>
      </c>
      <c r="W170" s="6" t="s">
        <v>22</v>
      </c>
      <c r="X170" s="5">
        <v>3.9505254135918002</v>
      </c>
      <c r="Y170" s="5">
        <v>0.18000000000000005</v>
      </c>
      <c r="Z170" s="5">
        <v>5.0000000000000044E-2</v>
      </c>
      <c r="AA170" s="6">
        <v>1</v>
      </c>
      <c r="AF170"/>
      <c r="AG170"/>
      <c r="AH170"/>
      <c r="AJ170"/>
      <c r="AK170"/>
      <c r="AL170"/>
      <c r="AM170"/>
      <c r="AN170"/>
      <c r="AO170"/>
      <c r="AP170"/>
    </row>
    <row r="171" spans="1:42" x14ac:dyDescent="0.3">
      <c r="A171" t="s">
        <v>146</v>
      </c>
      <c r="B171" s="6">
        <v>32</v>
      </c>
      <c r="C171" t="s">
        <v>401</v>
      </c>
      <c r="D171" t="s">
        <v>644</v>
      </c>
      <c r="E171" t="str">
        <f>VLOOKUP(Table1[[#This Row],[Code]], [1]Basque!$1:$1048576, 4, 0)</f>
        <v>koro</v>
      </c>
      <c r="F171" s="73">
        <v>0.8</v>
      </c>
      <c r="G171" s="5">
        <v>5.5570000000000004</v>
      </c>
      <c r="H171" s="5">
        <v>0</v>
      </c>
      <c r="I171" s="5">
        <v>100</v>
      </c>
      <c r="J171" s="5">
        <v>3.04</v>
      </c>
      <c r="K171" t="s">
        <v>1290</v>
      </c>
      <c r="L171" s="5">
        <f xml:space="preserve"> 1 - Table1[[#This Row],[Phon_Similarity]]</f>
        <v>0.82105263157894737</v>
      </c>
      <c r="M171" s="5">
        <f xml:space="preserve"> 1 -Table1[[#This Row],[Orth_Similarity]]</f>
        <v>0.84210526315789469</v>
      </c>
      <c r="N171" s="6">
        <v>6</v>
      </c>
      <c r="O171" s="6">
        <v>6</v>
      </c>
      <c r="P171" s="6">
        <v>3</v>
      </c>
      <c r="Q171" s="5">
        <v>4.7177049999999996</v>
      </c>
      <c r="R171" s="5" t="s">
        <v>1419</v>
      </c>
      <c r="S171" t="s">
        <v>877</v>
      </c>
      <c r="T171" t="s">
        <v>1120</v>
      </c>
      <c r="U171" s="6">
        <v>5</v>
      </c>
      <c r="V171" s="6">
        <v>4</v>
      </c>
      <c r="W171" s="6" t="s">
        <v>22</v>
      </c>
      <c r="X171" s="5">
        <v>4.5299656290462682</v>
      </c>
      <c r="Y171" s="5">
        <v>0.17894736842105263</v>
      </c>
      <c r="Z171" s="5">
        <v>0.15789473684210531</v>
      </c>
      <c r="AA171" s="6">
        <v>3</v>
      </c>
      <c r="AF171"/>
      <c r="AG171"/>
      <c r="AH171"/>
      <c r="AJ171"/>
      <c r="AK171"/>
      <c r="AL171"/>
      <c r="AM171"/>
      <c r="AN171"/>
      <c r="AO171"/>
      <c r="AP171"/>
    </row>
    <row r="172" spans="1:42" x14ac:dyDescent="0.3">
      <c r="A172" t="s">
        <v>296</v>
      </c>
      <c r="B172" s="6">
        <v>730</v>
      </c>
      <c r="C172" t="s">
        <v>551</v>
      </c>
      <c r="D172" t="s">
        <v>779</v>
      </c>
      <c r="E172" t="str">
        <f>VLOOKUP(Table1[[#This Row],[Code]], [1]Basque!$1:$1048576, 4, 0)</f>
        <v>sukalde</v>
      </c>
      <c r="F172" s="73">
        <v>0.8</v>
      </c>
      <c r="G172" s="5">
        <v>6.0590000000000002</v>
      </c>
      <c r="H172" s="5">
        <v>0</v>
      </c>
      <c r="I172" s="5">
        <v>100</v>
      </c>
      <c r="J172" s="5">
        <v>3.12</v>
      </c>
      <c r="K172" t="s">
        <v>1293</v>
      </c>
      <c r="L172" s="5">
        <f xml:space="preserve"> 1 - Table1[[#This Row],[Phon_Similarity]]</f>
        <v>0.82807017543859651</v>
      </c>
      <c r="M172" s="5">
        <f xml:space="preserve"> 1 -Table1[[#This Row],[Orth_Similarity]]</f>
        <v>0.6535211267605634</v>
      </c>
      <c r="N172" s="6">
        <v>6</v>
      </c>
      <c r="O172" s="6">
        <v>6</v>
      </c>
      <c r="P172" s="6">
        <v>3</v>
      </c>
      <c r="Q172" s="5">
        <v>4.5865130000000001</v>
      </c>
      <c r="R172" s="5"/>
      <c r="S172" t="s">
        <v>1018</v>
      </c>
      <c r="T172" t="s">
        <v>1266</v>
      </c>
      <c r="U172" s="6">
        <v>7</v>
      </c>
      <c r="V172" s="6">
        <v>5</v>
      </c>
      <c r="W172" s="6" t="s">
        <v>23</v>
      </c>
      <c r="X172" s="5">
        <v>5.202997746184872</v>
      </c>
      <c r="Y172" s="5">
        <v>0.17192982456140349</v>
      </c>
      <c r="Z172" s="5">
        <v>0.3464788732394366</v>
      </c>
      <c r="AA172" s="6">
        <v>6</v>
      </c>
      <c r="AF172"/>
      <c r="AG172"/>
      <c r="AH172"/>
      <c r="AJ172"/>
      <c r="AK172"/>
      <c r="AL172"/>
      <c r="AM172"/>
      <c r="AN172"/>
      <c r="AO172"/>
      <c r="AP172"/>
    </row>
    <row r="173" spans="1:42" x14ac:dyDescent="0.3">
      <c r="A173" t="s">
        <v>111</v>
      </c>
      <c r="B173" s="6">
        <v>236</v>
      </c>
      <c r="C173" t="s">
        <v>366</v>
      </c>
      <c r="D173" t="s">
        <v>614</v>
      </c>
      <c r="E173" t="str">
        <f>VLOOKUP(Table1[[#This Row],[Code]], [1]Basque!$1:$1048576, 4, 0)</f>
        <v>girafa</v>
      </c>
      <c r="F173" s="73">
        <v>0.2</v>
      </c>
      <c r="G173" s="68">
        <v>0</v>
      </c>
      <c r="H173" s="5">
        <v>0</v>
      </c>
      <c r="I173" s="5">
        <v>100</v>
      </c>
      <c r="J173" s="5">
        <v>3.02</v>
      </c>
      <c r="K173" t="s">
        <v>1285</v>
      </c>
      <c r="L173" s="5">
        <f xml:space="preserve"> 1 - Table1[[#This Row],[Phon_Similarity]]</f>
        <v>0.83508771929824566</v>
      </c>
      <c r="M173" s="5">
        <f xml:space="preserve"> 1 -Table1[[#This Row],[Orth_Similarity]]</f>
        <v>0.69841269841269837</v>
      </c>
      <c r="N173" s="6">
        <v>6</v>
      </c>
      <c r="O173" s="6">
        <v>6</v>
      </c>
      <c r="P173" s="6">
        <v>3</v>
      </c>
      <c r="Q173" s="5">
        <v>2.8192659999999998</v>
      </c>
      <c r="R173" s="5" t="s">
        <v>1419</v>
      </c>
      <c r="S173" t="s">
        <v>843</v>
      </c>
      <c r="T173" t="s">
        <v>1086</v>
      </c>
      <c r="U173" s="6">
        <v>7</v>
      </c>
      <c r="V173" s="6">
        <v>5</v>
      </c>
      <c r="W173" s="6" t="s">
        <v>23</v>
      </c>
      <c r="X173" s="5">
        <v>3.7770830339987231</v>
      </c>
      <c r="Y173" s="5">
        <v>0.16491228070175434</v>
      </c>
      <c r="Z173" s="5">
        <v>0.30158730158730163</v>
      </c>
      <c r="AA173" s="6">
        <v>3</v>
      </c>
      <c r="AF173"/>
      <c r="AG173"/>
      <c r="AH173"/>
      <c r="AJ173"/>
      <c r="AK173"/>
      <c r="AL173"/>
      <c r="AM173"/>
      <c r="AN173"/>
      <c r="AO173"/>
      <c r="AP173"/>
    </row>
    <row r="174" spans="1:42" x14ac:dyDescent="0.3">
      <c r="A174" t="s">
        <v>280</v>
      </c>
      <c r="B174" s="6">
        <v>669</v>
      </c>
      <c r="C174" t="s">
        <v>535</v>
      </c>
      <c r="D174" t="s">
        <v>535</v>
      </c>
      <c r="E174" t="str">
        <f>VLOOKUP(Table1[[#This Row],[Code]], [1]Basque!$1:$1048576, 4, 0)</f>
        <v>piloto</v>
      </c>
      <c r="F174" s="73">
        <v>0.4</v>
      </c>
      <c r="G174" s="5">
        <v>5.3890000000000002</v>
      </c>
      <c r="H174" s="5">
        <v>0.14489961800000001</v>
      </c>
      <c r="I174" s="5">
        <v>97.93814433</v>
      </c>
      <c r="J174" s="5">
        <v>3.24</v>
      </c>
      <c r="K174" t="s">
        <v>1410</v>
      </c>
      <c r="L174" s="5">
        <f xml:space="preserve"> 1 - Table1[[#This Row],[Phon_Similarity]]</f>
        <v>0.84666666666666668</v>
      </c>
      <c r="M174" s="5">
        <f xml:space="preserve"> 1 -Table1[[#This Row],[Orth_Similarity]]</f>
        <v>0.94736842105263153</v>
      </c>
      <c r="N174" s="6">
        <v>6</v>
      </c>
      <c r="O174" s="6">
        <v>6</v>
      </c>
      <c r="P174" s="6">
        <v>3</v>
      </c>
      <c r="Q174" s="5">
        <v>4.5378540000000003</v>
      </c>
      <c r="R174" s="5" t="s">
        <v>1419</v>
      </c>
      <c r="S174" t="s">
        <v>1003</v>
      </c>
      <c r="T174" t="s">
        <v>1250</v>
      </c>
      <c r="U174" s="6">
        <v>5</v>
      </c>
      <c r="V174" s="6">
        <v>5</v>
      </c>
      <c r="W174" s="6" t="s">
        <v>23</v>
      </c>
      <c r="X174" s="5">
        <v>4.3730688776144921</v>
      </c>
      <c r="Y174" s="5">
        <v>0.15333333333333332</v>
      </c>
      <c r="Z174" s="5">
        <v>5.2631578947368474E-2</v>
      </c>
      <c r="AA174" s="6">
        <v>1</v>
      </c>
      <c r="AF174"/>
      <c r="AG174"/>
      <c r="AH174"/>
      <c r="AJ174"/>
      <c r="AK174"/>
      <c r="AL174"/>
      <c r="AM174"/>
      <c r="AN174"/>
      <c r="AO174"/>
      <c r="AP174"/>
    </row>
    <row r="175" spans="1:42" x14ac:dyDescent="0.3">
      <c r="A175" t="s">
        <v>79</v>
      </c>
      <c r="B175" s="6">
        <v>148</v>
      </c>
      <c r="C175" t="s">
        <v>334</v>
      </c>
      <c r="D175" t="s">
        <v>334</v>
      </c>
      <c r="E175" t="str">
        <f>VLOOKUP(Table1[[#This Row],[Code]], [1]Basque!$1:$1048576, 4, 0)</f>
        <v>pipa</v>
      </c>
      <c r="F175" s="74">
        <v>0.33300000000000002</v>
      </c>
      <c r="G175" s="5">
        <v>6.2709999999999999</v>
      </c>
      <c r="H175" s="5">
        <v>0</v>
      </c>
      <c r="I175" s="5">
        <v>100</v>
      </c>
      <c r="J175" s="5">
        <v>1.79</v>
      </c>
      <c r="K175" t="s">
        <v>1290</v>
      </c>
      <c r="L175" s="5">
        <f xml:space="preserve"> 1 - Table1[[#This Row],[Phon_Similarity]]</f>
        <v>0.85</v>
      </c>
      <c r="M175" s="5">
        <f xml:space="preserve"> 1 -Table1[[#This Row],[Orth_Similarity]]</f>
        <v>0.95</v>
      </c>
      <c r="N175" s="6">
        <v>4</v>
      </c>
      <c r="O175" s="6">
        <v>4</v>
      </c>
      <c r="P175" s="6">
        <v>3</v>
      </c>
      <c r="Q175" s="5">
        <v>3.6414599999999999</v>
      </c>
      <c r="R175" s="5" t="s">
        <v>1419</v>
      </c>
      <c r="S175" t="s">
        <v>811</v>
      </c>
      <c r="T175" t="s">
        <v>1054</v>
      </c>
      <c r="U175" s="6">
        <v>4</v>
      </c>
      <c r="V175" s="6">
        <v>3</v>
      </c>
      <c r="W175" s="6" t="s">
        <v>22</v>
      </c>
      <c r="X175" s="5">
        <v>4.2579095895592385</v>
      </c>
      <c r="Y175" s="5">
        <v>0.15000000000000002</v>
      </c>
      <c r="Z175" s="5">
        <v>5.0000000000000044E-2</v>
      </c>
      <c r="AA175" s="6">
        <v>1</v>
      </c>
      <c r="AF175"/>
      <c r="AG175"/>
      <c r="AH175"/>
      <c r="AJ175"/>
      <c r="AK175"/>
      <c r="AL175"/>
      <c r="AM175"/>
      <c r="AN175"/>
      <c r="AO175"/>
      <c r="AP175"/>
    </row>
    <row r="176" spans="1:42" x14ac:dyDescent="0.3">
      <c r="A176" t="s">
        <v>118</v>
      </c>
      <c r="B176" s="6">
        <v>259</v>
      </c>
      <c r="C176" t="s">
        <v>373</v>
      </c>
      <c r="D176" t="s">
        <v>619</v>
      </c>
      <c r="E176" s="15" t="e">
        <f>VLOOKUP(Table1[[#This Row],[Code]], [1]Basque!$1:$1048576, 4, 0)</f>
        <v>#N/A</v>
      </c>
      <c r="F176" s="74">
        <v>0.33300000000000002</v>
      </c>
      <c r="G176" s="5">
        <v>5.4809999999999999</v>
      </c>
      <c r="H176" s="5">
        <v>0.33228663000000003</v>
      </c>
      <c r="I176" s="5">
        <v>93.877551019999999</v>
      </c>
      <c r="J176" s="5">
        <v>1.64</v>
      </c>
      <c r="K176" t="s">
        <v>1290</v>
      </c>
      <c r="L176" s="5">
        <f xml:space="preserve"> 1 - Table1[[#This Row],[Phon_Similarity]]</f>
        <v>0.85</v>
      </c>
      <c r="M176" s="5">
        <f xml:space="preserve"> 1 -Table1[[#This Row],[Orth_Similarity]]</f>
        <v>0.9</v>
      </c>
      <c r="N176" s="6">
        <v>4</v>
      </c>
      <c r="O176" s="6">
        <v>4</v>
      </c>
      <c r="P176" s="6">
        <v>3</v>
      </c>
      <c r="Q176" s="5">
        <v>3.7442579999999999</v>
      </c>
      <c r="R176" s="5" t="s">
        <v>1419</v>
      </c>
      <c r="S176" t="s">
        <v>850</v>
      </c>
      <c r="T176" t="s">
        <v>1093</v>
      </c>
      <c r="U176" s="6">
        <v>4</v>
      </c>
      <c r="V176" s="6">
        <v>3</v>
      </c>
      <c r="W176" s="6" t="s">
        <v>22</v>
      </c>
      <c r="X176" s="5">
        <v>3.6674753170823688</v>
      </c>
      <c r="Y176" s="5">
        <v>0.15000000000000002</v>
      </c>
      <c r="Z176" s="5">
        <v>9.9999999999999978E-2</v>
      </c>
      <c r="AA176" s="6">
        <v>1</v>
      </c>
      <c r="AF176"/>
      <c r="AG176"/>
      <c r="AH176"/>
      <c r="AJ176"/>
      <c r="AK176"/>
      <c r="AL176"/>
      <c r="AM176"/>
      <c r="AN176"/>
      <c r="AO176"/>
      <c r="AP176"/>
    </row>
    <row r="177" spans="1:42" x14ac:dyDescent="0.3">
      <c r="A177" t="s">
        <v>139</v>
      </c>
      <c r="B177" s="6">
        <v>303</v>
      </c>
      <c r="C177" t="s">
        <v>394</v>
      </c>
      <c r="D177" t="s">
        <v>394</v>
      </c>
      <c r="E177" t="str">
        <f>VLOOKUP(Table1[[#This Row],[Code]], [1]Basque!$1:$1048576, 4, 0)</f>
        <v>mimo</v>
      </c>
      <c r="F177" s="73">
        <v>0</v>
      </c>
      <c r="G177" s="68">
        <v>0</v>
      </c>
      <c r="H177" s="5">
        <v>0.29292995100000002</v>
      </c>
      <c r="I177" s="5">
        <v>94.845360819999996</v>
      </c>
      <c r="J177" s="5">
        <v>2.96</v>
      </c>
      <c r="K177" t="s">
        <v>1410</v>
      </c>
      <c r="L177" s="5">
        <f xml:space="preserve"> 1 - Table1[[#This Row],[Phon_Similarity]]</f>
        <v>0.85</v>
      </c>
      <c r="M177" s="5">
        <f xml:space="preserve"> 1 -Table1[[#This Row],[Orth_Similarity]]</f>
        <v>0.9</v>
      </c>
      <c r="N177" s="6">
        <v>4</v>
      </c>
      <c r="O177" s="6">
        <v>4</v>
      </c>
      <c r="P177" s="6">
        <v>3</v>
      </c>
      <c r="Q177" s="5">
        <v>3.2855569999999998</v>
      </c>
      <c r="R177" s="5" t="s">
        <v>1419</v>
      </c>
      <c r="S177" t="s">
        <v>870</v>
      </c>
      <c r="T177" t="s">
        <v>1113</v>
      </c>
      <c r="U177" s="6">
        <v>4</v>
      </c>
      <c r="V177" s="6">
        <v>3</v>
      </c>
      <c r="W177" s="6" t="s">
        <v>22</v>
      </c>
      <c r="X177" s="5">
        <v>3.731965270280885</v>
      </c>
      <c r="Y177" s="5">
        <v>0.15000000000000002</v>
      </c>
      <c r="Z177" s="5">
        <v>9.9999999999999978E-2</v>
      </c>
      <c r="AA177" s="6">
        <v>1</v>
      </c>
      <c r="AF177"/>
      <c r="AG177"/>
      <c r="AH177"/>
      <c r="AJ177"/>
      <c r="AK177"/>
      <c r="AL177"/>
      <c r="AM177"/>
      <c r="AN177"/>
      <c r="AO177"/>
      <c r="AP177"/>
    </row>
    <row r="178" spans="1:42" x14ac:dyDescent="0.3">
      <c r="A178" t="s">
        <v>115</v>
      </c>
      <c r="B178" s="6">
        <v>249</v>
      </c>
      <c r="C178" t="s">
        <v>370</v>
      </c>
      <c r="D178" t="s">
        <v>370</v>
      </c>
      <c r="E178" t="str">
        <f>VLOOKUP(Table1[[#This Row],[Code]], [1]Basque!$1:$1048576, 4, 0)</f>
        <v>patata</v>
      </c>
      <c r="F178" s="73">
        <v>0.2</v>
      </c>
      <c r="G178" s="5">
        <v>6.3129999999999997</v>
      </c>
      <c r="H178" s="5">
        <v>0</v>
      </c>
      <c r="I178" s="5">
        <v>100</v>
      </c>
      <c r="J178" s="5">
        <v>2.0499999999999998</v>
      </c>
      <c r="K178" t="s">
        <v>1288</v>
      </c>
      <c r="L178" s="5">
        <f xml:space="preserve"> 1 - Table1[[#This Row],[Phon_Similarity]]</f>
        <v>0.8606060606060606</v>
      </c>
      <c r="M178" s="5">
        <f xml:space="preserve"> 1 -Table1[[#This Row],[Orth_Similarity]]</f>
        <v>0.8666666666666667</v>
      </c>
      <c r="N178" s="6">
        <v>6</v>
      </c>
      <c r="O178" s="6">
        <v>6</v>
      </c>
      <c r="P178" s="6">
        <v>3</v>
      </c>
      <c r="Q178" s="5">
        <v>3.5387119999999999</v>
      </c>
      <c r="R178" s="5" t="s">
        <v>1419</v>
      </c>
      <c r="S178" t="s">
        <v>847</v>
      </c>
      <c r="T178" t="s">
        <v>1090</v>
      </c>
      <c r="U178" s="6">
        <v>6</v>
      </c>
      <c r="V178" s="6">
        <v>6</v>
      </c>
      <c r="W178" s="6" t="s">
        <v>24</v>
      </c>
      <c r="X178" s="5">
        <v>4.4380680085517383</v>
      </c>
      <c r="Y178" s="5">
        <v>0.1393939393939394</v>
      </c>
      <c r="Z178" s="5">
        <v>0.1333333333333333</v>
      </c>
      <c r="AA178" s="6">
        <v>2</v>
      </c>
      <c r="AF178"/>
      <c r="AG178"/>
      <c r="AH178"/>
      <c r="AJ178"/>
      <c r="AK178"/>
      <c r="AL178"/>
      <c r="AM178"/>
      <c r="AN178"/>
      <c r="AO178"/>
      <c r="AP178"/>
    </row>
    <row r="179" spans="1:42" x14ac:dyDescent="0.3">
      <c r="A179" t="s">
        <v>109</v>
      </c>
      <c r="B179" s="6">
        <v>234</v>
      </c>
      <c r="C179" t="s">
        <v>364</v>
      </c>
      <c r="D179" t="s">
        <v>364</v>
      </c>
      <c r="E179" t="str">
        <f>VLOOKUP(Table1[[#This Row],[Code]], [1]Basque!$1:$1048576, 4, 0)</f>
        <v>plater</v>
      </c>
      <c r="F179" s="73">
        <v>0.5</v>
      </c>
      <c r="G179" s="68">
        <v>0</v>
      </c>
      <c r="H179" s="5">
        <v>0.51755896599999995</v>
      </c>
      <c r="I179" s="5">
        <v>90.804597700000002</v>
      </c>
      <c r="J179" s="5">
        <v>2.04</v>
      </c>
      <c r="K179" t="s">
        <v>1290</v>
      </c>
      <c r="L179" s="5">
        <f xml:space="preserve"> 1 - Table1[[#This Row],[Phon_Similarity]]</f>
        <v>0.8666666666666667</v>
      </c>
      <c r="M179" s="5">
        <f xml:space="preserve"> 1 -Table1[[#This Row],[Orth_Similarity]]</f>
        <v>0.92592592592592593</v>
      </c>
      <c r="N179" s="6">
        <v>5</v>
      </c>
      <c r="O179" s="6">
        <v>5</v>
      </c>
      <c r="P179" s="6">
        <v>2</v>
      </c>
      <c r="Q179" s="5">
        <v>4.2679499999999999</v>
      </c>
      <c r="R179" s="5" t="s">
        <v>1419</v>
      </c>
      <c r="S179" t="s">
        <v>841</v>
      </c>
      <c r="T179" t="s">
        <v>1084</v>
      </c>
      <c r="U179" s="6">
        <v>5</v>
      </c>
      <c r="V179" s="6">
        <v>4</v>
      </c>
      <c r="W179" s="6" t="s">
        <v>22</v>
      </c>
      <c r="X179" s="5">
        <v>4.7278707730744918</v>
      </c>
      <c r="Y179" s="5">
        <v>0.1333333333333333</v>
      </c>
      <c r="Z179" s="5">
        <v>7.407407407407407E-2</v>
      </c>
      <c r="AA179" s="6">
        <v>1</v>
      </c>
      <c r="AF179"/>
      <c r="AG179"/>
      <c r="AH179"/>
      <c r="AJ179"/>
      <c r="AK179"/>
      <c r="AL179"/>
      <c r="AM179"/>
      <c r="AN179"/>
      <c r="AO179"/>
      <c r="AP179"/>
    </row>
    <row r="180" spans="1:42" x14ac:dyDescent="0.3">
      <c r="A180" t="s">
        <v>70</v>
      </c>
      <c r="B180" s="6">
        <v>127</v>
      </c>
      <c r="C180" t="s">
        <v>325</v>
      </c>
      <c r="D180" t="s">
        <v>578</v>
      </c>
      <c r="E180" t="str">
        <f>VLOOKUP(Table1[[#This Row],[Code]], [1]Basque!$1:$1048576, 4, 0)</f>
        <v>zaku</v>
      </c>
      <c r="F180" s="74">
        <v>0.33300000000000002</v>
      </c>
      <c r="G180" s="5">
        <v>5.7670000000000003</v>
      </c>
      <c r="H180" s="5">
        <v>0</v>
      </c>
      <c r="I180" s="5">
        <v>100</v>
      </c>
      <c r="J180" s="5">
        <v>1.79</v>
      </c>
      <c r="K180" t="s">
        <v>1290</v>
      </c>
      <c r="L180" s="5">
        <f xml:space="preserve"> 1 - Table1[[#This Row],[Phon_Similarity]]</f>
        <v>0.88648648648648654</v>
      </c>
      <c r="M180" s="5">
        <f xml:space="preserve"> 1 -Table1[[#This Row],[Orth_Similarity]]</f>
        <v>0.77272727272727271</v>
      </c>
      <c r="N180" s="6">
        <v>4</v>
      </c>
      <c r="O180" s="6">
        <v>4</v>
      </c>
      <c r="P180" s="6">
        <v>2</v>
      </c>
      <c r="Q180" s="5">
        <v>4.0386259999999998</v>
      </c>
      <c r="R180" s="5" t="s">
        <v>1419</v>
      </c>
      <c r="S180" t="s">
        <v>803</v>
      </c>
      <c r="T180" t="s">
        <v>1045</v>
      </c>
      <c r="U180" s="6">
        <v>4</v>
      </c>
      <c r="V180" s="6">
        <v>3</v>
      </c>
      <c r="W180" s="6" t="s">
        <v>22</v>
      </c>
      <c r="X180" s="5">
        <v>4.0040866747813162</v>
      </c>
      <c r="Y180" s="5">
        <v>0.11351351351351346</v>
      </c>
      <c r="Z180" s="5">
        <v>0.22727272727272729</v>
      </c>
      <c r="AA180" s="6">
        <v>1</v>
      </c>
      <c r="AF180"/>
      <c r="AG180"/>
      <c r="AH180"/>
      <c r="AJ180"/>
      <c r="AK180"/>
      <c r="AL180"/>
      <c r="AM180"/>
      <c r="AN180"/>
      <c r="AO180"/>
      <c r="AP180"/>
    </row>
    <row r="181" spans="1:42" x14ac:dyDescent="0.3">
      <c r="A181" t="s">
        <v>105</v>
      </c>
      <c r="B181" s="6">
        <v>215</v>
      </c>
      <c r="C181" t="s">
        <v>360</v>
      </c>
      <c r="D181" t="s">
        <v>360</v>
      </c>
      <c r="E181" s="15" t="e">
        <f>VLOOKUP(Table1[[#This Row],[Code]], [1]Basque!$1:$1048576, 4, 0)</f>
        <v>#N/A</v>
      </c>
      <c r="F181" s="74">
        <v>0.66700000000000004</v>
      </c>
      <c r="G181" s="5">
        <v>6.7489999999999997</v>
      </c>
      <c r="H181" s="5">
        <v>0.28853851400000002</v>
      </c>
      <c r="I181" s="5">
        <v>94.949494950000002</v>
      </c>
      <c r="J181" s="5">
        <v>2.5</v>
      </c>
      <c r="K181" t="s">
        <v>1291</v>
      </c>
      <c r="L181" s="5">
        <f xml:space="preserve"> 1 - Table1[[#This Row],[Phon_Similarity]]</f>
        <v>0.88648648648648654</v>
      </c>
      <c r="M181" s="5">
        <f xml:space="preserve"> 1 -Table1[[#This Row],[Orth_Similarity]]</f>
        <v>0.85</v>
      </c>
      <c r="N181" s="6">
        <v>4</v>
      </c>
      <c r="O181" s="6">
        <v>4</v>
      </c>
      <c r="P181" s="6">
        <v>2</v>
      </c>
      <c r="Q181" s="5">
        <v>3.535434</v>
      </c>
      <c r="R181" s="5" t="s">
        <v>1419</v>
      </c>
      <c r="S181" t="s">
        <v>837</v>
      </c>
      <c r="T181" t="s">
        <v>1080</v>
      </c>
      <c r="U181" s="6">
        <v>4</v>
      </c>
      <c r="V181" s="6">
        <v>3</v>
      </c>
      <c r="W181" s="6" t="s">
        <v>22</v>
      </c>
      <c r="X181" s="5">
        <v>4.425386394530511</v>
      </c>
      <c r="Y181" s="5">
        <v>0.11351351351351346</v>
      </c>
      <c r="Z181" s="5">
        <v>0.15000000000000002</v>
      </c>
      <c r="AA181" s="6">
        <v>2</v>
      </c>
      <c r="AF181"/>
      <c r="AG181"/>
      <c r="AH181"/>
      <c r="AJ181"/>
      <c r="AK181"/>
      <c r="AL181"/>
      <c r="AM181"/>
      <c r="AN181"/>
      <c r="AO181"/>
      <c r="AP181"/>
    </row>
    <row r="182" spans="1:42" x14ac:dyDescent="0.3">
      <c r="A182" t="s">
        <v>148</v>
      </c>
      <c r="B182" s="6">
        <v>326</v>
      </c>
      <c r="C182" t="s">
        <v>403</v>
      </c>
      <c r="D182" t="s">
        <v>403</v>
      </c>
      <c r="E182" t="str">
        <f>VLOOKUP(Table1[[#This Row],[Code]], [1]Basque!$1:$1048576, 4, 0)</f>
        <v>tomate</v>
      </c>
      <c r="F182" s="73">
        <v>0.4</v>
      </c>
      <c r="G182" s="5">
        <v>6.6280000000000001</v>
      </c>
      <c r="H182" s="5">
        <v>0</v>
      </c>
      <c r="I182" s="5">
        <v>100</v>
      </c>
      <c r="J182" s="5">
        <v>1.71</v>
      </c>
      <c r="K182" t="s">
        <v>1288</v>
      </c>
      <c r="L182" s="5">
        <f xml:space="preserve"> 1 - Table1[[#This Row],[Phon_Similarity]]</f>
        <v>0.88888888888888884</v>
      </c>
      <c r="M182" s="5">
        <f xml:space="preserve"> 1 -Table1[[#This Row],[Orth_Similarity]]</f>
        <v>0.93333333333333335</v>
      </c>
      <c r="N182" s="6">
        <v>6</v>
      </c>
      <c r="O182" s="6">
        <v>6</v>
      </c>
      <c r="P182" s="6">
        <v>3</v>
      </c>
      <c r="Q182" s="5">
        <v>3.8427920000000002</v>
      </c>
      <c r="R182" s="5" t="s">
        <v>1419</v>
      </c>
      <c r="S182" t="s">
        <v>879</v>
      </c>
      <c r="T182" t="s">
        <v>1122</v>
      </c>
      <c r="U182" s="6">
        <v>6</v>
      </c>
      <c r="V182" s="6">
        <v>6</v>
      </c>
      <c r="W182" s="6" t="s">
        <v>24</v>
      </c>
      <c r="X182" s="5">
        <v>4.2669785767548145</v>
      </c>
      <c r="Y182" s="5">
        <v>0.11111111111111116</v>
      </c>
      <c r="Z182" s="5">
        <v>6.6666666666666652E-2</v>
      </c>
      <c r="AA182" s="6">
        <v>1</v>
      </c>
      <c r="AF182"/>
      <c r="AG182"/>
      <c r="AH182"/>
      <c r="AJ182"/>
      <c r="AK182"/>
      <c r="AL182"/>
      <c r="AM182"/>
      <c r="AN182"/>
      <c r="AO182"/>
      <c r="AP182"/>
    </row>
    <row r="183" spans="1:42" x14ac:dyDescent="0.3">
      <c r="A183" t="s">
        <v>252</v>
      </c>
      <c r="B183" s="6">
        <v>601</v>
      </c>
      <c r="C183" t="s">
        <v>507</v>
      </c>
      <c r="D183" t="s">
        <v>507</v>
      </c>
      <c r="E183" t="str">
        <f>VLOOKUP(Table1[[#This Row],[Code]], [1]Basque!$1:$1048576, 4, 0)</f>
        <v>koala</v>
      </c>
      <c r="F183" s="73">
        <v>0.75</v>
      </c>
      <c r="G183" s="68">
        <v>0</v>
      </c>
      <c r="H183" s="5">
        <v>0</v>
      </c>
      <c r="I183" s="5">
        <v>100</v>
      </c>
      <c r="J183" s="5">
        <v>3.07</v>
      </c>
      <c r="K183" t="s">
        <v>1285</v>
      </c>
      <c r="L183" s="5">
        <f xml:space="preserve"> 1 - Table1[[#This Row],[Phon_Similarity]]</f>
        <v>0.91428571428571426</v>
      </c>
      <c r="M183" s="5">
        <f xml:space="preserve"> 1 -Table1[[#This Row],[Orth_Similarity]]</f>
        <v>1</v>
      </c>
      <c r="N183" s="6">
        <v>5</v>
      </c>
      <c r="O183" s="6">
        <v>5</v>
      </c>
      <c r="P183" s="6">
        <v>3</v>
      </c>
      <c r="Q183" s="5">
        <v>2.7646229999999998</v>
      </c>
      <c r="R183" s="5" t="s">
        <v>1419</v>
      </c>
      <c r="S183" t="s">
        <v>507</v>
      </c>
      <c r="T183" t="s">
        <v>1223</v>
      </c>
      <c r="U183" s="6">
        <v>5</v>
      </c>
      <c r="V183" s="6">
        <v>5</v>
      </c>
      <c r="W183" s="6" t="s">
        <v>24</v>
      </c>
      <c r="X183" s="5">
        <v>3.4971394362119455</v>
      </c>
      <c r="Y183" s="5">
        <v>8.5714285714285743E-2</v>
      </c>
      <c r="Z183" s="5">
        <v>0</v>
      </c>
      <c r="AA183" s="6">
        <v>0</v>
      </c>
      <c r="AF183"/>
      <c r="AG183"/>
      <c r="AH183"/>
      <c r="AJ183"/>
      <c r="AK183"/>
      <c r="AL183"/>
      <c r="AM183"/>
      <c r="AN183"/>
      <c r="AO183"/>
      <c r="AP183"/>
    </row>
    <row r="184" spans="1:42" x14ac:dyDescent="0.3">
      <c r="A184" t="s">
        <v>270</v>
      </c>
      <c r="B184" s="6">
        <v>640</v>
      </c>
      <c r="C184" t="s">
        <v>525</v>
      </c>
      <c r="D184" t="s">
        <v>757</v>
      </c>
      <c r="E184" t="str">
        <f>VLOOKUP(Table1[[#This Row],[Code]], [1]Basque!$1:$1048576, 4, 0)</f>
        <v>kaktus</v>
      </c>
      <c r="F184" s="73">
        <v>0.4</v>
      </c>
      <c r="G184" s="5">
        <v>6.5090000000000003</v>
      </c>
      <c r="H184" s="5">
        <v>0</v>
      </c>
      <c r="I184" s="5">
        <v>100</v>
      </c>
      <c r="J184" s="5">
        <v>2.676767677</v>
      </c>
      <c r="K184" t="s">
        <v>983</v>
      </c>
      <c r="L184" s="5">
        <f xml:space="preserve"> 1 - Table1[[#This Row],[Phon_Similarity]]</f>
        <v>0.92352941176470593</v>
      </c>
      <c r="M184" s="5">
        <f xml:space="preserve"> 1 -Table1[[#This Row],[Orth_Similarity]]</f>
        <v>1</v>
      </c>
      <c r="N184" s="6">
        <v>6</v>
      </c>
      <c r="O184" s="6">
        <v>6</v>
      </c>
      <c r="P184" s="6">
        <v>2</v>
      </c>
      <c r="Q184" s="5">
        <v>3.2751980000000001</v>
      </c>
      <c r="R184" s="5" t="s">
        <v>1419</v>
      </c>
      <c r="S184" t="s">
        <v>525</v>
      </c>
      <c r="T184" t="s">
        <v>1240</v>
      </c>
      <c r="U184" s="6">
        <v>6</v>
      </c>
      <c r="V184" s="6">
        <v>6</v>
      </c>
      <c r="W184" s="6" t="s">
        <v>23</v>
      </c>
      <c r="X184" s="5">
        <v>3.3537471228517028</v>
      </c>
      <c r="Y184" s="5">
        <v>7.6470588235294068E-2</v>
      </c>
      <c r="Z184" s="5">
        <v>0</v>
      </c>
      <c r="AA184" s="6">
        <v>0</v>
      </c>
      <c r="AF184"/>
      <c r="AG184"/>
      <c r="AH184"/>
      <c r="AJ184"/>
      <c r="AK184"/>
      <c r="AL184"/>
      <c r="AM184"/>
      <c r="AN184"/>
      <c r="AO184"/>
      <c r="AP184"/>
    </row>
    <row r="185" spans="1:42" x14ac:dyDescent="0.3">
      <c r="A185" t="s">
        <v>65</v>
      </c>
      <c r="B185" s="6">
        <v>114</v>
      </c>
      <c r="C185" t="s">
        <v>320</v>
      </c>
      <c r="D185" t="s">
        <v>574</v>
      </c>
      <c r="E185" t="str">
        <f>VLOOKUP(Table1[[#This Row],[Code]], [1]Basque!$1:$1048576, 4, 0)</f>
        <v>fruta</v>
      </c>
      <c r="F185" s="73">
        <v>0.5</v>
      </c>
      <c r="G185" s="5">
        <v>5.3330000000000002</v>
      </c>
      <c r="H185" s="5">
        <v>0.141440543</v>
      </c>
      <c r="I185" s="5">
        <v>98</v>
      </c>
      <c r="J185" s="5">
        <v>2.91</v>
      </c>
      <c r="K185" t="s">
        <v>1288</v>
      </c>
      <c r="L185" s="5">
        <f xml:space="preserve"> 1 - Table1[[#This Row],[Phon_Similarity]]</f>
        <v>0.94117647058823528</v>
      </c>
      <c r="M185" s="5">
        <f xml:space="preserve"> 1 -Table1[[#This Row],[Orth_Similarity]]</f>
        <v>0.88888888888888884</v>
      </c>
      <c r="N185" s="6">
        <v>5</v>
      </c>
      <c r="O185" s="6">
        <v>5</v>
      </c>
      <c r="P185" s="6">
        <v>2</v>
      </c>
      <c r="Q185" s="5">
        <v>4.1426049999999996</v>
      </c>
      <c r="R185" s="5" t="s">
        <v>1419</v>
      </c>
      <c r="S185" t="s">
        <v>799</v>
      </c>
      <c r="T185" t="s">
        <v>1040</v>
      </c>
      <c r="U185" s="6">
        <v>5</v>
      </c>
      <c r="V185" s="6">
        <v>4</v>
      </c>
      <c r="W185" s="6" t="s">
        <v>22</v>
      </c>
      <c r="X185" s="5">
        <v>4.7258494789021839</v>
      </c>
      <c r="Y185" s="5">
        <v>5.8823529411764719E-2</v>
      </c>
      <c r="Z185" s="5">
        <v>0.11111111111111116</v>
      </c>
      <c r="AA185" s="6">
        <v>2</v>
      </c>
      <c r="AF185"/>
      <c r="AG185"/>
      <c r="AH185"/>
      <c r="AJ185"/>
      <c r="AK185"/>
      <c r="AL185"/>
      <c r="AM185"/>
      <c r="AN185"/>
      <c r="AO185"/>
      <c r="AP185"/>
    </row>
    <row r="186" spans="1:42" x14ac:dyDescent="0.3">
      <c r="A186" t="s">
        <v>257</v>
      </c>
      <c r="B186" s="6">
        <v>611</v>
      </c>
      <c r="C186" t="s">
        <v>512</v>
      </c>
      <c r="D186" t="s">
        <v>512</v>
      </c>
      <c r="E186" t="str">
        <f>VLOOKUP(Table1[[#This Row],[Code]], [1]Basque!$1:$1048576, 4, 0)</f>
        <v>landare</v>
      </c>
      <c r="F186" s="73">
        <v>0.6</v>
      </c>
      <c r="G186" s="5">
        <v>5.9459999999999997</v>
      </c>
      <c r="H186" s="5">
        <v>0.626090653</v>
      </c>
      <c r="I186" s="5">
        <v>90</v>
      </c>
      <c r="J186" s="5">
        <v>2.5299999999999998</v>
      </c>
      <c r="K186" t="s">
        <v>983</v>
      </c>
      <c r="L186" s="5">
        <f xml:space="preserve"> 1 - Table1[[#This Row],[Phon_Similarity]]</f>
        <v>0.9538461538461539</v>
      </c>
      <c r="M186" s="5">
        <f xml:space="preserve"> 1 -Table1[[#This Row],[Orth_Similarity]]</f>
        <v>0.9538461538461539</v>
      </c>
      <c r="N186" s="6">
        <v>6</v>
      </c>
      <c r="O186" s="6">
        <v>6</v>
      </c>
      <c r="P186" s="6">
        <v>2</v>
      </c>
      <c r="Q186" s="5">
        <v>4.8787900000000004</v>
      </c>
      <c r="R186" s="5" t="s">
        <v>1419</v>
      </c>
      <c r="S186" t="s">
        <v>983</v>
      </c>
      <c r="T186" t="s">
        <v>1228</v>
      </c>
      <c r="U186" s="6">
        <v>5</v>
      </c>
      <c r="V186" s="6">
        <v>5</v>
      </c>
      <c r="W186" s="6" t="s">
        <v>22</v>
      </c>
      <c r="X186" s="5">
        <v>4.8085417434614754</v>
      </c>
      <c r="Y186" s="5">
        <v>4.6153846153846101E-2</v>
      </c>
      <c r="Z186" s="5">
        <v>4.6153846153846101E-2</v>
      </c>
      <c r="AA186" s="6">
        <v>1</v>
      </c>
      <c r="AF186"/>
      <c r="AG186"/>
      <c r="AH186"/>
      <c r="AJ186"/>
      <c r="AK186"/>
      <c r="AL186"/>
      <c r="AM186"/>
      <c r="AN186"/>
      <c r="AO186"/>
      <c r="AP186"/>
    </row>
    <row r="187" spans="1:42" x14ac:dyDescent="0.3">
      <c r="A187" t="s">
        <v>206</v>
      </c>
      <c r="B187" s="6">
        <v>489</v>
      </c>
      <c r="C187" t="s">
        <v>461</v>
      </c>
      <c r="D187" t="s">
        <v>696</v>
      </c>
      <c r="E187" t="str">
        <f>VLOOKUP(Table1[[#This Row],[Code]], [1]Basque!$1:$1048576, 4, 0)</f>
        <v>pizza</v>
      </c>
      <c r="F187" s="73">
        <v>0.25</v>
      </c>
      <c r="G187" s="68">
        <v>0</v>
      </c>
      <c r="H187" s="5">
        <v>0</v>
      </c>
      <c r="I187" s="5">
        <v>100</v>
      </c>
      <c r="J187" s="5">
        <v>2.4300000000000002</v>
      </c>
      <c r="K187" t="s">
        <v>1288</v>
      </c>
      <c r="L187" s="5">
        <f xml:space="preserve"> 1 - Table1[[#This Row],[Phon_Similarity]]</f>
        <v>0.97777777777777775</v>
      </c>
      <c r="M187" s="5">
        <f xml:space="preserve"> 1 -Table1[[#This Row],[Orth_Similarity]]</f>
        <v>1</v>
      </c>
      <c r="N187" s="6">
        <v>5</v>
      </c>
      <c r="O187" s="6">
        <v>5</v>
      </c>
      <c r="P187" s="6">
        <v>3</v>
      </c>
      <c r="Q187" s="5">
        <v>3.3410739999999999</v>
      </c>
      <c r="R187" s="5" t="s">
        <v>1419</v>
      </c>
      <c r="S187" t="s">
        <v>461</v>
      </c>
      <c r="T187" t="s">
        <v>1180</v>
      </c>
      <c r="U187" s="6">
        <v>5</v>
      </c>
      <c r="V187" s="6">
        <v>5</v>
      </c>
      <c r="W187" s="6" t="s">
        <v>23</v>
      </c>
      <c r="X187" s="5">
        <v>4.2516761640131016</v>
      </c>
      <c r="Y187" s="5">
        <v>2.2222222222222254E-2</v>
      </c>
      <c r="Z187" s="5">
        <v>0</v>
      </c>
      <c r="AA187" s="6">
        <v>0</v>
      </c>
      <c r="AF187"/>
      <c r="AG187"/>
      <c r="AH187"/>
      <c r="AJ187"/>
      <c r="AK187"/>
      <c r="AL187"/>
      <c r="AM187"/>
      <c r="AN187"/>
      <c r="AO187"/>
      <c r="AP187"/>
    </row>
    <row r="188" spans="1:42" x14ac:dyDescent="0.3">
      <c r="A188" t="s">
        <v>69</v>
      </c>
      <c r="B188" s="6">
        <v>125</v>
      </c>
      <c r="C188" t="s">
        <v>324</v>
      </c>
      <c r="D188" t="s">
        <v>324</v>
      </c>
      <c r="E188" t="str">
        <f>VLOOKUP(Table1[[#This Row],[Code]], [1]Basque!$1:$1048576, 4, 0)</f>
        <v>kiwi</v>
      </c>
      <c r="F188" s="74">
        <v>0.66700000000000004</v>
      </c>
      <c r="G188" s="68">
        <v>0</v>
      </c>
      <c r="H188" s="5">
        <v>0</v>
      </c>
      <c r="I188" s="5">
        <v>100</v>
      </c>
      <c r="J188" s="5">
        <v>2.31</v>
      </c>
      <c r="K188" t="s">
        <v>1288</v>
      </c>
      <c r="L188" s="5">
        <f xml:space="preserve"> 1 - Table1[[#This Row],[Phon_Similarity]]</f>
        <v>1</v>
      </c>
      <c r="M188" s="5">
        <f xml:space="preserve"> 1 -Table1[[#This Row],[Orth_Similarity]]</f>
        <v>1</v>
      </c>
      <c r="N188" s="6">
        <v>4</v>
      </c>
      <c r="O188" s="6">
        <v>4</v>
      </c>
      <c r="P188" s="6">
        <v>3</v>
      </c>
      <c r="Q188" s="5">
        <v>2.6731379999999998</v>
      </c>
      <c r="R188" s="5" t="s">
        <v>1419</v>
      </c>
      <c r="S188" t="s">
        <v>324</v>
      </c>
      <c r="T188" t="s">
        <v>1044</v>
      </c>
      <c r="U188" s="6">
        <v>4</v>
      </c>
      <c r="V188" s="6">
        <v>4</v>
      </c>
      <c r="W188" s="6" t="s">
        <v>23</v>
      </c>
      <c r="X188" s="5">
        <v>3.2743749361626628</v>
      </c>
      <c r="Y188" s="5">
        <v>0</v>
      </c>
      <c r="Z188" s="5">
        <v>0</v>
      </c>
      <c r="AA188" s="6">
        <v>0</v>
      </c>
      <c r="AF188"/>
      <c r="AG188"/>
      <c r="AH188"/>
      <c r="AJ188"/>
      <c r="AK188"/>
      <c r="AL188"/>
      <c r="AM188"/>
      <c r="AN188"/>
      <c r="AO188"/>
      <c r="AP188"/>
    </row>
    <row r="189" spans="1:42" x14ac:dyDescent="0.3">
      <c r="H189" s="5">
        <f>MAX(Table1[H_Index_SP])</f>
        <v>0.626090653</v>
      </c>
      <c r="I189" s="5">
        <f>MIN(Table1[Name_Agreement_SP])</f>
        <v>90</v>
      </c>
      <c r="J189" s="5">
        <f>MIN(Table1[Visual_Complexity_SP])</f>
        <v>1.35</v>
      </c>
      <c r="L189" s="5"/>
      <c r="M189" s="5"/>
      <c r="N189" s="5"/>
      <c r="O189" s="6"/>
      <c r="P189" s="6"/>
      <c r="Q189" s="5"/>
      <c r="R189" s="5"/>
      <c r="U189" s="6"/>
      <c r="V189" s="6"/>
      <c r="W189" s="6"/>
      <c r="X189" s="5"/>
      <c r="Y189" s="5"/>
      <c r="Z189" s="5"/>
      <c r="AA189" s="5"/>
      <c r="AF189"/>
      <c r="AG189"/>
      <c r="AH189"/>
      <c r="AJ189"/>
      <c r="AK189"/>
      <c r="AL189"/>
      <c r="AM189"/>
      <c r="AN189"/>
      <c r="AO189"/>
      <c r="AP189"/>
    </row>
    <row r="190" spans="1:42" x14ac:dyDescent="0.3">
      <c r="H190" s="23">
        <f>AVERAGE(Table1[H_Index_SP])</f>
        <v>0.11377688085561501</v>
      </c>
      <c r="I190" s="23">
        <f>AVERAGE(Table1[Name_Agreement_SP])</f>
        <v>98.105562184919791</v>
      </c>
      <c r="J190" s="6">
        <f>MAX(Table1[Visual_Complexity_SP])</f>
        <v>3.78</v>
      </c>
      <c r="AF190"/>
      <c r="AG190"/>
      <c r="AH190"/>
      <c r="AJ190"/>
      <c r="AK190"/>
      <c r="AL190"/>
      <c r="AM190"/>
      <c r="AN190"/>
      <c r="AO190"/>
      <c r="AP190"/>
    </row>
    <row r="191" spans="1:42" x14ac:dyDescent="0.3">
      <c r="H191" s="23">
        <f>STDEVA(Table1[H_Index_SP])</f>
        <v>0.16292184093710491</v>
      </c>
      <c r="I191" s="23">
        <f>STDEVA(Table1[Name_Agreement_SP])</f>
        <v>2.8127429979155791</v>
      </c>
      <c r="J191" s="5">
        <f>AVERAGE(Table1[Visual_Complexity_SP])</f>
        <v>2.3342543077860962</v>
      </c>
      <c r="AF191"/>
      <c r="AG191"/>
      <c r="AH191"/>
      <c r="AJ191"/>
      <c r="AK191"/>
      <c r="AL191"/>
      <c r="AM191"/>
      <c r="AN191"/>
      <c r="AO191"/>
      <c r="AP191"/>
    </row>
    <row r="192" spans="1:42" x14ac:dyDescent="0.3">
      <c r="J192" s="5">
        <f>STDEVA(Table1[Visual_Complexity_SP])</f>
        <v>0.51729295419344634</v>
      </c>
      <c r="O192" t="s">
        <v>1409</v>
      </c>
      <c r="AF192"/>
      <c r="AG192"/>
      <c r="AH192"/>
      <c r="AJ192"/>
      <c r="AK192"/>
      <c r="AL192"/>
      <c r="AM192"/>
      <c r="AN192"/>
      <c r="AO192"/>
      <c r="AP192"/>
    </row>
    <row r="193" spans="3:42" x14ac:dyDescent="0.3">
      <c r="O193" t="s">
        <v>1409</v>
      </c>
      <c r="AJ193" s="5">
        <f>MAX(Table1[Name_Agreement_SP])</f>
        <v>100</v>
      </c>
      <c r="AO193"/>
      <c r="AP193"/>
    </row>
    <row r="194" spans="3:42" x14ac:dyDescent="0.3">
      <c r="C194" t="s">
        <v>1409</v>
      </c>
      <c r="AO194"/>
      <c r="AP194"/>
    </row>
    <row r="195" spans="3:42" x14ac:dyDescent="0.3">
      <c r="AO195"/>
      <c r="AP195"/>
    </row>
    <row r="196" spans="3:42" x14ac:dyDescent="0.3">
      <c r="AO196"/>
      <c r="AP196"/>
    </row>
    <row r="197" spans="3:42" x14ac:dyDescent="0.3">
      <c r="AO197"/>
      <c r="AP197"/>
    </row>
    <row r="198" spans="3:42" x14ac:dyDescent="0.3">
      <c r="AO198"/>
      <c r="AP198"/>
    </row>
    <row r="199" spans="3:42" x14ac:dyDescent="0.3">
      <c r="AO199"/>
      <c r="AP199"/>
    </row>
    <row r="200" spans="3:42" x14ac:dyDescent="0.3">
      <c r="V200" t="s">
        <v>1409</v>
      </c>
      <c r="AB200" t="s">
        <v>1409</v>
      </c>
      <c r="AO200"/>
      <c r="AP200"/>
    </row>
    <row r="201" spans="3:42" x14ac:dyDescent="0.3">
      <c r="AO201"/>
      <c r="AP201"/>
    </row>
    <row r="202" spans="3:42" x14ac:dyDescent="0.3">
      <c r="AO202"/>
      <c r="AP202"/>
    </row>
    <row r="203" spans="3:42" x14ac:dyDescent="0.3">
      <c r="AO203"/>
      <c r="AP203"/>
    </row>
    <row r="204" spans="3:42" x14ac:dyDescent="0.3">
      <c r="AO204"/>
      <c r="AP204"/>
    </row>
    <row r="205" spans="3:42" x14ac:dyDescent="0.3">
      <c r="AO205"/>
      <c r="AP205"/>
    </row>
    <row r="206" spans="3:42" x14ac:dyDescent="0.3">
      <c r="AO206"/>
      <c r="AP206"/>
    </row>
    <row r="207" spans="3:42" x14ac:dyDescent="0.3">
      <c r="AO207"/>
      <c r="AP207"/>
    </row>
    <row r="208" spans="3:42" x14ac:dyDescent="0.3">
      <c r="AO208"/>
      <c r="AP208"/>
    </row>
    <row r="209" spans="41:42" x14ac:dyDescent="0.3">
      <c r="AO209"/>
      <c r="AP209"/>
    </row>
    <row r="210" spans="41:42" x14ac:dyDescent="0.3">
      <c r="AO210"/>
      <c r="AP210"/>
    </row>
    <row r="211" spans="41:42" x14ac:dyDescent="0.3">
      <c r="AO211"/>
      <c r="AP211"/>
    </row>
    <row r="212" spans="41:42" x14ac:dyDescent="0.3">
      <c r="AO212"/>
      <c r="AP212"/>
    </row>
    <row r="213" spans="41:42" x14ac:dyDescent="0.3">
      <c r="AO213"/>
      <c r="AP213"/>
    </row>
    <row r="214" spans="41:42" x14ac:dyDescent="0.3">
      <c r="AO214"/>
      <c r="AP214"/>
    </row>
    <row r="215" spans="41:42" x14ac:dyDescent="0.3">
      <c r="AO215"/>
      <c r="AP215"/>
    </row>
    <row r="216" spans="41:42" x14ac:dyDescent="0.3">
      <c r="AO216"/>
      <c r="AP216"/>
    </row>
    <row r="217" spans="41:42" x14ac:dyDescent="0.3">
      <c r="AO217"/>
      <c r="AP217"/>
    </row>
    <row r="218" spans="41:42" x14ac:dyDescent="0.3">
      <c r="AO218"/>
      <c r="AP218"/>
    </row>
    <row r="219" spans="41:42" x14ac:dyDescent="0.3">
      <c r="AO219"/>
      <c r="AP219"/>
    </row>
    <row r="220" spans="41:42" x14ac:dyDescent="0.3">
      <c r="AO220"/>
      <c r="AP220"/>
    </row>
    <row r="221" spans="41:42" x14ac:dyDescent="0.3">
      <c r="AO221"/>
      <c r="AP221"/>
    </row>
    <row r="222" spans="41:42" x14ac:dyDescent="0.3">
      <c r="AO222"/>
      <c r="AP222"/>
    </row>
    <row r="223" spans="41:42" x14ac:dyDescent="0.3">
      <c r="AO223"/>
      <c r="AP223"/>
    </row>
    <row r="224" spans="41:42" x14ac:dyDescent="0.3">
      <c r="AO224"/>
      <c r="AP224"/>
    </row>
  </sheetData>
  <phoneticPr fontId="7" type="noConversion"/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ABBD-649D-4E58-92EF-C4AEC6F35D71}">
  <dimension ref="A1:Z51"/>
  <sheetViews>
    <sheetView workbookViewId="0">
      <selection activeCell="A38" sqref="A38:Z39"/>
    </sheetView>
  </sheetViews>
  <sheetFormatPr defaultRowHeight="14.4" x14ac:dyDescent="0.3"/>
  <cols>
    <col min="2" max="2" width="12.109375" bestFit="1" customWidth="1"/>
  </cols>
  <sheetData>
    <row r="1" spans="1:25" x14ac:dyDescent="0.3">
      <c r="A1" s="3" t="s">
        <v>35</v>
      </c>
      <c r="B1" s="4" t="s">
        <v>122</v>
      </c>
      <c r="C1" s="4" t="s">
        <v>377</v>
      </c>
      <c r="D1" s="4" t="s">
        <v>621</v>
      </c>
      <c r="E1" s="4" t="s">
        <v>854</v>
      </c>
      <c r="F1" s="4" t="s">
        <v>1097</v>
      </c>
      <c r="G1" s="4" t="s">
        <v>1291</v>
      </c>
      <c r="H1" s="7">
        <v>7.2727272727272751E-2</v>
      </c>
      <c r="I1" s="7">
        <v>0.12765957446808507</v>
      </c>
      <c r="J1" s="7" t="s">
        <v>1418</v>
      </c>
      <c r="K1" s="8">
        <v>5</v>
      </c>
      <c r="L1" s="8">
        <v>5</v>
      </c>
      <c r="M1" s="8">
        <v>4</v>
      </c>
      <c r="N1" s="8">
        <v>5</v>
      </c>
      <c r="O1" s="8">
        <v>3</v>
      </c>
      <c r="P1" s="8">
        <v>2</v>
      </c>
      <c r="Q1" s="8" t="s">
        <v>22</v>
      </c>
      <c r="R1" s="7">
        <v>3.156209</v>
      </c>
      <c r="S1" s="7">
        <v>3.8066619684610106</v>
      </c>
      <c r="T1" s="7">
        <v>6.1029999999999998</v>
      </c>
      <c r="U1" s="7">
        <v>0</v>
      </c>
      <c r="V1" s="7">
        <v>100</v>
      </c>
      <c r="W1" s="7">
        <v>0.92727272727272725</v>
      </c>
      <c r="X1" s="7">
        <v>0.87234042553191493</v>
      </c>
      <c r="Y1" s="55">
        <v>1.67</v>
      </c>
    </row>
    <row r="2" spans="1:25" x14ac:dyDescent="0.3">
      <c r="A2" s="3" t="s">
        <v>47</v>
      </c>
      <c r="B2" s="4" t="s">
        <v>216</v>
      </c>
      <c r="C2" s="4" t="s">
        <v>471</v>
      </c>
      <c r="D2" s="4" t="s">
        <v>706</v>
      </c>
      <c r="E2" s="4" t="s">
        <v>946</v>
      </c>
      <c r="F2" s="4" t="s">
        <v>1190</v>
      </c>
      <c r="G2" s="4" t="s">
        <v>1290</v>
      </c>
      <c r="H2" s="7">
        <v>0.15000000000000002</v>
      </c>
      <c r="I2" s="7">
        <v>0.16000000000000003</v>
      </c>
      <c r="J2" s="7" t="s">
        <v>1418</v>
      </c>
      <c r="K2" s="8">
        <v>5</v>
      </c>
      <c r="L2" s="8">
        <v>5</v>
      </c>
      <c r="M2" s="8">
        <v>5</v>
      </c>
      <c r="N2" s="8">
        <v>5</v>
      </c>
      <c r="O2" s="8">
        <v>3</v>
      </c>
      <c r="P2" s="8">
        <v>2</v>
      </c>
      <c r="Q2" s="8" t="s">
        <v>22</v>
      </c>
      <c r="R2" s="7">
        <v>3.6199970000000001</v>
      </c>
      <c r="S2" s="7">
        <v>4.5068413332125203</v>
      </c>
      <c r="T2" s="7">
        <v>5.9329999999999998</v>
      </c>
      <c r="U2" s="7">
        <v>0.30217361799999998</v>
      </c>
      <c r="V2" s="7">
        <v>94.623655909999997</v>
      </c>
      <c r="W2" s="7">
        <v>0.85</v>
      </c>
      <c r="X2" s="7">
        <v>0.84</v>
      </c>
      <c r="Y2" s="55">
        <v>1.99</v>
      </c>
    </row>
    <row r="3" spans="1:25" x14ac:dyDescent="0.3">
      <c r="A3" s="3" t="s">
        <v>52</v>
      </c>
      <c r="B3" s="4" t="s">
        <v>267</v>
      </c>
      <c r="C3" s="4" t="s">
        <v>522</v>
      </c>
      <c r="D3" s="4" t="s">
        <v>754</v>
      </c>
      <c r="E3" s="4" t="s">
        <v>921</v>
      </c>
      <c r="F3" s="4" t="s">
        <v>1164</v>
      </c>
      <c r="G3" s="4" t="s">
        <v>1285</v>
      </c>
      <c r="H3" s="7">
        <v>0.24</v>
      </c>
      <c r="I3" s="7">
        <v>0.37209302325581395</v>
      </c>
      <c r="J3" s="7"/>
      <c r="K3" s="8">
        <v>6</v>
      </c>
      <c r="L3" s="8">
        <v>6</v>
      </c>
      <c r="M3" s="8">
        <v>3</v>
      </c>
      <c r="N3" s="8">
        <v>6</v>
      </c>
      <c r="O3" s="8">
        <v>3</v>
      </c>
      <c r="P3" s="8">
        <v>2</v>
      </c>
      <c r="Q3" s="8" t="s">
        <v>22</v>
      </c>
      <c r="R3" s="7">
        <v>3.6069390000000001</v>
      </c>
      <c r="S3" s="7">
        <v>4.5111806424389407</v>
      </c>
      <c r="T3" s="7">
        <v>5.69</v>
      </c>
      <c r="U3" s="7">
        <v>0.416844196</v>
      </c>
      <c r="V3" s="7">
        <v>91.578947369999995</v>
      </c>
      <c r="W3" s="7">
        <v>0.76</v>
      </c>
      <c r="X3" s="7">
        <v>0.62790697674418605</v>
      </c>
      <c r="Y3" s="55">
        <v>3.08</v>
      </c>
    </row>
    <row r="4" spans="1:25" x14ac:dyDescent="0.3">
      <c r="A4" s="3" t="s">
        <v>48</v>
      </c>
      <c r="B4" s="4" t="s">
        <v>228</v>
      </c>
      <c r="C4" s="4" t="s">
        <v>483</v>
      </c>
      <c r="D4" s="4" t="s">
        <v>717</v>
      </c>
      <c r="E4" s="4" t="s">
        <v>956</v>
      </c>
      <c r="F4" s="4" t="s">
        <v>1200</v>
      </c>
      <c r="G4" s="4" t="s">
        <v>1285</v>
      </c>
      <c r="H4" s="7">
        <v>0.2808510638297872</v>
      </c>
      <c r="I4" s="7">
        <v>0.42352941176470593</v>
      </c>
      <c r="J4" s="7"/>
      <c r="K4" s="8">
        <v>6</v>
      </c>
      <c r="L4" s="8">
        <v>7</v>
      </c>
      <c r="M4" s="8">
        <v>5</v>
      </c>
      <c r="N4" s="8">
        <v>7</v>
      </c>
      <c r="O4" s="8">
        <v>3</v>
      </c>
      <c r="P4" s="8">
        <v>3</v>
      </c>
      <c r="Q4" s="8" t="s">
        <v>22</v>
      </c>
      <c r="R4" s="7">
        <v>3.532546</v>
      </c>
      <c r="S4" s="7">
        <v>4.1734356545267213</v>
      </c>
      <c r="T4" s="7">
        <v>0</v>
      </c>
      <c r="U4" s="7">
        <v>0</v>
      </c>
      <c r="V4" s="7">
        <v>100</v>
      </c>
      <c r="W4" s="7">
        <v>0.7191489361702128</v>
      </c>
      <c r="X4" s="7">
        <v>0.57647058823529407</v>
      </c>
      <c r="Y4" s="55">
        <v>2.63</v>
      </c>
    </row>
    <row r="5" spans="1:25" x14ac:dyDescent="0.3">
      <c r="A5" s="3" t="s">
        <v>22</v>
      </c>
      <c r="B5" s="4" t="s">
        <v>60</v>
      </c>
      <c r="C5" s="4" t="s">
        <v>315</v>
      </c>
      <c r="D5" s="4" t="s">
        <v>570</v>
      </c>
      <c r="E5" s="4" t="s">
        <v>794</v>
      </c>
      <c r="F5" s="4" t="s">
        <v>1035</v>
      </c>
      <c r="G5" s="4" t="s">
        <v>1285</v>
      </c>
      <c r="H5" s="7">
        <v>0.29629629629629628</v>
      </c>
      <c r="I5" s="7">
        <v>0.28000000000000003</v>
      </c>
      <c r="J5" s="7" t="s">
        <v>1418</v>
      </c>
      <c r="K5" s="8">
        <v>5</v>
      </c>
      <c r="L5" s="8">
        <v>5</v>
      </c>
      <c r="M5" s="8">
        <v>5</v>
      </c>
      <c r="N5" s="8">
        <v>5</v>
      </c>
      <c r="O5" s="8">
        <v>3</v>
      </c>
      <c r="P5" s="8">
        <v>2</v>
      </c>
      <c r="Q5" s="8" t="s">
        <v>22</v>
      </c>
      <c r="R5" s="7">
        <v>3.9308990000000001</v>
      </c>
      <c r="S5" s="7">
        <v>4.4148183000960763</v>
      </c>
      <c r="T5" s="7">
        <v>6.2130000000000001</v>
      </c>
      <c r="U5" s="7">
        <v>0.28853851400000002</v>
      </c>
      <c r="V5" s="7">
        <v>94.949494950000002</v>
      </c>
      <c r="W5" s="7">
        <v>0.70370370370370372</v>
      </c>
      <c r="X5" s="7">
        <v>0.72</v>
      </c>
      <c r="Y5" s="55">
        <v>2.74</v>
      </c>
    </row>
    <row r="6" spans="1:25" x14ac:dyDescent="0.3">
      <c r="A6" s="3" t="s">
        <v>37</v>
      </c>
      <c r="B6" s="4" t="s">
        <v>134</v>
      </c>
      <c r="C6" s="4" t="s">
        <v>389</v>
      </c>
      <c r="D6" s="4" t="s">
        <v>633</v>
      </c>
      <c r="E6" s="4" t="s">
        <v>834</v>
      </c>
      <c r="F6" s="4" t="s">
        <v>1077</v>
      </c>
      <c r="G6" s="4" t="s">
        <v>1290</v>
      </c>
      <c r="H6" s="7">
        <v>0.3098591549295775</v>
      </c>
      <c r="I6" s="7">
        <v>0.22162162162162158</v>
      </c>
      <c r="J6" s="7" t="s">
        <v>1418</v>
      </c>
      <c r="K6" s="8">
        <v>7</v>
      </c>
      <c r="L6" s="8">
        <v>7</v>
      </c>
      <c r="M6" s="8">
        <v>7</v>
      </c>
      <c r="N6" s="8">
        <v>7</v>
      </c>
      <c r="O6" s="8">
        <v>6</v>
      </c>
      <c r="P6" s="8">
        <v>2</v>
      </c>
      <c r="Q6" s="8" t="s">
        <v>23</v>
      </c>
      <c r="R6" s="7">
        <v>3.3313139999999999</v>
      </c>
      <c r="S6" s="7">
        <v>3.7251195038798</v>
      </c>
      <c r="T6" s="7">
        <v>0</v>
      </c>
      <c r="U6" s="7">
        <v>0</v>
      </c>
      <c r="V6" s="7">
        <v>100</v>
      </c>
      <c r="W6" s="7">
        <v>0.6901408450704225</v>
      </c>
      <c r="X6" s="7">
        <v>0.77837837837837842</v>
      </c>
      <c r="Y6" s="55">
        <v>2.34</v>
      </c>
    </row>
    <row r="7" spans="1:25" x14ac:dyDescent="0.3">
      <c r="A7" s="3" t="s">
        <v>39</v>
      </c>
      <c r="B7" s="4" t="s">
        <v>150</v>
      </c>
      <c r="C7" s="4" t="s">
        <v>405</v>
      </c>
      <c r="D7" s="4" t="s">
        <v>647</v>
      </c>
      <c r="E7" s="4" t="s">
        <v>881</v>
      </c>
      <c r="F7" s="4" t="s">
        <v>1124</v>
      </c>
      <c r="G7" s="4" t="s">
        <v>1285</v>
      </c>
      <c r="H7" s="7">
        <v>0.32000000000000006</v>
      </c>
      <c r="I7" s="7">
        <v>0.45106382978723403</v>
      </c>
      <c r="J7" s="7"/>
      <c r="K7" s="8">
        <v>6</v>
      </c>
      <c r="L7" s="8">
        <v>7</v>
      </c>
      <c r="M7" s="8">
        <v>4</v>
      </c>
      <c r="N7" s="8">
        <v>7</v>
      </c>
      <c r="O7" s="8">
        <v>3</v>
      </c>
      <c r="P7" s="8">
        <v>2</v>
      </c>
      <c r="Q7" s="8" t="s">
        <v>22</v>
      </c>
      <c r="R7" s="7">
        <v>3.659446</v>
      </c>
      <c r="S7" s="7">
        <v>4.852557361786217</v>
      </c>
      <c r="T7" s="7">
        <v>6.0419999999999998</v>
      </c>
      <c r="U7" s="7">
        <v>0.40770577200000002</v>
      </c>
      <c r="V7" s="7">
        <v>93.47826087</v>
      </c>
      <c r="W7" s="7">
        <v>0.67999999999999994</v>
      </c>
      <c r="X7" s="7">
        <v>0.54893617021276597</v>
      </c>
      <c r="Y7" s="55">
        <v>2.87</v>
      </c>
    </row>
    <row r="8" spans="1:25" x14ac:dyDescent="0.3">
      <c r="A8" s="3" t="s">
        <v>59</v>
      </c>
      <c r="B8" s="4" t="s">
        <v>305</v>
      </c>
      <c r="C8" s="4" t="s">
        <v>560</v>
      </c>
      <c r="D8" s="4" t="s">
        <v>788</v>
      </c>
      <c r="E8" s="4" t="s">
        <v>1026</v>
      </c>
      <c r="F8" s="4" t="s">
        <v>1275</v>
      </c>
      <c r="G8" s="4" t="s">
        <v>1286</v>
      </c>
      <c r="H8" s="7">
        <v>0.33333333333333326</v>
      </c>
      <c r="I8" s="7">
        <v>0.35</v>
      </c>
      <c r="J8" s="7" t="s">
        <v>1418</v>
      </c>
      <c r="K8" s="8">
        <v>6</v>
      </c>
      <c r="L8" s="8">
        <v>7</v>
      </c>
      <c r="M8" s="8">
        <v>5</v>
      </c>
      <c r="N8" s="8">
        <v>7</v>
      </c>
      <c r="O8" s="8">
        <v>3</v>
      </c>
      <c r="P8" s="8">
        <v>3</v>
      </c>
      <c r="Q8" s="8" t="s">
        <v>22</v>
      </c>
      <c r="R8" s="7">
        <v>5.1716009999999999</v>
      </c>
      <c r="S8" s="7">
        <v>5.2995834974940141</v>
      </c>
      <c r="T8" s="7">
        <v>6.1580000000000004</v>
      </c>
      <c r="U8" s="7">
        <v>0</v>
      </c>
      <c r="V8" s="7">
        <v>100</v>
      </c>
      <c r="W8" s="7">
        <v>0.66666666666666674</v>
      </c>
      <c r="X8" s="7">
        <v>0.65</v>
      </c>
      <c r="Y8" s="55">
        <v>1.21</v>
      </c>
    </row>
    <row r="9" spans="1:25" x14ac:dyDescent="0.3">
      <c r="A9" s="3" t="s">
        <v>57</v>
      </c>
      <c r="B9" s="4" t="s">
        <v>290</v>
      </c>
      <c r="C9" s="4" t="s">
        <v>545</v>
      </c>
      <c r="D9" s="4" t="s">
        <v>774</v>
      </c>
      <c r="E9" s="4" t="s">
        <v>1012</v>
      </c>
      <c r="F9" s="4" t="s">
        <v>1260</v>
      </c>
      <c r="G9" s="4" t="s">
        <v>983</v>
      </c>
      <c r="H9" s="7">
        <v>0.4</v>
      </c>
      <c r="I9" s="7">
        <v>0.34042553191489366</v>
      </c>
      <c r="J9" s="7" t="s">
        <v>1418</v>
      </c>
      <c r="K9" s="8">
        <v>4</v>
      </c>
      <c r="L9" s="8">
        <v>5</v>
      </c>
      <c r="M9" s="8">
        <v>4</v>
      </c>
      <c r="N9" s="8">
        <v>5</v>
      </c>
      <c r="O9" s="8">
        <v>3</v>
      </c>
      <c r="P9" s="8">
        <v>2</v>
      </c>
      <c r="Q9" s="8" t="s">
        <v>22</v>
      </c>
      <c r="R9" s="7">
        <v>4.6911209999999999</v>
      </c>
      <c r="S9" s="7">
        <v>4.9520444753165247</v>
      </c>
      <c r="T9" s="7">
        <v>6.2919999999999998</v>
      </c>
      <c r="U9" s="7">
        <v>0</v>
      </c>
      <c r="V9" s="7">
        <v>100</v>
      </c>
      <c r="W9" s="7">
        <v>0.6</v>
      </c>
      <c r="X9" s="7">
        <v>0.65957446808510634</v>
      </c>
      <c r="Y9" s="55">
        <v>1.79</v>
      </c>
    </row>
    <row r="10" spans="1:25" x14ac:dyDescent="0.3">
      <c r="A10" s="3" t="s">
        <v>38</v>
      </c>
      <c r="B10" s="4" t="s">
        <v>141</v>
      </c>
      <c r="C10" s="4" t="s">
        <v>396</v>
      </c>
      <c r="D10" s="4" t="s">
        <v>639</v>
      </c>
      <c r="E10" s="4" t="s">
        <v>872</v>
      </c>
      <c r="F10" s="4" t="s">
        <v>1115</v>
      </c>
      <c r="G10" s="4" t="s">
        <v>1290</v>
      </c>
      <c r="H10" s="7">
        <v>0.41126760563380282</v>
      </c>
      <c r="I10" s="7">
        <v>0.32307692307692304</v>
      </c>
      <c r="J10" s="7" t="s">
        <v>1418</v>
      </c>
      <c r="K10" s="8">
        <v>9</v>
      </c>
      <c r="L10" s="8">
        <v>5</v>
      </c>
      <c r="M10" s="8">
        <v>9</v>
      </c>
      <c r="N10" s="8">
        <v>5</v>
      </c>
      <c r="O10" s="8">
        <v>9</v>
      </c>
      <c r="P10" s="8">
        <v>2</v>
      </c>
      <c r="Q10" s="8" t="s">
        <v>24</v>
      </c>
      <c r="R10" s="7">
        <v>3.1350189999999998</v>
      </c>
      <c r="S10" s="7">
        <v>3.1505805862031004</v>
      </c>
      <c r="T10" s="7">
        <v>6.2880000000000003</v>
      </c>
      <c r="U10" s="7">
        <v>0</v>
      </c>
      <c r="V10" s="7">
        <v>100</v>
      </c>
      <c r="W10" s="7">
        <v>0.58873239436619718</v>
      </c>
      <c r="X10" s="7">
        <v>0.67692307692307696</v>
      </c>
      <c r="Y10" s="55">
        <v>2.0808080809999998</v>
      </c>
    </row>
    <row r="11" spans="1:25" x14ac:dyDescent="0.3">
      <c r="A11" s="3" t="s">
        <v>33</v>
      </c>
      <c r="B11" s="4" t="s">
        <v>108</v>
      </c>
      <c r="C11" s="4" t="s">
        <v>363</v>
      </c>
      <c r="D11" s="4" t="s">
        <v>612</v>
      </c>
      <c r="E11" s="4" t="s">
        <v>840</v>
      </c>
      <c r="F11" s="4" t="s">
        <v>1083</v>
      </c>
      <c r="G11" s="4" t="s">
        <v>1293</v>
      </c>
      <c r="H11" s="7">
        <v>0.42068965517241375</v>
      </c>
      <c r="I11" s="7">
        <v>0.5</v>
      </c>
      <c r="J11" s="7" t="s">
        <v>1418</v>
      </c>
      <c r="K11" s="8">
        <v>6</v>
      </c>
      <c r="L11" s="8">
        <v>7</v>
      </c>
      <c r="M11" s="8">
        <v>5</v>
      </c>
      <c r="N11" s="8">
        <v>7</v>
      </c>
      <c r="O11" s="8">
        <v>3</v>
      </c>
      <c r="P11" s="8">
        <v>2</v>
      </c>
      <c r="Q11" s="8" t="s">
        <v>22</v>
      </c>
      <c r="R11" s="7">
        <v>3.525029</v>
      </c>
      <c r="S11" s="7">
        <v>5.103194616651983</v>
      </c>
      <c r="T11" s="7">
        <v>5.7910000000000004</v>
      </c>
      <c r="U11" s="7">
        <v>0.34857491200000001</v>
      </c>
      <c r="V11" s="7">
        <v>94.736842109999998</v>
      </c>
      <c r="W11" s="7">
        <v>0.57931034482758625</v>
      </c>
      <c r="X11" s="7">
        <v>0.5</v>
      </c>
      <c r="Y11" s="55">
        <v>2.67</v>
      </c>
    </row>
    <row r="12" spans="1:25" x14ac:dyDescent="0.3">
      <c r="A12" s="3" t="s">
        <v>31</v>
      </c>
      <c r="B12" s="4" t="s">
        <v>97</v>
      </c>
      <c r="C12" s="4" t="s">
        <v>352</v>
      </c>
      <c r="D12" s="4" t="s">
        <v>602</v>
      </c>
      <c r="E12" s="4" t="s">
        <v>829</v>
      </c>
      <c r="F12" s="4" t="s">
        <v>1072</v>
      </c>
      <c r="G12" s="4" t="s">
        <v>1290</v>
      </c>
      <c r="H12" s="7">
        <v>0.49180327868852458</v>
      </c>
      <c r="I12" s="7">
        <v>0.47887323943661975</v>
      </c>
      <c r="J12" s="7" t="s">
        <v>1418</v>
      </c>
      <c r="K12" s="8">
        <v>6</v>
      </c>
      <c r="L12" s="8">
        <v>5</v>
      </c>
      <c r="M12" s="8">
        <v>8</v>
      </c>
      <c r="N12" s="8">
        <v>5</v>
      </c>
      <c r="O12" s="8">
        <v>6</v>
      </c>
      <c r="P12" s="8">
        <v>2</v>
      </c>
      <c r="Q12" s="8" t="s">
        <v>23</v>
      </c>
      <c r="R12" s="7">
        <v>4.3411379999999999</v>
      </c>
      <c r="S12" s="7">
        <v>5.1203560544652449</v>
      </c>
      <c r="T12" s="7">
        <v>6.3550000000000004</v>
      </c>
      <c r="U12" s="7">
        <v>0.194391858</v>
      </c>
      <c r="V12" s="7">
        <v>97</v>
      </c>
      <c r="W12" s="7">
        <v>0.50819672131147542</v>
      </c>
      <c r="X12" s="7">
        <v>0.52112676056338025</v>
      </c>
      <c r="Y12" s="55">
        <v>1.7</v>
      </c>
    </row>
    <row r="13" spans="1:25" x14ac:dyDescent="0.3">
      <c r="A13" s="3" t="s">
        <v>49</v>
      </c>
      <c r="B13" s="4" t="s">
        <v>238</v>
      </c>
      <c r="C13" s="4" t="s">
        <v>493</v>
      </c>
      <c r="D13" s="4" t="s">
        <v>727</v>
      </c>
      <c r="E13" s="4" t="s">
        <v>966</v>
      </c>
      <c r="F13" s="4" t="s">
        <v>1210</v>
      </c>
      <c r="G13" s="4" t="s">
        <v>1288</v>
      </c>
      <c r="H13" s="7">
        <v>0.50410958904109593</v>
      </c>
      <c r="I13" s="7">
        <v>0.44500000000000006</v>
      </c>
      <c r="J13" s="7" t="s">
        <v>1418</v>
      </c>
      <c r="K13" s="8">
        <v>9</v>
      </c>
      <c r="L13" s="8">
        <v>6</v>
      </c>
      <c r="M13" s="8">
        <v>10</v>
      </c>
      <c r="N13" s="8">
        <v>6</v>
      </c>
      <c r="O13" s="8">
        <v>9</v>
      </c>
      <c r="P13" s="8">
        <v>3</v>
      </c>
      <c r="Q13" s="8" t="s">
        <v>25</v>
      </c>
      <c r="R13" s="7">
        <v>3.069277</v>
      </c>
      <c r="S13" s="7">
        <v>3.1318983732353463</v>
      </c>
      <c r="T13" s="7">
        <v>0</v>
      </c>
      <c r="U13" s="7">
        <v>0.327444919</v>
      </c>
      <c r="V13" s="7">
        <v>94</v>
      </c>
      <c r="W13" s="7">
        <v>0.49589041095890407</v>
      </c>
      <c r="X13" s="7">
        <v>0.55499999999999994</v>
      </c>
      <c r="Y13" s="55">
        <v>2.323232323</v>
      </c>
    </row>
    <row r="14" spans="1:25" x14ac:dyDescent="0.3">
      <c r="A14" s="3" t="s">
        <v>41</v>
      </c>
      <c r="B14" s="4" t="s">
        <v>174</v>
      </c>
      <c r="C14" s="4" t="s">
        <v>429</v>
      </c>
      <c r="D14" s="4" t="s">
        <v>666</v>
      </c>
      <c r="E14" s="4" t="s">
        <v>905</v>
      </c>
      <c r="F14" s="4" t="s">
        <v>1148</v>
      </c>
      <c r="G14" s="4" t="s">
        <v>983</v>
      </c>
      <c r="H14" s="7">
        <v>0.51929824561403504</v>
      </c>
      <c r="I14" s="7">
        <v>0.51764705882352946</v>
      </c>
      <c r="J14" s="7" t="s">
        <v>1418</v>
      </c>
      <c r="K14" s="8">
        <v>6</v>
      </c>
      <c r="L14" s="8">
        <v>6</v>
      </c>
      <c r="M14" s="8">
        <v>6</v>
      </c>
      <c r="N14" s="8">
        <v>6</v>
      </c>
      <c r="O14" s="8">
        <v>5</v>
      </c>
      <c r="P14" s="8">
        <v>2</v>
      </c>
      <c r="Q14" s="8" t="s">
        <v>23</v>
      </c>
      <c r="R14" s="7">
        <v>3.1838679999999999</v>
      </c>
      <c r="S14" s="7">
        <v>3.231029846237361</v>
      </c>
      <c r="T14" s="7">
        <v>0</v>
      </c>
      <c r="U14" s="7">
        <v>0</v>
      </c>
      <c r="V14" s="7">
        <v>100</v>
      </c>
      <c r="W14" s="7">
        <v>0.48070175438596496</v>
      </c>
      <c r="X14" s="7">
        <v>0.48235294117647054</v>
      </c>
      <c r="Y14" s="55">
        <v>1.79</v>
      </c>
    </row>
    <row r="15" spans="1:25" x14ac:dyDescent="0.3">
      <c r="A15" s="3" t="s">
        <v>26</v>
      </c>
      <c r="B15" s="4" t="s">
        <v>64</v>
      </c>
      <c r="C15" s="4" t="s">
        <v>319</v>
      </c>
      <c r="D15" s="4" t="s">
        <v>573</v>
      </c>
      <c r="E15" s="4" t="s">
        <v>798</v>
      </c>
      <c r="F15" s="4" t="s">
        <v>1039</v>
      </c>
      <c r="G15" s="4" t="s">
        <v>1286</v>
      </c>
      <c r="H15" s="7">
        <v>0.52549019607843139</v>
      </c>
      <c r="I15" s="7">
        <v>0.56551724137931036</v>
      </c>
      <c r="J15" s="7"/>
      <c r="K15" s="8">
        <v>5</v>
      </c>
      <c r="L15" s="8">
        <v>6</v>
      </c>
      <c r="M15" s="8">
        <v>4</v>
      </c>
      <c r="N15" s="8">
        <v>6</v>
      </c>
      <c r="O15" s="8">
        <v>3</v>
      </c>
      <c r="P15" s="8">
        <v>3</v>
      </c>
      <c r="Q15" s="8" t="s">
        <v>22</v>
      </c>
      <c r="R15" s="7">
        <v>3.7794110000000001</v>
      </c>
      <c r="S15" s="7">
        <v>3.8110133175904917</v>
      </c>
      <c r="T15" s="7">
        <v>5.4409999999999998</v>
      </c>
      <c r="U15" s="7">
        <v>0</v>
      </c>
      <c r="V15" s="7">
        <v>100</v>
      </c>
      <c r="W15" s="7">
        <v>0.47450980392156861</v>
      </c>
      <c r="X15" s="7">
        <v>0.43448275862068964</v>
      </c>
      <c r="Y15" s="55">
        <v>2.58</v>
      </c>
    </row>
    <row r="16" spans="1:25" x14ac:dyDescent="0.3">
      <c r="A16" s="3" t="s">
        <v>46</v>
      </c>
      <c r="B16" s="4" t="s">
        <v>210</v>
      </c>
      <c r="C16" s="4" t="s">
        <v>465</v>
      </c>
      <c r="D16" s="4" t="s">
        <v>700</v>
      </c>
      <c r="E16" s="4" t="s">
        <v>940</v>
      </c>
      <c r="F16" s="4" t="s">
        <v>1184</v>
      </c>
      <c r="G16" s="4" t="s">
        <v>1290</v>
      </c>
      <c r="H16" s="7">
        <v>0.56000000000000005</v>
      </c>
      <c r="I16" s="7">
        <v>0.47017543859649125</v>
      </c>
      <c r="J16" s="7"/>
      <c r="K16" s="8">
        <v>6</v>
      </c>
      <c r="L16" s="8">
        <v>5</v>
      </c>
      <c r="M16" s="8">
        <v>6</v>
      </c>
      <c r="N16" s="8">
        <v>5</v>
      </c>
      <c r="O16" s="8">
        <v>5</v>
      </c>
      <c r="P16" s="8">
        <v>2</v>
      </c>
      <c r="Q16" s="8" t="s">
        <v>23</v>
      </c>
      <c r="R16" s="7">
        <v>3.5675309999999998</v>
      </c>
      <c r="S16" s="7">
        <v>3.8234882420275635</v>
      </c>
      <c r="T16" s="7">
        <v>5.3810000000000002</v>
      </c>
      <c r="U16" s="7">
        <v>0.51275311099999998</v>
      </c>
      <c r="V16" s="7">
        <v>90.816326529999998</v>
      </c>
      <c r="W16" s="7">
        <v>0.43999999999999995</v>
      </c>
      <c r="X16" s="7">
        <v>0.52982456140350875</v>
      </c>
      <c r="Y16" s="55">
        <v>2.0099999999999998</v>
      </c>
    </row>
    <row r="17" spans="1:25" x14ac:dyDescent="0.3">
      <c r="A17" s="3" t="s">
        <v>54</v>
      </c>
      <c r="B17" s="4" t="s">
        <v>273</v>
      </c>
      <c r="C17" s="4" t="s">
        <v>528</v>
      </c>
      <c r="D17" s="4" t="s">
        <v>760</v>
      </c>
      <c r="E17" s="4" t="s">
        <v>996</v>
      </c>
      <c r="F17" s="4" t="s">
        <v>1243</v>
      </c>
      <c r="G17" s="4" t="s">
        <v>1290</v>
      </c>
      <c r="H17" s="7">
        <v>0.56551724137931036</v>
      </c>
      <c r="I17" s="7">
        <v>0.42622950819672134</v>
      </c>
      <c r="J17" s="7"/>
      <c r="K17" s="8">
        <v>5</v>
      </c>
      <c r="L17" s="8">
        <v>5</v>
      </c>
      <c r="M17" s="8">
        <v>6</v>
      </c>
      <c r="N17" s="8">
        <v>5</v>
      </c>
      <c r="O17" s="8">
        <v>5</v>
      </c>
      <c r="P17" s="8">
        <v>3</v>
      </c>
      <c r="Q17" s="8" t="s">
        <v>23</v>
      </c>
      <c r="R17" s="7">
        <v>3.7360440000000001</v>
      </c>
      <c r="S17" s="7">
        <v>3.9794891095271172</v>
      </c>
      <c r="T17" s="7">
        <v>5.96</v>
      </c>
      <c r="U17" s="7">
        <v>0.194391858</v>
      </c>
      <c r="V17" s="7">
        <v>97</v>
      </c>
      <c r="W17" s="7">
        <v>0.43448275862068964</v>
      </c>
      <c r="X17" s="7">
        <v>0.57377049180327866</v>
      </c>
      <c r="Y17" s="55">
        <v>1.83</v>
      </c>
    </row>
    <row r="18" spans="1:25" x14ac:dyDescent="0.3">
      <c r="A18" s="3" t="s">
        <v>42</v>
      </c>
      <c r="B18" s="4" t="s">
        <v>178</v>
      </c>
      <c r="C18" s="4" t="s">
        <v>433</v>
      </c>
      <c r="D18" s="4" t="s">
        <v>669</v>
      </c>
      <c r="E18" s="4" t="s">
        <v>909</v>
      </c>
      <c r="F18" s="4" t="s">
        <v>1152</v>
      </c>
      <c r="G18" s="4" t="s">
        <v>1293</v>
      </c>
      <c r="H18" s="7">
        <v>0.57910447761194028</v>
      </c>
      <c r="I18" s="7">
        <v>0.61621621621621625</v>
      </c>
      <c r="J18" s="7"/>
      <c r="K18" s="8">
        <v>6</v>
      </c>
      <c r="L18" s="8">
        <v>7</v>
      </c>
      <c r="M18" s="8">
        <v>7</v>
      </c>
      <c r="N18" s="8">
        <v>7</v>
      </c>
      <c r="O18" s="8">
        <v>7</v>
      </c>
      <c r="P18" s="8">
        <v>3</v>
      </c>
      <c r="Q18" s="8" t="s">
        <v>24</v>
      </c>
      <c r="R18" s="7">
        <v>4.5000169999999997</v>
      </c>
      <c r="S18" s="7">
        <v>4.5874961276512618</v>
      </c>
      <c r="T18" s="7">
        <v>5.2370000000000001</v>
      </c>
      <c r="U18" s="7">
        <v>0.195909271</v>
      </c>
      <c r="V18" s="7">
        <v>96.969696970000001</v>
      </c>
      <c r="W18" s="7">
        <v>0.42089552238805972</v>
      </c>
      <c r="X18" s="7">
        <v>0.38378378378378375</v>
      </c>
      <c r="Y18" s="55">
        <v>2.85</v>
      </c>
    </row>
    <row r="19" spans="1:25" x14ac:dyDescent="0.3">
      <c r="A19" s="3" t="s">
        <v>34</v>
      </c>
      <c r="B19" s="4" t="s">
        <v>113</v>
      </c>
      <c r="C19" s="4" t="s">
        <v>368</v>
      </c>
      <c r="D19" s="4" t="s">
        <v>616</v>
      </c>
      <c r="E19" s="4" t="s">
        <v>845</v>
      </c>
      <c r="F19" s="4" t="s">
        <v>1088</v>
      </c>
      <c r="G19" s="4" t="s">
        <v>983</v>
      </c>
      <c r="H19" s="7">
        <v>0.58823529411764708</v>
      </c>
      <c r="I19" s="7">
        <v>0.57021276595744685</v>
      </c>
      <c r="J19" s="7"/>
      <c r="K19" s="8">
        <v>4</v>
      </c>
      <c r="L19" s="8">
        <v>4</v>
      </c>
      <c r="M19" s="8">
        <v>5</v>
      </c>
      <c r="N19" s="8">
        <v>4</v>
      </c>
      <c r="O19" s="8">
        <v>4</v>
      </c>
      <c r="P19" s="8">
        <v>2</v>
      </c>
      <c r="Q19" s="8" t="s">
        <v>22</v>
      </c>
      <c r="R19" s="7">
        <v>4.6371859999999998</v>
      </c>
      <c r="S19" s="7">
        <v>4.3019020408022106</v>
      </c>
      <c r="T19" s="7">
        <v>5.8010000000000002</v>
      </c>
      <c r="U19" s="7">
        <v>0</v>
      </c>
      <c r="V19" s="7">
        <v>100</v>
      </c>
      <c r="W19" s="7">
        <v>0.41176470588235292</v>
      </c>
      <c r="X19" s="7">
        <v>0.42978723404255315</v>
      </c>
      <c r="Y19" s="55">
        <v>1.96</v>
      </c>
    </row>
    <row r="20" spans="1:25" x14ac:dyDescent="0.3">
      <c r="A20" s="3" t="s">
        <v>56</v>
      </c>
      <c r="B20" s="4" t="s">
        <v>288</v>
      </c>
      <c r="C20" s="4" t="s">
        <v>543</v>
      </c>
      <c r="D20" s="4" t="s">
        <v>772</v>
      </c>
      <c r="E20" s="4" t="s">
        <v>1010</v>
      </c>
      <c r="F20" s="4" t="s">
        <v>1258</v>
      </c>
      <c r="G20" s="4" t="s">
        <v>1288</v>
      </c>
      <c r="H20" s="7">
        <v>0.65671641791044777</v>
      </c>
      <c r="I20" s="7">
        <v>0.65671641791044777</v>
      </c>
      <c r="J20" s="7" t="s">
        <v>1419</v>
      </c>
      <c r="K20" s="8">
        <v>5</v>
      </c>
      <c r="L20" s="8">
        <v>7</v>
      </c>
      <c r="M20" s="8">
        <v>6</v>
      </c>
      <c r="N20" s="8">
        <v>7</v>
      </c>
      <c r="O20" s="8">
        <v>6</v>
      </c>
      <c r="P20" s="8">
        <v>2</v>
      </c>
      <c r="Q20" s="8" t="s">
        <v>24</v>
      </c>
      <c r="R20" s="7">
        <v>3.7847710000000001</v>
      </c>
      <c r="S20" s="7">
        <v>4.2149071900162491</v>
      </c>
      <c r="T20" s="7">
        <v>0</v>
      </c>
      <c r="U20" s="7">
        <v>0.141440543</v>
      </c>
      <c r="V20" s="7">
        <v>98</v>
      </c>
      <c r="W20" s="7">
        <v>0.34328358208955223</v>
      </c>
      <c r="X20" s="7">
        <v>0.34328358208955223</v>
      </c>
      <c r="Y20" s="55">
        <v>1.89</v>
      </c>
    </row>
    <row r="21" spans="1:25" x14ac:dyDescent="0.3">
      <c r="A21" s="3" t="s">
        <v>45</v>
      </c>
      <c r="B21" s="4" t="s">
        <v>187</v>
      </c>
      <c r="C21" s="4" t="s">
        <v>442</v>
      </c>
      <c r="D21" s="4" t="s">
        <v>678</v>
      </c>
      <c r="E21" s="4" t="s">
        <v>918</v>
      </c>
      <c r="F21" s="4" t="s">
        <v>1161</v>
      </c>
      <c r="G21" s="4" t="s">
        <v>1293</v>
      </c>
      <c r="H21" s="7">
        <v>0.75324675324675328</v>
      </c>
      <c r="I21" s="7">
        <v>0.95774647887323938</v>
      </c>
      <c r="J21" s="7"/>
      <c r="K21" s="8">
        <v>2</v>
      </c>
      <c r="L21" s="8">
        <v>6</v>
      </c>
      <c r="M21" s="8">
        <v>7</v>
      </c>
      <c r="N21" s="8">
        <v>6</v>
      </c>
      <c r="O21" s="8">
        <v>7</v>
      </c>
      <c r="P21" s="8">
        <v>2</v>
      </c>
      <c r="Q21" s="8" t="s">
        <v>24</v>
      </c>
      <c r="R21" s="7">
        <v>4.0733480000000002</v>
      </c>
      <c r="S21" s="7">
        <v>3.9065890915094834</v>
      </c>
      <c r="T21" s="7">
        <v>6.1669999999999998</v>
      </c>
      <c r="U21" s="7">
        <v>0</v>
      </c>
      <c r="V21" s="7">
        <v>100</v>
      </c>
      <c r="W21" s="7">
        <v>0.24675324675324672</v>
      </c>
      <c r="X21" s="7">
        <v>4.2253521126760618E-2</v>
      </c>
      <c r="Y21" s="55">
        <v>2.74</v>
      </c>
    </row>
    <row r="22" spans="1:25" x14ac:dyDescent="0.3">
      <c r="A22" s="3" t="s">
        <v>43</v>
      </c>
      <c r="B22" s="4" t="s">
        <v>179</v>
      </c>
      <c r="C22" s="4" t="s">
        <v>434</v>
      </c>
      <c r="D22" s="4" t="s">
        <v>670</v>
      </c>
      <c r="E22" s="4" t="s">
        <v>910</v>
      </c>
      <c r="F22" s="4" t="s">
        <v>1153</v>
      </c>
      <c r="G22" s="4" t="s">
        <v>1290</v>
      </c>
      <c r="H22" s="7">
        <v>0.76721311475409837</v>
      </c>
      <c r="I22" s="7">
        <v>0.78688524590163933</v>
      </c>
      <c r="J22" s="7" t="s">
        <v>1419</v>
      </c>
      <c r="K22" s="8">
        <v>4</v>
      </c>
      <c r="L22" s="8">
        <v>7</v>
      </c>
      <c r="M22" s="8">
        <v>4</v>
      </c>
      <c r="N22" s="8">
        <v>7</v>
      </c>
      <c r="O22" s="8">
        <v>4</v>
      </c>
      <c r="P22" s="8">
        <v>3</v>
      </c>
      <c r="Q22" s="8" t="s">
        <v>22</v>
      </c>
      <c r="R22" s="7">
        <v>3.9626350000000001</v>
      </c>
      <c r="S22" s="7">
        <v>4.08860847159667</v>
      </c>
      <c r="T22" s="7">
        <v>6.1040000000000001</v>
      </c>
      <c r="U22" s="7">
        <v>0</v>
      </c>
      <c r="V22" s="7">
        <v>100</v>
      </c>
      <c r="W22" s="7">
        <v>0.23278688524590163</v>
      </c>
      <c r="X22" s="7">
        <v>0.21311475409836067</v>
      </c>
      <c r="Y22" s="55">
        <v>1.91</v>
      </c>
    </row>
    <row r="23" spans="1:25" x14ac:dyDescent="0.3">
      <c r="A23" s="3" t="s">
        <v>30</v>
      </c>
      <c r="B23" s="4" t="s">
        <v>83</v>
      </c>
      <c r="C23" s="4" t="s">
        <v>338</v>
      </c>
      <c r="D23" s="4" t="s">
        <v>590</v>
      </c>
      <c r="E23" s="4" t="s">
        <v>815</v>
      </c>
      <c r="F23" s="4" t="s">
        <v>1058</v>
      </c>
      <c r="G23" s="4" t="s">
        <v>1290</v>
      </c>
      <c r="H23" s="7">
        <v>0.8</v>
      </c>
      <c r="I23" s="7">
        <v>0.8571428571428571</v>
      </c>
      <c r="J23" s="7" t="s">
        <v>1419</v>
      </c>
      <c r="K23" s="8">
        <v>3</v>
      </c>
      <c r="L23" s="8">
        <v>6</v>
      </c>
      <c r="M23" s="8">
        <v>8</v>
      </c>
      <c r="N23" s="8">
        <v>6</v>
      </c>
      <c r="O23" s="8">
        <v>7</v>
      </c>
      <c r="P23" s="8">
        <v>3</v>
      </c>
      <c r="Q23" s="8" t="s">
        <v>24</v>
      </c>
      <c r="R23" s="7">
        <v>3.741708</v>
      </c>
      <c r="S23" s="7">
        <v>3.1090354902758421</v>
      </c>
      <c r="T23" s="7">
        <v>0</v>
      </c>
      <c r="U23" s="7">
        <v>0</v>
      </c>
      <c r="V23" s="7">
        <v>100</v>
      </c>
      <c r="W23" s="7">
        <v>0.19999999999999996</v>
      </c>
      <c r="X23" s="7">
        <v>0.1428571428571429</v>
      </c>
      <c r="Y23" s="55">
        <v>2.27</v>
      </c>
    </row>
    <row r="24" spans="1:25" x14ac:dyDescent="0.3">
      <c r="A24" s="3" t="s">
        <v>36</v>
      </c>
      <c r="B24" s="4" t="s">
        <v>131</v>
      </c>
      <c r="C24" s="4" t="s">
        <v>386</v>
      </c>
      <c r="D24" s="4" t="s">
        <v>630</v>
      </c>
      <c r="E24" s="4" t="s">
        <v>863</v>
      </c>
      <c r="F24" s="4" t="s">
        <v>1106</v>
      </c>
      <c r="G24" s="4" t="s">
        <v>1293</v>
      </c>
      <c r="H24" s="7">
        <v>0.86274509803921573</v>
      </c>
      <c r="I24" s="7">
        <v>0.88524590163934425</v>
      </c>
      <c r="J24" s="7" t="s">
        <v>1419</v>
      </c>
      <c r="K24" s="8">
        <v>2</v>
      </c>
      <c r="L24" s="8">
        <v>5</v>
      </c>
      <c r="M24" s="8">
        <v>6</v>
      </c>
      <c r="N24" s="8">
        <v>5</v>
      </c>
      <c r="O24" s="8">
        <v>4</v>
      </c>
      <c r="P24" s="8">
        <v>2</v>
      </c>
      <c r="Q24" s="8" t="s">
        <v>23</v>
      </c>
      <c r="R24" s="7">
        <v>4.1659470000000001</v>
      </c>
      <c r="S24" s="7">
        <v>4.2343094600014464</v>
      </c>
      <c r="T24" s="7">
        <v>6.2069999999999999</v>
      </c>
      <c r="U24" s="7">
        <v>0</v>
      </c>
      <c r="V24" s="7">
        <v>100</v>
      </c>
      <c r="W24" s="7">
        <v>0.13725490196078427</v>
      </c>
      <c r="X24" s="7">
        <v>0.11475409836065575</v>
      </c>
      <c r="Y24" s="55">
        <v>2.29</v>
      </c>
    </row>
    <row r="25" spans="1:25" x14ac:dyDescent="0.3">
      <c r="A25" s="3" t="s">
        <v>53</v>
      </c>
      <c r="B25" s="4" t="s">
        <v>269</v>
      </c>
      <c r="C25" s="4" t="s">
        <v>524</v>
      </c>
      <c r="D25" s="4" t="s">
        <v>756</v>
      </c>
      <c r="E25" s="4" t="s">
        <v>993</v>
      </c>
      <c r="F25" s="4" t="s">
        <v>1239</v>
      </c>
      <c r="G25" s="4" t="s">
        <v>1290</v>
      </c>
      <c r="H25" s="7">
        <v>0.8784313725490196</v>
      </c>
      <c r="I25" s="7">
        <v>0.86557377049180328</v>
      </c>
      <c r="J25" s="7" t="s">
        <v>1419</v>
      </c>
      <c r="K25" s="8">
        <v>3</v>
      </c>
      <c r="L25" s="8">
        <v>5</v>
      </c>
      <c r="M25" s="8">
        <v>6</v>
      </c>
      <c r="N25" s="8">
        <v>5</v>
      </c>
      <c r="O25" s="8">
        <v>5</v>
      </c>
      <c r="P25" s="8">
        <v>2</v>
      </c>
      <c r="Q25" s="8" t="s">
        <v>23</v>
      </c>
      <c r="R25" s="7">
        <v>3.8936069999999998</v>
      </c>
      <c r="S25" s="7">
        <v>4.4602107536289992</v>
      </c>
      <c r="T25" s="7">
        <v>6.5259999999999998</v>
      </c>
      <c r="U25" s="7">
        <v>0</v>
      </c>
      <c r="V25" s="7">
        <v>100</v>
      </c>
      <c r="W25" s="7">
        <v>0.1215686274509804</v>
      </c>
      <c r="X25" s="7">
        <v>0.13442622950819672</v>
      </c>
      <c r="Y25" s="55">
        <v>1.6</v>
      </c>
    </row>
    <row r="26" spans="1:25" x14ac:dyDescent="0.3">
      <c r="A26" s="3" t="s">
        <v>25</v>
      </c>
      <c r="B26" s="4" t="s">
        <v>63</v>
      </c>
      <c r="C26" s="4" t="s">
        <v>318</v>
      </c>
      <c r="D26" s="4" t="s">
        <v>572</v>
      </c>
      <c r="E26" s="4" t="s">
        <v>797</v>
      </c>
      <c r="F26" s="4" t="s">
        <v>1038</v>
      </c>
      <c r="G26" s="4" t="s">
        <v>1285</v>
      </c>
      <c r="H26" s="7">
        <v>0.88235294117647056</v>
      </c>
      <c r="I26" s="7">
        <v>1</v>
      </c>
      <c r="J26" s="7" t="s">
        <v>1419</v>
      </c>
      <c r="K26" s="8">
        <v>1</v>
      </c>
      <c r="L26" s="8">
        <v>6</v>
      </c>
      <c r="M26" s="8">
        <v>6</v>
      </c>
      <c r="N26" s="8">
        <v>6</v>
      </c>
      <c r="O26" s="8">
        <v>6</v>
      </c>
      <c r="P26" s="8">
        <v>3</v>
      </c>
      <c r="Q26" s="8" t="s">
        <v>23</v>
      </c>
      <c r="R26" s="7">
        <v>4.1700679999999997</v>
      </c>
      <c r="S26" s="7">
        <v>4.2768886181608794</v>
      </c>
      <c r="T26" s="7">
        <v>5.8819999999999997</v>
      </c>
      <c r="U26" s="7">
        <v>0.14257333</v>
      </c>
      <c r="V26" s="7">
        <v>97.979797980000001</v>
      </c>
      <c r="W26" s="7">
        <v>0.11764705882352944</v>
      </c>
      <c r="X26" s="7">
        <v>0</v>
      </c>
      <c r="Y26" s="55">
        <v>3.02</v>
      </c>
    </row>
    <row r="27" spans="1:25" x14ac:dyDescent="0.3">
      <c r="A27" s="3" t="s">
        <v>51</v>
      </c>
      <c r="B27" s="4" t="s">
        <v>264</v>
      </c>
      <c r="C27" s="4" t="s">
        <v>519</v>
      </c>
      <c r="D27" s="4" t="s">
        <v>751</v>
      </c>
      <c r="E27" s="4" t="s">
        <v>989</v>
      </c>
      <c r="F27" s="4" t="s">
        <v>1235</v>
      </c>
      <c r="G27" s="4" t="s">
        <v>1293</v>
      </c>
      <c r="H27" s="7">
        <v>0.90140845070422537</v>
      </c>
      <c r="I27" s="7">
        <v>0.95774647887323938</v>
      </c>
      <c r="J27" s="7" t="s">
        <v>1419</v>
      </c>
      <c r="K27" s="8">
        <v>2</v>
      </c>
      <c r="L27" s="8">
        <v>6</v>
      </c>
      <c r="M27" s="8">
        <v>7</v>
      </c>
      <c r="N27" s="8">
        <v>6</v>
      </c>
      <c r="O27" s="8">
        <v>7</v>
      </c>
      <c r="P27" s="8">
        <v>2</v>
      </c>
      <c r="Q27" s="8" t="s">
        <v>24</v>
      </c>
      <c r="R27" s="7">
        <v>3.963403</v>
      </c>
      <c r="S27" s="7">
        <v>3.8343541600940831</v>
      </c>
      <c r="T27" s="7">
        <v>6.1760000000000002</v>
      </c>
      <c r="U27" s="7">
        <v>0.40790598</v>
      </c>
      <c r="V27" s="7">
        <v>91.83673469</v>
      </c>
      <c r="W27" s="7">
        <v>9.8591549295774628E-2</v>
      </c>
      <c r="X27" s="7">
        <v>4.2253521126760618E-2</v>
      </c>
      <c r="Y27" s="55">
        <v>2.58</v>
      </c>
    </row>
    <row r="28" spans="1:25" x14ac:dyDescent="0.3">
      <c r="A28" s="3" t="s">
        <v>27</v>
      </c>
      <c r="B28" s="4" t="s">
        <v>72</v>
      </c>
      <c r="C28" s="4" t="s">
        <v>327</v>
      </c>
      <c r="D28" s="4" t="s">
        <v>580</v>
      </c>
      <c r="E28" s="4" t="s">
        <v>805</v>
      </c>
      <c r="F28" s="4" t="s">
        <v>1047</v>
      </c>
      <c r="G28" s="4" t="s">
        <v>1288</v>
      </c>
      <c r="H28" s="7">
        <v>0.92592592592592593</v>
      </c>
      <c r="I28" s="7">
        <v>0.97777777777777775</v>
      </c>
      <c r="J28" s="7" t="s">
        <v>1419</v>
      </c>
      <c r="K28" s="8">
        <v>2</v>
      </c>
      <c r="L28" s="8">
        <v>5</v>
      </c>
      <c r="M28" s="8">
        <v>5</v>
      </c>
      <c r="N28" s="8">
        <v>5</v>
      </c>
      <c r="O28" s="8">
        <v>5</v>
      </c>
      <c r="P28" s="8">
        <v>2</v>
      </c>
      <c r="Q28" s="8" t="s">
        <v>23</v>
      </c>
      <c r="R28" s="7">
        <v>3.8427920000000002</v>
      </c>
      <c r="S28" s="7">
        <v>4.4596875522279147</v>
      </c>
      <c r="T28" s="7">
        <v>0</v>
      </c>
      <c r="U28" s="7">
        <v>0</v>
      </c>
      <c r="V28" s="7">
        <v>100</v>
      </c>
      <c r="W28" s="7">
        <v>7.407407407407407E-2</v>
      </c>
      <c r="X28" s="7">
        <v>2.2222222222222254E-2</v>
      </c>
      <c r="Y28" s="55">
        <v>2.19</v>
      </c>
    </row>
    <row r="29" spans="1:25" x14ac:dyDescent="0.3">
      <c r="A29" s="3" t="s">
        <v>28</v>
      </c>
      <c r="B29" s="4" t="s">
        <v>74</v>
      </c>
      <c r="C29" s="4" t="s">
        <v>329</v>
      </c>
      <c r="D29" s="4" t="s">
        <v>582</v>
      </c>
      <c r="E29" s="4" t="s">
        <v>582</v>
      </c>
      <c r="F29" s="4" t="s">
        <v>1049</v>
      </c>
      <c r="G29" s="4" t="s">
        <v>1288</v>
      </c>
      <c r="H29" s="7">
        <v>0.94074074074074077</v>
      </c>
      <c r="I29" s="7">
        <v>1</v>
      </c>
      <c r="J29" s="7" t="s">
        <v>1419</v>
      </c>
      <c r="K29" s="8">
        <v>1</v>
      </c>
      <c r="L29" s="8">
        <v>5</v>
      </c>
      <c r="M29" s="8">
        <v>5</v>
      </c>
      <c r="N29" s="8">
        <v>5</v>
      </c>
      <c r="O29" s="8">
        <v>5</v>
      </c>
      <c r="P29" s="8">
        <v>3</v>
      </c>
      <c r="Q29" s="8" t="s">
        <v>23</v>
      </c>
      <c r="R29" s="7">
        <v>3.2133379999999998</v>
      </c>
      <c r="S29" s="7">
        <v>3.4923100594050203</v>
      </c>
      <c r="T29" s="7">
        <v>0</v>
      </c>
      <c r="U29" s="7">
        <v>0</v>
      </c>
      <c r="V29" s="7">
        <v>100</v>
      </c>
      <c r="W29" s="7">
        <v>5.9259259259259234E-2</v>
      </c>
      <c r="X29" s="7">
        <v>0</v>
      </c>
      <c r="Y29" s="55">
        <v>2.5499999999999998</v>
      </c>
    </row>
    <row r="30" spans="1:25" x14ac:dyDescent="0.3">
      <c r="A30" s="3" t="s">
        <v>32</v>
      </c>
      <c r="B30" s="4" t="s">
        <v>102</v>
      </c>
      <c r="C30" s="4" t="s">
        <v>357</v>
      </c>
      <c r="D30" s="4" t="s">
        <v>607</v>
      </c>
      <c r="E30" s="4" t="s">
        <v>834</v>
      </c>
      <c r="F30" s="4" t="s">
        <v>1077</v>
      </c>
      <c r="G30" s="4" t="s">
        <v>1290</v>
      </c>
      <c r="H30" s="7">
        <v>0.94117647058823528</v>
      </c>
      <c r="I30" s="7">
        <v>0.90666666666666662</v>
      </c>
      <c r="J30" s="7" t="s">
        <v>1419</v>
      </c>
      <c r="K30" s="8">
        <v>2</v>
      </c>
      <c r="L30" s="8">
        <v>6</v>
      </c>
      <c r="M30" s="8">
        <v>7</v>
      </c>
      <c r="N30" s="8">
        <v>6</v>
      </c>
      <c r="O30" s="8">
        <v>6</v>
      </c>
      <c r="P30" s="8">
        <v>2</v>
      </c>
      <c r="Q30" s="8" t="s">
        <v>23</v>
      </c>
      <c r="R30" s="7">
        <v>3.8446120000000001</v>
      </c>
      <c r="S30" s="7">
        <v>3.7251195038798</v>
      </c>
      <c r="T30" s="7">
        <v>6.1820000000000004</v>
      </c>
      <c r="U30" s="7">
        <v>0</v>
      </c>
      <c r="V30" s="7">
        <v>100</v>
      </c>
      <c r="W30" s="7">
        <v>5.8823529411764719E-2</v>
      </c>
      <c r="X30" s="7">
        <v>9.3333333333333379E-2</v>
      </c>
      <c r="Y30" s="55">
        <v>2.5299999999999998</v>
      </c>
    </row>
    <row r="31" spans="1:25" x14ac:dyDescent="0.3">
      <c r="A31" s="3" t="s">
        <v>58</v>
      </c>
      <c r="B31" s="4" t="s">
        <v>294</v>
      </c>
      <c r="C31" s="4" t="s">
        <v>549</v>
      </c>
      <c r="D31" s="4" t="s">
        <v>778</v>
      </c>
      <c r="E31" s="4" t="s">
        <v>1016</v>
      </c>
      <c r="F31" s="4" t="s">
        <v>1264</v>
      </c>
      <c r="G31" s="4" t="s">
        <v>1290</v>
      </c>
      <c r="H31" s="7">
        <v>0.94666666666666666</v>
      </c>
      <c r="I31" s="7">
        <v>0.96666666666666667</v>
      </c>
      <c r="J31" s="7" t="s">
        <v>1419</v>
      </c>
      <c r="K31" s="8">
        <v>2</v>
      </c>
      <c r="L31" s="8">
        <v>6</v>
      </c>
      <c r="M31" s="8">
        <v>6</v>
      </c>
      <c r="N31" s="8">
        <v>6</v>
      </c>
      <c r="O31" s="8">
        <v>6</v>
      </c>
      <c r="P31" s="8">
        <v>2</v>
      </c>
      <c r="Q31" s="8" t="s">
        <v>24</v>
      </c>
      <c r="R31" s="7">
        <v>5.1287180000000001</v>
      </c>
      <c r="S31" s="7">
        <v>4.8346065835140939</v>
      </c>
      <c r="T31" s="7">
        <v>6.2569999999999997</v>
      </c>
      <c r="U31" s="7">
        <v>0</v>
      </c>
      <c r="V31" s="7">
        <v>100</v>
      </c>
      <c r="W31" s="7">
        <v>5.3333333333333344E-2</v>
      </c>
      <c r="X31" s="7">
        <v>3.3333333333333326E-2</v>
      </c>
      <c r="Y31" s="55">
        <v>2.37</v>
      </c>
    </row>
    <row r="32" spans="1:25" x14ac:dyDescent="0.3">
      <c r="A32" s="3" t="s">
        <v>55</v>
      </c>
      <c r="B32" s="4" t="s">
        <v>279</v>
      </c>
      <c r="C32" s="4" t="s">
        <v>534</v>
      </c>
      <c r="D32" s="4" t="s">
        <v>765</v>
      </c>
      <c r="E32" s="4" t="s">
        <v>1002</v>
      </c>
      <c r="F32" s="4" t="s">
        <v>1249</v>
      </c>
      <c r="G32" s="4" t="s">
        <v>1288</v>
      </c>
      <c r="H32" s="7">
        <v>0.97</v>
      </c>
      <c r="I32" s="7">
        <v>0.72</v>
      </c>
      <c r="J32" s="7"/>
      <c r="K32" s="8">
        <v>4</v>
      </c>
      <c r="L32" s="8">
        <v>4</v>
      </c>
      <c r="M32" s="8">
        <v>6</v>
      </c>
      <c r="N32" s="8">
        <v>4</v>
      </c>
      <c r="O32" s="8">
        <v>4</v>
      </c>
      <c r="P32" s="8">
        <v>2</v>
      </c>
      <c r="Q32" s="8" t="s">
        <v>23</v>
      </c>
      <c r="R32" s="7">
        <v>4.6410729999999996</v>
      </c>
      <c r="S32" s="7">
        <v>4.6529118565994363</v>
      </c>
      <c r="T32" s="7">
        <v>0</v>
      </c>
      <c r="U32" s="7">
        <v>0</v>
      </c>
      <c r="V32" s="7">
        <v>100</v>
      </c>
      <c r="W32" s="7">
        <v>3.0000000000000027E-2</v>
      </c>
      <c r="X32" s="7">
        <v>0.28000000000000003</v>
      </c>
      <c r="Y32" s="55">
        <v>2.83</v>
      </c>
    </row>
    <row r="33" spans="1:26" x14ac:dyDescent="0.3">
      <c r="A33" s="3" t="s">
        <v>40</v>
      </c>
      <c r="B33" s="4" t="s">
        <v>160</v>
      </c>
      <c r="C33" s="4" t="s">
        <v>415</v>
      </c>
      <c r="D33" s="4" t="s">
        <v>656</v>
      </c>
      <c r="E33" s="4" t="s">
        <v>891</v>
      </c>
      <c r="F33" s="4" t="s">
        <v>1134</v>
      </c>
      <c r="G33" s="4" t="s">
        <v>1285</v>
      </c>
      <c r="H33" s="7">
        <v>0.97058823529411764</v>
      </c>
      <c r="I33" s="7">
        <v>0.78933333333333333</v>
      </c>
      <c r="J33" s="7"/>
      <c r="K33" s="8">
        <v>4</v>
      </c>
      <c r="L33" s="8">
        <v>6</v>
      </c>
      <c r="M33" s="8">
        <v>7</v>
      </c>
      <c r="N33" s="8">
        <v>6</v>
      </c>
      <c r="O33" s="8">
        <v>6</v>
      </c>
      <c r="P33" s="8">
        <v>2</v>
      </c>
      <c r="Q33" s="8" t="s">
        <v>23</v>
      </c>
      <c r="R33" s="7">
        <v>3.666194</v>
      </c>
      <c r="S33" s="7">
        <v>3.7698204152228341</v>
      </c>
      <c r="T33" s="7">
        <v>0</v>
      </c>
      <c r="U33" s="7">
        <v>0</v>
      </c>
      <c r="V33" s="7">
        <v>100</v>
      </c>
      <c r="W33" s="7">
        <v>2.9411764705882359E-2</v>
      </c>
      <c r="X33" s="7">
        <v>0.21066666666666667</v>
      </c>
      <c r="Y33" s="55">
        <v>2.4500000000000002</v>
      </c>
    </row>
    <row r="34" spans="1:26" x14ac:dyDescent="0.3">
      <c r="A34" s="3" t="s">
        <v>50</v>
      </c>
      <c r="B34" s="4" t="s">
        <v>260</v>
      </c>
      <c r="C34" s="4" t="s">
        <v>515</v>
      </c>
      <c r="D34" s="4" t="s">
        <v>747</v>
      </c>
      <c r="E34" s="70"/>
      <c r="F34" s="7">
        <v>5.6479999999999997</v>
      </c>
      <c r="G34" s="7">
        <v>0.31468260399999998</v>
      </c>
      <c r="H34" s="7">
        <v>94.318181820000007</v>
      </c>
      <c r="I34" s="7">
        <v>2.2929292929999998</v>
      </c>
      <c r="J34" s="4" t="s">
        <v>1290</v>
      </c>
      <c r="K34" s="8">
        <v>5</v>
      </c>
      <c r="L34" s="8">
        <v>5</v>
      </c>
      <c r="M34" s="8">
        <v>2</v>
      </c>
      <c r="N34" s="7">
        <v>3.5945559999999999</v>
      </c>
      <c r="O34" s="7">
        <f xml:space="preserve"> 1-Table1[[#This Row],[Phon_Similarity]]</f>
        <v>0.33750000000000002</v>
      </c>
      <c r="P34" s="7">
        <f>1-Table1[[#This Row],[Orth_Similarity]]</f>
        <v>0.32307692307692304</v>
      </c>
      <c r="Q34" s="7"/>
      <c r="R34" s="4" t="s">
        <v>986</v>
      </c>
      <c r="S34" s="4" t="s">
        <v>1231</v>
      </c>
      <c r="T34" s="8">
        <v>5</v>
      </c>
      <c r="U34" s="8">
        <v>4</v>
      </c>
      <c r="V34" s="8">
        <v>3</v>
      </c>
      <c r="W34" s="8" t="s">
        <v>22</v>
      </c>
      <c r="X34" s="7">
        <v>4.1041453046630201</v>
      </c>
      <c r="Y34" s="7">
        <v>0.41000000000000003</v>
      </c>
      <c r="Z34" s="55">
        <v>0.62790697674418605</v>
      </c>
    </row>
    <row r="35" spans="1:26" x14ac:dyDescent="0.3">
      <c r="A35" s="1">
        <v>253</v>
      </c>
      <c r="B35" s="2" t="s">
        <v>1355</v>
      </c>
      <c r="C35" s="2" t="s">
        <v>1356</v>
      </c>
      <c r="D35" s="2" t="s">
        <v>1357</v>
      </c>
      <c r="E35" s="2" t="s">
        <v>1358</v>
      </c>
      <c r="F35" s="2" t="s">
        <v>1359</v>
      </c>
      <c r="G35" s="2" t="s">
        <v>1290</v>
      </c>
      <c r="H35" s="11">
        <v>0.53580246913580254</v>
      </c>
      <c r="I35" s="11">
        <v>0.60392156862745106</v>
      </c>
      <c r="J35" s="12">
        <v>10</v>
      </c>
      <c r="K35" s="13">
        <v>6</v>
      </c>
      <c r="L35" s="13">
        <v>7</v>
      </c>
      <c r="M35" s="13">
        <v>6</v>
      </c>
      <c r="N35" s="13">
        <v>5</v>
      </c>
      <c r="O35" s="13">
        <v>2</v>
      </c>
      <c r="P35" s="12">
        <v>7.6355089999999999</v>
      </c>
      <c r="Q35" s="12" t="s">
        <v>1360</v>
      </c>
      <c r="R35" s="12">
        <v>6.601</v>
      </c>
      <c r="S35" s="12">
        <v>0.327444919</v>
      </c>
      <c r="T35" s="12">
        <v>94</v>
      </c>
      <c r="U35" s="14">
        <v>1.66</v>
      </c>
    </row>
    <row r="36" spans="1:26" x14ac:dyDescent="0.3">
      <c r="A36" s="3">
        <v>192</v>
      </c>
      <c r="B36" s="4" t="s">
        <v>1361</v>
      </c>
      <c r="C36" s="4" t="s">
        <v>1362</v>
      </c>
      <c r="D36" s="4" t="s">
        <v>1363</v>
      </c>
      <c r="E36" s="4" t="s">
        <v>1364</v>
      </c>
      <c r="F36" s="4" t="s">
        <v>1365</v>
      </c>
      <c r="G36" s="4" t="s">
        <v>1288</v>
      </c>
      <c r="H36" s="7">
        <v>0.53802816901408446</v>
      </c>
      <c r="I36" s="7">
        <v>0.61142857142857143</v>
      </c>
      <c r="J36" s="8">
        <v>10</v>
      </c>
      <c r="K36" s="9">
        <v>5</v>
      </c>
      <c r="L36" s="9">
        <v>4</v>
      </c>
      <c r="M36" s="9">
        <v>5</v>
      </c>
      <c r="N36" s="9">
        <v>3</v>
      </c>
      <c r="O36" s="9">
        <v>2</v>
      </c>
      <c r="P36" s="8">
        <v>4.2141510000000002</v>
      </c>
      <c r="Q36" s="8" t="s">
        <v>1366</v>
      </c>
      <c r="R36" s="8">
        <v>6.125</v>
      </c>
      <c r="S36" s="8">
        <v>0.14257333</v>
      </c>
      <c r="T36" s="8">
        <v>97.979797980000001</v>
      </c>
      <c r="U36" s="10">
        <v>2.4900000000000002</v>
      </c>
    </row>
    <row r="37" spans="1:26" x14ac:dyDescent="0.3">
      <c r="A37" s="3">
        <v>40</v>
      </c>
      <c r="B37" s="4" t="s">
        <v>1373</v>
      </c>
      <c r="C37" s="4" t="s">
        <v>1374</v>
      </c>
      <c r="D37" s="4" t="s">
        <v>1375</v>
      </c>
      <c r="E37" s="4" t="s">
        <v>1376</v>
      </c>
      <c r="F37" s="4" t="s">
        <v>1377</v>
      </c>
      <c r="G37" s="4" t="s">
        <v>1295</v>
      </c>
      <c r="H37" s="7">
        <v>0.55675675675675673</v>
      </c>
      <c r="I37" s="7">
        <v>0.57297297297297289</v>
      </c>
      <c r="J37" s="8">
        <v>8</v>
      </c>
      <c r="K37" s="9">
        <v>7</v>
      </c>
      <c r="L37" s="9">
        <v>4</v>
      </c>
      <c r="M37" s="9">
        <v>7</v>
      </c>
      <c r="N37" s="9">
        <v>3</v>
      </c>
      <c r="O37" s="9">
        <v>2</v>
      </c>
      <c r="P37" s="8">
        <v>35.051859</v>
      </c>
      <c r="Q37" s="8" t="s">
        <v>1378</v>
      </c>
      <c r="R37" s="8">
        <v>5.9139999999999997</v>
      </c>
      <c r="S37" s="8">
        <v>0</v>
      </c>
      <c r="T37" s="8">
        <v>100</v>
      </c>
      <c r="U37" s="10">
        <v>2.38</v>
      </c>
    </row>
    <row r="38" spans="1:26" x14ac:dyDescent="0.3">
      <c r="A38" s="1" t="s">
        <v>44</v>
      </c>
      <c r="B38" s="2" t="s">
        <v>186</v>
      </c>
      <c r="C38" s="2" t="s">
        <v>441</v>
      </c>
      <c r="D38" s="2" t="s">
        <v>677</v>
      </c>
      <c r="E38" s="71"/>
      <c r="F38" s="11">
        <v>5.5940000000000003</v>
      </c>
      <c r="G38" s="11">
        <v>0</v>
      </c>
      <c r="H38" s="11">
        <v>100</v>
      </c>
      <c r="I38" s="11">
        <v>2.48</v>
      </c>
      <c r="J38" s="2" t="s">
        <v>1290</v>
      </c>
      <c r="K38" s="12">
        <v>5</v>
      </c>
      <c r="L38" s="12">
        <v>5</v>
      </c>
      <c r="M38" s="12">
        <v>2</v>
      </c>
      <c r="N38" s="11">
        <v>4.2615059999999998</v>
      </c>
      <c r="O38" s="11">
        <f xml:space="preserve"> 1-Table1[[#This Row],[Phon_Similarity]]</f>
        <v>0.34385964912280698</v>
      </c>
      <c r="P38" s="11">
        <f>1-Table1[[#This Row],[Orth_Similarity]]</f>
        <v>0.32666666666666666</v>
      </c>
      <c r="Q38" s="11"/>
      <c r="R38" s="2" t="s">
        <v>917</v>
      </c>
      <c r="S38" s="2" t="s">
        <v>1160</v>
      </c>
      <c r="T38" s="12">
        <v>3</v>
      </c>
      <c r="U38" s="12">
        <v>6</v>
      </c>
      <c r="V38" s="12">
        <v>5</v>
      </c>
      <c r="W38" s="12" t="s">
        <v>23</v>
      </c>
      <c r="X38" s="11">
        <v>4.0768508069044405</v>
      </c>
      <c r="Y38" s="11">
        <v>0.11851851851851847</v>
      </c>
      <c r="Z38" s="72">
        <v>0.2592592592592593</v>
      </c>
    </row>
    <row r="39" spans="1:26" x14ac:dyDescent="0.3">
      <c r="A39" s="3" t="s">
        <v>29</v>
      </c>
      <c r="B39" s="4" t="s">
        <v>80</v>
      </c>
      <c r="C39" s="4" t="s">
        <v>335</v>
      </c>
      <c r="D39" s="4" t="s">
        <v>587</v>
      </c>
      <c r="E39" s="70"/>
      <c r="F39" s="7">
        <v>6.7629999999999999</v>
      </c>
      <c r="G39" s="7">
        <v>0</v>
      </c>
      <c r="H39" s="7">
        <v>100</v>
      </c>
      <c r="I39" s="7">
        <v>2.8</v>
      </c>
      <c r="J39" s="4" t="s">
        <v>1285</v>
      </c>
      <c r="K39" s="8">
        <v>4</v>
      </c>
      <c r="L39" s="8">
        <v>4</v>
      </c>
      <c r="M39" s="8">
        <v>2</v>
      </c>
      <c r="N39" s="7">
        <v>5.0103980000000004</v>
      </c>
      <c r="O39" s="7">
        <f xml:space="preserve"> 1-Table1[[#This Row],[Phon_Similarity]]</f>
        <v>0.34418604651162799</v>
      </c>
      <c r="P39" s="7">
        <f>1-Table1[[#This Row],[Orth_Similarity]]</f>
        <v>0.30697674418604648</v>
      </c>
      <c r="Q39" s="7" t="s">
        <v>1419</v>
      </c>
      <c r="R39" s="4" t="s">
        <v>812</v>
      </c>
      <c r="S39" s="4" t="s">
        <v>1055</v>
      </c>
      <c r="T39" s="8">
        <v>2</v>
      </c>
      <c r="U39" s="8">
        <v>4</v>
      </c>
      <c r="V39" s="8">
        <v>4</v>
      </c>
      <c r="W39" s="8" t="s">
        <v>23</v>
      </c>
      <c r="X39" s="7">
        <v>4.4532835796638341</v>
      </c>
      <c r="Y39" s="7">
        <v>0.11627906976744184</v>
      </c>
      <c r="Z39" s="55">
        <v>3.0000000000000027E-2</v>
      </c>
    </row>
    <row r="40" spans="1:26" x14ac:dyDescent="0.3">
      <c r="A40" s="3"/>
      <c r="B40" s="4"/>
      <c r="C40" s="4"/>
      <c r="D40" s="4"/>
      <c r="E40" s="4"/>
      <c r="F40" s="4"/>
      <c r="G40" s="4"/>
      <c r="H40" s="7"/>
      <c r="I40" s="7"/>
      <c r="J40" s="8"/>
      <c r="K40" s="9"/>
      <c r="L40" s="9"/>
      <c r="M40" s="9"/>
      <c r="N40" s="9"/>
      <c r="O40" s="9"/>
      <c r="P40" s="8"/>
      <c r="Q40" s="8"/>
      <c r="R40" s="8"/>
      <c r="S40" s="8"/>
      <c r="T40" s="8"/>
      <c r="U40" s="8"/>
    </row>
    <row r="41" spans="1:26" x14ac:dyDescent="0.3">
      <c r="A41" s="47">
        <v>1</v>
      </c>
      <c r="B41" s="48" t="s">
        <v>60</v>
      </c>
      <c r="C41" s="48" t="s">
        <v>315</v>
      </c>
      <c r="D41" s="48" t="s">
        <v>570</v>
      </c>
      <c r="E41" s="48" t="s">
        <v>794</v>
      </c>
      <c r="F41" s="48" t="s">
        <v>1035</v>
      </c>
      <c r="G41" s="48" t="s">
        <v>1285</v>
      </c>
      <c r="H41" s="49">
        <v>0.70370370370370372</v>
      </c>
      <c r="I41" s="49">
        <v>0.72</v>
      </c>
      <c r="J41" s="49">
        <v>0.29629629629629628</v>
      </c>
      <c r="K41" s="49">
        <v>0.28000000000000003</v>
      </c>
      <c r="L41" s="50">
        <v>5</v>
      </c>
      <c r="M41" s="50">
        <v>5</v>
      </c>
      <c r="N41" s="50">
        <v>5</v>
      </c>
      <c r="O41" s="50">
        <v>5</v>
      </c>
      <c r="P41" s="50">
        <v>3</v>
      </c>
      <c r="Q41" s="50">
        <v>2</v>
      </c>
      <c r="R41" s="50" t="s">
        <v>22</v>
      </c>
      <c r="S41" s="49">
        <v>3.9308990000000001</v>
      </c>
      <c r="T41" s="49">
        <v>4.4148183000960763</v>
      </c>
      <c r="U41" s="49">
        <v>6.2130000000000001</v>
      </c>
      <c r="V41" s="49">
        <v>0.28853851400000002</v>
      </c>
      <c r="W41" s="49">
        <v>94.949494950000002</v>
      </c>
      <c r="X41" s="51">
        <v>2.74</v>
      </c>
    </row>
    <row r="42" spans="1:26" x14ac:dyDescent="0.3">
      <c r="A42" s="52">
        <v>12</v>
      </c>
      <c r="B42" s="37" t="s">
        <v>122</v>
      </c>
      <c r="C42" s="37" t="s">
        <v>377</v>
      </c>
      <c r="D42" s="37" t="s">
        <v>621</v>
      </c>
      <c r="E42" s="37" t="s">
        <v>854</v>
      </c>
      <c r="F42" s="37" t="s">
        <v>1097</v>
      </c>
      <c r="G42" s="37" t="s">
        <v>1291</v>
      </c>
      <c r="H42" s="38">
        <v>0.92727272727272725</v>
      </c>
      <c r="I42" s="38">
        <v>0.87234042553191493</v>
      </c>
      <c r="J42" s="38">
        <v>7.2727272727272751E-2</v>
      </c>
      <c r="K42" s="38">
        <v>0.12765957446808507</v>
      </c>
      <c r="L42" s="39">
        <v>5</v>
      </c>
      <c r="M42" s="39">
        <v>5</v>
      </c>
      <c r="N42" s="39">
        <v>4</v>
      </c>
      <c r="O42" s="39">
        <v>5</v>
      </c>
      <c r="P42" s="39">
        <v>3</v>
      </c>
      <c r="Q42" s="39">
        <v>2</v>
      </c>
      <c r="R42" s="39" t="s">
        <v>22</v>
      </c>
      <c r="S42" s="38">
        <v>3.156209</v>
      </c>
      <c r="T42" s="38">
        <v>3.8066619684610106</v>
      </c>
      <c r="U42" s="38">
        <v>6.1029999999999998</v>
      </c>
      <c r="V42" s="38">
        <v>0</v>
      </c>
      <c r="W42" s="38">
        <v>100</v>
      </c>
      <c r="X42" s="53">
        <v>1.67</v>
      </c>
    </row>
    <row r="43" spans="1:26" x14ac:dyDescent="0.3">
      <c r="A43" s="52">
        <v>16</v>
      </c>
      <c r="B43" s="37" t="s">
        <v>136</v>
      </c>
      <c r="C43" s="37" t="s">
        <v>391</v>
      </c>
      <c r="D43" s="37" t="s">
        <v>635</v>
      </c>
      <c r="E43" s="37" t="s">
        <v>867</v>
      </c>
      <c r="F43" s="37" t="s">
        <v>1110</v>
      </c>
      <c r="G43" s="37" t="s">
        <v>1294</v>
      </c>
      <c r="H43" s="38">
        <v>0.56981132075471697</v>
      </c>
      <c r="I43" s="38">
        <v>0.55555555555555558</v>
      </c>
      <c r="J43" s="38">
        <v>0.43018867924528303</v>
      </c>
      <c r="K43" s="38">
        <v>0.44444444444444442</v>
      </c>
      <c r="L43" s="39">
        <v>6</v>
      </c>
      <c r="M43" s="39">
        <v>5</v>
      </c>
      <c r="N43" s="39">
        <v>8</v>
      </c>
      <c r="O43" s="39">
        <v>5</v>
      </c>
      <c r="P43" s="39">
        <v>7</v>
      </c>
      <c r="Q43" s="39">
        <v>2</v>
      </c>
      <c r="R43" s="39" t="s">
        <v>23</v>
      </c>
      <c r="S43" s="38">
        <v>4.6821489999999999</v>
      </c>
      <c r="T43" s="38">
        <v>3.1505805862031004</v>
      </c>
      <c r="U43" s="38">
        <v>5.81</v>
      </c>
      <c r="V43" s="38">
        <v>0</v>
      </c>
      <c r="W43" s="38">
        <v>100</v>
      </c>
      <c r="X43" s="53">
        <v>2.59</v>
      </c>
    </row>
    <row r="44" spans="1:26" x14ac:dyDescent="0.3">
      <c r="A44" s="47">
        <v>22</v>
      </c>
      <c r="B44" s="48" t="s">
        <v>174</v>
      </c>
      <c r="C44" s="48" t="s">
        <v>429</v>
      </c>
      <c r="D44" s="48" t="s">
        <v>666</v>
      </c>
      <c r="E44" s="48" t="s">
        <v>905</v>
      </c>
      <c r="F44" s="48" t="s">
        <v>1148</v>
      </c>
      <c r="G44" s="48" t="s">
        <v>983</v>
      </c>
      <c r="H44" s="49">
        <v>0.48070175438596496</v>
      </c>
      <c r="I44" s="49">
        <v>0.48235294117647054</v>
      </c>
      <c r="J44" s="49">
        <v>0.51929824561403504</v>
      </c>
      <c r="K44" s="49">
        <v>0.51764705882352946</v>
      </c>
      <c r="L44" s="50">
        <v>6</v>
      </c>
      <c r="M44" s="50">
        <v>6</v>
      </c>
      <c r="N44" s="50">
        <v>6</v>
      </c>
      <c r="O44" s="50">
        <v>6</v>
      </c>
      <c r="P44" s="50">
        <v>5</v>
      </c>
      <c r="Q44" s="50">
        <v>2</v>
      </c>
      <c r="R44" s="50" t="s">
        <v>23</v>
      </c>
      <c r="S44" s="49">
        <v>3.1838679999999999</v>
      </c>
      <c r="T44" s="49">
        <v>3.231029846237361</v>
      </c>
      <c r="U44" s="49">
        <v>0</v>
      </c>
      <c r="V44" s="49">
        <v>0</v>
      </c>
      <c r="W44" s="49">
        <v>100</v>
      </c>
      <c r="X44" s="51">
        <v>1.79</v>
      </c>
    </row>
    <row r="45" spans="1:26" x14ac:dyDescent="0.3">
      <c r="A45" s="52">
        <v>29</v>
      </c>
      <c r="B45" s="37" t="s">
        <v>216</v>
      </c>
      <c r="C45" s="37" t="s">
        <v>471</v>
      </c>
      <c r="D45" s="37" t="s">
        <v>706</v>
      </c>
      <c r="E45" s="37" t="s">
        <v>946</v>
      </c>
      <c r="F45" s="37" t="s">
        <v>1190</v>
      </c>
      <c r="G45" s="37" t="s">
        <v>1290</v>
      </c>
      <c r="H45" s="38">
        <v>0.85</v>
      </c>
      <c r="I45" s="38">
        <v>0.84</v>
      </c>
      <c r="J45" s="38">
        <v>0.15000000000000002</v>
      </c>
      <c r="K45" s="38">
        <v>0.16000000000000003</v>
      </c>
      <c r="L45" s="39">
        <v>5</v>
      </c>
      <c r="M45" s="39">
        <v>5</v>
      </c>
      <c r="N45" s="39">
        <v>5</v>
      </c>
      <c r="O45" s="39">
        <v>5</v>
      </c>
      <c r="P45" s="39">
        <v>3</v>
      </c>
      <c r="Q45" s="39">
        <v>2</v>
      </c>
      <c r="R45" s="39" t="s">
        <v>22</v>
      </c>
      <c r="S45" s="38">
        <v>3.6199970000000001</v>
      </c>
      <c r="T45" s="38">
        <v>4.5068413332125203</v>
      </c>
      <c r="U45" s="38">
        <v>5.9329999999999998</v>
      </c>
      <c r="V45" s="38">
        <v>0.30217361799999998</v>
      </c>
      <c r="W45" s="38">
        <v>94.623655909999997</v>
      </c>
      <c r="X45" s="53">
        <v>1.99</v>
      </c>
    </row>
    <row r="46" spans="1:26" x14ac:dyDescent="0.3">
      <c r="A46" s="52">
        <v>31</v>
      </c>
      <c r="B46" s="37" t="s">
        <v>228</v>
      </c>
      <c r="C46" s="37" t="s">
        <v>483</v>
      </c>
      <c r="D46" s="37" t="s">
        <v>717</v>
      </c>
      <c r="E46" s="37" t="s">
        <v>956</v>
      </c>
      <c r="F46" s="37" t="s">
        <v>1200</v>
      </c>
      <c r="G46" s="37" t="s">
        <v>1285</v>
      </c>
      <c r="H46" s="38">
        <v>0.7191489361702128</v>
      </c>
      <c r="I46" s="38">
        <v>0.57647058823529407</v>
      </c>
      <c r="J46" s="38">
        <v>0.2808510638297872</v>
      </c>
      <c r="K46" s="38">
        <v>0.42352941176470593</v>
      </c>
      <c r="L46" s="39">
        <v>6</v>
      </c>
      <c r="M46" s="39">
        <v>7</v>
      </c>
      <c r="N46" s="39">
        <v>5</v>
      </c>
      <c r="O46" s="39">
        <v>7</v>
      </c>
      <c r="P46" s="39">
        <v>3</v>
      </c>
      <c r="Q46" s="39">
        <v>3</v>
      </c>
      <c r="R46" s="39" t="s">
        <v>22</v>
      </c>
      <c r="S46" s="38">
        <v>3.532546</v>
      </c>
      <c r="T46" s="38">
        <v>4.1734356545267213</v>
      </c>
      <c r="U46" s="38">
        <v>0</v>
      </c>
      <c r="V46" s="38">
        <v>0</v>
      </c>
      <c r="W46" s="38">
        <v>100</v>
      </c>
      <c r="X46" s="53">
        <v>2.63</v>
      </c>
    </row>
    <row r="47" spans="1:26" x14ac:dyDescent="0.3">
      <c r="A47" s="47">
        <v>32</v>
      </c>
      <c r="B47" s="48" t="s">
        <v>229</v>
      </c>
      <c r="C47" s="48" t="s">
        <v>484</v>
      </c>
      <c r="D47" s="48" t="s">
        <v>718</v>
      </c>
      <c r="E47" s="48" t="s">
        <v>957</v>
      </c>
      <c r="F47" s="48" t="s">
        <v>1201</v>
      </c>
      <c r="G47" s="48" t="s">
        <v>1294</v>
      </c>
      <c r="H47" s="49">
        <v>0.68888888888888888</v>
      </c>
      <c r="I47" s="49">
        <v>0.67213114754098369</v>
      </c>
      <c r="J47" s="49">
        <v>0.31111111111111112</v>
      </c>
      <c r="K47" s="49">
        <v>0.32786885245901631</v>
      </c>
      <c r="L47" s="50">
        <v>6</v>
      </c>
      <c r="M47" s="50">
        <v>6</v>
      </c>
      <c r="N47" s="50">
        <v>5</v>
      </c>
      <c r="O47" s="50">
        <v>6</v>
      </c>
      <c r="P47" s="50">
        <v>4</v>
      </c>
      <c r="Q47" s="50">
        <v>2</v>
      </c>
      <c r="R47" s="50" t="s">
        <v>22</v>
      </c>
      <c r="S47" s="49">
        <v>4.0474439999999996</v>
      </c>
      <c r="T47" s="49">
        <v>4.2162192589353822</v>
      </c>
      <c r="U47" s="49">
        <v>6.548</v>
      </c>
      <c r="V47" s="49">
        <v>0.14257333</v>
      </c>
      <c r="W47" s="49">
        <v>97.979797980000001</v>
      </c>
      <c r="X47" s="51">
        <v>2.75</v>
      </c>
    </row>
    <row r="48" spans="1:26" x14ac:dyDescent="0.3">
      <c r="A48" s="47">
        <v>42</v>
      </c>
      <c r="B48" s="48" t="s">
        <v>265</v>
      </c>
      <c r="C48" s="48" t="s">
        <v>520</v>
      </c>
      <c r="D48" s="48" t="s">
        <v>752</v>
      </c>
      <c r="E48" s="48" t="s">
        <v>990</v>
      </c>
      <c r="F48" s="48" t="s">
        <v>1236</v>
      </c>
      <c r="G48" s="48" t="s">
        <v>1289</v>
      </c>
      <c r="H48" s="49">
        <v>0.69180327868852465</v>
      </c>
      <c r="I48" s="49">
        <v>0.54666666666666663</v>
      </c>
      <c r="J48" s="49">
        <v>0.30819672131147535</v>
      </c>
      <c r="K48" s="49">
        <v>0.45333333333333337</v>
      </c>
      <c r="L48" s="50">
        <v>7</v>
      </c>
      <c r="M48" s="50">
        <v>6</v>
      </c>
      <c r="N48" s="50">
        <v>7</v>
      </c>
      <c r="O48" s="50">
        <v>6</v>
      </c>
      <c r="P48" s="50">
        <v>5</v>
      </c>
      <c r="Q48" s="50">
        <v>3</v>
      </c>
      <c r="R48" s="50" t="s">
        <v>23</v>
      </c>
      <c r="S48" s="49">
        <v>4.1588599999999998</v>
      </c>
      <c r="T48" s="49">
        <v>3.6106075437346408</v>
      </c>
      <c r="U48" s="49">
        <v>5.4379999999999997</v>
      </c>
      <c r="V48" s="49">
        <v>0.141440543</v>
      </c>
      <c r="W48" s="49">
        <v>98</v>
      </c>
      <c r="X48" s="51">
        <v>2.52</v>
      </c>
    </row>
    <row r="49" spans="1:24" x14ac:dyDescent="0.3">
      <c r="A49" s="52">
        <v>44</v>
      </c>
      <c r="B49" s="37" t="s">
        <v>276</v>
      </c>
      <c r="C49" s="37" t="s">
        <v>531</v>
      </c>
      <c r="D49" s="37" t="s">
        <v>762</v>
      </c>
      <c r="E49" s="37" t="s">
        <v>999</v>
      </c>
      <c r="F49" s="37" t="s">
        <v>1246</v>
      </c>
      <c r="G49" s="37" t="s">
        <v>1287</v>
      </c>
      <c r="H49" s="38">
        <v>0.74468085106382986</v>
      </c>
      <c r="I49" s="38">
        <v>0.66792452830188687</v>
      </c>
      <c r="J49" s="38">
        <v>0.25531914893617014</v>
      </c>
      <c r="K49" s="38">
        <v>0.33207547169811313</v>
      </c>
      <c r="L49" s="39">
        <v>5</v>
      </c>
      <c r="M49" s="39">
        <v>5</v>
      </c>
      <c r="N49" s="39">
        <v>6</v>
      </c>
      <c r="O49" s="39">
        <v>5</v>
      </c>
      <c r="P49" s="39">
        <v>3</v>
      </c>
      <c r="Q49" s="39">
        <v>2</v>
      </c>
      <c r="R49" s="39" t="s">
        <v>23</v>
      </c>
      <c r="S49" s="38">
        <v>3.9109240000000001</v>
      </c>
      <c r="T49" s="38">
        <v>3.9779045044992318</v>
      </c>
      <c r="U49" s="38">
        <v>6.3920000000000003</v>
      </c>
      <c r="V49" s="38">
        <v>0</v>
      </c>
      <c r="W49" s="38">
        <v>100</v>
      </c>
      <c r="X49" s="53">
        <v>2.11</v>
      </c>
    </row>
    <row r="50" spans="1:24" x14ac:dyDescent="0.3">
      <c r="A50" s="52">
        <v>48</v>
      </c>
      <c r="B50" s="37" t="s">
        <v>290</v>
      </c>
      <c r="C50" s="37" t="s">
        <v>545</v>
      </c>
      <c r="D50" s="37" t="s">
        <v>774</v>
      </c>
      <c r="E50" s="37" t="s">
        <v>1012</v>
      </c>
      <c r="F50" s="37" t="s">
        <v>1260</v>
      </c>
      <c r="G50" s="37" t="s">
        <v>983</v>
      </c>
      <c r="H50" s="38">
        <v>0.6</v>
      </c>
      <c r="I50" s="38">
        <v>0.65957446808510634</v>
      </c>
      <c r="J50" s="38">
        <v>0.4</v>
      </c>
      <c r="K50" s="38">
        <v>0.34042553191489366</v>
      </c>
      <c r="L50" s="39">
        <v>4</v>
      </c>
      <c r="M50" s="39">
        <v>5</v>
      </c>
      <c r="N50" s="39">
        <v>4</v>
      </c>
      <c r="O50" s="39">
        <v>5</v>
      </c>
      <c r="P50" s="39">
        <v>3</v>
      </c>
      <c r="Q50" s="39">
        <v>2</v>
      </c>
      <c r="R50" s="39" t="s">
        <v>22</v>
      </c>
      <c r="S50" s="38">
        <v>4.6911209999999999</v>
      </c>
      <c r="T50" s="38">
        <v>4.9520444753165247</v>
      </c>
      <c r="U50" s="38">
        <v>6.2919999999999998</v>
      </c>
      <c r="V50" s="38">
        <v>0</v>
      </c>
      <c r="W50" s="38">
        <v>100</v>
      </c>
      <c r="X50" s="53">
        <v>1.79</v>
      </c>
    </row>
    <row r="51" spans="1:24" x14ac:dyDescent="0.3">
      <c r="A51" s="47">
        <v>51</v>
      </c>
      <c r="B51" s="48" t="s">
        <v>305</v>
      </c>
      <c r="C51" s="48" t="s">
        <v>560</v>
      </c>
      <c r="D51" s="48" t="s">
        <v>788</v>
      </c>
      <c r="E51" s="48" t="s">
        <v>1026</v>
      </c>
      <c r="F51" s="48" t="s">
        <v>1275</v>
      </c>
      <c r="G51" s="48" t="s">
        <v>1286</v>
      </c>
      <c r="H51" s="49">
        <v>0.66666666666666674</v>
      </c>
      <c r="I51" s="49">
        <v>0.65</v>
      </c>
      <c r="J51" s="49">
        <v>0.33333333333333326</v>
      </c>
      <c r="K51" s="49">
        <v>0.35</v>
      </c>
      <c r="L51" s="50">
        <v>6</v>
      </c>
      <c r="M51" s="50">
        <v>7</v>
      </c>
      <c r="N51" s="50">
        <v>5</v>
      </c>
      <c r="O51" s="50">
        <v>7</v>
      </c>
      <c r="P51" s="50">
        <v>3</v>
      </c>
      <c r="Q51" s="50">
        <v>3</v>
      </c>
      <c r="R51" s="50" t="s">
        <v>22</v>
      </c>
      <c r="S51" s="49">
        <v>5.1716009999999999</v>
      </c>
      <c r="T51" s="49">
        <v>5.2995834974940141</v>
      </c>
      <c r="U51" s="49">
        <v>6.1580000000000004</v>
      </c>
      <c r="V51" s="49">
        <v>0</v>
      </c>
      <c r="W51" s="49">
        <v>100</v>
      </c>
      <c r="X51" s="51">
        <v>1.21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45CE-5561-437B-A32A-1D6206FCF710}">
  <dimension ref="A1:K80"/>
  <sheetViews>
    <sheetView workbookViewId="0">
      <selection activeCell="L84" sqref="L84"/>
    </sheetView>
  </sheetViews>
  <sheetFormatPr defaultRowHeight="14.4" x14ac:dyDescent="0.3"/>
  <cols>
    <col min="1" max="1" width="19.6640625" customWidth="1"/>
    <col min="2" max="2" width="18.33203125" customWidth="1"/>
  </cols>
  <sheetData>
    <row r="1" spans="1:11" x14ac:dyDescent="0.3">
      <c r="A1" t="s">
        <v>1307</v>
      </c>
      <c r="B1" t="s">
        <v>1306</v>
      </c>
      <c r="D1" s="2" t="s">
        <v>1285</v>
      </c>
      <c r="E1" s="2" t="s">
        <v>1286</v>
      </c>
      <c r="F1" s="2" t="s">
        <v>1291</v>
      </c>
      <c r="G1" s="2" t="s">
        <v>1288</v>
      </c>
      <c r="H1" s="2" t="s">
        <v>1410</v>
      </c>
      <c r="I1" s="2" t="s">
        <v>1290</v>
      </c>
      <c r="J1" s="2" t="s">
        <v>1293</v>
      </c>
      <c r="K1" s="2" t="s">
        <v>983</v>
      </c>
    </row>
    <row r="2" spans="1:11" x14ac:dyDescent="0.3">
      <c r="A2" t="s">
        <v>1305</v>
      </c>
      <c r="B2">
        <v>14</v>
      </c>
      <c r="D2" s="4" t="s">
        <v>1285</v>
      </c>
      <c r="E2" s="4" t="s">
        <v>1286</v>
      </c>
      <c r="F2" s="4" t="s">
        <v>1291</v>
      </c>
      <c r="G2" s="4" t="s">
        <v>1288</v>
      </c>
      <c r="H2" s="4" t="s">
        <v>1410</v>
      </c>
      <c r="I2" s="4" t="s">
        <v>1290</v>
      </c>
      <c r="J2" s="4" t="s">
        <v>1293</v>
      </c>
      <c r="K2" s="4" t="s">
        <v>983</v>
      </c>
    </row>
    <row r="3" spans="1:11" x14ac:dyDescent="0.3">
      <c r="A3" t="s">
        <v>1304</v>
      </c>
      <c r="B3">
        <v>27</v>
      </c>
      <c r="D3" s="2" t="s">
        <v>1285</v>
      </c>
      <c r="E3" s="2" t="s">
        <v>1286</v>
      </c>
      <c r="F3" s="2" t="s">
        <v>1291</v>
      </c>
      <c r="G3" s="2" t="s">
        <v>1288</v>
      </c>
      <c r="H3" s="2" t="s">
        <v>1410</v>
      </c>
      <c r="I3" s="2" t="s">
        <v>1290</v>
      </c>
      <c r="J3" s="2" t="s">
        <v>1293</v>
      </c>
      <c r="K3" s="2" t="s">
        <v>983</v>
      </c>
    </row>
    <row r="4" spans="1:11" x14ac:dyDescent="0.3">
      <c r="A4" t="s">
        <v>1303</v>
      </c>
      <c r="B4">
        <v>16</v>
      </c>
      <c r="D4" s="4" t="s">
        <v>1285</v>
      </c>
      <c r="E4" s="4" t="s">
        <v>1286</v>
      </c>
      <c r="F4" s="4" t="s">
        <v>1291</v>
      </c>
      <c r="G4" s="4" t="s">
        <v>1288</v>
      </c>
      <c r="H4" s="4" t="s">
        <v>1410</v>
      </c>
      <c r="I4" s="4" t="s">
        <v>1290</v>
      </c>
      <c r="J4" s="4" t="s">
        <v>1293</v>
      </c>
      <c r="K4" s="4" t="s">
        <v>983</v>
      </c>
    </row>
    <row r="5" spans="1:11" x14ac:dyDescent="0.3">
      <c r="A5" t="s">
        <v>1302</v>
      </c>
      <c r="B5">
        <v>15</v>
      </c>
      <c r="D5" s="2" t="s">
        <v>1285</v>
      </c>
      <c r="E5" s="2" t="s">
        <v>1286</v>
      </c>
      <c r="F5" s="2" t="s">
        <v>1291</v>
      </c>
      <c r="G5" s="2" t="s">
        <v>1288</v>
      </c>
      <c r="H5" s="2" t="s">
        <v>1410</v>
      </c>
      <c r="I5" s="2" t="s">
        <v>1290</v>
      </c>
      <c r="J5" s="2" t="s">
        <v>1293</v>
      </c>
      <c r="K5" s="2" t="s">
        <v>983</v>
      </c>
    </row>
    <row r="6" spans="1:11" x14ac:dyDescent="0.3">
      <c r="A6" t="s">
        <v>1301</v>
      </c>
      <c r="B6">
        <v>80</v>
      </c>
      <c r="D6" s="4" t="s">
        <v>1285</v>
      </c>
      <c r="E6" s="4" t="s">
        <v>1286</v>
      </c>
      <c r="F6" s="4" t="s">
        <v>1291</v>
      </c>
      <c r="G6" s="4" t="s">
        <v>1288</v>
      </c>
      <c r="H6" s="4" t="s">
        <v>1410</v>
      </c>
      <c r="I6" s="4" t="s">
        <v>1290</v>
      </c>
      <c r="J6" s="4" t="s">
        <v>1293</v>
      </c>
      <c r="K6" s="4" t="s">
        <v>983</v>
      </c>
    </row>
    <row r="7" spans="1:11" x14ac:dyDescent="0.3">
      <c r="A7" t="s">
        <v>1300</v>
      </c>
      <c r="B7">
        <v>15</v>
      </c>
      <c r="D7" s="2" t="s">
        <v>1285</v>
      </c>
      <c r="E7" s="2" t="s">
        <v>1286</v>
      </c>
      <c r="F7" s="2" t="s">
        <v>1291</v>
      </c>
      <c r="G7" s="2" t="s">
        <v>1288</v>
      </c>
      <c r="H7" s="2" t="s">
        <v>1410</v>
      </c>
      <c r="I7" s="2" t="s">
        <v>1290</v>
      </c>
      <c r="J7" s="2" t="s">
        <v>1293</v>
      </c>
      <c r="K7" s="2" t="s">
        <v>983</v>
      </c>
    </row>
    <row r="8" spans="1:11" x14ac:dyDescent="0.3">
      <c r="A8" t="s">
        <v>1299</v>
      </c>
      <c r="B8">
        <v>7</v>
      </c>
      <c r="D8" s="4" t="s">
        <v>1285</v>
      </c>
      <c r="E8" s="4" t="s">
        <v>1286</v>
      </c>
      <c r="F8" s="4" t="s">
        <v>1291</v>
      </c>
      <c r="G8" s="4" t="s">
        <v>1288</v>
      </c>
      <c r="H8" s="4" t="s">
        <v>1410</v>
      </c>
      <c r="I8" s="4" t="s">
        <v>1290</v>
      </c>
      <c r="J8" s="4" t="s">
        <v>1293</v>
      </c>
    </row>
    <row r="9" spans="1:11" x14ac:dyDescent="0.3">
      <c r="A9" t="s">
        <v>1298</v>
      </c>
      <c r="B9">
        <v>13</v>
      </c>
      <c r="D9" s="2" t="s">
        <v>1285</v>
      </c>
      <c r="E9" s="2" t="s">
        <v>1286</v>
      </c>
      <c r="F9" s="2" t="s">
        <v>1291</v>
      </c>
      <c r="G9" s="2" t="s">
        <v>1288</v>
      </c>
      <c r="H9" s="2" t="s">
        <v>1410</v>
      </c>
      <c r="I9" s="2" t="s">
        <v>1290</v>
      </c>
      <c r="J9" s="2" t="s">
        <v>1293</v>
      </c>
    </row>
    <row r="10" spans="1:11" x14ac:dyDescent="0.3">
      <c r="B10">
        <f>SUM(B2:B9)</f>
        <v>187</v>
      </c>
      <c r="D10" s="4" t="s">
        <v>1285</v>
      </c>
      <c r="E10" s="4" t="s">
        <v>1286</v>
      </c>
      <c r="F10" s="4" t="s">
        <v>1291</v>
      </c>
      <c r="G10" s="4" t="s">
        <v>1288</v>
      </c>
      <c r="H10" s="4" t="s">
        <v>1410</v>
      </c>
      <c r="I10" s="4" t="s">
        <v>1290</v>
      </c>
      <c r="J10" s="4" t="s">
        <v>1293</v>
      </c>
    </row>
    <row r="11" spans="1:11" x14ac:dyDescent="0.3">
      <c r="D11" s="2" t="s">
        <v>1285</v>
      </c>
      <c r="E11" s="2" t="s">
        <v>1286</v>
      </c>
      <c r="F11" s="2" t="s">
        <v>1291</v>
      </c>
      <c r="G11" s="2" t="s">
        <v>1288</v>
      </c>
      <c r="H11" s="2" t="s">
        <v>1410</v>
      </c>
      <c r="I11" s="2" t="s">
        <v>1290</v>
      </c>
      <c r="J11" s="2" t="s">
        <v>1293</v>
      </c>
    </row>
    <row r="12" spans="1:11" x14ac:dyDescent="0.3">
      <c r="D12" s="4" t="s">
        <v>1285</v>
      </c>
      <c r="E12" s="4" t="s">
        <v>1286</v>
      </c>
      <c r="F12" s="4" t="s">
        <v>1291</v>
      </c>
      <c r="G12" s="4" t="s">
        <v>1288</v>
      </c>
      <c r="H12" s="4" t="s">
        <v>1410</v>
      </c>
      <c r="I12" s="4" t="s">
        <v>1290</v>
      </c>
      <c r="J12" s="4" t="s">
        <v>1293</v>
      </c>
    </row>
    <row r="13" spans="1:11" x14ac:dyDescent="0.3">
      <c r="D13" s="2" t="s">
        <v>1285</v>
      </c>
      <c r="E13" s="2" t="s">
        <v>1286</v>
      </c>
      <c r="F13" s="2" t="s">
        <v>1291</v>
      </c>
      <c r="G13" s="2" t="s">
        <v>1288</v>
      </c>
      <c r="H13" s="2" t="s">
        <v>1410</v>
      </c>
      <c r="I13" s="2" t="s">
        <v>1290</v>
      </c>
      <c r="J13" s="2" t="s">
        <v>1293</v>
      </c>
    </row>
    <row r="14" spans="1:11" x14ac:dyDescent="0.3">
      <c r="D14" s="4" t="s">
        <v>1285</v>
      </c>
      <c r="E14" s="4" t="s">
        <v>1286</v>
      </c>
      <c r="F14" s="4" t="s">
        <v>1291</v>
      </c>
      <c r="G14" s="4" t="s">
        <v>1288</v>
      </c>
      <c r="I14" s="4" t="s">
        <v>1290</v>
      </c>
      <c r="J14" s="4" t="s">
        <v>1293</v>
      </c>
    </row>
    <row r="15" spans="1:11" x14ac:dyDescent="0.3">
      <c r="D15" s="2" t="s">
        <v>1285</v>
      </c>
      <c r="E15" s="2" t="s">
        <v>1286</v>
      </c>
      <c r="F15" s="2" t="s">
        <v>1291</v>
      </c>
      <c r="I15" s="2" t="s">
        <v>1290</v>
      </c>
      <c r="J15" s="2" t="s">
        <v>1293</v>
      </c>
    </row>
    <row r="16" spans="1:11" x14ac:dyDescent="0.3">
      <c r="D16" s="4" t="s">
        <v>1285</v>
      </c>
      <c r="E16" s="4" t="s">
        <v>1286</v>
      </c>
      <c r="I16" s="4" t="s">
        <v>1290</v>
      </c>
    </row>
    <row r="17" spans="4:9" x14ac:dyDescent="0.3">
      <c r="D17" s="2" t="s">
        <v>1285</v>
      </c>
      <c r="I17" s="2" t="s">
        <v>1290</v>
      </c>
    </row>
    <row r="18" spans="4:9" x14ac:dyDescent="0.3">
      <c r="D18" s="4" t="s">
        <v>1285</v>
      </c>
      <c r="I18" s="4" t="s">
        <v>1290</v>
      </c>
    </row>
    <row r="19" spans="4:9" x14ac:dyDescent="0.3">
      <c r="D19" s="2" t="s">
        <v>1285</v>
      </c>
      <c r="I19" s="2" t="s">
        <v>1290</v>
      </c>
    </row>
    <row r="20" spans="4:9" x14ac:dyDescent="0.3">
      <c r="D20" s="4" t="s">
        <v>1285</v>
      </c>
      <c r="I20" s="4" t="s">
        <v>1290</v>
      </c>
    </row>
    <row r="21" spans="4:9" x14ac:dyDescent="0.3">
      <c r="D21" s="2" t="s">
        <v>1285</v>
      </c>
      <c r="I21" s="2" t="s">
        <v>1290</v>
      </c>
    </row>
    <row r="22" spans="4:9" x14ac:dyDescent="0.3">
      <c r="D22" s="4" t="s">
        <v>1285</v>
      </c>
      <c r="I22" s="4" t="s">
        <v>1290</v>
      </c>
    </row>
    <row r="23" spans="4:9" x14ac:dyDescent="0.3">
      <c r="D23" s="2" t="s">
        <v>1285</v>
      </c>
      <c r="I23" s="2" t="s">
        <v>1290</v>
      </c>
    </row>
    <row r="24" spans="4:9" x14ac:dyDescent="0.3">
      <c r="D24" s="4" t="s">
        <v>1285</v>
      </c>
      <c r="I24" s="4" t="s">
        <v>1290</v>
      </c>
    </row>
    <row r="25" spans="4:9" x14ac:dyDescent="0.3">
      <c r="D25" s="2" t="s">
        <v>1285</v>
      </c>
      <c r="I25" s="2" t="s">
        <v>1290</v>
      </c>
    </row>
    <row r="26" spans="4:9" x14ac:dyDescent="0.3">
      <c r="D26" s="4" t="s">
        <v>1285</v>
      </c>
      <c r="I26" s="4" t="s">
        <v>1290</v>
      </c>
    </row>
    <row r="27" spans="4:9" x14ac:dyDescent="0.3">
      <c r="D27" s="2" t="s">
        <v>1285</v>
      </c>
      <c r="I27" s="2" t="s">
        <v>1290</v>
      </c>
    </row>
    <row r="28" spans="4:9" x14ac:dyDescent="0.3">
      <c r="D28" s="4"/>
      <c r="I28" s="4" t="s">
        <v>1290</v>
      </c>
    </row>
    <row r="29" spans="4:9" x14ac:dyDescent="0.3">
      <c r="I29" s="2" t="s">
        <v>1290</v>
      </c>
    </row>
    <row r="30" spans="4:9" x14ac:dyDescent="0.3">
      <c r="I30" s="4" t="s">
        <v>1290</v>
      </c>
    </row>
    <row r="31" spans="4:9" x14ac:dyDescent="0.3">
      <c r="I31" s="2" t="s">
        <v>1290</v>
      </c>
    </row>
    <row r="32" spans="4:9" x14ac:dyDescent="0.3">
      <c r="I32" s="4" t="s">
        <v>1290</v>
      </c>
    </row>
    <row r="33" spans="9:9" x14ac:dyDescent="0.3">
      <c r="I33" s="2" t="s">
        <v>1290</v>
      </c>
    </row>
    <row r="34" spans="9:9" x14ac:dyDescent="0.3">
      <c r="I34" s="4" t="s">
        <v>1290</v>
      </c>
    </row>
    <row r="35" spans="9:9" x14ac:dyDescent="0.3">
      <c r="I35" s="2" t="s">
        <v>1290</v>
      </c>
    </row>
    <row r="36" spans="9:9" x14ac:dyDescent="0.3">
      <c r="I36" s="4" t="s">
        <v>1290</v>
      </c>
    </row>
    <row r="37" spans="9:9" x14ac:dyDescent="0.3">
      <c r="I37" s="2" t="s">
        <v>1290</v>
      </c>
    </row>
    <row r="38" spans="9:9" x14ac:dyDescent="0.3">
      <c r="I38" s="4" t="s">
        <v>1290</v>
      </c>
    </row>
    <row r="39" spans="9:9" x14ac:dyDescent="0.3">
      <c r="I39" s="2" t="s">
        <v>1290</v>
      </c>
    </row>
    <row r="40" spans="9:9" x14ac:dyDescent="0.3">
      <c r="I40" s="4" t="s">
        <v>1290</v>
      </c>
    </row>
    <row r="41" spans="9:9" x14ac:dyDescent="0.3">
      <c r="I41" s="2" t="s">
        <v>1290</v>
      </c>
    </row>
    <row r="42" spans="9:9" x14ac:dyDescent="0.3">
      <c r="I42" s="4" t="s">
        <v>1290</v>
      </c>
    </row>
    <row r="43" spans="9:9" x14ac:dyDescent="0.3">
      <c r="I43" s="2" t="s">
        <v>1290</v>
      </c>
    </row>
    <row r="44" spans="9:9" x14ac:dyDescent="0.3">
      <c r="I44" s="4" t="s">
        <v>1290</v>
      </c>
    </row>
    <row r="45" spans="9:9" x14ac:dyDescent="0.3">
      <c r="I45" s="2" t="s">
        <v>1290</v>
      </c>
    </row>
    <row r="46" spans="9:9" x14ac:dyDescent="0.3">
      <c r="I46" s="4" t="s">
        <v>1290</v>
      </c>
    </row>
    <row r="47" spans="9:9" x14ac:dyDescent="0.3">
      <c r="I47" s="2" t="s">
        <v>1290</v>
      </c>
    </row>
    <row r="48" spans="9:9" x14ac:dyDescent="0.3">
      <c r="I48" s="4" t="s">
        <v>1290</v>
      </c>
    </row>
    <row r="49" spans="9:9" x14ac:dyDescent="0.3">
      <c r="I49" s="2" t="s">
        <v>1290</v>
      </c>
    </row>
    <row r="50" spans="9:9" x14ac:dyDescent="0.3">
      <c r="I50" s="4" t="s">
        <v>1290</v>
      </c>
    </row>
    <row r="51" spans="9:9" x14ac:dyDescent="0.3">
      <c r="I51" s="2" t="s">
        <v>1290</v>
      </c>
    </row>
    <row r="52" spans="9:9" x14ac:dyDescent="0.3">
      <c r="I52" s="4" t="s">
        <v>1290</v>
      </c>
    </row>
    <row r="53" spans="9:9" x14ac:dyDescent="0.3">
      <c r="I53" s="2" t="s">
        <v>1290</v>
      </c>
    </row>
    <row r="54" spans="9:9" x14ac:dyDescent="0.3">
      <c r="I54" s="4" t="s">
        <v>1290</v>
      </c>
    </row>
    <row r="55" spans="9:9" x14ac:dyDescent="0.3">
      <c r="I55" s="2" t="s">
        <v>1290</v>
      </c>
    </row>
    <row r="56" spans="9:9" x14ac:dyDescent="0.3">
      <c r="I56" s="4" t="s">
        <v>1290</v>
      </c>
    </row>
    <row r="57" spans="9:9" x14ac:dyDescent="0.3">
      <c r="I57" s="2" t="s">
        <v>1290</v>
      </c>
    </row>
    <row r="58" spans="9:9" x14ac:dyDescent="0.3">
      <c r="I58" s="4" t="s">
        <v>1290</v>
      </c>
    </row>
    <row r="59" spans="9:9" x14ac:dyDescent="0.3">
      <c r="I59" s="2" t="s">
        <v>1290</v>
      </c>
    </row>
    <row r="60" spans="9:9" x14ac:dyDescent="0.3">
      <c r="I60" s="4" t="s">
        <v>1290</v>
      </c>
    </row>
    <row r="61" spans="9:9" x14ac:dyDescent="0.3">
      <c r="I61" s="2" t="s">
        <v>1290</v>
      </c>
    </row>
    <row r="62" spans="9:9" x14ac:dyDescent="0.3">
      <c r="I62" s="4" t="s">
        <v>1290</v>
      </c>
    </row>
    <row r="63" spans="9:9" x14ac:dyDescent="0.3">
      <c r="I63" s="2" t="s">
        <v>1290</v>
      </c>
    </row>
    <row r="64" spans="9:9" x14ac:dyDescent="0.3">
      <c r="I64" s="4" t="s">
        <v>1290</v>
      </c>
    </row>
    <row r="65" spans="9:9" x14ac:dyDescent="0.3">
      <c r="I65" s="2" t="s">
        <v>1290</v>
      </c>
    </row>
    <row r="66" spans="9:9" x14ac:dyDescent="0.3">
      <c r="I66" s="4" t="s">
        <v>1290</v>
      </c>
    </row>
    <row r="67" spans="9:9" x14ac:dyDescent="0.3">
      <c r="I67" s="2" t="s">
        <v>1290</v>
      </c>
    </row>
    <row r="68" spans="9:9" x14ac:dyDescent="0.3">
      <c r="I68" s="4" t="s">
        <v>1290</v>
      </c>
    </row>
    <row r="69" spans="9:9" x14ac:dyDescent="0.3">
      <c r="I69" s="2" t="s">
        <v>1290</v>
      </c>
    </row>
    <row r="70" spans="9:9" x14ac:dyDescent="0.3">
      <c r="I70" s="4" t="s">
        <v>1290</v>
      </c>
    </row>
    <row r="71" spans="9:9" x14ac:dyDescent="0.3">
      <c r="I71" s="2" t="s">
        <v>1290</v>
      </c>
    </row>
    <row r="72" spans="9:9" x14ac:dyDescent="0.3">
      <c r="I72" s="4" t="s">
        <v>1290</v>
      </c>
    </row>
    <row r="73" spans="9:9" x14ac:dyDescent="0.3">
      <c r="I73" s="2" t="s">
        <v>1290</v>
      </c>
    </row>
    <row r="74" spans="9:9" x14ac:dyDescent="0.3">
      <c r="I74" s="4" t="s">
        <v>1290</v>
      </c>
    </row>
    <row r="75" spans="9:9" x14ac:dyDescent="0.3">
      <c r="I75" s="2" t="s">
        <v>1290</v>
      </c>
    </row>
    <row r="76" spans="9:9" x14ac:dyDescent="0.3">
      <c r="I76" s="4" t="s">
        <v>1290</v>
      </c>
    </row>
    <row r="77" spans="9:9" x14ac:dyDescent="0.3">
      <c r="I77" s="2" t="s">
        <v>1290</v>
      </c>
    </row>
    <row r="78" spans="9:9" x14ac:dyDescent="0.3">
      <c r="I78" s="4" t="s">
        <v>1290</v>
      </c>
    </row>
    <row r="79" spans="9:9" x14ac:dyDescent="0.3">
      <c r="I79" s="2" t="s">
        <v>1290</v>
      </c>
    </row>
    <row r="80" spans="9:9" x14ac:dyDescent="0.3">
      <c r="I80" s="4" t="s">
        <v>1290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3A7E-A29D-4C00-9BA5-4403F86492AD}">
  <dimension ref="A1:X17"/>
  <sheetViews>
    <sheetView workbookViewId="0">
      <selection activeCell="A15" sqref="A15:X16"/>
    </sheetView>
  </sheetViews>
  <sheetFormatPr defaultRowHeight="14.4" x14ac:dyDescent="0.3"/>
  <cols>
    <col min="2" max="2" width="12.109375" bestFit="1" customWidth="1"/>
    <col min="5" max="5" width="12.77734375" bestFit="1" customWidth="1"/>
  </cols>
  <sheetData>
    <row r="1" spans="1:24" x14ac:dyDescent="0.3">
      <c r="A1" s="3">
        <v>197</v>
      </c>
      <c r="B1" s="4" t="s">
        <v>1308</v>
      </c>
      <c r="C1" s="4" t="s">
        <v>1309</v>
      </c>
      <c r="D1" s="4" t="s">
        <v>1310</v>
      </c>
      <c r="E1" s="4" t="s">
        <v>1311</v>
      </c>
      <c r="F1" s="4" t="s">
        <v>1312</v>
      </c>
      <c r="G1" s="4" t="s">
        <v>1313</v>
      </c>
      <c r="H1" s="7">
        <v>0.23018867924528297</v>
      </c>
      <c r="I1" s="7">
        <v>0.20754716981132071</v>
      </c>
      <c r="J1" s="8">
        <v>2</v>
      </c>
      <c r="K1" s="9">
        <v>5</v>
      </c>
      <c r="L1" s="9">
        <v>5</v>
      </c>
      <c r="M1" s="9">
        <v>2</v>
      </c>
      <c r="N1" s="8">
        <v>20.407927999999998</v>
      </c>
      <c r="O1" s="8" t="s">
        <v>1314</v>
      </c>
      <c r="P1" s="8">
        <v>6.5940000000000003</v>
      </c>
      <c r="Q1" s="8">
        <v>0.14489961800000001</v>
      </c>
      <c r="R1" s="8">
        <v>97.93814433</v>
      </c>
      <c r="S1" s="10">
        <v>3.42</v>
      </c>
    </row>
    <row r="2" spans="1:24" x14ac:dyDescent="0.3">
      <c r="A2" s="1">
        <v>17</v>
      </c>
      <c r="B2" s="2" t="s">
        <v>1315</v>
      </c>
      <c r="C2" s="56" t="s">
        <v>1316</v>
      </c>
      <c r="D2" s="2" t="s">
        <v>1317</v>
      </c>
      <c r="E2" s="2" t="s">
        <v>1318</v>
      </c>
      <c r="F2" s="2" t="s">
        <v>1319</v>
      </c>
      <c r="G2" s="2" t="s">
        <v>1313</v>
      </c>
      <c r="H2" s="11">
        <v>0.47368421052631582</v>
      </c>
      <c r="I2" s="11">
        <v>0.53749999999999998</v>
      </c>
      <c r="J2" s="12">
        <v>5</v>
      </c>
      <c r="K2" s="13">
        <v>6</v>
      </c>
      <c r="L2" s="13">
        <v>6</v>
      </c>
      <c r="M2" s="13">
        <v>2</v>
      </c>
      <c r="N2" s="12">
        <v>47.505862</v>
      </c>
      <c r="O2" s="12" t="s">
        <v>1320</v>
      </c>
      <c r="P2" s="12">
        <v>6.0449999999999999</v>
      </c>
      <c r="Q2" s="12">
        <v>0</v>
      </c>
      <c r="R2" s="12">
        <v>100</v>
      </c>
      <c r="S2" s="14">
        <v>1.97</v>
      </c>
    </row>
    <row r="3" spans="1:24" x14ac:dyDescent="0.3">
      <c r="A3" s="1">
        <v>259</v>
      </c>
      <c r="B3" s="2" t="s">
        <v>1321</v>
      </c>
      <c r="C3" s="56" t="s">
        <v>1322</v>
      </c>
      <c r="D3" s="2" t="s">
        <v>1323</v>
      </c>
      <c r="E3" s="2" t="s">
        <v>1324</v>
      </c>
      <c r="F3" s="2" t="s">
        <v>1325</v>
      </c>
      <c r="G3" s="2" t="s">
        <v>1313</v>
      </c>
      <c r="H3" s="11">
        <v>0.83</v>
      </c>
      <c r="I3" s="11">
        <v>0.82127659574468082</v>
      </c>
      <c r="J3" s="12">
        <v>6</v>
      </c>
      <c r="K3" s="13">
        <v>6</v>
      </c>
      <c r="L3" s="13">
        <v>6</v>
      </c>
      <c r="M3" s="13">
        <v>3</v>
      </c>
      <c r="N3" s="12">
        <v>6.0011850000000004</v>
      </c>
      <c r="O3" s="12" t="s">
        <v>1326</v>
      </c>
      <c r="P3" s="12">
        <v>6.2089999999999996</v>
      </c>
      <c r="Q3" s="12">
        <v>0</v>
      </c>
      <c r="R3" s="12">
        <v>100</v>
      </c>
      <c r="S3" s="14">
        <v>2.52</v>
      </c>
    </row>
    <row r="4" spans="1:24" x14ac:dyDescent="0.3">
      <c r="A4" s="1">
        <v>261</v>
      </c>
      <c r="B4" s="2" t="s">
        <v>1327</v>
      </c>
      <c r="C4" s="56" t="s">
        <v>1328</v>
      </c>
      <c r="D4" s="2" t="s">
        <v>1329</v>
      </c>
      <c r="E4" s="2" t="s">
        <v>1330</v>
      </c>
      <c r="F4" s="2" t="s">
        <v>1331</v>
      </c>
      <c r="G4" s="2" t="s">
        <v>1313</v>
      </c>
      <c r="H4" s="11">
        <v>0.56756756756756754</v>
      </c>
      <c r="I4" s="11">
        <v>0.37272727272727268</v>
      </c>
      <c r="J4" s="12">
        <v>4</v>
      </c>
      <c r="K4" s="13">
        <v>4</v>
      </c>
      <c r="L4" s="13">
        <v>4</v>
      </c>
      <c r="M4" s="13">
        <v>2</v>
      </c>
      <c r="N4" s="12">
        <v>9.958653</v>
      </c>
      <c r="O4" s="12" t="s">
        <v>1332</v>
      </c>
      <c r="P4" s="12">
        <v>6.1769999999999996</v>
      </c>
      <c r="Q4" s="12">
        <v>0.38850882399999997</v>
      </c>
      <c r="R4" s="12">
        <v>93.877551019999999</v>
      </c>
      <c r="S4" s="14">
        <v>1.55</v>
      </c>
    </row>
    <row r="5" spans="1:24" x14ac:dyDescent="0.3">
      <c r="A5" s="3">
        <v>262</v>
      </c>
      <c r="B5" s="4" t="s">
        <v>1333</v>
      </c>
      <c r="C5" s="57" t="s">
        <v>1334</v>
      </c>
      <c r="D5" s="4" t="s">
        <v>1335</v>
      </c>
      <c r="E5" s="4" t="s">
        <v>1336</v>
      </c>
      <c r="F5" s="4" t="s">
        <v>1337</v>
      </c>
      <c r="G5" s="4" t="s">
        <v>1313</v>
      </c>
      <c r="H5" s="7">
        <v>0.73731343283582085</v>
      </c>
      <c r="I5" s="7">
        <v>0.55555555555555558</v>
      </c>
      <c r="J5" s="8">
        <v>8</v>
      </c>
      <c r="K5" s="9">
        <v>7</v>
      </c>
      <c r="L5" s="9">
        <v>7</v>
      </c>
      <c r="M5" s="9">
        <v>3</v>
      </c>
      <c r="N5" s="8">
        <v>1.6960580000000001</v>
      </c>
      <c r="O5" s="8" t="s">
        <v>1338</v>
      </c>
      <c r="P5" s="8">
        <v>0</v>
      </c>
      <c r="Q5" s="8">
        <v>0</v>
      </c>
      <c r="R5" s="8">
        <v>100</v>
      </c>
      <c r="S5" s="10">
        <v>2.8080808080000002</v>
      </c>
    </row>
    <row r="6" spans="1:24" x14ac:dyDescent="0.3">
      <c r="A6" s="3">
        <v>147</v>
      </c>
      <c r="B6" s="4" t="s">
        <v>1339</v>
      </c>
      <c r="C6" s="57" t="s">
        <v>1340</v>
      </c>
      <c r="D6" s="4" t="s">
        <v>1341</v>
      </c>
      <c r="E6" s="4" t="s">
        <v>1342</v>
      </c>
      <c r="F6" s="4" t="s">
        <v>1342</v>
      </c>
      <c r="G6" s="4" t="s">
        <v>1290</v>
      </c>
      <c r="H6" s="7">
        <v>0.74468085106382986</v>
      </c>
      <c r="I6" s="7">
        <v>0.7302325581395348</v>
      </c>
      <c r="J6" s="8">
        <v>5</v>
      </c>
      <c r="K6" s="9">
        <v>6</v>
      </c>
      <c r="L6" s="9">
        <f>LEN([2]!Table2[[#This Row],[English]])</f>
        <v>4</v>
      </c>
      <c r="M6" s="9">
        <v>6</v>
      </c>
      <c r="N6" s="9"/>
      <c r="O6" s="9">
        <v>2</v>
      </c>
      <c r="P6" s="8">
        <v>1.3061590000000001</v>
      </c>
      <c r="Q6" s="8" t="s">
        <v>1343</v>
      </c>
      <c r="R6" s="8">
        <v>5.6379999999999999</v>
      </c>
      <c r="S6" s="8">
        <v>0.14372616999999999</v>
      </c>
      <c r="T6" s="8">
        <v>97.959183670000002</v>
      </c>
      <c r="U6" s="10">
        <v>2.7</v>
      </c>
    </row>
    <row r="7" spans="1:24" x14ac:dyDescent="0.3">
      <c r="A7" s="3">
        <v>222</v>
      </c>
      <c r="B7" s="4" t="s">
        <v>1344</v>
      </c>
      <c r="C7" s="4" t="s">
        <v>1345</v>
      </c>
      <c r="D7" s="4" t="s">
        <v>1346</v>
      </c>
      <c r="E7" s="4" t="s">
        <v>1347</v>
      </c>
      <c r="F7" s="4" t="s">
        <v>1348</v>
      </c>
      <c r="G7" s="4" t="s">
        <v>1290</v>
      </c>
      <c r="H7" s="7">
        <v>0.47368421052631582</v>
      </c>
      <c r="I7" s="7">
        <v>0.54594594594594592</v>
      </c>
      <c r="J7" s="8">
        <v>8</v>
      </c>
      <c r="K7" s="9">
        <v>5</v>
      </c>
      <c r="L7" s="9">
        <f>LEN([2]!Table2[[#This Row],[English]])</f>
        <v>5</v>
      </c>
      <c r="M7" s="9">
        <v>5</v>
      </c>
      <c r="N7" s="9">
        <f>VLOOKUP([2]!Table2[[#This Row],[English]], [3]clearpondEN_HE1IR!$1:$1048576, 4, 0)</f>
        <v>4</v>
      </c>
      <c r="O7" s="9">
        <v>2</v>
      </c>
      <c r="P7" s="8">
        <v>10.855418999999999</v>
      </c>
      <c r="Q7" s="8" t="s">
        <v>1349</v>
      </c>
      <c r="R7" s="8">
        <v>5.4539999999999997</v>
      </c>
      <c r="S7" s="8">
        <v>0</v>
      </c>
      <c r="T7" s="8">
        <v>100</v>
      </c>
      <c r="U7" s="10">
        <v>2.0909090909999999</v>
      </c>
    </row>
    <row r="8" spans="1:24" x14ac:dyDescent="0.3">
      <c r="A8" s="1">
        <v>270</v>
      </c>
      <c r="B8" s="2" t="s">
        <v>1350</v>
      </c>
      <c r="C8" s="2" t="s">
        <v>1351</v>
      </c>
      <c r="D8" s="2" t="s">
        <v>1351</v>
      </c>
      <c r="E8" s="2" t="s">
        <v>1352</v>
      </c>
      <c r="F8" s="2" t="s">
        <v>1353</v>
      </c>
      <c r="G8" s="2" t="s">
        <v>1290</v>
      </c>
      <c r="H8" s="11">
        <v>0.4805970149253731</v>
      </c>
      <c r="I8" s="11">
        <v>0.5243243243243243</v>
      </c>
      <c r="J8" s="12">
        <v>8</v>
      </c>
      <c r="K8" s="13">
        <v>4</v>
      </c>
      <c r="L8" s="13">
        <f>LEN([2]!Table2[[#This Row],[English]])</f>
        <v>3</v>
      </c>
      <c r="M8" s="13">
        <v>4</v>
      </c>
      <c r="N8" s="13">
        <f>VLOOKUP([2]!Table2[[#This Row],[English]], [3]clearpondEN_HE1IR!$1:$1048576, 4, 0)</f>
        <v>3</v>
      </c>
      <c r="O8" s="13">
        <v>2</v>
      </c>
      <c r="P8" s="12">
        <v>1.4361250000000001</v>
      </c>
      <c r="Q8" s="12" t="s">
        <v>1354</v>
      </c>
      <c r="R8" s="12">
        <v>0</v>
      </c>
      <c r="S8" s="12">
        <v>0</v>
      </c>
      <c r="T8" s="12">
        <v>100</v>
      </c>
      <c r="U8" s="14">
        <v>1.52</v>
      </c>
    </row>
    <row r="9" spans="1:24" x14ac:dyDescent="0.3">
      <c r="A9" s="3">
        <v>80</v>
      </c>
      <c r="B9" s="4" t="s">
        <v>1367</v>
      </c>
      <c r="C9" s="4" t="s">
        <v>1368</v>
      </c>
      <c r="D9" s="4" t="s">
        <v>1369</v>
      </c>
      <c r="E9" s="4" t="s">
        <v>1370</v>
      </c>
      <c r="F9" s="4" t="s">
        <v>1371</v>
      </c>
      <c r="G9" s="4" t="s">
        <v>1290</v>
      </c>
      <c r="H9" s="7">
        <v>0.55000000000000004</v>
      </c>
      <c r="I9" s="7">
        <v>0.81971830985915495</v>
      </c>
      <c r="J9" s="8">
        <v>11</v>
      </c>
      <c r="K9" s="9">
        <v>4</v>
      </c>
      <c r="L9" s="9">
        <f>LEN([2]!Table2[[#This Row],[English]])</f>
        <v>7</v>
      </c>
      <c r="M9" s="9">
        <v>4</v>
      </c>
      <c r="N9" s="9">
        <f>VLOOKUP([2]!Table2[[#This Row],[English]], [3]clearpondEN_HE1IR!$1:$1048576, 4, 0)</f>
        <v>5</v>
      </c>
      <c r="O9" s="9">
        <v>2</v>
      </c>
      <c r="P9" s="8">
        <v>11.141344999999999</v>
      </c>
      <c r="Q9" s="8" t="s">
        <v>1372</v>
      </c>
      <c r="R9" s="8">
        <v>0</v>
      </c>
      <c r="S9" s="8">
        <v>0</v>
      </c>
      <c r="T9" s="8">
        <v>100</v>
      </c>
      <c r="U9" s="10">
        <v>2.21</v>
      </c>
    </row>
    <row r="10" spans="1:24" x14ac:dyDescent="0.3">
      <c r="A10" s="1">
        <v>57</v>
      </c>
      <c r="B10" s="2" t="s">
        <v>1379</v>
      </c>
      <c r="C10" s="2" t="s">
        <v>1380</v>
      </c>
      <c r="D10" s="2" t="s">
        <v>1381</v>
      </c>
      <c r="E10" s="2" t="s">
        <v>1382</v>
      </c>
      <c r="F10" s="2" t="s">
        <v>1383</v>
      </c>
      <c r="G10" s="2" t="s">
        <v>1292</v>
      </c>
      <c r="H10" s="11">
        <v>0.60571428571428565</v>
      </c>
      <c r="I10" s="11">
        <v>0.6</v>
      </c>
      <c r="J10" s="12">
        <v>11</v>
      </c>
      <c r="K10" s="13">
        <v>6</v>
      </c>
      <c r="L10" s="13">
        <f>LEN([2]!Table2[[#This Row],[English]])</f>
        <v>4</v>
      </c>
      <c r="M10" s="13">
        <v>6</v>
      </c>
      <c r="N10" s="13">
        <f>VLOOKUP([2]!Table2[[#This Row],[English]], [3]clearpondEN_HE1IR!$1:$1048576, 4, 0)</f>
        <v>3</v>
      </c>
      <c r="O10" s="13">
        <v>3</v>
      </c>
      <c r="P10" s="12">
        <v>8.3275780000000008</v>
      </c>
      <c r="Q10" s="12" t="s">
        <v>1384</v>
      </c>
      <c r="R10" s="12">
        <v>6.1070000000000002</v>
      </c>
      <c r="S10" s="12">
        <v>0</v>
      </c>
      <c r="T10" s="12">
        <v>100</v>
      </c>
      <c r="U10" s="14">
        <v>2.74</v>
      </c>
    </row>
    <row r="11" spans="1:24" x14ac:dyDescent="0.3">
      <c r="A11" s="1">
        <v>148</v>
      </c>
      <c r="B11" s="2" t="s">
        <v>1385</v>
      </c>
      <c r="C11" s="2" t="s">
        <v>1386</v>
      </c>
      <c r="D11" s="2" t="s">
        <v>1387</v>
      </c>
      <c r="E11" s="2" t="s">
        <v>1388</v>
      </c>
      <c r="F11" s="2" t="s">
        <v>1389</v>
      </c>
      <c r="G11" s="2" t="s">
        <v>1290</v>
      </c>
      <c r="H11" s="11">
        <v>0.61379310344827587</v>
      </c>
      <c r="I11" s="11">
        <v>0.56923076923076921</v>
      </c>
      <c r="J11" s="12">
        <v>12</v>
      </c>
      <c r="K11" s="13">
        <v>7</v>
      </c>
      <c r="L11" s="13">
        <f>LEN([2]!Table2[[#This Row],[English]])</f>
        <v>4</v>
      </c>
      <c r="M11" s="13">
        <v>7</v>
      </c>
      <c r="N11" s="13">
        <f>VLOOKUP([2]!Table2[[#This Row],[English]], [3]clearpondEN_HE1IR!$1:$1048576, 4, 0)</f>
        <v>4</v>
      </c>
      <c r="O11" s="13">
        <v>3</v>
      </c>
      <c r="P11" s="12">
        <v>7.6647509999999999</v>
      </c>
      <c r="Q11" s="12" t="s">
        <v>1390</v>
      </c>
      <c r="R11" s="12">
        <v>6.5090000000000003</v>
      </c>
      <c r="S11" s="12">
        <v>0</v>
      </c>
      <c r="T11" s="12">
        <v>100</v>
      </c>
      <c r="U11" s="14">
        <v>1.89</v>
      </c>
    </row>
    <row r="12" spans="1:24" x14ac:dyDescent="0.3">
      <c r="A12" s="3">
        <v>243</v>
      </c>
      <c r="B12" s="4" t="s">
        <v>1391</v>
      </c>
      <c r="C12" s="4" t="s">
        <v>1392</v>
      </c>
      <c r="D12" s="4" t="s">
        <v>1393</v>
      </c>
      <c r="E12" s="4" t="s">
        <v>1394</v>
      </c>
      <c r="F12" s="4" t="s">
        <v>1395</v>
      </c>
      <c r="G12" s="4" t="s">
        <v>1290</v>
      </c>
      <c r="H12" s="7">
        <v>0.63174603174603172</v>
      </c>
      <c r="I12" s="7">
        <v>0.64500000000000002</v>
      </c>
      <c r="J12" s="8">
        <v>10</v>
      </c>
      <c r="K12" s="9">
        <v>5</v>
      </c>
      <c r="L12" s="9">
        <f>LEN([2]!Table2[[#This Row],[English]])</f>
        <v>4</v>
      </c>
      <c r="M12" s="9">
        <v>5</v>
      </c>
      <c r="N12" s="9">
        <f>VLOOKUP([2]!Table2[[#This Row],[English]], [3]clearpondEN_HE1IR!$1:$1048576, 4, 0)</f>
        <v>3</v>
      </c>
      <c r="O12" s="9">
        <v>3</v>
      </c>
      <c r="P12" s="8">
        <v>1.514105</v>
      </c>
      <c r="Q12" s="8" t="s">
        <v>1396</v>
      </c>
      <c r="R12" s="8">
        <v>0</v>
      </c>
      <c r="S12" s="8">
        <v>0.14372616999999999</v>
      </c>
      <c r="T12" s="8">
        <v>97.959183670000002</v>
      </c>
      <c r="U12" s="10">
        <v>3</v>
      </c>
    </row>
    <row r="13" spans="1:24" x14ac:dyDescent="0.3">
      <c r="A13" s="1">
        <v>98</v>
      </c>
      <c r="B13" s="2" t="s">
        <v>1397</v>
      </c>
      <c r="C13" s="2" t="s">
        <v>1398</v>
      </c>
      <c r="D13" s="2" t="s">
        <v>1399</v>
      </c>
      <c r="E13" s="2" t="s">
        <v>1400</v>
      </c>
      <c r="F13" s="2" t="s">
        <v>1401</v>
      </c>
      <c r="G13" s="2" t="s">
        <v>1290</v>
      </c>
      <c r="H13" s="11">
        <v>0.7382716049382716</v>
      </c>
      <c r="I13" s="11">
        <v>0.74358974358974361</v>
      </c>
      <c r="J13" s="12">
        <v>7</v>
      </c>
      <c r="K13" s="13">
        <v>6</v>
      </c>
      <c r="L13" s="13">
        <f>LEN([2]!Table2[[#This Row],[English]])</f>
        <v>4</v>
      </c>
      <c r="M13" s="13">
        <v>6</v>
      </c>
      <c r="N13" s="13">
        <f>VLOOKUP([2]!Table2[[#This Row],[English]], [3]clearpondEN_HE1IR!$1:$1048576, 4, 0)</f>
        <v>3</v>
      </c>
      <c r="O13" s="13">
        <v>3</v>
      </c>
      <c r="P13" s="12">
        <v>0.51336599999999999</v>
      </c>
      <c r="Q13" s="12" t="s">
        <v>1402</v>
      </c>
      <c r="R13" s="12">
        <v>0</v>
      </c>
      <c r="S13" s="12">
        <v>0</v>
      </c>
      <c r="T13" s="12">
        <v>100</v>
      </c>
      <c r="U13" s="14">
        <v>1.94</v>
      </c>
    </row>
    <row r="14" spans="1:24" x14ac:dyDescent="0.3">
      <c r="A14" s="1">
        <v>84</v>
      </c>
      <c r="B14" s="2" t="s">
        <v>1403</v>
      </c>
      <c r="C14" s="2" t="s">
        <v>1404</v>
      </c>
      <c r="D14" s="2" t="s">
        <v>1405</v>
      </c>
      <c r="E14" s="2" t="s">
        <v>1406</v>
      </c>
      <c r="F14" s="2" t="s">
        <v>1407</v>
      </c>
      <c r="G14" s="2" t="s">
        <v>1290</v>
      </c>
      <c r="H14" s="11">
        <v>0.42117647058823526</v>
      </c>
      <c r="I14" s="11">
        <v>0.56705882352941184</v>
      </c>
      <c r="J14" s="12">
        <v>9</v>
      </c>
      <c r="K14" s="13">
        <v>6</v>
      </c>
      <c r="L14" s="13">
        <f>LEN([2]!Table2[[#This Row],[English]])</f>
        <v>5</v>
      </c>
      <c r="M14" s="13">
        <v>6</v>
      </c>
      <c r="N14" s="13">
        <f>VLOOKUP([2]!Table2[[#This Row],[English]], [3]clearpondEN_HE1IR!$1:$1048576, 4, 0)</f>
        <v>5</v>
      </c>
      <c r="O14" s="13">
        <v>3</v>
      </c>
      <c r="P14" s="12">
        <v>2.3783799999999999</v>
      </c>
      <c r="Q14" s="12" t="s">
        <v>1408</v>
      </c>
      <c r="R14" s="12">
        <v>5.86</v>
      </c>
      <c r="S14" s="12">
        <v>0</v>
      </c>
      <c r="T14" s="12">
        <v>100</v>
      </c>
      <c r="U14" s="14">
        <v>1.96</v>
      </c>
    </row>
    <row r="15" spans="1:24" x14ac:dyDescent="0.3">
      <c r="A15" s="58"/>
      <c r="B15" s="59" t="s">
        <v>212</v>
      </c>
      <c r="C15" s="59" t="s">
        <v>467</v>
      </c>
      <c r="D15" s="59" t="s">
        <v>702</v>
      </c>
      <c r="E15" s="59" t="s">
        <v>942</v>
      </c>
      <c r="F15" s="59" t="s">
        <v>1186</v>
      </c>
      <c r="G15" s="59" t="s">
        <v>1289</v>
      </c>
      <c r="H15" s="60">
        <v>0.58787878787878789</v>
      </c>
      <c r="I15" s="60">
        <v>0.47692307692307689</v>
      </c>
      <c r="J15" s="60">
        <v>0.41212121212121211</v>
      </c>
      <c r="K15" s="60">
        <v>0.52307692307692311</v>
      </c>
      <c r="L15" s="61">
        <v>4</v>
      </c>
      <c r="M15" s="61">
        <v>4</v>
      </c>
      <c r="N15" s="61">
        <v>3</v>
      </c>
      <c r="O15" s="61">
        <v>4</v>
      </c>
      <c r="P15" s="61">
        <v>2</v>
      </c>
      <c r="Q15" s="61">
        <v>3</v>
      </c>
      <c r="R15" s="61" t="s">
        <v>22</v>
      </c>
      <c r="S15" s="60">
        <v>5.0003070000000003</v>
      </c>
      <c r="T15" s="60">
        <v>5.2761018009352192</v>
      </c>
      <c r="U15" s="60">
        <v>6.39</v>
      </c>
      <c r="V15" s="60">
        <v>0</v>
      </c>
      <c r="W15" s="60">
        <v>100</v>
      </c>
      <c r="X15" s="62">
        <v>2.4700000000000002</v>
      </c>
    </row>
    <row r="16" spans="1:24" x14ac:dyDescent="0.3">
      <c r="A16" s="63"/>
      <c r="B16" s="64" t="s">
        <v>185</v>
      </c>
      <c r="C16" s="64" t="s">
        <v>440</v>
      </c>
      <c r="D16" s="64" t="s">
        <v>676</v>
      </c>
      <c r="E16" s="64" t="s">
        <v>916</v>
      </c>
      <c r="F16" s="64" t="s">
        <v>1159</v>
      </c>
      <c r="G16" s="64" t="s">
        <v>1289</v>
      </c>
      <c r="H16" s="65">
        <v>0.64324324324324322</v>
      </c>
      <c r="I16" s="65">
        <v>0.67567567567567566</v>
      </c>
      <c r="J16" s="65">
        <v>0.35675675675675678</v>
      </c>
      <c r="K16" s="65">
        <v>0.32432432432432434</v>
      </c>
      <c r="L16" s="66">
        <v>3</v>
      </c>
      <c r="M16" s="66">
        <v>4</v>
      </c>
      <c r="N16" s="66">
        <v>4</v>
      </c>
      <c r="O16" s="66">
        <v>4</v>
      </c>
      <c r="P16" s="66">
        <v>3</v>
      </c>
      <c r="Q16" s="66">
        <v>3</v>
      </c>
      <c r="R16" s="66" t="s">
        <v>22</v>
      </c>
      <c r="S16" s="65">
        <v>4.5798449999999997</v>
      </c>
      <c r="T16" s="65">
        <v>5.2934528456309735</v>
      </c>
      <c r="U16" s="65">
        <v>6.3159999999999998</v>
      </c>
      <c r="V16" s="65">
        <v>0</v>
      </c>
      <c r="W16" s="65">
        <v>100</v>
      </c>
      <c r="X16" s="67">
        <v>2.54</v>
      </c>
    </row>
    <row r="17" spans="1:1" x14ac:dyDescent="0.3">
      <c r="A17" s="15"/>
    </row>
  </sheetData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52DB8-DE4E-4A33-A299-A76C1D2F0DBF}">
  <dimension ref="A1:X112"/>
  <sheetViews>
    <sheetView topLeftCell="A94" zoomScaleNormal="100" workbookViewId="0">
      <selection activeCell="C62" sqref="C62"/>
    </sheetView>
  </sheetViews>
  <sheetFormatPr defaultRowHeight="14.4" x14ac:dyDescent="0.3"/>
  <cols>
    <col min="1" max="1" width="8.88671875" style="27"/>
    <col min="2" max="2" width="12" customWidth="1"/>
    <col min="3" max="3" width="9.44140625" customWidth="1"/>
    <col min="6" max="6" width="10.33203125" customWidth="1"/>
    <col min="7" max="7" width="19" customWidth="1"/>
    <col min="8" max="8" width="16.109375" customWidth="1"/>
    <col min="9" max="9" width="15.44140625" customWidth="1"/>
    <col min="10" max="10" width="21.21875" bestFit="1" customWidth="1"/>
    <col min="11" max="11" width="20.5546875" bestFit="1" customWidth="1"/>
    <col min="13" max="13" width="24.88671875" bestFit="1" customWidth="1"/>
    <col min="14" max="14" width="13" customWidth="1"/>
    <col min="15" max="15" width="22.109375" customWidth="1"/>
    <col min="16" max="16" width="23.5546875" customWidth="1"/>
    <col min="17" max="17" width="21.6640625" customWidth="1"/>
    <col min="18" max="18" width="23.109375" customWidth="1"/>
    <col min="19" max="19" width="16.6640625" customWidth="1"/>
    <col min="20" max="20" width="18.109375" customWidth="1"/>
    <col min="21" max="21" width="13.6640625" customWidth="1"/>
    <col min="22" max="22" width="15.44140625" bestFit="1" customWidth="1"/>
    <col min="23" max="23" width="16.33203125" customWidth="1"/>
    <col min="24" max="24" width="12.88671875" customWidth="1"/>
    <col min="25" max="25" width="21.33203125" customWidth="1"/>
    <col min="26" max="26" width="21.44140625" customWidth="1"/>
  </cols>
  <sheetData>
    <row r="1" spans="1:24" x14ac:dyDescent="0.3">
      <c r="A1" s="24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8" t="s">
        <v>7</v>
      </c>
      <c r="I1" s="18" t="s">
        <v>8</v>
      </c>
      <c r="J1" s="18" t="s">
        <v>1411</v>
      </c>
      <c r="K1" s="18" t="s">
        <v>1412</v>
      </c>
      <c r="L1" s="19" t="s">
        <v>9</v>
      </c>
      <c r="M1" s="19" t="s">
        <v>10</v>
      </c>
      <c r="N1" s="19" t="s">
        <v>11</v>
      </c>
      <c r="O1" s="19" t="s">
        <v>12</v>
      </c>
      <c r="P1" s="19" t="s">
        <v>13</v>
      </c>
      <c r="Q1" s="19" t="s">
        <v>14</v>
      </c>
      <c r="R1" s="19" t="s">
        <v>15</v>
      </c>
      <c r="S1" s="18" t="s">
        <v>16</v>
      </c>
      <c r="T1" s="18" t="s">
        <v>17</v>
      </c>
      <c r="U1" s="18" t="s">
        <v>18</v>
      </c>
      <c r="V1" s="18" t="s">
        <v>19</v>
      </c>
      <c r="W1" s="18" t="s">
        <v>20</v>
      </c>
      <c r="X1" s="18" t="s">
        <v>21</v>
      </c>
    </row>
    <row r="2" spans="1:24" x14ac:dyDescent="0.3">
      <c r="A2" s="25"/>
      <c r="B2" s="4" t="s">
        <v>69</v>
      </c>
      <c r="C2" s="4" t="s">
        <v>324</v>
      </c>
      <c r="D2" s="4" t="s">
        <v>324</v>
      </c>
      <c r="E2" s="4" t="s">
        <v>324</v>
      </c>
      <c r="F2" s="4" t="s">
        <v>1044</v>
      </c>
      <c r="G2" s="4" t="s">
        <v>1288</v>
      </c>
      <c r="H2" s="7">
        <v>0</v>
      </c>
      <c r="I2" s="7">
        <v>0</v>
      </c>
      <c r="J2" s="7">
        <f xml:space="preserve"> 1 - Table3[[#This Row],[Phon_Similarity]]</f>
        <v>1</v>
      </c>
      <c r="K2" s="7">
        <f xml:space="preserve"> 1- Table3[[#This Row],[Orth_Similarity]]</f>
        <v>1</v>
      </c>
      <c r="L2" s="8">
        <v>0</v>
      </c>
      <c r="M2" s="8">
        <v>4</v>
      </c>
      <c r="N2" s="8">
        <v>4</v>
      </c>
      <c r="O2" s="8">
        <v>4</v>
      </c>
      <c r="P2" s="8">
        <v>4</v>
      </c>
      <c r="Q2" s="8">
        <v>3</v>
      </c>
      <c r="R2" s="8" t="s">
        <v>23</v>
      </c>
      <c r="S2" s="7">
        <v>2.6731379999999998</v>
      </c>
      <c r="T2" s="7">
        <v>3.2743749361626628</v>
      </c>
      <c r="U2" s="7">
        <f>VLOOKUP(Table3[[#This Row],[Spanish]], [4]written_es_wordlist_out_imageab!$1:$1048576, 2, 0)</f>
        <v>0</v>
      </c>
      <c r="V2" s="7">
        <v>0</v>
      </c>
      <c r="W2" s="7">
        <v>100</v>
      </c>
      <c r="X2" s="7">
        <v>2.31</v>
      </c>
    </row>
    <row r="3" spans="1:24" x14ac:dyDescent="0.3">
      <c r="A3" s="25"/>
      <c r="B3" s="4" t="s">
        <v>206</v>
      </c>
      <c r="C3" s="4" t="s">
        <v>461</v>
      </c>
      <c r="D3" s="4" t="s">
        <v>696</v>
      </c>
      <c r="E3" s="4" t="s">
        <v>461</v>
      </c>
      <c r="F3" s="4" t="s">
        <v>1180</v>
      </c>
      <c r="G3" s="4" t="s">
        <v>1288</v>
      </c>
      <c r="H3" s="7">
        <v>2.2222222222222254E-2</v>
      </c>
      <c r="I3" s="7">
        <v>0</v>
      </c>
      <c r="J3" s="7">
        <f xml:space="preserve"> 1 - Table3[[#This Row],[Phon_Similarity]]</f>
        <v>0.97777777777777775</v>
      </c>
      <c r="K3" s="7">
        <f xml:space="preserve"> 1- Table3[[#This Row],[Orth_Similarity]]</f>
        <v>1</v>
      </c>
      <c r="L3" s="8">
        <v>0</v>
      </c>
      <c r="M3" s="8">
        <v>5</v>
      </c>
      <c r="N3" s="8">
        <v>5</v>
      </c>
      <c r="O3" s="8">
        <v>5</v>
      </c>
      <c r="P3" s="8">
        <v>5</v>
      </c>
      <c r="Q3" s="8">
        <v>3</v>
      </c>
      <c r="R3" s="8" t="s">
        <v>23</v>
      </c>
      <c r="S3" s="7">
        <v>3.3410739999999999</v>
      </c>
      <c r="T3" s="7">
        <v>4.2516761640131016</v>
      </c>
      <c r="U3" s="7">
        <v>0</v>
      </c>
      <c r="V3" s="7">
        <v>0</v>
      </c>
      <c r="W3" s="7">
        <v>100</v>
      </c>
      <c r="X3" s="7">
        <v>2.4300000000000002</v>
      </c>
    </row>
    <row r="4" spans="1:24" x14ac:dyDescent="0.3">
      <c r="A4" s="25"/>
      <c r="B4" s="4" t="s">
        <v>257</v>
      </c>
      <c r="C4" s="4" t="s">
        <v>512</v>
      </c>
      <c r="D4" s="4" t="s">
        <v>512</v>
      </c>
      <c r="E4" s="4" t="s">
        <v>983</v>
      </c>
      <c r="F4" s="4" t="s">
        <v>1228</v>
      </c>
      <c r="G4" s="4" t="s">
        <v>983</v>
      </c>
      <c r="H4" s="7">
        <v>4.6153846153846101E-2</v>
      </c>
      <c r="I4" s="7">
        <v>4.6153846153846101E-2</v>
      </c>
      <c r="J4" s="7">
        <f xml:space="preserve"> 1 - Table3[[#This Row],[Phon_Similarity]]</f>
        <v>0.9538461538461539</v>
      </c>
      <c r="K4" s="7">
        <f xml:space="preserve"> 1- Table3[[#This Row],[Orth_Similarity]]</f>
        <v>0.9538461538461539</v>
      </c>
      <c r="L4" s="8">
        <v>1</v>
      </c>
      <c r="M4" s="8">
        <v>6</v>
      </c>
      <c r="N4" s="8">
        <v>5</v>
      </c>
      <c r="O4" s="8">
        <v>6</v>
      </c>
      <c r="P4" s="8">
        <v>5</v>
      </c>
      <c r="Q4" s="8">
        <v>2</v>
      </c>
      <c r="R4" s="8" t="s">
        <v>22</v>
      </c>
      <c r="S4" s="7">
        <v>4.8787900000000004</v>
      </c>
      <c r="T4" s="7">
        <v>4.8085417434614754</v>
      </c>
      <c r="U4" s="7">
        <v>5.9459999999999997</v>
      </c>
      <c r="V4" s="7">
        <v>0.626090653</v>
      </c>
      <c r="W4" s="7">
        <v>90</v>
      </c>
      <c r="X4" s="7">
        <v>2.5299999999999998</v>
      </c>
    </row>
    <row r="5" spans="1:24" x14ac:dyDescent="0.3">
      <c r="A5" s="25"/>
      <c r="B5" s="4" t="s">
        <v>294</v>
      </c>
      <c r="C5" s="4" t="s">
        <v>549</v>
      </c>
      <c r="D5" s="4" t="s">
        <v>778</v>
      </c>
      <c r="E5" s="4" t="s">
        <v>1016</v>
      </c>
      <c r="F5" s="4" t="s">
        <v>1264</v>
      </c>
      <c r="G5" s="4" t="s">
        <v>1290</v>
      </c>
      <c r="H5" s="7">
        <v>5.3333333333333344E-2</v>
      </c>
      <c r="I5" s="7">
        <v>3.3333333333333326E-2</v>
      </c>
      <c r="J5" s="7">
        <f xml:space="preserve"> 1 - Table3[[#This Row],[Phon_Similarity]]</f>
        <v>0.94666666666666666</v>
      </c>
      <c r="K5" s="7">
        <f xml:space="preserve"> 1- Table3[[#This Row],[Orth_Similarity]]</f>
        <v>0.96666666666666667</v>
      </c>
      <c r="L5" s="8">
        <v>2</v>
      </c>
      <c r="M5" s="8">
        <v>6</v>
      </c>
      <c r="N5" s="8">
        <v>6</v>
      </c>
      <c r="O5" s="8">
        <v>6</v>
      </c>
      <c r="P5" s="8">
        <v>6</v>
      </c>
      <c r="Q5" s="8">
        <v>2</v>
      </c>
      <c r="R5" s="8" t="s">
        <v>24</v>
      </c>
      <c r="S5" s="7">
        <v>5.1287180000000001</v>
      </c>
      <c r="T5" s="7">
        <v>4.8346065835140939</v>
      </c>
      <c r="U5" s="7">
        <v>6.2569999999999997</v>
      </c>
      <c r="V5" s="7">
        <v>0</v>
      </c>
      <c r="W5" s="7">
        <v>100</v>
      </c>
      <c r="X5" s="7">
        <v>2.37</v>
      </c>
    </row>
    <row r="6" spans="1:24" x14ac:dyDescent="0.3">
      <c r="A6" s="25"/>
      <c r="B6" s="4" t="s">
        <v>107</v>
      </c>
      <c r="C6" s="4" t="s">
        <v>362</v>
      </c>
      <c r="D6" s="4" t="s">
        <v>611</v>
      </c>
      <c r="E6" s="4" t="s">
        <v>839</v>
      </c>
      <c r="F6" s="4" t="s">
        <v>1082</v>
      </c>
      <c r="G6" s="4" t="s">
        <v>1294</v>
      </c>
      <c r="H6" s="7">
        <v>5.8823529411764719E-2</v>
      </c>
      <c r="I6" s="7">
        <v>4.3137254901960742E-2</v>
      </c>
      <c r="J6" s="7">
        <f xml:space="preserve"> 1 - Table3[[#This Row],[Phon_Similarity]]</f>
        <v>0.94117647058823528</v>
      </c>
      <c r="K6" s="7">
        <f xml:space="preserve"> 1- Table3[[#This Row],[Orth_Similarity]]</f>
        <v>0.95686274509803926</v>
      </c>
      <c r="L6" s="8">
        <v>2</v>
      </c>
      <c r="M6" s="8">
        <v>4</v>
      </c>
      <c r="N6" s="8">
        <v>5</v>
      </c>
      <c r="O6" s="8">
        <v>4</v>
      </c>
      <c r="P6" s="8">
        <v>4</v>
      </c>
      <c r="Q6" s="8">
        <v>1</v>
      </c>
      <c r="R6" s="8" t="s">
        <v>22</v>
      </c>
      <c r="S6" s="7">
        <v>4.6063460000000003</v>
      </c>
      <c r="T6" s="7">
        <v>4.9782218883806983</v>
      </c>
      <c r="U6" s="7">
        <v>6.5279999999999996</v>
      </c>
      <c r="V6" s="7">
        <v>0.195909271</v>
      </c>
      <c r="W6" s="7">
        <v>96.969696970000001</v>
      </c>
      <c r="X6" s="7">
        <v>2.76</v>
      </c>
    </row>
    <row r="7" spans="1:24" x14ac:dyDescent="0.3">
      <c r="A7" s="25"/>
      <c r="B7" s="4" t="s">
        <v>74</v>
      </c>
      <c r="C7" s="4" t="s">
        <v>329</v>
      </c>
      <c r="D7" s="4" t="s">
        <v>582</v>
      </c>
      <c r="E7" s="4" t="s">
        <v>582</v>
      </c>
      <c r="F7" s="4" t="s">
        <v>1049</v>
      </c>
      <c r="G7" s="4" t="s">
        <v>1288</v>
      </c>
      <c r="H7" s="7">
        <v>5.9259259259259234E-2</v>
      </c>
      <c r="I7" s="7">
        <v>0</v>
      </c>
      <c r="J7" s="7">
        <f xml:space="preserve"> 1 - Table3[[#This Row],[Phon_Similarity]]</f>
        <v>0.94074074074074077</v>
      </c>
      <c r="K7" s="7">
        <f xml:space="preserve"> 1- Table3[[#This Row],[Orth_Similarity]]</f>
        <v>1</v>
      </c>
      <c r="L7" s="8">
        <v>1</v>
      </c>
      <c r="M7" s="8">
        <v>5</v>
      </c>
      <c r="N7" s="8">
        <v>5</v>
      </c>
      <c r="O7" s="8">
        <v>5</v>
      </c>
      <c r="P7" s="8">
        <v>5</v>
      </c>
      <c r="Q7" s="8">
        <v>3</v>
      </c>
      <c r="R7" s="8" t="s">
        <v>23</v>
      </c>
      <c r="S7" s="7">
        <v>3.2133379999999998</v>
      </c>
      <c r="T7" s="7">
        <v>3.4923100594050203</v>
      </c>
      <c r="U7" s="7">
        <v>0</v>
      </c>
      <c r="V7" s="7">
        <v>0</v>
      </c>
      <c r="W7" s="7">
        <v>100</v>
      </c>
      <c r="X7" s="7">
        <v>2.5499999999999998</v>
      </c>
    </row>
    <row r="8" spans="1:24" x14ac:dyDescent="0.3">
      <c r="A8" s="25"/>
      <c r="B8" s="4" t="s">
        <v>72</v>
      </c>
      <c r="C8" s="4" t="s">
        <v>327</v>
      </c>
      <c r="D8" s="4" t="s">
        <v>580</v>
      </c>
      <c r="E8" s="4" t="s">
        <v>805</v>
      </c>
      <c r="F8" s="4" t="s">
        <v>1047</v>
      </c>
      <c r="G8" s="4" t="s">
        <v>1288</v>
      </c>
      <c r="H8" s="7">
        <v>7.407407407407407E-2</v>
      </c>
      <c r="I8" s="7">
        <v>2.2222222222222254E-2</v>
      </c>
      <c r="J8" s="7">
        <f xml:space="preserve"> 1 - Table3[[#This Row],[Phon_Similarity]]</f>
        <v>0.92592592592592593</v>
      </c>
      <c r="K8" s="7">
        <f xml:space="preserve"> 1- Table3[[#This Row],[Orth_Similarity]]</f>
        <v>0.97777777777777775</v>
      </c>
      <c r="L8" s="8">
        <v>2</v>
      </c>
      <c r="M8" s="8">
        <v>5</v>
      </c>
      <c r="N8" s="8">
        <v>5</v>
      </c>
      <c r="O8" s="8">
        <v>5</v>
      </c>
      <c r="P8" s="8">
        <v>5</v>
      </c>
      <c r="Q8" s="8">
        <v>2</v>
      </c>
      <c r="R8" s="8" t="s">
        <v>23</v>
      </c>
      <c r="S8" s="7">
        <v>3.8427920000000002</v>
      </c>
      <c r="T8" s="7">
        <v>4.4596875522279147</v>
      </c>
      <c r="U8" s="7">
        <v>0</v>
      </c>
      <c r="V8" s="7">
        <v>0</v>
      </c>
      <c r="W8" s="7">
        <v>100</v>
      </c>
      <c r="X8" s="7">
        <v>2.19</v>
      </c>
    </row>
    <row r="9" spans="1:24" x14ac:dyDescent="0.3">
      <c r="A9" s="25"/>
      <c r="B9" s="4" t="s">
        <v>270</v>
      </c>
      <c r="C9" s="4" t="s">
        <v>525</v>
      </c>
      <c r="D9" s="4" t="s">
        <v>757</v>
      </c>
      <c r="E9" s="4" t="s">
        <v>525</v>
      </c>
      <c r="F9" s="4" t="s">
        <v>1240</v>
      </c>
      <c r="G9" s="4" t="s">
        <v>983</v>
      </c>
      <c r="H9" s="7">
        <v>7.6470588235294068E-2</v>
      </c>
      <c r="I9" s="7">
        <v>0</v>
      </c>
      <c r="J9" s="7">
        <f xml:space="preserve"> 1 - Table3[[#This Row],[Phon_Similarity]]</f>
        <v>0.92352941176470593</v>
      </c>
      <c r="K9" s="7">
        <f xml:space="preserve"> 1- Table3[[#This Row],[Orth_Similarity]]</f>
        <v>1</v>
      </c>
      <c r="L9" s="8">
        <v>0</v>
      </c>
      <c r="M9" s="8">
        <v>6</v>
      </c>
      <c r="N9" s="8">
        <v>6</v>
      </c>
      <c r="O9" s="8">
        <v>6</v>
      </c>
      <c r="P9" s="8">
        <v>6</v>
      </c>
      <c r="Q9" s="8">
        <v>2</v>
      </c>
      <c r="R9" s="8" t="s">
        <v>23</v>
      </c>
      <c r="S9" s="7">
        <v>3.2751980000000001</v>
      </c>
      <c r="T9" s="7">
        <v>3.3537471228517028</v>
      </c>
      <c r="U9" s="7">
        <v>6.5090000000000003</v>
      </c>
      <c r="V9" s="7">
        <v>0</v>
      </c>
      <c r="W9" s="7">
        <v>100</v>
      </c>
      <c r="X9" s="7">
        <v>2.676767677</v>
      </c>
    </row>
    <row r="10" spans="1:24" x14ac:dyDescent="0.3">
      <c r="A10" s="25"/>
      <c r="B10" s="4" t="s">
        <v>252</v>
      </c>
      <c r="C10" s="4" t="s">
        <v>507</v>
      </c>
      <c r="D10" s="4" t="s">
        <v>507</v>
      </c>
      <c r="E10" s="4" t="s">
        <v>507</v>
      </c>
      <c r="F10" s="4" t="s">
        <v>1223</v>
      </c>
      <c r="G10" s="4" t="s">
        <v>1285</v>
      </c>
      <c r="H10" s="7">
        <v>8.5714285714285743E-2</v>
      </c>
      <c r="I10" s="7">
        <v>0</v>
      </c>
      <c r="J10" s="7">
        <f xml:space="preserve"> 1 - Table3[[#This Row],[Phon_Similarity]]</f>
        <v>0.91428571428571426</v>
      </c>
      <c r="K10" s="7">
        <f xml:space="preserve"> 1- Table3[[#This Row],[Orth_Similarity]]</f>
        <v>1</v>
      </c>
      <c r="L10" s="8">
        <v>0</v>
      </c>
      <c r="M10" s="8">
        <v>5</v>
      </c>
      <c r="N10" s="8">
        <v>5</v>
      </c>
      <c r="O10" s="8">
        <v>5</v>
      </c>
      <c r="P10" s="8">
        <v>5</v>
      </c>
      <c r="Q10" s="8">
        <v>3</v>
      </c>
      <c r="R10" s="8" t="s">
        <v>24</v>
      </c>
      <c r="S10" s="7">
        <v>2.7646229999999998</v>
      </c>
      <c r="T10" s="7">
        <v>3.4971394362119455</v>
      </c>
      <c r="U10" s="7">
        <v>0</v>
      </c>
      <c r="V10" s="7">
        <v>0</v>
      </c>
      <c r="W10" s="7">
        <v>100</v>
      </c>
      <c r="X10" s="7">
        <v>3.07</v>
      </c>
    </row>
    <row r="11" spans="1:24" x14ac:dyDescent="0.3">
      <c r="A11" s="25"/>
      <c r="B11" s="4" t="s">
        <v>281</v>
      </c>
      <c r="C11" s="4" t="s">
        <v>536</v>
      </c>
      <c r="D11" s="4" t="s">
        <v>766</v>
      </c>
      <c r="E11" s="4" t="s">
        <v>766</v>
      </c>
      <c r="F11" s="4" t="s">
        <v>1251</v>
      </c>
      <c r="G11" s="4" t="s">
        <v>1287</v>
      </c>
      <c r="H11" s="7">
        <v>9.7674418604651203E-2</v>
      </c>
      <c r="I11" s="7">
        <v>0</v>
      </c>
      <c r="J11" s="7">
        <f xml:space="preserve"> 1 - Table3[[#This Row],[Phon_Similarity]]</f>
        <v>0.9023255813953488</v>
      </c>
      <c r="K11" s="7">
        <f xml:space="preserve"> 1- Table3[[#This Row],[Orth_Similarity]]</f>
        <v>1</v>
      </c>
      <c r="L11" s="8">
        <v>1</v>
      </c>
      <c r="M11" s="8">
        <v>4</v>
      </c>
      <c r="N11" s="8">
        <v>4</v>
      </c>
      <c r="O11" s="8">
        <v>4</v>
      </c>
      <c r="P11" s="8">
        <v>4</v>
      </c>
      <c r="Q11" s="8">
        <v>2</v>
      </c>
      <c r="R11" s="8" t="s">
        <v>23</v>
      </c>
      <c r="S11" s="7">
        <v>3.7845399999999998</v>
      </c>
      <c r="T11" s="7">
        <v>4.219742171751963</v>
      </c>
      <c r="U11" s="7">
        <v>6.0759999999999996</v>
      </c>
      <c r="V11" s="7">
        <v>0.36592365100000002</v>
      </c>
      <c r="W11" s="7">
        <v>93</v>
      </c>
      <c r="X11" s="7">
        <v>1.81</v>
      </c>
    </row>
    <row r="12" spans="1:24" x14ac:dyDescent="0.3">
      <c r="A12" s="25"/>
      <c r="B12" s="4" t="s">
        <v>148</v>
      </c>
      <c r="C12" s="4" t="s">
        <v>403</v>
      </c>
      <c r="D12" s="4" t="s">
        <v>403</v>
      </c>
      <c r="E12" s="4" t="s">
        <v>879</v>
      </c>
      <c r="F12" s="4" t="s">
        <v>1122</v>
      </c>
      <c r="G12" s="4" t="s">
        <v>1288</v>
      </c>
      <c r="H12" s="7">
        <v>0.11111111111111116</v>
      </c>
      <c r="I12" s="7">
        <v>6.6666666666666652E-2</v>
      </c>
      <c r="J12" s="7">
        <f xml:space="preserve"> 1 - Table3[[#This Row],[Phon_Similarity]]</f>
        <v>0.88888888888888884</v>
      </c>
      <c r="K12" s="7">
        <f xml:space="preserve"> 1- Table3[[#This Row],[Orth_Similarity]]</f>
        <v>0.93333333333333335</v>
      </c>
      <c r="L12" s="8">
        <v>1</v>
      </c>
      <c r="M12" s="8">
        <v>6</v>
      </c>
      <c r="N12" s="8">
        <v>6</v>
      </c>
      <c r="O12" s="8">
        <v>6</v>
      </c>
      <c r="P12" s="8">
        <v>6</v>
      </c>
      <c r="Q12" s="8">
        <v>3</v>
      </c>
      <c r="R12" s="8" t="s">
        <v>24</v>
      </c>
      <c r="S12" s="7">
        <v>3.8427920000000002</v>
      </c>
      <c r="T12" s="7">
        <v>4.2669785767548145</v>
      </c>
      <c r="U12" s="7">
        <v>6.6280000000000001</v>
      </c>
      <c r="V12" s="7">
        <v>0</v>
      </c>
      <c r="W12" s="7">
        <v>100</v>
      </c>
      <c r="X12" s="7">
        <v>1.71</v>
      </c>
    </row>
    <row r="13" spans="1:24" x14ac:dyDescent="0.3">
      <c r="A13" s="25"/>
      <c r="B13" s="4" t="s">
        <v>105</v>
      </c>
      <c r="C13" s="4" t="s">
        <v>360</v>
      </c>
      <c r="D13" s="4" t="s">
        <v>360</v>
      </c>
      <c r="E13" s="4" t="s">
        <v>837</v>
      </c>
      <c r="F13" s="4" t="s">
        <v>1080</v>
      </c>
      <c r="G13" s="4" t="s">
        <v>1291</v>
      </c>
      <c r="H13" s="7">
        <v>0.11351351351351346</v>
      </c>
      <c r="I13" s="7">
        <v>0.15000000000000002</v>
      </c>
      <c r="J13" s="7">
        <f xml:space="preserve"> 1 - Table3[[#This Row],[Phon_Similarity]]</f>
        <v>0.88648648648648654</v>
      </c>
      <c r="K13" s="7">
        <f xml:space="preserve"> 1- Table3[[#This Row],[Orth_Similarity]]</f>
        <v>0.85</v>
      </c>
      <c r="L13" s="8">
        <v>2</v>
      </c>
      <c r="M13" s="8">
        <v>4</v>
      </c>
      <c r="N13" s="8">
        <v>4</v>
      </c>
      <c r="O13" s="8">
        <v>4</v>
      </c>
      <c r="P13" s="8">
        <v>3</v>
      </c>
      <c r="Q13" s="8">
        <v>2</v>
      </c>
      <c r="R13" s="8" t="s">
        <v>22</v>
      </c>
      <c r="S13" s="7">
        <v>3.535434</v>
      </c>
      <c r="T13" s="7">
        <v>4.425386394530511</v>
      </c>
      <c r="U13" s="7">
        <v>6.7489999999999997</v>
      </c>
      <c r="V13" s="7">
        <v>0.28853851400000002</v>
      </c>
      <c r="W13" s="7">
        <v>94.949494950000002</v>
      </c>
      <c r="X13" s="7">
        <v>2.5</v>
      </c>
    </row>
    <row r="14" spans="1:24" x14ac:dyDescent="0.3">
      <c r="A14" s="25"/>
      <c r="B14" s="4" t="s">
        <v>263</v>
      </c>
      <c r="C14" s="4" t="s">
        <v>518</v>
      </c>
      <c r="D14" s="4" t="s">
        <v>750</v>
      </c>
      <c r="E14" s="4" t="s">
        <v>518</v>
      </c>
      <c r="F14" s="4" t="s">
        <v>1234</v>
      </c>
      <c r="G14" s="4" t="s">
        <v>1295</v>
      </c>
      <c r="H14" s="7">
        <v>0.12653061224489792</v>
      </c>
      <c r="I14" s="7">
        <v>0</v>
      </c>
      <c r="J14" s="7">
        <f xml:space="preserve"> 1 - Table3[[#This Row],[Phon_Similarity]]</f>
        <v>0.87346938775510208</v>
      </c>
      <c r="K14" s="7">
        <f xml:space="preserve"> 1- Table3[[#This Row],[Orth_Similarity]]</f>
        <v>1</v>
      </c>
      <c r="L14" s="8">
        <v>0</v>
      </c>
      <c r="M14" s="8">
        <v>5</v>
      </c>
      <c r="N14" s="8">
        <v>5</v>
      </c>
      <c r="O14" s="8">
        <v>5</v>
      </c>
      <c r="P14" s="8">
        <v>6</v>
      </c>
      <c r="Q14" s="8">
        <v>3</v>
      </c>
      <c r="R14" s="8" t="s">
        <v>24</v>
      </c>
      <c r="S14" s="7">
        <v>4.5490769999999996</v>
      </c>
      <c r="T14" s="7">
        <v>4.3595308484139981</v>
      </c>
      <c r="U14" s="7">
        <v>6.5650000000000004</v>
      </c>
      <c r="V14" s="7">
        <v>0</v>
      </c>
      <c r="W14" s="7">
        <v>100</v>
      </c>
      <c r="X14" s="7">
        <v>2.85</v>
      </c>
    </row>
    <row r="15" spans="1:24" x14ac:dyDescent="0.3">
      <c r="A15" s="25"/>
      <c r="B15" s="4" t="s">
        <v>298</v>
      </c>
      <c r="C15" s="4" t="s">
        <v>553</v>
      </c>
      <c r="D15" s="4" t="s">
        <v>781</v>
      </c>
      <c r="E15" s="4" t="s">
        <v>553</v>
      </c>
      <c r="F15" s="4" t="s">
        <v>1268</v>
      </c>
      <c r="G15" s="4" t="s">
        <v>1294</v>
      </c>
      <c r="H15" s="7">
        <v>0.14666666666666661</v>
      </c>
      <c r="I15" s="7">
        <v>0</v>
      </c>
      <c r="J15" s="7">
        <f xml:space="preserve"> 1 - Table3[[#This Row],[Phon_Similarity]]</f>
        <v>0.85333333333333339</v>
      </c>
      <c r="K15" s="7">
        <f xml:space="preserve"> 1- Table3[[#This Row],[Orth_Similarity]]</f>
        <v>1</v>
      </c>
      <c r="L15" s="8">
        <v>0</v>
      </c>
      <c r="M15" s="8">
        <v>7</v>
      </c>
      <c r="N15" s="8">
        <v>7</v>
      </c>
      <c r="O15" s="8">
        <v>7</v>
      </c>
      <c r="P15" s="8">
        <v>6</v>
      </c>
      <c r="Q15" s="8">
        <v>2</v>
      </c>
      <c r="R15" s="8" t="s">
        <v>23</v>
      </c>
      <c r="S15" s="7">
        <v>3.1202960000000002</v>
      </c>
      <c r="T15" s="7">
        <v>3.8434120504356892</v>
      </c>
      <c r="U15" s="7">
        <v>0</v>
      </c>
      <c r="V15" s="7">
        <v>0</v>
      </c>
      <c r="W15" s="7">
        <v>100</v>
      </c>
      <c r="X15" s="7">
        <v>2.91</v>
      </c>
    </row>
    <row r="16" spans="1:24" x14ac:dyDescent="0.3">
      <c r="A16" s="25"/>
      <c r="B16" s="4" t="s">
        <v>79</v>
      </c>
      <c r="C16" s="4" t="s">
        <v>334</v>
      </c>
      <c r="D16" s="4" t="s">
        <v>334</v>
      </c>
      <c r="E16" s="4" t="s">
        <v>811</v>
      </c>
      <c r="F16" s="4" t="s">
        <v>1054</v>
      </c>
      <c r="G16" s="4" t="s">
        <v>1290</v>
      </c>
      <c r="H16" s="7">
        <v>0.15000000000000002</v>
      </c>
      <c r="I16" s="7">
        <v>5.0000000000000044E-2</v>
      </c>
      <c r="J16" s="7">
        <f xml:space="preserve"> 1 - Table3[[#This Row],[Phon_Similarity]]</f>
        <v>0.85</v>
      </c>
      <c r="K16" s="7">
        <f xml:space="preserve"> 1- Table3[[#This Row],[Orth_Similarity]]</f>
        <v>0.95</v>
      </c>
      <c r="L16" s="8">
        <v>1</v>
      </c>
      <c r="M16" s="8">
        <v>4</v>
      </c>
      <c r="N16" s="8">
        <v>4</v>
      </c>
      <c r="O16" s="8">
        <v>4</v>
      </c>
      <c r="P16" s="8">
        <v>3</v>
      </c>
      <c r="Q16" s="8">
        <v>3</v>
      </c>
      <c r="R16" s="8" t="s">
        <v>22</v>
      </c>
      <c r="S16" s="7">
        <v>3.6414599999999999</v>
      </c>
      <c r="T16" s="7">
        <v>4.2579095895592385</v>
      </c>
      <c r="U16" s="7">
        <v>6.2709999999999999</v>
      </c>
      <c r="V16" s="7">
        <v>0</v>
      </c>
      <c r="W16" s="7">
        <v>100</v>
      </c>
      <c r="X16" s="7">
        <v>1.79</v>
      </c>
    </row>
    <row r="17" spans="1:24" x14ac:dyDescent="0.3">
      <c r="A17" s="25"/>
      <c r="B17" s="4" t="s">
        <v>139</v>
      </c>
      <c r="C17" s="4" t="s">
        <v>394</v>
      </c>
      <c r="D17" s="4" t="s">
        <v>394</v>
      </c>
      <c r="E17" s="4" t="s">
        <v>870</v>
      </c>
      <c r="F17" s="4" t="s">
        <v>1113</v>
      </c>
      <c r="G17" s="4" t="s">
        <v>1410</v>
      </c>
      <c r="H17" s="7">
        <v>0.15000000000000002</v>
      </c>
      <c r="I17" s="7">
        <v>9.9999999999999978E-2</v>
      </c>
      <c r="J17" s="7">
        <f xml:space="preserve"> 1 - Table3[[#This Row],[Phon_Similarity]]</f>
        <v>0.85</v>
      </c>
      <c r="K17" s="7">
        <f xml:space="preserve"> 1- Table3[[#This Row],[Orth_Similarity]]</f>
        <v>0.9</v>
      </c>
      <c r="L17" s="8">
        <v>1</v>
      </c>
      <c r="M17" s="8">
        <v>4</v>
      </c>
      <c r="N17" s="8">
        <v>4</v>
      </c>
      <c r="O17" s="8">
        <v>4</v>
      </c>
      <c r="P17" s="8">
        <v>3</v>
      </c>
      <c r="Q17" s="8">
        <v>3</v>
      </c>
      <c r="R17" s="8" t="s">
        <v>22</v>
      </c>
      <c r="S17" s="7">
        <v>3.2855569999999998</v>
      </c>
      <c r="T17" s="7">
        <v>3.731965270280885</v>
      </c>
      <c r="U17" s="7">
        <v>0</v>
      </c>
      <c r="V17" s="7">
        <v>0.29292995100000002</v>
      </c>
      <c r="W17" s="7">
        <v>94.845360819999996</v>
      </c>
      <c r="X17" s="7">
        <v>2.96</v>
      </c>
    </row>
    <row r="18" spans="1:24" x14ac:dyDescent="0.3">
      <c r="A18" s="25"/>
      <c r="B18" s="4" t="s">
        <v>280</v>
      </c>
      <c r="C18" s="4" t="s">
        <v>535</v>
      </c>
      <c r="D18" s="4" t="s">
        <v>535</v>
      </c>
      <c r="E18" s="4" t="s">
        <v>1003</v>
      </c>
      <c r="F18" s="4" t="s">
        <v>1250</v>
      </c>
      <c r="G18" s="4" t="s">
        <v>1410</v>
      </c>
      <c r="H18" s="7">
        <v>0.15333333333333332</v>
      </c>
      <c r="I18" s="7">
        <v>5.2631578947368474E-2</v>
      </c>
      <c r="J18" s="7">
        <f xml:space="preserve"> 1 - Table3[[#This Row],[Phon_Similarity]]</f>
        <v>0.84666666666666668</v>
      </c>
      <c r="K18" s="7">
        <f xml:space="preserve"> 1- Table3[[#This Row],[Orth_Similarity]]</f>
        <v>0.94736842105263153</v>
      </c>
      <c r="L18" s="8">
        <v>1</v>
      </c>
      <c r="M18" s="8">
        <v>6</v>
      </c>
      <c r="N18" s="8">
        <v>5</v>
      </c>
      <c r="O18" s="8">
        <v>6</v>
      </c>
      <c r="P18" s="8">
        <v>5</v>
      </c>
      <c r="Q18" s="8">
        <v>3</v>
      </c>
      <c r="R18" s="8" t="s">
        <v>23</v>
      </c>
      <c r="S18" s="7">
        <v>4.5378540000000003</v>
      </c>
      <c r="T18" s="7">
        <v>4.3730688776144921</v>
      </c>
      <c r="U18" s="7">
        <v>5.3890000000000002</v>
      </c>
      <c r="V18" s="7">
        <v>0.14489961800000001</v>
      </c>
      <c r="W18" s="7">
        <v>97.93814433</v>
      </c>
      <c r="X18" s="7">
        <v>3.24</v>
      </c>
    </row>
    <row r="19" spans="1:24" x14ac:dyDescent="0.3">
      <c r="A19" s="25"/>
      <c r="B19" s="4" t="s">
        <v>111</v>
      </c>
      <c r="C19" s="4" t="s">
        <v>366</v>
      </c>
      <c r="D19" s="4" t="s">
        <v>614</v>
      </c>
      <c r="E19" s="4" t="s">
        <v>843</v>
      </c>
      <c r="F19" s="4" t="s">
        <v>1086</v>
      </c>
      <c r="G19" s="4" t="s">
        <v>1285</v>
      </c>
      <c r="H19" s="7">
        <v>0.16491228070175434</v>
      </c>
      <c r="I19" s="7">
        <v>0.30158730158730163</v>
      </c>
      <c r="J19" s="7">
        <f xml:space="preserve"> 1 - Table3[[#This Row],[Phon_Similarity]]</f>
        <v>0.83508771929824566</v>
      </c>
      <c r="K19" s="7">
        <f xml:space="preserve"> 1- Table3[[#This Row],[Orth_Similarity]]</f>
        <v>0.69841269841269837</v>
      </c>
      <c r="L19" s="8">
        <v>3</v>
      </c>
      <c r="M19" s="8">
        <v>6</v>
      </c>
      <c r="N19" s="8">
        <v>7</v>
      </c>
      <c r="O19" s="8">
        <v>6</v>
      </c>
      <c r="P19" s="8">
        <v>5</v>
      </c>
      <c r="Q19" s="8">
        <v>3</v>
      </c>
      <c r="R19" s="8" t="s">
        <v>23</v>
      </c>
      <c r="S19" s="7">
        <v>2.8192659999999998</v>
      </c>
      <c r="T19" s="7">
        <v>3.7770830339987231</v>
      </c>
      <c r="U19" s="7">
        <v>0</v>
      </c>
      <c r="V19" s="7">
        <v>0</v>
      </c>
      <c r="W19" s="7">
        <v>100</v>
      </c>
      <c r="X19" s="7">
        <v>3.02</v>
      </c>
    </row>
    <row r="20" spans="1:24" x14ac:dyDescent="0.3">
      <c r="A20" s="25"/>
      <c r="B20" s="4" t="s">
        <v>296</v>
      </c>
      <c r="C20" s="4" t="s">
        <v>551</v>
      </c>
      <c r="D20" s="4" t="s">
        <v>779</v>
      </c>
      <c r="E20" s="4" t="s">
        <v>1018</v>
      </c>
      <c r="F20" s="4" t="s">
        <v>1266</v>
      </c>
      <c r="G20" s="4" t="s">
        <v>1293</v>
      </c>
      <c r="H20" s="7">
        <v>0.17192982456140349</v>
      </c>
      <c r="I20" s="7">
        <v>0.3464788732394366</v>
      </c>
      <c r="J20" s="7">
        <f xml:space="preserve"> 1 - Table3[[#This Row],[Phon_Similarity]]</f>
        <v>0.82807017543859651</v>
      </c>
      <c r="K20" s="7">
        <f xml:space="preserve"> 1- Table3[[#This Row],[Orth_Similarity]]</f>
        <v>0.6535211267605634</v>
      </c>
      <c r="L20" s="8">
        <v>6</v>
      </c>
      <c r="M20" s="8">
        <v>6</v>
      </c>
      <c r="N20" s="8">
        <v>7</v>
      </c>
      <c r="O20" s="8">
        <v>6</v>
      </c>
      <c r="P20" s="8">
        <v>5</v>
      </c>
      <c r="Q20" s="8">
        <v>3</v>
      </c>
      <c r="R20" s="8" t="s">
        <v>23</v>
      </c>
      <c r="S20" s="7">
        <v>4.5865130000000001</v>
      </c>
      <c r="T20" s="7">
        <v>5.202997746184872</v>
      </c>
      <c r="U20" s="7">
        <v>6.0590000000000002</v>
      </c>
      <c r="V20" s="7">
        <v>0</v>
      </c>
      <c r="W20" s="7">
        <v>100</v>
      </c>
      <c r="X20" s="7">
        <v>3.12</v>
      </c>
    </row>
    <row r="21" spans="1:24" x14ac:dyDescent="0.3">
      <c r="A21" s="25"/>
      <c r="B21" s="4" t="s">
        <v>127</v>
      </c>
      <c r="C21" s="4" t="s">
        <v>382</v>
      </c>
      <c r="D21" s="4" t="s">
        <v>626</v>
      </c>
      <c r="E21" s="4" t="s">
        <v>859</v>
      </c>
      <c r="F21" s="4" t="s">
        <v>1102</v>
      </c>
      <c r="G21" s="4" t="s">
        <v>1291</v>
      </c>
      <c r="H21" s="7">
        <v>0.18000000000000005</v>
      </c>
      <c r="I21" s="7">
        <v>5.0000000000000044E-2</v>
      </c>
      <c r="J21" s="7">
        <f xml:space="preserve"> 1 - Table3[[#This Row],[Phon_Similarity]]</f>
        <v>0.82</v>
      </c>
      <c r="K21" s="7">
        <f xml:space="preserve"> 1- Table3[[#This Row],[Orth_Similarity]]</f>
        <v>0.95</v>
      </c>
      <c r="L21" s="8">
        <v>1</v>
      </c>
      <c r="M21" s="8">
        <v>4</v>
      </c>
      <c r="N21" s="8">
        <v>4</v>
      </c>
      <c r="O21" s="8">
        <v>4</v>
      </c>
      <c r="P21" s="8">
        <v>3</v>
      </c>
      <c r="Q21" s="8">
        <v>2</v>
      </c>
      <c r="R21" s="8" t="s">
        <v>22</v>
      </c>
      <c r="S21" s="7">
        <v>4.4931809999999999</v>
      </c>
      <c r="T21" s="7">
        <v>3.9505254135918002</v>
      </c>
      <c r="U21" s="7">
        <v>0</v>
      </c>
      <c r="V21" s="7">
        <v>0.30217361799999998</v>
      </c>
      <c r="W21" s="7">
        <v>94.623655909999997</v>
      </c>
      <c r="X21" s="7">
        <v>2.12</v>
      </c>
    </row>
    <row r="22" spans="1:24" x14ac:dyDescent="0.3">
      <c r="A22" s="25"/>
      <c r="B22" s="4" t="s">
        <v>121</v>
      </c>
      <c r="C22" s="4" t="s">
        <v>376</v>
      </c>
      <c r="D22" s="4" t="s">
        <v>620</v>
      </c>
      <c r="E22" s="4" t="s">
        <v>853</v>
      </c>
      <c r="F22" s="4" t="s">
        <v>1096</v>
      </c>
      <c r="G22" s="4" t="s">
        <v>1289</v>
      </c>
      <c r="H22" s="7">
        <v>0.19365079365079363</v>
      </c>
      <c r="I22" s="7">
        <v>3.3333333333333326E-2</v>
      </c>
      <c r="J22" s="7">
        <f xml:space="preserve"> 1 - Table3[[#This Row],[Phon_Similarity]]</f>
        <v>0.80634920634920637</v>
      </c>
      <c r="K22" s="7">
        <f xml:space="preserve"> 1- Table3[[#This Row],[Orth_Similarity]]</f>
        <v>0.96666666666666667</v>
      </c>
      <c r="L22" s="8">
        <v>1</v>
      </c>
      <c r="M22" s="8">
        <v>6</v>
      </c>
      <c r="N22" s="8">
        <v>6</v>
      </c>
      <c r="O22" s="8">
        <v>6</v>
      </c>
      <c r="P22" s="8">
        <v>5</v>
      </c>
      <c r="Q22" s="8">
        <v>3</v>
      </c>
      <c r="R22" s="8" t="s">
        <v>24</v>
      </c>
      <c r="S22" s="7">
        <v>3.825637</v>
      </c>
      <c r="T22" s="7">
        <v>4.0880808815557943</v>
      </c>
      <c r="U22" s="7">
        <v>6.1520000000000001</v>
      </c>
      <c r="V22" s="7">
        <v>0.14489961800000001</v>
      </c>
      <c r="W22" s="7">
        <v>97.93814433</v>
      </c>
      <c r="X22" s="7">
        <v>3.02</v>
      </c>
    </row>
    <row r="23" spans="1:24" x14ac:dyDescent="0.3">
      <c r="A23" s="25"/>
      <c r="B23" s="4" t="s">
        <v>240</v>
      </c>
      <c r="C23" s="4" t="s">
        <v>495</v>
      </c>
      <c r="D23" s="4" t="s">
        <v>729</v>
      </c>
      <c r="E23" s="4" t="s">
        <v>967</v>
      </c>
      <c r="F23" s="4" t="s">
        <v>1211</v>
      </c>
      <c r="G23" s="4" t="s">
        <v>1295</v>
      </c>
      <c r="H23" s="7">
        <v>0.20634920634920639</v>
      </c>
      <c r="I23" s="7">
        <v>0</v>
      </c>
      <c r="J23" s="7">
        <f xml:space="preserve"> 1 - Table3[[#This Row],[Phon_Similarity]]</f>
        <v>0.79365079365079361</v>
      </c>
      <c r="K23" s="7">
        <f xml:space="preserve"> 1- Table3[[#This Row],[Orth_Similarity]]</f>
        <v>1</v>
      </c>
      <c r="L23" s="8">
        <v>1</v>
      </c>
      <c r="M23" s="8">
        <v>6</v>
      </c>
      <c r="N23" s="8">
        <v>6</v>
      </c>
      <c r="O23" s="8">
        <v>6</v>
      </c>
      <c r="P23" s="8">
        <v>6</v>
      </c>
      <c r="Q23" s="8">
        <v>2</v>
      </c>
      <c r="R23" s="8" t="s">
        <v>24</v>
      </c>
      <c r="S23" s="7">
        <v>4.0622429999999996</v>
      </c>
      <c r="T23" s="7">
        <v>3.8225163032065996</v>
      </c>
      <c r="U23" s="7">
        <v>6.3979999999999997</v>
      </c>
      <c r="V23" s="7">
        <v>0.38850882399999997</v>
      </c>
      <c r="W23" s="7">
        <v>93.877551019999999</v>
      </c>
      <c r="X23" s="7">
        <v>2.58</v>
      </c>
    </row>
    <row r="24" spans="1:24" x14ac:dyDescent="0.3">
      <c r="A24" s="25"/>
      <c r="B24" s="4" t="s">
        <v>191</v>
      </c>
      <c r="C24" s="4" t="s">
        <v>446</v>
      </c>
      <c r="D24" s="4" t="s">
        <v>682</v>
      </c>
      <c r="E24" s="4" t="s">
        <v>922</v>
      </c>
      <c r="F24" s="4" t="s">
        <v>1165</v>
      </c>
      <c r="G24" s="4" t="s">
        <v>1293</v>
      </c>
      <c r="H24" s="7">
        <v>0.22352941176470587</v>
      </c>
      <c r="I24" s="7">
        <v>0.2068965517241379</v>
      </c>
      <c r="J24" s="7">
        <f xml:space="preserve"> 1 - Table3[[#This Row],[Phon_Similarity]]</f>
        <v>0.77647058823529413</v>
      </c>
      <c r="K24" s="7">
        <f xml:space="preserve"> 1- Table3[[#This Row],[Orth_Similarity]]</f>
        <v>0.7931034482758621</v>
      </c>
      <c r="L24" s="8">
        <v>2</v>
      </c>
      <c r="M24" s="8">
        <v>5</v>
      </c>
      <c r="N24" s="8">
        <v>5</v>
      </c>
      <c r="O24" s="8">
        <v>5</v>
      </c>
      <c r="P24" s="8">
        <v>4</v>
      </c>
      <c r="Q24" s="8">
        <v>2</v>
      </c>
      <c r="R24" s="8" t="s">
        <v>22</v>
      </c>
      <c r="S24" s="7">
        <v>5.0741820000000004</v>
      </c>
      <c r="T24" s="7">
        <v>4.1963837895665019</v>
      </c>
      <c r="U24" s="7">
        <v>5.7110000000000003</v>
      </c>
      <c r="V24" s="7">
        <v>0</v>
      </c>
      <c r="W24" s="7">
        <v>100</v>
      </c>
      <c r="X24" s="7">
        <v>1.919191919</v>
      </c>
    </row>
    <row r="25" spans="1:24" x14ac:dyDescent="0.3">
      <c r="A25" s="25"/>
      <c r="B25" s="4" t="s">
        <v>155</v>
      </c>
      <c r="C25" s="4" t="s">
        <v>410</v>
      </c>
      <c r="D25" s="4" t="s">
        <v>651</v>
      </c>
      <c r="E25" s="4" t="s">
        <v>886</v>
      </c>
      <c r="F25" s="4" t="s">
        <v>1129</v>
      </c>
      <c r="G25" s="4" t="s">
        <v>1293</v>
      </c>
      <c r="H25" s="7">
        <v>0.24179104477611946</v>
      </c>
      <c r="I25" s="7">
        <v>0.21714285714285719</v>
      </c>
      <c r="J25" s="7">
        <f xml:space="preserve"> 1 - Table3[[#This Row],[Phon_Similarity]]</f>
        <v>0.75820895522388054</v>
      </c>
      <c r="K25" s="7">
        <f xml:space="preserve"> 1- Table3[[#This Row],[Orth_Similarity]]</f>
        <v>0.78285714285714281</v>
      </c>
      <c r="L25" s="8">
        <v>5</v>
      </c>
      <c r="M25" s="8">
        <v>6</v>
      </c>
      <c r="N25" s="8">
        <v>8</v>
      </c>
      <c r="O25" s="8">
        <v>6</v>
      </c>
      <c r="P25" s="8">
        <v>6</v>
      </c>
      <c r="Q25" s="8">
        <v>2</v>
      </c>
      <c r="R25" s="8" t="s">
        <v>23</v>
      </c>
      <c r="S25" s="7">
        <v>5.0532870000000001</v>
      </c>
      <c r="T25" s="7">
        <v>3.671626862596383</v>
      </c>
      <c r="U25" s="7">
        <v>6.524</v>
      </c>
      <c r="V25" s="7">
        <v>0</v>
      </c>
      <c r="W25" s="7">
        <v>100</v>
      </c>
      <c r="X25" s="7">
        <v>2.42</v>
      </c>
    </row>
    <row r="26" spans="1:24" x14ac:dyDescent="0.3">
      <c r="A26" s="25"/>
      <c r="B26" s="4" t="s">
        <v>209</v>
      </c>
      <c r="C26" s="4" t="s">
        <v>464</v>
      </c>
      <c r="D26" s="4" t="s">
        <v>699</v>
      </c>
      <c r="E26" s="4" t="s">
        <v>939</v>
      </c>
      <c r="F26" s="4" t="s">
        <v>1183</v>
      </c>
      <c r="G26" s="4" t="s">
        <v>1296</v>
      </c>
      <c r="H26" s="7">
        <v>0.24590163934426235</v>
      </c>
      <c r="I26" s="7">
        <v>9.8591549295774628E-2</v>
      </c>
      <c r="J26" s="7">
        <f xml:space="preserve"> 1 - Table3[[#This Row],[Phon_Similarity]]</f>
        <v>0.75409836065573765</v>
      </c>
      <c r="K26" s="7">
        <f xml:space="preserve"> 1- Table3[[#This Row],[Orth_Similarity]]</f>
        <v>0.90140845070422537</v>
      </c>
      <c r="L26" s="8">
        <v>3</v>
      </c>
      <c r="M26" s="8">
        <v>7</v>
      </c>
      <c r="N26" s="8">
        <v>6</v>
      </c>
      <c r="O26" s="8">
        <v>7</v>
      </c>
      <c r="P26" s="8">
        <v>4</v>
      </c>
      <c r="Q26" s="8">
        <v>2</v>
      </c>
      <c r="R26" s="8" t="s">
        <v>23</v>
      </c>
      <c r="S26" s="7">
        <v>4.6117610000000004</v>
      </c>
      <c r="T26" s="7">
        <v>4.3733426789150833</v>
      </c>
      <c r="U26" s="7">
        <v>5.5010000000000003</v>
      </c>
      <c r="V26" s="7">
        <v>0.33476761300000002</v>
      </c>
      <c r="W26" s="7">
        <v>93.81443299</v>
      </c>
      <c r="X26" s="7">
        <v>1.1200000000000001</v>
      </c>
    </row>
    <row r="27" spans="1:24" x14ac:dyDescent="0.3">
      <c r="A27" s="25"/>
      <c r="B27" s="4" t="s">
        <v>187</v>
      </c>
      <c r="C27" s="4" t="s">
        <v>442</v>
      </c>
      <c r="D27" s="4" t="s">
        <v>678</v>
      </c>
      <c r="E27" s="4" t="s">
        <v>918</v>
      </c>
      <c r="F27" s="4" t="s">
        <v>1161</v>
      </c>
      <c r="G27" s="4" t="s">
        <v>1293</v>
      </c>
      <c r="H27" s="7">
        <v>0.24675324675324672</v>
      </c>
      <c r="I27" s="7">
        <v>4.2253521126760618E-2</v>
      </c>
      <c r="J27" s="7">
        <f xml:space="preserve"> 1 - Table3[[#This Row],[Phon_Similarity]]</f>
        <v>0.75324675324675328</v>
      </c>
      <c r="K27" s="7">
        <f xml:space="preserve"> 1- Table3[[#This Row],[Orth_Similarity]]</f>
        <v>0.95774647887323938</v>
      </c>
      <c r="L27" s="8">
        <v>2</v>
      </c>
      <c r="M27" s="8">
        <v>6</v>
      </c>
      <c r="N27" s="8">
        <v>7</v>
      </c>
      <c r="O27" s="8">
        <v>6</v>
      </c>
      <c r="P27" s="8">
        <v>7</v>
      </c>
      <c r="Q27" s="8">
        <v>2</v>
      </c>
      <c r="R27" s="8" t="s">
        <v>24</v>
      </c>
      <c r="S27" s="7">
        <v>4.0733480000000002</v>
      </c>
      <c r="T27" s="7">
        <v>3.9065890915094834</v>
      </c>
      <c r="U27" s="7">
        <v>6.1669999999999998</v>
      </c>
      <c r="V27" s="7">
        <v>0</v>
      </c>
      <c r="W27" s="7">
        <v>100</v>
      </c>
      <c r="X27" s="7">
        <v>2.74</v>
      </c>
    </row>
    <row r="28" spans="1:24" x14ac:dyDescent="0.3">
      <c r="A28" s="25"/>
      <c r="B28" s="4" t="s">
        <v>289</v>
      </c>
      <c r="C28" s="4" t="s">
        <v>544</v>
      </c>
      <c r="D28" s="4" t="s">
        <v>773</v>
      </c>
      <c r="E28" s="4" t="s">
        <v>1011</v>
      </c>
      <c r="F28" s="4" t="s">
        <v>1259</v>
      </c>
      <c r="G28" s="4" t="s">
        <v>1288</v>
      </c>
      <c r="H28" s="7">
        <v>0.25600000000000001</v>
      </c>
      <c r="I28" s="7">
        <v>0.375</v>
      </c>
      <c r="J28" s="7">
        <f xml:space="preserve"> 1 - Table3[[#This Row],[Phon_Similarity]]</f>
        <v>0.74399999999999999</v>
      </c>
      <c r="K28" s="7">
        <f xml:space="preserve"> 1- Table3[[#This Row],[Orth_Similarity]]</f>
        <v>0.625</v>
      </c>
      <c r="L28" s="8">
        <v>4</v>
      </c>
      <c r="M28" s="8">
        <v>6</v>
      </c>
      <c r="N28" s="8">
        <v>6</v>
      </c>
      <c r="O28" s="8">
        <v>6</v>
      </c>
      <c r="P28" s="8">
        <v>4</v>
      </c>
      <c r="Q28" s="8">
        <v>2</v>
      </c>
      <c r="R28" s="8" t="s">
        <v>23</v>
      </c>
      <c r="S28" s="7">
        <v>3.1492599999999999</v>
      </c>
      <c r="T28" s="7">
        <v>4.2270868907776498</v>
      </c>
      <c r="U28" s="7">
        <v>0</v>
      </c>
      <c r="V28" s="7">
        <v>0</v>
      </c>
      <c r="W28" s="7">
        <v>100</v>
      </c>
      <c r="X28" s="7">
        <v>1.65</v>
      </c>
    </row>
    <row r="29" spans="1:24" x14ac:dyDescent="0.3">
      <c r="A29" s="25"/>
      <c r="B29" s="4" t="s">
        <v>143</v>
      </c>
      <c r="C29" s="4" t="s">
        <v>398</v>
      </c>
      <c r="D29" s="4" t="s">
        <v>641</v>
      </c>
      <c r="E29" s="4" t="s">
        <v>874</v>
      </c>
      <c r="F29" s="4" t="s">
        <v>1117</v>
      </c>
      <c r="G29" s="4" t="s">
        <v>1410</v>
      </c>
      <c r="H29" s="7">
        <v>0.26792452830188684</v>
      </c>
      <c r="I29" s="7">
        <v>5.2631578947368474E-2</v>
      </c>
      <c r="J29" s="7">
        <f xml:space="preserve"> 1 - Table3[[#This Row],[Phon_Similarity]]</f>
        <v>0.73207547169811316</v>
      </c>
      <c r="K29" s="7">
        <f xml:space="preserve"> 1- Table3[[#This Row],[Orth_Similarity]]</f>
        <v>0.94736842105263153</v>
      </c>
      <c r="L29" s="8">
        <v>1</v>
      </c>
      <c r="M29" s="8">
        <v>6</v>
      </c>
      <c r="N29" s="8">
        <v>5</v>
      </c>
      <c r="O29" s="8">
        <v>6</v>
      </c>
      <c r="P29" s="8">
        <v>4</v>
      </c>
      <c r="Q29" s="8">
        <v>3</v>
      </c>
      <c r="R29" s="8" t="s">
        <v>23</v>
      </c>
      <c r="S29" s="7">
        <v>3.764138</v>
      </c>
      <c r="T29" s="7">
        <v>3.5488252560464559</v>
      </c>
      <c r="U29" s="7">
        <v>5.5609999999999999</v>
      </c>
      <c r="V29" s="7">
        <v>0</v>
      </c>
      <c r="W29" s="7">
        <v>100</v>
      </c>
      <c r="X29" s="7">
        <v>3.32</v>
      </c>
    </row>
    <row r="30" spans="1:24" x14ac:dyDescent="0.3">
      <c r="A30" s="25"/>
      <c r="B30" s="4" t="s">
        <v>132</v>
      </c>
      <c r="C30" s="4" t="s">
        <v>387</v>
      </c>
      <c r="D30" s="4" t="s">
        <v>631</v>
      </c>
      <c r="E30" s="4" t="s">
        <v>864</v>
      </c>
      <c r="F30" s="4" t="s">
        <v>1107</v>
      </c>
      <c r="G30" s="4" t="s">
        <v>1286</v>
      </c>
      <c r="H30" s="7">
        <v>0.27</v>
      </c>
      <c r="I30" s="7">
        <v>0.15000000000000002</v>
      </c>
      <c r="J30" s="7">
        <f xml:space="preserve"> 1 - Table3[[#This Row],[Phon_Similarity]]</f>
        <v>0.73</v>
      </c>
      <c r="K30" s="7">
        <f xml:space="preserve"> 1- Table3[[#This Row],[Orth_Similarity]]</f>
        <v>0.85</v>
      </c>
      <c r="L30" s="8">
        <v>2</v>
      </c>
      <c r="M30" s="8">
        <v>4</v>
      </c>
      <c r="N30" s="8">
        <v>4</v>
      </c>
      <c r="O30" s="8">
        <v>4</v>
      </c>
      <c r="P30" s="8">
        <v>3</v>
      </c>
      <c r="Q30" s="8">
        <v>2</v>
      </c>
      <c r="R30" s="8" t="s">
        <v>22</v>
      </c>
      <c r="S30" s="7">
        <v>3.5967039999999999</v>
      </c>
      <c r="T30" s="7">
        <v>3.5793971613482078</v>
      </c>
      <c r="U30" s="7">
        <v>5.875</v>
      </c>
      <c r="V30" s="7">
        <v>0.33757642300000001</v>
      </c>
      <c r="W30" s="7">
        <v>94.949494950000002</v>
      </c>
      <c r="X30" s="7">
        <v>1.82</v>
      </c>
    </row>
    <row r="31" spans="1:24" x14ac:dyDescent="0.3">
      <c r="A31" s="25"/>
      <c r="B31" s="4" t="s">
        <v>78</v>
      </c>
      <c r="C31" s="4" t="s">
        <v>333</v>
      </c>
      <c r="D31" s="4" t="s">
        <v>586</v>
      </c>
      <c r="E31" s="4" t="s">
        <v>810</v>
      </c>
      <c r="F31" s="4" t="s">
        <v>1053</v>
      </c>
      <c r="G31" s="4" t="s">
        <v>1289</v>
      </c>
      <c r="H31" s="7">
        <v>0.27017543859649118</v>
      </c>
      <c r="I31" s="7">
        <v>0</v>
      </c>
      <c r="J31" s="7">
        <f xml:space="preserve"> 1 - Table3[[#This Row],[Phon_Similarity]]</f>
        <v>0.72982456140350882</v>
      </c>
      <c r="K31" s="7">
        <f xml:space="preserve"> 1- Table3[[#This Row],[Orth_Similarity]]</f>
        <v>1</v>
      </c>
      <c r="L31" s="8">
        <v>1</v>
      </c>
      <c r="M31" s="8">
        <v>5</v>
      </c>
      <c r="N31" s="8">
        <v>5</v>
      </c>
      <c r="O31" s="8">
        <v>5</v>
      </c>
      <c r="P31" s="8">
        <v>4</v>
      </c>
      <c r="Q31" s="8">
        <v>2</v>
      </c>
      <c r="R31" s="8" t="s">
        <v>23</v>
      </c>
      <c r="S31" s="7">
        <v>4.7729379999999999</v>
      </c>
      <c r="T31" s="7">
        <v>4.2888001578533075</v>
      </c>
      <c r="U31" s="7">
        <v>5.38</v>
      </c>
      <c r="V31" s="7">
        <v>0.36592365100000002</v>
      </c>
      <c r="W31" s="7">
        <v>93</v>
      </c>
      <c r="X31" s="7">
        <v>2.67</v>
      </c>
    </row>
    <row r="32" spans="1:24" x14ac:dyDescent="0.3">
      <c r="A32" s="25"/>
      <c r="B32" s="4" t="s">
        <v>144</v>
      </c>
      <c r="C32" s="4" t="s">
        <v>399</v>
      </c>
      <c r="D32" s="4" t="s">
        <v>642</v>
      </c>
      <c r="E32" s="4" t="s">
        <v>875</v>
      </c>
      <c r="F32" s="4" t="s">
        <v>1118</v>
      </c>
      <c r="G32" s="4" t="s">
        <v>983</v>
      </c>
      <c r="H32" s="7">
        <v>0.27659574468085102</v>
      </c>
      <c r="I32" s="7">
        <v>0.11111111111111116</v>
      </c>
      <c r="J32" s="7">
        <f xml:space="preserve"> 1 - Table3[[#This Row],[Phon_Similarity]]</f>
        <v>0.72340425531914898</v>
      </c>
      <c r="K32" s="7">
        <f xml:space="preserve"> 1- Table3[[#This Row],[Orth_Similarity]]</f>
        <v>0.88888888888888884</v>
      </c>
      <c r="L32" s="8">
        <v>2</v>
      </c>
      <c r="M32" s="8">
        <v>4</v>
      </c>
      <c r="N32" s="8">
        <v>6</v>
      </c>
      <c r="O32" s="8">
        <v>4</v>
      </c>
      <c r="P32" s="8">
        <v>4</v>
      </c>
      <c r="Q32" s="8">
        <v>2</v>
      </c>
      <c r="R32" s="8" t="s">
        <v>23</v>
      </c>
      <c r="S32" s="7">
        <v>4.5203699999999998</v>
      </c>
      <c r="T32" s="7">
        <v>4.5012365843529905</v>
      </c>
      <c r="U32" s="7">
        <v>6.306</v>
      </c>
      <c r="V32" s="7">
        <v>0</v>
      </c>
      <c r="W32" s="7">
        <v>100</v>
      </c>
      <c r="X32" s="7">
        <v>2.76</v>
      </c>
    </row>
    <row r="33" spans="1:24" x14ac:dyDescent="0.3">
      <c r="A33" s="25"/>
      <c r="B33" s="4" t="s">
        <v>165</v>
      </c>
      <c r="C33" s="4" t="s">
        <v>420</v>
      </c>
      <c r="D33" s="4" t="s">
        <v>660</v>
      </c>
      <c r="E33" s="4" t="s">
        <v>896</v>
      </c>
      <c r="F33" s="4" t="s">
        <v>1139</v>
      </c>
      <c r="G33" s="4" t="s">
        <v>1285</v>
      </c>
      <c r="H33" s="7">
        <v>0.27659574468085102</v>
      </c>
      <c r="I33" s="7">
        <v>0.19259259259259254</v>
      </c>
      <c r="J33" s="7">
        <f xml:space="preserve"> 1 - Table3[[#This Row],[Phon_Similarity]]</f>
        <v>0.72340425531914898</v>
      </c>
      <c r="K33" s="7">
        <f xml:space="preserve"> 1- Table3[[#This Row],[Orth_Similarity]]</f>
        <v>0.80740740740740746</v>
      </c>
      <c r="L33" s="8">
        <v>1</v>
      </c>
      <c r="M33" s="8">
        <v>5</v>
      </c>
      <c r="N33" s="8">
        <v>5</v>
      </c>
      <c r="O33" s="8">
        <v>5</v>
      </c>
      <c r="P33" s="8">
        <v>5</v>
      </c>
      <c r="Q33" s="8">
        <v>2</v>
      </c>
      <c r="R33" s="8" t="s">
        <v>23</v>
      </c>
      <c r="S33" s="7">
        <v>3.106163</v>
      </c>
      <c r="T33" s="7">
        <v>3.6922473983487691</v>
      </c>
      <c r="U33" s="7">
        <v>0</v>
      </c>
      <c r="V33" s="7">
        <v>0</v>
      </c>
      <c r="W33" s="7">
        <v>100</v>
      </c>
      <c r="X33" s="7">
        <v>2.6464646460000001</v>
      </c>
    </row>
    <row r="34" spans="1:24" x14ac:dyDescent="0.3">
      <c r="A34" s="25"/>
      <c r="B34" s="4" t="s">
        <v>154</v>
      </c>
      <c r="C34" s="4" t="s">
        <v>409</v>
      </c>
      <c r="D34" s="4" t="s">
        <v>409</v>
      </c>
      <c r="E34" s="4" t="s">
        <v>885</v>
      </c>
      <c r="F34" s="4" t="s">
        <v>1128</v>
      </c>
      <c r="G34" s="4" t="s">
        <v>1291</v>
      </c>
      <c r="H34" s="7">
        <v>0.28800000000000003</v>
      </c>
      <c r="I34" s="7">
        <v>0.4375</v>
      </c>
      <c r="J34" s="7">
        <f xml:space="preserve"> 1 - Table3[[#This Row],[Phon_Similarity]]</f>
        <v>0.71199999999999997</v>
      </c>
      <c r="K34" s="7">
        <f xml:space="preserve"> 1- Table3[[#This Row],[Orth_Similarity]]</f>
        <v>0.5625</v>
      </c>
      <c r="L34" s="8">
        <v>6</v>
      </c>
      <c r="M34" s="8">
        <v>5</v>
      </c>
      <c r="N34" s="8">
        <v>7</v>
      </c>
      <c r="O34" s="8">
        <v>5</v>
      </c>
      <c r="P34" s="8">
        <v>5</v>
      </c>
      <c r="Q34" s="8">
        <v>3</v>
      </c>
      <c r="R34" s="8" t="s">
        <v>23</v>
      </c>
      <c r="S34" s="7">
        <v>3.2150609999999999</v>
      </c>
      <c r="T34" s="7">
        <v>3.1842864426950346</v>
      </c>
      <c r="U34" s="7">
        <v>5.7460000000000004</v>
      </c>
      <c r="V34" s="7">
        <v>0</v>
      </c>
      <c r="W34" s="7">
        <v>100</v>
      </c>
      <c r="X34" s="7">
        <v>2.73</v>
      </c>
    </row>
    <row r="35" spans="1:24" x14ac:dyDescent="0.3">
      <c r="A35" s="25"/>
      <c r="B35" s="4" t="s">
        <v>220</v>
      </c>
      <c r="C35" s="4" t="s">
        <v>475</v>
      </c>
      <c r="D35" s="4" t="s">
        <v>710</v>
      </c>
      <c r="E35" s="4" t="s">
        <v>950</v>
      </c>
      <c r="F35" s="4" t="s">
        <v>1194</v>
      </c>
      <c r="G35" s="4" t="s">
        <v>1286</v>
      </c>
      <c r="H35" s="7">
        <v>0.30212765957446808</v>
      </c>
      <c r="I35" s="7">
        <v>0.24444444444444446</v>
      </c>
      <c r="J35" s="7">
        <f xml:space="preserve"> 1 - Table3[[#This Row],[Phon_Similarity]]</f>
        <v>0.69787234042553192</v>
      </c>
      <c r="K35" s="7">
        <f xml:space="preserve"> 1- Table3[[#This Row],[Orth_Similarity]]</f>
        <v>0.75555555555555554</v>
      </c>
      <c r="L35" s="8">
        <v>3</v>
      </c>
      <c r="M35" s="8">
        <v>6</v>
      </c>
      <c r="N35" s="8">
        <v>4</v>
      </c>
      <c r="O35" s="8">
        <v>6</v>
      </c>
      <c r="P35" s="8">
        <v>4</v>
      </c>
      <c r="Q35" s="8">
        <v>3</v>
      </c>
      <c r="R35" s="8" t="s">
        <v>22</v>
      </c>
      <c r="S35" s="7">
        <v>4.5640790000000004</v>
      </c>
      <c r="T35" s="7">
        <v>4.1250033926277592</v>
      </c>
      <c r="U35" s="7">
        <v>0</v>
      </c>
      <c r="V35" s="7">
        <v>0.40217919000000002</v>
      </c>
      <c r="W35" s="7">
        <v>92</v>
      </c>
      <c r="X35" s="7">
        <v>2.04</v>
      </c>
    </row>
    <row r="36" spans="1:24" x14ac:dyDescent="0.3">
      <c r="A36" s="25"/>
      <c r="B36" s="4" t="s">
        <v>218</v>
      </c>
      <c r="C36" s="4" t="s">
        <v>473</v>
      </c>
      <c r="D36" s="4" t="s">
        <v>708</v>
      </c>
      <c r="E36" s="4" t="s">
        <v>948</v>
      </c>
      <c r="F36" s="4" t="s">
        <v>1192</v>
      </c>
      <c r="G36" s="4" t="s">
        <v>1289</v>
      </c>
      <c r="H36" s="7">
        <v>0.31111111111111112</v>
      </c>
      <c r="I36" s="7">
        <v>0.13</v>
      </c>
      <c r="J36" s="7">
        <f xml:space="preserve"> 1 - Table3[[#This Row],[Phon_Similarity]]</f>
        <v>0.68888888888888888</v>
      </c>
      <c r="K36" s="7">
        <f xml:space="preserve"> 1- Table3[[#This Row],[Orth_Similarity]]</f>
        <v>0.87</v>
      </c>
      <c r="L36" s="8">
        <v>2</v>
      </c>
      <c r="M36" s="8">
        <v>4</v>
      </c>
      <c r="N36" s="8">
        <v>4</v>
      </c>
      <c r="O36" s="8">
        <v>4</v>
      </c>
      <c r="P36" s="8">
        <v>4</v>
      </c>
      <c r="Q36" s="8">
        <v>2</v>
      </c>
      <c r="R36" s="8" t="s">
        <v>23</v>
      </c>
      <c r="S36" s="7">
        <v>4.1220039999999996</v>
      </c>
      <c r="T36" s="7">
        <v>5.2902719125670199</v>
      </c>
      <c r="U36" s="7">
        <v>6.8</v>
      </c>
      <c r="V36" s="7">
        <v>0.28639695700000001</v>
      </c>
      <c r="W36" s="7">
        <v>95</v>
      </c>
      <c r="X36" s="7">
        <v>2.57</v>
      </c>
    </row>
    <row r="37" spans="1:24" x14ac:dyDescent="0.3">
      <c r="A37" s="25"/>
      <c r="B37" s="4" t="s">
        <v>288</v>
      </c>
      <c r="C37" s="4" t="s">
        <v>543</v>
      </c>
      <c r="D37" s="4" t="s">
        <v>772</v>
      </c>
      <c r="E37" s="4" t="s">
        <v>1010</v>
      </c>
      <c r="F37" s="4" t="s">
        <v>1258</v>
      </c>
      <c r="G37" s="4" t="s">
        <v>1288</v>
      </c>
      <c r="H37" s="7">
        <v>0.34328358208955223</v>
      </c>
      <c r="I37" s="7">
        <v>0.34328358208955223</v>
      </c>
      <c r="J37" s="7">
        <f xml:space="preserve"> 1 - Table3[[#This Row],[Phon_Similarity]]</f>
        <v>0.65671641791044777</v>
      </c>
      <c r="K37" s="7">
        <f xml:space="preserve"> 1- Table3[[#This Row],[Orth_Similarity]]</f>
        <v>0.65671641791044777</v>
      </c>
      <c r="L37" s="8">
        <v>5</v>
      </c>
      <c r="M37" s="8">
        <v>7</v>
      </c>
      <c r="N37" s="8">
        <v>6</v>
      </c>
      <c r="O37" s="8">
        <v>7</v>
      </c>
      <c r="P37" s="8">
        <v>6</v>
      </c>
      <c r="Q37" s="8">
        <v>2</v>
      </c>
      <c r="R37" s="8" t="s">
        <v>24</v>
      </c>
      <c r="S37" s="7">
        <v>3.7847710000000001</v>
      </c>
      <c r="T37" s="7">
        <v>4.2149071900162491</v>
      </c>
      <c r="U37" s="7">
        <v>0</v>
      </c>
      <c r="V37" s="7">
        <v>0.141440543</v>
      </c>
      <c r="W37" s="7">
        <v>98</v>
      </c>
      <c r="X37" s="7">
        <v>1.89</v>
      </c>
    </row>
    <row r="38" spans="1:24" x14ac:dyDescent="0.3">
      <c r="A38" s="25"/>
      <c r="B38" s="4" t="s">
        <v>61</v>
      </c>
      <c r="C38" s="4" t="s">
        <v>316</v>
      </c>
      <c r="D38" s="4" t="s">
        <v>571</v>
      </c>
      <c r="E38" s="4" t="s">
        <v>795</v>
      </c>
      <c r="F38" s="4" t="s">
        <v>1036</v>
      </c>
      <c r="G38" s="4" t="s">
        <v>1286</v>
      </c>
      <c r="H38" s="7">
        <v>0.34468085106382984</v>
      </c>
      <c r="I38" s="7">
        <v>0.44680851063829785</v>
      </c>
      <c r="J38" s="7">
        <f xml:space="preserve"> 1 - Table3[[#This Row],[Phon_Similarity]]</f>
        <v>0.65531914893617016</v>
      </c>
      <c r="K38" s="7">
        <f xml:space="preserve"> 1- Table3[[#This Row],[Orth_Similarity]]</f>
        <v>0.55319148936170215</v>
      </c>
      <c r="L38" s="8">
        <v>4</v>
      </c>
      <c r="M38" s="8">
        <v>5</v>
      </c>
      <c r="N38" s="8">
        <v>4</v>
      </c>
      <c r="O38" s="8">
        <v>5</v>
      </c>
      <c r="P38" s="8">
        <v>3</v>
      </c>
      <c r="Q38" s="8">
        <v>3</v>
      </c>
      <c r="R38" s="8" t="s">
        <v>22</v>
      </c>
      <c r="S38" s="7">
        <v>4.3070940000000002</v>
      </c>
      <c r="T38" s="7">
        <v>4.7184939204313601</v>
      </c>
      <c r="U38" s="7">
        <v>6.39</v>
      </c>
      <c r="V38" s="7">
        <v>0</v>
      </c>
      <c r="W38" s="7">
        <v>100</v>
      </c>
      <c r="X38" s="7">
        <v>1.61</v>
      </c>
    </row>
    <row r="39" spans="1:24" x14ac:dyDescent="0.3">
      <c r="A39" s="25"/>
      <c r="B39" s="4" t="s">
        <v>224</v>
      </c>
      <c r="C39" s="4" t="s">
        <v>479</v>
      </c>
      <c r="D39" s="4" t="s">
        <v>714</v>
      </c>
      <c r="E39" s="4" t="s">
        <v>953</v>
      </c>
      <c r="F39" s="4" t="s">
        <v>1197</v>
      </c>
      <c r="G39" s="4" t="s">
        <v>1285</v>
      </c>
      <c r="H39" s="7">
        <v>0.34468085106382984</v>
      </c>
      <c r="I39" s="7">
        <v>0.4042553191489362</v>
      </c>
      <c r="J39" s="7">
        <f xml:space="preserve"> 1 - Table3[[#This Row],[Phon_Similarity]]</f>
        <v>0.65531914893617016</v>
      </c>
      <c r="K39" s="7">
        <f xml:space="preserve"> 1- Table3[[#This Row],[Orth_Similarity]]</f>
        <v>0.5957446808510638</v>
      </c>
      <c r="L39" s="8">
        <v>4</v>
      </c>
      <c r="M39" s="8">
        <v>5</v>
      </c>
      <c r="N39" s="8">
        <v>4</v>
      </c>
      <c r="O39" s="8">
        <v>5</v>
      </c>
      <c r="P39" s="8">
        <v>4</v>
      </c>
      <c r="Q39" s="8">
        <v>2</v>
      </c>
      <c r="R39" s="8" t="s">
        <v>22</v>
      </c>
      <c r="S39" s="7">
        <v>4.0459230000000002</v>
      </c>
      <c r="T39" s="7">
        <v>3.983761261582953</v>
      </c>
      <c r="U39" s="7">
        <v>6.3330000000000002</v>
      </c>
      <c r="V39" s="7">
        <v>0</v>
      </c>
      <c r="W39" s="7">
        <v>100</v>
      </c>
      <c r="X39" s="7">
        <v>2.63</v>
      </c>
    </row>
    <row r="40" spans="1:24" x14ac:dyDescent="0.3">
      <c r="A40" s="25"/>
      <c r="B40" s="4" t="s">
        <v>203</v>
      </c>
      <c r="C40" s="4" t="s">
        <v>458</v>
      </c>
      <c r="D40" s="4" t="s">
        <v>693</v>
      </c>
      <c r="E40" s="4" t="s">
        <v>934</v>
      </c>
      <c r="F40" s="4" t="s">
        <v>1177</v>
      </c>
      <c r="G40" s="4" t="s">
        <v>983</v>
      </c>
      <c r="H40" s="7">
        <v>0.36170212765957444</v>
      </c>
      <c r="I40" s="7">
        <v>5.0000000000000044E-2</v>
      </c>
      <c r="J40" s="7">
        <f xml:space="preserve"> 1 - Table3[[#This Row],[Phon_Similarity]]</f>
        <v>0.63829787234042556</v>
      </c>
      <c r="K40" s="7">
        <f xml:space="preserve"> 1- Table3[[#This Row],[Orth_Similarity]]</f>
        <v>0.95</v>
      </c>
      <c r="L40" s="8">
        <v>1</v>
      </c>
      <c r="M40" s="8">
        <v>4</v>
      </c>
      <c r="N40" s="8">
        <v>4</v>
      </c>
      <c r="O40" s="8">
        <v>4</v>
      </c>
      <c r="P40" s="8">
        <v>3</v>
      </c>
      <c r="Q40" s="8">
        <v>2</v>
      </c>
      <c r="R40" s="8" t="s">
        <v>22</v>
      </c>
      <c r="S40" s="7">
        <v>4.7773190000000003</v>
      </c>
      <c r="T40" s="7">
        <v>4.643855150575126</v>
      </c>
      <c r="U40" s="7">
        <v>0</v>
      </c>
      <c r="V40" s="7">
        <v>0.24229218899999999</v>
      </c>
      <c r="W40" s="7">
        <v>96</v>
      </c>
      <c r="X40" s="7">
        <v>2.44</v>
      </c>
    </row>
    <row r="41" spans="1:24" x14ac:dyDescent="0.3">
      <c r="A41" s="25"/>
      <c r="B41" s="4" t="s">
        <v>306</v>
      </c>
      <c r="C41" s="4" t="s">
        <v>561</v>
      </c>
      <c r="D41" s="4" t="s">
        <v>789</v>
      </c>
      <c r="E41" s="4" t="s">
        <v>561</v>
      </c>
      <c r="F41" s="4" t="s">
        <v>1276</v>
      </c>
      <c r="G41" s="4" t="s">
        <v>1290</v>
      </c>
      <c r="H41" s="7">
        <v>0.36842105263157898</v>
      </c>
      <c r="I41" s="7">
        <v>0</v>
      </c>
      <c r="J41" s="7">
        <f xml:space="preserve"> 1 - Table3[[#This Row],[Phon_Similarity]]</f>
        <v>0.63157894736842102</v>
      </c>
      <c r="K41" s="7">
        <f xml:space="preserve"> 1- Table3[[#This Row],[Orth_Similarity]]</f>
        <v>1</v>
      </c>
      <c r="L41" s="8">
        <v>0</v>
      </c>
      <c r="M41" s="8">
        <v>5</v>
      </c>
      <c r="N41" s="8">
        <v>5</v>
      </c>
      <c r="O41" s="8">
        <v>5</v>
      </c>
      <c r="P41" s="8">
        <v>5</v>
      </c>
      <c r="Q41" s="8">
        <v>2</v>
      </c>
      <c r="R41" s="8" t="s">
        <v>23</v>
      </c>
      <c r="S41" s="7">
        <v>3.9864229999999998</v>
      </c>
      <c r="T41" s="7">
        <v>4.0928062761539987</v>
      </c>
      <c r="U41" s="7">
        <v>6.0990000000000002</v>
      </c>
      <c r="V41" s="7">
        <v>0</v>
      </c>
      <c r="W41" s="7">
        <v>100</v>
      </c>
      <c r="X41" s="7">
        <v>2.54</v>
      </c>
    </row>
    <row r="42" spans="1:24" x14ac:dyDescent="0.3">
      <c r="A42" s="25"/>
      <c r="B42" s="4" t="s">
        <v>291</v>
      </c>
      <c r="C42" s="4" t="s">
        <v>546</v>
      </c>
      <c r="D42" s="4" t="s">
        <v>775</v>
      </c>
      <c r="E42" s="4" t="s">
        <v>1013</v>
      </c>
      <c r="F42" s="4" t="s">
        <v>1261</v>
      </c>
      <c r="G42" s="4" t="s">
        <v>1288</v>
      </c>
      <c r="H42" s="7">
        <v>0.36875000000000002</v>
      </c>
      <c r="I42" s="7">
        <v>0.35238095238095235</v>
      </c>
      <c r="J42" s="7">
        <f xml:space="preserve"> 1 - Table3[[#This Row],[Phon_Similarity]]</f>
        <v>0.63124999999999998</v>
      </c>
      <c r="K42" s="7">
        <f xml:space="preserve"> 1- Table3[[#This Row],[Orth_Similarity]]</f>
        <v>0.64761904761904765</v>
      </c>
      <c r="L42" s="8">
        <v>4</v>
      </c>
      <c r="M42" s="8">
        <v>7</v>
      </c>
      <c r="N42" s="8">
        <v>6</v>
      </c>
      <c r="O42" s="8">
        <v>7</v>
      </c>
      <c r="P42" s="8">
        <v>5</v>
      </c>
      <c r="Q42" s="8">
        <v>3</v>
      </c>
      <c r="R42" s="8" t="s">
        <v>23</v>
      </c>
      <c r="S42" s="7">
        <v>4.1749049999999999</v>
      </c>
      <c r="T42" s="7">
        <v>4.6444909063628597</v>
      </c>
      <c r="U42" s="7">
        <v>6.0510000000000002</v>
      </c>
      <c r="V42" s="7">
        <v>0</v>
      </c>
      <c r="W42" s="7">
        <v>100</v>
      </c>
      <c r="X42" s="7">
        <v>2.17</v>
      </c>
    </row>
    <row r="43" spans="1:24" x14ac:dyDescent="0.3">
      <c r="A43" s="25"/>
      <c r="B43" s="4" t="s">
        <v>77</v>
      </c>
      <c r="C43" s="4" t="s">
        <v>332</v>
      </c>
      <c r="D43" s="4" t="s">
        <v>585</v>
      </c>
      <c r="E43" s="4" t="s">
        <v>809</v>
      </c>
      <c r="F43" s="4" t="s">
        <v>1052</v>
      </c>
      <c r="G43" s="4" t="s">
        <v>1290</v>
      </c>
      <c r="H43" s="7">
        <v>0.37272727272727268</v>
      </c>
      <c r="I43" s="7">
        <v>0.52156862745098032</v>
      </c>
      <c r="J43" s="7">
        <f xml:space="preserve"> 1 - Table3[[#This Row],[Phon_Similarity]]</f>
        <v>0.62727272727272732</v>
      </c>
      <c r="K43" s="7">
        <f xml:space="preserve"> 1- Table3[[#This Row],[Orth_Similarity]]</f>
        <v>0.47843137254901968</v>
      </c>
      <c r="L43" s="8">
        <v>3</v>
      </c>
      <c r="M43" s="8">
        <v>4</v>
      </c>
      <c r="N43" s="8">
        <v>5</v>
      </c>
      <c r="O43" s="8">
        <v>4</v>
      </c>
      <c r="P43" s="8">
        <v>4</v>
      </c>
      <c r="Q43" s="8">
        <v>2</v>
      </c>
      <c r="R43" s="8" t="s">
        <v>22</v>
      </c>
      <c r="S43" s="7">
        <v>4.1775390000000003</v>
      </c>
      <c r="T43" s="7">
        <v>4.9188940686549341</v>
      </c>
      <c r="U43" s="7">
        <v>6.6130000000000004</v>
      </c>
      <c r="V43" s="7">
        <v>0</v>
      </c>
      <c r="W43" s="7">
        <v>100</v>
      </c>
      <c r="X43" s="7">
        <v>1.71</v>
      </c>
    </row>
    <row r="44" spans="1:24" x14ac:dyDescent="0.3">
      <c r="A44" s="25"/>
      <c r="B44" s="4" t="s">
        <v>254</v>
      </c>
      <c r="C44" s="4" t="s">
        <v>509</v>
      </c>
      <c r="D44" s="4" t="s">
        <v>742</v>
      </c>
      <c r="E44" s="4" t="s">
        <v>980</v>
      </c>
      <c r="F44" s="4" t="s">
        <v>1225</v>
      </c>
      <c r="G44" s="4" t="s">
        <v>1285</v>
      </c>
      <c r="H44" s="7">
        <v>0.37333333333333329</v>
      </c>
      <c r="I44" s="7">
        <v>0.23243243243243239</v>
      </c>
      <c r="J44" s="7">
        <f xml:space="preserve"> 1 - Table3[[#This Row],[Phon_Similarity]]</f>
        <v>0.62666666666666671</v>
      </c>
      <c r="K44" s="7">
        <f xml:space="preserve"> 1- Table3[[#This Row],[Orth_Similarity]]</f>
        <v>0.76756756756756761</v>
      </c>
      <c r="L44" s="8">
        <v>2</v>
      </c>
      <c r="M44" s="8">
        <v>4</v>
      </c>
      <c r="N44" s="8">
        <v>3</v>
      </c>
      <c r="O44" s="8">
        <v>4</v>
      </c>
      <c r="P44" s="8">
        <v>3</v>
      </c>
      <c r="Q44" s="8">
        <v>2</v>
      </c>
      <c r="R44" s="8" t="s">
        <v>22</v>
      </c>
      <c r="S44" s="7">
        <v>4.5861109999999998</v>
      </c>
      <c r="T44" s="7">
        <v>4.8295619402709846</v>
      </c>
      <c r="U44" s="7">
        <v>0</v>
      </c>
      <c r="V44" s="7">
        <v>0</v>
      </c>
      <c r="W44" s="7">
        <v>100</v>
      </c>
      <c r="X44" s="7">
        <v>2.96</v>
      </c>
    </row>
    <row r="45" spans="1:24" x14ac:dyDescent="0.3">
      <c r="A45" s="25"/>
      <c r="B45" s="4" t="s">
        <v>145</v>
      </c>
      <c r="C45" s="4" t="s">
        <v>400</v>
      </c>
      <c r="D45" s="4" t="s">
        <v>643</v>
      </c>
      <c r="E45" s="4" t="s">
        <v>876</v>
      </c>
      <c r="F45" s="4" t="s">
        <v>1119</v>
      </c>
      <c r="G45" s="4" t="s">
        <v>1285</v>
      </c>
      <c r="H45" s="7">
        <v>0.39393939393939392</v>
      </c>
      <c r="I45" s="7">
        <v>0.51515151515151514</v>
      </c>
      <c r="J45" s="7">
        <f xml:space="preserve"> 1 - Table3[[#This Row],[Phon_Similarity]]</f>
        <v>0.60606060606060608</v>
      </c>
      <c r="K45" s="7">
        <f xml:space="preserve"> 1- Table3[[#This Row],[Orth_Similarity]]</f>
        <v>0.48484848484848486</v>
      </c>
      <c r="L45" s="8">
        <v>4</v>
      </c>
      <c r="M45" s="8">
        <v>4</v>
      </c>
      <c r="N45" s="8">
        <v>3</v>
      </c>
      <c r="O45" s="8">
        <v>4</v>
      </c>
      <c r="P45" s="8">
        <v>2</v>
      </c>
      <c r="Q45" s="8">
        <v>2</v>
      </c>
      <c r="R45" s="8" t="s">
        <v>22</v>
      </c>
      <c r="S45" s="7">
        <v>4.1650790000000004</v>
      </c>
      <c r="T45" s="7">
        <v>4.4401069535264508</v>
      </c>
      <c r="U45" s="7">
        <v>6.0229999999999997</v>
      </c>
      <c r="V45" s="7">
        <v>0</v>
      </c>
      <c r="W45" s="7">
        <v>100</v>
      </c>
      <c r="X45" s="7">
        <v>2.65</v>
      </c>
    </row>
    <row r="46" spans="1:24" x14ac:dyDescent="0.3">
      <c r="A46" s="25"/>
      <c r="B46" s="4" t="s">
        <v>247</v>
      </c>
      <c r="C46" s="4" t="s">
        <v>502</v>
      </c>
      <c r="D46" s="4" t="s">
        <v>736</v>
      </c>
      <c r="E46" s="4" t="s">
        <v>974</v>
      </c>
      <c r="F46" s="4" t="s">
        <v>1218</v>
      </c>
      <c r="G46" s="4" t="s">
        <v>1296</v>
      </c>
      <c r="H46" s="7">
        <v>0.39393939393939392</v>
      </c>
      <c r="I46" s="7">
        <v>9.9999999999999978E-2</v>
      </c>
      <c r="J46" s="7">
        <f xml:space="preserve"> 1 - Table3[[#This Row],[Phon_Similarity]]</f>
        <v>0.60606060606060608</v>
      </c>
      <c r="K46" s="7">
        <f xml:space="preserve"> 1- Table3[[#This Row],[Orth_Similarity]]</f>
        <v>0.9</v>
      </c>
      <c r="L46" s="8">
        <v>1</v>
      </c>
      <c r="M46" s="8">
        <v>4</v>
      </c>
      <c r="N46" s="8">
        <v>4</v>
      </c>
      <c r="O46" s="8">
        <v>4</v>
      </c>
      <c r="P46" s="8">
        <v>4</v>
      </c>
      <c r="Q46" s="8">
        <v>3</v>
      </c>
      <c r="R46" s="8" t="s">
        <v>22</v>
      </c>
      <c r="S46" s="7">
        <v>3.759252</v>
      </c>
      <c r="T46" s="7">
        <v>3.6679385645736549</v>
      </c>
      <c r="U46" s="7">
        <v>5.1289999999999996</v>
      </c>
      <c r="V46" s="7">
        <v>0.14372616999999999</v>
      </c>
      <c r="W46" s="7">
        <v>97.959183670000002</v>
      </c>
      <c r="X46" s="7">
        <v>1.33</v>
      </c>
    </row>
    <row r="47" spans="1:24" x14ac:dyDescent="0.3">
      <c r="A47" s="25"/>
      <c r="B47" s="4" t="s">
        <v>113</v>
      </c>
      <c r="C47" s="4" t="s">
        <v>368</v>
      </c>
      <c r="D47" s="4" t="s">
        <v>616</v>
      </c>
      <c r="E47" s="4" t="s">
        <v>845</v>
      </c>
      <c r="F47" s="4" t="s">
        <v>1088</v>
      </c>
      <c r="G47" s="4" t="s">
        <v>983</v>
      </c>
      <c r="H47" s="7">
        <v>0.41176470588235292</v>
      </c>
      <c r="I47" s="7">
        <v>0.42978723404255315</v>
      </c>
      <c r="J47" s="7">
        <f xml:space="preserve"> 1 - Table3[[#This Row],[Phon_Similarity]]</f>
        <v>0.58823529411764708</v>
      </c>
      <c r="K47" s="7">
        <f xml:space="preserve"> 1- Table3[[#This Row],[Orth_Similarity]]</f>
        <v>0.57021276595744685</v>
      </c>
      <c r="L47" s="8">
        <v>4</v>
      </c>
      <c r="M47" s="8">
        <v>4</v>
      </c>
      <c r="N47" s="8">
        <v>5</v>
      </c>
      <c r="O47" s="8">
        <v>4</v>
      </c>
      <c r="P47" s="8">
        <v>4</v>
      </c>
      <c r="Q47" s="8">
        <v>2</v>
      </c>
      <c r="R47" s="8" t="s">
        <v>22</v>
      </c>
      <c r="S47" s="7">
        <v>4.6371859999999998</v>
      </c>
      <c r="T47" s="7">
        <v>4.3019020408022106</v>
      </c>
      <c r="U47" s="7">
        <v>5.8010000000000002</v>
      </c>
      <c r="V47" s="7">
        <v>0</v>
      </c>
      <c r="W47" s="7">
        <v>100</v>
      </c>
      <c r="X47" s="7">
        <v>1.96</v>
      </c>
    </row>
    <row r="48" spans="1:24" x14ac:dyDescent="0.3">
      <c r="A48" s="25"/>
      <c r="B48" s="4" t="s">
        <v>193</v>
      </c>
      <c r="C48" s="4" t="s">
        <v>448</v>
      </c>
      <c r="D48" s="4" t="s">
        <v>684</v>
      </c>
      <c r="E48" s="4" t="s">
        <v>924</v>
      </c>
      <c r="F48" s="4" t="s">
        <v>1167</v>
      </c>
      <c r="G48" s="4" t="s">
        <v>1290</v>
      </c>
      <c r="H48" s="7">
        <v>0.42500000000000004</v>
      </c>
      <c r="I48" s="7">
        <v>0.41234567901234565</v>
      </c>
      <c r="J48" s="7">
        <f xml:space="preserve"> 1 - Table3[[#This Row],[Phon_Similarity]]</f>
        <v>0.57499999999999996</v>
      </c>
      <c r="K48" s="7">
        <f xml:space="preserve"> 1- Table3[[#This Row],[Orth_Similarity]]</f>
        <v>0.58765432098765435</v>
      </c>
      <c r="L48" s="8">
        <v>6</v>
      </c>
      <c r="M48" s="8">
        <v>7</v>
      </c>
      <c r="N48" s="8">
        <v>8</v>
      </c>
      <c r="O48" s="8">
        <v>7</v>
      </c>
      <c r="P48" s="8">
        <v>5</v>
      </c>
      <c r="Q48" s="8">
        <v>3</v>
      </c>
      <c r="R48" s="8" t="s">
        <v>23</v>
      </c>
      <c r="S48" s="7">
        <v>3.3827590000000001</v>
      </c>
      <c r="T48" s="7">
        <v>3.9155821122189511</v>
      </c>
      <c r="U48" s="7">
        <v>6.2539999999999996</v>
      </c>
      <c r="V48" s="7">
        <v>0</v>
      </c>
      <c r="W48" s="7">
        <v>100</v>
      </c>
      <c r="X48" s="7">
        <v>1.6</v>
      </c>
    </row>
    <row r="49" spans="1:24" x14ac:dyDescent="0.3">
      <c r="A49" s="25"/>
      <c r="B49" s="4" t="s">
        <v>126</v>
      </c>
      <c r="C49" s="4" t="s">
        <v>381</v>
      </c>
      <c r="D49" s="4" t="s">
        <v>625</v>
      </c>
      <c r="E49" s="4" t="s">
        <v>858</v>
      </c>
      <c r="F49" s="4" t="s">
        <v>1101</v>
      </c>
      <c r="G49" s="4" t="s">
        <v>1294</v>
      </c>
      <c r="H49" s="7">
        <v>0.43255813953488376</v>
      </c>
      <c r="I49" s="7">
        <v>0.31999999999999995</v>
      </c>
      <c r="J49" s="7">
        <f xml:space="preserve"> 1 - Table3[[#This Row],[Phon_Similarity]]</f>
        <v>0.56744186046511624</v>
      </c>
      <c r="K49" s="7">
        <f xml:space="preserve"> 1- Table3[[#This Row],[Orth_Similarity]]</f>
        <v>0.68</v>
      </c>
      <c r="L49" s="8">
        <v>5</v>
      </c>
      <c r="M49" s="8">
        <v>7</v>
      </c>
      <c r="N49" s="8">
        <v>3</v>
      </c>
      <c r="O49" s="8">
        <v>7</v>
      </c>
      <c r="P49" s="8">
        <v>3</v>
      </c>
      <c r="Q49" s="8">
        <v>2</v>
      </c>
      <c r="R49" s="8" t="s">
        <v>22</v>
      </c>
      <c r="S49" s="7">
        <v>4.1227489999999998</v>
      </c>
      <c r="T49" s="7">
        <v>4.7417623958971316</v>
      </c>
      <c r="U49" s="7">
        <v>6.3040000000000003</v>
      </c>
      <c r="V49" s="7">
        <v>0</v>
      </c>
      <c r="W49" s="7">
        <v>100</v>
      </c>
      <c r="X49" s="7">
        <v>2.9</v>
      </c>
    </row>
    <row r="50" spans="1:24" x14ac:dyDescent="0.3">
      <c r="A50" s="25"/>
      <c r="B50" s="4" t="s">
        <v>140</v>
      </c>
      <c r="C50" s="4" t="s">
        <v>395</v>
      </c>
      <c r="D50" s="4" t="s">
        <v>638</v>
      </c>
      <c r="E50" s="4" t="s">
        <v>871</v>
      </c>
      <c r="F50" s="4" t="s">
        <v>1114</v>
      </c>
      <c r="G50" s="4" t="s">
        <v>1287</v>
      </c>
      <c r="H50" s="7">
        <v>0.43783783783783781</v>
      </c>
      <c r="I50" s="7">
        <v>0.32972972972972969</v>
      </c>
      <c r="J50" s="7">
        <f xml:space="preserve"> 1 - Table3[[#This Row],[Phon_Similarity]]</f>
        <v>0.56216216216216219</v>
      </c>
      <c r="K50" s="7">
        <f xml:space="preserve"> 1- Table3[[#This Row],[Orth_Similarity]]</f>
        <v>0.67027027027027031</v>
      </c>
      <c r="L50" s="8">
        <v>3</v>
      </c>
      <c r="M50" s="8">
        <v>4</v>
      </c>
      <c r="N50" s="8">
        <v>3</v>
      </c>
      <c r="O50" s="8">
        <v>4</v>
      </c>
      <c r="P50" s="8">
        <v>3</v>
      </c>
      <c r="Q50" s="8">
        <v>3</v>
      </c>
      <c r="R50" s="8" t="s">
        <v>22</v>
      </c>
      <c r="S50" s="7">
        <v>4.0271140000000001</v>
      </c>
      <c r="T50" s="7">
        <v>3.4485521573828617</v>
      </c>
      <c r="U50" s="7">
        <v>6.069</v>
      </c>
      <c r="V50" s="7">
        <v>0</v>
      </c>
      <c r="W50" s="7">
        <v>100</v>
      </c>
      <c r="X50" s="7">
        <v>2.5299999999999998</v>
      </c>
    </row>
    <row r="51" spans="1:24" x14ac:dyDescent="0.3">
      <c r="A51" s="25"/>
      <c r="B51" s="4" t="s">
        <v>198</v>
      </c>
      <c r="C51" s="4" t="s">
        <v>453</v>
      </c>
      <c r="D51" s="4" t="s">
        <v>688</v>
      </c>
      <c r="E51" s="4" t="s">
        <v>929</v>
      </c>
      <c r="F51" s="4" t="s">
        <v>1172</v>
      </c>
      <c r="G51" s="4" t="s">
        <v>1410</v>
      </c>
      <c r="H51" s="7">
        <v>0.43783783783783781</v>
      </c>
      <c r="I51" s="7">
        <v>0.4358974358974359</v>
      </c>
      <c r="J51" s="7">
        <f xml:space="preserve"> 1 - Table3[[#This Row],[Phon_Similarity]]</f>
        <v>0.56216216216216219</v>
      </c>
      <c r="K51" s="7">
        <f xml:space="preserve"> 1- Table3[[#This Row],[Orth_Similarity]]</f>
        <v>0.5641025641025641</v>
      </c>
      <c r="L51" s="8">
        <v>3</v>
      </c>
      <c r="M51" s="8">
        <v>4</v>
      </c>
      <c r="N51" s="8">
        <v>5</v>
      </c>
      <c r="O51" s="8">
        <v>4</v>
      </c>
      <c r="P51" s="8">
        <v>3</v>
      </c>
      <c r="Q51" s="8">
        <v>3</v>
      </c>
      <c r="R51" s="8" t="s">
        <v>22</v>
      </c>
      <c r="S51" s="7">
        <v>4.9144439999999996</v>
      </c>
      <c r="T51" s="7">
        <v>4.6861633846798538</v>
      </c>
      <c r="U51" s="7">
        <v>5.9630000000000001</v>
      </c>
      <c r="V51" s="7">
        <v>0</v>
      </c>
      <c r="W51" s="7">
        <v>100</v>
      </c>
      <c r="X51" s="7">
        <v>2.93</v>
      </c>
    </row>
    <row r="52" spans="1:24" x14ac:dyDescent="0.3">
      <c r="A52" s="25"/>
      <c r="B52" s="4" t="s">
        <v>99</v>
      </c>
      <c r="C52" s="4" t="s">
        <v>354</v>
      </c>
      <c r="D52" s="4" t="s">
        <v>604</v>
      </c>
      <c r="E52" s="4" t="s">
        <v>831</v>
      </c>
      <c r="F52" s="4" t="s">
        <v>1074</v>
      </c>
      <c r="G52" s="4" t="s">
        <v>1293</v>
      </c>
      <c r="H52" s="7">
        <v>0.43999999999999995</v>
      </c>
      <c r="I52" s="7">
        <v>0.38400000000000001</v>
      </c>
      <c r="J52" s="7">
        <f xml:space="preserve"> 1 - Table3[[#This Row],[Phon_Similarity]]</f>
        <v>0.56000000000000005</v>
      </c>
      <c r="K52" s="7">
        <f xml:space="preserve"> 1- Table3[[#This Row],[Orth_Similarity]]</f>
        <v>0.61599999999999999</v>
      </c>
      <c r="L52" s="8">
        <v>4</v>
      </c>
      <c r="M52" s="8">
        <v>6</v>
      </c>
      <c r="N52" s="8">
        <v>4</v>
      </c>
      <c r="O52" s="8">
        <v>6</v>
      </c>
      <c r="P52" s="8">
        <v>4</v>
      </c>
      <c r="Q52" s="8">
        <v>3</v>
      </c>
      <c r="R52" s="8" t="s">
        <v>23</v>
      </c>
      <c r="S52" s="7">
        <v>5.8179309999999997</v>
      </c>
      <c r="T52" s="7">
        <v>5.3974245716235449</v>
      </c>
      <c r="U52" s="7">
        <v>6.1879999999999997</v>
      </c>
      <c r="V52" s="7">
        <v>0.44569317800000002</v>
      </c>
      <c r="W52" s="7">
        <v>90.721649479999996</v>
      </c>
      <c r="X52" s="7">
        <v>3.23</v>
      </c>
    </row>
    <row r="53" spans="1:24" x14ac:dyDescent="0.3">
      <c r="A53" s="25"/>
      <c r="B53" s="4" t="s">
        <v>271</v>
      </c>
      <c r="C53" s="4" t="s">
        <v>526</v>
      </c>
      <c r="D53" s="4" t="s">
        <v>758</v>
      </c>
      <c r="E53" s="4" t="s">
        <v>994</v>
      </c>
      <c r="F53" s="4" t="s">
        <v>1241</v>
      </c>
      <c r="G53" s="4" t="s">
        <v>983</v>
      </c>
      <c r="H53" s="7">
        <v>0.44615384615384612</v>
      </c>
      <c r="I53" s="7">
        <v>0.39076923076923076</v>
      </c>
      <c r="J53" s="7">
        <f xml:space="preserve"> 1 - Table3[[#This Row],[Phon_Similarity]]</f>
        <v>0.55384615384615388</v>
      </c>
      <c r="K53" s="7">
        <f xml:space="preserve"> 1- Table3[[#This Row],[Orth_Similarity]]</f>
        <v>0.60923076923076924</v>
      </c>
      <c r="L53" s="8">
        <v>6</v>
      </c>
      <c r="M53" s="8">
        <v>6</v>
      </c>
      <c r="N53" s="8">
        <v>5</v>
      </c>
      <c r="O53" s="8">
        <v>6</v>
      </c>
      <c r="P53" s="8">
        <v>5</v>
      </c>
      <c r="Q53" s="8">
        <v>2</v>
      </c>
      <c r="R53" s="8" t="s">
        <v>22</v>
      </c>
      <c r="S53" s="7">
        <v>4.0991439999999999</v>
      </c>
      <c r="T53" s="7">
        <v>3.5231049992484156</v>
      </c>
      <c r="U53" s="7">
        <v>5.9089999999999998</v>
      </c>
      <c r="V53" s="7">
        <v>0.28639695700000001</v>
      </c>
      <c r="W53" s="7">
        <v>95</v>
      </c>
      <c r="X53" s="7">
        <v>2.86</v>
      </c>
    </row>
    <row r="54" spans="1:24" x14ac:dyDescent="0.3">
      <c r="A54" s="25"/>
      <c r="B54" s="4" t="s">
        <v>94</v>
      </c>
      <c r="C54" s="4" t="s">
        <v>349</v>
      </c>
      <c r="D54" s="4" t="s">
        <v>599</v>
      </c>
      <c r="E54" s="4" t="s">
        <v>826</v>
      </c>
      <c r="F54" s="4" t="s">
        <v>1069</v>
      </c>
      <c r="G54" s="4" t="s">
        <v>1410</v>
      </c>
      <c r="H54" s="7">
        <v>0.44918032786885242</v>
      </c>
      <c r="I54" s="7">
        <v>0.50588235294117645</v>
      </c>
      <c r="J54" s="7">
        <f xml:space="preserve"> 1 - Table3[[#This Row],[Phon_Similarity]]</f>
        <v>0.55081967213114758</v>
      </c>
      <c r="K54" s="7">
        <f xml:space="preserve"> 1- Table3[[#This Row],[Orth_Similarity]]</f>
        <v>0.49411764705882355</v>
      </c>
      <c r="L54" s="8">
        <v>6</v>
      </c>
      <c r="M54" s="8">
        <v>6</v>
      </c>
      <c r="N54" s="8">
        <v>6</v>
      </c>
      <c r="O54" s="8">
        <v>6</v>
      </c>
      <c r="P54" s="8">
        <v>5</v>
      </c>
      <c r="Q54" s="8">
        <v>3</v>
      </c>
      <c r="R54" s="8" t="s">
        <v>23</v>
      </c>
      <c r="S54" s="7">
        <v>4.5818450000000004</v>
      </c>
      <c r="T54" s="7">
        <v>4.7099621555838196</v>
      </c>
      <c r="U54" s="7">
        <v>6.0620000000000003</v>
      </c>
      <c r="V54" s="7">
        <v>0.194391858</v>
      </c>
      <c r="W54" s="7">
        <v>97</v>
      </c>
      <c r="X54" s="7">
        <v>2.93</v>
      </c>
    </row>
    <row r="55" spans="1:24" x14ac:dyDescent="0.3">
      <c r="A55" s="25"/>
      <c r="B55" s="4" t="s">
        <v>87</v>
      </c>
      <c r="C55" s="4" t="s">
        <v>342</v>
      </c>
      <c r="D55" s="4" t="s">
        <v>592</v>
      </c>
      <c r="E55" s="4" t="s">
        <v>819</v>
      </c>
      <c r="F55" s="4" t="s">
        <v>1062</v>
      </c>
      <c r="G55" s="4" t="s">
        <v>1286</v>
      </c>
      <c r="H55" s="7">
        <v>0.44999999999999996</v>
      </c>
      <c r="I55" s="7">
        <v>0.15555555555555556</v>
      </c>
      <c r="J55" s="7">
        <f xml:space="preserve"> 1 - Table3[[#This Row],[Phon_Similarity]]</f>
        <v>0.55000000000000004</v>
      </c>
      <c r="K55" s="7">
        <f xml:space="preserve"> 1- Table3[[#This Row],[Orth_Similarity]]</f>
        <v>0.84444444444444444</v>
      </c>
      <c r="L55" s="8">
        <v>3</v>
      </c>
      <c r="M55" s="8">
        <v>5</v>
      </c>
      <c r="N55" s="8">
        <v>5</v>
      </c>
      <c r="O55" s="8">
        <v>5</v>
      </c>
      <c r="P55" s="8">
        <v>4</v>
      </c>
      <c r="Q55" s="8">
        <v>2</v>
      </c>
      <c r="R55" s="8" t="s">
        <v>22</v>
      </c>
      <c r="S55" s="7">
        <v>4.1443289999999999</v>
      </c>
      <c r="T55" s="7">
        <v>3.9792630910562838</v>
      </c>
      <c r="U55" s="7">
        <v>6.0549999999999997</v>
      </c>
      <c r="V55" s="7">
        <v>0</v>
      </c>
      <c r="W55" s="7">
        <v>100</v>
      </c>
      <c r="X55" s="7">
        <v>2.58</v>
      </c>
    </row>
    <row r="56" spans="1:24" x14ac:dyDescent="0.3">
      <c r="A56" s="28"/>
      <c r="B56" s="29" t="s">
        <v>230</v>
      </c>
      <c r="C56" s="29" t="s">
        <v>485</v>
      </c>
      <c r="D56" s="29" t="s">
        <v>719</v>
      </c>
      <c r="E56" s="29" t="s">
        <v>958</v>
      </c>
      <c r="F56" s="29" t="s">
        <v>1202</v>
      </c>
      <c r="G56" s="29" t="s">
        <v>983</v>
      </c>
      <c r="H56" s="30">
        <v>0.45517241379310347</v>
      </c>
      <c r="I56" s="30">
        <v>0.45517241379310347</v>
      </c>
      <c r="J56" s="30">
        <f xml:space="preserve"> 1 - Table3[[#This Row],[Phon_Similarity]]</f>
        <v>0.54482758620689653</v>
      </c>
      <c r="K56" s="30">
        <f xml:space="preserve"> 1- Table3[[#This Row],[Orth_Similarity]]</f>
        <v>0.54482758620689653</v>
      </c>
      <c r="L56" s="31">
        <v>4</v>
      </c>
      <c r="M56" s="31">
        <v>4</v>
      </c>
      <c r="N56" s="31">
        <v>6</v>
      </c>
      <c r="O56" s="31">
        <v>4</v>
      </c>
      <c r="P56" s="31">
        <v>5</v>
      </c>
      <c r="Q56" s="31">
        <v>2</v>
      </c>
      <c r="R56" s="31" t="s">
        <v>22</v>
      </c>
      <c r="S56" s="30">
        <v>4.4487860000000001</v>
      </c>
      <c r="T56" s="30">
        <v>4.0993709159851388</v>
      </c>
      <c r="U56" s="30">
        <v>6.1139999999999999</v>
      </c>
      <c r="V56" s="30">
        <v>0.33494448700000001</v>
      </c>
      <c r="W56" s="30">
        <v>95</v>
      </c>
      <c r="X56" s="30">
        <v>1.898989899</v>
      </c>
    </row>
    <row r="57" spans="1:24" x14ac:dyDescent="0.3">
      <c r="A57" s="32"/>
      <c r="B57" s="33" t="s">
        <v>253</v>
      </c>
      <c r="C57" s="33" t="s">
        <v>508</v>
      </c>
      <c r="D57" s="33" t="s">
        <v>741</v>
      </c>
      <c r="E57" s="33" t="s">
        <v>979</v>
      </c>
      <c r="F57" s="33" t="s">
        <v>1224</v>
      </c>
      <c r="G57" s="33" t="s">
        <v>1295</v>
      </c>
      <c r="H57" s="34">
        <v>0.45945945945945943</v>
      </c>
      <c r="I57" s="34">
        <v>0.22727272727272729</v>
      </c>
      <c r="J57" s="34">
        <f xml:space="preserve"> 1 - Table3[[#This Row],[Phon_Similarity]]</f>
        <v>0.54054054054054057</v>
      </c>
      <c r="K57" s="34">
        <f xml:space="preserve"> 1- Table3[[#This Row],[Orth_Similarity]]</f>
        <v>0.77272727272727271</v>
      </c>
      <c r="L57" s="35">
        <v>2</v>
      </c>
      <c r="M57" s="35">
        <v>4</v>
      </c>
      <c r="N57" s="35">
        <v>4</v>
      </c>
      <c r="O57" s="35">
        <v>4</v>
      </c>
      <c r="P57" s="35">
        <v>3</v>
      </c>
      <c r="Q57" s="35">
        <v>2</v>
      </c>
      <c r="R57" s="35" t="s">
        <v>22</v>
      </c>
      <c r="S57" s="34">
        <v>3.6349680000000002</v>
      </c>
      <c r="T57" s="34">
        <v>3.4007436855279263</v>
      </c>
      <c r="U57" s="34">
        <v>0</v>
      </c>
      <c r="V57" s="34">
        <v>0</v>
      </c>
      <c r="W57" s="34">
        <v>100</v>
      </c>
      <c r="X57" s="34">
        <v>2.41</v>
      </c>
    </row>
    <row r="58" spans="1:24" x14ac:dyDescent="0.3">
      <c r="A58" s="25"/>
      <c r="B58" s="4" t="s">
        <v>308</v>
      </c>
      <c r="C58" s="4" t="s">
        <v>563</v>
      </c>
      <c r="D58" s="4" t="s">
        <v>563</v>
      </c>
      <c r="E58" s="4" t="s">
        <v>1028</v>
      </c>
      <c r="F58" s="4" t="s">
        <v>1278</v>
      </c>
      <c r="G58" s="4" t="s">
        <v>1297</v>
      </c>
      <c r="H58" s="7">
        <v>0.45945945945945943</v>
      </c>
      <c r="I58" s="7">
        <v>0.44999999999999996</v>
      </c>
      <c r="J58" s="7">
        <f xml:space="preserve"> 1 - Table3[[#This Row],[Phon_Similarity]]</f>
        <v>0.54054054054054057</v>
      </c>
      <c r="K58" s="7">
        <f xml:space="preserve"> 1- Table3[[#This Row],[Orth_Similarity]]</f>
        <v>0.55000000000000004</v>
      </c>
      <c r="L58" s="8">
        <v>4</v>
      </c>
      <c r="M58" s="8">
        <v>4</v>
      </c>
      <c r="N58" s="8">
        <v>4</v>
      </c>
      <c r="O58" s="8">
        <v>4</v>
      </c>
      <c r="P58" s="8">
        <v>3</v>
      </c>
      <c r="Q58" s="8">
        <v>2</v>
      </c>
      <c r="R58" s="8" t="s">
        <v>22</v>
      </c>
      <c r="S58" s="7">
        <v>4.830209</v>
      </c>
      <c r="T58" s="7">
        <v>4.7373652346697277</v>
      </c>
      <c r="U58" s="7">
        <v>5.7489999999999997</v>
      </c>
      <c r="V58" s="7">
        <v>0</v>
      </c>
      <c r="W58" s="7">
        <v>100</v>
      </c>
      <c r="X58" s="7">
        <v>1.24</v>
      </c>
    </row>
    <row r="59" spans="1:24" x14ac:dyDescent="0.3">
      <c r="A59" s="25"/>
      <c r="B59" s="4" t="s">
        <v>76</v>
      </c>
      <c r="C59" s="4" t="s">
        <v>331</v>
      </c>
      <c r="D59" s="4" t="s">
        <v>584</v>
      </c>
      <c r="E59" s="4" t="s">
        <v>808</v>
      </c>
      <c r="F59" s="4" t="s">
        <v>1051</v>
      </c>
      <c r="G59" s="4" t="s">
        <v>983</v>
      </c>
      <c r="H59" s="7">
        <v>0.46493506493506498</v>
      </c>
      <c r="I59" s="7">
        <v>0.60476190476190483</v>
      </c>
      <c r="J59" s="7">
        <f xml:space="preserve"> 1 - Table3[[#This Row],[Phon_Similarity]]</f>
        <v>0.53506493506493502</v>
      </c>
      <c r="K59" s="7">
        <f xml:space="preserve"> 1- Table3[[#This Row],[Orth_Similarity]]</f>
        <v>0.39523809523809517</v>
      </c>
      <c r="L59" s="8">
        <v>8</v>
      </c>
      <c r="M59" s="8">
        <v>7</v>
      </c>
      <c r="N59" s="8">
        <v>9</v>
      </c>
      <c r="O59" s="8">
        <v>7</v>
      </c>
      <c r="P59" s="8">
        <v>7</v>
      </c>
      <c r="Q59" s="8">
        <v>2</v>
      </c>
      <c r="R59" s="8" t="s">
        <v>24</v>
      </c>
      <c r="S59" s="7">
        <v>3.3104209999999998</v>
      </c>
      <c r="T59" s="7">
        <v>3.5536709909140196</v>
      </c>
      <c r="U59" s="7">
        <v>0</v>
      </c>
      <c r="V59" s="7">
        <v>0</v>
      </c>
      <c r="W59" s="7">
        <v>100</v>
      </c>
      <c r="X59" s="7">
        <v>2.83</v>
      </c>
    </row>
    <row r="60" spans="1:24" x14ac:dyDescent="0.3">
      <c r="A60" s="32"/>
      <c r="B60" s="33" t="s">
        <v>309</v>
      </c>
      <c r="C60" s="33" t="s">
        <v>564</v>
      </c>
      <c r="D60" s="33" t="s">
        <v>790</v>
      </c>
      <c r="E60" s="33" t="s">
        <v>1029</v>
      </c>
      <c r="F60" s="33" t="s">
        <v>1279</v>
      </c>
      <c r="G60" s="33" t="s">
        <v>1286</v>
      </c>
      <c r="H60" s="34">
        <v>0.48</v>
      </c>
      <c r="I60" s="34">
        <v>0.41276595744680855</v>
      </c>
      <c r="J60" s="34">
        <f xml:space="preserve"> 1 - Table3[[#This Row],[Phon_Similarity]]</f>
        <v>0.52</v>
      </c>
      <c r="K60" s="34">
        <f xml:space="preserve"> 1- Table3[[#This Row],[Orth_Similarity]]</f>
        <v>0.58723404255319145</v>
      </c>
      <c r="L60" s="35">
        <v>4</v>
      </c>
      <c r="M60" s="35">
        <v>4</v>
      </c>
      <c r="N60" s="35">
        <v>5</v>
      </c>
      <c r="O60" s="35">
        <v>4</v>
      </c>
      <c r="P60" s="35">
        <v>3</v>
      </c>
      <c r="Q60" s="35">
        <v>2</v>
      </c>
      <c r="R60" s="35" t="s">
        <v>22</v>
      </c>
      <c r="S60" s="34">
        <v>4.9355070000000003</v>
      </c>
      <c r="T60" s="34">
        <v>4.7804549582058877</v>
      </c>
      <c r="U60" s="34">
        <v>6.2229999999999999</v>
      </c>
      <c r="V60" s="34">
        <v>0.38550036300000001</v>
      </c>
      <c r="W60" s="34">
        <v>93.939393940000002</v>
      </c>
      <c r="X60" s="34">
        <v>2.6969696970000001</v>
      </c>
    </row>
    <row r="61" spans="1:24" x14ac:dyDescent="0.3">
      <c r="A61" s="25"/>
      <c r="B61" s="4" t="s">
        <v>174</v>
      </c>
      <c r="C61" s="4" t="s">
        <v>429</v>
      </c>
      <c r="D61" s="4" t="s">
        <v>666</v>
      </c>
      <c r="E61" s="4" t="s">
        <v>905</v>
      </c>
      <c r="F61" s="4" t="s">
        <v>1148</v>
      </c>
      <c r="G61" s="4" t="s">
        <v>983</v>
      </c>
      <c r="H61" s="7">
        <v>0.48070175438596496</v>
      </c>
      <c r="I61" s="7">
        <v>0.48235294117647054</v>
      </c>
      <c r="J61" s="7">
        <f xml:space="preserve"> 1 - Table3[[#This Row],[Phon_Similarity]]</f>
        <v>0.51929824561403504</v>
      </c>
      <c r="K61" s="7">
        <f xml:space="preserve"> 1- Table3[[#This Row],[Orth_Similarity]]</f>
        <v>0.51764705882352946</v>
      </c>
      <c r="L61" s="8">
        <v>6</v>
      </c>
      <c r="M61" s="8">
        <v>6</v>
      </c>
      <c r="N61" s="8">
        <v>6</v>
      </c>
      <c r="O61" s="8">
        <v>6</v>
      </c>
      <c r="P61" s="8">
        <v>5</v>
      </c>
      <c r="Q61" s="8">
        <v>2</v>
      </c>
      <c r="R61" s="8" t="s">
        <v>23</v>
      </c>
      <c r="S61" s="7">
        <v>3.1838679999999999</v>
      </c>
      <c r="T61" s="7">
        <v>3.231029846237361</v>
      </c>
      <c r="U61" s="7">
        <v>0</v>
      </c>
      <c r="V61" s="7">
        <v>0</v>
      </c>
      <c r="W61" s="7">
        <v>100</v>
      </c>
      <c r="X61" s="7">
        <v>1.79</v>
      </c>
    </row>
    <row r="62" spans="1:24" x14ac:dyDescent="0.3">
      <c r="A62" s="32"/>
      <c r="B62" s="33" t="s">
        <v>116</v>
      </c>
      <c r="C62" s="33" t="s">
        <v>371</v>
      </c>
      <c r="D62" s="33" t="s">
        <v>618</v>
      </c>
      <c r="E62" s="33" t="s">
        <v>848</v>
      </c>
      <c r="F62" s="33" t="s">
        <v>1091</v>
      </c>
      <c r="G62" s="33" t="s">
        <v>1410</v>
      </c>
      <c r="H62" s="34">
        <v>0.48717948717948723</v>
      </c>
      <c r="I62" s="34">
        <v>0.27659574468085102</v>
      </c>
      <c r="J62" s="34">
        <f xml:space="preserve"> 1 - Table3[[#This Row],[Phon_Similarity]]</f>
        <v>0.51282051282051277</v>
      </c>
      <c r="K62" s="34">
        <f xml:space="preserve"> 1- Table3[[#This Row],[Orth_Similarity]]</f>
        <v>0.72340425531914898</v>
      </c>
      <c r="L62" s="35">
        <v>3</v>
      </c>
      <c r="M62" s="35">
        <v>4</v>
      </c>
      <c r="N62" s="35">
        <v>5</v>
      </c>
      <c r="O62" s="35">
        <v>4</v>
      </c>
      <c r="P62" s="35">
        <v>4</v>
      </c>
      <c r="Q62" s="35">
        <v>3</v>
      </c>
      <c r="R62" s="35" t="s">
        <v>23</v>
      </c>
      <c r="S62" s="34">
        <v>4.4132280000000002</v>
      </c>
      <c r="T62" s="34">
        <v>4.2412902334286553</v>
      </c>
      <c r="U62" s="34">
        <v>5.3339999999999996</v>
      </c>
      <c r="V62" s="34">
        <v>0.28454568299999999</v>
      </c>
      <c r="W62" s="34">
        <v>95.959595960000001</v>
      </c>
      <c r="X62" s="34">
        <v>3.151515152</v>
      </c>
    </row>
    <row r="63" spans="1:24" x14ac:dyDescent="0.3">
      <c r="A63" s="25"/>
      <c r="B63" s="4" t="s">
        <v>129</v>
      </c>
      <c r="C63" s="4" t="s">
        <v>384</v>
      </c>
      <c r="D63" s="4" t="s">
        <v>628</v>
      </c>
      <c r="E63" s="4" t="s">
        <v>861</v>
      </c>
      <c r="F63" s="4" t="s">
        <v>1104</v>
      </c>
      <c r="G63" s="4" t="s">
        <v>1295</v>
      </c>
      <c r="H63" s="7">
        <v>0.50344827586206897</v>
      </c>
      <c r="I63" s="7">
        <v>0.55862068965517242</v>
      </c>
      <c r="J63" s="7">
        <f xml:space="preserve"> 1 - Table3[[#This Row],[Phon_Similarity]]</f>
        <v>0.49655172413793103</v>
      </c>
      <c r="K63" s="7">
        <f xml:space="preserve"> 1- Table3[[#This Row],[Orth_Similarity]]</f>
        <v>0.44137931034482758</v>
      </c>
      <c r="L63" s="8">
        <v>6</v>
      </c>
      <c r="M63" s="8">
        <v>6</v>
      </c>
      <c r="N63" s="8">
        <v>4</v>
      </c>
      <c r="O63" s="8">
        <v>6</v>
      </c>
      <c r="P63" s="8">
        <v>4</v>
      </c>
      <c r="Q63" s="8">
        <v>2</v>
      </c>
      <c r="R63" s="8" t="s">
        <v>22</v>
      </c>
      <c r="S63" s="7">
        <v>3.8950469999999999</v>
      </c>
      <c r="T63" s="7">
        <v>4.3329251483433522</v>
      </c>
      <c r="U63" s="7">
        <v>6.2130000000000001</v>
      </c>
      <c r="V63" s="7">
        <v>0</v>
      </c>
      <c r="W63" s="7">
        <v>100</v>
      </c>
      <c r="X63" s="7">
        <v>2.4</v>
      </c>
    </row>
    <row r="64" spans="1:24" x14ac:dyDescent="0.3">
      <c r="A64" s="25"/>
      <c r="B64" s="4" t="s">
        <v>147</v>
      </c>
      <c r="C64" s="4" t="s">
        <v>402</v>
      </c>
      <c r="D64" s="4" t="s">
        <v>645</v>
      </c>
      <c r="E64" s="4" t="s">
        <v>878</v>
      </c>
      <c r="F64" s="4" t="s">
        <v>1121</v>
      </c>
      <c r="G64" s="4" t="s">
        <v>1293</v>
      </c>
      <c r="H64" s="7">
        <v>0.504</v>
      </c>
      <c r="I64" s="7">
        <v>0.70140845070422531</v>
      </c>
      <c r="J64" s="7">
        <f xml:space="preserve"> 1 - Table3[[#This Row],[Phon_Similarity]]</f>
        <v>0.496</v>
      </c>
      <c r="K64" s="7">
        <f xml:space="preserve"> 1- Table3[[#This Row],[Orth_Similarity]]</f>
        <v>0.29859154929577469</v>
      </c>
      <c r="L64" s="8">
        <v>7</v>
      </c>
      <c r="M64" s="8">
        <v>7</v>
      </c>
      <c r="N64" s="8">
        <v>6</v>
      </c>
      <c r="O64" s="8">
        <v>7</v>
      </c>
      <c r="P64" s="8">
        <v>3</v>
      </c>
      <c r="Q64" s="8">
        <v>2</v>
      </c>
      <c r="R64" s="8" t="s">
        <v>22</v>
      </c>
      <c r="S64" s="7">
        <v>5.3351069999999998</v>
      </c>
      <c r="T64" s="7">
        <v>5.0194414838122992</v>
      </c>
      <c r="U64" s="7">
        <v>5.7130000000000001</v>
      </c>
      <c r="V64" s="7">
        <v>0.24793583799999999</v>
      </c>
      <c r="W64" s="7">
        <v>95.87628866</v>
      </c>
      <c r="X64" s="7">
        <v>2.88</v>
      </c>
    </row>
    <row r="65" spans="1:24" x14ac:dyDescent="0.3">
      <c r="A65" s="25"/>
      <c r="B65" s="4" t="s">
        <v>120</v>
      </c>
      <c r="C65" s="4" t="s">
        <v>375</v>
      </c>
      <c r="D65" s="4" t="s">
        <v>375</v>
      </c>
      <c r="E65" s="4" t="s">
        <v>852</v>
      </c>
      <c r="F65" s="4" t="s">
        <v>1095</v>
      </c>
      <c r="G65" s="4" t="s">
        <v>1286</v>
      </c>
      <c r="H65" s="7">
        <v>0.50909090909090904</v>
      </c>
      <c r="I65" s="7">
        <v>0.50909090909090904</v>
      </c>
      <c r="J65" s="7">
        <f xml:space="preserve"> 1 - Table3[[#This Row],[Phon_Similarity]]</f>
        <v>0.49090909090909096</v>
      </c>
      <c r="K65" s="7">
        <f xml:space="preserve"> 1- Table3[[#This Row],[Orth_Similarity]]</f>
        <v>0.49090909090909096</v>
      </c>
      <c r="L65" s="8">
        <v>2</v>
      </c>
      <c r="M65" s="8">
        <v>4</v>
      </c>
      <c r="N65" s="8">
        <v>4</v>
      </c>
      <c r="O65" s="8">
        <v>4</v>
      </c>
      <c r="P65" s="8">
        <v>4</v>
      </c>
      <c r="Q65" s="8">
        <v>3</v>
      </c>
      <c r="R65" s="8" t="s">
        <v>22</v>
      </c>
      <c r="S65" s="7">
        <v>5.3698079999999999</v>
      </c>
      <c r="T65" s="7">
        <v>5.4366192566250202</v>
      </c>
      <c r="U65" s="7">
        <v>6.7169999999999996</v>
      </c>
      <c r="V65" s="7">
        <v>0.24229218899999999</v>
      </c>
      <c r="W65" s="7">
        <v>96</v>
      </c>
      <c r="X65" s="7">
        <v>2.17</v>
      </c>
    </row>
    <row r="66" spans="1:24" x14ac:dyDescent="0.3">
      <c r="A66" s="25"/>
      <c r="B66" s="4" t="s">
        <v>303</v>
      </c>
      <c r="C66" s="4" t="s">
        <v>558</v>
      </c>
      <c r="D66" s="4" t="s">
        <v>786</v>
      </c>
      <c r="E66" s="4" t="s">
        <v>1024</v>
      </c>
      <c r="F66" s="4" t="s">
        <v>1273</v>
      </c>
      <c r="G66" s="4" t="s">
        <v>1295</v>
      </c>
      <c r="H66" s="7">
        <v>0.51249999999999996</v>
      </c>
      <c r="I66" s="7">
        <v>0.46493506493506498</v>
      </c>
      <c r="J66" s="7">
        <f xml:space="preserve"> 1 - Table3[[#This Row],[Phon_Similarity]]</f>
        <v>0.48750000000000004</v>
      </c>
      <c r="K66" s="7">
        <f xml:space="preserve"> 1- Table3[[#This Row],[Orth_Similarity]]</f>
        <v>0.53506493506493502</v>
      </c>
      <c r="L66" s="8">
        <v>6</v>
      </c>
      <c r="M66" s="8">
        <v>7</v>
      </c>
      <c r="N66" s="8">
        <v>8</v>
      </c>
      <c r="O66" s="8">
        <v>7</v>
      </c>
      <c r="P66" s="8">
        <v>5</v>
      </c>
      <c r="Q66" s="8">
        <v>3</v>
      </c>
      <c r="R66" s="8" t="s">
        <v>23</v>
      </c>
      <c r="S66" s="7">
        <v>3.9450599999999998</v>
      </c>
      <c r="T66" s="7">
        <v>3.6412043113264101</v>
      </c>
      <c r="U66" s="7">
        <v>0</v>
      </c>
      <c r="V66" s="7">
        <v>0</v>
      </c>
      <c r="W66" s="7">
        <v>100</v>
      </c>
      <c r="X66" s="7">
        <v>1.87</v>
      </c>
    </row>
    <row r="67" spans="1:24" x14ac:dyDescent="0.3">
      <c r="A67" s="25"/>
      <c r="B67" s="4" t="s">
        <v>283</v>
      </c>
      <c r="C67" s="4" t="s">
        <v>538</v>
      </c>
      <c r="D67" s="4" t="s">
        <v>538</v>
      </c>
      <c r="E67" s="4" t="s">
        <v>1005</v>
      </c>
      <c r="F67" s="4" t="s">
        <v>1253</v>
      </c>
      <c r="G67" s="4" t="s">
        <v>1293</v>
      </c>
      <c r="H67" s="7">
        <v>0.52</v>
      </c>
      <c r="I67" s="7">
        <v>0.60540540540540544</v>
      </c>
      <c r="J67" s="7">
        <f xml:space="preserve"> 1 - Table3[[#This Row],[Phon_Similarity]]</f>
        <v>0.48</v>
      </c>
      <c r="K67" s="7">
        <f xml:space="preserve"> 1- Table3[[#This Row],[Orth_Similarity]]</f>
        <v>0.39459459459459456</v>
      </c>
      <c r="L67" s="8">
        <v>7</v>
      </c>
      <c r="M67" s="8">
        <v>6</v>
      </c>
      <c r="N67" s="8">
        <v>8</v>
      </c>
      <c r="O67" s="8">
        <v>6</v>
      </c>
      <c r="P67" s="8">
        <v>7</v>
      </c>
      <c r="Q67" s="8">
        <v>3</v>
      </c>
      <c r="R67" s="8" t="s">
        <v>23</v>
      </c>
      <c r="S67" s="7">
        <v>3.9827680000000001</v>
      </c>
      <c r="T67" s="7">
        <v>3.5052954408298582</v>
      </c>
      <c r="U67" s="7">
        <v>6.0979999999999999</v>
      </c>
      <c r="V67" s="7">
        <v>0</v>
      </c>
      <c r="W67" s="7">
        <v>100</v>
      </c>
      <c r="X67" s="7">
        <v>2.64</v>
      </c>
    </row>
    <row r="68" spans="1:24" x14ac:dyDescent="0.3">
      <c r="A68" s="25"/>
      <c r="B68" s="4" t="s">
        <v>255</v>
      </c>
      <c r="C68" s="4" t="s">
        <v>510</v>
      </c>
      <c r="D68" s="4" t="s">
        <v>743</v>
      </c>
      <c r="E68" s="4" t="s">
        <v>981</v>
      </c>
      <c r="F68" s="4" t="s">
        <v>1226</v>
      </c>
      <c r="G68" s="4" t="s">
        <v>1291</v>
      </c>
      <c r="H68" s="7">
        <v>0.52280701754385972</v>
      </c>
      <c r="I68" s="7">
        <v>0.5357142857142857</v>
      </c>
      <c r="J68" s="7">
        <f xml:space="preserve"> 1 - Table3[[#This Row],[Phon_Similarity]]</f>
        <v>0.47719298245614028</v>
      </c>
      <c r="K68" s="7">
        <f xml:space="preserve"> 1- Table3[[#This Row],[Orth_Similarity]]</f>
        <v>0.4642857142857143</v>
      </c>
      <c r="L68" s="8">
        <v>4</v>
      </c>
      <c r="M68" s="8">
        <v>6</v>
      </c>
      <c r="N68" s="8">
        <v>6</v>
      </c>
      <c r="O68" s="8">
        <v>6</v>
      </c>
      <c r="P68" s="8">
        <v>5</v>
      </c>
      <c r="Q68" s="8">
        <v>2</v>
      </c>
      <c r="R68" s="8" t="s">
        <v>23</v>
      </c>
      <c r="S68" s="7">
        <v>4.0162409999999999</v>
      </c>
      <c r="T68" s="7">
        <v>3.8443383810006839</v>
      </c>
      <c r="U68" s="7">
        <v>6.2119999999999997</v>
      </c>
      <c r="V68" s="7">
        <v>0.44505030400000001</v>
      </c>
      <c r="W68" s="7">
        <v>92.783505149999996</v>
      </c>
      <c r="X68" s="7">
        <v>2.34</v>
      </c>
    </row>
    <row r="69" spans="1:24" x14ac:dyDescent="0.3">
      <c r="A69" s="25"/>
      <c r="B69" s="4" t="s">
        <v>287</v>
      </c>
      <c r="C69" s="4" t="s">
        <v>542</v>
      </c>
      <c r="D69" s="4" t="s">
        <v>771</v>
      </c>
      <c r="E69" s="4" t="s">
        <v>1009</v>
      </c>
      <c r="F69" s="4" t="s">
        <v>1257</v>
      </c>
      <c r="G69" s="4" t="s">
        <v>1291</v>
      </c>
      <c r="H69" s="7">
        <v>0.52340425531914891</v>
      </c>
      <c r="I69" s="7">
        <v>0.61311475409836058</v>
      </c>
      <c r="J69" s="7">
        <f xml:space="preserve"> 1 - Table3[[#This Row],[Phon_Similarity]]</f>
        <v>0.47659574468085109</v>
      </c>
      <c r="K69" s="7">
        <f xml:space="preserve"> 1- Table3[[#This Row],[Orth_Similarity]]</f>
        <v>0.38688524590163942</v>
      </c>
      <c r="L69" s="8">
        <v>5</v>
      </c>
      <c r="M69" s="8">
        <v>6</v>
      </c>
      <c r="N69" s="8">
        <v>5</v>
      </c>
      <c r="O69" s="8">
        <v>6</v>
      </c>
      <c r="P69" s="8">
        <v>3</v>
      </c>
      <c r="Q69" s="8">
        <v>2</v>
      </c>
      <c r="R69" s="8" t="s">
        <v>22</v>
      </c>
      <c r="S69" s="7">
        <v>4.1374940000000002</v>
      </c>
      <c r="T69" s="7">
        <v>4.4722189820282718</v>
      </c>
      <c r="U69" s="7">
        <v>6.2809999999999997</v>
      </c>
      <c r="V69" s="7">
        <v>0</v>
      </c>
      <c r="W69" s="7">
        <v>100</v>
      </c>
      <c r="X69" s="7">
        <v>1.86</v>
      </c>
    </row>
    <row r="70" spans="1:24" x14ac:dyDescent="0.3">
      <c r="A70" s="25"/>
      <c r="B70" s="4" t="s">
        <v>256</v>
      </c>
      <c r="C70" s="4" t="s">
        <v>511</v>
      </c>
      <c r="D70" s="4" t="s">
        <v>744</v>
      </c>
      <c r="E70" s="4" t="s">
        <v>982</v>
      </c>
      <c r="F70" s="4" t="s">
        <v>1227</v>
      </c>
      <c r="G70" s="4" t="s">
        <v>1288</v>
      </c>
      <c r="H70" s="7">
        <v>0.54</v>
      </c>
      <c r="I70" s="7">
        <v>0.54418604651162794</v>
      </c>
      <c r="J70" s="7">
        <f xml:space="preserve"> 1 - Table3[[#This Row],[Phon_Similarity]]</f>
        <v>0.45999999999999996</v>
      </c>
      <c r="K70" s="7">
        <f xml:space="preserve"> 1- Table3[[#This Row],[Orth_Similarity]]</f>
        <v>0.45581395348837206</v>
      </c>
      <c r="L70" s="8">
        <v>4</v>
      </c>
      <c r="M70" s="8">
        <v>4</v>
      </c>
      <c r="N70" s="8">
        <v>5</v>
      </c>
      <c r="O70" s="8">
        <v>4</v>
      </c>
      <c r="P70" s="8">
        <v>4</v>
      </c>
      <c r="Q70" s="8">
        <v>3</v>
      </c>
      <c r="R70" s="8" t="s">
        <v>23</v>
      </c>
      <c r="S70" s="7">
        <v>4.2208699999999997</v>
      </c>
      <c r="T70" s="7">
        <v>4.5976297581684111</v>
      </c>
      <c r="U70" s="7">
        <v>5.4009999999999998</v>
      </c>
      <c r="V70" s="7">
        <v>0</v>
      </c>
      <c r="W70" s="7">
        <v>100</v>
      </c>
      <c r="X70" s="7">
        <v>2.3838383840000001</v>
      </c>
    </row>
    <row r="71" spans="1:24" x14ac:dyDescent="0.3">
      <c r="A71" s="32"/>
      <c r="B71" s="33" t="s">
        <v>262</v>
      </c>
      <c r="C71" s="33" t="s">
        <v>517</v>
      </c>
      <c r="D71" s="33" t="s">
        <v>749</v>
      </c>
      <c r="E71" s="33" t="s">
        <v>988</v>
      </c>
      <c r="F71" s="33" t="s">
        <v>1233</v>
      </c>
      <c r="G71" s="33" t="s">
        <v>1294</v>
      </c>
      <c r="H71" s="34">
        <v>0.54814814814814816</v>
      </c>
      <c r="I71" s="34">
        <v>0.4375</v>
      </c>
      <c r="J71" s="34">
        <f xml:space="preserve"> 1 - Table3[[#This Row],[Phon_Similarity]]</f>
        <v>0.45185185185185184</v>
      </c>
      <c r="K71" s="34">
        <f xml:space="preserve"> 1- Table3[[#This Row],[Orth_Similarity]]</f>
        <v>0.5625</v>
      </c>
      <c r="L71" s="35">
        <v>6</v>
      </c>
      <c r="M71" s="35">
        <v>6</v>
      </c>
      <c r="N71" s="35">
        <v>6</v>
      </c>
      <c r="O71" s="35">
        <v>6</v>
      </c>
      <c r="P71" s="35">
        <v>4</v>
      </c>
      <c r="Q71" s="35">
        <v>3</v>
      </c>
      <c r="R71" s="35" t="s">
        <v>22</v>
      </c>
      <c r="S71" s="34">
        <v>3.2560630000000002</v>
      </c>
      <c r="T71" s="34">
        <v>3.3010407723356998</v>
      </c>
      <c r="U71" s="34">
        <v>0</v>
      </c>
      <c r="V71" s="34">
        <v>0.14489961800000001</v>
      </c>
      <c r="W71" s="34">
        <v>97.93814433</v>
      </c>
      <c r="X71" s="34">
        <v>2.15</v>
      </c>
    </row>
    <row r="72" spans="1:24" x14ac:dyDescent="0.3">
      <c r="A72" s="25"/>
      <c r="B72" s="4" t="s">
        <v>103</v>
      </c>
      <c r="C72" s="4" t="s">
        <v>358</v>
      </c>
      <c r="D72" s="4" t="s">
        <v>608</v>
      </c>
      <c r="E72" s="4" t="s">
        <v>835</v>
      </c>
      <c r="F72" s="4" t="s">
        <v>1078</v>
      </c>
      <c r="G72" s="4" t="s">
        <v>1291</v>
      </c>
      <c r="H72" s="7">
        <v>0.5607843137254902</v>
      </c>
      <c r="I72" s="7">
        <v>0.47586206896551719</v>
      </c>
      <c r="J72" s="7">
        <f xml:space="preserve"> 1 - Table3[[#This Row],[Phon_Similarity]]</f>
        <v>0.4392156862745098</v>
      </c>
      <c r="K72" s="7">
        <f xml:space="preserve"> 1- Table3[[#This Row],[Orth_Similarity]]</f>
        <v>0.52413793103448281</v>
      </c>
      <c r="L72" s="8">
        <v>5</v>
      </c>
      <c r="M72" s="8">
        <v>5</v>
      </c>
      <c r="N72" s="8">
        <v>5</v>
      </c>
      <c r="O72" s="8">
        <v>5</v>
      </c>
      <c r="P72" s="8">
        <v>4</v>
      </c>
      <c r="Q72" s="8">
        <v>3</v>
      </c>
      <c r="R72" s="8" t="s">
        <v>22</v>
      </c>
      <c r="S72" s="7">
        <v>3.921027</v>
      </c>
      <c r="T72" s="7">
        <v>3.8073342510749844</v>
      </c>
      <c r="U72" s="7">
        <v>6.5910000000000002</v>
      </c>
      <c r="V72" s="7">
        <v>0</v>
      </c>
      <c r="W72" s="7">
        <v>100</v>
      </c>
      <c r="X72" s="7">
        <v>2.3199999999999998</v>
      </c>
    </row>
    <row r="73" spans="1:24" x14ac:dyDescent="0.3">
      <c r="A73" s="25"/>
      <c r="B73" s="4" t="s">
        <v>136</v>
      </c>
      <c r="C73" s="4" t="s">
        <v>391</v>
      </c>
      <c r="D73" s="4" t="s">
        <v>635</v>
      </c>
      <c r="E73" s="4" t="s">
        <v>867</v>
      </c>
      <c r="F73" s="4" t="s">
        <v>1110</v>
      </c>
      <c r="G73" s="4" t="s">
        <v>1294</v>
      </c>
      <c r="H73" s="7">
        <v>0.56981132075471697</v>
      </c>
      <c r="I73" s="7">
        <v>0.55555555555555558</v>
      </c>
      <c r="J73" s="7">
        <f xml:space="preserve"> 1 - Table3[[#This Row],[Phon_Similarity]]</f>
        <v>0.43018867924528303</v>
      </c>
      <c r="K73" s="7">
        <f xml:space="preserve"> 1- Table3[[#This Row],[Orth_Similarity]]</f>
        <v>0.44444444444444442</v>
      </c>
      <c r="L73" s="8">
        <v>6</v>
      </c>
      <c r="M73" s="8">
        <v>5</v>
      </c>
      <c r="N73" s="8">
        <v>8</v>
      </c>
      <c r="O73" s="8">
        <v>5</v>
      </c>
      <c r="P73" s="8">
        <v>7</v>
      </c>
      <c r="Q73" s="8">
        <v>2</v>
      </c>
      <c r="R73" s="8" t="s">
        <v>23</v>
      </c>
      <c r="S73" s="7">
        <v>4.6821489999999999</v>
      </c>
      <c r="T73" s="7">
        <v>3.1505805862031004</v>
      </c>
      <c r="U73" s="7">
        <v>5.81</v>
      </c>
      <c r="V73" s="7">
        <v>0</v>
      </c>
      <c r="W73" s="7">
        <v>100</v>
      </c>
      <c r="X73" s="7">
        <v>2.59</v>
      </c>
    </row>
    <row r="74" spans="1:24" x14ac:dyDescent="0.3">
      <c r="A74" s="25"/>
      <c r="B74" s="4" t="s">
        <v>232</v>
      </c>
      <c r="C74" s="4" t="s">
        <v>487</v>
      </c>
      <c r="D74" s="4" t="s">
        <v>721</v>
      </c>
      <c r="E74" s="4" t="s">
        <v>960</v>
      </c>
      <c r="F74" s="4" t="s">
        <v>1204</v>
      </c>
      <c r="G74" s="4" t="s">
        <v>1291</v>
      </c>
      <c r="H74" s="7">
        <v>0.57000000000000006</v>
      </c>
      <c r="I74" s="7">
        <v>0.67999999999999994</v>
      </c>
      <c r="J74" s="7">
        <f xml:space="preserve"> 1 - Table3[[#This Row],[Phon_Similarity]]</f>
        <v>0.42999999999999994</v>
      </c>
      <c r="K74" s="7">
        <f xml:space="preserve"> 1- Table3[[#This Row],[Orth_Similarity]]</f>
        <v>0.32000000000000006</v>
      </c>
      <c r="L74" s="8">
        <v>6</v>
      </c>
      <c r="M74" s="8">
        <v>6</v>
      </c>
      <c r="N74" s="8">
        <v>4</v>
      </c>
      <c r="O74" s="8">
        <v>6</v>
      </c>
      <c r="P74" s="8">
        <v>2</v>
      </c>
      <c r="Q74" s="8">
        <v>3</v>
      </c>
      <c r="R74" s="8" t="s">
        <v>22</v>
      </c>
      <c r="S74" s="7">
        <v>3.5337860000000001</v>
      </c>
      <c r="T74" s="7">
        <v>4.1489011187204472</v>
      </c>
      <c r="U74" s="7">
        <v>5.6360000000000001</v>
      </c>
      <c r="V74" s="7">
        <v>0</v>
      </c>
      <c r="W74" s="7">
        <v>100</v>
      </c>
      <c r="X74" s="7">
        <v>2.48</v>
      </c>
    </row>
    <row r="75" spans="1:24" x14ac:dyDescent="0.3">
      <c r="A75" s="25"/>
      <c r="B75" s="4" t="s">
        <v>114</v>
      </c>
      <c r="C75" s="4" t="s">
        <v>369</v>
      </c>
      <c r="D75" s="4" t="s">
        <v>617</v>
      </c>
      <c r="E75" s="4" t="s">
        <v>846</v>
      </c>
      <c r="F75" s="4" t="s">
        <v>1089</v>
      </c>
      <c r="G75" s="4" t="s">
        <v>1286</v>
      </c>
      <c r="H75" s="7">
        <v>0.57192982456140351</v>
      </c>
      <c r="I75" s="7">
        <v>0.47499999999999998</v>
      </c>
      <c r="J75" s="7">
        <f xml:space="preserve"> 1 - Table3[[#This Row],[Phon_Similarity]]</f>
        <v>0.42807017543859649</v>
      </c>
      <c r="K75" s="7">
        <f xml:space="preserve"> 1- Table3[[#This Row],[Orth_Similarity]]</f>
        <v>0.52500000000000002</v>
      </c>
      <c r="L75" s="8">
        <v>6</v>
      </c>
      <c r="M75" s="8">
        <v>7</v>
      </c>
      <c r="N75" s="8">
        <v>5</v>
      </c>
      <c r="O75" s="8">
        <v>7</v>
      </c>
      <c r="P75" s="8">
        <v>4</v>
      </c>
      <c r="Q75" s="8">
        <v>2</v>
      </c>
      <c r="R75" s="8" t="s">
        <v>22</v>
      </c>
      <c r="S75" s="7">
        <v>4.5005069999999998</v>
      </c>
      <c r="T75" s="7">
        <v>4.8371854995950576</v>
      </c>
      <c r="U75" s="7">
        <v>5.7080000000000002</v>
      </c>
      <c r="V75" s="7">
        <v>0</v>
      </c>
      <c r="W75" s="7">
        <v>100</v>
      </c>
      <c r="X75" s="7">
        <v>2.75</v>
      </c>
    </row>
    <row r="76" spans="1:24" x14ac:dyDescent="0.3">
      <c r="A76" s="25"/>
      <c r="B76" s="4" t="s">
        <v>202</v>
      </c>
      <c r="C76" s="4" t="s">
        <v>457</v>
      </c>
      <c r="D76" s="4" t="s">
        <v>692</v>
      </c>
      <c r="E76" s="4" t="s">
        <v>933</v>
      </c>
      <c r="F76" s="4" t="s">
        <v>1176</v>
      </c>
      <c r="G76" s="4" t="s">
        <v>1410</v>
      </c>
      <c r="H76" s="7">
        <v>0.57714285714285718</v>
      </c>
      <c r="I76" s="7">
        <v>0.61081081081081079</v>
      </c>
      <c r="J76" s="7">
        <f xml:space="preserve"> 1 - Table3[[#This Row],[Phon_Similarity]]</f>
        <v>0.42285714285714282</v>
      </c>
      <c r="K76" s="7">
        <f xml:space="preserve"> 1- Table3[[#This Row],[Orth_Similarity]]</f>
        <v>0.38918918918918921</v>
      </c>
      <c r="L76" s="8">
        <v>7</v>
      </c>
      <c r="M76" s="8">
        <v>7</v>
      </c>
      <c r="N76" s="8">
        <v>7</v>
      </c>
      <c r="O76" s="8">
        <v>7</v>
      </c>
      <c r="P76" s="8">
        <v>6</v>
      </c>
      <c r="Q76" s="8">
        <v>2</v>
      </c>
      <c r="R76" s="8" t="s">
        <v>24</v>
      </c>
      <c r="S76" s="7">
        <v>3.1601300000000001</v>
      </c>
      <c r="T76" s="7">
        <v>3.4810655612053574</v>
      </c>
      <c r="U76" s="7">
        <v>0</v>
      </c>
      <c r="V76" s="7">
        <v>0</v>
      </c>
      <c r="W76" s="7">
        <v>100</v>
      </c>
      <c r="X76" s="7">
        <v>2.73</v>
      </c>
    </row>
    <row r="77" spans="1:24" x14ac:dyDescent="0.3">
      <c r="A77" s="25"/>
      <c r="B77" s="4" t="s">
        <v>312</v>
      </c>
      <c r="C77" s="4" t="s">
        <v>567</v>
      </c>
      <c r="D77" s="4" t="s">
        <v>567</v>
      </c>
      <c r="E77" s="4" t="s">
        <v>1032</v>
      </c>
      <c r="F77" s="4" t="s">
        <v>1282</v>
      </c>
      <c r="G77" s="4" t="s">
        <v>1290</v>
      </c>
      <c r="H77" s="7">
        <v>0.58297872340425538</v>
      </c>
      <c r="I77" s="7">
        <v>0.72499999999999998</v>
      </c>
      <c r="J77" s="7">
        <f xml:space="preserve"> 1 - Table3[[#This Row],[Phon_Similarity]]</f>
        <v>0.41702127659574462</v>
      </c>
      <c r="K77" s="7">
        <f xml:space="preserve"> 1- Table3[[#This Row],[Orth_Similarity]]</f>
        <v>0.27500000000000002</v>
      </c>
      <c r="L77" s="8">
        <v>7</v>
      </c>
      <c r="M77" s="8">
        <v>5</v>
      </c>
      <c r="N77" s="8">
        <v>7</v>
      </c>
      <c r="O77" s="8">
        <v>5</v>
      </c>
      <c r="P77" s="8">
        <v>4</v>
      </c>
      <c r="Q77" s="8">
        <v>2</v>
      </c>
      <c r="R77" s="8" t="s">
        <v>23</v>
      </c>
      <c r="S77" s="7">
        <v>4.2532370000000004</v>
      </c>
      <c r="T77" s="7">
        <v>3.8772935000573767</v>
      </c>
      <c r="U77" s="7">
        <v>5.9580000000000002</v>
      </c>
      <c r="V77" s="7">
        <v>0.141440543</v>
      </c>
      <c r="W77" s="7">
        <v>98</v>
      </c>
      <c r="X77" s="7">
        <v>1.82</v>
      </c>
    </row>
    <row r="78" spans="1:24" x14ac:dyDescent="0.3">
      <c r="A78" s="25"/>
      <c r="B78" s="4" t="s">
        <v>124</v>
      </c>
      <c r="C78" s="4" t="s">
        <v>379</v>
      </c>
      <c r="D78" s="4" t="s">
        <v>623</v>
      </c>
      <c r="E78" s="4" t="s">
        <v>856</v>
      </c>
      <c r="F78" s="4" t="s">
        <v>1099</v>
      </c>
      <c r="G78" s="4" t="s">
        <v>1287</v>
      </c>
      <c r="H78" s="7">
        <v>0.58918918918918917</v>
      </c>
      <c r="I78" s="7">
        <v>0.54594594594594592</v>
      </c>
      <c r="J78" s="7">
        <f xml:space="preserve"> 1 - Table3[[#This Row],[Phon_Similarity]]</f>
        <v>0.41081081081081083</v>
      </c>
      <c r="K78" s="7">
        <f xml:space="preserve"> 1- Table3[[#This Row],[Orth_Similarity]]</f>
        <v>0.45405405405405408</v>
      </c>
      <c r="L78" s="8">
        <v>4</v>
      </c>
      <c r="M78" s="8">
        <v>4</v>
      </c>
      <c r="N78" s="8">
        <v>3</v>
      </c>
      <c r="O78" s="8">
        <v>4</v>
      </c>
      <c r="P78" s="8">
        <v>3</v>
      </c>
      <c r="Q78" s="8">
        <v>2</v>
      </c>
      <c r="R78" s="8" t="s">
        <v>22</v>
      </c>
      <c r="S78" s="7">
        <v>4.6581460000000003</v>
      </c>
      <c r="T78" s="7">
        <v>5.1154106612484629</v>
      </c>
      <c r="U78" s="7">
        <v>7</v>
      </c>
      <c r="V78" s="7">
        <v>0</v>
      </c>
      <c r="W78" s="7">
        <v>100</v>
      </c>
      <c r="X78" s="7">
        <v>2.2200000000000002</v>
      </c>
    </row>
    <row r="79" spans="1:24" x14ac:dyDescent="0.3">
      <c r="A79" s="25"/>
      <c r="B79" s="4" t="s">
        <v>182</v>
      </c>
      <c r="C79" s="4" t="s">
        <v>437</v>
      </c>
      <c r="D79" s="4" t="s">
        <v>673</v>
      </c>
      <c r="E79" s="4" t="s">
        <v>913</v>
      </c>
      <c r="F79" s="4" t="s">
        <v>1156</v>
      </c>
      <c r="G79" s="4" t="s">
        <v>1295</v>
      </c>
      <c r="H79" s="7">
        <v>0.59333333333333327</v>
      </c>
      <c r="I79" s="7">
        <v>0.4686567164179104</v>
      </c>
      <c r="J79" s="7">
        <f xml:space="preserve"> 1 - Table3[[#This Row],[Phon_Similarity]]</f>
        <v>0.40666666666666673</v>
      </c>
      <c r="K79" s="7">
        <f xml:space="preserve"> 1- Table3[[#This Row],[Orth_Similarity]]</f>
        <v>0.5313432835820896</v>
      </c>
      <c r="L79" s="8">
        <v>6</v>
      </c>
      <c r="M79" s="8">
        <v>5</v>
      </c>
      <c r="N79" s="8">
        <v>8</v>
      </c>
      <c r="O79" s="8">
        <v>5</v>
      </c>
      <c r="P79" s="8">
        <v>7</v>
      </c>
      <c r="Q79" s="8">
        <v>2</v>
      </c>
      <c r="R79" s="8" t="s">
        <v>23</v>
      </c>
      <c r="S79" s="7">
        <v>3.339785</v>
      </c>
      <c r="T79" s="7">
        <v>3.1626033465486998</v>
      </c>
      <c r="U79" s="7">
        <v>0</v>
      </c>
      <c r="V79" s="7">
        <v>0</v>
      </c>
      <c r="W79" s="7">
        <v>100</v>
      </c>
      <c r="X79" s="7">
        <v>2.68</v>
      </c>
    </row>
    <row r="80" spans="1:24" x14ac:dyDescent="0.3">
      <c r="A80" s="25"/>
      <c r="B80" s="4" t="s">
        <v>112</v>
      </c>
      <c r="C80" s="4" t="s">
        <v>367</v>
      </c>
      <c r="D80" s="4" t="s">
        <v>615</v>
      </c>
      <c r="E80" s="4" t="s">
        <v>844</v>
      </c>
      <c r="F80" s="4" t="s">
        <v>1087</v>
      </c>
      <c r="G80" s="4" t="s">
        <v>1410</v>
      </c>
      <c r="H80" s="7">
        <v>0.59506172839506166</v>
      </c>
      <c r="I80" s="7">
        <v>0.61025641025641031</v>
      </c>
      <c r="J80" s="7">
        <f xml:space="preserve"> 1 - Table3[[#This Row],[Phon_Similarity]]</f>
        <v>0.40493827160493834</v>
      </c>
      <c r="K80" s="7">
        <f xml:space="preserve"> 1- Table3[[#This Row],[Orth_Similarity]]</f>
        <v>0.38974358974358969</v>
      </c>
      <c r="L80" s="8">
        <v>6</v>
      </c>
      <c r="M80" s="8">
        <v>7</v>
      </c>
      <c r="N80" s="8">
        <v>7</v>
      </c>
      <c r="O80" s="8">
        <v>7</v>
      </c>
      <c r="P80" s="8">
        <v>7</v>
      </c>
      <c r="Q80" s="8">
        <v>2</v>
      </c>
      <c r="R80" s="8" t="s">
        <v>23</v>
      </c>
      <c r="S80" s="7">
        <v>3.2691659999999998</v>
      </c>
      <c r="T80" s="7">
        <v>4.0224811057599119</v>
      </c>
      <c r="U80" s="7">
        <v>5.9509999999999996</v>
      </c>
      <c r="V80" s="7">
        <v>0.14372616999999999</v>
      </c>
      <c r="W80" s="7">
        <v>97.959183670000002</v>
      </c>
      <c r="X80" s="7">
        <v>2.92</v>
      </c>
    </row>
    <row r="81" spans="1:24" x14ac:dyDescent="0.3">
      <c r="A81" s="25"/>
      <c r="B81" s="4" t="s">
        <v>159</v>
      </c>
      <c r="C81" s="4" t="s">
        <v>414</v>
      </c>
      <c r="D81" s="4" t="s">
        <v>655</v>
      </c>
      <c r="E81" s="4" t="s">
        <v>890</v>
      </c>
      <c r="F81" s="4" t="s">
        <v>1133</v>
      </c>
      <c r="G81" s="4" t="s">
        <v>1285</v>
      </c>
      <c r="H81" s="7">
        <v>0.6</v>
      </c>
      <c r="I81" s="7">
        <v>0.53191489361702127</v>
      </c>
      <c r="J81" s="7">
        <f xml:space="preserve"> 1 - Table3[[#This Row],[Phon_Similarity]]</f>
        <v>0.4</v>
      </c>
      <c r="K81" s="7">
        <f xml:space="preserve"> 1- Table3[[#This Row],[Orth_Similarity]]</f>
        <v>0.46808510638297873</v>
      </c>
      <c r="L81" s="8">
        <v>5</v>
      </c>
      <c r="M81" s="8">
        <v>5</v>
      </c>
      <c r="N81" s="8">
        <v>4</v>
      </c>
      <c r="O81" s="8">
        <v>5</v>
      </c>
      <c r="P81" s="8">
        <v>3</v>
      </c>
      <c r="Q81" s="8">
        <v>2</v>
      </c>
      <c r="R81" s="8" t="s">
        <v>22</v>
      </c>
      <c r="S81" s="7">
        <v>3.958618</v>
      </c>
      <c r="T81" s="7">
        <v>4.1166811321165628</v>
      </c>
      <c r="U81" s="7">
        <v>6.1109999999999998</v>
      </c>
      <c r="V81" s="7">
        <v>0.291548959</v>
      </c>
      <c r="W81" s="7">
        <v>95.833333330000002</v>
      </c>
      <c r="X81" s="7">
        <v>2.62</v>
      </c>
    </row>
    <row r="82" spans="1:24" x14ac:dyDescent="0.3">
      <c r="A82" s="25"/>
      <c r="B82" s="4" t="s">
        <v>214</v>
      </c>
      <c r="C82" s="4" t="s">
        <v>469</v>
      </c>
      <c r="D82" s="4" t="s">
        <v>704</v>
      </c>
      <c r="E82" s="4" t="s">
        <v>944</v>
      </c>
      <c r="F82" s="4" t="s">
        <v>1188</v>
      </c>
      <c r="G82" s="4" t="s">
        <v>1410</v>
      </c>
      <c r="H82" s="7">
        <v>0.6</v>
      </c>
      <c r="I82" s="7">
        <v>0.47058823529411764</v>
      </c>
      <c r="J82" s="7">
        <f xml:space="preserve"> 1 - Table3[[#This Row],[Phon_Similarity]]</f>
        <v>0.4</v>
      </c>
      <c r="K82" s="7">
        <f xml:space="preserve"> 1- Table3[[#This Row],[Orth_Similarity]]</f>
        <v>0.52941176470588236</v>
      </c>
      <c r="L82" s="8">
        <v>4</v>
      </c>
      <c r="M82" s="8">
        <v>6</v>
      </c>
      <c r="N82" s="8">
        <v>6</v>
      </c>
      <c r="O82" s="8">
        <v>6</v>
      </c>
      <c r="P82" s="8">
        <v>4</v>
      </c>
      <c r="Q82" s="8">
        <v>3</v>
      </c>
      <c r="R82" s="8" t="s">
        <v>23</v>
      </c>
      <c r="S82" s="7">
        <v>4.367108</v>
      </c>
      <c r="T82" s="7">
        <v>4.3544147547770393</v>
      </c>
      <c r="U82" s="7">
        <v>5.6479999999999997</v>
      </c>
      <c r="V82" s="7">
        <v>0.14372616999999999</v>
      </c>
      <c r="W82" s="7">
        <v>97.959183670000002</v>
      </c>
      <c r="X82" s="7">
        <v>2.99</v>
      </c>
    </row>
    <row r="83" spans="1:24" x14ac:dyDescent="0.3">
      <c r="A83" s="25"/>
      <c r="B83" s="4" t="s">
        <v>259</v>
      </c>
      <c r="C83" s="4" t="s">
        <v>514</v>
      </c>
      <c r="D83" s="4" t="s">
        <v>746</v>
      </c>
      <c r="E83" s="4" t="s">
        <v>985</v>
      </c>
      <c r="F83" s="4" t="s">
        <v>1230</v>
      </c>
      <c r="G83" s="4" t="s">
        <v>1289</v>
      </c>
      <c r="H83" s="7">
        <v>0.6</v>
      </c>
      <c r="I83" s="7">
        <v>0.46086956521739131</v>
      </c>
      <c r="J83" s="7">
        <f xml:space="preserve"> 1 - Table3[[#This Row],[Phon_Similarity]]</f>
        <v>0.4</v>
      </c>
      <c r="K83" s="7">
        <f xml:space="preserve"> 1- Table3[[#This Row],[Orth_Similarity]]</f>
        <v>0.53913043478260869</v>
      </c>
      <c r="L83" s="8">
        <v>4</v>
      </c>
      <c r="M83" s="8">
        <v>5</v>
      </c>
      <c r="N83" s="8">
        <v>5</v>
      </c>
      <c r="O83" s="8">
        <v>5</v>
      </c>
      <c r="P83" s="8">
        <v>4</v>
      </c>
      <c r="Q83" s="8">
        <v>2</v>
      </c>
      <c r="R83" s="8" t="s">
        <v>22</v>
      </c>
      <c r="S83" s="7">
        <v>4.968242</v>
      </c>
      <c r="T83" s="7">
        <v>5.0842276880303903</v>
      </c>
      <c r="U83" s="7">
        <v>6.3440000000000003</v>
      </c>
      <c r="V83" s="7">
        <v>0</v>
      </c>
      <c r="W83" s="7">
        <v>100</v>
      </c>
      <c r="X83" s="7">
        <v>3.05</v>
      </c>
    </row>
    <row r="84" spans="1:24" x14ac:dyDescent="0.3">
      <c r="A84" s="25"/>
      <c r="B84" s="4" t="s">
        <v>284</v>
      </c>
      <c r="C84" s="4" t="s">
        <v>539</v>
      </c>
      <c r="D84" s="4" t="s">
        <v>768</v>
      </c>
      <c r="E84" s="4" t="s">
        <v>1006</v>
      </c>
      <c r="F84" s="4" t="s">
        <v>1254</v>
      </c>
      <c r="G84" s="4" t="s">
        <v>1295</v>
      </c>
      <c r="H84" s="7">
        <v>0.6</v>
      </c>
      <c r="I84" s="7">
        <v>0.38518518518518519</v>
      </c>
      <c r="J84" s="7">
        <f xml:space="preserve"> 1 - Table3[[#This Row],[Phon_Similarity]]</f>
        <v>0.4</v>
      </c>
      <c r="K84" s="7">
        <f xml:space="preserve"> 1- Table3[[#This Row],[Orth_Similarity]]</f>
        <v>0.61481481481481481</v>
      </c>
      <c r="L84" s="8">
        <v>4</v>
      </c>
      <c r="M84" s="8">
        <v>6</v>
      </c>
      <c r="N84" s="8">
        <v>4</v>
      </c>
      <c r="O84" s="8">
        <v>6</v>
      </c>
      <c r="P84" s="8">
        <v>3</v>
      </c>
      <c r="Q84" s="8">
        <v>3</v>
      </c>
      <c r="R84" s="8" t="s">
        <v>22</v>
      </c>
      <c r="S84" s="7">
        <v>3.715347</v>
      </c>
      <c r="T84" s="7">
        <v>4.0964463629678214</v>
      </c>
      <c r="U84" s="7">
        <v>6.0540000000000003</v>
      </c>
      <c r="V84" s="7">
        <v>0.19745300399999999</v>
      </c>
      <c r="W84" s="7">
        <v>96.938775509999999</v>
      </c>
      <c r="X84" s="7">
        <v>2.1818181820000002</v>
      </c>
    </row>
    <row r="85" spans="1:24" x14ac:dyDescent="0.3">
      <c r="A85" s="25"/>
      <c r="B85" s="4" t="s">
        <v>290</v>
      </c>
      <c r="C85" s="4" t="s">
        <v>545</v>
      </c>
      <c r="D85" s="4" t="s">
        <v>774</v>
      </c>
      <c r="E85" s="4" t="s">
        <v>1012</v>
      </c>
      <c r="F85" s="4" t="s">
        <v>1260</v>
      </c>
      <c r="G85" s="4" t="s">
        <v>983</v>
      </c>
      <c r="H85" s="7">
        <v>0.6</v>
      </c>
      <c r="I85" s="7">
        <v>0.65957446808510634</v>
      </c>
      <c r="J85" s="7">
        <f xml:space="preserve"> 1 - Table3[[#This Row],[Phon_Similarity]]</f>
        <v>0.4</v>
      </c>
      <c r="K85" s="7">
        <f xml:space="preserve"> 1- Table3[[#This Row],[Orth_Similarity]]</f>
        <v>0.34042553191489366</v>
      </c>
      <c r="L85" s="8">
        <v>4</v>
      </c>
      <c r="M85" s="8">
        <v>5</v>
      </c>
      <c r="N85" s="8">
        <v>4</v>
      </c>
      <c r="O85" s="8">
        <v>5</v>
      </c>
      <c r="P85" s="8">
        <v>3</v>
      </c>
      <c r="Q85" s="8">
        <v>2</v>
      </c>
      <c r="R85" s="8" t="s">
        <v>22</v>
      </c>
      <c r="S85" s="7">
        <v>4.6911209999999999</v>
      </c>
      <c r="T85" s="7">
        <v>4.9520444753165247</v>
      </c>
      <c r="U85" s="7">
        <v>6.2919999999999998</v>
      </c>
      <c r="V85" s="7">
        <v>0</v>
      </c>
      <c r="W85" s="7">
        <v>100</v>
      </c>
      <c r="X85" s="7">
        <v>1.79</v>
      </c>
    </row>
    <row r="86" spans="1:24" x14ac:dyDescent="0.3">
      <c r="A86" s="25"/>
      <c r="B86" s="4" t="s">
        <v>96</v>
      </c>
      <c r="C86" s="4" t="s">
        <v>351</v>
      </c>
      <c r="D86" s="4" t="s">
        <v>601</v>
      </c>
      <c r="E86" s="4" t="s">
        <v>828</v>
      </c>
      <c r="F86" s="4" t="s">
        <v>1071</v>
      </c>
      <c r="G86" s="4" t="s">
        <v>1289</v>
      </c>
      <c r="H86" s="7">
        <v>0.61</v>
      </c>
      <c r="I86" s="7">
        <v>0.82400000000000007</v>
      </c>
      <c r="J86" s="7">
        <f xml:space="preserve"> 1 - Table3[[#This Row],[Phon_Similarity]]</f>
        <v>0.39</v>
      </c>
      <c r="K86" s="7">
        <f xml:space="preserve"> 1- Table3[[#This Row],[Orth_Similarity]]</f>
        <v>0.17599999999999993</v>
      </c>
      <c r="L86" s="8">
        <v>5</v>
      </c>
      <c r="M86" s="8">
        <v>5</v>
      </c>
      <c r="N86" s="8">
        <v>5</v>
      </c>
      <c r="O86" s="8">
        <v>5</v>
      </c>
      <c r="P86" s="8">
        <v>3</v>
      </c>
      <c r="Q86" s="8">
        <v>2</v>
      </c>
      <c r="R86" s="8" t="s">
        <v>22</v>
      </c>
      <c r="S86" s="7">
        <v>3.9650880000000002</v>
      </c>
      <c r="T86" s="7">
        <v>4.0555712085344782</v>
      </c>
      <c r="U86" s="7">
        <v>6.1269999999999998</v>
      </c>
      <c r="V86" s="7">
        <v>0</v>
      </c>
      <c r="W86" s="7">
        <v>100</v>
      </c>
      <c r="X86" s="7">
        <v>2.88</v>
      </c>
    </row>
    <row r="87" spans="1:24" x14ac:dyDescent="0.3">
      <c r="A87" s="25"/>
      <c r="B87" s="4" t="s">
        <v>67</v>
      </c>
      <c r="C87" s="4" t="s">
        <v>322</v>
      </c>
      <c r="D87" s="4" t="s">
        <v>576</v>
      </c>
      <c r="E87" s="4" t="s">
        <v>801</v>
      </c>
      <c r="F87" s="4" t="s">
        <v>1042</v>
      </c>
      <c r="G87" s="4" t="s">
        <v>1289</v>
      </c>
      <c r="H87" s="7">
        <v>0.64</v>
      </c>
      <c r="I87" s="7">
        <v>0.45671641791044781</v>
      </c>
      <c r="J87" s="7">
        <f xml:space="preserve"> 1 - Table3[[#This Row],[Phon_Similarity]]</f>
        <v>0.36</v>
      </c>
      <c r="K87" s="7">
        <f xml:space="preserve"> 1- Table3[[#This Row],[Orth_Similarity]]</f>
        <v>0.54328358208955219</v>
      </c>
      <c r="L87" s="8">
        <v>6</v>
      </c>
      <c r="M87" s="8">
        <v>6</v>
      </c>
      <c r="N87" s="8">
        <v>7</v>
      </c>
      <c r="O87" s="8">
        <v>6</v>
      </c>
      <c r="P87" s="8">
        <v>5</v>
      </c>
      <c r="Q87" s="8">
        <v>3</v>
      </c>
      <c r="R87" s="8" t="s">
        <v>23</v>
      </c>
      <c r="S87" s="7">
        <v>3.5788410000000002</v>
      </c>
      <c r="T87" s="7">
        <v>3.4092262692885327</v>
      </c>
      <c r="U87" s="7">
        <v>5.8810000000000002</v>
      </c>
      <c r="V87" s="7">
        <v>0</v>
      </c>
      <c r="W87" s="7">
        <v>100</v>
      </c>
      <c r="X87" s="7">
        <v>2.48</v>
      </c>
    </row>
    <row r="88" spans="1:24" x14ac:dyDescent="0.3">
      <c r="A88" s="25"/>
      <c r="B88" s="4" t="s">
        <v>157</v>
      </c>
      <c r="C88" s="4" t="s">
        <v>412</v>
      </c>
      <c r="D88" s="4" t="s">
        <v>653</v>
      </c>
      <c r="E88" s="4" t="s">
        <v>888</v>
      </c>
      <c r="F88" s="4" t="s">
        <v>1131</v>
      </c>
      <c r="G88" s="4" t="s">
        <v>1286</v>
      </c>
      <c r="H88" s="7">
        <v>0.65517241379310343</v>
      </c>
      <c r="I88" s="7">
        <v>0.5</v>
      </c>
      <c r="J88" s="7">
        <f xml:space="preserve"> 1 - Table3[[#This Row],[Phon_Similarity]]</f>
        <v>0.34482758620689657</v>
      </c>
      <c r="K88" s="7">
        <f xml:space="preserve"> 1- Table3[[#This Row],[Orth_Similarity]]</f>
        <v>0.5</v>
      </c>
      <c r="L88" s="8">
        <v>4</v>
      </c>
      <c r="M88" s="8">
        <v>5</v>
      </c>
      <c r="N88" s="8">
        <v>3</v>
      </c>
      <c r="O88" s="8">
        <v>5</v>
      </c>
      <c r="P88" s="8">
        <v>2</v>
      </c>
      <c r="Q88" s="8">
        <v>3</v>
      </c>
      <c r="R88" s="8" t="s">
        <v>22</v>
      </c>
      <c r="S88" s="7">
        <v>4.3224729999999996</v>
      </c>
      <c r="T88" s="7">
        <v>4.4060223738974811</v>
      </c>
      <c r="U88" s="7">
        <v>6.4509999999999996</v>
      </c>
      <c r="V88" s="7">
        <v>0</v>
      </c>
      <c r="W88" s="7">
        <v>100</v>
      </c>
      <c r="X88" s="7">
        <v>2.0707070710000002</v>
      </c>
    </row>
    <row r="89" spans="1:24" x14ac:dyDescent="0.3">
      <c r="A89" s="25"/>
      <c r="B89" s="4" t="s">
        <v>125</v>
      </c>
      <c r="C89" s="4" t="s">
        <v>380</v>
      </c>
      <c r="D89" s="4" t="s">
        <v>624</v>
      </c>
      <c r="E89" s="4" t="s">
        <v>857</v>
      </c>
      <c r="F89" s="4" t="s">
        <v>1100</v>
      </c>
      <c r="G89" s="4" t="s">
        <v>1285</v>
      </c>
      <c r="H89" s="7">
        <v>0.65614035087719302</v>
      </c>
      <c r="I89" s="7">
        <v>0.67333333333333334</v>
      </c>
      <c r="J89" s="7">
        <f xml:space="preserve"> 1 - Table3[[#This Row],[Phon_Similarity]]</f>
        <v>0.34385964912280698</v>
      </c>
      <c r="K89" s="7">
        <f xml:space="preserve"> 1- Table3[[#This Row],[Orth_Similarity]]</f>
        <v>0.32666666666666666</v>
      </c>
      <c r="L89" s="8">
        <v>6</v>
      </c>
      <c r="M89" s="8">
        <v>6</v>
      </c>
      <c r="N89" s="8">
        <v>6</v>
      </c>
      <c r="O89" s="8">
        <v>6</v>
      </c>
      <c r="P89" s="8">
        <v>5</v>
      </c>
      <c r="Q89" s="8">
        <v>3</v>
      </c>
      <c r="R89" s="8" t="s">
        <v>23</v>
      </c>
      <c r="S89" s="7">
        <v>3.9318909999999998</v>
      </c>
      <c r="T89" s="7">
        <v>4.3894626751182368</v>
      </c>
      <c r="U89" s="7">
        <v>6.0609999999999999</v>
      </c>
      <c r="V89" s="7">
        <v>0</v>
      </c>
      <c r="W89" s="7">
        <v>100</v>
      </c>
      <c r="X89" s="7">
        <v>2.82</v>
      </c>
    </row>
    <row r="90" spans="1:24" x14ac:dyDescent="0.3">
      <c r="A90" s="25"/>
      <c r="B90" s="4" t="s">
        <v>88</v>
      </c>
      <c r="C90" s="4" t="s">
        <v>343</v>
      </c>
      <c r="D90" s="4" t="s">
        <v>593</v>
      </c>
      <c r="E90" s="4" t="s">
        <v>820</v>
      </c>
      <c r="F90" s="4" t="s">
        <v>1063</v>
      </c>
      <c r="G90" s="4" t="s">
        <v>1410</v>
      </c>
      <c r="H90" s="7">
        <v>0.65625</v>
      </c>
      <c r="I90" s="7">
        <v>0.53239436619718306</v>
      </c>
      <c r="J90" s="7">
        <f xml:space="preserve"> 1 - Table3[[#This Row],[Phon_Similarity]]</f>
        <v>0.34375</v>
      </c>
      <c r="K90" s="7">
        <f xml:space="preserve"> 1- Table3[[#This Row],[Orth_Similarity]]</f>
        <v>0.46760563380281694</v>
      </c>
      <c r="L90" s="8">
        <v>6</v>
      </c>
      <c r="M90" s="8">
        <v>7</v>
      </c>
      <c r="N90" s="8">
        <v>6</v>
      </c>
      <c r="O90" s="8">
        <v>7</v>
      </c>
      <c r="P90" s="8">
        <v>5</v>
      </c>
      <c r="Q90" s="8">
        <v>2</v>
      </c>
      <c r="R90" s="8" t="s">
        <v>23</v>
      </c>
      <c r="S90" s="7">
        <v>4.0118689999999999</v>
      </c>
      <c r="T90" s="7">
        <v>4.1814571526761704</v>
      </c>
      <c r="U90" s="7">
        <v>5.5119999999999996</v>
      </c>
      <c r="V90" s="7">
        <v>0</v>
      </c>
      <c r="W90" s="7">
        <v>100</v>
      </c>
      <c r="X90" s="7">
        <v>3.17</v>
      </c>
    </row>
    <row r="91" spans="1:24" x14ac:dyDescent="0.3">
      <c r="A91" s="25"/>
      <c r="B91" s="4" t="s">
        <v>305</v>
      </c>
      <c r="C91" s="4" t="s">
        <v>560</v>
      </c>
      <c r="D91" s="4" t="s">
        <v>788</v>
      </c>
      <c r="E91" s="4" t="s">
        <v>1026</v>
      </c>
      <c r="F91" s="4" t="s">
        <v>1275</v>
      </c>
      <c r="G91" s="4" t="s">
        <v>1286</v>
      </c>
      <c r="H91" s="7">
        <v>0.66666666666666674</v>
      </c>
      <c r="I91" s="7">
        <v>0.65</v>
      </c>
      <c r="J91" s="7">
        <f xml:space="preserve"> 1 - Table3[[#This Row],[Phon_Similarity]]</f>
        <v>0.33333333333333326</v>
      </c>
      <c r="K91" s="7">
        <f xml:space="preserve"> 1- Table3[[#This Row],[Orth_Similarity]]</f>
        <v>0.35</v>
      </c>
      <c r="L91" s="8">
        <v>6</v>
      </c>
      <c r="M91" s="8">
        <v>7</v>
      </c>
      <c r="N91" s="8">
        <v>5</v>
      </c>
      <c r="O91" s="8">
        <v>7</v>
      </c>
      <c r="P91" s="8">
        <v>3</v>
      </c>
      <c r="Q91" s="8">
        <v>3</v>
      </c>
      <c r="R91" s="8" t="s">
        <v>22</v>
      </c>
      <c r="S91" s="7">
        <v>5.1716009999999999</v>
      </c>
      <c r="T91" s="7">
        <v>5.2995834974940141</v>
      </c>
      <c r="U91" s="7">
        <v>6.1580000000000004</v>
      </c>
      <c r="V91" s="7">
        <v>0</v>
      </c>
      <c r="W91" s="7">
        <v>100</v>
      </c>
      <c r="X91" s="7">
        <v>1.21</v>
      </c>
    </row>
    <row r="92" spans="1:24" x14ac:dyDescent="0.3">
      <c r="A92" s="25"/>
      <c r="B92" s="4" t="s">
        <v>137</v>
      </c>
      <c r="C92" s="4" t="s">
        <v>392</v>
      </c>
      <c r="D92" s="4" t="s">
        <v>636</v>
      </c>
      <c r="E92" s="4" t="s">
        <v>868</v>
      </c>
      <c r="F92" s="4" t="s">
        <v>1111</v>
      </c>
      <c r="G92" s="4" t="s">
        <v>1293</v>
      </c>
      <c r="H92" s="7">
        <v>0.67272727272727273</v>
      </c>
      <c r="I92" s="7">
        <v>0.5185185185185186</v>
      </c>
      <c r="J92" s="7">
        <f xml:space="preserve"> 1 - Table3[[#This Row],[Phon_Similarity]]</f>
        <v>0.32727272727272727</v>
      </c>
      <c r="K92" s="7">
        <f xml:space="preserve"> 1- Table3[[#This Row],[Orth_Similarity]]</f>
        <v>0.4814814814814814</v>
      </c>
      <c r="L92" s="8">
        <v>5</v>
      </c>
      <c r="M92" s="8">
        <v>6</v>
      </c>
      <c r="N92" s="8">
        <v>4</v>
      </c>
      <c r="O92" s="8">
        <v>6</v>
      </c>
      <c r="P92" s="8">
        <v>3</v>
      </c>
      <c r="Q92" s="8">
        <v>2</v>
      </c>
      <c r="R92" s="8" t="s">
        <v>22</v>
      </c>
      <c r="S92" s="7">
        <v>4.0460500000000001</v>
      </c>
      <c r="T92" s="7">
        <v>4.8123434701828387</v>
      </c>
      <c r="U92" s="7">
        <v>4.9930000000000003</v>
      </c>
      <c r="V92" s="7">
        <v>0.39156941699999998</v>
      </c>
      <c r="W92" s="7">
        <v>93.81443299</v>
      </c>
      <c r="X92" s="7">
        <v>3.56</v>
      </c>
    </row>
    <row r="93" spans="1:24" x14ac:dyDescent="0.3">
      <c r="A93" s="25"/>
      <c r="B93" s="4" t="s">
        <v>62</v>
      </c>
      <c r="C93" s="4" t="s">
        <v>317</v>
      </c>
      <c r="D93" s="4" t="s">
        <v>317</v>
      </c>
      <c r="E93" s="4" t="s">
        <v>796</v>
      </c>
      <c r="F93" s="4" t="s">
        <v>1037</v>
      </c>
      <c r="G93" s="4" t="s">
        <v>1287</v>
      </c>
      <c r="H93" s="7">
        <v>0.68510638297872339</v>
      </c>
      <c r="I93" s="7">
        <v>0.65957446808510634</v>
      </c>
      <c r="J93" s="7">
        <f xml:space="preserve"> 1 - Table3[[#This Row],[Phon_Similarity]]</f>
        <v>0.31489361702127661</v>
      </c>
      <c r="K93" s="7">
        <f xml:space="preserve"> 1- Table3[[#This Row],[Orth_Similarity]]</f>
        <v>0.34042553191489366</v>
      </c>
      <c r="L93" s="8">
        <v>5</v>
      </c>
      <c r="M93" s="8">
        <v>4</v>
      </c>
      <c r="N93" s="8">
        <v>5</v>
      </c>
      <c r="O93" s="8">
        <v>4</v>
      </c>
      <c r="P93" s="8">
        <v>4</v>
      </c>
      <c r="Q93" s="8">
        <v>3</v>
      </c>
      <c r="R93" s="8" t="s">
        <v>23</v>
      </c>
      <c r="S93" s="7">
        <v>5.0010680000000001</v>
      </c>
      <c r="T93" s="7">
        <v>5.1023610540617961</v>
      </c>
      <c r="U93" s="7">
        <v>6.782</v>
      </c>
      <c r="V93" s="7">
        <v>0.28853851400000002</v>
      </c>
      <c r="W93" s="7">
        <v>94.949494950000002</v>
      </c>
      <c r="X93" s="7">
        <v>1.79</v>
      </c>
    </row>
    <row r="94" spans="1:24" x14ac:dyDescent="0.3">
      <c r="A94" s="25"/>
      <c r="B94" s="4" t="s">
        <v>229</v>
      </c>
      <c r="C94" s="4" t="s">
        <v>484</v>
      </c>
      <c r="D94" s="4" t="s">
        <v>718</v>
      </c>
      <c r="E94" s="4" t="s">
        <v>957</v>
      </c>
      <c r="F94" s="4" t="s">
        <v>1201</v>
      </c>
      <c r="G94" s="4" t="s">
        <v>1294</v>
      </c>
      <c r="H94" s="7">
        <v>0.68888888888888888</v>
      </c>
      <c r="I94" s="7">
        <v>0.67213114754098369</v>
      </c>
      <c r="J94" s="7">
        <f xml:space="preserve"> 1 - Table3[[#This Row],[Phon_Similarity]]</f>
        <v>0.31111111111111112</v>
      </c>
      <c r="K94" s="7">
        <f xml:space="preserve"> 1- Table3[[#This Row],[Orth_Similarity]]</f>
        <v>0.32786885245901631</v>
      </c>
      <c r="L94" s="8">
        <v>6</v>
      </c>
      <c r="M94" s="8">
        <v>6</v>
      </c>
      <c r="N94" s="8">
        <v>5</v>
      </c>
      <c r="O94" s="8">
        <v>6</v>
      </c>
      <c r="P94" s="8">
        <v>4</v>
      </c>
      <c r="Q94" s="8">
        <v>2</v>
      </c>
      <c r="R94" s="8" t="s">
        <v>22</v>
      </c>
      <c r="S94" s="7">
        <v>4.0474439999999996</v>
      </c>
      <c r="T94" s="7">
        <v>4.2162192589353822</v>
      </c>
      <c r="U94" s="7">
        <v>6.548</v>
      </c>
      <c r="V94" s="7">
        <v>0.14257333</v>
      </c>
      <c r="W94" s="7">
        <v>97.979797980000001</v>
      </c>
      <c r="X94" s="7">
        <v>2.75</v>
      </c>
    </row>
    <row r="95" spans="1:24" x14ac:dyDescent="0.3">
      <c r="A95" s="25"/>
      <c r="B95" s="4" t="s">
        <v>265</v>
      </c>
      <c r="C95" s="4" t="s">
        <v>520</v>
      </c>
      <c r="D95" s="4" t="s">
        <v>752</v>
      </c>
      <c r="E95" s="4" t="s">
        <v>990</v>
      </c>
      <c r="F95" s="4" t="s">
        <v>1236</v>
      </c>
      <c r="G95" s="4" t="s">
        <v>1289</v>
      </c>
      <c r="H95" s="7">
        <v>0.69180327868852465</v>
      </c>
      <c r="I95" s="7">
        <v>0.54666666666666663</v>
      </c>
      <c r="J95" s="7">
        <f xml:space="preserve"> 1 - Table3[[#This Row],[Phon_Similarity]]</f>
        <v>0.30819672131147535</v>
      </c>
      <c r="K95" s="7">
        <f xml:space="preserve"> 1- Table3[[#This Row],[Orth_Similarity]]</f>
        <v>0.45333333333333337</v>
      </c>
      <c r="L95" s="8">
        <v>7</v>
      </c>
      <c r="M95" s="8">
        <v>6</v>
      </c>
      <c r="N95" s="8">
        <v>7</v>
      </c>
      <c r="O95" s="8">
        <v>6</v>
      </c>
      <c r="P95" s="8">
        <v>5</v>
      </c>
      <c r="Q95" s="8">
        <v>3</v>
      </c>
      <c r="R95" s="8" t="s">
        <v>23</v>
      </c>
      <c r="S95" s="7">
        <v>4.1588599999999998</v>
      </c>
      <c r="T95" s="7">
        <v>3.6106075437346408</v>
      </c>
      <c r="U95" s="7">
        <v>5.4379999999999997</v>
      </c>
      <c r="V95" s="7">
        <v>0.141440543</v>
      </c>
      <c r="W95" s="7">
        <v>98</v>
      </c>
      <c r="X95" s="7">
        <v>2.52</v>
      </c>
    </row>
    <row r="96" spans="1:24" x14ac:dyDescent="0.3">
      <c r="A96" s="25"/>
      <c r="B96" s="4" t="s">
        <v>60</v>
      </c>
      <c r="C96" s="4" t="s">
        <v>315</v>
      </c>
      <c r="D96" s="4" t="s">
        <v>570</v>
      </c>
      <c r="E96" s="4" t="s">
        <v>794</v>
      </c>
      <c r="F96" s="4" t="s">
        <v>1035</v>
      </c>
      <c r="G96" s="4" t="s">
        <v>1285</v>
      </c>
      <c r="H96" s="7">
        <v>0.70370370370370372</v>
      </c>
      <c r="I96" s="7">
        <v>0.72</v>
      </c>
      <c r="J96" s="7">
        <f xml:space="preserve"> 1 - Table3[[#This Row],[Phon_Similarity]]</f>
        <v>0.29629629629629628</v>
      </c>
      <c r="K96" s="7">
        <f xml:space="preserve"> 1- Table3[[#This Row],[Orth_Similarity]]</f>
        <v>0.28000000000000003</v>
      </c>
      <c r="L96" s="8">
        <v>5</v>
      </c>
      <c r="M96" s="8">
        <v>5</v>
      </c>
      <c r="N96" s="8">
        <v>5</v>
      </c>
      <c r="O96" s="8">
        <v>5</v>
      </c>
      <c r="P96" s="8">
        <v>3</v>
      </c>
      <c r="Q96" s="8">
        <v>2</v>
      </c>
      <c r="R96" s="8" t="s">
        <v>22</v>
      </c>
      <c r="S96" s="7">
        <v>3.9308990000000001</v>
      </c>
      <c r="T96" s="7">
        <v>4.4148183000960763</v>
      </c>
      <c r="U96" s="7">
        <v>6.2130000000000001</v>
      </c>
      <c r="V96" s="7">
        <v>0.28853851400000002</v>
      </c>
      <c r="W96" s="7">
        <v>94.949494950000002</v>
      </c>
      <c r="X96" s="7">
        <v>2.74</v>
      </c>
    </row>
    <row r="97" spans="1:24" x14ac:dyDescent="0.3">
      <c r="A97" s="25"/>
      <c r="B97" s="4" t="s">
        <v>149</v>
      </c>
      <c r="C97" s="4" t="s">
        <v>404</v>
      </c>
      <c r="D97" s="4" t="s">
        <v>646</v>
      </c>
      <c r="E97" s="4" t="s">
        <v>880</v>
      </c>
      <c r="F97" s="4" t="s">
        <v>1123</v>
      </c>
      <c r="G97" s="4" t="s">
        <v>1291</v>
      </c>
      <c r="H97" s="7">
        <v>0.70491803278688525</v>
      </c>
      <c r="I97" s="7">
        <v>0.70491803278688525</v>
      </c>
      <c r="J97" s="7">
        <f xml:space="preserve"> 1 - Table3[[#This Row],[Phon_Similarity]]</f>
        <v>0.29508196721311475</v>
      </c>
      <c r="K97" s="7">
        <f xml:space="preserve"> 1- Table3[[#This Row],[Orth_Similarity]]</f>
        <v>0.29508196721311475</v>
      </c>
      <c r="L97" s="8">
        <v>6</v>
      </c>
      <c r="M97" s="8">
        <v>5</v>
      </c>
      <c r="N97" s="8">
        <v>6</v>
      </c>
      <c r="O97" s="8">
        <v>5</v>
      </c>
      <c r="P97" s="8">
        <v>6</v>
      </c>
      <c r="Q97" s="8">
        <v>2</v>
      </c>
      <c r="R97" s="8" t="s">
        <v>23</v>
      </c>
      <c r="S97" s="7">
        <v>4.3576740000000003</v>
      </c>
      <c r="T97" s="7">
        <v>4.0757659741624206</v>
      </c>
      <c r="U97" s="7">
        <v>5.7969999999999997</v>
      </c>
      <c r="V97" s="7">
        <v>0</v>
      </c>
      <c r="W97" s="7">
        <v>100</v>
      </c>
      <c r="X97" s="7">
        <v>2.33</v>
      </c>
    </row>
    <row r="98" spans="1:24" x14ac:dyDescent="0.3">
      <c r="A98" s="25"/>
      <c r="B98" s="4" t="s">
        <v>71</v>
      </c>
      <c r="C98" s="4" t="s">
        <v>326</v>
      </c>
      <c r="D98" s="4" t="s">
        <v>579</v>
      </c>
      <c r="E98" s="4" t="s">
        <v>804</v>
      </c>
      <c r="F98" s="4" t="s">
        <v>1046</v>
      </c>
      <c r="G98" s="4" t="s">
        <v>1290</v>
      </c>
      <c r="H98" s="7">
        <v>0.71063829787234045</v>
      </c>
      <c r="I98" s="7">
        <v>0.73617021276595751</v>
      </c>
      <c r="J98" s="7">
        <f xml:space="preserve"> 1 - Table3[[#This Row],[Phon_Similarity]]</f>
        <v>0.28936170212765955</v>
      </c>
      <c r="K98" s="7">
        <f xml:space="preserve"> 1- Table3[[#This Row],[Orth_Similarity]]</f>
        <v>0.26382978723404249</v>
      </c>
      <c r="L98" s="8">
        <v>6</v>
      </c>
      <c r="M98" s="8">
        <v>6</v>
      </c>
      <c r="N98" s="8">
        <v>4</v>
      </c>
      <c r="O98" s="8">
        <v>6</v>
      </c>
      <c r="P98" s="8">
        <v>3</v>
      </c>
      <c r="Q98" s="8">
        <v>3</v>
      </c>
      <c r="R98" s="8" t="s">
        <v>22</v>
      </c>
      <c r="S98" s="7">
        <v>3.8510230000000001</v>
      </c>
      <c r="T98" s="7">
        <v>4.0723126832511021</v>
      </c>
      <c r="U98" s="7">
        <v>0</v>
      </c>
      <c r="V98" s="7">
        <v>0.46899559400000002</v>
      </c>
      <c r="W98" s="7">
        <v>90</v>
      </c>
      <c r="X98" s="7">
        <v>2.59</v>
      </c>
    </row>
    <row r="99" spans="1:24" x14ac:dyDescent="0.3">
      <c r="A99" s="25"/>
      <c r="B99" s="4" t="s">
        <v>244</v>
      </c>
      <c r="C99" s="4" t="s">
        <v>499</v>
      </c>
      <c r="D99" s="4" t="s">
        <v>733</v>
      </c>
      <c r="E99" s="4" t="s">
        <v>971</v>
      </c>
      <c r="F99" s="4" t="s">
        <v>1215</v>
      </c>
      <c r="G99" s="4" t="s">
        <v>1294</v>
      </c>
      <c r="H99" s="7">
        <v>0.71818181818181825</v>
      </c>
      <c r="I99" s="7">
        <v>0.69411764705882351</v>
      </c>
      <c r="J99" s="7">
        <f xml:space="preserve"> 1 - Table3[[#This Row],[Phon_Similarity]]</f>
        <v>0.28181818181818175</v>
      </c>
      <c r="K99" s="7">
        <f xml:space="preserve"> 1- Table3[[#This Row],[Orth_Similarity]]</f>
        <v>0.30588235294117649</v>
      </c>
      <c r="L99" s="8">
        <v>5</v>
      </c>
      <c r="M99" s="8">
        <v>5</v>
      </c>
      <c r="N99" s="8">
        <v>4</v>
      </c>
      <c r="O99" s="8">
        <v>5</v>
      </c>
      <c r="P99" s="8">
        <v>3</v>
      </c>
      <c r="Q99" s="8">
        <v>2</v>
      </c>
      <c r="R99" s="8" t="s">
        <v>22</v>
      </c>
      <c r="S99" s="7">
        <v>4.6308280000000002</v>
      </c>
      <c r="T99" s="7">
        <v>4.7661799761675372</v>
      </c>
      <c r="U99" s="7">
        <v>6.2930000000000001</v>
      </c>
      <c r="V99" s="7">
        <v>0.24229218899999999</v>
      </c>
      <c r="W99" s="7">
        <v>96</v>
      </c>
      <c r="X99" s="7">
        <v>2.89</v>
      </c>
    </row>
    <row r="100" spans="1:24" x14ac:dyDescent="0.3">
      <c r="A100" s="25"/>
      <c r="B100" s="4" t="s">
        <v>228</v>
      </c>
      <c r="C100" s="4" t="s">
        <v>483</v>
      </c>
      <c r="D100" s="4" t="s">
        <v>717</v>
      </c>
      <c r="E100" s="4" t="s">
        <v>956</v>
      </c>
      <c r="F100" s="4" t="s">
        <v>1200</v>
      </c>
      <c r="G100" s="4" t="s">
        <v>1285</v>
      </c>
      <c r="H100" s="7">
        <v>0.7191489361702128</v>
      </c>
      <c r="I100" s="7">
        <v>0.57647058823529407</v>
      </c>
      <c r="J100" s="7">
        <f xml:space="preserve"> 1 - Table3[[#This Row],[Phon_Similarity]]</f>
        <v>0.2808510638297872</v>
      </c>
      <c r="K100" s="7">
        <f xml:space="preserve"> 1- Table3[[#This Row],[Orth_Similarity]]</f>
        <v>0.42352941176470593</v>
      </c>
      <c r="L100" s="8">
        <v>6</v>
      </c>
      <c r="M100" s="8">
        <v>7</v>
      </c>
      <c r="N100" s="8">
        <v>5</v>
      </c>
      <c r="O100" s="8">
        <v>7</v>
      </c>
      <c r="P100" s="8">
        <v>3</v>
      </c>
      <c r="Q100" s="8">
        <v>3</v>
      </c>
      <c r="R100" s="8" t="s">
        <v>22</v>
      </c>
      <c r="S100" s="7">
        <v>3.532546</v>
      </c>
      <c r="T100" s="7">
        <v>4.1734356545267213</v>
      </c>
      <c r="U100" s="7">
        <v>0</v>
      </c>
      <c r="V100" s="7">
        <v>0</v>
      </c>
      <c r="W100" s="7">
        <v>100</v>
      </c>
      <c r="X100" s="7">
        <v>2.63</v>
      </c>
    </row>
    <row r="101" spans="1:24" x14ac:dyDescent="0.3">
      <c r="A101" s="25"/>
      <c r="B101" s="4" t="s">
        <v>314</v>
      </c>
      <c r="C101" s="4" t="s">
        <v>569</v>
      </c>
      <c r="D101" s="4" t="s">
        <v>793</v>
      </c>
      <c r="E101" s="4" t="s">
        <v>1034</v>
      </c>
      <c r="F101" s="4" t="s">
        <v>1284</v>
      </c>
      <c r="G101" s="4" t="s">
        <v>1290</v>
      </c>
      <c r="H101" s="7">
        <v>0.71940298507462686</v>
      </c>
      <c r="I101" s="7">
        <v>0.64864864864864868</v>
      </c>
      <c r="J101" s="7">
        <f xml:space="preserve"> 1 - Table3[[#This Row],[Phon_Similarity]]</f>
        <v>0.28059701492537314</v>
      </c>
      <c r="K101" s="7">
        <f xml:space="preserve"> 1- Table3[[#This Row],[Orth_Similarity]]</f>
        <v>0.35135135135135132</v>
      </c>
      <c r="L101" s="8">
        <v>8</v>
      </c>
      <c r="M101" s="8">
        <v>6</v>
      </c>
      <c r="N101" s="8">
        <v>8</v>
      </c>
      <c r="O101" s="8">
        <v>6</v>
      </c>
      <c r="P101" s="8">
        <v>6</v>
      </c>
      <c r="Q101" s="8">
        <v>3</v>
      </c>
      <c r="R101" s="8" t="s">
        <v>23</v>
      </c>
      <c r="S101" s="7">
        <v>4.6494090000000003</v>
      </c>
      <c r="T101" s="7">
        <v>4.7656626949470624</v>
      </c>
      <c r="U101" s="7">
        <v>6.6559999999999997</v>
      </c>
      <c r="V101" s="7">
        <v>0.14372616999999999</v>
      </c>
      <c r="W101" s="7">
        <v>97.959183670000002</v>
      </c>
      <c r="X101" s="7">
        <v>2.74</v>
      </c>
    </row>
    <row r="102" spans="1:24" x14ac:dyDescent="0.3">
      <c r="A102" s="25"/>
      <c r="B102" s="4" t="s">
        <v>200</v>
      </c>
      <c r="C102" s="4" t="s">
        <v>455</v>
      </c>
      <c r="D102" s="4" t="s">
        <v>690</v>
      </c>
      <c r="E102" s="4" t="s">
        <v>931</v>
      </c>
      <c r="F102" s="4" t="s">
        <v>1174</v>
      </c>
      <c r="G102" s="4" t="s">
        <v>1286</v>
      </c>
      <c r="H102" s="7">
        <v>0.72972972972972971</v>
      </c>
      <c r="I102" s="7">
        <v>0.6</v>
      </c>
      <c r="J102" s="7">
        <f xml:space="preserve"> 1 - Table3[[#This Row],[Phon_Similarity]]</f>
        <v>0.27027027027027029</v>
      </c>
      <c r="K102" s="7">
        <f xml:space="preserve"> 1- Table3[[#This Row],[Orth_Similarity]]</f>
        <v>0.4</v>
      </c>
      <c r="L102" s="8">
        <v>4</v>
      </c>
      <c r="M102" s="8">
        <v>5</v>
      </c>
      <c r="N102" s="8">
        <v>3</v>
      </c>
      <c r="O102" s="8">
        <v>5</v>
      </c>
      <c r="P102" s="8">
        <v>2</v>
      </c>
      <c r="Q102" s="8">
        <v>2</v>
      </c>
      <c r="R102" s="8" t="s">
        <v>22</v>
      </c>
      <c r="S102" s="7">
        <v>4.6882380000000001</v>
      </c>
      <c r="T102" s="7">
        <v>4.7021161847442832</v>
      </c>
      <c r="U102" s="7">
        <v>6.0860000000000003</v>
      </c>
      <c r="V102" s="7">
        <v>0</v>
      </c>
      <c r="W102" s="7">
        <v>100</v>
      </c>
      <c r="X102" s="7">
        <v>1.63</v>
      </c>
    </row>
    <row r="103" spans="1:24" x14ac:dyDescent="0.3">
      <c r="A103" s="25"/>
      <c r="B103" s="4" t="s">
        <v>276</v>
      </c>
      <c r="C103" s="4" t="s">
        <v>531</v>
      </c>
      <c r="D103" s="4" t="s">
        <v>762</v>
      </c>
      <c r="E103" s="4" t="s">
        <v>999</v>
      </c>
      <c r="F103" s="4" t="s">
        <v>1246</v>
      </c>
      <c r="G103" s="4" t="s">
        <v>1287</v>
      </c>
      <c r="H103" s="7">
        <v>0.74468085106382986</v>
      </c>
      <c r="I103" s="7">
        <v>0.66792452830188687</v>
      </c>
      <c r="J103" s="7">
        <f xml:space="preserve"> 1 - Table3[[#This Row],[Phon_Similarity]]</f>
        <v>0.25531914893617014</v>
      </c>
      <c r="K103" s="7">
        <f xml:space="preserve"> 1- Table3[[#This Row],[Orth_Similarity]]</f>
        <v>0.33207547169811313</v>
      </c>
      <c r="L103" s="8">
        <v>5</v>
      </c>
      <c r="M103" s="8">
        <v>5</v>
      </c>
      <c r="N103" s="8">
        <v>6</v>
      </c>
      <c r="O103" s="8">
        <v>5</v>
      </c>
      <c r="P103" s="8">
        <v>3</v>
      </c>
      <c r="Q103" s="8">
        <v>2</v>
      </c>
      <c r="R103" s="8" t="s">
        <v>23</v>
      </c>
      <c r="S103" s="7">
        <v>3.9109240000000001</v>
      </c>
      <c r="T103" s="7">
        <v>3.9779045044992318</v>
      </c>
      <c r="U103" s="7">
        <v>6.3920000000000003</v>
      </c>
      <c r="V103" s="7">
        <v>0</v>
      </c>
      <c r="W103" s="7">
        <v>100</v>
      </c>
      <c r="X103" s="7">
        <v>2.11</v>
      </c>
    </row>
    <row r="104" spans="1:24" x14ac:dyDescent="0.3">
      <c r="A104" s="25"/>
      <c r="B104" s="4" t="s">
        <v>250</v>
      </c>
      <c r="C104" s="4" t="s">
        <v>505</v>
      </c>
      <c r="D104" s="4" t="s">
        <v>739</v>
      </c>
      <c r="E104" s="4" t="s">
        <v>977</v>
      </c>
      <c r="F104" s="4" t="s">
        <v>1221</v>
      </c>
      <c r="G104" s="4" t="s">
        <v>1297</v>
      </c>
      <c r="H104" s="7">
        <v>0.75</v>
      </c>
      <c r="I104" s="7">
        <v>0.54893617021276597</v>
      </c>
      <c r="J104" s="7">
        <f xml:space="preserve"> 1 - Table3[[#This Row],[Phon_Similarity]]</f>
        <v>0.25</v>
      </c>
      <c r="K104" s="7">
        <f xml:space="preserve"> 1- Table3[[#This Row],[Orth_Similarity]]</f>
        <v>0.45106382978723403</v>
      </c>
      <c r="L104" s="8">
        <v>5</v>
      </c>
      <c r="M104" s="8">
        <v>4</v>
      </c>
      <c r="N104" s="8">
        <v>5</v>
      </c>
      <c r="O104" s="8">
        <v>4</v>
      </c>
      <c r="P104" s="8">
        <v>4</v>
      </c>
      <c r="Q104" s="8">
        <v>3</v>
      </c>
      <c r="R104" s="8" t="s">
        <v>22</v>
      </c>
      <c r="S104" s="7">
        <v>4.1773509999999998</v>
      </c>
      <c r="T104" s="7">
        <v>4.7655147870761043</v>
      </c>
      <c r="U104" s="7">
        <v>6.6180000000000003</v>
      </c>
      <c r="V104" s="7">
        <v>0</v>
      </c>
      <c r="W104" s="7">
        <v>100</v>
      </c>
      <c r="X104" s="7">
        <v>1.37</v>
      </c>
    </row>
    <row r="105" spans="1:24" x14ac:dyDescent="0.3">
      <c r="A105" s="25"/>
      <c r="B105" s="4" t="s">
        <v>235</v>
      </c>
      <c r="C105" s="4" t="s">
        <v>490</v>
      </c>
      <c r="D105" s="4" t="s">
        <v>724</v>
      </c>
      <c r="E105" s="4" t="s">
        <v>963</v>
      </c>
      <c r="F105" s="4" t="s">
        <v>1207</v>
      </c>
      <c r="G105" s="4" t="s">
        <v>1288</v>
      </c>
      <c r="H105" s="7">
        <v>0.76296296296296295</v>
      </c>
      <c r="I105" s="7">
        <v>0.69374999999999998</v>
      </c>
      <c r="J105" s="7">
        <f xml:space="preserve"> 1 - Table3[[#This Row],[Phon_Similarity]]</f>
        <v>0.23703703703703705</v>
      </c>
      <c r="K105" s="7">
        <f xml:space="preserve"> 1- Table3[[#This Row],[Orth_Similarity]]</f>
        <v>0.30625000000000002</v>
      </c>
      <c r="L105" s="8">
        <v>6</v>
      </c>
      <c r="M105" s="8">
        <v>7</v>
      </c>
      <c r="N105" s="8">
        <v>5</v>
      </c>
      <c r="O105" s="8">
        <v>7</v>
      </c>
      <c r="P105" s="8">
        <v>3</v>
      </c>
      <c r="Q105" s="8">
        <v>3</v>
      </c>
      <c r="R105" s="8" t="s">
        <v>23</v>
      </c>
      <c r="S105" s="7">
        <v>3.9098839999999999</v>
      </c>
      <c r="T105" s="7">
        <v>4.5841960442299765</v>
      </c>
      <c r="U105" s="7">
        <v>6.58</v>
      </c>
      <c r="V105" s="7">
        <v>0</v>
      </c>
      <c r="W105" s="7">
        <v>100</v>
      </c>
      <c r="X105" s="7">
        <v>2.13</v>
      </c>
    </row>
    <row r="106" spans="1:24" x14ac:dyDescent="0.3">
      <c r="A106" s="25"/>
      <c r="B106" s="4" t="s">
        <v>243</v>
      </c>
      <c r="C106" s="4" t="s">
        <v>498</v>
      </c>
      <c r="D106" s="4" t="s">
        <v>732</v>
      </c>
      <c r="E106" s="4" t="s">
        <v>970</v>
      </c>
      <c r="F106" s="4" t="s">
        <v>1214</v>
      </c>
      <c r="G106" s="4" t="s">
        <v>1291</v>
      </c>
      <c r="H106" s="7">
        <v>0.77021276595744681</v>
      </c>
      <c r="I106" s="7">
        <v>0.487719298245614</v>
      </c>
      <c r="J106" s="7">
        <f xml:space="preserve"> 1 - Table3[[#This Row],[Phon_Similarity]]</f>
        <v>0.22978723404255319</v>
      </c>
      <c r="K106" s="7">
        <f xml:space="preserve"> 1- Table3[[#This Row],[Orth_Similarity]]</f>
        <v>0.512280701754386</v>
      </c>
      <c r="L106" s="8">
        <v>4</v>
      </c>
      <c r="M106" s="8">
        <v>6</v>
      </c>
      <c r="N106" s="8">
        <v>5</v>
      </c>
      <c r="O106" s="8">
        <v>6</v>
      </c>
      <c r="P106" s="8">
        <v>4</v>
      </c>
      <c r="Q106" s="8">
        <v>2</v>
      </c>
      <c r="R106" s="8" t="s">
        <v>22</v>
      </c>
      <c r="S106" s="7">
        <v>3.5675309999999998</v>
      </c>
      <c r="T106" s="7">
        <v>3.8100130227561766</v>
      </c>
      <c r="U106" s="7">
        <v>6.3280000000000003</v>
      </c>
      <c r="V106" s="7">
        <v>0</v>
      </c>
      <c r="W106" s="7">
        <v>100</v>
      </c>
      <c r="X106" s="7">
        <v>1.92</v>
      </c>
    </row>
    <row r="107" spans="1:24" x14ac:dyDescent="0.3">
      <c r="A107" s="25"/>
      <c r="B107" s="4" t="s">
        <v>275</v>
      </c>
      <c r="C107" s="4" t="s">
        <v>530</v>
      </c>
      <c r="D107" s="4" t="s">
        <v>761</v>
      </c>
      <c r="E107" s="4" t="s">
        <v>998</v>
      </c>
      <c r="F107" s="4" t="s">
        <v>1245</v>
      </c>
      <c r="G107" s="4" t="s">
        <v>1293</v>
      </c>
      <c r="H107" s="7">
        <v>0.78723404255319152</v>
      </c>
      <c r="I107" s="7">
        <v>0.81739130434782603</v>
      </c>
      <c r="J107" s="7">
        <f xml:space="preserve"> 1 - Table3[[#This Row],[Phon_Similarity]]</f>
        <v>0.21276595744680848</v>
      </c>
      <c r="K107" s="7">
        <f xml:space="preserve"> 1- Table3[[#This Row],[Orth_Similarity]]</f>
        <v>0.18260869565217397</v>
      </c>
      <c r="L107" s="8">
        <v>6</v>
      </c>
      <c r="M107" s="8">
        <v>6</v>
      </c>
      <c r="N107" s="8">
        <v>4</v>
      </c>
      <c r="O107" s="8">
        <v>6</v>
      </c>
      <c r="P107" s="8">
        <v>3</v>
      </c>
      <c r="Q107" s="8">
        <v>3</v>
      </c>
      <c r="R107" s="8" t="s">
        <v>22</v>
      </c>
      <c r="S107" s="7">
        <v>3.7950710000000001</v>
      </c>
      <c r="T107" s="7">
        <v>4.720426588550021</v>
      </c>
      <c r="U107" s="7">
        <v>6.1369999999999996</v>
      </c>
      <c r="V107" s="7">
        <v>0</v>
      </c>
      <c r="W107" s="7">
        <v>100</v>
      </c>
      <c r="X107" s="7">
        <v>2.41</v>
      </c>
    </row>
    <row r="108" spans="1:24" x14ac:dyDescent="0.3">
      <c r="A108" s="25"/>
      <c r="B108" s="4" t="s">
        <v>216</v>
      </c>
      <c r="C108" s="4" t="s">
        <v>471</v>
      </c>
      <c r="D108" s="4" t="s">
        <v>706</v>
      </c>
      <c r="E108" s="4" t="s">
        <v>946</v>
      </c>
      <c r="F108" s="4" t="s">
        <v>1190</v>
      </c>
      <c r="G108" s="4" t="s">
        <v>1290</v>
      </c>
      <c r="H108" s="7">
        <v>0.85</v>
      </c>
      <c r="I108" s="7">
        <v>0.84</v>
      </c>
      <c r="J108" s="7">
        <f xml:space="preserve"> 1 - Table3[[#This Row],[Phon_Similarity]]</f>
        <v>0.15000000000000002</v>
      </c>
      <c r="K108" s="7">
        <f xml:space="preserve"> 1- Table3[[#This Row],[Orth_Similarity]]</f>
        <v>0.16000000000000003</v>
      </c>
      <c r="L108" s="8">
        <v>5</v>
      </c>
      <c r="M108" s="8">
        <v>5</v>
      </c>
      <c r="N108" s="8">
        <v>5</v>
      </c>
      <c r="O108" s="8">
        <v>5</v>
      </c>
      <c r="P108" s="8">
        <v>3</v>
      </c>
      <c r="Q108" s="8">
        <v>2</v>
      </c>
      <c r="R108" s="8" t="s">
        <v>22</v>
      </c>
      <c r="S108" s="7">
        <v>3.6199970000000001</v>
      </c>
      <c r="T108" s="7">
        <v>4.5068413332125203</v>
      </c>
      <c r="U108" s="7">
        <v>5.9329999999999998</v>
      </c>
      <c r="V108" s="7">
        <v>0.30217361799999998</v>
      </c>
      <c r="W108" s="7">
        <v>94.623655909999997</v>
      </c>
      <c r="X108" s="7">
        <v>1.99</v>
      </c>
    </row>
    <row r="109" spans="1:24" x14ac:dyDescent="0.3">
      <c r="A109" s="25"/>
      <c r="B109" s="4" t="s">
        <v>299</v>
      </c>
      <c r="C109" s="4" t="s">
        <v>554</v>
      </c>
      <c r="D109" s="4" t="s">
        <v>782</v>
      </c>
      <c r="E109" s="4" t="s">
        <v>1020</v>
      </c>
      <c r="F109" s="4" t="s">
        <v>1269</v>
      </c>
      <c r="G109" s="4" t="s">
        <v>1293</v>
      </c>
      <c r="H109" s="7">
        <v>0.8545454545454545</v>
      </c>
      <c r="I109" s="7">
        <v>0.78</v>
      </c>
      <c r="J109" s="7">
        <f xml:space="preserve"> 1 - Table3[[#This Row],[Phon_Similarity]]</f>
        <v>0.1454545454545455</v>
      </c>
      <c r="K109" s="7">
        <f xml:space="preserve"> 1- Table3[[#This Row],[Orth_Similarity]]</f>
        <v>0.21999999999999997</v>
      </c>
      <c r="L109" s="8">
        <v>4</v>
      </c>
      <c r="M109" s="8">
        <v>4</v>
      </c>
      <c r="N109" s="8">
        <v>4</v>
      </c>
      <c r="O109" s="8">
        <v>4</v>
      </c>
      <c r="P109" s="8">
        <v>3</v>
      </c>
      <c r="Q109" s="8">
        <v>3</v>
      </c>
      <c r="R109" s="8" t="s">
        <v>22</v>
      </c>
      <c r="S109" s="7">
        <v>4.2303550000000003</v>
      </c>
      <c r="T109" s="7">
        <v>6.4289217524815321</v>
      </c>
      <c r="U109" s="7">
        <v>6.1689999999999996</v>
      </c>
      <c r="V109" s="7">
        <v>0</v>
      </c>
      <c r="W109" s="7">
        <v>100</v>
      </c>
      <c r="X109" s="7">
        <v>2.87</v>
      </c>
    </row>
    <row r="110" spans="1:24" x14ac:dyDescent="0.3">
      <c r="A110" s="25"/>
      <c r="B110" s="4" t="s">
        <v>217</v>
      </c>
      <c r="C110" s="4" t="s">
        <v>472</v>
      </c>
      <c r="D110" s="4" t="s">
        <v>707</v>
      </c>
      <c r="E110" s="4" t="s">
        <v>947</v>
      </c>
      <c r="F110" s="4" t="s">
        <v>1191</v>
      </c>
      <c r="G110" s="4" t="s">
        <v>1290</v>
      </c>
      <c r="H110" s="7">
        <v>0.87027027027027026</v>
      </c>
      <c r="I110" s="7">
        <v>0.57446808510638303</v>
      </c>
      <c r="J110" s="7">
        <f xml:space="preserve"> 1 - Table3[[#This Row],[Phon_Similarity]]</f>
        <v>0.12972972972972974</v>
      </c>
      <c r="K110" s="7">
        <f xml:space="preserve"> 1- Table3[[#This Row],[Orth_Similarity]]</f>
        <v>0.42553191489361697</v>
      </c>
      <c r="L110" s="8">
        <v>4</v>
      </c>
      <c r="M110" s="8">
        <v>5</v>
      </c>
      <c r="N110" s="8">
        <v>4</v>
      </c>
      <c r="O110" s="8">
        <v>5</v>
      </c>
      <c r="P110" s="8">
        <v>3</v>
      </c>
      <c r="Q110" s="8">
        <v>2</v>
      </c>
      <c r="R110" s="8" t="s">
        <v>22</v>
      </c>
      <c r="S110" s="7">
        <v>5.3240080000000001</v>
      </c>
      <c r="T110" s="7">
        <v>5.2096588145190843</v>
      </c>
      <c r="U110" s="7">
        <v>6.2610000000000001</v>
      </c>
      <c r="V110" s="7">
        <v>0.28853851400000002</v>
      </c>
      <c r="W110" s="7">
        <v>94.949494950000002</v>
      </c>
      <c r="X110" s="7">
        <v>2</v>
      </c>
    </row>
    <row r="111" spans="1:24" x14ac:dyDescent="0.3">
      <c r="A111" s="26"/>
      <c r="B111" s="20" t="s">
        <v>122</v>
      </c>
      <c r="C111" s="20" t="s">
        <v>377</v>
      </c>
      <c r="D111" s="20" t="s">
        <v>621</v>
      </c>
      <c r="E111" s="20" t="s">
        <v>854</v>
      </c>
      <c r="F111" s="20" t="s">
        <v>1097</v>
      </c>
      <c r="G111" s="20" t="s">
        <v>1291</v>
      </c>
      <c r="H111" s="21">
        <v>0.92727272727272725</v>
      </c>
      <c r="I111" s="21">
        <v>0.87234042553191493</v>
      </c>
      <c r="J111" s="21">
        <f xml:space="preserve"> 1 - Table3[[#This Row],[Phon_Similarity]]</f>
        <v>7.2727272727272751E-2</v>
      </c>
      <c r="K111" s="21">
        <f xml:space="preserve"> 1- Table3[[#This Row],[Orth_Similarity]]</f>
        <v>0.12765957446808507</v>
      </c>
      <c r="L111" s="22">
        <v>5</v>
      </c>
      <c r="M111" s="22">
        <v>5</v>
      </c>
      <c r="N111" s="22">
        <v>4</v>
      </c>
      <c r="O111" s="22">
        <v>5</v>
      </c>
      <c r="P111" s="22">
        <v>3</v>
      </c>
      <c r="Q111" s="22">
        <v>2</v>
      </c>
      <c r="R111" s="22" t="s">
        <v>22</v>
      </c>
      <c r="S111" s="21">
        <v>3.156209</v>
      </c>
      <c r="T111" s="21">
        <v>3.8066619684610106</v>
      </c>
      <c r="U111" s="21">
        <v>6.1029999999999998</v>
      </c>
      <c r="V111" s="21">
        <v>0</v>
      </c>
      <c r="W111" s="21">
        <v>100</v>
      </c>
      <c r="X111" s="21">
        <v>1.67</v>
      </c>
    </row>
    <row r="112" spans="1:24" x14ac:dyDescent="0.3">
      <c r="A112" s="26"/>
      <c r="B112" s="20"/>
      <c r="C112" s="20"/>
      <c r="D112" s="20"/>
      <c r="E112" s="20"/>
      <c r="F112" s="20"/>
      <c r="G112" s="20"/>
      <c r="H112" s="21"/>
      <c r="I112" s="21"/>
      <c r="J112" s="21">
        <f xml:space="preserve"> MEDIAN(Table3[Inverse_Phon_Sim])</f>
        <v>0.54268406337371855</v>
      </c>
      <c r="K112" s="21">
        <f>MEDIAN(Table3[Inverse_Orth_Sim])</f>
        <v>0.55784574468085113</v>
      </c>
      <c r="L112" s="22"/>
      <c r="M112" s="22"/>
      <c r="N112" s="22"/>
      <c r="O112" s="22"/>
      <c r="P112" s="22"/>
      <c r="Q112" s="22"/>
      <c r="R112" s="22"/>
      <c r="S112" s="21"/>
      <c r="T112" s="21"/>
      <c r="U112" s="21"/>
      <c r="V112" s="21"/>
      <c r="W112" s="21"/>
      <c r="X112" s="2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21CD-54BB-4D61-B354-EC2B97CA9667}">
  <dimension ref="A1:X55"/>
  <sheetViews>
    <sheetView tabSelected="1" topLeftCell="A23" workbookViewId="0">
      <selection activeCell="A4" sqref="A4:X4"/>
    </sheetView>
  </sheetViews>
  <sheetFormatPr defaultRowHeight="14.4" x14ac:dyDescent="0.3"/>
  <cols>
    <col min="2" max="2" width="12.33203125" bestFit="1" customWidth="1"/>
    <col min="3" max="3" width="9.44140625" customWidth="1"/>
    <col min="6" max="6" width="10.33203125" customWidth="1"/>
    <col min="7" max="7" width="19" customWidth="1"/>
    <col min="8" max="8" width="16.109375" customWidth="1"/>
    <col min="9" max="9" width="15.44140625" customWidth="1"/>
    <col min="10" max="10" width="18.5546875" customWidth="1"/>
    <col min="11" max="11" width="17.88671875" customWidth="1"/>
    <col min="12" max="12" width="13" customWidth="1"/>
    <col min="13" max="13" width="22.109375" customWidth="1"/>
    <col min="14" max="14" width="23.5546875" customWidth="1"/>
    <col min="15" max="15" width="21.6640625" customWidth="1"/>
    <col min="16" max="16" width="23.109375" customWidth="1"/>
    <col min="17" max="17" width="16.6640625" customWidth="1"/>
    <col min="18" max="18" width="18.109375" customWidth="1"/>
    <col min="19" max="19" width="13.6640625" customWidth="1"/>
    <col min="20" max="20" width="15.109375" customWidth="1"/>
    <col min="21" max="21" width="16.33203125" customWidth="1"/>
    <col min="22" max="22" width="12.88671875" customWidth="1"/>
    <col min="23" max="23" width="21.33203125" customWidth="1"/>
    <col min="24" max="24" width="21.44140625" customWidth="1"/>
  </cols>
  <sheetData>
    <row r="1" spans="1:24" x14ac:dyDescent="0.3">
      <c r="A1" s="24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8" t="s">
        <v>7</v>
      </c>
      <c r="I1" s="18" t="s">
        <v>8</v>
      </c>
      <c r="J1" s="18" t="s">
        <v>1411</v>
      </c>
      <c r="K1" s="18" t="s">
        <v>1412</v>
      </c>
      <c r="L1" s="19" t="s">
        <v>9</v>
      </c>
      <c r="M1" s="19" t="s">
        <v>10</v>
      </c>
      <c r="N1" s="19" t="s">
        <v>11</v>
      </c>
      <c r="O1" s="19" t="s">
        <v>12</v>
      </c>
      <c r="P1" s="19" t="s">
        <v>13</v>
      </c>
      <c r="Q1" s="19" t="s">
        <v>14</v>
      </c>
      <c r="R1" s="19" t="s">
        <v>15</v>
      </c>
      <c r="S1" s="18" t="s">
        <v>16</v>
      </c>
      <c r="T1" s="18" t="s">
        <v>17</v>
      </c>
      <c r="U1" s="18" t="s">
        <v>18</v>
      </c>
      <c r="V1" s="18" t="s">
        <v>19</v>
      </c>
      <c r="W1" s="18" t="s">
        <v>20</v>
      </c>
      <c r="X1" s="18" t="s">
        <v>21</v>
      </c>
    </row>
    <row r="2" spans="1:24" s="15" customFormat="1" x14ac:dyDescent="0.3">
      <c r="A2" s="36">
        <v>30</v>
      </c>
      <c r="B2" s="37" t="s">
        <v>217</v>
      </c>
      <c r="C2" s="37" t="s">
        <v>472</v>
      </c>
      <c r="D2" s="37" t="s">
        <v>707</v>
      </c>
      <c r="E2" s="37" t="s">
        <v>947</v>
      </c>
      <c r="F2" s="37" t="s">
        <v>1191</v>
      </c>
      <c r="G2" s="37" t="s">
        <v>1290</v>
      </c>
      <c r="H2" s="38">
        <v>0.87027027027027026</v>
      </c>
      <c r="I2" s="38">
        <v>0.57446808510638303</v>
      </c>
      <c r="J2" s="38">
        <f xml:space="preserve"> 1 - Table6[[#This Row],[Phon_Similarity]]</f>
        <v>0.12972972972972974</v>
      </c>
      <c r="K2" s="38">
        <f xml:space="preserve"> 1 - Table6[[#This Row],[Orth_Similarity]]</f>
        <v>0.42553191489361697</v>
      </c>
      <c r="L2" s="39">
        <v>4</v>
      </c>
      <c r="M2" s="39">
        <v>5</v>
      </c>
      <c r="N2" s="39">
        <v>4</v>
      </c>
      <c r="O2" s="39">
        <v>5</v>
      </c>
      <c r="P2" s="39">
        <v>3</v>
      </c>
      <c r="Q2" s="39">
        <v>2</v>
      </c>
      <c r="R2" s="39" t="s">
        <v>22</v>
      </c>
      <c r="S2" s="38">
        <v>5.3240080000000001</v>
      </c>
      <c r="T2" s="38">
        <v>5.2096588145190843</v>
      </c>
      <c r="U2" s="38">
        <v>6.2610000000000001</v>
      </c>
      <c r="V2" s="38">
        <v>0.28853851400000002</v>
      </c>
      <c r="W2" s="38">
        <v>94.949494950000002</v>
      </c>
      <c r="X2" s="38">
        <v>2</v>
      </c>
    </row>
    <row r="3" spans="1:24" s="15" customFormat="1" x14ac:dyDescent="0.3">
      <c r="A3" s="36">
        <v>49</v>
      </c>
      <c r="B3" s="37" t="s">
        <v>299</v>
      </c>
      <c r="C3" s="37" t="s">
        <v>554</v>
      </c>
      <c r="D3" s="37" t="s">
        <v>782</v>
      </c>
      <c r="E3" s="37" t="s">
        <v>1020</v>
      </c>
      <c r="F3" s="37" t="s">
        <v>1269</v>
      </c>
      <c r="G3" s="37" t="s">
        <v>1293</v>
      </c>
      <c r="H3" s="38">
        <v>0.8545454545454545</v>
      </c>
      <c r="I3" s="38">
        <v>0.78</v>
      </c>
      <c r="J3" s="38">
        <f xml:space="preserve"> 1 - Table6[[#This Row],[Phon_Similarity]]</f>
        <v>0.1454545454545455</v>
      </c>
      <c r="K3" s="38">
        <f xml:space="preserve"> 1 - Table6[[#This Row],[Orth_Similarity]]</f>
        <v>0.21999999999999997</v>
      </c>
      <c r="L3" s="39">
        <v>4</v>
      </c>
      <c r="M3" s="39">
        <v>4</v>
      </c>
      <c r="N3" s="39">
        <v>4</v>
      </c>
      <c r="O3" s="39">
        <v>4</v>
      </c>
      <c r="P3" s="39">
        <v>3</v>
      </c>
      <c r="Q3" s="39">
        <v>3</v>
      </c>
      <c r="R3" s="39" t="s">
        <v>22</v>
      </c>
      <c r="S3" s="38">
        <v>4.2303550000000003</v>
      </c>
      <c r="T3" s="38">
        <v>6.4289217524815321</v>
      </c>
      <c r="U3" s="38">
        <v>6.1689999999999996</v>
      </c>
      <c r="V3" s="38">
        <v>0</v>
      </c>
      <c r="W3" s="38">
        <v>100</v>
      </c>
      <c r="X3" s="38">
        <v>2.87</v>
      </c>
    </row>
    <row r="4" spans="1:24" s="15" customFormat="1" x14ac:dyDescent="0.3">
      <c r="A4" s="36">
        <v>43</v>
      </c>
      <c r="B4" s="37" t="s">
        <v>275</v>
      </c>
      <c r="C4" s="37" t="s">
        <v>530</v>
      </c>
      <c r="D4" s="37" t="s">
        <v>761</v>
      </c>
      <c r="E4" s="37" t="s">
        <v>998</v>
      </c>
      <c r="F4" s="37" t="s">
        <v>1245</v>
      </c>
      <c r="G4" s="37" t="s">
        <v>1293</v>
      </c>
      <c r="H4" s="38">
        <v>0.78723404255319152</v>
      </c>
      <c r="I4" s="38">
        <v>0.81739130434782603</v>
      </c>
      <c r="J4" s="38">
        <f xml:space="preserve"> 1 - Table6[[#This Row],[Phon_Similarity]]</f>
        <v>0.21276595744680848</v>
      </c>
      <c r="K4" s="38">
        <f xml:space="preserve"> 1 - Table6[[#This Row],[Orth_Similarity]]</f>
        <v>0.18260869565217397</v>
      </c>
      <c r="L4" s="39">
        <v>6</v>
      </c>
      <c r="M4" s="39">
        <v>6</v>
      </c>
      <c r="N4" s="39">
        <v>4</v>
      </c>
      <c r="O4" s="39">
        <v>6</v>
      </c>
      <c r="P4" s="39">
        <v>3</v>
      </c>
      <c r="Q4" s="39">
        <v>3</v>
      </c>
      <c r="R4" s="39" t="s">
        <v>22</v>
      </c>
      <c r="S4" s="38">
        <v>3.7950710000000001</v>
      </c>
      <c r="T4" s="38">
        <v>4.720426588550021</v>
      </c>
      <c r="U4" s="38">
        <v>6.1369999999999996</v>
      </c>
      <c r="V4" s="38">
        <v>0</v>
      </c>
      <c r="W4" s="38">
        <v>100</v>
      </c>
      <c r="X4" s="38">
        <v>2.41</v>
      </c>
    </row>
    <row r="5" spans="1:24" s="15" customFormat="1" x14ac:dyDescent="0.3">
      <c r="A5" s="36">
        <v>36</v>
      </c>
      <c r="B5" s="37" t="s">
        <v>243</v>
      </c>
      <c r="C5" s="37" t="s">
        <v>498</v>
      </c>
      <c r="D5" s="37" t="s">
        <v>732</v>
      </c>
      <c r="E5" s="37" t="s">
        <v>970</v>
      </c>
      <c r="F5" s="37" t="s">
        <v>1214</v>
      </c>
      <c r="G5" s="37" t="s">
        <v>1291</v>
      </c>
      <c r="H5" s="38">
        <v>0.77021276595744681</v>
      </c>
      <c r="I5" s="38">
        <v>0.487719298245614</v>
      </c>
      <c r="J5" s="38">
        <f xml:space="preserve"> 1 - Table6[[#This Row],[Phon_Similarity]]</f>
        <v>0.22978723404255319</v>
      </c>
      <c r="K5" s="38">
        <f xml:space="preserve"> 1 - Table6[[#This Row],[Orth_Similarity]]</f>
        <v>0.512280701754386</v>
      </c>
      <c r="L5" s="39">
        <v>4</v>
      </c>
      <c r="M5" s="39">
        <v>6</v>
      </c>
      <c r="N5" s="39">
        <v>5</v>
      </c>
      <c r="O5" s="39">
        <v>6</v>
      </c>
      <c r="P5" s="39">
        <v>4</v>
      </c>
      <c r="Q5" s="39">
        <v>2</v>
      </c>
      <c r="R5" s="39" t="s">
        <v>22</v>
      </c>
      <c r="S5" s="38">
        <v>3.5675309999999998</v>
      </c>
      <c r="T5" s="38">
        <v>3.8100130227561766</v>
      </c>
      <c r="U5" s="38">
        <v>6.3280000000000003</v>
      </c>
      <c r="V5" s="38">
        <v>0</v>
      </c>
      <c r="W5" s="38">
        <v>100</v>
      </c>
      <c r="X5" s="38">
        <v>1.92</v>
      </c>
    </row>
    <row r="6" spans="1:24" s="15" customFormat="1" x14ac:dyDescent="0.3">
      <c r="A6" s="36">
        <v>35</v>
      </c>
      <c r="B6" s="37" t="s">
        <v>235</v>
      </c>
      <c r="C6" s="37" t="s">
        <v>490</v>
      </c>
      <c r="D6" s="37" t="s">
        <v>724</v>
      </c>
      <c r="E6" s="37" t="s">
        <v>963</v>
      </c>
      <c r="F6" s="37" t="s">
        <v>1207</v>
      </c>
      <c r="G6" s="37" t="s">
        <v>1288</v>
      </c>
      <c r="H6" s="38">
        <v>0.76296296296296295</v>
      </c>
      <c r="I6" s="38">
        <v>0.69374999999999998</v>
      </c>
      <c r="J6" s="38">
        <f xml:space="preserve"> 1 - Table6[[#This Row],[Phon_Similarity]]</f>
        <v>0.23703703703703705</v>
      </c>
      <c r="K6" s="38">
        <f xml:space="preserve"> 1 - Table6[[#This Row],[Orth_Similarity]]</f>
        <v>0.30625000000000002</v>
      </c>
      <c r="L6" s="39">
        <v>6</v>
      </c>
      <c r="M6" s="39">
        <v>7</v>
      </c>
      <c r="N6" s="39">
        <v>5</v>
      </c>
      <c r="O6" s="39">
        <v>7</v>
      </c>
      <c r="P6" s="39">
        <v>3</v>
      </c>
      <c r="Q6" s="39">
        <v>3</v>
      </c>
      <c r="R6" s="39" t="s">
        <v>23</v>
      </c>
      <c r="S6" s="38">
        <v>3.9098839999999999</v>
      </c>
      <c r="T6" s="38">
        <v>4.5841960442299765</v>
      </c>
      <c r="U6" s="38">
        <v>6.58</v>
      </c>
      <c r="V6" s="38">
        <v>0</v>
      </c>
      <c r="W6" s="38">
        <v>100</v>
      </c>
      <c r="X6" s="38">
        <v>2.13</v>
      </c>
    </row>
    <row r="7" spans="1:24" s="15" customFormat="1" x14ac:dyDescent="0.3">
      <c r="A7" s="36">
        <v>38</v>
      </c>
      <c r="B7" s="37" t="s">
        <v>250</v>
      </c>
      <c r="C7" s="37" t="s">
        <v>505</v>
      </c>
      <c r="D7" s="37" t="s">
        <v>739</v>
      </c>
      <c r="E7" s="37" t="s">
        <v>977</v>
      </c>
      <c r="F7" s="37" t="s">
        <v>1221</v>
      </c>
      <c r="G7" s="37" t="s">
        <v>1297</v>
      </c>
      <c r="H7" s="38">
        <v>0.75</v>
      </c>
      <c r="I7" s="38">
        <v>0.54893617021276597</v>
      </c>
      <c r="J7" s="38">
        <f xml:space="preserve"> 1 - Table6[[#This Row],[Phon_Similarity]]</f>
        <v>0.25</v>
      </c>
      <c r="K7" s="38">
        <f xml:space="preserve"> 1 - Table6[[#This Row],[Orth_Similarity]]</f>
        <v>0.45106382978723403</v>
      </c>
      <c r="L7" s="39">
        <v>5</v>
      </c>
      <c r="M7" s="39">
        <v>4</v>
      </c>
      <c r="N7" s="39">
        <v>5</v>
      </c>
      <c r="O7" s="39">
        <v>4</v>
      </c>
      <c r="P7" s="39">
        <v>4</v>
      </c>
      <c r="Q7" s="39">
        <v>3</v>
      </c>
      <c r="R7" s="39" t="s">
        <v>22</v>
      </c>
      <c r="S7" s="38">
        <v>4.1773509999999998</v>
      </c>
      <c r="T7" s="38">
        <v>4.7655147870761043</v>
      </c>
      <c r="U7" s="38">
        <v>6.6180000000000003</v>
      </c>
      <c r="V7" s="38">
        <v>0</v>
      </c>
      <c r="W7" s="38">
        <v>100</v>
      </c>
      <c r="X7" s="38">
        <v>1.37</v>
      </c>
    </row>
    <row r="8" spans="1:24" s="15" customFormat="1" x14ac:dyDescent="0.3">
      <c r="A8" s="36">
        <v>25</v>
      </c>
      <c r="B8" s="37" t="s">
        <v>200</v>
      </c>
      <c r="C8" s="37" t="s">
        <v>455</v>
      </c>
      <c r="D8" s="37" t="s">
        <v>690</v>
      </c>
      <c r="E8" s="37" t="s">
        <v>931</v>
      </c>
      <c r="F8" s="37" t="s">
        <v>1174</v>
      </c>
      <c r="G8" s="37" t="s">
        <v>1286</v>
      </c>
      <c r="H8" s="38">
        <v>0.72972972972972971</v>
      </c>
      <c r="I8" s="38">
        <v>0.6</v>
      </c>
      <c r="J8" s="38">
        <f xml:space="preserve"> 1 - Table6[[#This Row],[Phon_Similarity]]</f>
        <v>0.27027027027027029</v>
      </c>
      <c r="K8" s="38">
        <f xml:space="preserve"> 1 - Table6[[#This Row],[Orth_Similarity]]</f>
        <v>0.4</v>
      </c>
      <c r="L8" s="39">
        <v>4</v>
      </c>
      <c r="M8" s="39">
        <v>5</v>
      </c>
      <c r="N8" s="39">
        <v>3</v>
      </c>
      <c r="O8" s="39">
        <v>5</v>
      </c>
      <c r="P8" s="39">
        <v>2</v>
      </c>
      <c r="Q8" s="39">
        <v>2</v>
      </c>
      <c r="R8" s="39" t="s">
        <v>22</v>
      </c>
      <c r="S8" s="38">
        <v>4.6882380000000001</v>
      </c>
      <c r="T8" s="38">
        <v>4.7021161847442832</v>
      </c>
      <c r="U8" s="38">
        <v>6.0860000000000003</v>
      </c>
      <c r="V8" s="38">
        <v>0</v>
      </c>
      <c r="W8" s="38">
        <v>100</v>
      </c>
      <c r="X8" s="38">
        <v>1.63</v>
      </c>
    </row>
    <row r="9" spans="1:24" s="15" customFormat="1" x14ac:dyDescent="0.3">
      <c r="A9" s="36">
        <v>54</v>
      </c>
      <c r="B9" s="37" t="s">
        <v>314</v>
      </c>
      <c r="C9" s="37" t="s">
        <v>569</v>
      </c>
      <c r="D9" s="37" t="s">
        <v>793</v>
      </c>
      <c r="E9" s="37" t="s">
        <v>1034</v>
      </c>
      <c r="F9" s="37" t="s">
        <v>1284</v>
      </c>
      <c r="G9" s="37" t="s">
        <v>1290</v>
      </c>
      <c r="H9" s="38">
        <v>0.71940298507462686</v>
      </c>
      <c r="I9" s="38">
        <v>0.64864864864864868</v>
      </c>
      <c r="J9" s="38">
        <f xml:space="preserve"> 1 - Table6[[#This Row],[Phon_Similarity]]</f>
        <v>0.28059701492537314</v>
      </c>
      <c r="K9" s="38">
        <f xml:space="preserve"> 1 - Table6[[#This Row],[Orth_Similarity]]</f>
        <v>0.35135135135135132</v>
      </c>
      <c r="L9" s="39">
        <v>8</v>
      </c>
      <c r="M9" s="39">
        <v>6</v>
      </c>
      <c r="N9" s="39">
        <v>8</v>
      </c>
      <c r="O9" s="39">
        <v>6</v>
      </c>
      <c r="P9" s="39">
        <v>6</v>
      </c>
      <c r="Q9" s="39">
        <v>3</v>
      </c>
      <c r="R9" s="39" t="s">
        <v>23</v>
      </c>
      <c r="S9" s="38">
        <v>4.6494090000000003</v>
      </c>
      <c r="T9" s="38">
        <v>4.7656626949470624</v>
      </c>
      <c r="U9" s="38">
        <v>6.6559999999999997</v>
      </c>
      <c r="V9" s="38">
        <v>0.14372616999999999</v>
      </c>
      <c r="W9" s="38">
        <v>97.959183670000002</v>
      </c>
      <c r="X9" s="38">
        <v>2.74</v>
      </c>
    </row>
    <row r="10" spans="1:24" s="15" customFormat="1" x14ac:dyDescent="0.3">
      <c r="A10" s="36">
        <v>37</v>
      </c>
      <c r="B10" s="37" t="s">
        <v>244</v>
      </c>
      <c r="C10" s="40" t="s">
        <v>499</v>
      </c>
      <c r="D10" s="37" t="s">
        <v>733</v>
      </c>
      <c r="E10" s="37" t="s">
        <v>971</v>
      </c>
      <c r="F10" s="37" t="s">
        <v>1215</v>
      </c>
      <c r="G10" s="37" t="s">
        <v>1294</v>
      </c>
      <c r="H10" s="38">
        <v>0.71818181818181825</v>
      </c>
      <c r="I10" s="38">
        <v>0.69411764705882351</v>
      </c>
      <c r="J10" s="38">
        <f xml:space="preserve"> 1 - Table6[[#This Row],[Phon_Similarity]]</f>
        <v>0.28181818181818175</v>
      </c>
      <c r="K10" s="38">
        <f xml:space="preserve"> 1 - Table6[[#This Row],[Orth_Similarity]]</f>
        <v>0.30588235294117649</v>
      </c>
      <c r="L10" s="39">
        <v>5</v>
      </c>
      <c r="M10" s="39">
        <v>5</v>
      </c>
      <c r="N10" s="39">
        <v>4</v>
      </c>
      <c r="O10" s="39">
        <v>5</v>
      </c>
      <c r="P10" s="39">
        <v>3</v>
      </c>
      <c r="Q10" s="39">
        <v>2</v>
      </c>
      <c r="R10" s="39" t="s">
        <v>22</v>
      </c>
      <c r="S10" s="38">
        <v>4.6308280000000002</v>
      </c>
      <c r="T10" s="38">
        <v>4.7661799761675372</v>
      </c>
      <c r="U10" s="38">
        <v>6.2930000000000001</v>
      </c>
      <c r="V10" s="38">
        <v>0.24229218899999999</v>
      </c>
      <c r="W10" s="38">
        <v>96</v>
      </c>
      <c r="X10" s="38">
        <v>2.89</v>
      </c>
    </row>
    <row r="11" spans="1:24" s="15" customFormat="1" x14ac:dyDescent="0.3">
      <c r="A11" s="36">
        <v>4</v>
      </c>
      <c r="B11" s="37" t="s">
        <v>71</v>
      </c>
      <c r="C11" s="37" t="s">
        <v>326</v>
      </c>
      <c r="D11" s="37" t="s">
        <v>579</v>
      </c>
      <c r="E11" s="37" t="s">
        <v>804</v>
      </c>
      <c r="F11" s="37" t="s">
        <v>1046</v>
      </c>
      <c r="G11" s="37" t="s">
        <v>1290</v>
      </c>
      <c r="H11" s="38">
        <v>0.71063829787234045</v>
      </c>
      <c r="I11" s="38">
        <v>0.73617021276595751</v>
      </c>
      <c r="J11" s="38">
        <f xml:space="preserve"> 1 - Table6[[#This Row],[Phon_Similarity]]</f>
        <v>0.28936170212765955</v>
      </c>
      <c r="K11" s="38">
        <f xml:space="preserve"> 1 - Table6[[#This Row],[Orth_Similarity]]</f>
        <v>0.26382978723404249</v>
      </c>
      <c r="L11" s="39">
        <v>6</v>
      </c>
      <c r="M11" s="39">
        <v>6</v>
      </c>
      <c r="N11" s="39">
        <v>4</v>
      </c>
      <c r="O11" s="39">
        <v>6</v>
      </c>
      <c r="P11" s="39">
        <v>3</v>
      </c>
      <c r="Q11" s="39">
        <v>3</v>
      </c>
      <c r="R11" s="39" t="s">
        <v>22</v>
      </c>
      <c r="S11" s="38">
        <v>3.8510230000000001</v>
      </c>
      <c r="T11" s="38">
        <v>4.0723126832511021</v>
      </c>
      <c r="U11" s="54">
        <v>0</v>
      </c>
      <c r="V11" s="38">
        <v>0.46899559400000002</v>
      </c>
      <c r="W11" s="38">
        <v>90</v>
      </c>
      <c r="X11" s="38">
        <v>2.59</v>
      </c>
    </row>
    <row r="12" spans="1:24" s="15" customFormat="1" x14ac:dyDescent="0.3">
      <c r="A12" s="36">
        <v>19</v>
      </c>
      <c r="B12" s="37" t="s">
        <v>149</v>
      </c>
      <c r="C12" s="37" t="s">
        <v>404</v>
      </c>
      <c r="D12" s="37" t="s">
        <v>646</v>
      </c>
      <c r="E12" s="37" t="s">
        <v>880</v>
      </c>
      <c r="F12" s="37" t="s">
        <v>1123</v>
      </c>
      <c r="G12" s="37" t="s">
        <v>1291</v>
      </c>
      <c r="H12" s="38">
        <v>0.70491803278688525</v>
      </c>
      <c r="I12" s="38">
        <v>0.70491803278688525</v>
      </c>
      <c r="J12" s="38">
        <f xml:space="preserve"> 1 - Table6[[#This Row],[Phon_Similarity]]</f>
        <v>0.29508196721311475</v>
      </c>
      <c r="K12" s="38">
        <f xml:space="preserve"> 1 - Table6[[#This Row],[Orth_Similarity]]</f>
        <v>0.29508196721311475</v>
      </c>
      <c r="L12" s="39">
        <v>6</v>
      </c>
      <c r="M12" s="39">
        <v>5</v>
      </c>
      <c r="N12" s="39">
        <v>6</v>
      </c>
      <c r="O12" s="39">
        <v>5</v>
      </c>
      <c r="P12" s="39">
        <v>6</v>
      </c>
      <c r="Q12" s="39">
        <v>2</v>
      </c>
      <c r="R12" s="39" t="s">
        <v>23</v>
      </c>
      <c r="S12" s="38">
        <v>4.3576740000000003</v>
      </c>
      <c r="T12" s="38">
        <v>4.0757659741624206</v>
      </c>
      <c r="U12" s="38">
        <v>5.7969999999999997</v>
      </c>
      <c r="V12" s="38">
        <v>0</v>
      </c>
      <c r="W12" s="38">
        <v>100</v>
      </c>
      <c r="X12" s="38">
        <v>2.33</v>
      </c>
    </row>
    <row r="13" spans="1:24" s="15" customFormat="1" x14ac:dyDescent="0.3">
      <c r="A13" s="36">
        <v>2</v>
      </c>
      <c r="B13" s="37" t="s">
        <v>62</v>
      </c>
      <c r="C13" s="37" t="s">
        <v>317</v>
      </c>
      <c r="D13" s="37" t="s">
        <v>317</v>
      </c>
      <c r="E13" s="37" t="s">
        <v>796</v>
      </c>
      <c r="F13" s="37" t="s">
        <v>1037</v>
      </c>
      <c r="G13" s="37" t="s">
        <v>1287</v>
      </c>
      <c r="H13" s="38">
        <v>0.68510638297872339</v>
      </c>
      <c r="I13" s="38">
        <v>0.65957446808510634</v>
      </c>
      <c r="J13" s="38">
        <f xml:space="preserve"> 1 - Table6[[#This Row],[Phon_Similarity]]</f>
        <v>0.31489361702127661</v>
      </c>
      <c r="K13" s="38">
        <f xml:space="preserve"> 1 - Table6[[#This Row],[Orth_Similarity]]</f>
        <v>0.34042553191489366</v>
      </c>
      <c r="L13" s="39">
        <v>5</v>
      </c>
      <c r="M13" s="39">
        <v>4</v>
      </c>
      <c r="N13" s="39">
        <v>5</v>
      </c>
      <c r="O13" s="39">
        <v>4</v>
      </c>
      <c r="P13" s="39">
        <v>4</v>
      </c>
      <c r="Q13" s="39">
        <v>3</v>
      </c>
      <c r="R13" s="39" t="s">
        <v>23</v>
      </c>
      <c r="S13" s="38">
        <v>5.0010680000000001</v>
      </c>
      <c r="T13" s="38">
        <v>5.1023610540617961</v>
      </c>
      <c r="U13" s="38">
        <v>6.782</v>
      </c>
      <c r="V13" s="38">
        <v>0.28853851400000002</v>
      </c>
      <c r="W13" s="38">
        <v>94.949494950000002</v>
      </c>
      <c r="X13" s="38">
        <v>1.79</v>
      </c>
    </row>
    <row r="14" spans="1:24" s="15" customFormat="1" x14ac:dyDescent="0.3">
      <c r="A14" s="36">
        <v>17</v>
      </c>
      <c r="B14" s="37" t="s">
        <v>137</v>
      </c>
      <c r="C14" s="37" t="s">
        <v>392</v>
      </c>
      <c r="D14" s="37" t="s">
        <v>636</v>
      </c>
      <c r="E14" s="37" t="s">
        <v>868</v>
      </c>
      <c r="F14" s="37" t="s">
        <v>1111</v>
      </c>
      <c r="G14" s="37" t="s">
        <v>1293</v>
      </c>
      <c r="H14" s="38">
        <v>0.67272727272727273</v>
      </c>
      <c r="I14" s="38">
        <v>0.5185185185185186</v>
      </c>
      <c r="J14" s="38">
        <f xml:space="preserve"> 1 - Table6[[#This Row],[Phon_Similarity]]</f>
        <v>0.32727272727272727</v>
      </c>
      <c r="K14" s="38">
        <f xml:space="preserve"> 1 - Table6[[#This Row],[Orth_Similarity]]</f>
        <v>0.4814814814814814</v>
      </c>
      <c r="L14" s="39">
        <v>5</v>
      </c>
      <c r="M14" s="39">
        <v>6</v>
      </c>
      <c r="N14" s="39">
        <v>4</v>
      </c>
      <c r="O14" s="39">
        <v>6</v>
      </c>
      <c r="P14" s="39">
        <v>3</v>
      </c>
      <c r="Q14" s="39">
        <v>2</v>
      </c>
      <c r="R14" s="39" t="s">
        <v>22</v>
      </c>
      <c r="S14" s="38">
        <v>4.0460500000000001</v>
      </c>
      <c r="T14" s="38">
        <v>4.8123434701828387</v>
      </c>
      <c r="U14" s="38">
        <v>4.9930000000000003</v>
      </c>
      <c r="V14" s="38">
        <v>0.39156941699999998</v>
      </c>
      <c r="W14" s="38">
        <v>93.81443299</v>
      </c>
      <c r="X14" s="38">
        <v>3.56</v>
      </c>
    </row>
    <row r="15" spans="1:24" s="15" customFormat="1" x14ac:dyDescent="0.3">
      <c r="A15" s="36">
        <v>6</v>
      </c>
      <c r="B15" s="37" t="s">
        <v>88</v>
      </c>
      <c r="C15" s="37" t="s">
        <v>343</v>
      </c>
      <c r="D15" s="37" t="s">
        <v>593</v>
      </c>
      <c r="E15" s="37" t="s">
        <v>820</v>
      </c>
      <c r="F15" s="37" t="s">
        <v>1063</v>
      </c>
      <c r="G15" s="37" t="s">
        <v>1410</v>
      </c>
      <c r="H15" s="38">
        <v>0.65625</v>
      </c>
      <c r="I15" s="38">
        <v>0.53239436619718306</v>
      </c>
      <c r="J15" s="38">
        <f xml:space="preserve"> 1 - Table6[[#This Row],[Phon_Similarity]]</f>
        <v>0.34375</v>
      </c>
      <c r="K15" s="38">
        <f xml:space="preserve"> 1 - Table6[[#This Row],[Orth_Similarity]]</f>
        <v>0.46760563380281694</v>
      </c>
      <c r="L15" s="39">
        <v>6</v>
      </c>
      <c r="M15" s="39">
        <v>7</v>
      </c>
      <c r="N15" s="39">
        <v>6</v>
      </c>
      <c r="O15" s="39">
        <v>7</v>
      </c>
      <c r="P15" s="39">
        <v>5</v>
      </c>
      <c r="Q15" s="39">
        <v>2</v>
      </c>
      <c r="R15" s="39" t="s">
        <v>23</v>
      </c>
      <c r="S15" s="38">
        <v>4.0118689999999999</v>
      </c>
      <c r="T15" s="38">
        <v>4.1814571526761704</v>
      </c>
      <c r="U15" s="38">
        <v>5.5119999999999996</v>
      </c>
      <c r="V15" s="38">
        <v>0</v>
      </c>
      <c r="W15" s="38">
        <v>100</v>
      </c>
      <c r="X15" s="38">
        <v>3.17</v>
      </c>
    </row>
    <row r="16" spans="1:24" s="15" customFormat="1" x14ac:dyDescent="0.3">
      <c r="A16" s="36">
        <v>14</v>
      </c>
      <c r="B16" s="37" t="s">
        <v>125</v>
      </c>
      <c r="C16" s="37" t="s">
        <v>380</v>
      </c>
      <c r="D16" s="37" t="s">
        <v>624</v>
      </c>
      <c r="E16" s="37" t="s">
        <v>857</v>
      </c>
      <c r="F16" s="37" t="s">
        <v>1100</v>
      </c>
      <c r="G16" s="37" t="s">
        <v>1285</v>
      </c>
      <c r="H16" s="38">
        <v>0.65614035087719302</v>
      </c>
      <c r="I16" s="38">
        <v>0.67333333333333334</v>
      </c>
      <c r="J16" s="38">
        <f xml:space="preserve"> 1 - Table6[[#This Row],[Phon_Similarity]]</f>
        <v>0.34385964912280698</v>
      </c>
      <c r="K16" s="38">
        <f xml:space="preserve"> 1 - Table6[[#This Row],[Orth_Similarity]]</f>
        <v>0.32666666666666666</v>
      </c>
      <c r="L16" s="39">
        <v>6</v>
      </c>
      <c r="M16" s="39">
        <v>6</v>
      </c>
      <c r="N16" s="39">
        <v>6</v>
      </c>
      <c r="O16" s="39">
        <v>6</v>
      </c>
      <c r="P16" s="39">
        <v>5</v>
      </c>
      <c r="Q16" s="39">
        <v>3</v>
      </c>
      <c r="R16" s="39" t="s">
        <v>23</v>
      </c>
      <c r="S16" s="38">
        <v>3.9318909999999998</v>
      </c>
      <c r="T16" s="38">
        <v>4.3894626751182368</v>
      </c>
      <c r="U16" s="38">
        <v>6.0609999999999999</v>
      </c>
      <c r="V16" s="38">
        <v>0</v>
      </c>
      <c r="W16" s="38">
        <v>100</v>
      </c>
      <c r="X16" s="38">
        <v>2.82</v>
      </c>
    </row>
    <row r="17" spans="1:24" s="15" customFormat="1" x14ac:dyDescent="0.3">
      <c r="A17" s="36">
        <v>20</v>
      </c>
      <c r="B17" s="37" t="s">
        <v>157</v>
      </c>
      <c r="C17" s="37" t="s">
        <v>412</v>
      </c>
      <c r="D17" s="37" t="s">
        <v>653</v>
      </c>
      <c r="E17" s="37" t="s">
        <v>888</v>
      </c>
      <c r="F17" s="37" t="s">
        <v>1131</v>
      </c>
      <c r="G17" s="37" t="s">
        <v>1286</v>
      </c>
      <c r="H17" s="38">
        <v>0.65517241379310343</v>
      </c>
      <c r="I17" s="38">
        <v>0.5</v>
      </c>
      <c r="J17" s="38">
        <f xml:space="preserve"> 1 - Table6[[#This Row],[Phon_Similarity]]</f>
        <v>0.34482758620689657</v>
      </c>
      <c r="K17" s="38">
        <f xml:space="preserve"> 1 - Table6[[#This Row],[Orth_Similarity]]</f>
        <v>0.5</v>
      </c>
      <c r="L17" s="39">
        <v>4</v>
      </c>
      <c r="M17" s="39">
        <v>5</v>
      </c>
      <c r="N17" s="39">
        <v>3</v>
      </c>
      <c r="O17" s="39">
        <v>5</v>
      </c>
      <c r="P17" s="39">
        <v>2</v>
      </c>
      <c r="Q17" s="39">
        <v>3</v>
      </c>
      <c r="R17" s="39" t="s">
        <v>22</v>
      </c>
      <c r="S17" s="38">
        <v>4.3224729999999996</v>
      </c>
      <c r="T17" s="38">
        <v>4.4060223738974811</v>
      </c>
      <c r="U17" s="38">
        <v>6.4509999999999996</v>
      </c>
      <c r="V17" s="38">
        <v>0</v>
      </c>
      <c r="W17" s="38">
        <v>100</v>
      </c>
      <c r="X17" s="38">
        <v>2.0707070710000002</v>
      </c>
    </row>
    <row r="18" spans="1:24" s="15" customFormat="1" x14ac:dyDescent="0.3">
      <c r="A18" s="36">
        <v>3</v>
      </c>
      <c r="B18" s="37" t="s">
        <v>67</v>
      </c>
      <c r="C18" s="37" t="s">
        <v>322</v>
      </c>
      <c r="D18" s="37" t="s">
        <v>576</v>
      </c>
      <c r="E18" s="37" t="s">
        <v>801</v>
      </c>
      <c r="F18" s="37" t="s">
        <v>1042</v>
      </c>
      <c r="G18" s="37" t="s">
        <v>1289</v>
      </c>
      <c r="H18" s="38">
        <v>0.64</v>
      </c>
      <c r="I18" s="38">
        <v>0.45671641791044781</v>
      </c>
      <c r="J18" s="38">
        <f xml:space="preserve"> 1 - Table6[[#This Row],[Phon_Similarity]]</f>
        <v>0.36</v>
      </c>
      <c r="K18" s="38">
        <f xml:space="preserve"> 1 - Table6[[#This Row],[Orth_Similarity]]</f>
        <v>0.54328358208955219</v>
      </c>
      <c r="L18" s="39">
        <v>6</v>
      </c>
      <c r="M18" s="39">
        <v>6</v>
      </c>
      <c r="N18" s="39">
        <v>7</v>
      </c>
      <c r="O18" s="39">
        <v>6</v>
      </c>
      <c r="P18" s="39">
        <v>5</v>
      </c>
      <c r="Q18" s="39">
        <v>3</v>
      </c>
      <c r="R18" s="39" t="s">
        <v>23</v>
      </c>
      <c r="S18" s="38">
        <v>3.5788410000000002</v>
      </c>
      <c r="T18" s="38">
        <v>3.4092262692885327</v>
      </c>
      <c r="U18" s="38">
        <v>5.8810000000000002</v>
      </c>
      <c r="V18" s="38">
        <v>0</v>
      </c>
      <c r="W18" s="38">
        <v>100</v>
      </c>
      <c r="X18" s="38">
        <v>2.48</v>
      </c>
    </row>
    <row r="19" spans="1:24" s="15" customFormat="1" x14ac:dyDescent="0.3">
      <c r="A19" s="36">
        <v>7</v>
      </c>
      <c r="B19" s="37" t="s">
        <v>96</v>
      </c>
      <c r="C19" s="37" t="s">
        <v>351</v>
      </c>
      <c r="D19" s="37" t="s">
        <v>601</v>
      </c>
      <c r="E19" s="37" t="s">
        <v>828</v>
      </c>
      <c r="F19" s="37" t="s">
        <v>1071</v>
      </c>
      <c r="G19" s="37" t="s">
        <v>1289</v>
      </c>
      <c r="H19" s="38">
        <v>0.61</v>
      </c>
      <c r="I19" s="38">
        <v>0.82400000000000007</v>
      </c>
      <c r="J19" s="38">
        <f xml:space="preserve"> 1 - Table6[[#This Row],[Phon_Similarity]]</f>
        <v>0.39</v>
      </c>
      <c r="K19" s="38">
        <f xml:space="preserve"> 1 - Table6[[#This Row],[Orth_Similarity]]</f>
        <v>0.17599999999999993</v>
      </c>
      <c r="L19" s="39">
        <v>5</v>
      </c>
      <c r="M19" s="39">
        <v>5</v>
      </c>
      <c r="N19" s="39">
        <v>5</v>
      </c>
      <c r="O19" s="39">
        <v>5</v>
      </c>
      <c r="P19" s="39">
        <v>3</v>
      </c>
      <c r="Q19" s="39">
        <v>2</v>
      </c>
      <c r="R19" s="39" t="s">
        <v>22</v>
      </c>
      <c r="S19" s="38">
        <v>3.9650880000000002</v>
      </c>
      <c r="T19" s="38">
        <v>4.0555712085344782</v>
      </c>
      <c r="U19" s="38">
        <v>6.1269999999999998</v>
      </c>
      <c r="V19" s="38">
        <v>0</v>
      </c>
      <c r="W19" s="38">
        <v>100</v>
      </c>
      <c r="X19" s="38">
        <v>2.88</v>
      </c>
    </row>
    <row r="20" spans="1:24" s="15" customFormat="1" x14ac:dyDescent="0.3">
      <c r="A20" s="36">
        <v>21</v>
      </c>
      <c r="B20" s="37" t="s">
        <v>159</v>
      </c>
      <c r="C20" s="37" t="s">
        <v>414</v>
      </c>
      <c r="D20" s="37" t="s">
        <v>655</v>
      </c>
      <c r="E20" s="37" t="s">
        <v>890</v>
      </c>
      <c r="F20" s="37" t="s">
        <v>1133</v>
      </c>
      <c r="G20" s="37" t="s">
        <v>1285</v>
      </c>
      <c r="H20" s="38">
        <v>0.6</v>
      </c>
      <c r="I20" s="38">
        <v>0.53191489361702127</v>
      </c>
      <c r="J20" s="38">
        <f xml:space="preserve"> 1 - Table6[[#This Row],[Phon_Similarity]]</f>
        <v>0.4</v>
      </c>
      <c r="K20" s="38">
        <f xml:space="preserve"> 1 - Table6[[#This Row],[Orth_Similarity]]</f>
        <v>0.46808510638297873</v>
      </c>
      <c r="L20" s="39">
        <v>5</v>
      </c>
      <c r="M20" s="39">
        <v>5</v>
      </c>
      <c r="N20" s="39">
        <v>4</v>
      </c>
      <c r="O20" s="39">
        <v>5</v>
      </c>
      <c r="P20" s="39">
        <v>3</v>
      </c>
      <c r="Q20" s="39">
        <v>2</v>
      </c>
      <c r="R20" s="39" t="s">
        <v>22</v>
      </c>
      <c r="S20" s="38">
        <v>3.958618</v>
      </c>
      <c r="T20" s="38">
        <v>4.1166811321165628</v>
      </c>
      <c r="U20" s="38">
        <v>6.1109999999999998</v>
      </c>
      <c r="V20" s="38">
        <v>0.291548959</v>
      </c>
      <c r="W20" s="38">
        <v>95.833333330000002</v>
      </c>
      <c r="X20" s="38">
        <v>2.62</v>
      </c>
    </row>
    <row r="21" spans="1:24" x14ac:dyDescent="0.3">
      <c r="A21" s="36">
        <v>28</v>
      </c>
      <c r="B21" s="37" t="s">
        <v>214</v>
      </c>
      <c r="C21" s="37" t="s">
        <v>469</v>
      </c>
      <c r="D21" s="37" t="s">
        <v>704</v>
      </c>
      <c r="E21" s="37" t="s">
        <v>944</v>
      </c>
      <c r="F21" s="37" t="s">
        <v>1188</v>
      </c>
      <c r="G21" s="37" t="s">
        <v>1410</v>
      </c>
      <c r="H21" s="38">
        <v>0.6</v>
      </c>
      <c r="I21" s="38">
        <v>0.47058823529411764</v>
      </c>
      <c r="J21" s="38">
        <f xml:space="preserve"> 1 - Table6[[#This Row],[Phon_Similarity]]</f>
        <v>0.4</v>
      </c>
      <c r="K21" s="38">
        <f xml:space="preserve"> 1 - Table6[[#This Row],[Orth_Similarity]]</f>
        <v>0.52941176470588236</v>
      </c>
      <c r="L21" s="39">
        <v>4</v>
      </c>
      <c r="M21" s="39">
        <v>6</v>
      </c>
      <c r="N21" s="39">
        <v>6</v>
      </c>
      <c r="O21" s="39">
        <v>6</v>
      </c>
      <c r="P21" s="39">
        <v>4</v>
      </c>
      <c r="Q21" s="39">
        <v>3</v>
      </c>
      <c r="R21" s="39" t="s">
        <v>23</v>
      </c>
      <c r="S21" s="38">
        <v>4.367108</v>
      </c>
      <c r="T21" s="38">
        <v>4.3544147547770393</v>
      </c>
      <c r="U21" s="38">
        <v>5.6479999999999997</v>
      </c>
      <c r="V21" s="38">
        <v>0.14372616999999999</v>
      </c>
      <c r="W21" s="38">
        <v>97.959183670000002</v>
      </c>
      <c r="X21" s="38">
        <v>2.99</v>
      </c>
    </row>
    <row r="22" spans="1:24" x14ac:dyDescent="0.3">
      <c r="A22" s="36">
        <v>41</v>
      </c>
      <c r="B22" s="37" t="s">
        <v>259</v>
      </c>
      <c r="C22" s="37" t="s">
        <v>514</v>
      </c>
      <c r="D22" s="37" t="s">
        <v>746</v>
      </c>
      <c r="E22" s="37" t="s">
        <v>985</v>
      </c>
      <c r="F22" s="37" t="s">
        <v>1230</v>
      </c>
      <c r="G22" s="37" t="s">
        <v>1289</v>
      </c>
      <c r="H22" s="38">
        <v>0.6</v>
      </c>
      <c r="I22" s="38">
        <v>0.46086956521739131</v>
      </c>
      <c r="J22" s="38">
        <f xml:space="preserve"> 1 - Table6[[#This Row],[Phon_Similarity]]</f>
        <v>0.4</v>
      </c>
      <c r="K22" s="38">
        <f xml:space="preserve"> 1 - Table6[[#This Row],[Orth_Similarity]]</f>
        <v>0.53913043478260869</v>
      </c>
      <c r="L22" s="39">
        <v>4</v>
      </c>
      <c r="M22" s="39">
        <v>5</v>
      </c>
      <c r="N22" s="39">
        <v>5</v>
      </c>
      <c r="O22" s="39">
        <v>5</v>
      </c>
      <c r="P22" s="39">
        <v>4</v>
      </c>
      <c r="Q22" s="39">
        <v>2</v>
      </c>
      <c r="R22" s="39" t="s">
        <v>22</v>
      </c>
      <c r="S22" s="38">
        <v>4.968242</v>
      </c>
      <c r="T22" s="38">
        <v>5.0842276880303903</v>
      </c>
      <c r="U22" s="38">
        <v>6.3440000000000003</v>
      </c>
      <c r="V22" s="38">
        <v>0</v>
      </c>
      <c r="W22" s="38">
        <v>100</v>
      </c>
      <c r="X22" s="38">
        <v>3.05</v>
      </c>
    </row>
    <row r="23" spans="1:24" x14ac:dyDescent="0.3">
      <c r="A23" s="36">
        <v>46</v>
      </c>
      <c r="B23" s="37" t="s">
        <v>284</v>
      </c>
      <c r="C23" s="37" t="s">
        <v>539</v>
      </c>
      <c r="D23" s="37" t="s">
        <v>768</v>
      </c>
      <c r="E23" s="37" t="s">
        <v>1006</v>
      </c>
      <c r="F23" s="37" t="s">
        <v>1254</v>
      </c>
      <c r="G23" s="37" t="s">
        <v>1295</v>
      </c>
      <c r="H23" s="38">
        <v>0.6</v>
      </c>
      <c r="I23" s="38">
        <v>0.38518518518518519</v>
      </c>
      <c r="J23" s="38">
        <f xml:space="preserve"> 1 - Table6[[#This Row],[Phon_Similarity]]</f>
        <v>0.4</v>
      </c>
      <c r="K23" s="38">
        <f xml:space="preserve"> 1 - Table6[[#This Row],[Orth_Similarity]]</f>
        <v>0.61481481481481481</v>
      </c>
      <c r="L23" s="39">
        <v>4</v>
      </c>
      <c r="M23" s="39">
        <v>6</v>
      </c>
      <c r="N23" s="39">
        <v>4</v>
      </c>
      <c r="O23" s="39">
        <v>6</v>
      </c>
      <c r="P23" s="39">
        <v>3</v>
      </c>
      <c r="Q23" s="39">
        <v>3</v>
      </c>
      <c r="R23" s="39" t="s">
        <v>22</v>
      </c>
      <c r="S23" s="38">
        <v>3.715347</v>
      </c>
      <c r="T23" s="38">
        <v>4.0964463629678214</v>
      </c>
      <c r="U23" s="38">
        <v>6.0540000000000003</v>
      </c>
      <c r="V23" s="38">
        <v>0.19745300399999999</v>
      </c>
      <c r="W23" s="38">
        <v>96.938775509999999</v>
      </c>
      <c r="X23" s="38">
        <v>2.1818181820000002</v>
      </c>
    </row>
    <row r="24" spans="1:24" x14ac:dyDescent="0.3">
      <c r="A24" s="36">
        <v>9</v>
      </c>
      <c r="B24" s="41" t="s">
        <v>112</v>
      </c>
      <c r="C24" s="41" t="s">
        <v>367</v>
      </c>
      <c r="D24" s="41" t="s">
        <v>615</v>
      </c>
      <c r="E24" s="41" t="s">
        <v>844</v>
      </c>
      <c r="F24" s="41" t="s">
        <v>1087</v>
      </c>
      <c r="G24" s="41" t="s">
        <v>1410</v>
      </c>
      <c r="H24" s="42">
        <v>0.59506172839506166</v>
      </c>
      <c r="I24" s="42">
        <v>0.61025641025641031</v>
      </c>
      <c r="J24" s="42">
        <f xml:space="preserve"> 1 - Table6[[#This Row],[Phon_Similarity]]</f>
        <v>0.40493827160493834</v>
      </c>
      <c r="K24" s="42">
        <f xml:space="preserve"> 1 - Table6[[#This Row],[Orth_Similarity]]</f>
        <v>0.38974358974358969</v>
      </c>
      <c r="L24" s="43">
        <v>6</v>
      </c>
      <c r="M24" s="43">
        <v>7</v>
      </c>
      <c r="N24" s="43">
        <v>7</v>
      </c>
      <c r="O24" s="43">
        <v>7</v>
      </c>
      <c r="P24" s="43">
        <v>7</v>
      </c>
      <c r="Q24" s="43">
        <v>2</v>
      </c>
      <c r="R24" s="43" t="s">
        <v>23</v>
      </c>
      <c r="S24" s="42">
        <v>3.2691659999999998</v>
      </c>
      <c r="T24" s="42">
        <v>4.0224811057599119</v>
      </c>
      <c r="U24" s="42">
        <v>5.9509999999999996</v>
      </c>
      <c r="V24" s="42">
        <v>0.14372616999999999</v>
      </c>
      <c r="W24" s="42">
        <v>97.959183670000002</v>
      </c>
      <c r="X24" s="42">
        <v>2.92</v>
      </c>
    </row>
    <row r="25" spans="1:24" x14ac:dyDescent="0.3">
      <c r="A25" s="36">
        <v>23</v>
      </c>
      <c r="B25" s="37" t="s">
        <v>182</v>
      </c>
      <c r="C25" s="37" t="s">
        <v>437</v>
      </c>
      <c r="D25" s="37" t="s">
        <v>673</v>
      </c>
      <c r="E25" s="37" t="s">
        <v>913</v>
      </c>
      <c r="F25" s="37" t="s">
        <v>1156</v>
      </c>
      <c r="G25" s="37" t="s">
        <v>1295</v>
      </c>
      <c r="H25" s="38">
        <v>0.59333333333333327</v>
      </c>
      <c r="I25" s="38">
        <v>0.4686567164179104</v>
      </c>
      <c r="J25" s="38">
        <f xml:space="preserve"> 1 - Table6[[#This Row],[Phon_Similarity]]</f>
        <v>0.40666666666666673</v>
      </c>
      <c r="K25" s="38">
        <f xml:space="preserve"> 1 - Table6[[#This Row],[Orth_Similarity]]</f>
        <v>0.5313432835820896</v>
      </c>
      <c r="L25" s="39">
        <v>6</v>
      </c>
      <c r="M25" s="39">
        <v>5</v>
      </c>
      <c r="N25" s="39">
        <v>8</v>
      </c>
      <c r="O25" s="39">
        <v>5</v>
      </c>
      <c r="P25" s="39">
        <v>7</v>
      </c>
      <c r="Q25" s="39">
        <v>2</v>
      </c>
      <c r="R25" s="39" t="s">
        <v>23</v>
      </c>
      <c r="S25" s="38">
        <v>3.339785</v>
      </c>
      <c r="T25" s="38">
        <v>3.1626033465486998</v>
      </c>
      <c r="U25" s="54">
        <v>0</v>
      </c>
      <c r="V25" s="38">
        <v>0</v>
      </c>
      <c r="W25" s="38">
        <v>100</v>
      </c>
      <c r="X25" s="38">
        <v>2.68</v>
      </c>
    </row>
    <row r="26" spans="1:24" x14ac:dyDescent="0.3">
      <c r="A26" s="36">
        <v>13</v>
      </c>
      <c r="B26" s="37" t="s">
        <v>124</v>
      </c>
      <c r="C26" s="37" t="s">
        <v>379</v>
      </c>
      <c r="D26" s="37" t="s">
        <v>623</v>
      </c>
      <c r="E26" s="37" t="s">
        <v>856</v>
      </c>
      <c r="F26" s="37" t="s">
        <v>1099</v>
      </c>
      <c r="G26" s="37" t="s">
        <v>1287</v>
      </c>
      <c r="H26" s="38">
        <v>0.58918918918918917</v>
      </c>
      <c r="I26" s="38">
        <v>0.54594594594594592</v>
      </c>
      <c r="J26" s="38">
        <f xml:space="preserve"> 1 - Table6[[#This Row],[Phon_Similarity]]</f>
        <v>0.41081081081081083</v>
      </c>
      <c r="K26" s="38">
        <f xml:space="preserve"> 1 - Table6[[#This Row],[Orth_Similarity]]</f>
        <v>0.45405405405405408</v>
      </c>
      <c r="L26" s="39">
        <v>4</v>
      </c>
      <c r="M26" s="39">
        <v>4</v>
      </c>
      <c r="N26" s="39">
        <v>3</v>
      </c>
      <c r="O26" s="39">
        <v>4</v>
      </c>
      <c r="P26" s="39">
        <v>3</v>
      </c>
      <c r="Q26" s="39">
        <v>2</v>
      </c>
      <c r="R26" s="39" t="s">
        <v>22</v>
      </c>
      <c r="S26" s="38">
        <v>4.6581460000000003</v>
      </c>
      <c r="T26" s="38">
        <v>5.1154106612484629</v>
      </c>
      <c r="U26" s="38">
        <v>7</v>
      </c>
      <c r="V26" s="38">
        <v>0</v>
      </c>
      <c r="W26" s="38">
        <v>100</v>
      </c>
      <c r="X26" s="38">
        <v>2.2200000000000002</v>
      </c>
    </row>
    <row r="27" spans="1:24" x14ac:dyDescent="0.3">
      <c r="A27" s="36">
        <v>53</v>
      </c>
      <c r="B27" s="37" t="s">
        <v>312</v>
      </c>
      <c r="C27" s="37" t="s">
        <v>567</v>
      </c>
      <c r="D27" s="37" t="s">
        <v>567</v>
      </c>
      <c r="E27" s="37" t="s">
        <v>1032</v>
      </c>
      <c r="F27" s="37" t="s">
        <v>1282</v>
      </c>
      <c r="G27" s="37" t="s">
        <v>1290</v>
      </c>
      <c r="H27" s="38">
        <v>0.58297872340425538</v>
      </c>
      <c r="I27" s="38">
        <v>0.72499999999999998</v>
      </c>
      <c r="J27" s="38">
        <f xml:space="preserve"> 1 - Table6[[#This Row],[Phon_Similarity]]</f>
        <v>0.41702127659574462</v>
      </c>
      <c r="K27" s="38">
        <f xml:space="preserve"> 1 - Table6[[#This Row],[Orth_Similarity]]</f>
        <v>0.27500000000000002</v>
      </c>
      <c r="L27" s="39">
        <v>7</v>
      </c>
      <c r="M27" s="39">
        <v>5</v>
      </c>
      <c r="N27" s="39">
        <v>7</v>
      </c>
      <c r="O27" s="39">
        <v>5</v>
      </c>
      <c r="P27" s="39">
        <v>4</v>
      </c>
      <c r="Q27" s="39">
        <v>2</v>
      </c>
      <c r="R27" s="39" t="s">
        <v>23</v>
      </c>
      <c r="S27" s="38">
        <v>4.2532370000000004</v>
      </c>
      <c r="T27" s="38">
        <v>3.8772935000573767</v>
      </c>
      <c r="U27" s="38">
        <v>5.9580000000000002</v>
      </c>
      <c r="V27" s="38">
        <v>0.141440543</v>
      </c>
      <c r="W27" s="38">
        <v>98</v>
      </c>
      <c r="X27" s="38">
        <v>1.82</v>
      </c>
    </row>
    <row r="28" spans="1:24" x14ac:dyDescent="0.3">
      <c r="A28" s="36">
        <v>26</v>
      </c>
      <c r="B28" s="37" t="s">
        <v>202</v>
      </c>
      <c r="C28" s="37" t="s">
        <v>457</v>
      </c>
      <c r="D28" s="37" t="s">
        <v>692</v>
      </c>
      <c r="E28" s="37" t="s">
        <v>933</v>
      </c>
      <c r="F28" s="37" t="s">
        <v>1176</v>
      </c>
      <c r="G28" s="37" t="s">
        <v>1410</v>
      </c>
      <c r="H28" s="38">
        <v>0.57714285714285718</v>
      </c>
      <c r="I28" s="38">
        <v>0.61081081081081079</v>
      </c>
      <c r="J28" s="38">
        <f xml:space="preserve"> 1 - Table6[[#This Row],[Phon_Similarity]]</f>
        <v>0.42285714285714282</v>
      </c>
      <c r="K28" s="38">
        <f xml:space="preserve"> 1 - Table6[[#This Row],[Orth_Similarity]]</f>
        <v>0.38918918918918921</v>
      </c>
      <c r="L28" s="39">
        <v>7</v>
      </c>
      <c r="M28" s="39">
        <v>7</v>
      </c>
      <c r="N28" s="39">
        <v>7</v>
      </c>
      <c r="O28" s="39">
        <v>7</v>
      </c>
      <c r="P28" s="39">
        <v>6</v>
      </c>
      <c r="Q28" s="39">
        <v>2</v>
      </c>
      <c r="R28" s="39" t="s">
        <v>24</v>
      </c>
      <c r="S28" s="38">
        <v>3.1601300000000001</v>
      </c>
      <c r="T28" s="38">
        <v>3.4810655612053574</v>
      </c>
      <c r="U28" s="54">
        <v>0</v>
      </c>
      <c r="V28" s="38">
        <v>0</v>
      </c>
      <c r="W28" s="38">
        <v>100</v>
      </c>
      <c r="X28" s="38">
        <v>2.73</v>
      </c>
    </row>
    <row r="29" spans="1:24" x14ac:dyDescent="0.3">
      <c r="A29" s="36">
        <v>10</v>
      </c>
      <c r="B29" s="37" t="s">
        <v>114</v>
      </c>
      <c r="C29" s="37" t="s">
        <v>369</v>
      </c>
      <c r="D29" s="37" t="s">
        <v>617</v>
      </c>
      <c r="E29" s="37" t="s">
        <v>846</v>
      </c>
      <c r="F29" s="37" t="s">
        <v>1089</v>
      </c>
      <c r="G29" s="37" t="s">
        <v>1286</v>
      </c>
      <c r="H29" s="38">
        <v>0.57192982456140351</v>
      </c>
      <c r="I29" s="38">
        <v>0.47499999999999998</v>
      </c>
      <c r="J29" s="38">
        <f xml:space="preserve"> 1 - Table6[[#This Row],[Phon_Similarity]]</f>
        <v>0.42807017543859649</v>
      </c>
      <c r="K29" s="38">
        <f xml:space="preserve"> 1 - Table6[[#This Row],[Orth_Similarity]]</f>
        <v>0.52500000000000002</v>
      </c>
      <c r="L29" s="39">
        <v>6</v>
      </c>
      <c r="M29" s="39">
        <v>7</v>
      </c>
      <c r="N29" s="39">
        <v>5</v>
      </c>
      <c r="O29" s="39">
        <v>7</v>
      </c>
      <c r="P29" s="39">
        <v>4</v>
      </c>
      <c r="Q29" s="39">
        <v>2</v>
      </c>
      <c r="R29" s="39" t="s">
        <v>22</v>
      </c>
      <c r="S29" s="38">
        <v>4.5005069999999998</v>
      </c>
      <c r="T29" s="38">
        <v>4.8371854995950576</v>
      </c>
      <c r="U29" s="38">
        <v>5.7080000000000002</v>
      </c>
      <c r="V29" s="38">
        <v>0</v>
      </c>
      <c r="W29" s="38">
        <v>100</v>
      </c>
      <c r="X29" s="38">
        <v>2.75</v>
      </c>
    </row>
    <row r="30" spans="1:24" x14ac:dyDescent="0.3">
      <c r="A30" s="36">
        <v>34</v>
      </c>
      <c r="B30" s="37" t="s">
        <v>232</v>
      </c>
      <c r="C30" s="37" t="s">
        <v>487</v>
      </c>
      <c r="D30" s="37" t="s">
        <v>721</v>
      </c>
      <c r="E30" s="37" t="s">
        <v>960</v>
      </c>
      <c r="F30" s="37" t="s">
        <v>1204</v>
      </c>
      <c r="G30" s="37" t="s">
        <v>1291</v>
      </c>
      <c r="H30" s="38">
        <v>0.57000000000000006</v>
      </c>
      <c r="I30" s="38">
        <v>0.67999999999999994</v>
      </c>
      <c r="J30" s="38">
        <f xml:space="preserve"> 1 - Table6[[#This Row],[Phon_Similarity]]</f>
        <v>0.42999999999999994</v>
      </c>
      <c r="K30" s="38">
        <f xml:space="preserve"> 1 - Table6[[#This Row],[Orth_Similarity]]</f>
        <v>0.32000000000000006</v>
      </c>
      <c r="L30" s="39">
        <v>6</v>
      </c>
      <c r="M30" s="39">
        <v>6</v>
      </c>
      <c r="N30" s="39">
        <v>4</v>
      </c>
      <c r="O30" s="39">
        <v>6</v>
      </c>
      <c r="P30" s="39">
        <v>2</v>
      </c>
      <c r="Q30" s="39">
        <v>3</v>
      </c>
      <c r="R30" s="39" t="s">
        <v>22</v>
      </c>
      <c r="S30" s="38">
        <v>3.5337860000000001</v>
      </c>
      <c r="T30" s="38">
        <v>4.1489011187204472</v>
      </c>
      <c r="U30" s="38">
        <v>5.6360000000000001</v>
      </c>
      <c r="V30" s="38">
        <v>0</v>
      </c>
      <c r="W30" s="38">
        <v>100</v>
      </c>
      <c r="X30" s="38">
        <v>2.48</v>
      </c>
    </row>
    <row r="31" spans="1:24" x14ac:dyDescent="0.3">
      <c r="A31" s="36">
        <v>8</v>
      </c>
      <c r="B31" s="37" t="s">
        <v>103</v>
      </c>
      <c r="C31" s="37" t="s">
        <v>358</v>
      </c>
      <c r="D31" s="37" t="s">
        <v>608</v>
      </c>
      <c r="E31" s="37" t="s">
        <v>835</v>
      </c>
      <c r="F31" s="37" t="s">
        <v>1078</v>
      </c>
      <c r="G31" s="37" t="s">
        <v>1291</v>
      </c>
      <c r="H31" s="38">
        <v>0.5607843137254902</v>
      </c>
      <c r="I31" s="38">
        <v>0.47586206896551719</v>
      </c>
      <c r="J31" s="38">
        <f xml:space="preserve"> 1 - Table6[[#This Row],[Phon_Similarity]]</f>
        <v>0.4392156862745098</v>
      </c>
      <c r="K31" s="38">
        <f xml:space="preserve"> 1 - Table6[[#This Row],[Orth_Similarity]]</f>
        <v>0.52413793103448281</v>
      </c>
      <c r="L31" s="39">
        <v>5</v>
      </c>
      <c r="M31" s="39">
        <v>5</v>
      </c>
      <c r="N31" s="39">
        <v>5</v>
      </c>
      <c r="O31" s="39">
        <v>5</v>
      </c>
      <c r="P31" s="39">
        <v>4</v>
      </c>
      <c r="Q31" s="39">
        <v>3</v>
      </c>
      <c r="R31" s="39" t="s">
        <v>22</v>
      </c>
      <c r="S31" s="38">
        <v>3.921027</v>
      </c>
      <c r="T31" s="38">
        <v>3.8073342510749844</v>
      </c>
      <c r="U31" s="38">
        <v>6.5910000000000002</v>
      </c>
      <c r="V31" s="38">
        <v>0</v>
      </c>
      <c r="W31" s="38">
        <v>100</v>
      </c>
      <c r="X31" s="38">
        <v>2.3199999999999998</v>
      </c>
    </row>
    <row r="32" spans="1:24" x14ac:dyDescent="0.3">
      <c r="A32" s="36">
        <v>40</v>
      </c>
      <c r="B32" s="37" t="s">
        <v>256</v>
      </c>
      <c r="C32" s="37" t="s">
        <v>511</v>
      </c>
      <c r="D32" s="37" t="s">
        <v>744</v>
      </c>
      <c r="E32" s="37" t="s">
        <v>982</v>
      </c>
      <c r="F32" s="37" t="s">
        <v>1227</v>
      </c>
      <c r="G32" s="37" t="s">
        <v>1288</v>
      </c>
      <c r="H32" s="38">
        <v>0.54</v>
      </c>
      <c r="I32" s="38">
        <v>0.54418604651162794</v>
      </c>
      <c r="J32" s="38">
        <f xml:space="preserve"> 1 - Table6[[#This Row],[Phon_Similarity]]</f>
        <v>0.45999999999999996</v>
      </c>
      <c r="K32" s="38">
        <f xml:space="preserve"> 1 - Table6[[#This Row],[Orth_Similarity]]</f>
        <v>0.45581395348837206</v>
      </c>
      <c r="L32" s="39">
        <v>4</v>
      </c>
      <c r="M32" s="39">
        <v>4</v>
      </c>
      <c r="N32" s="39">
        <v>5</v>
      </c>
      <c r="O32" s="39">
        <v>4</v>
      </c>
      <c r="P32" s="39">
        <v>4</v>
      </c>
      <c r="Q32" s="39">
        <v>3</v>
      </c>
      <c r="R32" s="39" t="s">
        <v>23</v>
      </c>
      <c r="S32" s="38">
        <v>4.2208699999999997</v>
      </c>
      <c r="T32" s="38">
        <v>4.5976297581684111</v>
      </c>
      <c r="U32" s="38">
        <v>5.4009999999999998</v>
      </c>
      <c r="V32" s="38">
        <v>0</v>
      </c>
      <c r="W32" s="38">
        <v>100</v>
      </c>
      <c r="X32" s="38">
        <v>2.3838383840000001</v>
      </c>
    </row>
    <row r="33" spans="1:24" x14ac:dyDescent="0.3">
      <c r="A33" s="36">
        <v>47</v>
      </c>
      <c r="B33" s="37" t="s">
        <v>287</v>
      </c>
      <c r="C33" s="37" t="s">
        <v>542</v>
      </c>
      <c r="D33" s="37" t="s">
        <v>771</v>
      </c>
      <c r="E33" s="37" t="s">
        <v>1009</v>
      </c>
      <c r="F33" s="37" t="s">
        <v>1257</v>
      </c>
      <c r="G33" s="37" t="s">
        <v>1291</v>
      </c>
      <c r="H33" s="38">
        <v>0.52340425531914891</v>
      </c>
      <c r="I33" s="38">
        <v>0.61311475409836058</v>
      </c>
      <c r="J33" s="38">
        <f xml:space="preserve"> 1 - Table6[[#This Row],[Phon_Similarity]]</f>
        <v>0.47659574468085109</v>
      </c>
      <c r="K33" s="38">
        <f xml:space="preserve"> 1 - Table6[[#This Row],[Orth_Similarity]]</f>
        <v>0.38688524590163942</v>
      </c>
      <c r="L33" s="39">
        <v>5</v>
      </c>
      <c r="M33" s="39">
        <v>6</v>
      </c>
      <c r="N33" s="39">
        <v>5</v>
      </c>
      <c r="O33" s="39">
        <v>6</v>
      </c>
      <c r="P33" s="39">
        <v>3</v>
      </c>
      <c r="Q33" s="39">
        <v>2</v>
      </c>
      <c r="R33" s="39" t="s">
        <v>22</v>
      </c>
      <c r="S33" s="38">
        <v>4.1374940000000002</v>
      </c>
      <c r="T33" s="38">
        <v>4.4722189820282718</v>
      </c>
      <c r="U33" s="38">
        <v>6.2809999999999997</v>
      </c>
      <c r="V33" s="38">
        <v>0</v>
      </c>
      <c r="W33" s="38">
        <v>100</v>
      </c>
      <c r="X33" s="38">
        <v>1.86</v>
      </c>
    </row>
    <row r="34" spans="1:24" x14ac:dyDescent="0.3">
      <c r="A34" s="36">
        <v>39</v>
      </c>
      <c r="B34" s="37" t="s">
        <v>255</v>
      </c>
      <c r="C34" s="40" t="s">
        <v>510</v>
      </c>
      <c r="D34" s="37" t="s">
        <v>743</v>
      </c>
      <c r="E34" s="37" t="s">
        <v>981</v>
      </c>
      <c r="F34" s="37" t="s">
        <v>1226</v>
      </c>
      <c r="G34" s="37" t="s">
        <v>1291</v>
      </c>
      <c r="H34" s="38">
        <v>0.52280701754385972</v>
      </c>
      <c r="I34" s="38">
        <v>0.5357142857142857</v>
      </c>
      <c r="J34" s="38">
        <f xml:space="preserve"> 1 - Table6[[#This Row],[Phon_Similarity]]</f>
        <v>0.47719298245614028</v>
      </c>
      <c r="K34" s="38">
        <f xml:space="preserve"> 1 - Table6[[#This Row],[Orth_Similarity]]</f>
        <v>0.4642857142857143</v>
      </c>
      <c r="L34" s="39">
        <v>4</v>
      </c>
      <c r="M34" s="39">
        <v>6</v>
      </c>
      <c r="N34" s="39">
        <v>6</v>
      </c>
      <c r="O34" s="39">
        <v>6</v>
      </c>
      <c r="P34" s="39">
        <v>5</v>
      </c>
      <c r="Q34" s="39">
        <v>2</v>
      </c>
      <c r="R34" s="39" t="s">
        <v>23</v>
      </c>
      <c r="S34" s="38">
        <v>4.0162409999999999</v>
      </c>
      <c r="T34" s="38">
        <v>3.8443383810006839</v>
      </c>
      <c r="U34" s="38">
        <v>6.2119999999999997</v>
      </c>
      <c r="V34" s="38">
        <v>0.44505030400000001</v>
      </c>
      <c r="W34" s="38">
        <v>92.783505149999996</v>
      </c>
      <c r="X34" s="38">
        <v>2.34</v>
      </c>
    </row>
    <row r="35" spans="1:24" x14ac:dyDescent="0.3">
      <c r="A35" s="36">
        <v>45</v>
      </c>
      <c r="B35" s="37" t="s">
        <v>283</v>
      </c>
      <c r="C35" s="37" t="s">
        <v>538</v>
      </c>
      <c r="D35" s="37" t="s">
        <v>538</v>
      </c>
      <c r="E35" s="37" t="s">
        <v>1005</v>
      </c>
      <c r="F35" s="37" t="s">
        <v>1253</v>
      </c>
      <c r="G35" s="37" t="s">
        <v>1293</v>
      </c>
      <c r="H35" s="38">
        <v>0.52</v>
      </c>
      <c r="I35" s="38">
        <v>0.60540540540540544</v>
      </c>
      <c r="J35" s="38">
        <f xml:space="preserve"> 1 - Table6[[#This Row],[Phon_Similarity]]</f>
        <v>0.48</v>
      </c>
      <c r="K35" s="38">
        <f xml:space="preserve"> 1 - Table6[[#This Row],[Orth_Similarity]]</f>
        <v>0.39459459459459456</v>
      </c>
      <c r="L35" s="39">
        <v>7</v>
      </c>
      <c r="M35" s="39">
        <v>6</v>
      </c>
      <c r="N35" s="39">
        <v>8</v>
      </c>
      <c r="O35" s="39">
        <v>6</v>
      </c>
      <c r="P35" s="39">
        <v>7</v>
      </c>
      <c r="Q35" s="39">
        <v>3</v>
      </c>
      <c r="R35" s="39" t="s">
        <v>23</v>
      </c>
      <c r="S35" s="38">
        <v>3.9827680000000001</v>
      </c>
      <c r="T35" s="38">
        <v>3.5052954408298582</v>
      </c>
      <c r="U35" s="38">
        <v>6.0979999999999999</v>
      </c>
      <c r="V35" s="38">
        <v>0</v>
      </c>
      <c r="W35" s="38">
        <v>100</v>
      </c>
      <c r="X35" s="38">
        <v>2.64</v>
      </c>
    </row>
    <row r="36" spans="1:24" x14ac:dyDescent="0.3">
      <c r="A36" s="36">
        <v>50</v>
      </c>
      <c r="B36" s="37" t="s">
        <v>303</v>
      </c>
      <c r="C36" s="37" t="s">
        <v>558</v>
      </c>
      <c r="D36" s="37" t="s">
        <v>786</v>
      </c>
      <c r="E36" s="37" t="s">
        <v>1024</v>
      </c>
      <c r="F36" s="37" t="s">
        <v>1273</v>
      </c>
      <c r="G36" s="37" t="s">
        <v>1295</v>
      </c>
      <c r="H36" s="38">
        <v>0.51249999999999996</v>
      </c>
      <c r="I36" s="38">
        <v>0.46493506493506498</v>
      </c>
      <c r="J36" s="38">
        <f xml:space="preserve"> 1 - Table6[[#This Row],[Phon_Similarity]]</f>
        <v>0.48750000000000004</v>
      </c>
      <c r="K36" s="38">
        <f xml:space="preserve"> 1 - Table6[[#This Row],[Orth_Similarity]]</f>
        <v>0.53506493506493502</v>
      </c>
      <c r="L36" s="39">
        <v>6</v>
      </c>
      <c r="M36" s="39">
        <v>7</v>
      </c>
      <c r="N36" s="39">
        <v>8</v>
      </c>
      <c r="O36" s="39">
        <v>7</v>
      </c>
      <c r="P36" s="39">
        <v>5</v>
      </c>
      <c r="Q36" s="39">
        <v>3</v>
      </c>
      <c r="R36" s="39" t="s">
        <v>23</v>
      </c>
      <c r="S36" s="38">
        <v>3.9450599999999998</v>
      </c>
      <c r="T36" s="38">
        <v>3.6412043113264101</v>
      </c>
      <c r="U36" s="54">
        <v>0</v>
      </c>
      <c r="V36" s="38">
        <v>0</v>
      </c>
      <c r="W36" s="38">
        <v>100</v>
      </c>
      <c r="X36" s="38">
        <v>1.87</v>
      </c>
    </row>
    <row r="37" spans="1:24" x14ac:dyDescent="0.3">
      <c r="A37" s="36">
        <v>11</v>
      </c>
      <c r="B37" s="37" t="s">
        <v>120</v>
      </c>
      <c r="C37" s="37" t="s">
        <v>375</v>
      </c>
      <c r="D37" s="37" t="s">
        <v>375</v>
      </c>
      <c r="E37" s="37" t="s">
        <v>852</v>
      </c>
      <c r="F37" s="37" t="s">
        <v>1095</v>
      </c>
      <c r="G37" s="37" t="s">
        <v>1286</v>
      </c>
      <c r="H37" s="38">
        <v>0.50909090909090904</v>
      </c>
      <c r="I37" s="38">
        <v>0.50909090909090904</v>
      </c>
      <c r="J37" s="38">
        <f xml:space="preserve"> 1 - Table6[[#This Row],[Phon_Similarity]]</f>
        <v>0.49090909090909096</v>
      </c>
      <c r="K37" s="38">
        <f xml:space="preserve"> 1 - Table6[[#This Row],[Orth_Similarity]]</f>
        <v>0.49090909090909096</v>
      </c>
      <c r="L37" s="39">
        <v>2</v>
      </c>
      <c r="M37" s="39">
        <v>4</v>
      </c>
      <c r="N37" s="39">
        <v>4</v>
      </c>
      <c r="O37" s="39">
        <v>4</v>
      </c>
      <c r="P37" s="39">
        <v>4</v>
      </c>
      <c r="Q37" s="39">
        <v>3</v>
      </c>
      <c r="R37" s="39" t="s">
        <v>22</v>
      </c>
      <c r="S37" s="38">
        <v>5.3698079999999999</v>
      </c>
      <c r="T37" s="38">
        <v>5.4366192566250202</v>
      </c>
      <c r="U37" s="38">
        <v>6.7169999999999996</v>
      </c>
      <c r="V37" s="38">
        <v>0.24229218899999999</v>
      </c>
      <c r="W37" s="38">
        <v>96</v>
      </c>
      <c r="X37" s="38">
        <v>2.17</v>
      </c>
    </row>
    <row r="38" spans="1:24" x14ac:dyDescent="0.3">
      <c r="A38" s="36">
        <v>18</v>
      </c>
      <c r="B38" s="37" t="s">
        <v>147</v>
      </c>
      <c r="C38" s="37" t="s">
        <v>402</v>
      </c>
      <c r="D38" s="37" t="s">
        <v>645</v>
      </c>
      <c r="E38" s="37" t="s">
        <v>878</v>
      </c>
      <c r="F38" s="37" t="s">
        <v>1121</v>
      </c>
      <c r="G38" s="37" t="s">
        <v>1293</v>
      </c>
      <c r="H38" s="38">
        <v>0.504</v>
      </c>
      <c r="I38" s="38">
        <v>0.70140845070422531</v>
      </c>
      <c r="J38" s="38">
        <f xml:space="preserve"> 1 - Table6[[#This Row],[Phon_Similarity]]</f>
        <v>0.496</v>
      </c>
      <c r="K38" s="38">
        <f xml:space="preserve"> 1 - Table6[[#This Row],[Orth_Similarity]]</f>
        <v>0.29859154929577469</v>
      </c>
      <c r="L38" s="39">
        <v>7</v>
      </c>
      <c r="M38" s="39">
        <v>7</v>
      </c>
      <c r="N38" s="39">
        <v>6</v>
      </c>
      <c r="O38" s="39">
        <v>7</v>
      </c>
      <c r="P38" s="39">
        <v>3</v>
      </c>
      <c r="Q38" s="39">
        <v>2</v>
      </c>
      <c r="R38" s="39" t="s">
        <v>22</v>
      </c>
      <c r="S38" s="38">
        <v>5.3351069999999998</v>
      </c>
      <c r="T38" s="38">
        <v>5.0194414838122992</v>
      </c>
      <c r="U38" s="38">
        <v>5.7130000000000001</v>
      </c>
      <c r="V38" s="38">
        <v>0.24793583799999999</v>
      </c>
      <c r="W38" s="38">
        <v>95.87628866</v>
      </c>
      <c r="X38" s="38">
        <v>2.88</v>
      </c>
    </row>
    <row r="39" spans="1:24" s="15" customFormat="1" x14ac:dyDescent="0.3">
      <c r="A39" s="36">
        <v>15</v>
      </c>
      <c r="B39" s="37" t="s">
        <v>129</v>
      </c>
      <c r="C39" s="37" t="s">
        <v>384</v>
      </c>
      <c r="D39" s="37" t="s">
        <v>628</v>
      </c>
      <c r="E39" s="37" t="s">
        <v>861</v>
      </c>
      <c r="F39" s="37" t="s">
        <v>1104</v>
      </c>
      <c r="G39" s="37" t="s">
        <v>1295</v>
      </c>
      <c r="H39" s="38">
        <v>0.50344827586206897</v>
      </c>
      <c r="I39" s="38">
        <v>0.55862068965517242</v>
      </c>
      <c r="J39" s="38">
        <f xml:space="preserve"> 1 - Table6[[#This Row],[Phon_Similarity]]</f>
        <v>0.49655172413793103</v>
      </c>
      <c r="K39" s="38">
        <f xml:space="preserve"> 1 - Table6[[#This Row],[Orth_Similarity]]</f>
        <v>0.44137931034482758</v>
      </c>
      <c r="L39" s="39">
        <v>6</v>
      </c>
      <c r="M39" s="39">
        <v>6</v>
      </c>
      <c r="N39" s="39">
        <v>4</v>
      </c>
      <c r="O39" s="39">
        <v>6</v>
      </c>
      <c r="P39" s="39">
        <v>4</v>
      </c>
      <c r="Q39" s="39">
        <v>2</v>
      </c>
      <c r="R39" s="39" t="s">
        <v>22</v>
      </c>
      <c r="S39" s="38">
        <v>3.8950469999999999</v>
      </c>
      <c r="T39" s="38">
        <v>4.3329251483433522</v>
      </c>
      <c r="U39" s="38">
        <v>6.2130000000000001</v>
      </c>
      <c r="V39" s="38">
        <v>0</v>
      </c>
      <c r="W39" s="38">
        <v>100</v>
      </c>
      <c r="X39" s="38">
        <v>2.4</v>
      </c>
    </row>
    <row r="40" spans="1:24" x14ac:dyDescent="0.3">
      <c r="A40" s="36">
        <v>5</v>
      </c>
      <c r="B40" s="37" t="s">
        <v>76</v>
      </c>
      <c r="C40" s="40" t="s">
        <v>331</v>
      </c>
      <c r="D40" s="37" t="s">
        <v>584</v>
      </c>
      <c r="E40" s="37" t="s">
        <v>808</v>
      </c>
      <c r="F40" s="37" t="s">
        <v>1051</v>
      </c>
      <c r="G40" s="37" t="s">
        <v>983</v>
      </c>
      <c r="H40" s="38">
        <v>0.46493506493506498</v>
      </c>
      <c r="I40" s="38">
        <v>0.60476190476190483</v>
      </c>
      <c r="J40" s="38">
        <f xml:space="preserve"> 1 - Table6[[#This Row],[Phon_Similarity]]</f>
        <v>0.53506493506493502</v>
      </c>
      <c r="K40" s="38">
        <f xml:space="preserve"> 1 - Table6[[#This Row],[Orth_Similarity]]</f>
        <v>0.39523809523809517</v>
      </c>
      <c r="L40" s="39">
        <v>8</v>
      </c>
      <c r="M40" s="39">
        <v>7</v>
      </c>
      <c r="N40" s="39">
        <v>9</v>
      </c>
      <c r="O40" s="39">
        <v>7</v>
      </c>
      <c r="P40" s="39">
        <v>7</v>
      </c>
      <c r="Q40" s="39">
        <v>2</v>
      </c>
      <c r="R40" s="39" t="s">
        <v>24</v>
      </c>
      <c r="S40" s="38">
        <v>3.3104209999999998</v>
      </c>
      <c r="T40" s="38">
        <v>3.5536709909140196</v>
      </c>
      <c r="U40" s="54">
        <v>0</v>
      </c>
      <c r="V40" s="38">
        <v>0</v>
      </c>
      <c r="W40" s="38">
        <v>100</v>
      </c>
      <c r="X40" s="38">
        <v>2.83</v>
      </c>
    </row>
    <row r="41" spans="1:24" s="15" customFormat="1" x14ac:dyDescent="0.3">
      <c r="A41" s="36">
        <v>52</v>
      </c>
      <c r="B41" s="37" t="s">
        <v>308</v>
      </c>
      <c r="C41" s="37" t="s">
        <v>563</v>
      </c>
      <c r="D41" s="37" t="s">
        <v>563</v>
      </c>
      <c r="E41" s="37" t="s">
        <v>1028</v>
      </c>
      <c r="F41" s="37" t="s">
        <v>1278</v>
      </c>
      <c r="G41" s="37" t="s">
        <v>1297</v>
      </c>
      <c r="H41" s="38">
        <v>0.45945945945945943</v>
      </c>
      <c r="I41" s="38">
        <v>0.44999999999999996</v>
      </c>
      <c r="J41" s="38">
        <f xml:space="preserve"> 1 - Table6[[#This Row],[Phon_Similarity]]</f>
        <v>0.54054054054054057</v>
      </c>
      <c r="K41" s="38">
        <f xml:space="preserve"> 1 - Table6[[#This Row],[Orth_Similarity]]</f>
        <v>0.55000000000000004</v>
      </c>
      <c r="L41" s="39">
        <v>4</v>
      </c>
      <c r="M41" s="39">
        <v>4</v>
      </c>
      <c r="N41" s="39">
        <v>4</v>
      </c>
      <c r="O41" s="39">
        <v>4</v>
      </c>
      <c r="P41" s="39">
        <v>3</v>
      </c>
      <c r="Q41" s="39">
        <v>2</v>
      </c>
      <c r="R41" s="39" t="s">
        <v>22</v>
      </c>
      <c r="S41" s="38">
        <v>4.830209</v>
      </c>
      <c r="T41" s="38">
        <v>4.7373652346697277</v>
      </c>
      <c r="U41" s="38">
        <v>5.7489999999999997</v>
      </c>
      <c r="V41" s="38">
        <v>0</v>
      </c>
      <c r="W41" s="38">
        <v>100</v>
      </c>
      <c r="X41" s="38">
        <v>1.24</v>
      </c>
    </row>
    <row r="42" spans="1:24" s="15" customFormat="1" x14ac:dyDescent="0.3">
      <c r="A42" s="36">
        <v>33</v>
      </c>
      <c r="B42" s="44" t="s">
        <v>230</v>
      </c>
      <c r="C42" s="44" t="s">
        <v>485</v>
      </c>
      <c r="D42" s="44" t="s">
        <v>719</v>
      </c>
      <c r="E42" s="44" t="s">
        <v>958</v>
      </c>
      <c r="F42" s="44" t="s">
        <v>1202</v>
      </c>
      <c r="G42" s="44" t="s">
        <v>983</v>
      </c>
      <c r="H42" s="45">
        <v>0.45517241379310347</v>
      </c>
      <c r="I42" s="45">
        <v>0.45517241379310347</v>
      </c>
      <c r="J42" s="45">
        <f xml:space="preserve"> 1 - Table6[[#This Row],[Phon_Similarity]]</f>
        <v>0.54482758620689653</v>
      </c>
      <c r="K42" s="45">
        <f xml:space="preserve"> 1 - Table6[[#This Row],[Orth_Similarity]]</f>
        <v>0.54482758620689653</v>
      </c>
      <c r="L42" s="46">
        <v>4</v>
      </c>
      <c r="M42" s="46">
        <v>4</v>
      </c>
      <c r="N42" s="46">
        <v>6</v>
      </c>
      <c r="O42" s="46">
        <v>4</v>
      </c>
      <c r="P42" s="46">
        <v>5</v>
      </c>
      <c r="Q42" s="46">
        <v>2</v>
      </c>
      <c r="R42" s="46" t="s">
        <v>22</v>
      </c>
      <c r="S42" s="45">
        <v>4.4487860000000001</v>
      </c>
      <c r="T42" s="45">
        <v>4.0993709159851388</v>
      </c>
      <c r="U42" s="45">
        <v>6.1139999999999999</v>
      </c>
      <c r="V42" s="45">
        <v>0.33494448700000001</v>
      </c>
      <c r="W42" s="45">
        <v>95</v>
      </c>
      <c r="X42" s="45">
        <v>1.898989899</v>
      </c>
    </row>
    <row r="43" spans="1:24" s="15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</row>
    <row r="44" spans="1:24" s="15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</row>
    <row r="45" spans="1:24" s="15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</row>
    <row r="46" spans="1:24" s="15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</row>
    <row r="47" spans="1:24" s="15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</row>
    <row r="48" spans="1:24" s="15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</row>
    <row r="49" spans="1:24" s="15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</row>
    <row r="50" spans="1:24" s="15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</row>
    <row r="51" spans="1:24" s="15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</row>
    <row r="52" spans="1:24" s="15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</row>
    <row r="53" spans="1:24" s="15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</row>
    <row r="54" spans="1:24" s="15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</row>
    <row r="55" spans="1:24" s="15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List</vt:lpstr>
      <vt:lpstr>Accent_remove</vt:lpstr>
      <vt:lpstr>Sem_cat_no</vt:lpstr>
      <vt:lpstr>Under discussion</vt:lpstr>
      <vt:lpstr>1st_attempt</vt:lpstr>
      <vt:lpstr>22.11.022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Katerina Tsaroucha</cp:lastModifiedBy>
  <dcterms:created xsi:type="dcterms:W3CDTF">2022-11-14T12:49:29Z</dcterms:created>
  <dcterms:modified xsi:type="dcterms:W3CDTF">2024-02-13T11:12:26Z</dcterms:modified>
</cp:coreProperties>
</file>