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Κατερίνα\Nextcloud\Multipic_Exp_1\"/>
    </mc:Choice>
  </mc:AlternateContent>
  <xr:revisionPtr revIDLastSave="0" documentId="13_ncr:1_{A5322BF0-FCDC-40C4-8139-478349B1CADB}" xr6:coauthVersionLast="47" xr6:coauthVersionMax="47" xr10:uidLastSave="{00000000-0000-0000-0000-000000000000}"/>
  <bookViews>
    <workbookView xWindow="-108" yWindow="492" windowWidth="23256" windowHeight="12576" tabRatio="500" activeTab="3" xr2:uid="{00000000-000D-0000-FFFF-FFFF00000000}"/>
  </bookViews>
  <sheets>
    <sheet name="Name_agreement" sheetId="2" r:id="rId1"/>
    <sheet name="Consistent_Ph-Gr" sheetId="3" r:id="rId2"/>
    <sheet name="Incons_Ph-Gr" sheetId="4" r:id="rId3"/>
    <sheet name="First_attempt" sheetId="5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5" l="1"/>
  <c r="F40" i="5"/>
  <c r="F41" i="5"/>
  <c r="F42" i="5"/>
  <c r="F43" i="5"/>
  <c r="F44" i="5"/>
  <c r="F45" i="5"/>
  <c r="F46" i="5"/>
  <c r="F4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5" i="5"/>
  <c r="F60" i="5"/>
  <c r="F61" i="5"/>
  <c r="F62" i="5"/>
  <c r="F63" i="5"/>
  <c r="F64" i="5"/>
  <c r="F65" i="5"/>
  <c r="F66" i="5"/>
  <c r="F6" i="5"/>
  <c r="F67" i="5"/>
  <c r="F68" i="5"/>
  <c r="F69" i="5"/>
  <c r="F70" i="5"/>
  <c r="F71" i="5"/>
  <c r="F72" i="5"/>
  <c r="F73" i="5"/>
  <c r="F74" i="5"/>
  <c r="F75" i="5"/>
  <c r="F76" i="5"/>
  <c r="F77" i="5"/>
  <c r="F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8" i="5"/>
  <c r="F117" i="5"/>
  <c r="F118" i="5"/>
  <c r="F119" i="5"/>
  <c r="F120" i="5"/>
  <c r="F121" i="5"/>
  <c r="F9" i="5"/>
  <c r="F122" i="5"/>
  <c r="F123" i="5"/>
  <c r="F10" i="5"/>
  <c r="F124" i="5"/>
  <c r="F125" i="5"/>
  <c r="F126" i="5"/>
  <c r="F127" i="5"/>
  <c r="F128" i="5"/>
  <c r="F129" i="5"/>
  <c r="F130" i="5"/>
  <c r="F131" i="5"/>
  <c r="F132" i="5"/>
  <c r="F133" i="5"/>
  <c r="F11" i="5"/>
  <c r="F134" i="5"/>
  <c r="F135" i="5"/>
  <c r="F136" i="5"/>
  <c r="F137" i="5"/>
  <c r="F138" i="5"/>
  <c r="F12" i="5"/>
  <c r="F139" i="5"/>
  <c r="F140" i="5"/>
  <c r="F13" i="5"/>
  <c r="F141" i="5"/>
  <c r="F142" i="5"/>
  <c r="F143" i="5"/>
  <c r="F144" i="5"/>
  <c r="F145" i="5"/>
  <c r="F146" i="5"/>
  <c r="F147" i="5"/>
  <c r="F148" i="5"/>
  <c r="F149" i="5"/>
  <c r="F14" i="5"/>
  <c r="F150" i="5"/>
  <c r="F151" i="5"/>
  <c r="F152" i="5"/>
  <c r="F153" i="5"/>
  <c r="F154" i="5"/>
  <c r="F155" i="5"/>
  <c r="F1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6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4" i="5"/>
  <c r="F195" i="5"/>
  <c r="F196" i="5"/>
  <c r="F197" i="5"/>
  <c r="F198" i="5"/>
  <c r="F199" i="5"/>
  <c r="F17" i="5"/>
  <c r="F200" i="5"/>
  <c r="F201" i="5"/>
  <c r="F202" i="5"/>
  <c r="F203" i="5"/>
  <c r="F204" i="5"/>
  <c r="F205" i="5"/>
  <c r="F206" i="5"/>
  <c r="F207" i="5"/>
  <c r="F208" i="5"/>
  <c r="F18" i="5"/>
  <c r="F209" i="5"/>
  <c r="F210" i="5"/>
  <c r="F19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0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1" i="5"/>
  <c r="F237" i="5"/>
  <c r="F238" i="5"/>
  <c r="F239" i="5"/>
  <c r="F240" i="5"/>
  <c r="F22" i="5"/>
  <c r="F241" i="5"/>
  <c r="F242" i="5"/>
  <c r="F243" i="5"/>
  <c r="F244" i="5"/>
  <c r="F245" i="5"/>
  <c r="F246" i="5"/>
  <c r="F23" i="5"/>
  <c r="F247" i="5"/>
  <c r="F248" i="5"/>
  <c r="F249" i="5"/>
  <c r="F250" i="5"/>
  <c r="F251" i="5"/>
  <c r="F24" i="5"/>
  <c r="F252" i="5"/>
  <c r="F253" i="5"/>
  <c r="F254" i="5"/>
  <c r="F255" i="5"/>
  <c r="F25" i="5"/>
  <c r="F256" i="5"/>
  <c r="F257" i="5"/>
  <c r="F26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" i="5"/>
  <c r="F270" i="5"/>
  <c r="F271" i="5"/>
  <c r="F272" i="5"/>
  <c r="F273" i="5"/>
  <c r="F28" i="5"/>
  <c r="F29" i="5"/>
  <c r="F3" i="5"/>
  <c r="F30" i="5"/>
  <c r="F31" i="5"/>
  <c r="F32" i="5"/>
  <c r="F33" i="5"/>
  <c r="F34" i="5"/>
  <c r="F35" i="5"/>
  <c r="F36" i="5"/>
  <c r="F37" i="5"/>
  <c r="F38" i="5"/>
  <c r="F39" i="5"/>
  <c r="N2" i="5"/>
  <c r="N40" i="5"/>
  <c r="N41" i="5"/>
  <c r="N42" i="5"/>
  <c r="N43" i="5"/>
  <c r="N44" i="5"/>
  <c r="N45" i="5"/>
  <c r="N46" i="5"/>
  <c r="N4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5" i="5"/>
  <c r="N60" i="5"/>
  <c r="N61" i="5"/>
  <c r="N62" i="5"/>
  <c r="N63" i="5"/>
  <c r="N64" i="5"/>
  <c r="N65" i="5"/>
  <c r="N66" i="5"/>
  <c r="N6" i="5"/>
  <c r="N67" i="5"/>
  <c r="N68" i="5"/>
  <c r="N69" i="5"/>
  <c r="N70" i="5"/>
  <c r="N71" i="5"/>
  <c r="N72" i="5"/>
  <c r="N73" i="5"/>
  <c r="N74" i="5"/>
  <c r="N75" i="5"/>
  <c r="N76" i="5"/>
  <c r="N77" i="5"/>
  <c r="N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8" i="5"/>
  <c r="N117" i="5"/>
  <c r="N118" i="5"/>
  <c r="N119" i="5"/>
  <c r="N120" i="5"/>
  <c r="N121" i="5"/>
  <c r="N9" i="5"/>
  <c r="N122" i="5"/>
  <c r="N123" i="5"/>
  <c r="N10" i="5"/>
  <c r="N124" i="5"/>
  <c r="N125" i="5"/>
  <c r="N126" i="5"/>
  <c r="N127" i="5"/>
  <c r="N128" i="5"/>
  <c r="N129" i="5"/>
  <c r="N130" i="5"/>
  <c r="N131" i="5"/>
  <c r="N132" i="5"/>
  <c r="N133" i="5"/>
  <c r="N11" i="5"/>
  <c r="N134" i="5"/>
  <c r="N135" i="5"/>
  <c r="N136" i="5"/>
  <c r="N137" i="5"/>
  <c r="N138" i="5"/>
  <c r="N12" i="5"/>
  <c r="N139" i="5"/>
  <c r="N140" i="5"/>
  <c r="N13" i="5"/>
  <c r="N141" i="5"/>
  <c r="N142" i="5"/>
  <c r="N143" i="5"/>
  <c r="N144" i="5"/>
  <c r="N145" i="5"/>
  <c r="N146" i="5"/>
  <c r="N147" i="5"/>
  <c r="N148" i="5"/>
  <c r="N149" i="5"/>
  <c r="N14" i="5"/>
  <c r="N150" i="5"/>
  <c r="N151" i="5"/>
  <c r="N152" i="5"/>
  <c r="N153" i="5"/>
  <c r="N154" i="5"/>
  <c r="N155" i="5"/>
  <c r="N1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6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17" i="5"/>
  <c r="N200" i="5"/>
  <c r="N201" i="5"/>
  <c r="N202" i="5"/>
  <c r="N203" i="5"/>
  <c r="N204" i="5"/>
  <c r="N205" i="5"/>
  <c r="N206" i="5"/>
  <c r="N207" i="5"/>
  <c r="N208" i="5"/>
  <c r="N18" i="5"/>
  <c r="N209" i="5"/>
  <c r="N210" i="5"/>
  <c r="N19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0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1" i="5"/>
  <c r="N237" i="5"/>
  <c r="N238" i="5"/>
  <c r="N239" i="5"/>
  <c r="N240" i="5"/>
  <c r="N22" i="5"/>
  <c r="N241" i="5"/>
  <c r="N242" i="5"/>
  <c r="N243" i="5"/>
  <c r="N244" i="5"/>
  <c r="N245" i="5"/>
  <c r="N246" i="5"/>
  <c r="N23" i="5"/>
  <c r="N247" i="5"/>
  <c r="N248" i="5"/>
  <c r="N249" i="5"/>
  <c r="N250" i="5"/>
  <c r="N251" i="5"/>
  <c r="N24" i="5"/>
  <c r="N252" i="5"/>
  <c r="N253" i="5"/>
  <c r="N254" i="5"/>
  <c r="N255" i="5"/>
  <c r="N25" i="5"/>
  <c r="N256" i="5"/>
  <c r="N257" i="5"/>
  <c r="N26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" i="5"/>
  <c r="N270" i="5"/>
  <c r="N271" i="5"/>
  <c r="N272" i="5"/>
  <c r="N273" i="5"/>
  <c r="N28" i="5"/>
  <c r="N29" i="5"/>
  <c r="N3" i="5"/>
  <c r="N30" i="5"/>
  <c r="N31" i="5"/>
  <c r="N32" i="5"/>
  <c r="N33" i="5"/>
  <c r="N34" i="5"/>
  <c r="N35" i="5"/>
  <c r="N36" i="5"/>
  <c r="N37" i="5"/>
  <c r="N38" i="5"/>
  <c r="N39" i="5"/>
  <c r="M86" i="5"/>
  <c r="L86" i="5"/>
  <c r="J86" i="5"/>
  <c r="I86" i="5"/>
  <c r="M161" i="5"/>
  <c r="L161" i="5"/>
  <c r="J161" i="5"/>
  <c r="I161" i="5"/>
  <c r="M112" i="5"/>
  <c r="L112" i="5"/>
  <c r="J112" i="5"/>
  <c r="I112" i="5"/>
  <c r="M25" i="5"/>
  <c r="L25" i="5"/>
  <c r="J25" i="5"/>
  <c r="I25" i="5"/>
  <c r="M56" i="5"/>
  <c r="L56" i="5"/>
  <c r="J56" i="5"/>
  <c r="I56" i="5"/>
  <c r="M123" i="5"/>
  <c r="L123" i="5"/>
  <c r="J123" i="5"/>
  <c r="I123" i="5"/>
  <c r="M111" i="5"/>
  <c r="L111" i="5"/>
  <c r="J111" i="5"/>
  <c r="I111" i="5"/>
  <c r="M242" i="5"/>
  <c r="L242" i="5"/>
  <c r="J242" i="5"/>
  <c r="I242" i="5"/>
  <c r="M14" i="5"/>
  <c r="L14" i="5"/>
  <c r="J14" i="5"/>
  <c r="I14" i="5"/>
  <c r="M52" i="5"/>
  <c r="L52" i="5"/>
  <c r="J52" i="5"/>
  <c r="I52" i="5"/>
  <c r="M27" i="5"/>
  <c r="L27" i="5"/>
  <c r="J27" i="5"/>
  <c r="I27" i="5"/>
  <c r="M214" i="5"/>
  <c r="L214" i="5"/>
  <c r="J214" i="5"/>
  <c r="I214" i="5"/>
  <c r="M234" i="5"/>
  <c r="L234" i="5"/>
  <c r="J234" i="5"/>
  <c r="I234" i="5"/>
  <c r="M189" i="5"/>
  <c r="L189" i="5"/>
  <c r="J189" i="5"/>
  <c r="I189" i="5"/>
  <c r="M158" i="5"/>
  <c r="L158" i="5"/>
  <c r="J158" i="5"/>
  <c r="I158" i="5"/>
  <c r="M38" i="5"/>
  <c r="L38" i="5"/>
  <c r="J38" i="5"/>
  <c r="I38" i="5"/>
  <c r="M184" i="5"/>
  <c r="L184" i="5"/>
  <c r="J184" i="5"/>
  <c r="I184" i="5"/>
  <c r="M109" i="5"/>
  <c r="L109" i="5"/>
  <c r="J109" i="5"/>
  <c r="I109" i="5"/>
  <c r="M102" i="5"/>
  <c r="L102" i="5"/>
  <c r="J102" i="5"/>
  <c r="I102" i="5"/>
  <c r="M18" i="5"/>
  <c r="L18" i="5"/>
  <c r="J18" i="5"/>
  <c r="I18" i="5"/>
  <c r="M24" i="5"/>
  <c r="L24" i="5"/>
  <c r="J24" i="5"/>
  <c r="I24" i="5"/>
  <c r="M49" i="5"/>
  <c r="L49" i="5"/>
  <c r="J49" i="5"/>
  <c r="I49" i="5"/>
  <c r="M176" i="5"/>
  <c r="L176" i="5"/>
  <c r="J176" i="5"/>
  <c r="I176" i="5"/>
  <c r="M31" i="5"/>
  <c r="L31" i="5"/>
  <c r="J31" i="5"/>
  <c r="I31" i="5"/>
  <c r="M166" i="5"/>
  <c r="L166" i="5"/>
  <c r="J166" i="5"/>
  <c r="I166" i="5"/>
  <c r="M232" i="5"/>
  <c r="L232" i="5"/>
  <c r="J232" i="5"/>
  <c r="I232" i="5"/>
  <c r="M128" i="5"/>
  <c r="L128" i="5"/>
  <c r="J128" i="5"/>
  <c r="I128" i="5"/>
  <c r="M2" i="5"/>
  <c r="L2" i="5"/>
  <c r="J2" i="5"/>
  <c r="I2" i="5"/>
  <c r="M231" i="5"/>
  <c r="L231" i="5"/>
  <c r="J231" i="5"/>
  <c r="I231" i="5"/>
  <c r="M204" i="5"/>
  <c r="L204" i="5"/>
  <c r="J204" i="5"/>
  <c r="I204" i="5"/>
  <c r="M92" i="5"/>
  <c r="L92" i="5"/>
  <c r="J92" i="5"/>
  <c r="I92" i="5"/>
  <c r="M37" i="5"/>
  <c r="L37" i="5"/>
  <c r="K37" i="5"/>
  <c r="J37" i="5"/>
  <c r="I37" i="5"/>
  <c r="M88" i="5"/>
  <c r="L88" i="5"/>
  <c r="K88" i="5"/>
  <c r="J88" i="5"/>
  <c r="I88" i="5"/>
  <c r="M26" i="5"/>
  <c r="L26" i="5"/>
  <c r="K26" i="5"/>
  <c r="J26" i="5"/>
  <c r="I26" i="5"/>
  <c r="M230" i="5"/>
  <c r="L230" i="5"/>
  <c r="K230" i="5"/>
  <c r="J230" i="5"/>
  <c r="I230" i="5"/>
  <c r="M33" i="5"/>
  <c r="L33" i="5"/>
  <c r="K33" i="5"/>
  <c r="J33" i="5"/>
  <c r="I33" i="5"/>
  <c r="M71" i="5"/>
  <c r="L71" i="5"/>
  <c r="K71" i="5"/>
  <c r="J71" i="5"/>
  <c r="I71" i="5"/>
  <c r="M210" i="5"/>
  <c r="L210" i="5"/>
  <c r="K210" i="5"/>
  <c r="J210" i="5"/>
  <c r="I210" i="5"/>
  <c r="M51" i="5"/>
  <c r="L51" i="5"/>
  <c r="K51" i="5"/>
  <c r="J51" i="5"/>
  <c r="I51" i="5"/>
  <c r="M190" i="5"/>
  <c r="L190" i="5"/>
  <c r="K190" i="5"/>
  <c r="J190" i="5"/>
  <c r="I190" i="5"/>
  <c r="M5" i="5"/>
  <c r="L5" i="5"/>
  <c r="K5" i="5"/>
  <c r="J5" i="5"/>
  <c r="I5" i="5"/>
  <c r="M188" i="5"/>
  <c r="L188" i="5"/>
  <c r="K188" i="5"/>
  <c r="J188" i="5"/>
  <c r="I188" i="5"/>
  <c r="M228" i="5"/>
  <c r="L228" i="5"/>
  <c r="K228" i="5"/>
  <c r="J228" i="5"/>
  <c r="I228" i="5"/>
  <c r="M113" i="5"/>
  <c r="L113" i="5"/>
  <c r="K113" i="5"/>
  <c r="J113" i="5"/>
  <c r="I113" i="5"/>
  <c r="M193" i="5"/>
  <c r="L193" i="5"/>
  <c r="K193" i="5"/>
  <c r="J193" i="5"/>
  <c r="I193" i="5"/>
  <c r="M233" i="5"/>
  <c r="L233" i="5"/>
  <c r="K233" i="5"/>
  <c r="J233" i="5"/>
  <c r="I233" i="5"/>
  <c r="M239" i="5"/>
  <c r="L239" i="5"/>
  <c r="K239" i="5"/>
  <c r="J239" i="5"/>
  <c r="I239" i="5"/>
  <c r="M98" i="5"/>
  <c r="L98" i="5"/>
  <c r="K98" i="5"/>
  <c r="J98" i="5"/>
  <c r="I98" i="5"/>
  <c r="M198" i="5"/>
  <c r="L198" i="5"/>
  <c r="K198" i="5"/>
  <c r="J198" i="5"/>
  <c r="I198" i="5"/>
  <c r="M124" i="5"/>
  <c r="L124" i="5"/>
  <c r="K124" i="5"/>
  <c r="J124" i="5"/>
  <c r="I124" i="5"/>
  <c r="M216" i="5"/>
  <c r="L216" i="5"/>
  <c r="K216" i="5"/>
  <c r="J216" i="5"/>
  <c r="I216" i="5"/>
  <c r="M54" i="5"/>
  <c r="L54" i="5"/>
  <c r="K54" i="5"/>
  <c r="J54" i="5"/>
  <c r="I54" i="5"/>
  <c r="M8" i="5"/>
  <c r="L8" i="5"/>
  <c r="K8" i="5"/>
  <c r="J8" i="5"/>
  <c r="I8" i="5"/>
  <c r="M262" i="5"/>
  <c r="L262" i="5"/>
  <c r="K262" i="5"/>
  <c r="J262" i="5"/>
  <c r="I262" i="5"/>
  <c r="M170" i="5"/>
  <c r="L170" i="5"/>
  <c r="K170" i="5"/>
  <c r="J170" i="5"/>
  <c r="I170" i="5"/>
  <c r="M28" i="5"/>
  <c r="L28" i="5"/>
  <c r="K28" i="5"/>
  <c r="J28" i="5"/>
  <c r="I28" i="5"/>
  <c r="M55" i="5"/>
  <c r="L55" i="5"/>
  <c r="K55" i="5"/>
  <c r="J55" i="5"/>
  <c r="I55" i="5"/>
  <c r="M227" i="5"/>
  <c r="L227" i="5"/>
  <c r="K227" i="5"/>
  <c r="J227" i="5"/>
  <c r="I227" i="5"/>
  <c r="M156" i="5"/>
  <c r="L156" i="5"/>
  <c r="K156" i="5"/>
  <c r="J156" i="5"/>
  <c r="I156" i="5"/>
  <c r="M269" i="5"/>
  <c r="L269" i="5"/>
  <c r="K269" i="5"/>
  <c r="J269" i="5"/>
  <c r="I269" i="5"/>
  <c r="M132" i="5"/>
  <c r="L132" i="5"/>
  <c r="K132" i="5"/>
  <c r="J132" i="5"/>
  <c r="I132" i="5"/>
  <c r="M45" i="5"/>
  <c r="L45" i="5"/>
  <c r="K45" i="5"/>
  <c r="J45" i="5"/>
  <c r="I45" i="5"/>
  <c r="M87" i="5"/>
  <c r="L87" i="5"/>
  <c r="K87" i="5"/>
  <c r="J87" i="5"/>
  <c r="I87" i="5"/>
  <c r="M141" i="5"/>
  <c r="L141" i="5"/>
  <c r="K141" i="5"/>
  <c r="J141" i="5"/>
  <c r="I141" i="5"/>
  <c r="M35" i="5"/>
  <c r="L35" i="5"/>
  <c r="K35" i="5"/>
  <c r="J35" i="5"/>
  <c r="I35" i="5"/>
  <c r="M122" i="5"/>
  <c r="L122" i="5"/>
  <c r="K122" i="5"/>
  <c r="J122" i="5"/>
  <c r="I122" i="5"/>
  <c r="M64" i="5"/>
  <c r="L64" i="5"/>
  <c r="K64" i="5"/>
  <c r="J64" i="5"/>
  <c r="I64" i="5"/>
  <c r="M223" i="5"/>
  <c r="L223" i="5"/>
  <c r="K223" i="5"/>
  <c r="J223" i="5"/>
  <c r="I223" i="5"/>
  <c r="M136" i="5"/>
  <c r="L136" i="5"/>
  <c r="K136" i="5"/>
  <c r="J136" i="5"/>
  <c r="I136" i="5"/>
  <c r="M79" i="5"/>
  <c r="L79" i="5"/>
  <c r="K79" i="5"/>
  <c r="J79" i="5"/>
  <c r="I79" i="5"/>
  <c r="M199" i="5"/>
  <c r="L199" i="5"/>
  <c r="K199" i="5"/>
  <c r="J199" i="5"/>
  <c r="I199" i="5"/>
  <c r="M182" i="5"/>
  <c r="L182" i="5"/>
  <c r="K182" i="5"/>
  <c r="J182" i="5"/>
  <c r="I182" i="5"/>
  <c r="M127" i="5"/>
  <c r="L127" i="5"/>
  <c r="K127" i="5"/>
  <c r="J127" i="5"/>
  <c r="I127" i="5"/>
  <c r="M178" i="5"/>
  <c r="L178" i="5"/>
  <c r="K178" i="5"/>
  <c r="J178" i="5"/>
  <c r="I178" i="5"/>
  <c r="M258" i="5"/>
  <c r="L258" i="5"/>
  <c r="K258" i="5"/>
  <c r="J258" i="5"/>
  <c r="I258" i="5"/>
  <c r="M93" i="5"/>
  <c r="L93" i="5"/>
  <c r="K93" i="5"/>
  <c r="J93" i="5"/>
  <c r="I93" i="5"/>
  <c r="M164" i="5"/>
  <c r="L164" i="5"/>
  <c r="K164" i="5"/>
  <c r="J164" i="5"/>
  <c r="I164" i="5"/>
  <c r="M140" i="5"/>
  <c r="L140" i="5"/>
  <c r="K140" i="5"/>
  <c r="J140" i="5"/>
  <c r="I140" i="5"/>
  <c r="M6" i="5"/>
  <c r="L6" i="5"/>
  <c r="K6" i="5"/>
  <c r="J6" i="5"/>
  <c r="I6" i="5"/>
  <c r="M126" i="5"/>
  <c r="L126" i="5"/>
  <c r="K126" i="5"/>
  <c r="J126" i="5"/>
  <c r="I126" i="5"/>
  <c r="M91" i="5"/>
  <c r="L91" i="5"/>
  <c r="K91" i="5"/>
  <c r="J91" i="5"/>
  <c r="I91" i="5"/>
  <c r="M221" i="5"/>
  <c r="L221" i="5"/>
  <c r="K221" i="5"/>
  <c r="J221" i="5"/>
  <c r="I221" i="5"/>
  <c r="M61" i="5"/>
  <c r="L61" i="5"/>
  <c r="K61" i="5"/>
  <c r="J61" i="5"/>
  <c r="I61" i="5"/>
  <c r="M107" i="5"/>
  <c r="L107" i="5"/>
  <c r="K107" i="5"/>
  <c r="J107" i="5"/>
  <c r="I107" i="5"/>
  <c r="M160" i="5"/>
  <c r="L160" i="5"/>
  <c r="K160" i="5"/>
  <c r="J160" i="5"/>
  <c r="I160" i="5"/>
  <c r="M175" i="5"/>
  <c r="L175" i="5"/>
  <c r="K175" i="5"/>
  <c r="J175" i="5"/>
  <c r="I175" i="5"/>
  <c r="M133" i="5"/>
  <c r="L133" i="5"/>
  <c r="K133" i="5"/>
  <c r="J133" i="5"/>
  <c r="I133" i="5"/>
  <c r="M81" i="5"/>
  <c r="L81" i="5"/>
  <c r="K81" i="5"/>
  <c r="J81" i="5"/>
  <c r="I81" i="5"/>
  <c r="M212" i="5"/>
  <c r="L212" i="5"/>
  <c r="K212" i="5"/>
  <c r="J212" i="5"/>
  <c r="I212" i="5"/>
  <c r="M257" i="5"/>
  <c r="L257" i="5"/>
  <c r="K257" i="5"/>
  <c r="J257" i="5"/>
  <c r="I257" i="5"/>
  <c r="M203" i="5"/>
  <c r="L203" i="5"/>
  <c r="K203" i="5"/>
  <c r="J203" i="5"/>
  <c r="I203" i="5"/>
  <c r="M266" i="5"/>
  <c r="L266" i="5"/>
  <c r="K266" i="5"/>
  <c r="J266" i="5"/>
  <c r="I266" i="5"/>
  <c r="M104" i="5"/>
  <c r="L104" i="5"/>
  <c r="K104" i="5"/>
  <c r="J104" i="5"/>
  <c r="I104" i="5"/>
  <c r="M247" i="5"/>
  <c r="L247" i="5"/>
  <c r="K247" i="5"/>
  <c r="J247" i="5"/>
  <c r="I247" i="5"/>
  <c r="M148" i="5"/>
  <c r="L148" i="5"/>
  <c r="K148" i="5"/>
  <c r="J148" i="5"/>
  <c r="I148" i="5"/>
  <c r="M192" i="5"/>
  <c r="L192" i="5"/>
  <c r="K192" i="5"/>
  <c r="J192" i="5"/>
  <c r="I192" i="5"/>
  <c r="M250" i="5"/>
  <c r="L250" i="5"/>
  <c r="K250" i="5"/>
  <c r="J250" i="5"/>
  <c r="I250" i="5"/>
  <c r="M146" i="5"/>
  <c r="L146" i="5"/>
  <c r="K146" i="5"/>
  <c r="J146" i="5"/>
  <c r="I146" i="5"/>
  <c r="M241" i="5"/>
  <c r="L241" i="5"/>
  <c r="K241" i="5"/>
  <c r="J241" i="5"/>
  <c r="I241" i="5"/>
  <c r="M135" i="5"/>
  <c r="L135" i="5"/>
  <c r="K135" i="5"/>
  <c r="J135" i="5"/>
  <c r="I135" i="5"/>
  <c r="M197" i="5"/>
  <c r="L197" i="5"/>
  <c r="K197" i="5"/>
  <c r="J197" i="5"/>
  <c r="I197" i="5"/>
  <c r="M120" i="5"/>
  <c r="L120" i="5"/>
  <c r="K120" i="5"/>
  <c r="J120" i="5"/>
  <c r="I120" i="5"/>
  <c r="M114" i="5"/>
  <c r="L114" i="5"/>
  <c r="K114" i="5"/>
  <c r="J114" i="5"/>
  <c r="I114" i="5"/>
  <c r="M74" i="5"/>
  <c r="L74" i="5"/>
  <c r="K74" i="5"/>
  <c r="J74" i="5"/>
  <c r="I74" i="5"/>
  <c r="M174" i="5"/>
  <c r="L174" i="5"/>
  <c r="K174" i="5"/>
  <c r="J174" i="5"/>
  <c r="I174" i="5"/>
  <c r="M207" i="5"/>
  <c r="L207" i="5"/>
  <c r="K207" i="5"/>
  <c r="J207" i="5"/>
  <c r="I207" i="5"/>
  <c r="M22" i="5"/>
  <c r="L22" i="5"/>
  <c r="K22" i="5"/>
  <c r="J22" i="5"/>
  <c r="I22" i="5"/>
  <c r="M83" i="5"/>
  <c r="L83" i="5"/>
  <c r="K83" i="5"/>
  <c r="J83" i="5"/>
  <c r="I83" i="5"/>
  <c r="M16" i="5"/>
  <c r="L16" i="5"/>
  <c r="K16" i="5"/>
  <c r="J16" i="5"/>
  <c r="I16" i="5"/>
  <c r="M143" i="5"/>
  <c r="L143" i="5"/>
  <c r="K143" i="5"/>
  <c r="J143" i="5"/>
  <c r="I143" i="5"/>
  <c r="M144" i="5"/>
  <c r="L144" i="5"/>
  <c r="K144" i="5"/>
  <c r="J144" i="5"/>
  <c r="I144" i="5"/>
  <c r="M17" i="5"/>
  <c r="L17" i="5"/>
  <c r="K17" i="5"/>
  <c r="J17" i="5"/>
  <c r="I17" i="5"/>
  <c r="M271" i="5"/>
  <c r="L271" i="5"/>
  <c r="K271" i="5"/>
  <c r="J271" i="5"/>
  <c r="I271" i="5"/>
  <c r="M34" i="5"/>
  <c r="L34" i="5"/>
  <c r="K34" i="5"/>
  <c r="J34" i="5"/>
  <c r="I34" i="5"/>
  <c r="M180" i="5"/>
  <c r="L180" i="5"/>
  <c r="K180" i="5"/>
  <c r="J180" i="5"/>
  <c r="I180" i="5"/>
  <c r="M134" i="5"/>
  <c r="L134" i="5"/>
  <c r="K134" i="5"/>
  <c r="J134" i="5"/>
  <c r="I134" i="5"/>
  <c r="M191" i="5"/>
  <c r="L191" i="5"/>
  <c r="K191" i="5"/>
  <c r="J191" i="5"/>
  <c r="I191" i="5"/>
  <c r="M41" i="5"/>
  <c r="L41" i="5"/>
  <c r="K41" i="5"/>
  <c r="J41" i="5"/>
  <c r="I41" i="5"/>
  <c r="M273" i="5"/>
  <c r="L273" i="5"/>
  <c r="K273" i="5"/>
  <c r="J273" i="5"/>
  <c r="I273" i="5"/>
  <c r="M254" i="5"/>
  <c r="L254" i="5"/>
  <c r="K254" i="5"/>
  <c r="J254" i="5"/>
  <c r="I254" i="5"/>
  <c r="M217" i="5"/>
  <c r="L217" i="5"/>
  <c r="K217" i="5"/>
  <c r="J217" i="5"/>
  <c r="I217" i="5"/>
  <c r="M66" i="5"/>
  <c r="L66" i="5"/>
  <c r="K66" i="5"/>
  <c r="J66" i="5"/>
  <c r="I66" i="5"/>
  <c r="M264" i="5"/>
  <c r="L264" i="5"/>
  <c r="K264" i="5"/>
  <c r="J264" i="5"/>
  <c r="I264" i="5"/>
  <c r="M272" i="5"/>
  <c r="L272" i="5"/>
  <c r="K272" i="5"/>
  <c r="J272" i="5"/>
  <c r="I272" i="5"/>
  <c r="M115" i="5"/>
  <c r="L115" i="5"/>
  <c r="K115" i="5"/>
  <c r="J115" i="5"/>
  <c r="I115" i="5"/>
  <c r="M60" i="5"/>
  <c r="L60" i="5"/>
  <c r="K60" i="5"/>
  <c r="J60" i="5"/>
  <c r="I60" i="5"/>
  <c r="M165" i="5"/>
  <c r="L165" i="5"/>
  <c r="K165" i="5"/>
  <c r="J165" i="5"/>
  <c r="I165" i="5"/>
  <c r="M75" i="5"/>
  <c r="L75" i="5"/>
  <c r="K75" i="5"/>
  <c r="J75" i="5"/>
  <c r="I75" i="5"/>
  <c r="M21" i="5"/>
  <c r="L21" i="5"/>
  <c r="K21" i="5"/>
  <c r="J21" i="5"/>
  <c r="I21" i="5"/>
  <c r="M82" i="5"/>
  <c r="L82" i="5"/>
  <c r="K82" i="5"/>
  <c r="J82" i="5"/>
  <c r="I82" i="5"/>
  <c r="M63" i="5"/>
  <c r="L63" i="5"/>
  <c r="K63" i="5"/>
  <c r="J63" i="5"/>
  <c r="I63" i="5"/>
  <c r="M139" i="5"/>
  <c r="L139" i="5"/>
  <c r="K139" i="5"/>
  <c r="J139" i="5"/>
  <c r="I139" i="5"/>
  <c r="M116" i="5"/>
  <c r="L116" i="5"/>
  <c r="K116" i="5"/>
  <c r="J116" i="5"/>
  <c r="I116" i="5"/>
  <c r="M106" i="5"/>
  <c r="L106" i="5"/>
  <c r="K106" i="5"/>
  <c r="J106" i="5"/>
  <c r="I106" i="5"/>
  <c r="M183" i="5"/>
  <c r="L183" i="5"/>
  <c r="K183" i="5"/>
  <c r="J183" i="5"/>
  <c r="I183" i="5"/>
  <c r="M226" i="5"/>
  <c r="L226" i="5"/>
  <c r="K226" i="5"/>
  <c r="J226" i="5"/>
  <c r="I226" i="5"/>
  <c r="M256" i="5"/>
  <c r="L256" i="5"/>
  <c r="J256" i="5"/>
  <c r="I256" i="5"/>
  <c r="M259" i="5"/>
  <c r="L259" i="5"/>
  <c r="J259" i="5"/>
  <c r="I259" i="5"/>
  <c r="M57" i="5"/>
  <c r="L57" i="5"/>
  <c r="J57" i="5"/>
  <c r="I57" i="5"/>
  <c r="M151" i="5"/>
  <c r="L151" i="5"/>
  <c r="J151" i="5"/>
  <c r="I151" i="5"/>
  <c r="M206" i="5"/>
  <c r="L206" i="5"/>
  <c r="J206" i="5"/>
  <c r="I206" i="5"/>
  <c r="M149" i="5"/>
  <c r="L149" i="5"/>
  <c r="J149" i="5"/>
  <c r="I149" i="5"/>
  <c r="M213" i="5"/>
  <c r="L213" i="5"/>
  <c r="J213" i="5"/>
  <c r="I213" i="5"/>
  <c r="M249" i="5"/>
  <c r="L249" i="5"/>
  <c r="J249" i="5"/>
  <c r="I249" i="5"/>
  <c r="M222" i="5"/>
  <c r="L222" i="5"/>
  <c r="J222" i="5"/>
  <c r="I222" i="5"/>
  <c r="M235" i="5"/>
  <c r="L235" i="5"/>
  <c r="J235" i="5"/>
  <c r="I235" i="5"/>
  <c r="M200" i="5"/>
  <c r="L200" i="5"/>
  <c r="J200" i="5"/>
  <c r="I200" i="5"/>
  <c r="M58" i="5"/>
  <c r="L58" i="5"/>
  <c r="J58" i="5"/>
  <c r="I58" i="5"/>
  <c r="M125" i="5"/>
  <c r="L125" i="5"/>
  <c r="J125" i="5"/>
  <c r="I125" i="5"/>
  <c r="M167" i="5"/>
  <c r="L167" i="5"/>
  <c r="J167" i="5"/>
  <c r="I167" i="5"/>
  <c r="M202" i="5"/>
  <c r="L202" i="5"/>
  <c r="J202" i="5"/>
  <c r="I202" i="5"/>
  <c r="M147" i="5"/>
  <c r="L147" i="5"/>
  <c r="J147" i="5"/>
  <c r="I147" i="5"/>
  <c r="M252" i="5"/>
  <c r="L252" i="5"/>
  <c r="J252" i="5"/>
  <c r="I252" i="5"/>
  <c r="M23" i="5"/>
  <c r="L23" i="5"/>
  <c r="J23" i="5"/>
  <c r="I23" i="5"/>
  <c r="M29" i="5"/>
  <c r="L29" i="5"/>
  <c r="J29" i="5"/>
  <c r="I29" i="5"/>
  <c r="M4" i="5"/>
  <c r="L4" i="5"/>
  <c r="J4" i="5"/>
  <c r="I4" i="5"/>
  <c r="M211" i="5"/>
  <c r="L211" i="5"/>
  <c r="J211" i="5"/>
  <c r="I211" i="5"/>
  <c r="M129" i="5"/>
  <c r="L129" i="5"/>
  <c r="J129" i="5"/>
  <c r="I129" i="5"/>
  <c r="M152" i="5"/>
  <c r="L152" i="5"/>
  <c r="K152" i="5"/>
  <c r="J152" i="5"/>
  <c r="I152" i="5"/>
  <c r="M218" i="5"/>
  <c r="L218" i="5"/>
  <c r="K218" i="5"/>
  <c r="J218" i="5"/>
  <c r="I218" i="5"/>
  <c r="M267" i="5"/>
  <c r="L267" i="5"/>
  <c r="K267" i="5"/>
  <c r="J267" i="5"/>
  <c r="I267" i="5"/>
  <c r="M44" i="5"/>
  <c r="L44" i="5"/>
  <c r="K44" i="5"/>
  <c r="J44" i="5"/>
  <c r="I44" i="5"/>
  <c r="M181" i="5"/>
  <c r="L181" i="5"/>
  <c r="K181" i="5"/>
  <c r="J181" i="5"/>
  <c r="I181" i="5"/>
  <c r="M208" i="5"/>
  <c r="L208" i="5"/>
  <c r="K208" i="5"/>
  <c r="J208" i="5"/>
  <c r="I208" i="5"/>
  <c r="M73" i="5"/>
  <c r="L73" i="5"/>
  <c r="K73" i="5"/>
  <c r="J73" i="5"/>
  <c r="I73" i="5"/>
  <c r="M270" i="5"/>
  <c r="L270" i="5"/>
  <c r="K270" i="5"/>
  <c r="J270" i="5"/>
  <c r="I270" i="5"/>
  <c r="M70" i="5"/>
  <c r="L70" i="5"/>
  <c r="K70" i="5"/>
  <c r="J70" i="5"/>
  <c r="I70" i="5"/>
  <c r="M179" i="5"/>
  <c r="L179" i="5"/>
  <c r="K179" i="5"/>
  <c r="J179" i="5"/>
  <c r="I179" i="5"/>
  <c r="M168" i="5"/>
  <c r="L168" i="5"/>
  <c r="K168" i="5"/>
  <c r="J168" i="5"/>
  <c r="I168" i="5"/>
  <c r="M137" i="5"/>
  <c r="L137" i="5"/>
  <c r="K137" i="5"/>
  <c r="J137" i="5"/>
  <c r="I137" i="5"/>
  <c r="M101" i="5"/>
  <c r="L101" i="5"/>
  <c r="K101" i="5"/>
  <c r="J101" i="5"/>
  <c r="I101" i="5"/>
  <c r="M59" i="5"/>
  <c r="L59" i="5"/>
  <c r="K59" i="5"/>
  <c r="J59" i="5"/>
  <c r="I59" i="5"/>
  <c r="M173" i="5"/>
  <c r="L173" i="5"/>
  <c r="K173" i="5"/>
  <c r="J173" i="5"/>
  <c r="I173" i="5"/>
  <c r="M72" i="5"/>
  <c r="L72" i="5"/>
  <c r="K72" i="5"/>
  <c r="J72" i="5"/>
  <c r="I72" i="5"/>
  <c r="M85" i="5"/>
  <c r="L85" i="5"/>
  <c r="K85" i="5"/>
  <c r="J85" i="5"/>
  <c r="I85" i="5"/>
  <c r="M162" i="5"/>
  <c r="L162" i="5"/>
  <c r="K162" i="5"/>
  <c r="J162" i="5"/>
  <c r="I162" i="5"/>
  <c r="M251" i="5"/>
  <c r="L251" i="5"/>
  <c r="K251" i="5"/>
  <c r="J251" i="5"/>
  <c r="I251" i="5"/>
  <c r="M246" i="5"/>
  <c r="L246" i="5"/>
  <c r="K246" i="5"/>
  <c r="J246" i="5"/>
  <c r="I246" i="5"/>
  <c r="M3" i="5"/>
  <c r="L3" i="5"/>
  <c r="K3" i="5"/>
  <c r="J3" i="5"/>
  <c r="I3" i="5"/>
  <c r="M110" i="5"/>
  <c r="L110" i="5"/>
  <c r="K110" i="5"/>
  <c r="J110" i="5"/>
  <c r="I110" i="5"/>
  <c r="M215" i="5"/>
  <c r="L215" i="5"/>
  <c r="K215" i="5"/>
  <c r="J215" i="5"/>
  <c r="I215" i="5"/>
  <c r="M236" i="5"/>
  <c r="L236" i="5"/>
  <c r="K236" i="5"/>
  <c r="J236" i="5"/>
  <c r="I236" i="5"/>
  <c r="M15" i="5"/>
  <c r="L15" i="5"/>
  <c r="K15" i="5"/>
  <c r="J15" i="5"/>
  <c r="I15" i="5"/>
  <c r="M108" i="5"/>
  <c r="L108" i="5"/>
  <c r="K108" i="5"/>
  <c r="J108" i="5"/>
  <c r="I108" i="5"/>
  <c r="M157" i="5"/>
  <c r="L157" i="5"/>
  <c r="K157" i="5"/>
  <c r="J157" i="5"/>
  <c r="I157" i="5"/>
  <c r="M201" i="5"/>
  <c r="L201" i="5"/>
  <c r="K201" i="5"/>
  <c r="J201" i="5"/>
  <c r="I201" i="5"/>
  <c r="M7" i="5"/>
  <c r="L7" i="5"/>
  <c r="K7" i="5"/>
  <c r="J7" i="5"/>
  <c r="I7" i="5"/>
  <c r="M150" i="5"/>
  <c r="L150" i="5"/>
  <c r="K150" i="5"/>
  <c r="J150" i="5"/>
  <c r="I150" i="5"/>
  <c r="M94" i="5"/>
  <c r="L94" i="5"/>
  <c r="K94" i="5"/>
  <c r="J94" i="5"/>
  <c r="I94" i="5"/>
  <c r="M187" i="5"/>
  <c r="L187" i="5"/>
  <c r="K187" i="5"/>
  <c r="J187" i="5"/>
  <c r="I187" i="5"/>
  <c r="M84" i="5"/>
  <c r="L84" i="5"/>
  <c r="K84" i="5"/>
  <c r="J84" i="5"/>
  <c r="I84" i="5"/>
  <c r="M96" i="5"/>
  <c r="L96" i="5"/>
  <c r="K96" i="5"/>
  <c r="J96" i="5"/>
  <c r="I96" i="5"/>
  <c r="M240" i="5"/>
  <c r="L240" i="5"/>
  <c r="K240" i="5"/>
  <c r="J240" i="5"/>
  <c r="I240" i="5"/>
  <c r="M11" i="5"/>
  <c r="L11" i="5"/>
  <c r="K11" i="5"/>
  <c r="J11" i="5"/>
  <c r="I11" i="5"/>
  <c r="M46" i="5"/>
  <c r="L46" i="5"/>
  <c r="K46" i="5"/>
  <c r="J46" i="5"/>
  <c r="I46" i="5"/>
  <c r="M103" i="5"/>
  <c r="L103" i="5"/>
  <c r="K103" i="5"/>
  <c r="J103" i="5"/>
  <c r="I103" i="5"/>
  <c r="M224" i="5"/>
  <c r="L224" i="5"/>
  <c r="K224" i="5"/>
  <c r="J224" i="5"/>
  <c r="I224" i="5"/>
  <c r="M244" i="5"/>
  <c r="L244" i="5"/>
  <c r="K244" i="5"/>
  <c r="J244" i="5"/>
  <c r="I244" i="5"/>
  <c r="M185" i="5"/>
  <c r="L185" i="5"/>
  <c r="K185" i="5"/>
  <c r="J185" i="5"/>
  <c r="I185" i="5"/>
  <c r="M159" i="5"/>
  <c r="L159" i="5"/>
  <c r="K159" i="5"/>
  <c r="J159" i="5"/>
  <c r="I159" i="5"/>
  <c r="M163" i="5"/>
  <c r="L163" i="5"/>
  <c r="K163" i="5"/>
  <c r="J163" i="5"/>
  <c r="I163" i="5"/>
  <c r="M171" i="5"/>
  <c r="L171" i="5"/>
  <c r="K171" i="5"/>
  <c r="J171" i="5"/>
  <c r="I171" i="5"/>
  <c r="M40" i="5"/>
  <c r="L40" i="5"/>
  <c r="K40" i="5"/>
  <c r="J40" i="5"/>
  <c r="I40" i="5"/>
  <c r="M261" i="5"/>
  <c r="L261" i="5"/>
  <c r="K261" i="5"/>
  <c r="J261" i="5"/>
  <c r="I261" i="5"/>
  <c r="M263" i="5"/>
  <c r="L263" i="5"/>
  <c r="K263" i="5"/>
  <c r="J263" i="5"/>
  <c r="I263" i="5"/>
  <c r="M50" i="5"/>
  <c r="L50" i="5"/>
  <c r="K50" i="5"/>
  <c r="J50" i="5"/>
  <c r="I50" i="5"/>
  <c r="M32" i="5"/>
  <c r="L32" i="5"/>
  <c r="K32" i="5"/>
  <c r="J32" i="5"/>
  <c r="I32" i="5"/>
  <c r="M76" i="5"/>
  <c r="L76" i="5"/>
  <c r="K76" i="5"/>
  <c r="J76" i="5"/>
  <c r="I76" i="5"/>
  <c r="M169" i="5"/>
  <c r="L169" i="5"/>
  <c r="K169" i="5"/>
  <c r="J169" i="5"/>
  <c r="I169" i="5"/>
  <c r="M142" i="5"/>
  <c r="L142" i="5"/>
  <c r="K142" i="5"/>
  <c r="J142" i="5"/>
  <c r="I142" i="5"/>
  <c r="M253" i="5"/>
  <c r="L253" i="5"/>
  <c r="K253" i="5"/>
  <c r="J253" i="5"/>
  <c r="I253" i="5"/>
  <c r="M9" i="5"/>
  <c r="L9" i="5"/>
  <c r="K9" i="5"/>
  <c r="J9" i="5"/>
  <c r="I9" i="5"/>
  <c r="M118" i="5"/>
  <c r="L118" i="5"/>
  <c r="K118" i="5"/>
  <c r="J118" i="5"/>
  <c r="I118" i="5"/>
  <c r="M229" i="5"/>
  <c r="L229" i="5"/>
  <c r="K229" i="5"/>
  <c r="J229" i="5"/>
  <c r="I229" i="5"/>
  <c r="M42" i="5"/>
  <c r="L42" i="5"/>
  <c r="K42" i="5"/>
  <c r="J42" i="5"/>
  <c r="I42" i="5"/>
  <c r="M53" i="5"/>
  <c r="L53" i="5"/>
  <c r="K53" i="5"/>
  <c r="J53" i="5"/>
  <c r="I53" i="5"/>
  <c r="M78" i="5"/>
  <c r="L78" i="5"/>
  <c r="K78" i="5"/>
  <c r="J78" i="5"/>
  <c r="I78" i="5"/>
  <c r="M209" i="5"/>
  <c r="L209" i="5"/>
  <c r="K209" i="5"/>
  <c r="J209" i="5"/>
  <c r="I209" i="5"/>
  <c r="M100" i="5"/>
  <c r="L100" i="5"/>
  <c r="K100" i="5"/>
  <c r="J100" i="5"/>
  <c r="I100" i="5"/>
  <c r="M65" i="5"/>
  <c r="L65" i="5"/>
  <c r="K65" i="5"/>
  <c r="J65" i="5"/>
  <c r="I65" i="5"/>
  <c r="M36" i="5"/>
  <c r="L36" i="5"/>
  <c r="K36" i="5"/>
  <c r="J36" i="5"/>
  <c r="I36" i="5"/>
  <c r="M20" i="5"/>
  <c r="L20" i="5"/>
  <c r="K20" i="5"/>
  <c r="J20" i="5"/>
  <c r="I20" i="5"/>
  <c r="M245" i="5"/>
  <c r="L245" i="5"/>
  <c r="K245" i="5"/>
  <c r="J245" i="5"/>
  <c r="I245" i="5"/>
  <c r="M154" i="5"/>
  <c r="L154" i="5"/>
  <c r="K154" i="5"/>
  <c r="J154" i="5"/>
  <c r="I154" i="5"/>
  <c r="M237" i="5"/>
  <c r="L237" i="5"/>
  <c r="K237" i="5"/>
  <c r="J237" i="5"/>
  <c r="I237" i="5"/>
  <c r="M194" i="5"/>
  <c r="L194" i="5"/>
  <c r="K194" i="5"/>
  <c r="J194" i="5"/>
  <c r="I194" i="5"/>
  <c r="M225" i="5"/>
  <c r="L225" i="5"/>
  <c r="K225" i="5"/>
  <c r="J225" i="5"/>
  <c r="I225" i="5"/>
  <c r="M48" i="5"/>
  <c r="L48" i="5"/>
  <c r="K48" i="5"/>
  <c r="J48" i="5"/>
  <c r="I48" i="5"/>
  <c r="M172" i="5"/>
  <c r="L172" i="5"/>
  <c r="K172" i="5"/>
  <c r="J172" i="5"/>
  <c r="I172" i="5"/>
  <c r="M90" i="5"/>
  <c r="L90" i="5"/>
  <c r="K90" i="5"/>
  <c r="J90" i="5"/>
  <c r="I90" i="5"/>
  <c r="M99" i="5"/>
  <c r="L99" i="5"/>
  <c r="K99" i="5"/>
  <c r="J99" i="5"/>
  <c r="I99" i="5"/>
  <c r="M205" i="5"/>
  <c r="L205" i="5"/>
  <c r="K205" i="5"/>
  <c r="J205" i="5"/>
  <c r="I205" i="5"/>
  <c r="M80" i="5"/>
  <c r="L80" i="5"/>
  <c r="K80" i="5"/>
  <c r="J80" i="5"/>
  <c r="I80" i="5"/>
  <c r="M153" i="5"/>
  <c r="L153" i="5"/>
  <c r="K153" i="5"/>
  <c r="J153" i="5"/>
  <c r="I153" i="5"/>
  <c r="M243" i="5"/>
  <c r="L243" i="5"/>
  <c r="K243" i="5"/>
  <c r="J243" i="5"/>
  <c r="I243" i="5"/>
  <c r="M130" i="5"/>
  <c r="L130" i="5"/>
  <c r="K130" i="5"/>
  <c r="J130" i="5"/>
  <c r="I130" i="5"/>
  <c r="M69" i="5"/>
  <c r="L69" i="5"/>
  <c r="K69" i="5"/>
  <c r="J69" i="5"/>
  <c r="I69" i="5"/>
  <c r="M117" i="5"/>
  <c r="L117" i="5"/>
  <c r="K117" i="5"/>
  <c r="J117" i="5"/>
  <c r="I117" i="5"/>
  <c r="M186" i="5"/>
  <c r="L186" i="5"/>
  <c r="K186" i="5"/>
  <c r="J186" i="5"/>
  <c r="I186" i="5"/>
  <c r="M219" i="5"/>
  <c r="L219" i="5"/>
  <c r="K219" i="5"/>
  <c r="J219" i="5"/>
  <c r="I219" i="5"/>
  <c r="M138" i="5"/>
  <c r="L138" i="5"/>
  <c r="K138" i="5"/>
  <c r="J138" i="5"/>
  <c r="I138" i="5"/>
  <c r="M238" i="5"/>
  <c r="L238" i="5"/>
  <c r="K238" i="5"/>
  <c r="J238" i="5"/>
  <c r="I238" i="5"/>
  <c r="M43" i="5"/>
  <c r="L43" i="5"/>
  <c r="K43" i="5"/>
  <c r="J43" i="5"/>
  <c r="I43" i="5"/>
  <c r="M12" i="5"/>
  <c r="L12" i="5"/>
  <c r="K12" i="5"/>
  <c r="J12" i="5"/>
  <c r="I12" i="5"/>
  <c r="M62" i="5"/>
  <c r="L62" i="5"/>
  <c r="K62" i="5"/>
  <c r="J62" i="5"/>
  <c r="I62" i="5"/>
  <c r="M47" i="5"/>
  <c r="L47" i="5"/>
  <c r="K47" i="5"/>
  <c r="J47" i="5"/>
  <c r="I47" i="5"/>
  <c r="M121" i="5"/>
  <c r="L121" i="5"/>
  <c r="K121" i="5"/>
  <c r="J121" i="5"/>
  <c r="I121" i="5"/>
  <c r="M119" i="5"/>
  <c r="L119" i="5"/>
  <c r="K119" i="5"/>
  <c r="J119" i="5"/>
  <c r="I119" i="5"/>
  <c r="M255" i="5"/>
  <c r="L255" i="5"/>
  <c r="K255" i="5"/>
  <c r="J255" i="5"/>
  <c r="I255" i="5"/>
  <c r="M195" i="5"/>
  <c r="L195" i="5"/>
  <c r="K195" i="5"/>
  <c r="J195" i="5"/>
  <c r="I195" i="5"/>
  <c r="M220" i="5"/>
  <c r="L220" i="5"/>
  <c r="K220" i="5"/>
  <c r="J220" i="5"/>
  <c r="I220" i="5"/>
  <c r="M39" i="5"/>
  <c r="L39" i="5"/>
  <c r="K39" i="5"/>
  <c r="J39" i="5"/>
  <c r="I39" i="5"/>
  <c r="M155" i="5"/>
  <c r="L155" i="5"/>
  <c r="K155" i="5"/>
  <c r="J155" i="5"/>
  <c r="I155" i="5"/>
  <c r="M10" i="5"/>
  <c r="L10" i="5"/>
  <c r="K10" i="5"/>
  <c r="J10" i="5"/>
  <c r="I10" i="5"/>
  <c r="M95" i="5"/>
  <c r="L95" i="5"/>
  <c r="K95" i="5"/>
  <c r="J95" i="5"/>
  <c r="I95" i="5"/>
  <c r="M67" i="5"/>
  <c r="L67" i="5"/>
  <c r="K67" i="5"/>
  <c r="J67" i="5"/>
  <c r="I67" i="5"/>
  <c r="M30" i="5"/>
  <c r="L30" i="5"/>
  <c r="K30" i="5"/>
  <c r="J30" i="5"/>
  <c r="I30" i="5"/>
  <c r="M196" i="5"/>
  <c r="L196" i="5"/>
  <c r="K196" i="5"/>
  <c r="J196" i="5"/>
  <c r="I196" i="5"/>
  <c r="M97" i="5"/>
  <c r="L97" i="5"/>
  <c r="K97" i="5"/>
  <c r="J97" i="5"/>
  <c r="I97" i="5"/>
  <c r="M105" i="5"/>
  <c r="L105" i="5"/>
  <c r="K105" i="5"/>
  <c r="J105" i="5"/>
  <c r="I105" i="5"/>
  <c r="M265" i="5"/>
  <c r="L265" i="5"/>
  <c r="K265" i="5"/>
  <c r="J265" i="5"/>
  <c r="I265" i="5"/>
  <c r="M248" i="5"/>
  <c r="L248" i="5"/>
  <c r="K248" i="5"/>
  <c r="J248" i="5"/>
  <c r="I248" i="5"/>
  <c r="M19" i="5"/>
  <c r="L19" i="5"/>
  <c r="K19" i="5"/>
  <c r="J19" i="5"/>
  <c r="I19" i="5"/>
  <c r="M68" i="5"/>
  <c r="L68" i="5"/>
  <c r="K68" i="5"/>
  <c r="J68" i="5"/>
  <c r="I68" i="5"/>
  <c r="M268" i="5"/>
  <c r="L268" i="5"/>
  <c r="K268" i="5"/>
  <c r="J268" i="5"/>
  <c r="I268" i="5"/>
  <c r="M177" i="5"/>
  <c r="L177" i="5"/>
  <c r="K177" i="5"/>
  <c r="J177" i="5"/>
  <c r="I177" i="5"/>
  <c r="M77" i="5"/>
  <c r="L77" i="5"/>
  <c r="K77" i="5"/>
  <c r="J77" i="5"/>
  <c r="I77" i="5"/>
  <c r="M13" i="5"/>
  <c r="L13" i="5"/>
  <c r="J13" i="5"/>
  <c r="I13" i="5"/>
  <c r="M145" i="5"/>
  <c r="L145" i="5"/>
  <c r="J145" i="5"/>
  <c r="I145" i="5"/>
  <c r="M131" i="5"/>
  <c r="L131" i="5"/>
  <c r="J131" i="5"/>
  <c r="I131" i="5"/>
  <c r="M89" i="5"/>
  <c r="L89" i="5"/>
  <c r="J89" i="5"/>
  <c r="I89" i="5"/>
  <c r="M260" i="5"/>
  <c r="L260" i="5"/>
  <c r="J260" i="5"/>
  <c r="I260" i="5"/>
  <c r="I2" i="3"/>
  <c r="I6" i="3"/>
  <c r="I3" i="3"/>
  <c r="I7" i="3"/>
  <c r="I8" i="3"/>
  <c r="I138" i="3"/>
  <c r="I139" i="3"/>
  <c r="I9" i="3"/>
  <c r="I10" i="3"/>
  <c r="I140" i="3"/>
  <c r="I141" i="3"/>
  <c r="I4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11" i="3"/>
  <c r="I12" i="3"/>
  <c r="I13" i="3"/>
  <c r="I14" i="3"/>
  <c r="I15" i="3"/>
  <c r="I16" i="3"/>
  <c r="I17" i="3"/>
  <c r="I208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09" i="3"/>
  <c r="I210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48" i="3"/>
  <c r="I49" i="3"/>
  <c r="I50" i="3"/>
  <c r="I51" i="3"/>
  <c r="I52" i="3"/>
  <c r="I53" i="3"/>
  <c r="I54" i="3"/>
  <c r="I55" i="3"/>
  <c r="I56" i="3"/>
  <c r="I236" i="3"/>
  <c r="I237" i="3"/>
  <c r="I238" i="3"/>
  <c r="I239" i="3"/>
  <c r="I240" i="3"/>
  <c r="I241" i="3"/>
  <c r="I242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243" i="3"/>
  <c r="I244" i="3"/>
  <c r="I245" i="3"/>
  <c r="I246" i="3"/>
  <c r="I5" i="3"/>
  <c r="I111" i="3"/>
  <c r="I112" i="3"/>
  <c r="I113" i="3"/>
  <c r="I114" i="3"/>
  <c r="I115" i="3"/>
  <c r="I116" i="3"/>
  <c r="I117" i="3"/>
  <c r="I118" i="3"/>
  <c r="I119" i="3"/>
  <c r="I247" i="3"/>
  <c r="I248" i="3"/>
  <c r="I249" i="3"/>
  <c r="I250" i="3"/>
  <c r="I120" i="3"/>
  <c r="I251" i="3"/>
  <c r="I252" i="3"/>
  <c r="I253" i="3"/>
  <c r="I254" i="3"/>
  <c r="I255" i="3"/>
  <c r="I256" i="3"/>
  <c r="I121" i="3"/>
  <c r="I122" i="3"/>
  <c r="I257" i="3"/>
  <c r="I258" i="3"/>
  <c r="I259" i="3"/>
  <c r="I260" i="3"/>
  <c r="I261" i="3"/>
  <c r="I123" i="3"/>
  <c r="I124" i="3"/>
  <c r="I125" i="3"/>
  <c r="I126" i="3"/>
  <c r="I127" i="3"/>
  <c r="I262" i="3"/>
  <c r="I128" i="3"/>
  <c r="I263" i="3"/>
  <c r="I264" i="3"/>
  <c r="I265" i="3"/>
  <c r="I129" i="3"/>
  <c r="I130" i="3"/>
  <c r="I266" i="3"/>
  <c r="I131" i="3"/>
  <c r="I267" i="3"/>
  <c r="I268" i="3"/>
  <c r="I269" i="3"/>
  <c r="I277" i="3"/>
  <c r="I132" i="3"/>
  <c r="I270" i="3"/>
  <c r="I271" i="3"/>
  <c r="I272" i="3"/>
  <c r="I273" i="3"/>
  <c r="I274" i="3"/>
  <c r="I275" i="3"/>
  <c r="I133" i="3"/>
  <c r="I134" i="3"/>
  <c r="I135" i="3"/>
  <c r="I136" i="3"/>
  <c r="I276" i="3"/>
  <c r="I137" i="3"/>
  <c r="H2" i="3"/>
  <c r="H6" i="3"/>
  <c r="H3" i="3"/>
  <c r="H7" i="3"/>
  <c r="H8" i="3"/>
  <c r="H138" i="3"/>
  <c r="H139" i="3"/>
  <c r="H9" i="3"/>
  <c r="H10" i="3"/>
  <c r="H140" i="3"/>
  <c r="H141" i="3"/>
  <c r="H4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11" i="3"/>
  <c r="H12" i="3"/>
  <c r="H13" i="3"/>
  <c r="H14" i="3"/>
  <c r="H15" i="3"/>
  <c r="H16" i="3"/>
  <c r="H17" i="3"/>
  <c r="H208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09" i="3"/>
  <c r="H210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48" i="3"/>
  <c r="H49" i="3"/>
  <c r="H50" i="3"/>
  <c r="H51" i="3"/>
  <c r="H52" i="3"/>
  <c r="H53" i="3"/>
  <c r="H54" i="3"/>
  <c r="H55" i="3"/>
  <c r="H56" i="3"/>
  <c r="H236" i="3"/>
  <c r="H237" i="3"/>
  <c r="H238" i="3"/>
  <c r="H239" i="3"/>
  <c r="H240" i="3"/>
  <c r="H241" i="3"/>
  <c r="H242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243" i="3"/>
  <c r="H244" i="3"/>
  <c r="H245" i="3"/>
  <c r="H246" i="3"/>
  <c r="H5" i="3"/>
  <c r="H111" i="3"/>
  <c r="H112" i="3"/>
  <c r="H113" i="3"/>
  <c r="H114" i="3"/>
  <c r="H115" i="3"/>
  <c r="H116" i="3"/>
  <c r="H117" i="3"/>
  <c r="H118" i="3"/>
  <c r="H119" i="3"/>
  <c r="H247" i="3"/>
  <c r="H248" i="3"/>
  <c r="H249" i="3"/>
  <c r="H250" i="3"/>
  <c r="H120" i="3"/>
  <c r="H251" i="3"/>
  <c r="H252" i="3"/>
  <c r="H253" i="3"/>
  <c r="H254" i="3"/>
  <c r="H255" i="3"/>
  <c r="H256" i="3"/>
  <c r="H121" i="3"/>
  <c r="H122" i="3"/>
  <c r="H257" i="3"/>
  <c r="H258" i="3"/>
  <c r="H259" i="3"/>
  <c r="H260" i="3"/>
  <c r="H261" i="3"/>
  <c r="H123" i="3"/>
  <c r="H124" i="3"/>
  <c r="H125" i="3"/>
  <c r="H126" i="3"/>
  <c r="H127" i="3"/>
  <c r="H262" i="3"/>
  <c r="H128" i="3"/>
  <c r="H263" i="3"/>
  <c r="H264" i="3"/>
  <c r="H265" i="3"/>
  <c r="H129" i="3"/>
  <c r="H130" i="3"/>
  <c r="H266" i="3"/>
  <c r="H131" i="3"/>
  <c r="H267" i="3"/>
  <c r="H268" i="3"/>
  <c r="H269" i="3"/>
  <c r="H277" i="3"/>
  <c r="H132" i="3"/>
  <c r="H270" i="3"/>
  <c r="H271" i="3"/>
  <c r="H272" i="3"/>
  <c r="H273" i="3"/>
  <c r="H274" i="3"/>
  <c r="H275" i="3"/>
  <c r="H133" i="3"/>
  <c r="H134" i="3"/>
  <c r="H135" i="3"/>
  <c r="H136" i="3"/>
  <c r="H276" i="3"/>
  <c r="H137" i="3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  <c r="G142" i="3"/>
  <c r="G165" i="3"/>
  <c r="G181" i="3"/>
  <c r="G182" i="3"/>
  <c r="G185" i="3"/>
  <c r="G190" i="3"/>
  <c r="G14" i="3"/>
  <c r="G15" i="3"/>
  <c r="G30" i="3"/>
  <c r="G31" i="3"/>
  <c r="G212" i="3"/>
  <c r="G220" i="3"/>
  <c r="G223" i="3"/>
  <c r="G230" i="3"/>
  <c r="G49" i="3"/>
  <c r="G50" i="3"/>
  <c r="G237" i="3"/>
  <c r="G241" i="3"/>
  <c r="G242" i="3"/>
  <c r="G64" i="3"/>
  <c r="G77" i="3"/>
  <c r="G78" i="3"/>
  <c r="G79" i="3"/>
  <c r="G81" i="3"/>
  <c r="G83" i="3"/>
  <c r="G86" i="3"/>
  <c r="G90" i="3"/>
  <c r="G95" i="3"/>
  <c r="G100" i="3"/>
  <c r="G102" i="3"/>
  <c r="G106" i="3"/>
  <c r="G112" i="3"/>
  <c r="G145" i="3"/>
  <c r="G151" i="3"/>
  <c r="G156" i="3"/>
  <c r="G166" i="3"/>
  <c r="G168" i="3"/>
  <c r="G171" i="3"/>
  <c r="G172" i="3"/>
  <c r="G173" i="3"/>
  <c r="G174" i="3"/>
  <c r="G176" i="3"/>
  <c r="G177" i="3"/>
  <c r="G184" i="3"/>
  <c r="G193" i="3"/>
  <c r="G198" i="3"/>
  <c r="G200" i="3"/>
  <c r="G201" i="3"/>
  <c r="G204" i="3"/>
  <c r="G207" i="3"/>
  <c r="G210" i="3"/>
  <c r="G45" i="3"/>
  <c r="G214" i="3"/>
  <c r="G218" i="3"/>
  <c r="G219" i="3"/>
  <c r="G222" i="3"/>
  <c r="G226" i="3"/>
  <c r="G234" i="3"/>
  <c r="G51" i="3"/>
  <c r="G239" i="3"/>
  <c r="G62" i="3"/>
  <c r="G70" i="3"/>
  <c r="G75" i="3"/>
  <c r="G84" i="3"/>
  <c r="G85" i="3"/>
  <c r="G96" i="3"/>
  <c r="G105" i="3"/>
  <c r="G110" i="3"/>
  <c r="G146" i="3"/>
  <c r="G154" i="3"/>
  <c r="G162" i="3"/>
  <c r="G163" i="3"/>
  <c r="G179" i="3"/>
  <c r="G180" i="3"/>
  <c r="G186" i="3"/>
  <c r="G188" i="3"/>
  <c r="G203" i="3"/>
  <c r="G13" i="3"/>
  <c r="G17" i="3"/>
  <c r="G208" i="3"/>
  <c r="G18" i="3"/>
  <c r="G24" i="3"/>
  <c r="G209" i="3"/>
  <c r="G33" i="3"/>
  <c r="G38" i="3"/>
  <c r="G40" i="3"/>
  <c r="G42" i="3"/>
  <c r="G47" i="3"/>
  <c r="G211" i="3"/>
  <c r="G217" i="3"/>
  <c r="G227" i="3"/>
  <c r="G48" i="3"/>
  <c r="G236" i="3"/>
  <c r="G57" i="3"/>
  <c r="G61" i="3"/>
  <c r="G66" i="3"/>
  <c r="G67" i="3"/>
  <c r="G68" i="3"/>
  <c r="G71" i="3"/>
  <c r="G89" i="3"/>
  <c r="G92" i="3"/>
  <c r="G103" i="3"/>
  <c r="G114" i="3"/>
  <c r="G116" i="3"/>
  <c r="G144" i="3"/>
  <c r="G152" i="3"/>
  <c r="G153" i="3"/>
  <c r="G160" i="3"/>
  <c r="G169" i="3"/>
  <c r="G175" i="3"/>
  <c r="G189" i="3"/>
  <c r="G192" i="3"/>
  <c r="G195" i="3"/>
  <c r="G199" i="3"/>
  <c r="G202" i="3"/>
  <c r="G21" i="3"/>
  <c r="G22" i="3"/>
  <c r="G25" i="3"/>
  <c r="G41" i="3"/>
  <c r="G221" i="3"/>
  <c r="G54" i="3"/>
  <c r="G60" i="3"/>
  <c r="G73" i="3"/>
  <c r="G74" i="3"/>
  <c r="G108" i="3"/>
  <c r="G111" i="3"/>
  <c r="G20" i="3"/>
  <c r="G46" i="3"/>
  <c r="G97" i="3"/>
  <c r="G119" i="3"/>
  <c r="G216" i="3"/>
  <c r="G246" i="3"/>
  <c r="G39" i="3"/>
  <c r="G53" i="3"/>
  <c r="G244" i="3"/>
  <c r="G233" i="3"/>
  <c r="G187" i="3"/>
  <c r="G35" i="3"/>
  <c r="G113" i="3"/>
  <c r="G109" i="3"/>
  <c r="G27" i="3"/>
  <c r="G80" i="3"/>
  <c r="G93" i="3"/>
  <c r="G183" i="3"/>
  <c r="G26" i="3"/>
  <c r="G88" i="3"/>
  <c r="G197" i="3"/>
  <c r="G229" i="3"/>
  <c r="G101" i="3"/>
  <c r="G107" i="3"/>
  <c r="G37" i="3"/>
  <c r="G147" i="3"/>
  <c r="G150" i="3"/>
  <c r="G167" i="3"/>
  <c r="G55" i="3"/>
  <c r="G104" i="3"/>
  <c r="G196" i="3"/>
  <c r="G69" i="3"/>
  <c r="G115" i="3"/>
  <c r="G44" i="3"/>
  <c r="G29" i="3"/>
  <c r="G58" i="3"/>
  <c r="G191" i="3"/>
  <c r="G155" i="3"/>
  <c r="G59" i="3"/>
  <c r="G157" i="3"/>
  <c r="G159" i="3"/>
  <c r="G23" i="3"/>
  <c r="G32" i="3"/>
  <c r="G94" i="3"/>
  <c r="G228" i="3"/>
  <c r="G5" i="3"/>
  <c r="G178" i="3"/>
  <c r="G161" i="3"/>
  <c r="G170" i="3"/>
  <c r="G240" i="3"/>
  <c r="G63" i="3"/>
  <c r="G238" i="3"/>
  <c r="G65" i="3"/>
  <c r="G91" i="3"/>
  <c r="G213" i="3"/>
  <c r="G215" i="3"/>
  <c r="G194" i="3"/>
  <c r="G56" i="3"/>
  <c r="G232" i="3"/>
  <c r="G158" i="3"/>
  <c r="G99" i="3"/>
  <c r="G164" i="3"/>
  <c r="G117" i="3"/>
  <c r="G19" i="3"/>
  <c r="G224" i="3"/>
  <c r="G225" i="3"/>
  <c r="G148" i="3"/>
  <c r="G206" i="3"/>
  <c r="G36" i="3"/>
  <c r="G205" i="3"/>
  <c r="G43" i="3"/>
  <c r="G87" i="3"/>
  <c r="G235" i="3"/>
  <c r="G34" i="3"/>
  <c r="G52" i="3"/>
  <c r="G12" i="3"/>
  <c r="G76" i="3"/>
  <c r="G98" i="3"/>
  <c r="G149" i="3"/>
  <c r="G231" i="3"/>
  <c r="G82" i="3"/>
  <c r="G28" i="3"/>
  <c r="G118" i="3"/>
  <c r="G143" i="3"/>
  <c r="G245" i="3"/>
  <c r="G11" i="3"/>
  <c r="G16" i="3"/>
  <c r="G72" i="3"/>
  <c r="G243" i="3"/>
  <c r="F142" i="3"/>
  <c r="F165" i="3"/>
  <c r="F181" i="3"/>
  <c r="F182" i="3"/>
  <c r="F185" i="3"/>
  <c r="F190" i="3"/>
  <c r="F14" i="3"/>
  <c r="F15" i="3"/>
  <c r="F30" i="3"/>
  <c r="F31" i="3"/>
  <c r="F212" i="3"/>
  <c r="F220" i="3"/>
  <c r="F223" i="3"/>
  <c r="F230" i="3"/>
  <c r="F49" i="3"/>
  <c r="F50" i="3"/>
  <c r="F237" i="3"/>
  <c r="F241" i="3"/>
  <c r="F242" i="3"/>
  <c r="F64" i="3"/>
  <c r="F77" i="3"/>
  <c r="F78" i="3"/>
  <c r="F79" i="3"/>
  <c r="F81" i="3"/>
  <c r="F83" i="3"/>
  <c r="F86" i="3"/>
  <c r="F90" i="3"/>
  <c r="F95" i="3"/>
  <c r="F100" i="3"/>
  <c r="F102" i="3"/>
  <c r="F106" i="3"/>
  <c r="F112" i="3"/>
  <c r="F247" i="3"/>
  <c r="F249" i="3"/>
  <c r="F256" i="3"/>
  <c r="F261" i="3"/>
  <c r="F266" i="3"/>
  <c r="F272" i="3"/>
  <c r="F273" i="3"/>
  <c r="F274" i="3"/>
  <c r="F8" i="3"/>
  <c r="F138" i="3"/>
  <c r="F10" i="3"/>
  <c r="F140" i="3"/>
  <c r="F145" i="3"/>
  <c r="F151" i="3"/>
  <c r="F156" i="3"/>
  <c r="F166" i="3"/>
  <c r="F168" i="3"/>
  <c r="F171" i="3"/>
  <c r="F172" i="3"/>
  <c r="F173" i="3"/>
  <c r="F174" i="3"/>
  <c r="F176" i="3"/>
  <c r="F177" i="3"/>
  <c r="F184" i="3"/>
  <c r="F193" i="3"/>
  <c r="F198" i="3"/>
  <c r="F200" i="3"/>
  <c r="F201" i="3"/>
  <c r="F204" i="3"/>
  <c r="F207" i="3"/>
  <c r="F210" i="3"/>
  <c r="F45" i="3"/>
  <c r="F214" i="3"/>
  <c r="F218" i="3"/>
  <c r="F219" i="3"/>
  <c r="F222" i="3"/>
  <c r="F226" i="3"/>
  <c r="F234" i="3"/>
  <c r="F51" i="3"/>
  <c r="F239" i="3"/>
  <c r="F62" i="3"/>
  <c r="F70" i="3"/>
  <c r="F75" i="3"/>
  <c r="F84" i="3"/>
  <c r="F85" i="3"/>
  <c r="F96" i="3"/>
  <c r="F105" i="3"/>
  <c r="F110" i="3"/>
  <c r="F251" i="3"/>
  <c r="F252" i="3"/>
  <c r="F253" i="3"/>
  <c r="F254" i="3"/>
  <c r="F259" i="3"/>
  <c r="F268" i="3"/>
  <c r="F271" i="3"/>
  <c r="F6" i="3"/>
  <c r="F9" i="3"/>
  <c r="F146" i="3"/>
  <c r="F154" i="3"/>
  <c r="F162" i="3"/>
  <c r="F163" i="3"/>
  <c r="F179" i="3"/>
  <c r="F180" i="3"/>
  <c r="F186" i="3"/>
  <c r="F188" i="3"/>
  <c r="F203" i="3"/>
  <c r="F13" i="3"/>
  <c r="F17" i="3"/>
  <c r="F208" i="3"/>
  <c r="F18" i="3"/>
  <c r="F24" i="3"/>
  <c r="F209" i="3"/>
  <c r="F33" i="3"/>
  <c r="F38" i="3"/>
  <c r="F40" i="3"/>
  <c r="F42" i="3"/>
  <c r="F47" i="3"/>
  <c r="F211" i="3"/>
  <c r="F217" i="3"/>
  <c r="F227" i="3"/>
  <c r="F48" i="3"/>
  <c r="F236" i="3"/>
  <c r="F57" i="3"/>
  <c r="F61" i="3"/>
  <c r="F66" i="3"/>
  <c r="F67" i="3"/>
  <c r="F68" i="3"/>
  <c r="F71" i="3"/>
  <c r="F89" i="3"/>
  <c r="F92" i="3"/>
  <c r="F103" i="3"/>
  <c r="F114" i="3"/>
  <c r="F116" i="3"/>
  <c r="F120" i="3"/>
  <c r="F122" i="3"/>
  <c r="F258" i="3"/>
  <c r="F260" i="3"/>
  <c r="F124" i="3"/>
  <c r="F129" i="3"/>
  <c r="F130" i="3"/>
  <c r="F269" i="3"/>
  <c r="F276" i="3"/>
  <c r="F137" i="3"/>
  <c r="F2" i="3"/>
  <c r="F144" i="3"/>
  <c r="F152" i="3"/>
  <c r="F153" i="3"/>
  <c r="F160" i="3"/>
  <c r="F169" i="3"/>
  <c r="F175" i="3"/>
  <c r="F189" i="3"/>
  <c r="F192" i="3"/>
  <c r="F195" i="3"/>
  <c r="F199" i="3"/>
  <c r="F202" i="3"/>
  <c r="F21" i="3"/>
  <c r="F22" i="3"/>
  <c r="F25" i="3"/>
  <c r="F41" i="3"/>
  <c r="F221" i="3"/>
  <c r="F54" i="3"/>
  <c r="F60" i="3"/>
  <c r="F73" i="3"/>
  <c r="F74" i="3"/>
  <c r="F108" i="3"/>
  <c r="F111" i="3"/>
  <c r="F123" i="3"/>
  <c r="F125" i="3"/>
  <c r="F127" i="3"/>
  <c r="F128" i="3"/>
  <c r="F131" i="3"/>
  <c r="F267" i="3"/>
  <c r="F134" i="3"/>
  <c r="F136" i="3"/>
  <c r="F20" i="3"/>
  <c r="F46" i="3"/>
  <c r="F97" i="3"/>
  <c r="F119" i="3"/>
  <c r="F216" i="3"/>
  <c r="F246" i="3"/>
  <c r="F39" i="3"/>
  <c r="F53" i="3"/>
  <c r="F244" i="3"/>
  <c r="F233" i="3"/>
  <c r="F187" i="3"/>
  <c r="F35" i="3"/>
  <c r="F113" i="3"/>
  <c r="F109" i="3"/>
  <c r="F27" i="3"/>
  <c r="F80" i="3"/>
  <c r="F93" i="3"/>
  <c r="F183" i="3"/>
  <c r="F26" i="3"/>
  <c r="F88" i="3"/>
  <c r="F197" i="3"/>
  <c r="F133" i="3"/>
  <c r="F229" i="3"/>
  <c r="F101" i="3"/>
  <c r="F107" i="3"/>
  <c r="F132" i="3"/>
  <c r="F37" i="3"/>
  <c r="F147" i="3"/>
  <c r="F150" i="3"/>
  <c r="F167" i="3"/>
  <c r="F55" i="3"/>
  <c r="F104" i="3"/>
  <c r="F196" i="3"/>
  <c r="F277" i="3"/>
  <c r="F69" i="3"/>
  <c r="F115" i="3"/>
  <c r="F126" i="3"/>
  <c r="F44" i="3"/>
  <c r="F29" i="3"/>
  <c r="F58" i="3"/>
  <c r="F191" i="3"/>
  <c r="F155" i="3"/>
  <c r="F141" i="3"/>
  <c r="F59" i="3"/>
  <c r="F255" i="3"/>
  <c r="F265" i="3"/>
  <c r="F157" i="3"/>
  <c r="F159" i="3"/>
  <c r="F23" i="3"/>
  <c r="F32" i="3"/>
  <c r="F263" i="3"/>
  <c r="F94" i="3"/>
  <c r="F228" i="3"/>
  <c r="F5" i="3"/>
  <c r="F178" i="3"/>
  <c r="F161" i="3"/>
  <c r="F248" i="3"/>
  <c r="F270" i="3"/>
  <c r="F4" i="3"/>
  <c r="F170" i="3"/>
  <c r="F240" i="3"/>
  <c r="F63" i="3"/>
  <c r="F275" i="3"/>
  <c r="F238" i="3"/>
  <c r="F250" i="3"/>
  <c r="F65" i="3"/>
  <c r="F91" i="3"/>
  <c r="F213" i="3"/>
  <c r="F215" i="3"/>
  <c r="F194" i="3"/>
  <c r="F264" i="3"/>
  <c r="F56" i="3"/>
  <c r="F232" i="3"/>
  <c r="F262" i="3"/>
  <c r="F158" i="3"/>
  <c r="F99" i="3"/>
  <c r="F121" i="3"/>
  <c r="F164" i="3"/>
  <c r="F117" i="3"/>
  <c r="F19" i="3"/>
  <c r="F224" i="3"/>
  <c r="F7" i="3"/>
  <c r="F135" i="3"/>
  <c r="F225" i="3"/>
  <c r="F148" i="3"/>
  <c r="F206" i="3"/>
  <c r="F36" i="3"/>
  <c r="F205" i="3"/>
  <c r="F257" i="3"/>
  <c r="F139" i="3"/>
  <c r="F43" i="3"/>
  <c r="F87" i="3"/>
  <c r="F235" i="3"/>
  <c r="F34" i="3"/>
  <c r="F52" i="3"/>
  <c r="F12" i="3"/>
  <c r="F76" i="3"/>
  <c r="F98" i="3"/>
  <c r="F3" i="3"/>
  <c r="F149" i="3"/>
  <c r="F231" i="3"/>
  <c r="F82" i="3"/>
  <c r="F28" i="3"/>
  <c r="F118" i="3"/>
  <c r="F143" i="3"/>
  <c r="F245" i="3"/>
  <c r="F11" i="3"/>
  <c r="F16" i="3"/>
  <c r="F72" i="3"/>
  <c r="F243" i="3"/>
  <c r="E141" i="3"/>
  <c r="E142" i="3"/>
  <c r="E147" i="3"/>
  <c r="E155" i="3"/>
  <c r="E161" i="3"/>
  <c r="E164" i="3"/>
  <c r="E165" i="3"/>
  <c r="E170" i="3"/>
  <c r="E181" i="3"/>
  <c r="E182" i="3"/>
  <c r="E185" i="3"/>
  <c r="E190" i="3"/>
  <c r="E194" i="3"/>
  <c r="E14" i="3"/>
  <c r="E15" i="3"/>
  <c r="E19" i="3"/>
  <c r="E20" i="3"/>
  <c r="E23" i="3"/>
  <c r="E27" i="3"/>
  <c r="E30" i="3"/>
  <c r="E31" i="3"/>
  <c r="E46" i="3"/>
  <c r="E212" i="3"/>
  <c r="E213" i="3"/>
  <c r="E220" i="3"/>
  <c r="E223" i="3"/>
  <c r="E224" i="3"/>
  <c r="E230" i="3"/>
  <c r="E49" i="3"/>
  <c r="E50" i="3"/>
  <c r="E237" i="3"/>
  <c r="E240" i="3"/>
  <c r="E241" i="3"/>
  <c r="E242" i="3"/>
  <c r="E59" i="3"/>
  <c r="E63" i="3"/>
  <c r="E64" i="3"/>
  <c r="E65" i="3"/>
  <c r="E77" i="3"/>
  <c r="E78" i="3"/>
  <c r="E79" i="3"/>
  <c r="E81" i="3"/>
  <c r="E82" i="3"/>
  <c r="E83" i="3"/>
  <c r="E86" i="3"/>
  <c r="E90" i="3"/>
  <c r="E91" i="3"/>
  <c r="E95" i="3"/>
  <c r="E97" i="3"/>
  <c r="E100" i="3"/>
  <c r="E102" i="3"/>
  <c r="E106" i="3"/>
  <c r="E112" i="3"/>
  <c r="E119" i="3"/>
  <c r="E247" i="3"/>
  <c r="E248" i="3"/>
  <c r="E249" i="3"/>
  <c r="E255" i="3"/>
  <c r="E256" i="3"/>
  <c r="E257" i="3"/>
  <c r="E261" i="3"/>
  <c r="E265" i="3"/>
  <c r="E266" i="3"/>
  <c r="E277" i="3"/>
  <c r="E272" i="3"/>
  <c r="E273" i="3"/>
  <c r="E274" i="3"/>
  <c r="E275" i="3"/>
  <c r="E7" i="3"/>
  <c r="E8" i="3"/>
  <c r="E138" i="3"/>
  <c r="E139" i="3"/>
  <c r="E10" i="3"/>
  <c r="E140" i="3"/>
  <c r="E143" i="3"/>
  <c r="E145" i="3"/>
  <c r="E150" i="3"/>
  <c r="E151" i="3"/>
  <c r="E156" i="3"/>
  <c r="E157" i="3"/>
  <c r="E166" i="3"/>
  <c r="E167" i="3"/>
  <c r="E168" i="3"/>
  <c r="E171" i="3"/>
  <c r="E172" i="3"/>
  <c r="E173" i="3"/>
  <c r="E174" i="3"/>
  <c r="E176" i="3"/>
  <c r="E177" i="3"/>
  <c r="E178" i="3"/>
  <c r="E184" i="3"/>
  <c r="E193" i="3"/>
  <c r="E198" i="3"/>
  <c r="E200" i="3"/>
  <c r="E201" i="3"/>
  <c r="E204" i="3"/>
  <c r="E207" i="3"/>
  <c r="E12" i="3"/>
  <c r="E32" i="3"/>
  <c r="E210" i="3"/>
  <c r="E37" i="3"/>
  <c r="E45" i="3"/>
  <c r="E214" i="3"/>
  <c r="E216" i="3"/>
  <c r="E218" i="3"/>
  <c r="E219" i="3"/>
  <c r="E222" i="3"/>
  <c r="E226" i="3"/>
  <c r="E229" i="3"/>
  <c r="E232" i="3"/>
  <c r="E233" i="3"/>
  <c r="E234" i="3"/>
  <c r="E51" i="3"/>
  <c r="E55" i="3"/>
  <c r="E238" i="3"/>
  <c r="E239" i="3"/>
  <c r="E58" i="3"/>
  <c r="E62" i="3"/>
  <c r="E69" i="3"/>
  <c r="E70" i="3"/>
  <c r="E75" i="3"/>
  <c r="E80" i="3"/>
  <c r="E84" i="3"/>
  <c r="E85" i="3"/>
  <c r="E87" i="3"/>
  <c r="E93" i="3"/>
  <c r="E96" i="3"/>
  <c r="E105" i="3"/>
  <c r="E110" i="3"/>
  <c r="E245" i="3"/>
  <c r="E246" i="3"/>
  <c r="E117" i="3"/>
  <c r="E250" i="3"/>
  <c r="E251" i="3"/>
  <c r="E252" i="3"/>
  <c r="E253" i="3"/>
  <c r="E254" i="3"/>
  <c r="E259" i="3"/>
  <c r="E262" i="3"/>
  <c r="E264" i="3"/>
  <c r="E268" i="3"/>
  <c r="E271" i="3"/>
  <c r="E6" i="3"/>
  <c r="E3" i="3"/>
  <c r="E9" i="3"/>
  <c r="E146" i="3"/>
  <c r="E149" i="3"/>
  <c r="E154" i="3"/>
  <c r="E158" i="3"/>
  <c r="E159" i="3"/>
  <c r="E162" i="3"/>
  <c r="E163" i="3"/>
  <c r="E179" i="3"/>
  <c r="E180" i="3"/>
  <c r="E183" i="3"/>
  <c r="E186" i="3"/>
  <c r="E187" i="3"/>
  <c r="E188" i="3"/>
  <c r="E203" i="3"/>
  <c r="E11" i="3"/>
  <c r="E13" i="3"/>
  <c r="E17" i="3"/>
  <c r="E208" i="3"/>
  <c r="E18" i="3"/>
  <c r="E24" i="3"/>
  <c r="E26" i="3"/>
  <c r="E28" i="3"/>
  <c r="E29" i="3"/>
  <c r="E209" i="3"/>
  <c r="E33" i="3"/>
  <c r="E34" i="3"/>
  <c r="E35" i="3"/>
  <c r="E36" i="3"/>
  <c r="E38" i="3"/>
  <c r="E39" i="3"/>
  <c r="E40" i="3"/>
  <c r="E42" i="3"/>
  <c r="E47" i="3"/>
  <c r="E211" i="3"/>
  <c r="E217" i="3"/>
  <c r="E225" i="3"/>
  <c r="E227" i="3"/>
  <c r="E231" i="3"/>
  <c r="E235" i="3"/>
  <c r="E48" i="3"/>
  <c r="E52" i="3"/>
  <c r="E53" i="3"/>
  <c r="E236" i="3"/>
  <c r="E57" i="3"/>
  <c r="E61" i="3"/>
  <c r="E66" i="3"/>
  <c r="E67" i="3"/>
  <c r="E68" i="3"/>
  <c r="E71" i="3"/>
  <c r="E72" i="3"/>
  <c r="E76" i="3"/>
  <c r="E88" i="3"/>
  <c r="E89" i="3"/>
  <c r="E92" i="3"/>
  <c r="E94" i="3"/>
  <c r="E98" i="3"/>
  <c r="E99" i="3"/>
  <c r="E101" i="3"/>
  <c r="E103" i="3"/>
  <c r="E104" i="3"/>
  <c r="E107" i="3"/>
  <c r="E243" i="3"/>
  <c r="E113" i="3"/>
  <c r="E114" i="3"/>
  <c r="E115" i="3"/>
  <c r="E116" i="3"/>
  <c r="E120" i="3"/>
  <c r="E121" i="3"/>
  <c r="E122" i="3"/>
  <c r="E258" i="3"/>
  <c r="E260" i="3"/>
  <c r="E124" i="3"/>
  <c r="E126" i="3"/>
  <c r="E263" i="3"/>
  <c r="E129" i="3"/>
  <c r="E130" i="3"/>
  <c r="E269" i="3"/>
  <c r="E132" i="3"/>
  <c r="E270" i="3"/>
  <c r="E135" i="3"/>
  <c r="E276" i="3"/>
  <c r="E137" i="3"/>
  <c r="E2" i="3"/>
  <c r="E4" i="3"/>
  <c r="E144" i="3"/>
  <c r="E148" i="3"/>
  <c r="E152" i="3"/>
  <c r="E153" i="3"/>
  <c r="E160" i="3"/>
  <c r="E169" i="3"/>
  <c r="E175" i="3"/>
  <c r="E189" i="3"/>
  <c r="E191" i="3"/>
  <c r="E192" i="3"/>
  <c r="E195" i="3"/>
  <c r="E196" i="3"/>
  <c r="E197" i="3"/>
  <c r="E199" i="3"/>
  <c r="E202" i="3"/>
  <c r="E205" i="3"/>
  <c r="E206" i="3"/>
  <c r="E16" i="3"/>
  <c r="E21" i="3"/>
  <c r="E22" i="3"/>
  <c r="E25" i="3"/>
  <c r="E41" i="3"/>
  <c r="E43" i="3"/>
  <c r="E44" i="3"/>
  <c r="E215" i="3"/>
  <c r="E221" i="3"/>
  <c r="E228" i="3"/>
  <c r="E54" i="3"/>
  <c r="E56" i="3"/>
  <c r="E60" i="3"/>
  <c r="E73" i="3"/>
  <c r="E74" i="3"/>
  <c r="E108" i="3"/>
  <c r="E109" i="3"/>
  <c r="E244" i="3"/>
  <c r="E5" i="3"/>
  <c r="E111" i="3"/>
  <c r="E118" i="3"/>
  <c r="E123" i="3"/>
  <c r="E125" i="3"/>
  <c r="E127" i="3"/>
  <c r="E128" i="3"/>
  <c r="E131" i="3"/>
  <c r="E267" i="3"/>
  <c r="E133" i="3"/>
  <c r="E134" i="3"/>
  <c r="E136" i="3"/>
  <c r="D266" i="2"/>
  <c r="D169" i="2"/>
  <c r="D170" i="2"/>
  <c r="D339" i="2"/>
  <c r="D340" i="2"/>
  <c r="D433" i="2"/>
  <c r="D84" i="2"/>
  <c r="D2" i="2"/>
  <c r="D85" i="2"/>
  <c r="D341" i="2"/>
  <c r="D434" i="2"/>
  <c r="D86" i="2"/>
  <c r="D87" i="2"/>
  <c r="D171" i="2"/>
  <c r="D172" i="2"/>
  <c r="D88" i="2"/>
  <c r="D89" i="2"/>
  <c r="D13" i="2"/>
  <c r="D267" i="2"/>
  <c r="D268" i="2"/>
  <c r="D14" i="2"/>
  <c r="D342" i="2"/>
  <c r="D435" i="2"/>
  <c r="D90" i="2"/>
  <c r="D269" i="2"/>
  <c r="D343" i="2"/>
  <c r="D91" i="2"/>
  <c r="D173" i="2"/>
  <c r="D344" i="2"/>
  <c r="D403" i="2"/>
  <c r="D15" i="2"/>
  <c r="D270" i="2"/>
  <c r="D174" i="2"/>
  <c r="D92" i="2"/>
  <c r="D93" i="2"/>
  <c r="D271" i="2"/>
  <c r="D272" i="2"/>
  <c r="D175" i="2"/>
  <c r="D16" i="2"/>
  <c r="D94" i="2"/>
  <c r="D95" i="2"/>
  <c r="D176" i="2"/>
  <c r="D177" i="2"/>
  <c r="D273" i="2"/>
  <c r="D17" i="2"/>
  <c r="D404" i="2"/>
  <c r="D178" i="2"/>
  <c r="D405" i="2"/>
  <c r="D179" i="2"/>
  <c r="D180" i="2"/>
  <c r="D274" i="2"/>
  <c r="D18" i="2"/>
  <c r="D19" i="2"/>
  <c r="D96" i="2"/>
  <c r="D345" i="2"/>
  <c r="D97" i="2"/>
  <c r="D98" i="2"/>
  <c r="D275" i="2"/>
  <c r="D346" i="2"/>
  <c r="D181" i="2"/>
  <c r="D20" i="2"/>
  <c r="D276" i="2"/>
  <c r="D99" i="2"/>
  <c r="D347" i="2"/>
  <c r="D100" i="2"/>
  <c r="D101" i="2"/>
  <c r="D102" i="2"/>
  <c r="D277" i="2"/>
  <c r="D21" i="2"/>
  <c r="D103" i="2"/>
  <c r="D104" i="2"/>
  <c r="D105" i="2"/>
  <c r="D406" i="2"/>
  <c r="D182" i="2"/>
  <c r="D183" i="2"/>
  <c r="D22" i="2"/>
  <c r="D348" i="2"/>
  <c r="D23" i="2"/>
  <c r="D184" i="2"/>
  <c r="D106" i="2"/>
  <c r="D349" i="2"/>
  <c r="D350" i="2"/>
  <c r="D351" i="2"/>
  <c r="D447" i="2"/>
  <c r="D436" i="2"/>
  <c r="D455" i="2"/>
  <c r="D24" i="2"/>
  <c r="D185" i="2"/>
  <c r="D352" i="2"/>
  <c r="D186" i="2"/>
  <c r="D187" i="2"/>
  <c r="D353" i="2"/>
  <c r="D278" i="2"/>
  <c r="D279" i="2"/>
  <c r="D354" i="2"/>
  <c r="D280" i="2"/>
  <c r="D25" i="2"/>
  <c r="D107" i="2"/>
  <c r="D26" i="2"/>
  <c r="D281" i="2"/>
  <c r="D355" i="2"/>
  <c r="D356" i="2"/>
  <c r="D282" i="2"/>
  <c r="D407" i="2"/>
  <c r="D437" i="2"/>
  <c r="D283" i="2"/>
  <c r="D108" i="2"/>
  <c r="D357" i="2"/>
  <c r="D284" i="2"/>
  <c r="D285" i="2"/>
  <c r="D109" i="2"/>
  <c r="D438" i="2"/>
  <c r="D110" i="2"/>
  <c r="D286" i="2"/>
  <c r="D188" i="2"/>
  <c r="D408" i="2"/>
  <c r="D111" i="2"/>
  <c r="D287" i="2"/>
  <c r="D358" i="2"/>
  <c r="D288" i="2"/>
  <c r="D289" i="2"/>
  <c r="D359" i="2"/>
  <c r="D290" i="2"/>
  <c r="D360" i="2"/>
  <c r="D291" i="2"/>
  <c r="D112" i="2"/>
  <c r="D189" i="2"/>
  <c r="D113" i="2"/>
  <c r="D114" i="2"/>
  <c r="D190" i="2"/>
  <c r="D27" i="2"/>
  <c r="D409" i="2"/>
  <c r="D28" i="2"/>
  <c r="D191" i="2"/>
  <c r="D192" i="2"/>
  <c r="D292" i="2"/>
  <c r="D193" i="2"/>
  <c r="D194" i="2"/>
  <c r="D195" i="2"/>
  <c r="D29" i="2"/>
  <c r="D30" i="2"/>
  <c r="D293" i="2"/>
  <c r="D294" i="2"/>
  <c r="D196" i="2"/>
  <c r="D31" i="2"/>
  <c r="D197" i="2"/>
  <c r="D295" i="2"/>
  <c r="D439" i="2"/>
  <c r="D361" i="2"/>
  <c r="D362" i="2"/>
  <c r="D198" i="2"/>
  <c r="D32" i="2"/>
  <c r="D363" i="2"/>
  <c r="D199" i="2"/>
  <c r="D200" i="2"/>
  <c r="D33" i="2"/>
  <c r="D34" i="2"/>
  <c r="D115" i="2"/>
  <c r="D364" i="2"/>
  <c r="D201" i="2"/>
  <c r="D365" i="2"/>
  <c r="D366" i="2"/>
  <c r="D367" i="2"/>
  <c r="D456" i="2"/>
  <c r="D368" i="2"/>
  <c r="D116" i="2"/>
  <c r="D440" i="2"/>
  <c r="D202" i="2"/>
  <c r="D203" i="2"/>
  <c r="D204" i="2"/>
  <c r="D117" i="2"/>
  <c r="D369" i="2"/>
  <c r="D441" i="2"/>
  <c r="D205" i="2"/>
  <c r="D296" i="2"/>
  <c r="D410" i="2"/>
  <c r="D370" i="2"/>
  <c r="D118" i="2"/>
  <c r="D371" i="2"/>
  <c r="D206" i="2"/>
  <c r="D372" i="2"/>
  <c r="D411" i="2"/>
  <c r="D207" i="2"/>
  <c r="D373" i="2"/>
  <c r="D208" i="2"/>
  <c r="D297" i="2"/>
  <c r="D457" i="2"/>
  <c r="D412" i="2"/>
  <c r="D209" i="2"/>
  <c r="D298" i="2"/>
  <c r="D413" i="2"/>
  <c r="D299" i="2"/>
  <c r="D374" i="2"/>
  <c r="D300" i="2"/>
  <c r="D375" i="2"/>
  <c r="D376" i="2"/>
  <c r="D301" i="2"/>
  <c r="D119" i="2"/>
  <c r="D377" i="2"/>
  <c r="D378" i="2"/>
  <c r="D35" i="2"/>
  <c r="D210" i="2"/>
  <c r="D211" i="2"/>
  <c r="D212" i="2"/>
  <c r="D36" i="2"/>
  <c r="D37" i="2"/>
  <c r="D414" i="2"/>
  <c r="D442" i="2"/>
  <c r="D120" i="2"/>
  <c r="D302" i="2"/>
  <c r="D121" i="2"/>
  <c r="D213" i="2"/>
  <c r="D122" i="2"/>
  <c r="D123" i="2"/>
  <c r="D303" i="2"/>
  <c r="D304" i="2"/>
  <c r="D124" i="2"/>
  <c r="D305" i="2"/>
  <c r="D38" i="2"/>
  <c r="D379" i="2"/>
  <c r="D306" i="2"/>
  <c r="D125" i="2"/>
  <c r="D39" i="2"/>
  <c r="D40" i="2"/>
  <c r="D214" i="2"/>
  <c r="D415" i="2"/>
  <c r="D126" i="2"/>
  <c r="D215" i="2"/>
  <c r="D380" i="2"/>
  <c r="D307" i="2"/>
  <c r="D416" i="2"/>
  <c r="D127" i="2"/>
  <c r="D448" i="2"/>
  <c r="D41" i="2"/>
  <c r="D216" i="2"/>
  <c r="D128" i="2"/>
  <c r="D129" i="2"/>
  <c r="D417" i="2"/>
  <c r="D130" i="2"/>
  <c r="D217" i="2"/>
  <c r="D218" i="2"/>
  <c r="D42" i="2"/>
  <c r="D43" i="2"/>
  <c r="D131" i="2"/>
  <c r="D418" i="2"/>
  <c r="D219" i="2"/>
  <c r="D449" i="2"/>
  <c r="D381" i="2"/>
  <c r="D220" i="2"/>
  <c r="D308" i="2"/>
  <c r="D132" i="2"/>
  <c r="D382" i="2"/>
  <c r="D309" i="2"/>
  <c r="D221" i="2"/>
  <c r="D310" i="2"/>
  <c r="D44" i="2"/>
  <c r="D383" i="2"/>
  <c r="D133" i="2"/>
  <c r="D134" i="2"/>
  <c r="D384" i="2"/>
  <c r="D385" i="2"/>
  <c r="D135" i="2"/>
  <c r="D222" i="2"/>
  <c r="D45" i="2"/>
  <c r="D46" i="2"/>
  <c r="D47" i="2"/>
  <c r="D450" i="2"/>
  <c r="D223" i="2"/>
  <c r="D136" i="2"/>
  <c r="D386" i="2"/>
  <c r="D48" i="2"/>
  <c r="D451" i="2"/>
  <c r="D311" i="2"/>
  <c r="D387" i="2"/>
  <c r="D388" i="2"/>
  <c r="D312" i="2"/>
  <c r="D313" i="2"/>
  <c r="D224" i="2"/>
  <c r="D419" i="2"/>
  <c r="D137" i="2"/>
  <c r="D49" i="2"/>
  <c r="D420" i="2"/>
  <c r="D452" i="2"/>
  <c r="D50" i="2"/>
  <c r="D51" i="2"/>
  <c r="D225" i="2"/>
  <c r="D314" i="2"/>
  <c r="D315" i="2"/>
  <c r="D226" i="2"/>
  <c r="D227" i="2"/>
  <c r="D138" i="2"/>
  <c r="D139" i="2"/>
  <c r="D228" i="2"/>
  <c r="D229" i="2"/>
  <c r="D316" i="2"/>
  <c r="D443" i="2"/>
  <c r="D317" i="2"/>
  <c r="D318" i="2"/>
  <c r="D140" i="2"/>
  <c r="D230" i="2"/>
  <c r="D52" i="2"/>
  <c r="D53" i="2"/>
  <c r="D54" i="2"/>
  <c r="D141" i="2"/>
  <c r="D55" i="2"/>
  <c r="D56" i="2"/>
  <c r="D57" i="2"/>
  <c r="D3" i="2"/>
  <c r="D4" i="2"/>
  <c r="D58" i="2"/>
  <c r="D421" i="2"/>
  <c r="D142" i="2"/>
  <c r="D5" i="2"/>
  <c r="D143" i="2"/>
  <c r="D231" i="2"/>
  <c r="D59" i="2"/>
  <c r="D6" i="2"/>
  <c r="D422" i="2"/>
  <c r="D389" i="2"/>
  <c r="D144" i="2"/>
  <c r="D390" i="2"/>
  <c r="D232" i="2"/>
  <c r="D319" i="2"/>
  <c r="D233" i="2"/>
  <c r="D234" i="2"/>
  <c r="D60" i="2"/>
  <c r="D61" i="2"/>
  <c r="D235" i="2"/>
  <c r="D145" i="2"/>
  <c r="D236" i="2"/>
  <c r="D423" i="2"/>
  <c r="D424" i="2"/>
  <c r="D62" i="2"/>
  <c r="D237" i="2"/>
  <c r="D425" i="2"/>
  <c r="D146" i="2"/>
  <c r="D391" i="2"/>
  <c r="D7" i="2"/>
  <c r="D147" i="2"/>
  <c r="D63" i="2"/>
  <c r="D8" i="2"/>
  <c r="D238" i="2"/>
  <c r="D239" i="2"/>
  <c r="D64" i="2"/>
  <c r="D240" i="2"/>
  <c r="D392" i="2"/>
  <c r="D241" i="2"/>
  <c r="D393" i="2"/>
  <c r="D242" i="2"/>
  <c r="D148" i="2"/>
  <c r="D65" i="2"/>
  <c r="D66" i="2"/>
  <c r="D394" i="2"/>
  <c r="D243" i="2"/>
  <c r="D320" i="2"/>
  <c r="D395" i="2"/>
  <c r="D321" i="2"/>
  <c r="D322" i="2"/>
  <c r="D149" i="2"/>
  <c r="D323" i="2"/>
  <c r="D244" i="2"/>
  <c r="D324" i="2"/>
  <c r="D150" i="2"/>
  <c r="D151" i="2"/>
  <c r="D325" i="2"/>
  <c r="D152" i="2"/>
  <c r="D396" i="2"/>
  <c r="D326" i="2"/>
  <c r="D67" i="2"/>
  <c r="D397" i="2"/>
  <c r="D426" i="2"/>
  <c r="D245" i="2"/>
  <c r="D246" i="2"/>
  <c r="D247" i="2"/>
  <c r="D248" i="2"/>
  <c r="D153" i="2"/>
  <c r="D327" i="2"/>
  <c r="D68" i="2"/>
  <c r="D154" i="2"/>
  <c r="D155" i="2"/>
  <c r="D69" i="2"/>
  <c r="D70" i="2"/>
  <c r="D71" i="2"/>
  <c r="D156" i="2"/>
  <c r="D9" i="2"/>
  <c r="D249" i="2"/>
  <c r="D157" i="2"/>
  <c r="D158" i="2"/>
  <c r="D159" i="2"/>
  <c r="D10" i="2"/>
  <c r="D453" i="2"/>
  <c r="D11" i="2"/>
  <c r="D160" i="2"/>
  <c r="D328" i="2"/>
  <c r="D72" i="2"/>
  <c r="D73" i="2"/>
  <c r="D427" i="2"/>
  <c r="D454" i="2"/>
  <c r="D250" i="2"/>
  <c r="D161" i="2"/>
  <c r="D428" i="2"/>
  <c r="D162" i="2"/>
  <c r="D251" i="2"/>
  <c r="D74" i="2"/>
  <c r="D12" i="2"/>
  <c r="D252" i="2"/>
  <c r="D398" i="2"/>
  <c r="D429" i="2"/>
  <c r="D399" i="2"/>
  <c r="D430" i="2"/>
  <c r="D163" i="2"/>
  <c r="D253" i="2"/>
  <c r="D254" i="2"/>
  <c r="D75" i="2"/>
  <c r="D76" i="2"/>
  <c r="D329" i="2"/>
  <c r="D255" i="2"/>
  <c r="D400" i="2"/>
  <c r="D444" i="2"/>
  <c r="D330" i="2"/>
  <c r="D445" i="2"/>
  <c r="D256" i="2"/>
  <c r="D331" i="2"/>
  <c r="D164" i="2"/>
  <c r="D332" i="2"/>
  <c r="D257" i="2"/>
  <c r="D165" i="2"/>
  <c r="D401" i="2"/>
  <c r="D77" i="2"/>
  <c r="D333" i="2"/>
  <c r="D258" i="2"/>
  <c r="D259" i="2"/>
  <c r="D78" i="2"/>
  <c r="D334" i="2"/>
  <c r="D335" i="2"/>
  <c r="D166" i="2"/>
  <c r="D260" i="2"/>
  <c r="D79" i="2"/>
  <c r="D431" i="2"/>
  <c r="D261" i="2"/>
  <c r="D402" i="2"/>
  <c r="D262" i="2"/>
  <c r="D167" i="2"/>
  <c r="D80" i="2"/>
  <c r="D81" i="2"/>
  <c r="D82" i="2"/>
  <c r="D83" i="2"/>
  <c r="D336" i="2"/>
  <c r="D446" i="2"/>
  <c r="D337" i="2"/>
  <c r="D263" i="2"/>
  <c r="D338" i="2"/>
  <c r="D264" i="2"/>
  <c r="D432" i="2"/>
  <c r="D265" i="2"/>
  <c r="D168" i="2"/>
</calcChain>
</file>

<file path=xl/sharedStrings.xml><?xml version="1.0" encoding="utf-8"?>
<sst xmlns="http://schemas.openxmlformats.org/spreadsheetml/2006/main" count="2992" uniqueCount="1474">
  <si>
    <t>ITEM</t>
  </si>
  <si>
    <t>PICTURE</t>
  </si>
  <si>
    <t>NAME1</t>
  </si>
  <si>
    <t>NAME2</t>
  </si>
  <si>
    <t>H_INDEX</t>
  </si>
  <si>
    <t>PERCENTAGE_MODAL_NAME</t>
  </si>
  <si>
    <t>PERCENTAGE_VALID_RESPONSES</t>
  </si>
  <si>
    <t>NUMBER_DIFFERENT_RESPONSES</t>
  </si>
  <si>
    <t>PERCENTAGE_UNKNOWN_RESPONSES</t>
  </si>
  <si>
    <t>PERCENTAGE_IDIOSYNCRATIC_RESPONSES</t>
  </si>
  <si>
    <t>VISUAL_COMPLEXITY</t>
  </si>
  <si>
    <t>PICTURE_1</t>
  </si>
  <si>
    <t>ratón</t>
  </si>
  <si>
    <t>PICTURE_8</t>
  </si>
  <si>
    <t>pierna</t>
  </si>
  <si>
    <t>PICTURE_9</t>
  </si>
  <si>
    <t>ducha</t>
  </si>
  <si>
    <t>PICTURE_12</t>
  </si>
  <si>
    <t>sirena</t>
  </si>
  <si>
    <t>PICTURE_15</t>
  </si>
  <si>
    <t>león</t>
  </si>
  <si>
    <t>PICTURE_16</t>
  </si>
  <si>
    <t>cazador</t>
  </si>
  <si>
    <t>PICTURE_19</t>
  </si>
  <si>
    <t>pavo</t>
  </si>
  <si>
    <t>PICTURE_20</t>
  </si>
  <si>
    <t>esqueleto</t>
  </si>
  <si>
    <t>PICTURE_21</t>
  </si>
  <si>
    <t>boxeador</t>
  </si>
  <si>
    <t>PICTURE_23</t>
  </si>
  <si>
    <t>bicicleta</t>
  </si>
  <si>
    <t>PICTURE_26</t>
  </si>
  <si>
    <t>cebolla</t>
  </si>
  <si>
    <t>PICTURE_28</t>
  </si>
  <si>
    <t>microscopio</t>
  </si>
  <si>
    <t>PICTURE_30</t>
  </si>
  <si>
    <t>granja</t>
  </si>
  <si>
    <t>PICTURE_31</t>
  </si>
  <si>
    <t>minero</t>
  </si>
  <si>
    <t>PICTURE_32</t>
  </si>
  <si>
    <t>corona</t>
  </si>
  <si>
    <t>PICTURE_35</t>
  </si>
  <si>
    <t>oreja</t>
  </si>
  <si>
    <t>PICTURE_37</t>
  </si>
  <si>
    <t>donuts</t>
  </si>
  <si>
    <t>PICTURE_38</t>
  </si>
  <si>
    <t>araña</t>
  </si>
  <si>
    <t>PICTURE_39</t>
  </si>
  <si>
    <t>bolsillo</t>
  </si>
  <si>
    <t>PICTURE_40</t>
  </si>
  <si>
    <t>trébol</t>
  </si>
  <si>
    <t>PICTURE_42</t>
  </si>
  <si>
    <t>pera</t>
  </si>
  <si>
    <t>PICTURE_45</t>
  </si>
  <si>
    <t>pandereta</t>
  </si>
  <si>
    <t>PICTURE_46</t>
  </si>
  <si>
    <t>destornillador</t>
  </si>
  <si>
    <t>PICTURE_47</t>
  </si>
  <si>
    <t>desierto</t>
  </si>
  <si>
    <t>PICTURE_48</t>
  </si>
  <si>
    <t>bombero</t>
  </si>
  <si>
    <t>PICTURE_53</t>
  </si>
  <si>
    <t>bolsa</t>
  </si>
  <si>
    <t>PICTURE_54</t>
  </si>
  <si>
    <t>collar</t>
  </si>
  <si>
    <t>PICTURE_55</t>
  </si>
  <si>
    <t>sombra</t>
  </si>
  <si>
    <t>PICTURE_56</t>
  </si>
  <si>
    <t>codo</t>
  </si>
  <si>
    <t>PICTURE_57</t>
  </si>
  <si>
    <t>sello</t>
  </si>
  <si>
    <t>PICTURE_58</t>
  </si>
  <si>
    <t>jardinero</t>
  </si>
  <si>
    <t>camisa</t>
  </si>
  <si>
    <t>PICTURE_60</t>
  </si>
  <si>
    <t>leñador</t>
  </si>
  <si>
    <t>PICTURE_61</t>
  </si>
  <si>
    <t>periódico</t>
  </si>
  <si>
    <t>PICTURE_63</t>
  </si>
  <si>
    <t>balcón</t>
  </si>
  <si>
    <t>PICTURE_64</t>
  </si>
  <si>
    <t>botón</t>
  </si>
  <si>
    <t>PICTURE_66</t>
  </si>
  <si>
    <t>tejado</t>
  </si>
  <si>
    <t>PICTURE_67</t>
  </si>
  <si>
    <t>sofá</t>
  </si>
  <si>
    <t>PICTURE_68</t>
  </si>
  <si>
    <t>vela</t>
  </si>
  <si>
    <t>PICTURE_69</t>
  </si>
  <si>
    <t>plátano</t>
  </si>
  <si>
    <t>PICTURE_72</t>
  </si>
  <si>
    <t>queso</t>
  </si>
  <si>
    <t>PICTURE_73</t>
  </si>
  <si>
    <t>ola</t>
  </si>
  <si>
    <t>PICTURE_74</t>
  </si>
  <si>
    <t>tractor</t>
  </si>
  <si>
    <t>PICTURE_75</t>
  </si>
  <si>
    <t>globo</t>
  </si>
  <si>
    <t>PICTURE_78</t>
  </si>
  <si>
    <t>llave</t>
  </si>
  <si>
    <t>PICTURE_79</t>
  </si>
  <si>
    <t>teclado</t>
  </si>
  <si>
    <t>PICTURE_83</t>
  </si>
  <si>
    <t>corazón</t>
  </si>
  <si>
    <t>PICTURE_85</t>
  </si>
  <si>
    <t>diamante</t>
  </si>
  <si>
    <t>PICTURE_86</t>
  </si>
  <si>
    <t>río</t>
  </si>
  <si>
    <t>PICTURE_87</t>
  </si>
  <si>
    <t>robot</t>
  </si>
  <si>
    <t>PICTURE_88</t>
  </si>
  <si>
    <t>muleta</t>
  </si>
  <si>
    <t>PICTURE_89</t>
  </si>
  <si>
    <t>enchufe</t>
  </si>
  <si>
    <t>PICTURE_90</t>
  </si>
  <si>
    <t>luna</t>
  </si>
  <si>
    <t>PICTURE_91</t>
  </si>
  <si>
    <t>boca</t>
  </si>
  <si>
    <t>PICTURE_92</t>
  </si>
  <si>
    <t>foca</t>
  </si>
  <si>
    <t>PICTURE_95</t>
  </si>
  <si>
    <t>maleta</t>
  </si>
  <si>
    <t>PICTURE_97</t>
  </si>
  <si>
    <t>pluma</t>
  </si>
  <si>
    <t>PICTURE_98</t>
  </si>
  <si>
    <t>tigre</t>
  </si>
  <si>
    <t>PICTURE_99</t>
  </si>
  <si>
    <t>cuadro</t>
  </si>
  <si>
    <t>PICTURE_100</t>
  </si>
  <si>
    <t>nariz</t>
  </si>
  <si>
    <t>PICTURE_101</t>
  </si>
  <si>
    <t>batería</t>
  </si>
  <si>
    <t>PICTURE_104</t>
  </si>
  <si>
    <t>ascensor</t>
  </si>
  <si>
    <t>PICTURE_106</t>
  </si>
  <si>
    <t>invernadero</t>
  </si>
  <si>
    <t>PICTURE_108</t>
  </si>
  <si>
    <t>calendario</t>
  </si>
  <si>
    <t>PICTURE_109</t>
  </si>
  <si>
    <t>gimnasio</t>
  </si>
  <si>
    <t>PICTURE_110</t>
  </si>
  <si>
    <t>mesa</t>
  </si>
  <si>
    <t>PICTURE_111</t>
  </si>
  <si>
    <t>dragón</t>
  </si>
  <si>
    <t>PICTURE_112</t>
  </si>
  <si>
    <t>pulmón</t>
  </si>
  <si>
    <t>PICTURE_114</t>
  </si>
  <si>
    <t>fruta</t>
  </si>
  <si>
    <t>PICTURE_119</t>
  </si>
  <si>
    <t>nuez</t>
  </si>
  <si>
    <t>PICTURE_120</t>
  </si>
  <si>
    <t>olla</t>
  </si>
  <si>
    <t>PICTURE_121</t>
  </si>
  <si>
    <t>laberinto</t>
  </si>
  <si>
    <t>PICTURE_122</t>
  </si>
  <si>
    <t>silla</t>
  </si>
  <si>
    <t>PICTURE_123</t>
  </si>
  <si>
    <t>dardo</t>
  </si>
  <si>
    <t>PICTURE_124</t>
  </si>
  <si>
    <t>esquina</t>
  </si>
  <si>
    <t>PICTURE_125</t>
  </si>
  <si>
    <t>kiwi</t>
  </si>
  <si>
    <t>PICTURE_127</t>
  </si>
  <si>
    <t>saco</t>
  </si>
  <si>
    <t>PICTURE_128</t>
  </si>
  <si>
    <t>muñeca</t>
  </si>
  <si>
    <t>PICTURE_129</t>
  </si>
  <si>
    <t>limón</t>
  </si>
  <si>
    <t>PICTURE_130</t>
  </si>
  <si>
    <t>chaleco</t>
  </si>
  <si>
    <t>PICTURE_132</t>
  </si>
  <si>
    <t>etiqueta</t>
  </si>
  <si>
    <t>PICTURE_135</t>
  </si>
  <si>
    <t>traje</t>
  </si>
  <si>
    <t>PICTURE_136</t>
  </si>
  <si>
    <t>melón</t>
  </si>
  <si>
    <t>PICTURE_139</t>
  </si>
  <si>
    <t>fantasma</t>
  </si>
  <si>
    <t>PICTURE_140</t>
  </si>
  <si>
    <t>grifo</t>
  </si>
  <si>
    <t>PICTURE_141</t>
  </si>
  <si>
    <t>girasol</t>
  </si>
  <si>
    <t>PICTURE_142</t>
  </si>
  <si>
    <t>vaso</t>
  </si>
  <si>
    <t>PICTURE_143</t>
  </si>
  <si>
    <t>ángel</t>
  </si>
  <si>
    <t>PICTURE_144</t>
  </si>
  <si>
    <t>torero</t>
  </si>
  <si>
    <t>PICTURE_146</t>
  </si>
  <si>
    <t>aceituna</t>
  </si>
  <si>
    <t>PICTURE_147</t>
  </si>
  <si>
    <t>percha</t>
  </si>
  <si>
    <t>PICTURE_148</t>
  </si>
  <si>
    <t>pipa</t>
  </si>
  <si>
    <t>PICTURE_149</t>
  </si>
  <si>
    <t>cerradura</t>
  </si>
  <si>
    <t>PICTURE_151</t>
  </si>
  <si>
    <t>bandeja</t>
  </si>
  <si>
    <t>PICTURE_152</t>
  </si>
  <si>
    <t>caracol</t>
  </si>
  <si>
    <t>PICTURE_154</t>
  </si>
  <si>
    <t>dominó</t>
  </si>
  <si>
    <t>PICTURE_155</t>
  </si>
  <si>
    <t>bala</t>
  </si>
  <si>
    <t>PICTURE_156</t>
  </si>
  <si>
    <t>flauta</t>
  </si>
  <si>
    <t>PICTURE_158</t>
  </si>
  <si>
    <t>mando</t>
  </si>
  <si>
    <t>PICTURE_159</t>
  </si>
  <si>
    <t>barba</t>
  </si>
  <si>
    <t>PICTURE_160</t>
  </si>
  <si>
    <t>carretilla</t>
  </si>
  <si>
    <t>PICTURE_161</t>
  </si>
  <si>
    <t>corbata</t>
  </si>
  <si>
    <t>PICTURE_163</t>
  </si>
  <si>
    <t>coco</t>
  </si>
  <si>
    <t>PICTURE_164</t>
  </si>
  <si>
    <t>carretera</t>
  </si>
  <si>
    <t>PICTURE_165</t>
  </si>
  <si>
    <t>cinturón</t>
  </si>
  <si>
    <t>PICTURE_169</t>
  </si>
  <si>
    <t>espalda</t>
  </si>
  <si>
    <t>PICTURE_170</t>
  </si>
  <si>
    <t>portería</t>
  </si>
  <si>
    <t>PICTURE_171</t>
  </si>
  <si>
    <t>portero</t>
  </si>
  <si>
    <t>PICTURE_172</t>
  </si>
  <si>
    <t>loro</t>
  </si>
  <si>
    <t>PICTURE_173</t>
  </si>
  <si>
    <t>farmacia</t>
  </si>
  <si>
    <t>PICTURE_175</t>
  </si>
  <si>
    <t>pintor</t>
  </si>
  <si>
    <t>PICTURE_178</t>
  </si>
  <si>
    <t>puente</t>
  </si>
  <si>
    <t>PICTURE_181</t>
  </si>
  <si>
    <t>triángulo</t>
  </si>
  <si>
    <t>PICTURE_184</t>
  </si>
  <si>
    <t>bruja</t>
  </si>
  <si>
    <t>PICTURE_185</t>
  </si>
  <si>
    <t>balón</t>
  </si>
  <si>
    <t>PICTURE_186</t>
  </si>
  <si>
    <t>motor</t>
  </si>
  <si>
    <t>PICTURE_187</t>
  </si>
  <si>
    <t>ciudad</t>
  </si>
  <si>
    <t>cocodrilo</t>
  </si>
  <si>
    <t>PICTURE_190</t>
  </si>
  <si>
    <t>lluvia</t>
  </si>
  <si>
    <t>PICTURE_191</t>
  </si>
  <si>
    <t>ensalada</t>
  </si>
  <si>
    <t>PICTURE_192</t>
  </si>
  <si>
    <t>termómetro</t>
  </si>
  <si>
    <t>PICTURE_193</t>
  </si>
  <si>
    <t>medusa</t>
  </si>
  <si>
    <t>PICTURE_196</t>
  </si>
  <si>
    <t>ordenador</t>
  </si>
  <si>
    <t>PICTURE_197</t>
  </si>
  <si>
    <t>compás</t>
  </si>
  <si>
    <t>PICTURE_199</t>
  </si>
  <si>
    <t>falda</t>
  </si>
  <si>
    <t>PICTURE_200</t>
  </si>
  <si>
    <t>trompeta</t>
  </si>
  <si>
    <t>PICTURE_202</t>
  </si>
  <si>
    <t>caña</t>
  </si>
  <si>
    <t>PICTURE_204</t>
  </si>
  <si>
    <t>impresora</t>
  </si>
  <si>
    <t>PICTURE_205</t>
  </si>
  <si>
    <t>tobillo</t>
  </si>
  <si>
    <t>PICTURE_207</t>
  </si>
  <si>
    <t>cicatriz</t>
  </si>
  <si>
    <t>PICTURE_208</t>
  </si>
  <si>
    <t>micrófono</t>
  </si>
  <si>
    <t>PICTURE_212</t>
  </si>
  <si>
    <t>balanza</t>
  </si>
  <si>
    <t>PICTURE_213</t>
  </si>
  <si>
    <t>policía</t>
  </si>
  <si>
    <t>PICTURE_215</t>
  </si>
  <si>
    <t>bota</t>
  </si>
  <si>
    <t>PICTURE_216</t>
  </si>
  <si>
    <t>martillo</t>
  </si>
  <si>
    <t>PICTURE_218</t>
  </si>
  <si>
    <t>pañal</t>
  </si>
  <si>
    <t>PICTURE_221</t>
  </si>
  <si>
    <t>chupete</t>
  </si>
  <si>
    <t>PICTURE_222</t>
  </si>
  <si>
    <t>rodilla</t>
  </si>
  <si>
    <t>PICTURE_223</t>
  </si>
  <si>
    <t>cremallera</t>
  </si>
  <si>
    <t>PICTURE_224</t>
  </si>
  <si>
    <t>pincel</t>
  </si>
  <si>
    <t>PICTURE_226</t>
  </si>
  <si>
    <t>tren</t>
  </si>
  <si>
    <t>PICTURE_230</t>
  </si>
  <si>
    <t>frontón</t>
  </si>
  <si>
    <t>PICTURE_234</t>
  </si>
  <si>
    <t>plato</t>
  </si>
  <si>
    <t>PICTURE_235</t>
  </si>
  <si>
    <t>aguja</t>
  </si>
  <si>
    <t>PICTURE_236</t>
  </si>
  <si>
    <t>jirafa</t>
  </si>
  <si>
    <t>PICTURE_238</t>
  </si>
  <si>
    <t>puzle</t>
  </si>
  <si>
    <t>PICTURE_241</t>
  </si>
  <si>
    <t>ojo</t>
  </si>
  <si>
    <t>PICTURE_242</t>
  </si>
  <si>
    <t>cartero</t>
  </si>
  <si>
    <t>PICTURE_244</t>
  </si>
  <si>
    <t>bombilla</t>
  </si>
  <si>
    <t>PICTURE_245</t>
  </si>
  <si>
    <t>raíz</t>
  </si>
  <si>
    <t>PICTURE_246</t>
  </si>
  <si>
    <t>dentista</t>
  </si>
  <si>
    <t>PICTURE_247</t>
  </si>
  <si>
    <t>cerebro</t>
  </si>
  <si>
    <t>PICTURE_249</t>
  </si>
  <si>
    <t>patata</t>
  </si>
  <si>
    <t>PICTURE_253</t>
  </si>
  <si>
    <t>coro</t>
  </si>
  <si>
    <t>PICTURE_255</t>
  </si>
  <si>
    <t>pala</t>
  </si>
  <si>
    <t>PICTURE_258</t>
  </si>
  <si>
    <t>pan</t>
  </si>
  <si>
    <t>PICTURE_259</t>
  </si>
  <si>
    <t>cono</t>
  </si>
  <si>
    <t>PICTURE_260</t>
  </si>
  <si>
    <t>isla</t>
  </si>
  <si>
    <t>PICTURE_261</t>
  </si>
  <si>
    <t>farola</t>
  </si>
  <si>
    <t>PICTURE_262</t>
  </si>
  <si>
    <t>linterna</t>
  </si>
  <si>
    <t>PICTURE_264</t>
  </si>
  <si>
    <t>mano</t>
  </si>
  <si>
    <t>PICTURE_265</t>
  </si>
  <si>
    <t>pirata</t>
  </si>
  <si>
    <t>PICTURE_266</t>
  </si>
  <si>
    <t>tacón</t>
  </si>
  <si>
    <t>PICTURE_267</t>
  </si>
  <si>
    <t>nudo</t>
  </si>
  <si>
    <t>PICTURE_268</t>
  </si>
  <si>
    <t>cama</t>
  </si>
  <si>
    <t>PICTURE_270</t>
  </si>
  <si>
    <t>flecha</t>
  </si>
  <si>
    <t>PICTURE_271</t>
  </si>
  <si>
    <t>conejo</t>
  </si>
  <si>
    <t>PICTURE_273</t>
  </si>
  <si>
    <t>autobús</t>
  </si>
  <si>
    <t>PICTURE_275</t>
  </si>
  <si>
    <t>capa</t>
  </si>
  <si>
    <t>PICTURE_277</t>
  </si>
  <si>
    <t>peluca</t>
  </si>
  <si>
    <t>PICTURE_278</t>
  </si>
  <si>
    <t>tambor</t>
  </si>
  <si>
    <t>PICTURE_279</t>
  </si>
  <si>
    <t>piedra</t>
  </si>
  <si>
    <t>PICTURE_282</t>
  </si>
  <si>
    <t>rinoceronte</t>
  </si>
  <si>
    <t>PICTURE_283</t>
  </si>
  <si>
    <t>limusina</t>
  </si>
  <si>
    <t>PICTURE_285</t>
  </si>
  <si>
    <t>zanahoria</t>
  </si>
  <si>
    <t>PICTURE_286</t>
  </si>
  <si>
    <t>túnel</t>
  </si>
  <si>
    <t>PICTURE_287</t>
  </si>
  <si>
    <t>vena</t>
  </si>
  <si>
    <t>PICTURE_288</t>
  </si>
  <si>
    <t>bosque</t>
  </si>
  <si>
    <t>PICTURE_290</t>
  </si>
  <si>
    <t>jaula</t>
  </si>
  <si>
    <t>PICTURE_291</t>
  </si>
  <si>
    <t>gatillo</t>
  </si>
  <si>
    <t>PICTURE_292</t>
  </si>
  <si>
    <t>brújula</t>
  </si>
  <si>
    <t>PICTURE_293</t>
  </si>
  <si>
    <t>dinosaurio</t>
  </si>
  <si>
    <t>PICTURE_294</t>
  </si>
  <si>
    <t>fontanero</t>
  </si>
  <si>
    <t>PICTURE_295</t>
  </si>
  <si>
    <t>bandera</t>
  </si>
  <si>
    <t>PICTURE_297</t>
  </si>
  <si>
    <t>avión</t>
  </si>
  <si>
    <t>PICTURE_298</t>
  </si>
  <si>
    <t>paella</t>
  </si>
  <si>
    <t>PICTURE_299</t>
  </si>
  <si>
    <t>avestruz</t>
  </si>
  <si>
    <t>PICTURE_301</t>
  </si>
  <si>
    <t>espada</t>
  </si>
  <si>
    <t>PICTURE_302</t>
  </si>
  <si>
    <t>taxi</t>
  </si>
  <si>
    <t>PICTURE_303</t>
  </si>
  <si>
    <t>mimo</t>
  </si>
  <si>
    <t>PICTURE_304</t>
  </si>
  <si>
    <t>cuna</t>
  </si>
  <si>
    <t>PICTURE_305</t>
  </si>
  <si>
    <t>buzón</t>
  </si>
  <si>
    <t>PICTURE_307</t>
  </si>
  <si>
    <t>ala</t>
  </si>
  <si>
    <t>PICTURE_308</t>
  </si>
  <si>
    <t>dado</t>
  </si>
  <si>
    <t>PICTURE_312</t>
  </si>
  <si>
    <t>flor</t>
  </si>
  <si>
    <t>PICTURE_313</t>
  </si>
  <si>
    <t>peluquero</t>
  </si>
  <si>
    <t>PICTURE_319</t>
  </si>
  <si>
    <t>vaca</t>
  </si>
  <si>
    <t>PICTURE_320</t>
  </si>
  <si>
    <t>iglesia</t>
  </si>
  <si>
    <t>PICTURE_323</t>
  </si>
  <si>
    <t>búho</t>
  </si>
  <si>
    <t>PICTURE_324</t>
  </si>
  <si>
    <t>pez</t>
  </si>
  <si>
    <t>PICTURE_326</t>
  </si>
  <si>
    <t>tomate</t>
  </si>
  <si>
    <t>PICTURE_327</t>
  </si>
  <si>
    <t>casco</t>
  </si>
  <si>
    <t>PICTURE_329</t>
  </si>
  <si>
    <t>embarazada</t>
  </si>
  <si>
    <t>PICTURE_330</t>
  </si>
  <si>
    <t>PICTURE_331</t>
  </si>
  <si>
    <t>sujetador</t>
  </si>
  <si>
    <t>PICTURE_332</t>
  </si>
  <si>
    <t>cigüeña</t>
  </si>
  <si>
    <t>PICTURE_335</t>
  </si>
  <si>
    <t>mantequilla</t>
  </si>
  <si>
    <t>PICTURE_336</t>
  </si>
  <si>
    <t>regla</t>
  </si>
  <si>
    <t>PICTURE_338</t>
  </si>
  <si>
    <t>regalo</t>
  </si>
  <si>
    <t>PICTURE_339</t>
  </si>
  <si>
    <t>mochila</t>
  </si>
  <si>
    <t>PICTURE_340</t>
  </si>
  <si>
    <t>espejo</t>
  </si>
  <si>
    <t>PICTURE_341</t>
  </si>
  <si>
    <t>aleta</t>
  </si>
  <si>
    <t>PICTURE_343</t>
  </si>
  <si>
    <t>botella</t>
  </si>
  <si>
    <t>PICTURE_344</t>
  </si>
  <si>
    <t>fuente</t>
  </si>
  <si>
    <t>PICTURE_346</t>
  </si>
  <si>
    <t>red</t>
  </si>
  <si>
    <t>PICTURE_348</t>
  </si>
  <si>
    <t>pimiento</t>
  </si>
  <si>
    <t>PICTURE_349</t>
  </si>
  <si>
    <t>candado</t>
  </si>
  <si>
    <t>PICTURE_350</t>
  </si>
  <si>
    <t>biblia</t>
  </si>
  <si>
    <t>PICTURE_351</t>
  </si>
  <si>
    <t>mariposa</t>
  </si>
  <si>
    <t>PICTURE_353</t>
  </si>
  <si>
    <t>camiseta</t>
  </si>
  <si>
    <t>PICTURE_354</t>
  </si>
  <si>
    <t>cabra</t>
  </si>
  <si>
    <t>PICTURE_357</t>
  </si>
  <si>
    <t>guitarra</t>
  </si>
  <si>
    <t>PICTURE_358</t>
  </si>
  <si>
    <t>coche</t>
  </si>
  <si>
    <t>PICTURE_359</t>
  </si>
  <si>
    <t>cuchillo</t>
  </si>
  <si>
    <t>PICTURE_361</t>
  </si>
  <si>
    <t>delfín</t>
  </si>
  <si>
    <t>PICTURE_362</t>
  </si>
  <si>
    <t>piscina</t>
  </si>
  <si>
    <t>PICTURE_363</t>
  </si>
  <si>
    <t>ventilador</t>
  </si>
  <si>
    <t>PICTURE_365</t>
  </si>
  <si>
    <t>erizo</t>
  </si>
  <si>
    <t>PICTURE_368</t>
  </si>
  <si>
    <t>abanico</t>
  </si>
  <si>
    <t>PICTURE_370</t>
  </si>
  <si>
    <t>escorpión</t>
  </si>
  <si>
    <t>PICTURE_371</t>
  </si>
  <si>
    <t>saltamontes</t>
  </si>
  <si>
    <t>PICTURE_376</t>
  </si>
  <si>
    <t>escultor</t>
  </si>
  <si>
    <t>PICTURE_377</t>
  </si>
  <si>
    <t>babero</t>
  </si>
  <si>
    <t>PICTURE_379</t>
  </si>
  <si>
    <t>cebra</t>
  </si>
  <si>
    <t>PICTURE_381</t>
  </si>
  <si>
    <t>fresa</t>
  </si>
  <si>
    <t>PICTURE_383</t>
  </si>
  <si>
    <t>moneda</t>
  </si>
  <si>
    <t>PICTURE_386</t>
  </si>
  <si>
    <t>bomba</t>
  </si>
  <si>
    <t>PICTURE_387</t>
  </si>
  <si>
    <t>grapadora</t>
  </si>
  <si>
    <t>PICTURE_388</t>
  </si>
  <si>
    <t>bolso</t>
  </si>
  <si>
    <t>PICTURE_389</t>
  </si>
  <si>
    <t>antena</t>
  </si>
  <si>
    <t>PICTURE_391</t>
  </si>
  <si>
    <t>cadena</t>
  </si>
  <si>
    <t>PICTURE_392</t>
  </si>
  <si>
    <t>tetera</t>
  </si>
  <si>
    <t>PICTURE_396</t>
  </si>
  <si>
    <t>cajero</t>
  </si>
  <si>
    <t>PICTURE_398</t>
  </si>
  <si>
    <t>volante</t>
  </si>
  <si>
    <t>PICTURE_399</t>
  </si>
  <si>
    <t>bailarina</t>
  </si>
  <si>
    <t>PICTURE_400</t>
  </si>
  <si>
    <t>pato</t>
  </si>
  <si>
    <t>PICTURE_402</t>
  </si>
  <si>
    <t>pizarra</t>
  </si>
  <si>
    <t>PICTURE_404</t>
  </si>
  <si>
    <t>libélula</t>
  </si>
  <si>
    <t>PICTURE_405</t>
  </si>
  <si>
    <t>ancla</t>
  </si>
  <si>
    <t>PICTURE_406</t>
  </si>
  <si>
    <t>gallo</t>
  </si>
  <si>
    <t>PICTURE_409</t>
  </si>
  <si>
    <t>corcho</t>
  </si>
  <si>
    <t>PICTURE_410</t>
  </si>
  <si>
    <t>pistacho</t>
  </si>
  <si>
    <t>PICTURE_411</t>
  </si>
  <si>
    <t>puño</t>
  </si>
  <si>
    <t>PICTURE_412</t>
  </si>
  <si>
    <t>fábrica</t>
  </si>
  <si>
    <t>PICTURE_414</t>
  </si>
  <si>
    <t>lámpara</t>
  </si>
  <si>
    <t>PICTURE_416</t>
  </si>
  <si>
    <t>calcetín</t>
  </si>
  <si>
    <t>PICTURE_418</t>
  </si>
  <si>
    <t>cortina</t>
  </si>
  <si>
    <t>PICTURE_425</t>
  </si>
  <si>
    <t>gaita</t>
  </si>
  <si>
    <t>PICTURE_426</t>
  </si>
  <si>
    <t>peine</t>
  </si>
  <si>
    <t>PICTURE_428</t>
  </si>
  <si>
    <t>cangrejo</t>
  </si>
  <si>
    <t>guante</t>
  </si>
  <si>
    <t>PICTURE_433</t>
  </si>
  <si>
    <t>timbre</t>
  </si>
  <si>
    <t>PICTURE_434</t>
  </si>
  <si>
    <t>profesor</t>
  </si>
  <si>
    <t>PICTURE_436</t>
  </si>
  <si>
    <t>niña</t>
  </si>
  <si>
    <t>PICTURE_437</t>
  </si>
  <si>
    <t>cañón</t>
  </si>
  <si>
    <t>PICTURE_439</t>
  </si>
  <si>
    <t>volcán</t>
  </si>
  <si>
    <t>PICTURE_441</t>
  </si>
  <si>
    <t>chorizo</t>
  </si>
  <si>
    <t>PICTURE_442</t>
  </si>
  <si>
    <t>piña</t>
  </si>
  <si>
    <t>PICTURE_443</t>
  </si>
  <si>
    <t>profesora</t>
  </si>
  <si>
    <t>PICTURE_444</t>
  </si>
  <si>
    <t>mirilla</t>
  </si>
  <si>
    <t>PICTURE_445</t>
  </si>
  <si>
    <t>nido</t>
  </si>
  <si>
    <t>PICTURE_446</t>
  </si>
  <si>
    <t>cerdo</t>
  </si>
  <si>
    <t>PICTURE_447</t>
  </si>
  <si>
    <t>estrella</t>
  </si>
  <si>
    <t>PICTURE_449</t>
  </si>
  <si>
    <t>banco</t>
  </si>
  <si>
    <t>PICTURE_451</t>
  </si>
  <si>
    <t>rey</t>
  </si>
  <si>
    <t>PICTURE_452</t>
  </si>
  <si>
    <t>reloj</t>
  </si>
  <si>
    <t>PICTURE_453</t>
  </si>
  <si>
    <t>tijeras</t>
  </si>
  <si>
    <t>PICTURE_454</t>
  </si>
  <si>
    <t>gallina</t>
  </si>
  <si>
    <t>PICTURE_455</t>
  </si>
  <si>
    <t>pie</t>
  </si>
  <si>
    <t>PICTURE_456</t>
  </si>
  <si>
    <t>aceite</t>
  </si>
  <si>
    <t>PICTURE_457</t>
  </si>
  <si>
    <t>pirámide</t>
  </si>
  <si>
    <t>PICTURE_458</t>
  </si>
  <si>
    <t>armario</t>
  </si>
  <si>
    <t>PICTURE_461</t>
  </si>
  <si>
    <t>pistola</t>
  </si>
  <si>
    <t>PICTURE_462</t>
  </si>
  <si>
    <t>mosca</t>
  </si>
  <si>
    <t>PICTURE_464</t>
  </si>
  <si>
    <t>goma</t>
  </si>
  <si>
    <t>PICTURE_465</t>
  </si>
  <si>
    <t>navaja</t>
  </si>
  <si>
    <t>PICTURE_466</t>
  </si>
  <si>
    <t>juez</t>
  </si>
  <si>
    <t>PICTURE_467</t>
  </si>
  <si>
    <t>pinza</t>
  </si>
  <si>
    <t>PICTURE_472</t>
  </si>
  <si>
    <t>cuadrado</t>
  </si>
  <si>
    <t>PICTURE_473</t>
  </si>
  <si>
    <t>brazo</t>
  </si>
  <si>
    <t>PICTURE_474</t>
  </si>
  <si>
    <t>billete</t>
  </si>
  <si>
    <t>PICTURE_476</t>
  </si>
  <si>
    <t>delantal</t>
  </si>
  <si>
    <t>PICTURE_479</t>
  </si>
  <si>
    <t>canguro</t>
  </si>
  <si>
    <t>PICTURE_480</t>
  </si>
  <si>
    <t>rosa</t>
  </si>
  <si>
    <t>PICTURE_483</t>
  </si>
  <si>
    <t>pasillo</t>
  </si>
  <si>
    <t>PICTURE_484</t>
  </si>
  <si>
    <t>ardilla</t>
  </si>
  <si>
    <t>PICTURE_485</t>
  </si>
  <si>
    <t>clavo</t>
  </si>
  <si>
    <t>PICTURE_487</t>
  </si>
  <si>
    <t>cesta</t>
  </si>
  <si>
    <t>PICTURE_488</t>
  </si>
  <si>
    <t>sol</t>
  </si>
  <si>
    <t>PICTURE_489</t>
  </si>
  <si>
    <t>pizza</t>
  </si>
  <si>
    <t>PICTURE_491</t>
  </si>
  <si>
    <t>alfombra</t>
  </si>
  <si>
    <t>PICTURE_494</t>
  </si>
  <si>
    <t>bigote</t>
  </si>
  <si>
    <t>PICTURE_495</t>
  </si>
  <si>
    <t>puerto</t>
  </si>
  <si>
    <t>PICTURE_496</t>
  </si>
  <si>
    <t>círculo</t>
  </si>
  <si>
    <t>PICTURE_497</t>
  </si>
  <si>
    <t>ataúd</t>
  </si>
  <si>
    <t>PICTURE_498</t>
  </si>
  <si>
    <t>taza</t>
  </si>
  <si>
    <t>PICTURE_499</t>
  </si>
  <si>
    <t>niño</t>
  </si>
  <si>
    <t>PICTURE_500</t>
  </si>
  <si>
    <t>escalera</t>
  </si>
  <si>
    <t>PICTURE_501</t>
  </si>
  <si>
    <t>escudo</t>
  </si>
  <si>
    <t>PICTURE_502</t>
  </si>
  <si>
    <t>pastor</t>
  </si>
  <si>
    <t>PICTURE_503</t>
  </si>
  <si>
    <t>lengua</t>
  </si>
  <si>
    <t>PICTURE_504</t>
  </si>
  <si>
    <t>timón</t>
  </si>
  <si>
    <t>PICTURE_505</t>
  </si>
  <si>
    <t>libro</t>
  </si>
  <si>
    <t>PICTURE_507</t>
  </si>
  <si>
    <t>bebé</t>
  </si>
  <si>
    <t>PICTURE_508</t>
  </si>
  <si>
    <t>caja</t>
  </si>
  <si>
    <t>PICTURE_509</t>
  </si>
  <si>
    <t>teléfono</t>
  </si>
  <si>
    <t>PICTURE_511</t>
  </si>
  <si>
    <t>jamón</t>
  </si>
  <si>
    <t>PICTURE_512</t>
  </si>
  <si>
    <t>parche</t>
  </si>
  <si>
    <t>PICTURE_513</t>
  </si>
  <si>
    <t>labios</t>
  </si>
  <si>
    <t>PICTURE_514</t>
  </si>
  <si>
    <t>submarino</t>
  </si>
  <si>
    <t>PICTURE_516</t>
  </si>
  <si>
    <t>calculadora</t>
  </si>
  <si>
    <t>PICTURE_517</t>
  </si>
  <si>
    <t>cuerda</t>
  </si>
  <si>
    <t>PICTURE_518</t>
  </si>
  <si>
    <t>copa</t>
  </si>
  <si>
    <t>PICTURE_519</t>
  </si>
  <si>
    <t>bailarín</t>
  </si>
  <si>
    <t>PICTURE_520</t>
  </si>
  <si>
    <t>ladrillo</t>
  </si>
  <si>
    <t>PICTURE_521</t>
  </si>
  <si>
    <t>zorro</t>
  </si>
  <si>
    <t>PICTURE_523</t>
  </si>
  <si>
    <t>cable</t>
  </si>
  <si>
    <t>PICTURE_524</t>
  </si>
  <si>
    <t>indio</t>
  </si>
  <si>
    <t>PICTURE_527</t>
  </si>
  <si>
    <t>fotografía</t>
  </si>
  <si>
    <t>PICTURE_528</t>
  </si>
  <si>
    <t>cisne</t>
  </si>
  <si>
    <t>PICTURE_531</t>
  </si>
  <si>
    <t>tortuga</t>
  </si>
  <si>
    <t>PICTURE_532</t>
  </si>
  <si>
    <t>payaso</t>
  </si>
  <si>
    <t>PICTURE_533</t>
  </si>
  <si>
    <t>tiburón</t>
  </si>
  <si>
    <t>PICTURE_535</t>
  </si>
  <si>
    <t>camión</t>
  </si>
  <si>
    <t>PICTURE_536</t>
  </si>
  <si>
    <t>rama</t>
  </si>
  <si>
    <t>PICTURE_539</t>
  </si>
  <si>
    <t>astronauta</t>
  </si>
  <si>
    <t>PICTURE_540</t>
  </si>
  <si>
    <t>faro</t>
  </si>
  <si>
    <t>PICTURE_541</t>
  </si>
  <si>
    <t>zapato</t>
  </si>
  <si>
    <t>PICTURE_542</t>
  </si>
  <si>
    <t>chimenea</t>
  </si>
  <si>
    <t>PICTURE_545</t>
  </si>
  <si>
    <t>braga</t>
  </si>
  <si>
    <t>PICTURE_546</t>
  </si>
  <si>
    <t>puerta</t>
  </si>
  <si>
    <t>PICTURE_547</t>
  </si>
  <si>
    <t>murciélago</t>
  </si>
  <si>
    <t>PICTURE_549</t>
  </si>
  <si>
    <t>serpiente</t>
  </si>
  <si>
    <t>PICTURE_551</t>
  </si>
  <si>
    <t>calabaza</t>
  </si>
  <si>
    <t>PICTURE_552</t>
  </si>
  <si>
    <t>manzana</t>
  </si>
  <si>
    <t>PICTURE_555</t>
  </si>
  <si>
    <t>desayuno</t>
  </si>
  <si>
    <t>PICTURE_557</t>
  </si>
  <si>
    <t>lobo</t>
  </si>
  <si>
    <t>PICTURE_558</t>
  </si>
  <si>
    <t>mechero</t>
  </si>
  <si>
    <t>PICTURE_560</t>
  </si>
  <si>
    <t>sandía</t>
  </si>
  <si>
    <t>PICTURE_565</t>
  </si>
  <si>
    <t>campana</t>
  </si>
  <si>
    <t>PICTURE_566</t>
  </si>
  <si>
    <t>violín</t>
  </si>
  <si>
    <t>PICTURE_568</t>
  </si>
  <si>
    <t>castillo</t>
  </si>
  <si>
    <t>PICTURE_570</t>
  </si>
  <si>
    <t>toro</t>
  </si>
  <si>
    <t>PICTURE_572</t>
  </si>
  <si>
    <t>malabarista</t>
  </si>
  <si>
    <t>PICTURE_573</t>
  </si>
  <si>
    <t>berenjena</t>
  </si>
  <si>
    <t>PICTURE_575</t>
  </si>
  <si>
    <t>pico</t>
  </si>
  <si>
    <t>PICTURE_576</t>
  </si>
  <si>
    <t>PICTURE_579</t>
  </si>
  <si>
    <t>elefante</t>
  </si>
  <si>
    <t>PICTURE_580</t>
  </si>
  <si>
    <t>enfermera</t>
  </si>
  <si>
    <t>PICTURE_581</t>
  </si>
  <si>
    <t>espárrago</t>
  </si>
  <si>
    <t>PICTURE_582</t>
  </si>
  <si>
    <t>laboratorio</t>
  </si>
  <si>
    <t>PICTURE_583</t>
  </si>
  <si>
    <t>barco</t>
  </si>
  <si>
    <t>PICTURE_586</t>
  </si>
  <si>
    <t>plancha</t>
  </si>
  <si>
    <t>PICTURE_588</t>
  </si>
  <si>
    <t>pulsera</t>
  </si>
  <si>
    <t>PICTURE_590</t>
  </si>
  <si>
    <t>escoba</t>
  </si>
  <si>
    <t>PICTURE_592</t>
  </si>
  <si>
    <t>lechuga</t>
  </si>
  <si>
    <t>PICTURE_595</t>
  </si>
  <si>
    <t>cubo</t>
  </si>
  <si>
    <t>PICTURE_596</t>
  </si>
  <si>
    <t>carpeta</t>
  </si>
  <si>
    <t>PICTURE_597</t>
  </si>
  <si>
    <t>ventana</t>
  </si>
  <si>
    <t>PICTURE_598</t>
  </si>
  <si>
    <t>diana</t>
  </si>
  <si>
    <t>PICTURE_599</t>
  </si>
  <si>
    <t>nube</t>
  </si>
  <si>
    <t>PICTURE_601</t>
  </si>
  <si>
    <t>koala</t>
  </si>
  <si>
    <t>PICTURE_603</t>
  </si>
  <si>
    <t>cementerio</t>
  </si>
  <si>
    <t>PICTURE_605</t>
  </si>
  <si>
    <t>arpa</t>
  </si>
  <si>
    <t>PICTURE_606</t>
  </si>
  <si>
    <t>gato</t>
  </si>
  <si>
    <t>PICTURE_607</t>
  </si>
  <si>
    <t>jersey</t>
  </si>
  <si>
    <t>PICTURE_609</t>
  </si>
  <si>
    <t>estuche</t>
  </si>
  <si>
    <t>PICTURE_610</t>
  </si>
  <si>
    <t>miel</t>
  </si>
  <si>
    <t>PICTURE_611</t>
  </si>
  <si>
    <t>planta</t>
  </si>
  <si>
    <t>PICTURE_612</t>
  </si>
  <si>
    <t>rana</t>
  </si>
  <si>
    <t>PICTURE_613</t>
  </si>
  <si>
    <t>sudadera</t>
  </si>
  <si>
    <t>PICTURE_614</t>
  </si>
  <si>
    <t>reina</t>
  </si>
  <si>
    <t>PICTURE_616</t>
  </si>
  <si>
    <t>galleta</t>
  </si>
  <si>
    <t>PICTURE_617</t>
  </si>
  <si>
    <t>aeropuerto</t>
  </si>
  <si>
    <t>PICTURE_619</t>
  </si>
  <si>
    <t>jabón</t>
  </si>
  <si>
    <t>PICTURE_621</t>
  </si>
  <si>
    <t>tanque</t>
  </si>
  <si>
    <t>PICTURE_622</t>
  </si>
  <si>
    <t>tiza</t>
  </si>
  <si>
    <t>PICTURE_625</t>
  </si>
  <si>
    <t>trineo</t>
  </si>
  <si>
    <t>PICTURE_626</t>
  </si>
  <si>
    <t>piano</t>
  </si>
  <si>
    <t>PICTURE_627</t>
  </si>
  <si>
    <t>salchicha</t>
  </si>
  <si>
    <t>PICTURE_631</t>
  </si>
  <si>
    <t>ladrón</t>
  </si>
  <si>
    <t>PICTURE_633</t>
  </si>
  <si>
    <t>embudo</t>
  </si>
  <si>
    <t>PICTURE_635</t>
  </si>
  <si>
    <t>jabalí</t>
  </si>
  <si>
    <t>PICTURE_636</t>
  </si>
  <si>
    <t>oveja</t>
  </si>
  <si>
    <t>PICTURE_637</t>
  </si>
  <si>
    <t>oso</t>
  </si>
  <si>
    <t>PICTURE_640</t>
  </si>
  <si>
    <t>cactus</t>
  </si>
  <si>
    <t>PICTURE_642</t>
  </si>
  <si>
    <t>cuaderno</t>
  </si>
  <si>
    <t>PICTURE_645</t>
  </si>
  <si>
    <t>escopeta</t>
  </si>
  <si>
    <t>PICTURE_646</t>
  </si>
  <si>
    <t>tronco</t>
  </si>
  <si>
    <t>PICTURE_649</t>
  </si>
  <si>
    <t>ambulancia</t>
  </si>
  <si>
    <t>PICTURE_650</t>
  </si>
  <si>
    <t>esponja</t>
  </si>
  <si>
    <t>PICTURE_652</t>
  </si>
  <si>
    <t>noria</t>
  </si>
  <si>
    <t>PICTURE_653</t>
  </si>
  <si>
    <t>paraguas</t>
  </si>
  <si>
    <t>PICTURE_654</t>
  </si>
  <si>
    <t>lápiz</t>
  </si>
  <si>
    <t>PICTURE_656</t>
  </si>
  <si>
    <t>pila</t>
  </si>
  <si>
    <t>PICTURE_657</t>
  </si>
  <si>
    <t>medalla</t>
  </si>
  <si>
    <t>PICTURE_661</t>
  </si>
  <si>
    <t>cajón</t>
  </si>
  <si>
    <t>PICTURE_663</t>
  </si>
  <si>
    <t>columna</t>
  </si>
  <si>
    <t>PICTURE_664</t>
  </si>
  <si>
    <t>vestido</t>
  </si>
  <si>
    <t>PICTURE_666</t>
  </si>
  <si>
    <t>café</t>
  </si>
  <si>
    <t>PICTURE_668</t>
  </si>
  <si>
    <t>pollo</t>
  </si>
  <si>
    <t>PICTURE_669</t>
  </si>
  <si>
    <t>piloto</t>
  </si>
  <si>
    <t>PICTURE_671</t>
  </si>
  <si>
    <t>tirantes</t>
  </si>
  <si>
    <t>PICTURE_673</t>
  </si>
  <si>
    <t>tenedor</t>
  </si>
  <si>
    <t>PICTURE_675</t>
  </si>
  <si>
    <t>molino</t>
  </si>
  <si>
    <t>PICTURE_676</t>
  </si>
  <si>
    <t>bastón</t>
  </si>
  <si>
    <t>PICTURE_678</t>
  </si>
  <si>
    <t>cuerno</t>
  </si>
  <si>
    <t>PICTURE_680</t>
  </si>
  <si>
    <t>arco</t>
  </si>
  <si>
    <t>PICTURE_681</t>
  </si>
  <si>
    <t>cohete</t>
  </si>
  <si>
    <t>PICTURE_682</t>
  </si>
  <si>
    <t>pingüino</t>
  </si>
  <si>
    <t>PICTURE_683</t>
  </si>
  <si>
    <t>caravana</t>
  </si>
  <si>
    <t>PICTURE_684</t>
  </si>
  <si>
    <t>cacahuete</t>
  </si>
  <si>
    <t>PICTURE_686</t>
  </si>
  <si>
    <t>muralla</t>
  </si>
  <si>
    <t>PICTURE_687</t>
  </si>
  <si>
    <t>PICTURE_690</t>
  </si>
  <si>
    <t>sombrero</t>
  </si>
  <si>
    <t>PICTURE_692</t>
  </si>
  <si>
    <t>cereza</t>
  </si>
  <si>
    <t>PICTURE_693</t>
  </si>
  <si>
    <t>árbol</t>
  </si>
  <si>
    <t>PICTURE_694</t>
  </si>
  <si>
    <t>abrazo</t>
  </si>
  <si>
    <t>PICTURE_695</t>
  </si>
  <si>
    <t>naranja</t>
  </si>
  <si>
    <t>PICTURE_697</t>
  </si>
  <si>
    <t>melocotón</t>
  </si>
  <si>
    <t>PICTURE_698</t>
  </si>
  <si>
    <t>pendiente</t>
  </si>
  <si>
    <t>PICTURE_699</t>
  </si>
  <si>
    <t>telescopio</t>
  </si>
  <si>
    <t>PICTURE_702</t>
  </si>
  <si>
    <t>extintor</t>
  </si>
  <si>
    <t>PICTURE_706</t>
  </si>
  <si>
    <t>gota</t>
  </si>
  <si>
    <t>PICTURE_707</t>
  </si>
  <si>
    <t>perro</t>
  </si>
  <si>
    <t>PICTURE_709</t>
  </si>
  <si>
    <t>nadador</t>
  </si>
  <si>
    <t>PICTURE_712</t>
  </si>
  <si>
    <t>calavera</t>
  </si>
  <si>
    <t>PICTURE_715</t>
  </si>
  <si>
    <t>billar</t>
  </si>
  <si>
    <t>PICTURE_717</t>
  </si>
  <si>
    <t>acordeón</t>
  </si>
  <si>
    <t>PICTURE_718</t>
  </si>
  <si>
    <t>pantalón</t>
  </si>
  <si>
    <t>PICTURE_719</t>
  </si>
  <si>
    <t>baño</t>
  </si>
  <si>
    <t>PICTURE_720</t>
  </si>
  <si>
    <t>cometa</t>
  </si>
  <si>
    <t>PICTURE_721</t>
  </si>
  <si>
    <t>cámara</t>
  </si>
  <si>
    <t>PICTURE_726</t>
  </si>
  <si>
    <t>camarero</t>
  </si>
  <si>
    <t>PICTURE_727</t>
  </si>
  <si>
    <t>manguera</t>
  </si>
  <si>
    <t>PICTURE_728</t>
  </si>
  <si>
    <t>pulpo</t>
  </si>
  <si>
    <t>PICTURE_730</t>
  </si>
  <si>
    <t>cocina</t>
  </si>
  <si>
    <t>PICTURE_733</t>
  </si>
  <si>
    <t>gafas</t>
  </si>
  <si>
    <t>PICTURE_734</t>
  </si>
  <si>
    <t>lavadora</t>
  </si>
  <si>
    <t>PICTURE_737</t>
  </si>
  <si>
    <t>calzoncillos</t>
  </si>
  <si>
    <t>PICTURE_740</t>
  </si>
  <si>
    <t>pescador</t>
  </si>
  <si>
    <t>PICTURE_741</t>
  </si>
  <si>
    <t>caramelo</t>
  </si>
  <si>
    <t>PICTURE_743</t>
  </si>
  <si>
    <t>espantapájaros</t>
  </si>
  <si>
    <t>PICTURE_744</t>
  </si>
  <si>
    <t>anillo</t>
  </si>
  <si>
    <t>PICTURE_745</t>
  </si>
  <si>
    <t>pozo</t>
  </si>
  <si>
    <t>PICTURE_746</t>
  </si>
  <si>
    <t>bolo</t>
  </si>
  <si>
    <t>PICTURE_747</t>
  </si>
  <si>
    <t>bañera</t>
  </si>
  <si>
    <t>PICTURE_749</t>
  </si>
  <si>
    <t>basura</t>
  </si>
  <si>
    <t>PICTURE_750</t>
  </si>
  <si>
    <t>cafetera</t>
  </si>
  <si>
    <t>LENGTH_GRAPHEMES</t>
  </si>
  <si>
    <t>LENGTH_PHONEMES</t>
  </si>
  <si>
    <t>ORDER</t>
  </si>
  <si>
    <t>NUMBER_SYLLABLES</t>
  </si>
  <si>
    <t>WORD_FREQUENCY</t>
  </si>
  <si>
    <t>LOG_FREQUENCY</t>
  </si>
  <si>
    <t>animal</t>
  </si>
  <si>
    <t>body part</t>
  </si>
  <si>
    <t>person</t>
  </si>
  <si>
    <t>place</t>
  </si>
  <si>
    <t xml:space="preserve">object </t>
  </si>
  <si>
    <t>food</t>
  </si>
  <si>
    <t>plant</t>
  </si>
  <si>
    <t>NO</t>
  </si>
  <si>
    <t>furniture</t>
  </si>
  <si>
    <t>vehicle</t>
  </si>
  <si>
    <t>instrument</t>
  </si>
  <si>
    <t>clothes</t>
  </si>
  <si>
    <t>shape</t>
  </si>
  <si>
    <t>nature</t>
  </si>
  <si>
    <t>person/occupation</t>
  </si>
  <si>
    <t>Order</t>
  </si>
  <si>
    <t>Item_no</t>
  </si>
  <si>
    <t>Picture_no</t>
  </si>
  <si>
    <t>Spanish</t>
  </si>
  <si>
    <t>English</t>
  </si>
  <si>
    <t>Semantic_category</t>
  </si>
  <si>
    <t>Word_Freq_SP</t>
  </si>
  <si>
    <t>Log_Freq_SP</t>
  </si>
  <si>
    <t>Length_graphemes_SP</t>
  </si>
  <si>
    <t>Length_phonemes_SP</t>
  </si>
  <si>
    <t>No_Syllables_SP</t>
  </si>
  <si>
    <t>Imageability_SP</t>
  </si>
  <si>
    <t>H_Index_SP</t>
  </si>
  <si>
    <t>No_Different_Responses_SP</t>
  </si>
  <si>
    <t>Percentage_Valid_Responses_SP</t>
  </si>
  <si>
    <t>Name_Agreement_SP</t>
  </si>
  <si>
    <t>Percentage_Unknown_Responses_SP</t>
  </si>
  <si>
    <t>Percentage_Idiosyncratic_Responses_SP</t>
  </si>
  <si>
    <t>Visual_Complexity_SP</t>
  </si>
  <si>
    <t xml:space="preserve"> </t>
  </si>
  <si>
    <t>IPA_SP</t>
  </si>
  <si>
    <t>IPA_ENG</t>
  </si>
  <si>
    <t>maʊs</t>
  </si>
  <si>
    <t>lɛg</t>
  </si>
  <si>
    <t>fɑːm</t>
  </si>
  <si>
    <t>kraʊn</t>
  </si>
  <si>
    <t>ɪə</t>
  </si>
  <si>
    <t>peə</t>
  </si>
  <si>
    <t>bæg</t>
  </si>
  <si>
    <t>ruːf</t>
  </si>
  <si>
    <t>hɑːt</t>
  </si>
  <si>
    <t>muːn</t>
  </si>
  <si>
    <t>maʊθ</t>
  </si>
  <si>
    <t>siːl</t>
  </si>
  <si>
    <t>nəʊz</t>
  </si>
  <si>
    <t>drʌm kɪt</t>
  </si>
  <si>
    <t>lʌŋ</t>
  </si>
  <si>
    <t>fruːt</t>
  </si>
  <si>
    <t>nʌt</t>
  </si>
  <si>
    <t>dɑːt</t>
  </si>
  <si>
    <t>sæk</t>
  </si>
  <si>
    <t>dɒl</t>
  </si>
  <si>
    <t>sjuːt</t>
  </si>
  <si>
    <t>tæp</t>
  </si>
  <si>
    <t>glɑːs</t>
  </si>
  <si>
    <t>paɪp</t>
  </si>
  <si>
    <t>treɪ</t>
  </si>
  <si>
    <t>sneɪl</t>
  </si>
  <si>
    <t>bɪəd</t>
  </si>
  <si>
    <t>taɪ</t>
  </si>
  <si>
    <t>bæk</t>
  </si>
  <si>
    <t>brɪʤ</t>
  </si>
  <si>
    <t>wɪʧ</t>
  </si>
  <si>
    <t>skɜːt</t>
  </si>
  <si>
    <t>skeɪlz</t>
  </si>
  <si>
    <t>buːt</t>
  </si>
  <si>
    <t>peɪnt brʌʃ</t>
  </si>
  <si>
    <t>treɪn</t>
  </si>
  <si>
    <t>kɔːt</t>
  </si>
  <si>
    <t>pleɪt</t>
  </si>
  <si>
    <t>ruːts</t>
  </si>
  <si>
    <t>breɪn</t>
  </si>
  <si>
    <t>kəʊn</t>
  </si>
  <si>
    <t>læmp pəʊst</t>
  </si>
  <si>
    <t>hænd</t>
  </si>
  <si>
    <t>hiːl</t>
  </si>
  <si>
    <t>nɒt</t>
  </si>
  <si>
    <t>bɛd</t>
  </si>
  <si>
    <t>bʌs</t>
  </si>
  <si>
    <t>keɪp</t>
  </si>
  <si>
    <t>wɪg</t>
  </si>
  <si>
    <t>drʌm</t>
  </si>
  <si>
    <t>rɒk</t>
  </si>
  <si>
    <t>veɪn</t>
  </si>
  <si>
    <t>keɪʤ</t>
  </si>
  <si>
    <t>flæg</t>
  </si>
  <si>
    <t>sɔːd</t>
  </si>
  <si>
    <t>maɪm</t>
  </si>
  <si>
    <t>kɒt</t>
  </si>
  <si>
    <t>daɪs</t>
  </si>
  <si>
    <t>kaʊ</t>
  </si>
  <si>
    <t>ʧɜːʧ</t>
  </si>
  <si>
    <t>bɜːd</t>
  </si>
  <si>
    <t>lɒk</t>
  </si>
  <si>
    <t>gəʊt</t>
  </si>
  <si>
    <t>puːl</t>
  </si>
  <si>
    <t>bɪb</t>
  </si>
  <si>
    <t>kɔɪn</t>
  </si>
  <si>
    <t>bɒm</t>
  </si>
  <si>
    <t>ʧeɪn</t>
  </si>
  <si>
    <t>atm</t>
  </si>
  <si>
    <t>dʌk</t>
  </si>
  <si>
    <t>fɪst</t>
  </si>
  <si>
    <t>læmp</t>
  </si>
  <si>
    <t>kəʊm</t>
  </si>
  <si>
    <t>bɛl</t>
  </si>
  <si>
    <t>gɜːl</t>
  </si>
  <si>
    <t>nɛst</t>
  </si>
  <si>
    <t>pɪg</t>
  </si>
  <si>
    <t>bɛnʧ</t>
  </si>
  <si>
    <t>wɒʧ</t>
  </si>
  <si>
    <t>gʌn</t>
  </si>
  <si>
    <t>flaɪ</t>
  </si>
  <si>
    <t>naɪf</t>
  </si>
  <si>
    <t>pɛg</t>
  </si>
  <si>
    <t>ɑːm</t>
  </si>
  <si>
    <t>rəʊz</t>
  </si>
  <si>
    <t>neɪl</t>
  </si>
  <si>
    <t>mʌg</t>
  </si>
  <si>
    <t>bɔɪ</t>
  </si>
  <si>
    <t>ʃiːld</t>
  </si>
  <si>
    <t>tʌŋ</t>
  </si>
  <si>
    <t>wiːl</t>
  </si>
  <si>
    <t>bʊk</t>
  </si>
  <si>
    <t>bɒks</t>
  </si>
  <si>
    <t>lɪps</t>
  </si>
  <si>
    <t>rəʊp</t>
  </si>
  <si>
    <t>swɒn</t>
  </si>
  <si>
    <t>klaʊn</t>
  </si>
  <si>
    <t>ʃɑːk</t>
  </si>
  <si>
    <t>trʌk</t>
  </si>
  <si>
    <t>brɑːnʧ</t>
  </si>
  <si>
    <t>ʃuː</t>
  </si>
  <si>
    <t>dɔː</t>
  </si>
  <si>
    <t>wʊlf</t>
  </si>
  <si>
    <t>bʊl</t>
  </si>
  <si>
    <t>biːk</t>
  </si>
  <si>
    <t>glʌv</t>
  </si>
  <si>
    <t>ʃɪp</t>
  </si>
  <si>
    <t>brʊm</t>
  </si>
  <si>
    <t>kjuːb</t>
  </si>
  <si>
    <t>dɑːt bɔːd</t>
  </si>
  <si>
    <t>klaʊd</t>
  </si>
  <si>
    <t>hɑːp</t>
  </si>
  <si>
    <t>kæt</t>
  </si>
  <si>
    <t>plɑːnt</t>
  </si>
  <si>
    <t>frɒg</t>
  </si>
  <si>
    <t>kwiːn</t>
  </si>
  <si>
    <t>səʊp</t>
  </si>
  <si>
    <t>ʧɔːk</t>
  </si>
  <si>
    <t>slɛʤ</t>
  </si>
  <si>
    <t>ʃiːp</t>
  </si>
  <si>
    <t>stʌmp</t>
  </si>
  <si>
    <t>spʌnʤ</t>
  </si>
  <si>
    <t>drɛs</t>
  </si>
  <si>
    <t>fɔːk</t>
  </si>
  <si>
    <t>hɔːn</t>
  </si>
  <si>
    <t>baʊ</t>
  </si>
  <si>
    <t>ʃɜːt</t>
  </si>
  <si>
    <t>triː</t>
  </si>
  <si>
    <t>hʌg</t>
  </si>
  <si>
    <t>drɒp</t>
  </si>
  <si>
    <t>kaɪt</t>
  </si>
  <si>
    <t>wɛl</t>
  </si>
  <si>
    <t>bɑːθ</t>
  </si>
  <si>
    <t>bɪn</t>
  </si>
  <si>
    <t>leg of meat</t>
  </si>
  <si>
    <r>
      <t>lɛg</t>
    </r>
    <r>
      <rPr>
        <b/>
        <sz val="12"/>
        <rFont val="Calibri"/>
        <family val="2"/>
      </rPr>
      <t> </t>
    </r>
    <r>
      <rPr>
        <sz val="12"/>
        <rFont val="Calibri"/>
        <family val="2"/>
      </rPr>
      <t>ɒv miːt</t>
    </r>
  </si>
  <si>
    <t>ɾɾaton</t>
  </si>
  <si>
    <t>pjeɾna</t>
  </si>
  <si>
    <t>siɾena</t>
  </si>
  <si>
    <t>mɜːmeɪd</t>
  </si>
  <si>
    <t>leon</t>
  </si>
  <si>
    <t>laɪən</t>
  </si>
  <si>
    <t>hʌntə</t>
  </si>
  <si>
    <t>paβo</t>
  </si>
  <si>
    <t>tɜːki</t>
  </si>
  <si>
    <t>ɡɾaŋxa</t>
  </si>
  <si>
    <t>mineɾo</t>
  </si>
  <si>
    <t>maɪnə</t>
  </si>
  <si>
    <t>koɾona</t>
  </si>
  <si>
    <t>oɾexa</t>
  </si>
  <si>
    <t>dəʊnʌt</t>
  </si>
  <si>
    <t>aɾaɲa</t>
  </si>
  <si>
    <t>spaɪdə</t>
  </si>
  <si>
    <t>tɾeβol</t>
  </si>
  <si>
    <t>kləʊvə</t>
  </si>
  <si>
    <t>peɾa</t>
  </si>
  <si>
    <t>bombeɾo</t>
  </si>
  <si>
    <t>faɪəmən</t>
  </si>
  <si>
    <t>sombɾa</t>
  </si>
  <si>
    <t>ʃædəʊ</t>
  </si>
  <si>
    <t>koðo</t>
  </si>
  <si>
    <t>ɛlbəʊ</t>
  </si>
  <si>
    <t>lʌmbəʤæk</t>
  </si>
  <si>
    <t>balkon</t>
  </si>
  <si>
    <t>bælkəni</t>
  </si>
  <si>
    <t>boton</t>
  </si>
  <si>
    <t>bʌtn</t>
  </si>
  <si>
    <t>texaðo</t>
  </si>
  <si>
    <t>sofa</t>
  </si>
  <si>
    <t>səʊfə</t>
  </si>
  <si>
    <t>bela</t>
  </si>
  <si>
    <t>kændl</t>
  </si>
  <si>
    <t>platano</t>
  </si>
  <si>
    <t>bənɑːnə</t>
  </si>
  <si>
    <t>tɾaktoɾ</t>
  </si>
  <si>
    <t>træktə</t>
  </si>
  <si>
    <t>ɡloβo</t>
  </si>
  <si>
    <t>bəluːn</t>
  </si>
  <si>
    <t>teklaðo</t>
  </si>
  <si>
    <t>kiːbɔːd</t>
  </si>
  <si>
    <t>ɾɾoβot</t>
  </si>
  <si>
    <t>rəʊbɒt</t>
  </si>
  <si>
    <t>krʌʧɪz</t>
  </si>
  <si>
    <t>boka</t>
  </si>
  <si>
    <t>foka</t>
  </si>
  <si>
    <t>sjuːtkeɪs</t>
  </si>
  <si>
    <t>fɛðə</t>
  </si>
  <si>
    <t>tiɣɾe</t>
  </si>
  <si>
    <t>taɪgə</t>
  </si>
  <si>
    <t>kwaðɾo</t>
  </si>
  <si>
    <t>peɪntɪŋ</t>
  </si>
  <si>
    <t>naɾiθ</t>
  </si>
  <si>
    <t>teɪbl</t>
  </si>
  <si>
    <t>dɾaɣon</t>
  </si>
  <si>
    <t>drægən</t>
  </si>
  <si>
    <t>pulmon</t>
  </si>
  <si>
    <t>fɾuta</t>
  </si>
  <si>
    <t>nweθ</t>
  </si>
  <si>
    <t>daɾðo</t>
  </si>
  <si>
    <t>sako</t>
  </si>
  <si>
    <t>muɲeka</t>
  </si>
  <si>
    <t>limon</t>
  </si>
  <si>
    <t>lɛmən</t>
  </si>
  <si>
    <t>tɾaxe</t>
  </si>
  <si>
    <t>melon</t>
  </si>
  <si>
    <t>mɛlən</t>
  </si>
  <si>
    <t>ɡɾifo</t>
  </si>
  <si>
    <t>baso</t>
  </si>
  <si>
    <t>aŋxel</t>
  </si>
  <si>
    <t>eɪnʤəl</t>
  </si>
  <si>
    <t>toɾeɾo</t>
  </si>
  <si>
    <t>bʊl faɪtə</t>
  </si>
  <si>
    <t>bandexa</t>
  </si>
  <si>
    <t>dɒmɪnəʊz</t>
  </si>
  <si>
    <t>bʊlɪt</t>
  </si>
  <si>
    <t>flaʊta</t>
  </si>
  <si>
    <t>rɪkɔːdə</t>
  </si>
  <si>
    <t>kəntrəʊlə</t>
  </si>
  <si>
    <t>baɾβa</t>
  </si>
  <si>
    <t>koɾβata</t>
  </si>
  <si>
    <t>koko</t>
  </si>
  <si>
    <t>kəʊkənʌt</t>
  </si>
  <si>
    <t>espalða</t>
  </si>
  <si>
    <t>poɾteɾo</t>
  </si>
  <si>
    <t>loɾo</t>
  </si>
  <si>
    <t>pærət</t>
  </si>
  <si>
    <t>pintoɾ</t>
  </si>
  <si>
    <t>ɑːtɪst</t>
  </si>
  <si>
    <t>pwɛnte</t>
  </si>
  <si>
    <t>bɾuxa</t>
  </si>
  <si>
    <t>balon</t>
  </si>
  <si>
    <t>fʊtbɔːl</t>
  </si>
  <si>
    <t>motoɾ</t>
  </si>
  <si>
    <t>ɛnʤɪn</t>
  </si>
  <si>
    <t>θjuðad</t>
  </si>
  <si>
    <t>sɪti</t>
  </si>
  <si>
    <t>meðusa</t>
  </si>
  <si>
    <t>ʤɛlɪfɪʃ</t>
  </si>
  <si>
    <t>kompas</t>
  </si>
  <si>
    <t>kʌmpəs</t>
  </si>
  <si>
    <t>falða</t>
  </si>
  <si>
    <t>kaɲa</t>
  </si>
  <si>
    <t>fɪʃɪŋ rɒd</t>
  </si>
  <si>
    <t>balanθa</t>
  </si>
  <si>
    <t>paɲal</t>
  </si>
  <si>
    <t>næpi</t>
  </si>
  <si>
    <t>pinθel</t>
  </si>
  <si>
    <t>tɾen</t>
  </si>
  <si>
    <t>fɾonton</t>
  </si>
  <si>
    <t>aɣuxa</t>
  </si>
  <si>
    <t>niːdl</t>
  </si>
  <si>
    <t>xiɾafa</t>
  </si>
  <si>
    <t>ʤɪrɑːf</t>
  </si>
  <si>
    <t>kaɾteɾo</t>
  </si>
  <si>
    <t>pəʊstmən</t>
  </si>
  <si>
    <t>ɾɾaiθ</t>
  </si>
  <si>
    <t>θeɾeβɾo</t>
  </si>
  <si>
    <t>pəteɪtəʊ</t>
  </si>
  <si>
    <t>koɾo</t>
  </si>
  <si>
    <t>kwaɪə</t>
  </si>
  <si>
    <t>ʃʌvl</t>
  </si>
  <si>
    <t>kono</t>
  </si>
  <si>
    <t>aɪlənd</t>
  </si>
  <si>
    <t>faɾola</t>
  </si>
  <si>
    <t>piɾata</t>
  </si>
  <si>
    <t>paɪərɪt</t>
  </si>
  <si>
    <t>takon</t>
  </si>
  <si>
    <t>nuðo</t>
  </si>
  <si>
    <t>kama</t>
  </si>
  <si>
    <t>konexo</t>
  </si>
  <si>
    <t>ræbɪt</t>
  </si>
  <si>
    <t>kapa</t>
  </si>
  <si>
    <t>peluka</t>
  </si>
  <si>
    <t>tamboɾ</t>
  </si>
  <si>
    <t>pjeðɾa</t>
  </si>
  <si>
    <t>tunel</t>
  </si>
  <si>
    <t>tʌnl</t>
  </si>
  <si>
    <t>bena</t>
  </si>
  <si>
    <t>xaʊla</t>
  </si>
  <si>
    <t>bɾuxula</t>
  </si>
  <si>
    <t>bandeɾa</t>
  </si>
  <si>
    <t>aβjon</t>
  </si>
  <si>
    <t>eərəpleɪn</t>
  </si>
  <si>
    <t>espaða</t>
  </si>
  <si>
    <t>kuna</t>
  </si>
  <si>
    <t>buθon</t>
  </si>
  <si>
    <t>lɛtəbɒks</t>
  </si>
  <si>
    <t>daðo</t>
  </si>
  <si>
    <t>floɾ</t>
  </si>
  <si>
    <t>flaʊə</t>
  </si>
  <si>
    <t>baka</t>
  </si>
  <si>
    <t>iɣlesja</t>
  </si>
  <si>
    <t>təmɑːtəʊ</t>
  </si>
  <si>
    <t>kasko</t>
  </si>
  <si>
    <t>hɛlmɪt</t>
  </si>
  <si>
    <t>ɾɾeɣla</t>
  </si>
  <si>
    <t>ruːlə</t>
  </si>
  <si>
    <t>ɾɾeɣalo</t>
  </si>
  <si>
    <t>prɛznt</t>
  </si>
  <si>
    <t>espexo</t>
  </si>
  <si>
    <t>mɪrə</t>
  </si>
  <si>
    <t>flɪpə</t>
  </si>
  <si>
    <t>fwɛnte</t>
  </si>
  <si>
    <t>faʊntɪn</t>
  </si>
  <si>
    <t>kandaðo</t>
  </si>
  <si>
    <t>biβlia</t>
  </si>
  <si>
    <t>baɪbl</t>
  </si>
  <si>
    <t>kaβɾa</t>
  </si>
  <si>
    <t>delfin</t>
  </si>
  <si>
    <t>dɒlfɪn</t>
  </si>
  <si>
    <t>pisθina</t>
  </si>
  <si>
    <t>eɾiθo</t>
  </si>
  <si>
    <t>hɛʤhɒg</t>
  </si>
  <si>
    <t>baβeɾo</t>
  </si>
  <si>
    <t>θeβɾa</t>
  </si>
  <si>
    <t>ziːbrə</t>
  </si>
  <si>
    <t>fɾesa</t>
  </si>
  <si>
    <t>strɔːbəri</t>
  </si>
  <si>
    <t>moneða</t>
  </si>
  <si>
    <t>eərɪəl</t>
  </si>
  <si>
    <t>kaðena</t>
  </si>
  <si>
    <t>teteɾa</t>
  </si>
  <si>
    <t>kaxeɾo</t>
  </si>
  <si>
    <t>bolante</t>
  </si>
  <si>
    <t>stɪərɪŋ wiːl</t>
  </si>
  <si>
    <t>ankla</t>
  </si>
  <si>
    <t>æŋkə</t>
  </si>
  <si>
    <t>puɲo</t>
  </si>
  <si>
    <t>faβɾika</t>
  </si>
  <si>
    <t>fæktəri</t>
  </si>
  <si>
    <t>lampaɾa</t>
  </si>
  <si>
    <t>koɾtina</t>
  </si>
  <si>
    <t>kɜːtn</t>
  </si>
  <si>
    <t>ɡaɪta</t>
  </si>
  <si>
    <t>bægpaɪps</t>
  </si>
  <si>
    <t>peɪne</t>
  </si>
  <si>
    <t>timbɾe</t>
  </si>
  <si>
    <t>niɲa</t>
  </si>
  <si>
    <t>kaɲon</t>
  </si>
  <si>
    <t>kænən</t>
  </si>
  <si>
    <t>bolkan</t>
  </si>
  <si>
    <t>vɒlkeɪnəʊ</t>
  </si>
  <si>
    <t>piɲa</t>
  </si>
  <si>
    <t>niðo</t>
  </si>
  <si>
    <t>θeɾðo</t>
  </si>
  <si>
    <t>banko</t>
  </si>
  <si>
    <t>ɾɾelox</t>
  </si>
  <si>
    <t>tixeɾas</t>
  </si>
  <si>
    <t>sɪzəz</t>
  </si>
  <si>
    <t>moska</t>
  </si>
  <si>
    <t>ɡoma</t>
  </si>
  <si>
    <t>rʌbə</t>
  </si>
  <si>
    <t>naβaxa</t>
  </si>
  <si>
    <t>xweθ</t>
  </si>
  <si>
    <t>ʤʌʤ</t>
  </si>
  <si>
    <t>pinθa</t>
  </si>
  <si>
    <t>bɾaθo</t>
  </si>
  <si>
    <t>kaŋɡuɾo</t>
  </si>
  <si>
    <t>ɾɾosa</t>
  </si>
  <si>
    <t>klaβo</t>
  </si>
  <si>
    <t>θesta</t>
  </si>
  <si>
    <t>bɑːskɪt</t>
  </si>
  <si>
    <t>pitsa</t>
  </si>
  <si>
    <t>piːtsə</t>
  </si>
  <si>
    <t>biɣote</t>
  </si>
  <si>
    <t>məstɑːʃ</t>
  </si>
  <si>
    <t>pweɾto</t>
  </si>
  <si>
    <t>hɑːbə</t>
  </si>
  <si>
    <t>θiɾkulo</t>
  </si>
  <si>
    <t>sɜːkl</t>
  </si>
  <si>
    <t>kɒfɪn</t>
  </si>
  <si>
    <t>taθa</t>
  </si>
  <si>
    <t>niɲo</t>
  </si>
  <si>
    <t>eskuðo</t>
  </si>
  <si>
    <t>pastoɾ</t>
  </si>
  <si>
    <t>fɑːmə</t>
  </si>
  <si>
    <t>lɛŋɡwa</t>
  </si>
  <si>
    <t>timon</t>
  </si>
  <si>
    <t>liβɾo</t>
  </si>
  <si>
    <t>beβe</t>
  </si>
  <si>
    <t>beɪbi</t>
  </si>
  <si>
    <t>kaxa</t>
  </si>
  <si>
    <t>xamon</t>
  </si>
  <si>
    <t>laβjos</t>
  </si>
  <si>
    <t>kweɾða</t>
  </si>
  <si>
    <t>kopa</t>
  </si>
  <si>
    <t>kaβle</t>
  </si>
  <si>
    <t>waɪə</t>
  </si>
  <si>
    <t>indjo</t>
  </si>
  <si>
    <t>ɪndiən</t>
  </si>
  <si>
    <t>θisne</t>
  </si>
  <si>
    <t>toɾtuɣa</t>
  </si>
  <si>
    <t>tɜːtl</t>
  </si>
  <si>
    <t>pajjaso</t>
  </si>
  <si>
    <t>kamjon</t>
  </si>
  <si>
    <t>ɾɾama</t>
  </si>
  <si>
    <t>faɾo</t>
  </si>
  <si>
    <t>laɪthaʊs</t>
  </si>
  <si>
    <t>θapato</t>
  </si>
  <si>
    <t>bɾaɣa</t>
  </si>
  <si>
    <t>nɪkəz</t>
  </si>
  <si>
    <t>pweɾta</t>
  </si>
  <si>
    <t>manθana</t>
  </si>
  <si>
    <t>æpl</t>
  </si>
  <si>
    <t>loβo</t>
  </si>
  <si>
    <t>sandia</t>
  </si>
  <si>
    <t>kampana</t>
  </si>
  <si>
    <t>bjolin</t>
  </si>
  <si>
    <t>toɾo</t>
  </si>
  <si>
    <t>piko</t>
  </si>
  <si>
    <t>ɡwante</t>
  </si>
  <si>
    <t>baɾko</t>
  </si>
  <si>
    <t>pulseɾa</t>
  </si>
  <si>
    <t>breɪslɪt</t>
  </si>
  <si>
    <t>eskoβa</t>
  </si>
  <si>
    <t>kuβo</t>
  </si>
  <si>
    <t>kaɾpeta</t>
  </si>
  <si>
    <t>fəʊldə</t>
  </si>
  <si>
    <t>bentana</t>
  </si>
  <si>
    <t>wɪndəʊ</t>
  </si>
  <si>
    <t>djana</t>
  </si>
  <si>
    <t>nuβe</t>
  </si>
  <si>
    <t>kəʊɑːlə</t>
  </si>
  <si>
    <t>aɾpa</t>
  </si>
  <si>
    <t>ɡato</t>
  </si>
  <si>
    <t>xeɾseɪ</t>
  </si>
  <si>
    <t>ʤʌmpə</t>
  </si>
  <si>
    <t>mjel</t>
  </si>
  <si>
    <t>hʌni</t>
  </si>
  <si>
    <t>ɾɾana</t>
  </si>
  <si>
    <t>ɾɾeɪna</t>
  </si>
  <si>
    <t>xaβon</t>
  </si>
  <si>
    <t>tiθa</t>
  </si>
  <si>
    <t>tɾineo</t>
  </si>
  <si>
    <t>pjano</t>
  </si>
  <si>
    <t>pɪænəʊ</t>
  </si>
  <si>
    <t>laðɾon</t>
  </si>
  <si>
    <t>bɜːglə</t>
  </si>
  <si>
    <t>embuðo</t>
  </si>
  <si>
    <t>fʌnl</t>
  </si>
  <si>
    <t>oβexa</t>
  </si>
  <si>
    <t>kaktus</t>
  </si>
  <si>
    <t>kæktəs</t>
  </si>
  <si>
    <t>tɾonko</t>
  </si>
  <si>
    <t>espoŋxa</t>
  </si>
  <si>
    <t>noɾja</t>
  </si>
  <si>
    <t>fɛrɪs wiːl</t>
  </si>
  <si>
    <t>lapiθ</t>
  </si>
  <si>
    <t>pɛnsl</t>
  </si>
  <si>
    <t>bætəri</t>
  </si>
  <si>
    <t>kaxon</t>
  </si>
  <si>
    <t>drɔːə</t>
  </si>
  <si>
    <t>kolumna</t>
  </si>
  <si>
    <t>pɪlə</t>
  </si>
  <si>
    <t>bestiðo</t>
  </si>
  <si>
    <t>kafe</t>
  </si>
  <si>
    <t>kɒfi</t>
  </si>
  <si>
    <t>paɪlət</t>
  </si>
  <si>
    <t>wɪnmɪl</t>
  </si>
  <si>
    <t>baston</t>
  </si>
  <si>
    <t>wɔːkɪŋ stɪk</t>
  </si>
  <si>
    <t>kweɾno</t>
  </si>
  <si>
    <t>aɾko</t>
  </si>
  <si>
    <t>kamisa</t>
  </si>
  <si>
    <t>θeɾeθa</t>
  </si>
  <si>
    <t>ʧɛri</t>
  </si>
  <si>
    <t>aɾβol</t>
  </si>
  <si>
    <t>aβɾaθo</t>
  </si>
  <si>
    <t>naɾaŋxa</t>
  </si>
  <si>
    <t>ɒrɪnʤ</t>
  </si>
  <si>
    <t>ɡota</t>
  </si>
  <si>
    <t>swɪmɪŋ</t>
  </si>
  <si>
    <t>baɲo</t>
  </si>
  <si>
    <t>kometa</t>
  </si>
  <si>
    <t>kamaɾa</t>
  </si>
  <si>
    <t>kæmərə</t>
  </si>
  <si>
    <t>ɒktəpəs</t>
  </si>
  <si>
    <t>koθina</t>
  </si>
  <si>
    <t>kɪʧɪn</t>
  </si>
  <si>
    <t>ɡafas</t>
  </si>
  <si>
    <t>glɑːsɪz</t>
  </si>
  <si>
    <t>poθo</t>
  </si>
  <si>
    <t>bəʊlɪŋ pɪn</t>
  </si>
  <si>
    <t>baɲeɾa</t>
  </si>
  <si>
    <t>basuɾa</t>
  </si>
  <si>
    <t>kaθaðoɾ</t>
  </si>
  <si>
    <t>leɲaðoɾ</t>
  </si>
  <si>
    <t>koɾaθon</t>
  </si>
  <si>
    <t>bateɾia</t>
  </si>
  <si>
    <t>xiɾasol</t>
  </si>
  <si>
    <t>sʌnflaʊə</t>
  </si>
  <si>
    <t>kaɾakol</t>
  </si>
  <si>
    <t>domino</t>
  </si>
  <si>
    <t>gəʊlkiːpə</t>
  </si>
  <si>
    <t>aʊtoβus</t>
  </si>
  <si>
    <t>θiɣueɲa</t>
  </si>
  <si>
    <t>tiːpɒt</t>
  </si>
  <si>
    <t>paɪnæpl</t>
  </si>
  <si>
    <t>kæŋgəruː</t>
  </si>
  <si>
    <t>ataud</t>
  </si>
  <si>
    <t>tiβuɾon</t>
  </si>
  <si>
    <t>wɔːtəmɛlən</t>
  </si>
  <si>
    <t>vaɪəlɪn</t>
  </si>
  <si>
    <t>xaβali</t>
  </si>
  <si>
    <t>teneðoɾ</t>
  </si>
  <si>
    <t>naðaðoɾ</t>
  </si>
  <si>
    <t>bɑːθruːm</t>
  </si>
  <si>
    <t>kiːwiː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</si>
</sst>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0"/>
      <name val="Calibri"/>
    </font>
    <font>
      <b/>
      <sz val="12"/>
      <color theme="0"/>
      <name val="Calibri"/>
      <family val="2"/>
    </font>
    <font>
      <sz val="8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3">
    <xf numFmtId="0" fontId="0" fillId="0" borderId="0" xfId="0"/>
    <xf numFmtId="0" fontId="3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0" borderId="2" xfId="0" applyFont="1" applyBorder="1"/>
    <xf numFmtId="2" fontId="8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2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</cellXfs>
  <cellStyles count="7">
    <cellStyle name="Normal" xfId="0" builtinId="0"/>
    <cellStyle name="Αποτέλεσμα συγκεντρωτικού πίνακα" xfId="6" xr:uid="{00000000-0005-0000-0000-000001000000}"/>
    <cellStyle name="Γωνία συγκεντρωτικού πίνακα" xfId="1" xr:uid="{00000000-0005-0000-0000-000002000000}"/>
    <cellStyle name="Κατηγορία συγκεντρωτικού πίνακα" xfId="4" xr:uid="{00000000-0005-0000-0000-000003000000}"/>
    <cellStyle name="Πεδίο συγκεντρωτικού πίνακα" xfId="3" xr:uid="{00000000-0005-0000-0000-000004000000}"/>
    <cellStyle name="Τιμή συγκεντρωτικού πίνακα" xfId="2" xr:uid="{00000000-0005-0000-0000-000005000000}"/>
    <cellStyle name="Τίτλος συγκεντρωτικού πίνακα" xfId="5" xr:uid="{00000000-0005-0000-0000-000006000000}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tsaroucha/Documents/Multipic_Exp.1/Espal_word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922;&#945;&#964;&#949;&#961;&#943;&#957;&#945;/Nextcloud/Multipic_Exp.1/Espal_word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922;&#945;&#964;&#949;&#961;&#943;&#957;&#945;/Nextcloud/English_MultiPic/English_MultiPic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word</v>
          </cell>
          <cell r="B1" t="str">
            <v>frq</v>
          </cell>
          <cell r="C1" t="str">
            <v>log_frq</v>
          </cell>
          <cell r="D1" t="str">
            <v>es_num_phon</v>
          </cell>
          <cell r="E1" t="str">
            <v>es_num_syll</v>
          </cell>
        </row>
        <row r="2">
          <cell r="A2" t="str">
            <v>arpa</v>
          </cell>
          <cell r="B2">
            <v>4314875</v>
          </cell>
          <cell r="C2" t="str">
            <v>0.725493</v>
          </cell>
          <cell r="D2">
            <v>4</v>
          </cell>
          <cell r="E2">
            <v>2</v>
          </cell>
        </row>
        <row r="3">
          <cell r="A3" t="str">
            <v>bolo</v>
          </cell>
          <cell r="B3">
            <v>1436125</v>
          </cell>
          <cell r="C3" t="str">
            <v>0.386700</v>
          </cell>
          <cell r="D3">
            <v>4</v>
          </cell>
          <cell r="E3">
            <v>2</v>
          </cell>
        </row>
        <row r="4">
          <cell r="A4" t="str">
            <v>café</v>
          </cell>
          <cell r="B4">
            <v>43759588</v>
          </cell>
          <cell r="C4">
            <v>1650886</v>
          </cell>
          <cell r="D4">
            <v>4</v>
          </cell>
          <cell r="E4">
            <v>2</v>
          </cell>
        </row>
        <row r="5">
          <cell r="A5" t="str">
            <v>caja</v>
          </cell>
          <cell r="B5">
            <v>51499070</v>
          </cell>
          <cell r="C5">
            <v>1720152</v>
          </cell>
          <cell r="D5">
            <v>4</v>
          </cell>
          <cell r="E5">
            <v>2</v>
          </cell>
        </row>
        <row r="6">
          <cell r="A6" t="str">
            <v>cama</v>
          </cell>
          <cell r="B6">
            <v>45514131</v>
          </cell>
          <cell r="C6">
            <v>1667585</v>
          </cell>
          <cell r="D6">
            <v>4</v>
          </cell>
          <cell r="E6">
            <v>2</v>
          </cell>
        </row>
        <row r="7">
          <cell r="A7" t="str">
            <v>caña</v>
          </cell>
          <cell r="B7">
            <v>11141345</v>
          </cell>
          <cell r="C7">
            <v>1084267</v>
          </cell>
          <cell r="D7">
            <v>4</v>
          </cell>
          <cell r="E7">
            <v>2</v>
          </cell>
        </row>
        <row r="8">
          <cell r="A8" t="str">
            <v>coco</v>
          </cell>
          <cell r="B8">
            <v>6264366</v>
          </cell>
          <cell r="C8" t="str">
            <v>0.861198</v>
          </cell>
          <cell r="D8">
            <v>4</v>
          </cell>
          <cell r="E8">
            <v>2</v>
          </cell>
        </row>
        <row r="9">
          <cell r="A9" t="str">
            <v>codo</v>
          </cell>
          <cell r="B9">
            <v>6628271</v>
          </cell>
          <cell r="C9" t="str">
            <v>0.882426</v>
          </cell>
          <cell r="D9">
            <v>4</v>
          </cell>
          <cell r="E9">
            <v>2</v>
          </cell>
        </row>
        <row r="10">
          <cell r="A10" t="str">
            <v>cuna</v>
          </cell>
          <cell r="B10">
            <v>10644224</v>
          </cell>
          <cell r="C10">
            <v>1066111</v>
          </cell>
          <cell r="D10">
            <v>4</v>
          </cell>
          <cell r="E10">
            <v>2</v>
          </cell>
        </row>
        <row r="11">
          <cell r="A11" t="str">
            <v>dado</v>
          </cell>
          <cell r="B11">
            <v>206730589</v>
          </cell>
          <cell r="C11">
            <v>2317500</v>
          </cell>
          <cell r="D11">
            <v>4</v>
          </cell>
          <cell r="E11">
            <v>2</v>
          </cell>
        </row>
        <row r="12">
          <cell r="A12" t="str">
            <v>flor</v>
          </cell>
          <cell r="B12">
            <v>33141357</v>
          </cell>
          <cell r="C12">
            <v>1533281</v>
          </cell>
          <cell r="D12">
            <v>4</v>
          </cell>
          <cell r="E12">
            <v>1</v>
          </cell>
        </row>
        <row r="13">
          <cell r="A13" t="str">
            <v>gato</v>
          </cell>
          <cell r="B13">
            <v>38557695</v>
          </cell>
          <cell r="C13">
            <v>1597231</v>
          </cell>
          <cell r="D13">
            <v>4</v>
          </cell>
          <cell r="E13">
            <v>2</v>
          </cell>
        </row>
        <row r="14">
          <cell r="A14" t="str">
            <v>goma</v>
          </cell>
          <cell r="B14">
            <v>6404080</v>
          </cell>
          <cell r="C14" t="str">
            <v>0.869471</v>
          </cell>
          <cell r="D14">
            <v>4</v>
          </cell>
          <cell r="E14">
            <v>2</v>
          </cell>
        </row>
        <row r="15">
          <cell r="A15" t="str">
            <v>isla</v>
          </cell>
          <cell r="B15">
            <v>154003339</v>
          </cell>
          <cell r="C15">
            <v>2190341</v>
          </cell>
          <cell r="D15">
            <v>4</v>
          </cell>
          <cell r="E15">
            <v>2</v>
          </cell>
        </row>
        <row r="16">
          <cell r="A16" t="str">
            <v>juez</v>
          </cell>
          <cell r="B16">
            <v>82119085</v>
          </cell>
          <cell r="C16">
            <v>1919701</v>
          </cell>
          <cell r="D16">
            <v>4</v>
          </cell>
          <cell r="E16">
            <v>1</v>
          </cell>
        </row>
        <row r="17">
          <cell r="A17" t="str">
            <v>kiwi</v>
          </cell>
          <cell r="B17" t="str">
            <v>0.471127</v>
          </cell>
          <cell r="C17" t="str">
            <v>0.167650</v>
          </cell>
          <cell r="D17">
            <v>4</v>
          </cell>
          <cell r="E17">
            <v>2</v>
          </cell>
        </row>
        <row r="18">
          <cell r="A18" t="str">
            <v>león</v>
          </cell>
          <cell r="B18">
            <v>102423040</v>
          </cell>
          <cell r="C18">
            <v>2014617</v>
          </cell>
          <cell r="D18">
            <v>4</v>
          </cell>
          <cell r="E18">
            <v>2</v>
          </cell>
        </row>
        <row r="19">
          <cell r="A19" t="str">
            <v>loro</v>
          </cell>
          <cell r="B19">
            <v>7076655</v>
          </cell>
          <cell r="C19" t="str">
            <v>0.907232</v>
          </cell>
          <cell r="D19">
            <v>4</v>
          </cell>
          <cell r="E19">
            <v>2</v>
          </cell>
        </row>
        <row r="20">
          <cell r="A20" t="str">
            <v>luna</v>
          </cell>
          <cell r="B20">
            <v>67640861</v>
          </cell>
          <cell r="C20">
            <v>1836583</v>
          </cell>
          <cell r="D20">
            <v>4</v>
          </cell>
          <cell r="E20">
            <v>2</v>
          </cell>
        </row>
        <row r="21">
          <cell r="A21" t="str">
            <v>miel</v>
          </cell>
          <cell r="B21">
            <v>16629163</v>
          </cell>
          <cell r="C21">
            <v>1246232</v>
          </cell>
          <cell r="D21">
            <v>4</v>
          </cell>
          <cell r="E21">
            <v>1</v>
          </cell>
        </row>
        <row r="22">
          <cell r="A22" t="str">
            <v>nido</v>
          </cell>
          <cell r="B22">
            <v>18253740</v>
          </cell>
          <cell r="C22">
            <v>1284515</v>
          </cell>
          <cell r="D22">
            <v>4</v>
          </cell>
          <cell r="E22">
            <v>2</v>
          </cell>
        </row>
        <row r="23">
          <cell r="A23" t="str">
            <v>niña</v>
          </cell>
          <cell r="B23">
            <v>38005339</v>
          </cell>
          <cell r="C23">
            <v>1591124</v>
          </cell>
          <cell r="D23">
            <v>4</v>
          </cell>
          <cell r="E23">
            <v>2</v>
          </cell>
        </row>
        <row r="24">
          <cell r="A24" t="str">
            <v>niño</v>
          </cell>
          <cell r="B24">
            <v>100070654</v>
          </cell>
          <cell r="C24">
            <v>2004625</v>
          </cell>
          <cell r="D24">
            <v>4</v>
          </cell>
          <cell r="E24">
            <v>2</v>
          </cell>
        </row>
        <row r="25">
          <cell r="A25" t="str">
            <v>nube</v>
          </cell>
          <cell r="B25">
            <v>15043577</v>
          </cell>
          <cell r="C25">
            <v>1205301</v>
          </cell>
          <cell r="D25">
            <v>4</v>
          </cell>
          <cell r="E25">
            <v>2</v>
          </cell>
        </row>
        <row r="26">
          <cell r="A26" t="str">
            <v>nuez</v>
          </cell>
          <cell r="B26">
            <v>2963227</v>
          </cell>
          <cell r="C26" t="str">
            <v>0.598049</v>
          </cell>
          <cell r="D26">
            <v>4</v>
          </cell>
          <cell r="E26">
            <v>1</v>
          </cell>
        </row>
        <row r="27">
          <cell r="A27" t="str">
            <v>pala</v>
          </cell>
          <cell r="B27">
            <v>4116676</v>
          </cell>
          <cell r="C27" t="str">
            <v>0.708988</v>
          </cell>
          <cell r="D27">
            <v>4</v>
          </cell>
          <cell r="E27">
            <v>2</v>
          </cell>
        </row>
        <row r="28">
          <cell r="A28" t="str">
            <v>pato</v>
          </cell>
          <cell r="B28">
            <v>14452231</v>
          </cell>
          <cell r="C28">
            <v>1188991</v>
          </cell>
          <cell r="D28">
            <v>4</v>
          </cell>
          <cell r="E28">
            <v>2</v>
          </cell>
        </row>
        <row r="29">
          <cell r="A29" t="str">
            <v>pera</v>
          </cell>
          <cell r="B29">
            <v>3541576</v>
          </cell>
          <cell r="C29" t="str">
            <v>0.657207</v>
          </cell>
          <cell r="D29">
            <v>4</v>
          </cell>
          <cell r="E29">
            <v>2</v>
          </cell>
        </row>
        <row r="30">
          <cell r="A30" t="str">
            <v>pila</v>
          </cell>
          <cell r="B30">
            <v>8850692</v>
          </cell>
          <cell r="C30" t="str">
            <v>0.993467</v>
          </cell>
          <cell r="D30">
            <v>4</v>
          </cell>
          <cell r="E30">
            <v>2</v>
          </cell>
        </row>
        <row r="31">
          <cell r="A31" t="str">
            <v>piña</v>
          </cell>
          <cell r="B31">
            <v>2488851</v>
          </cell>
          <cell r="C31" t="str">
            <v>0.542682</v>
          </cell>
          <cell r="D31">
            <v>4</v>
          </cell>
          <cell r="E31">
            <v>2</v>
          </cell>
        </row>
        <row r="32">
          <cell r="A32" t="str">
            <v>pipa</v>
          </cell>
          <cell r="B32">
            <v>4379858</v>
          </cell>
          <cell r="C32" t="str">
            <v>0.730771</v>
          </cell>
          <cell r="D32">
            <v>4</v>
          </cell>
          <cell r="E32">
            <v>2</v>
          </cell>
        </row>
        <row r="33">
          <cell r="A33" t="str">
            <v>pozo</v>
          </cell>
          <cell r="B33">
            <v>16996318</v>
          </cell>
          <cell r="C33">
            <v>1255184</v>
          </cell>
          <cell r="D33">
            <v>4</v>
          </cell>
          <cell r="E33">
            <v>2</v>
          </cell>
        </row>
        <row r="34">
          <cell r="A34" t="str">
            <v>raíz</v>
          </cell>
          <cell r="B34">
            <v>43369690</v>
          </cell>
          <cell r="C34">
            <v>1647086</v>
          </cell>
          <cell r="D34">
            <v>4</v>
          </cell>
          <cell r="E34">
            <v>2</v>
          </cell>
        </row>
        <row r="35">
          <cell r="A35" t="str">
            <v>rana</v>
          </cell>
          <cell r="B35">
            <v>8594009</v>
          </cell>
          <cell r="C35" t="str">
            <v>0.982000</v>
          </cell>
          <cell r="D35">
            <v>4</v>
          </cell>
          <cell r="E35">
            <v>2</v>
          </cell>
        </row>
        <row r="36">
          <cell r="A36" t="str">
            <v>saco</v>
          </cell>
          <cell r="B36">
            <v>10930150</v>
          </cell>
          <cell r="C36">
            <v>1076646</v>
          </cell>
          <cell r="D36">
            <v>4</v>
          </cell>
          <cell r="E36">
            <v>2</v>
          </cell>
        </row>
        <row r="37">
          <cell r="A37" t="str">
            <v>taxi</v>
          </cell>
          <cell r="B37">
            <v>7109146</v>
          </cell>
          <cell r="C37" t="str">
            <v>0.908975</v>
          </cell>
          <cell r="D37">
            <v>5</v>
          </cell>
          <cell r="E37">
            <v>2</v>
          </cell>
        </row>
        <row r="38">
          <cell r="A38" t="str">
            <v>taza</v>
          </cell>
          <cell r="B38">
            <v>6173390</v>
          </cell>
          <cell r="C38" t="str">
            <v>0.855724</v>
          </cell>
          <cell r="D38">
            <v>4</v>
          </cell>
          <cell r="E38">
            <v>2</v>
          </cell>
        </row>
        <row r="39">
          <cell r="A39" t="str">
            <v>toro</v>
          </cell>
          <cell r="B39">
            <v>31074896</v>
          </cell>
          <cell r="C39">
            <v>1506165</v>
          </cell>
          <cell r="D39">
            <v>4</v>
          </cell>
          <cell r="E39">
            <v>2</v>
          </cell>
        </row>
        <row r="40">
          <cell r="A40" t="str">
            <v>vaca</v>
          </cell>
          <cell r="B40">
            <v>14624436</v>
          </cell>
          <cell r="C40">
            <v>1193804</v>
          </cell>
          <cell r="D40">
            <v>4</v>
          </cell>
          <cell r="E40">
            <v>2</v>
          </cell>
        </row>
        <row r="41">
          <cell r="A41" t="str">
            <v>vaso</v>
          </cell>
          <cell r="B41">
            <v>15050075</v>
          </cell>
          <cell r="C41">
            <v>1205477</v>
          </cell>
          <cell r="D41">
            <v>4</v>
          </cell>
          <cell r="E41">
            <v>2</v>
          </cell>
        </row>
        <row r="42">
          <cell r="A42" t="str">
            <v>vela</v>
          </cell>
          <cell r="B42">
            <v>19797087</v>
          </cell>
          <cell r="C42">
            <v>1318003</v>
          </cell>
          <cell r="D42">
            <v>4</v>
          </cell>
          <cell r="E42">
            <v>2</v>
          </cell>
        </row>
        <row r="43">
          <cell r="A43" t="str">
            <v>aleta</v>
          </cell>
          <cell r="B43">
            <v>1640822</v>
          </cell>
          <cell r="C43" t="str">
            <v>0.421739</v>
          </cell>
          <cell r="D43">
            <v>5</v>
          </cell>
          <cell r="E43">
            <v>3</v>
          </cell>
        </row>
        <row r="44">
          <cell r="A44" t="str">
            <v>ancla</v>
          </cell>
          <cell r="B44">
            <v>2306898</v>
          </cell>
          <cell r="C44" t="str">
            <v>0.519421</v>
          </cell>
          <cell r="D44">
            <v>5</v>
          </cell>
          <cell r="E44">
            <v>2</v>
          </cell>
        </row>
        <row r="45">
          <cell r="A45" t="str">
            <v>araña</v>
          </cell>
          <cell r="B45">
            <v>12125838</v>
          </cell>
          <cell r="C45">
            <v>1118127</v>
          </cell>
          <cell r="D45">
            <v>5</v>
          </cell>
          <cell r="E45">
            <v>3</v>
          </cell>
        </row>
        <row r="46">
          <cell r="A46" t="str">
            <v>árbol</v>
          </cell>
          <cell r="B46">
            <v>49104445</v>
          </cell>
          <cell r="C46">
            <v>1699876</v>
          </cell>
          <cell r="D46">
            <v>5</v>
          </cell>
          <cell r="E46">
            <v>2</v>
          </cell>
        </row>
        <row r="47">
          <cell r="A47" t="str">
            <v>avión</v>
          </cell>
          <cell r="B47">
            <v>48100456</v>
          </cell>
          <cell r="C47">
            <v>1691086</v>
          </cell>
          <cell r="D47">
            <v>5</v>
          </cell>
          <cell r="E47">
            <v>2</v>
          </cell>
        </row>
        <row r="48">
          <cell r="A48" t="str">
            <v>banco</v>
          </cell>
          <cell r="B48">
            <v>118626565</v>
          </cell>
          <cell r="C48">
            <v>2077828</v>
          </cell>
          <cell r="D48">
            <v>5</v>
          </cell>
          <cell r="E48">
            <v>2</v>
          </cell>
        </row>
        <row r="49">
          <cell r="A49" t="str">
            <v>barba</v>
          </cell>
          <cell r="B49">
            <v>13942114</v>
          </cell>
          <cell r="C49">
            <v>1174412</v>
          </cell>
          <cell r="D49">
            <v>5</v>
          </cell>
          <cell r="E49">
            <v>2</v>
          </cell>
        </row>
        <row r="50">
          <cell r="A50" t="str">
            <v>bolsa</v>
          </cell>
          <cell r="B50">
            <v>54780714</v>
          </cell>
          <cell r="C50">
            <v>1746484</v>
          </cell>
          <cell r="D50">
            <v>5</v>
          </cell>
          <cell r="E50">
            <v>2</v>
          </cell>
        </row>
        <row r="51">
          <cell r="A51" t="str">
            <v>bomba</v>
          </cell>
          <cell r="B51">
            <v>29463317</v>
          </cell>
          <cell r="C51">
            <v>1483777</v>
          </cell>
          <cell r="D51">
            <v>5</v>
          </cell>
          <cell r="E51">
            <v>2</v>
          </cell>
        </row>
        <row r="52">
          <cell r="A52" t="str">
            <v>botón</v>
          </cell>
          <cell r="B52">
            <v>7827209</v>
          </cell>
          <cell r="C52" t="str">
            <v>0.945823</v>
          </cell>
          <cell r="D52">
            <v>5</v>
          </cell>
          <cell r="E52">
            <v>2</v>
          </cell>
        </row>
        <row r="53">
          <cell r="A53" t="str">
            <v>braga</v>
          </cell>
          <cell r="B53">
            <v>2518093</v>
          </cell>
          <cell r="C53" t="str">
            <v>0.546307</v>
          </cell>
          <cell r="D53">
            <v>5</v>
          </cell>
          <cell r="E53">
            <v>2</v>
          </cell>
        </row>
        <row r="54">
          <cell r="A54" t="str">
            <v>brazo</v>
          </cell>
          <cell r="B54">
            <v>48779529</v>
          </cell>
          <cell r="C54">
            <v>1697051</v>
          </cell>
          <cell r="D54">
            <v>5</v>
          </cell>
          <cell r="E54">
            <v>2</v>
          </cell>
        </row>
        <row r="55">
          <cell r="A55" t="str">
            <v>bruja</v>
          </cell>
          <cell r="B55">
            <v>9227594</v>
          </cell>
          <cell r="C55">
            <v>1009773</v>
          </cell>
          <cell r="D55">
            <v>5</v>
          </cell>
          <cell r="E55">
            <v>2</v>
          </cell>
        </row>
        <row r="56">
          <cell r="A56" t="str">
            <v>buzón</v>
          </cell>
          <cell r="B56">
            <v>1364644</v>
          </cell>
          <cell r="C56" t="str">
            <v>0.373766</v>
          </cell>
          <cell r="D56">
            <v>5</v>
          </cell>
          <cell r="E56">
            <v>2</v>
          </cell>
        </row>
        <row r="57">
          <cell r="A57" t="str">
            <v>cable</v>
          </cell>
          <cell r="B57">
            <v>16567430</v>
          </cell>
          <cell r="C57">
            <v>1244708</v>
          </cell>
          <cell r="D57">
            <v>5</v>
          </cell>
          <cell r="E57">
            <v>2</v>
          </cell>
        </row>
        <row r="58">
          <cell r="A58" t="str">
            <v>cajón</v>
          </cell>
          <cell r="B58">
            <v>8145626</v>
          </cell>
          <cell r="C58" t="str">
            <v>0.961213</v>
          </cell>
          <cell r="D58">
            <v>5</v>
          </cell>
          <cell r="E58">
            <v>2</v>
          </cell>
        </row>
        <row r="59">
          <cell r="A59" t="str">
            <v>cañón</v>
          </cell>
          <cell r="B59">
            <v>18260238</v>
          </cell>
          <cell r="C59">
            <v>1284662</v>
          </cell>
          <cell r="D59">
            <v>5</v>
          </cell>
          <cell r="E59">
            <v>2</v>
          </cell>
        </row>
        <row r="60">
          <cell r="A60" t="str">
            <v>casco</v>
          </cell>
          <cell r="B60">
            <v>22786308</v>
          </cell>
          <cell r="C60">
            <v>1376327</v>
          </cell>
          <cell r="D60">
            <v>5</v>
          </cell>
          <cell r="E60">
            <v>2</v>
          </cell>
        </row>
        <row r="61">
          <cell r="A61" t="str">
            <v>cebra</v>
          </cell>
          <cell r="B61">
            <v>1276917</v>
          </cell>
          <cell r="C61" t="str">
            <v>0.357347</v>
          </cell>
          <cell r="D61">
            <v>5</v>
          </cell>
          <cell r="E61">
            <v>2</v>
          </cell>
        </row>
        <row r="62">
          <cell r="A62" t="str">
            <v>cerdo</v>
          </cell>
          <cell r="B62">
            <v>15163796</v>
          </cell>
          <cell r="C62">
            <v>1208543</v>
          </cell>
          <cell r="D62">
            <v>5</v>
          </cell>
          <cell r="E62">
            <v>2</v>
          </cell>
        </row>
        <row r="63">
          <cell r="A63" t="str">
            <v>cesta</v>
          </cell>
          <cell r="B63">
            <v>4054943</v>
          </cell>
          <cell r="C63" t="str">
            <v>0.703716</v>
          </cell>
          <cell r="D63">
            <v>5</v>
          </cell>
          <cell r="E63">
            <v>2</v>
          </cell>
        </row>
        <row r="64">
          <cell r="A64" t="str">
            <v>cisne</v>
          </cell>
          <cell r="B64">
            <v>11115351</v>
          </cell>
          <cell r="C64">
            <v>1083336</v>
          </cell>
          <cell r="D64">
            <v>5</v>
          </cell>
          <cell r="E64">
            <v>2</v>
          </cell>
        </row>
        <row r="65">
          <cell r="A65" t="str">
            <v>coche</v>
          </cell>
          <cell r="B65">
            <v>55531269</v>
          </cell>
          <cell r="C65">
            <v>1752289</v>
          </cell>
          <cell r="D65">
            <v>4</v>
          </cell>
          <cell r="E65">
            <v>2</v>
          </cell>
        </row>
        <row r="66">
          <cell r="A66" t="str">
            <v>diana</v>
          </cell>
          <cell r="B66">
            <v>10855419</v>
          </cell>
          <cell r="C66">
            <v>1073917</v>
          </cell>
          <cell r="D66">
            <v>5</v>
          </cell>
          <cell r="E66">
            <v>2</v>
          </cell>
        </row>
        <row r="67">
          <cell r="A67" t="str">
            <v>ducha</v>
          </cell>
          <cell r="B67">
            <v>2566831</v>
          </cell>
          <cell r="C67" t="str">
            <v>0.552282</v>
          </cell>
          <cell r="D67">
            <v>4</v>
          </cell>
          <cell r="E67">
            <v>2</v>
          </cell>
        </row>
        <row r="68">
          <cell r="A68" t="str">
            <v>falda</v>
          </cell>
          <cell r="B68">
            <v>8337326</v>
          </cell>
          <cell r="C68" t="str">
            <v>0.970223</v>
          </cell>
          <cell r="D68">
            <v>5</v>
          </cell>
          <cell r="E68">
            <v>2</v>
          </cell>
        </row>
        <row r="69">
          <cell r="A69" t="str">
            <v>fresa</v>
          </cell>
          <cell r="B69">
            <v>1994980</v>
          </cell>
          <cell r="C69" t="str">
            <v>0.476394</v>
          </cell>
          <cell r="D69">
            <v>5</v>
          </cell>
          <cell r="E69">
            <v>2</v>
          </cell>
        </row>
        <row r="70">
          <cell r="A70" t="str">
            <v>gafas</v>
          </cell>
          <cell r="B70">
            <v>6439821</v>
          </cell>
          <cell r="C70" t="str">
            <v>0.871562</v>
          </cell>
          <cell r="D70">
            <v>5</v>
          </cell>
          <cell r="E70">
            <v>2</v>
          </cell>
        </row>
        <row r="71">
          <cell r="A71" t="str">
            <v>gaita</v>
          </cell>
          <cell r="B71">
            <v>2186680</v>
          </cell>
          <cell r="C71" t="str">
            <v>0.503338</v>
          </cell>
          <cell r="D71">
            <v>5</v>
          </cell>
          <cell r="E71">
            <v>2</v>
          </cell>
        </row>
        <row r="72">
          <cell r="A72" t="str">
            <v>globo</v>
          </cell>
          <cell r="B72">
            <v>16944331</v>
          </cell>
          <cell r="C72">
            <v>1253927</v>
          </cell>
          <cell r="D72">
            <v>5</v>
          </cell>
          <cell r="E72">
            <v>2</v>
          </cell>
        </row>
        <row r="73">
          <cell r="A73" t="str">
            <v>grifo</v>
          </cell>
          <cell r="B73">
            <v>2293902</v>
          </cell>
          <cell r="C73" t="str">
            <v>0.517711</v>
          </cell>
          <cell r="D73">
            <v>5</v>
          </cell>
          <cell r="E73">
            <v>2</v>
          </cell>
        </row>
        <row r="74">
          <cell r="A74" t="str">
            <v>jaula</v>
          </cell>
          <cell r="B74">
            <v>6446319</v>
          </cell>
          <cell r="C74" t="str">
            <v>0.871942</v>
          </cell>
          <cell r="D74">
            <v>5</v>
          </cell>
          <cell r="E74">
            <v>2</v>
          </cell>
        </row>
        <row r="75">
          <cell r="A75" t="str">
            <v>koala</v>
          </cell>
          <cell r="B75" t="str">
            <v>0.581598</v>
          </cell>
          <cell r="C75" t="str">
            <v>0.199096</v>
          </cell>
          <cell r="D75">
            <v>5</v>
          </cell>
          <cell r="E75">
            <v>3</v>
          </cell>
        </row>
        <row r="76">
          <cell r="A76" t="str">
            <v>limón</v>
          </cell>
          <cell r="B76">
            <v>6962934</v>
          </cell>
          <cell r="C76" t="str">
            <v>0.901073</v>
          </cell>
          <cell r="D76">
            <v>5</v>
          </cell>
          <cell r="E76">
            <v>2</v>
          </cell>
        </row>
        <row r="77">
          <cell r="A77" t="str">
            <v>llave</v>
          </cell>
          <cell r="B77">
            <v>21866798</v>
          </cell>
          <cell r="C77">
            <v>1359205</v>
          </cell>
          <cell r="D77">
            <v>4</v>
          </cell>
          <cell r="E77">
            <v>2</v>
          </cell>
        </row>
        <row r="78">
          <cell r="A78" t="str">
            <v>melón</v>
          </cell>
          <cell r="B78">
            <v>1634324</v>
          </cell>
          <cell r="C78" t="str">
            <v>0.420669</v>
          </cell>
          <cell r="D78">
            <v>5</v>
          </cell>
          <cell r="E78">
            <v>2</v>
          </cell>
        </row>
        <row r="79">
          <cell r="A79" t="str">
            <v>motor</v>
          </cell>
          <cell r="B79">
            <v>49299394</v>
          </cell>
          <cell r="C79">
            <v>1701563</v>
          </cell>
          <cell r="D79">
            <v>5</v>
          </cell>
          <cell r="E79">
            <v>2</v>
          </cell>
        </row>
        <row r="80">
          <cell r="A80" t="str">
            <v>nariz</v>
          </cell>
          <cell r="B80">
            <v>20281211</v>
          </cell>
          <cell r="C80">
            <v>1327996</v>
          </cell>
          <cell r="D80">
            <v>5</v>
          </cell>
          <cell r="E80">
            <v>2</v>
          </cell>
        </row>
        <row r="81">
          <cell r="A81" t="str">
            <v>oreja</v>
          </cell>
          <cell r="B81">
            <v>21012270</v>
          </cell>
          <cell r="C81">
            <v>1342665</v>
          </cell>
          <cell r="D81">
            <v>5</v>
          </cell>
          <cell r="E81">
            <v>3</v>
          </cell>
        </row>
        <row r="82">
          <cell r="A82" t="str">
            <v>oveja</v>
          </cell>
          <cell r="B82">
            <v>20924543</v>
          </cell>
          <cell r="C82">
            <v>1340931</v>
          </cell>
          <cell r="D82">
            <v>5</v>
          </cell>
          <cell r="E82">
            <v>3</v>
          </cell>
        </row>
        <row r="83">
          <cell r="A83" t="str">
            <v>perro</v>
          </cell>
          <cell r="B83">
            <v>69970503</v>
          </cell>
          <cell r="C83">
            <v>1851078</v>
          </cell>
          <cell r="D83">
            <v>4</v>
          </cell>
          <cell r="E83">
            <v>2</v>
          </cell>
        </row>
        <row r="84">
          <cell r="A84" t="str">
            <v>piano</v>
          </cell>
          <cell r="B84">
            <v>35406017</v>
          </cell>
          <cell r="C84">
            <v>1561173</v>
          </cell>
          <cell r="D84">
            <v>5</v>
          </cell>
          <cell r="E84">
            <v>2</v>
          </cell>
        </row>
        <row r="85">
          <cell r="A85" t="str">
            <v>pinza</v>
          </cell>
          <cell r="B85">
            <v>1023483</v>
          </cell>
          <cell r="C85" t="str">
            <v>0.306100</v>
          </cell>
          <cell r="D85">
            <v>5</v>
          </cell>
          <cell r="E85">
            <v>2</v>
          </cell>
        </row>
        <row r="86">
          <cell r="A86" t="str">
            <v>pizza</v>
          </cell>
          <cell r="B86">
            <v>2193178</v>
          </cell>
          <cell r="C86" t="str">
            <v>0.504223</v>
          </cell>
          <cell r="D86">
            <v>5</v>
          </cell>
          <cell r="E86">
            <v>2</v>
          </cell>
        </row>
        <row r="87">
          <cell r="A87" t="str">
            <v>queso</v>
          </cell>
          <cell r="B87">
            <v>13899875</v>
          </cell>
          <cell r="C87">
            <v>1173183</v>
          </cell>
          <cell r="D87">
            <v>4</v>
          </cell>
          <cell r="E87">
            <v>2</v>
          </cell>
        </row>
        <row r="88">
          <cell r="A88" t="str">
            <v>regla</v>
          </cell>
          <cell r="B88">
            <v>32338817</v>
          </cell>
          <cell r="C88">
            <v>1522950</v>
          </cell>
          <cell r="D88">
            <v>5</v>
          </cell>
          <cell r="E88">
            <v>2</v>
          </cell>
        </row>
        <row r="89">
          <cell r="A89" t="str">
            <v>reina</v>
          </cell>
          <cell r="B89">
            <v>92948511</v>
          </cell>
          <cell r="C89">
            <v>1972890</v>
          </cell>
          <cell r="D89">
            <v>5</v>
          </cell>
          <cell r="E89">
            <v>2</v>
          </cell>
        </row>
        <row r="90">
          <cell r="A90" t="str">
            <v>reloj</v>
          </cell>
          <cell r="B90">
            <v>26145932</v>
          </cell>
          <cell r="C90">
            <v>1433705</v>
          </cell>
          <cell r="D90">
            <v>5</v>
          </cell>
          <cell r="E90">
            <v>2</v>
          </cell>
        </row>
        <row r="91">
          <cell r="A91" t="str">
            <v>robot</v>
          </cell>
          <cell r="B91">
            <v>9692222</v>
          </cell>
          <cell r="C91">
            <v>1029068</v>
          </cell>
          <cell r="D91">
            <v>5</v>
          </cell>
          <cell r="E91">
            <v>2</v>
          </cell>
        </row>
        <row r="92">
          <cell r="A92" t="str">
            <v>silla</v>
          </cell>
          <cell r="B92">
            <v>24804032</v>
          </cell>
          <cell r="C92">
            <v>1411688</v>
          </cell>
          <cell r="D92">
            <v>4</v>
          </cell>
          <cell r="E92">
            <v>2</v>
          </cell>
        </row>
        <row r="93">
          <cell r="A93" t="str">
            <v>tacón</v>
          </cell>
          <cell r="B93">
            <v>1432876</v>
          </cell>
          <cell r="C93" t="str">
            <v>0.386120</v>
          </cell>
          <cell r="D93">
            <v>5</v>
          </cell>
          <cell r="E93">
            <v>2</v>
          </cell>
        </row>
        <row r="94">
          <cell r="A94" t="str">
            <v>traje</v>
          </cell>
          <cell r="B94">
            <v>31711730</v>
          </cell>
          <cell r="C94">
            <v>1514704</v>
          </cell>
          <cell r="D94">
            <v>5</v>
          </cell>
          <cell r="E94">
            <v>2</v>
          </cell>
        </row>
        <row r="95">
          <cell r="A95" t="str">
            <v>túnel</v>
          </cell>
          <cell r="B95">
            <v>14653679</v>
          </cell>
          <cell r="C95">
            <v>1194616</v>
          </cell>
          <cell r="D95">
            <v>5</v>
          </cell>
          <cell r="E95">
            <v>2</v>
          </cell>
        </row>
        <row r="96">
          <cell r="A96" t="str">
            <v>abrazo</v>
          </cell>
          <cell r="B96">
            <v>6001185</v>
          </cell>
          <cell r="C96" t="str">
            <v>0.845172</v>
          </cell>
          <cell r="D96">
            <v>6</v>
          </cell>
          <cell r="E96">
            <v>3</v>
          </cell>
        </row>
        <row r="97">
          <cell r="A97" t="str">
            <v>antena</v>
          </cell>
          <cell r="B97">
            <v>19144008</v>
          </cell>
          <cell r="C97">
            <v>1304146</v>
          </cell>
          <cell r="D97">
            <v>6</v>
          </cell>
          <cell r="E97">
            <v>3</v>
          </cell>
        </row>
        <row r="98">
          <cell r="A98" t="str">
            <v>babero</v>
          </cell>
          <cell r="B98" t="str">
            <v>0.123468</v>
          </cell>
          <cell r="C98" t="str">
            <v>0.050561</v>
          </cell>
          <cell r="D98">
            <v>6</v>
          </cell>
          <cell r="E98">
            <v>3</v>
          </cell>
        </row>
        <row r="99">
          <cell r="A99" t="str">
            <v>bañera</v>
          </cell>
          <cell r="B99">
            <v>1806529</v>
          </cell>
          <cell r="C99" t="str">
            <v>0.448170</v>
          </cell>
          <cell r="D99">
            <v>6</v>
          </cell>
          <cell r="E99">
            <v>3</v>
          </cell>
        </row>
        <row r="100">
          <cell r="A100" t="str">
            <v>biblia</v>
          </cell>
          <cell r="B100">
            <v>17376469</v>
          </cell>
          <cell r="C100">
            <v>1264262</v>
          </cell>
          <cell r="D100">
            <v>6</v>
          </cell>
          <cell r="E100">
            <v>2</v>
          </cell>
        </row>
        <row r="101">
          <cell r="A101" t="str">
            <v>bigote</v>
          </cell>
          <cell r="B101">
            <v>3924976</v>
          </cell>
          <cell r="C101" t="str">
            <v>0.692404</v>
          </cell>
          <cell r="D101">
            <v>6</v>
          </cell>
          <cell r="E101">
            <v>3</v>
          </cell>
        </row>
        <row r="102">
          <cell r="A102" t="str">
            <v>billar</v>
          </cell>
          <cell r="B102">
            <v>2212673</v>
          </cell>
          <cell r="C102" t="str">
            <v>0.506867</v>
          </cell>
          <cell r="D102">
            <v>5</v>
          </cell>
          <cell r="E102">
            <v>2</v>
          </cell>
        </row>
        <row r="103">
          <cell r="A103" t="str">
            <v>cactus</v>
          </cell>
          <cell r="B103">
            <v>1884509</v>
          </cell>
          <cell r="C103" t="str">
            <v>0.460072</v>
          </cell>
          <cell r="D103">
            <v>6</v>
          </cell>
          <cell r="E103">
            <v>2</v>
          </cell>
        </row>
        <row r="104">
          <cell r="A104" t="str">
            <v>cadena</v>
          </cell>
          <cell r="B104">
            <v>68664344</v>
          </cell>
          <cell r="C104">
            <v>1843011</v>
          </cell>
          <cell r="D104">
            <v>6</v>
          </cell>
          <cell r="E104">
            <v>3</v>
          </cell>
        </row>
        <row r="105">
          <cell r="A105" t="str">
            <v>cámara</v>
          </cell>
          <cell r="B105">
            <v>134498676</v>
          </cell>
          <cell r="C105">
            <v>2131935</v>
          </cell>
          <cell r="D105">
            <v>6</v>
          </cell>
          <cell r="E105">
            <v>3</v>
          </cell>
        </row>
        <row r="106">
          <cell r="A106" t="str">
            <v>camisa</v>
          </cell>
          <cell r="B106">
            <v>13724421</v>
          </cell>
          <cell r="C106">
            <v>1168038</v>
          </cell>
          <cell r="D106">
            <v>6</v>
          </cell>
          <cell r="E106">
            <v>3</v>
          </cell>
        </row>
        <row r="107">
          <cell r="A107" t="str">
            <v>cereza</v>
          </cell>
          <cell r="B107">
            <v>1410132</v>
          </cell>
          <cell r="C107" t="str">
            <v>0.382041</v>
          </cell>
          <cell r="D107">
            <v>6</v>
          </cell>
          <cell r="E107">
            <v>3</v>
          </cell>
        </row>
        <row r="108">
          <cell r="A108" t="str">
            <v>cocina</v>
          </cell>
          <cell r="B108">
            <v>38593436</v>
          </cell>
          <cell r="C108">
            <v>1597623</v>
          </cell>
          <cell r="D108">
            <v>6</v>
          </cell>
          <cell r="E108">
            <v>3</v>
          </cell>
        </row>
        <row r="109">
          <cell r="A109" t="str">
            <v>cometa</v>
          </cell>
          <cell r="B109">
            <v>6043424</v>
          </cell>
          <cell r="C109" t="str">
            <v>0.847784</v>
          </cell>
          <cell r="D109">
            <v>6</v>
          </cell>
          <cell r="E109">
            <v>3</v>
          </cell>
        </row>
        <row r="110">
          <cell r="A110" t="str">
            <v>compás</v>
          </cell>
          <cell r="B110">
            <v>6992177</v>
          </cell>
          <cell r="C110" t="str">
            <v>0.902665</v>
          </cell>
          <cell r="D110">
            <v>6</v>
          </cell>
          <cell r="E110">
            <v>2</v>
          </cell>
        </row>
        <row r="111">
          <cell r="A111" t="str">
            <v>conejo</v>
          </cell>
          <cell r="B111">
            <v>8548521</v>
          </cell>
          <cell r="C111" t="str">
            <v>0.979936</v>
          </cell>
          <cell r="D111">
            <v>6</v>
          </cell>
          <cell r="E111">
            <v>3</v>
          </cell>
        </row>
        <row r="112">
          <cell r="A112" t="str">
            <v>corona</v>
          </cell>
          <cell r="B112">
            <v>52204136</v>
          </cell>
          <cell r="C112">
            <v>1725945</v>
          </cell>
          <cell r="D112">
            <v>6</v>
          </cell>
          <cell r="E112">
            <v>3</v>
          </cell>
        </row>
        <row r="113">
          <cell r="A113" t="str">
            <v>delfín</v>
          </cell>
          <cell r="B113">
            <v>4636541</v>
          </cell>
          <cell r="C113" t="str">
            <v>0.751013</v>
          </cell>
          <cell r="D113">
            <v>6</v>
          </cell>
          <cell r="E113">
            <v>2</v>
          </cell>
        </row>
        <row r="114">
          <cell r="A114" t="str">
            <v>dominó</v>
          </cell>
          <cell r="B114">
            <v>5517061</v>
          </cell>
          <cell r="C114" t="str">
            <v>0.814052</v>
          </cell>
          <cell r="D114">
            <v>6</v>
          </cell>
          <cell r="E114">
            <v>3</v>
          </cell>
        </row>
        <row r="115">
          <cell r="A115" t="str">
            <v>escoba</v>
          </cell>
          <cell r="B115">
            <v>2215922</v>
          </cell>
          <cell r="C115" t="str">
            <v>0.507306</v>
          </cell>
          <cell r="D115">
            <v>6</v>
          </cell>
          <cell r="E115">
            <v>3</v>
          </cell>
        </row>
        <row r="116">
          <cell r="A116" t="str">
            <v>espada</v>
          </cell>
          <cell r="B116">
            <v>39308249</v>
          </cell>
          <cell r="C116">
            <v>1605394</v>
          </cell>
          <cell r="D116">
            <v>6</v>
          </cell>
          <cell r="E116">
            <v>3</v>
          </cell>
        </row>
        <row r="117">
          <cell r="A117" t="str">
            <v>espejo</v>
          </cell>
          <cell r="B117">
            <v>26272649</v>
          </cell>
          <cell r="C117">
            <v>1435727</v>
          </cell>
          <cell r="D117">
            <v>6</v>
          </cell>
          <cell r="E117">
            <v>3</v>
          </cell>
        </row>
        <row r="118">
          <cell r="A118" t="str">
            <v>farola</v>
          </cell>
          <cell r="B118" t="str">
            <v>0.513366</v>
          </cell>
          <cell r="C118" t="str">
            <v>0.179944</v>
          </cell>
          <cell r="D118">
            <v>6</v>
          </cell>
          <cell r="E118">
            <v>3</v>
          </cell>
        </row>
        <row r="119">
          <cell r="A119" t="str">
            <v>flauta</v>
          </cell>
          <cell r="B119">
            <v>7775222</v>
          </cell>
          <cell r="C119" t="str">
            <v>0.943258</v>
          </cell>
          <cell r="D119">
            <v>6</v>
          </cell>
          <cell r="E119">
            <v>2</v>
          </cell>
        </row>
        <row r="120">
          <cell r="A120" t="str">
            <v>flecha</v>
          </cell>
          <cell r="B120">
            <v>9607745</v>
          </cell>
          <cell r="C120">
            <v>1025623</v>
          </cell>
          <cell r="D120">
            <v>5</v>
          </cell>
          <cell r="E120">
            <v>2</v>
          </cell>
        </row>
        <row r="121">
          <cell r="A121" t="str">
            <v>fuente</v>
          </cell>
          <cell r="B121">
            <v>113054268</v>
          </cell>
          <cell r="C121">
            <v>2057112</v>
          </cell>
          <cell r="D121">
            <v>6</v>
          </cell>
          <cell r="E121">
            <v>2</v>
          </cell>
        </row>
        <row r="122">
          <cell r="A122" t="str">
            <v>guante</v>
          </cell>
          <cell r="B122">
            <v>3694287</v>
          </cell>
          <cell r="C122" t="str">
            <v>0.671570</v>
          </cell>
          <cell r="D122">
            <v>6</v>
          </cell>
          <cell r="E122">
            <v>2</v>
          </cell>
        </row>
        <row r="123">
          <cell r="A123" t="str">
            <v>jirafa</v>
          </cell>
          <cell r="B123" t="str">
            <v>0.659578</v>
          </cell>
          <cell r="C123" t="str">
            <v>0.219998</v>
          </cell>
          <cell r="D123">
            <v>6</v>
          </cell>
          <cell r="E123">
            <v>3</v>
          </cell>
        </row>
        <row r="124">
          <cell r="A124" t="str">
            <v>lengua</v>
          </cell>
          <cell r="B124">
            <v>119438853</v>
          </cell>
          <cell r="C124">
            <v>2080767</v>
          </cell>
          <cell r="D124">
            <v>6</v>
          </cell>
          <cell r="E124">
            <v>2</v>
          </cell>
        </row>
        <row r="125">
          <cell r="A125" t="str">
            <v>maleta</v>
          </cell>
          <cell r="B125">
            <v>4422097</v>
          </cell>
          <cell r="C125" t="str">
            <v>0.734167</v>
          </cell>
          <cell r="D125">
            <v>6</v>
          </cell>
          <cell r="E125">
            <v>3</v>
          </cell>
        </row>
        <row r="126">
          <cell r="A126" t="str">
            <v>medusa</v>
          </cell>
          <cell r="B126">
            <v>1822775</v>
          </cell>
          <cell r="C126" t="str">
            <v>0.450676</v>
          </cell>
          <cell r="D126">
            <v>6</v>
          </cell>
          <cell r="E126">
            <v>3</v>
          </cell>
        </row>
        <row r="127">
          <cell r="A127" t="str">
            <v>minero</v>
          </cell>
          <cell r="B127">
            <v>5809485</v>
          </cell>
          <cell r="C127" t="str">
            <v>0.833114</v>
          </cell>
          <cell r="D127">
            <v>6</v>
          </cell>
          <cell r="E127">
            <v>3</v>
          </cell>
        </row>
        <row r="128">
          <cell r="A128" t="str">
            <v>molino</v>
          </cell>
          <cell r="B128">
            <v>9610994</v>
          </cell>
          <cell r="C128">
            <v>1025756</v>
          </cell>
          <cell r="D128">
            <v>6</v>
          </cell>
          <cell r="E128">
            <v>3</v>
          </cell>
        </row>
        <row r="129">
          <cell r="A129" t="str">
            <v>moneda</v>
          </cell>
          <cell r="B129">
            <v>46768304</v>
          </cell>
          <cell r="C129">
            <v>1679140</v>
          </cell>
          <cell r="D129">
            <v>6</v>
          </cell>
          <cell r="E129">
            <v>3</v>
          </cell>
        </row>
        <row r="130">
          <cell r="A130" t="str">
            <v>muleta</v>
          </cell>
          <cell r="B130">
            <v>3304388</v>
          </cell>
          <cell r="C130" t="str">
            <v>0.633911</v>
          </cell>
          <cell r="D130">
            <v>6</v>
          </cell>
          <cell r="E130">
            <v>3</v>
          </cell>
        </row>
        <row r="131">
          <cell r="A131" t="str">
            <v>paella</v>
          </cell>
          <cell r="B131">
            <v>1036480</v>
          </cell>
          <cell r="C131" t="str">
            <v>0.308880</v>
          </cell>
          <cell r="D131">
            <v>5</v>
          </cell>
          <cell r="E131">
            <v>3</v>
          </cell>
        </row>
        <row r="132">
          <cell r="A132" t="str">
            <v>patata</v>
          </cell>
          <cell r="B132">
            <v>3457098</v>
          </cell>
          <cell r="C132" t="str">
            <v>0.649052</v>
          </cell>
          <cell r="D132">
            <v>6</v>
          </cell>
          <cell r="E132">
            <v>3</v>
          </cell>
        </row>
        <row r="133">
          <cell r="A133" t="str">
            <v>payaso</v>
          </cell>
          <cell r="B133">
            <v>3814505</v>
          </cell>
          <cell r="C133" t="str">
            <v>0.682552</v>
          </cell>
          <cell r="D133">
            <v>6</v>
          </cell>
          <cell r="E133">
            <v>3</v>
          </cell>
        </row>
        <row r="134">
          <cell r="A134" t="str">
            <v>percha</v>
          </cell>
          <cell r="B134" t="str">
            <v>0.903264</v>
          </cell>
          <cell r="C134" t="str">
            <v>0.279499</v>
          </cell>
          <cell r="D134">
            <v>5</v>
          </cell>
          <cell r="E134">
            <v>2</v>
          </cell>
        </row>
        <row r="135">
          <cell r="A135" t="str">
            <v>pincel</v>
          </cell>
          <cell r="B135">
            <v>2378380</v>
          </cell>
          <cell r="C135" t="str">
            <v>0.528708</v>
          </cell>
          <cell r="D135">
            <v>6</v>
          </cell>
          <cell r="E135">
            <v>2</v>
          </cell>
        </row>
        <row r="136">
          <cell r="A136" t="str">
            <v>puerta</v>
          </cell>
          <cell r="B136">
            <v>158977792</v>
          </cell>
          <cell r="C136">
            <v>2204060</v>
          </cell>
          <cell r="D136">
            <v>6</v>
          </cell>
          <cell r="E136">
            <v>2</v>
          </cell>
        </row>
        <row r="137">
          <cell r="A137" t="str">
            <v>pulmón</v>
          </cell>
          <cell r="B137">
            <v>6017431</v>
          </cell>
          <cell r="C137" t="str">
            <v>0.846178</v>
          </cell>
          <cell r="D137">
            <v>6</v>
          </cell>
          <cell r="E137">
            <v>2</v>
          </cell>
        </row>
        <row r="138">
          <cell r="A138" t="str">
            <v>regalo</v>
          </cell>
          <cell r="B138">
            <v>15066321</v>
          </cell>
          <cell r="C138">
            <v>1205916</v>
          </cell>
          <cell r="D138">
            <v>6</v>
          </cell>
          <cell r="E138">
            <v>3</v>
          </cell>
        </row>
        <row r="139">
          <cell r="A139" t="str">
            <v>sirena</v>
          </cell>
          <cell r="B139">
            <v>3791761</v>
          </cell>
          <cell r="C139" t="str">
            <v>0.680495</v>
          </cell>
          <cell r="D139">
            <v>6</v>
          </cell>
          <cell r="E139">
            <v>3</v>
          </cell>
        </row>
        <row r="140">
          <cell r="A140" t="str">
            <v>sombra</v>
          </cell>
          <cell r="B140">
            <v>47505862</v>
          </cell>
          <cell r="C140">
            <v>1685794</v>
          </cell>
          <cell r="D140">
            <v>6</v>
          </cell>
          <cell r="E140">
            <v>2</v>
          </cell>
        </row>
        <row r="141">
          <cell r="A141" t="str">
            <v>tambor</v>
          </cell>
          <cell r="B141">
            <v>7853202</v>
          </cell>
          <cell r="C141" t="str">
            <v>0.947100</v>
          </cell>
          <cell r="D141">
            <v>6</v>
          </cell>
          <cell r="E141">
            <v>2</v>
          </cell>
        </row>
        <row r="142">
          <cell r="A142" t="str">
            <v>tanque</v>
          </cell>
          <cell r="B142">
            <v>8083892</v>
          </cell>
          <cell r="C142" t="str">
            <v>0.958272</v>
          </cell>
          <cell r="D142">
            <v>5</v>
          </cell>
          <cell r="E142">
            <v>2</v>
          </cell>
        </row>
        <row r="143">
          <cell r="A143" t="str">
            <v>tejado</v>
          </cell>
          <cell r="B143">
            <v>6238373</v>
          </cell>
          <cell r="C143" t="str">
            <v>0.859641</v>
          </cell>
          <cell r="D143">
            <v>6</v>
          </cell>
          <cell r="E143">
            <v>3</v>
          </cell>
        </row>
        <row r="144">
          <cell r="A144" t="str">
            <v>tomate</v>
          </cell>
          <cell r="B144">
            <v>6962934</v>
          </cell>
          <cell r="C144" t="str">
            <v>0.901073</v>
          </cell>
          <cell r="D144">
            <v>6</v>
          </cell>
          <cell r="E144">
            <v>3</v>
          </cell>
        </row>
        <row r="145">
          <cell r="A145" t="str">
            <v>torero</v>
          </cell>
          <cell r="B145">
            <v>8327578</v>
          </cell>
          <cell r="C145" t="str">
            <v>0.969769</v>
          </cell>
          <cell r="D145">
            <v>6</v>
          </cell>
          <cell r="E145">
            <v>3</v>
          </cell>
        </row>
        <row r="146">
          <cell r="A146" t="str">
            <v>trébol</v>
          </cell>
          <cell r="B146">
            <v>1527102</v>
          </cell>
          <cell r="C146" t="str">
            <v>0.402623</v>
          </cell>
          <cell r="D146">
            <v>6</v>
          </cell>
          <cell r="E146">
            <v>2</v>
          </cell>
        </row>
        <row r="147">
          <cell r="A147" t="str">
            <v>volcán</v>
          </cell>
          <cell r="B147">
            <v>11839912</v>
          </cell>
          <cell r="C147">
            <v>1108562</v>
          </cell>
          <cell r="D147">
            <v>6</v>
          </cell>
          <cell r="E147">
            <v>2</v>
          </cell>
        </row>
        <row r="148">
          <cell r="A148" t="str">
            <v>zapato</v>
          </cell>
          <cell r="B148">
            <v>3418109</v>
          </cell>
          <cell r="C148" t="str">
            <v>0.645236</v>
          </cell>
          <cell r="D148">
            <v>6</v>
          </cell>
          <cell r="E148">
            <v>3</v>
          </cell>
        </row>
        <row r="149">
          <cell r="A149" t="str">
            <v>abanico</v>
          </cell>
          <cell r="B149">
            <v>7105897</v>
          </cell>
          <cell r="C149" t="str">
            <v>0.908801</v>
          </cell>
          <cell r="D149">
            <v>7</v>
          </cell>
          <cell r="E149">
            <v>4</v>
          </cell>
        </row>
        <row r="150">
          <cell r="A150" t="str">
            <v>ardilla</v>
          </cell>
          <cell r="B150">
            <v>2371881</v>
          </cell>
          <cell r="C150" t="str">
            <v>0.527872</v>
          </cell>
          <cell r="D150">
            <v>6</v>
          </cell>
          <cell r="E150">
            <v>3</v>
          </cell>
        </row>
        <row r="151">
          <cell r="A151" t="str">
            <v>autobús</v>
          </cell>
          <cell r="B151">
            <v>13266290</v>
          </cell>
          <cell r="C151">
            <v>1154311</v>
          </cell>
          <cell r="D151">
            <v>7</v>
          </cell>
          <cell r="E151">
            <v>3</v>
          </cell>
        </row>
        <row r="152">
          <cell r="A152" t="str">
            <v>bandeja</v>
          </cell>
          <cell r="B152">
            <v>3795010</v>
          </cell>
          <cell r="C152" t="str">
            <v>0.680790</v>
          </cell>
          <cell r="D152">
            <v>7</v>
          </cell>
          <cell r="E152">
            <v>3</v>
          </cell>
        </row>
        <row r="153">
          <cell r="A153" t="str">
            <v>bandera</v>
          </cell>
          <cell r="B153">
            <v>48090709</v>
          </cell>
          <cell r="C153">
            <v>1690999</v>
          </cell>
          <cell r="D153">
            <v>7</v>
          </cell>
          <cell r="E153">
            <v>3</v>
          </cell>
        </row>
        <row r="154">
          <cell r="A154" t="str">
            <v>batería</v>
          </cell>
          <cell r="B154">
            <v>35051859</v>
          </cell>
          <cell r="C154">
            <v>1556928</v>
          </cell>
          <cell r="D154">
            <v>7</v>
          </cell>
          <cell r="E154">
            <v>4</v>
          </cell>
        </row>
        <row r="155">
          <cell r="A155" t="str">
            <v>billete</v>
          </cell>
          <cell r="B155">
            <v>8707729</v>
          </cell>
          <cell r="C155" t="str">
            <v>0.987118</v>
          </cell>
          <cell r="D155">
            <v>6</v>
          </cell>
          <cell r="E155">
            <v>3</v>
          </cell>
        </row>
        <row r="156">
          <cell r="A156" t="str">
            <v>bombero</v>
          </cell>
          <cell r="B156">
            <v>1445873</v>
          </cell>
          <cell r="C156" t="str">
            <v>0.388434</v>
          </cell>
          <cell r="D156">
            <v>7</v>
          </cell>
          <cell r="E156">
            <v>3</v>
          </cell>
        </row>
        <row r="157">
          <cell r="A157" t="str">
            <v>botella</v>
          </cell>
          <cell r="B157">
            <v>15618677</v>
          </cell>
          <cell r="C157">
            <v>1220596</v>
          </cell>
          <cell r="D157">
            <v>6</v>
          </cell>
          <cell r="E157">
            <v>3</v>
          </cell>
        </row>
        <row r="158">
          <cell r="A158" t="str">
            <v>brújula</v>
          </cell>
          <cell r="B158">
            <v>2144441</v>
          </cell>
          <cell r="C158" t="str">
            <v>0.497543</v>
          </cell>
          <cell r="D158">
            <v>7</v>
          </cell>
          <cell r="E158">
            <v>3</v>
          </cell>
        </row>
        <row r="159">
          <cell r="A159" t="str">
            <v>campana</v>
          </cell>
          <cell r="B159">
            <v>11859407</v>
          </cell>
          <cell r="C159">
            <v>1109221</v>
          </cell>
          <cell r="D159">
            <v>7</v>
          </cell>
          <cell r="E159">
            <v>3</v>
          </cell>
        </row>
        <row r="160">
          <cell r="A160" t="str">
            <v>canguro</v>
          </cell>
          <cell r="B160" t="str">
            <v>0.981244</v>
          </cell>
          <cell r="C160" t="str">
            <v>0.296938</v>
          </cell>
          <cell r="D160">
            <v>7</v>
          </cell>
          <cell r="E160">
            <v>3</v>
          </cell>
        </row>
        <row r="161">
          <cell r="A161" t="str">
            <v>caracol</v>
          </cell>
          <cell r="B161">
            <v>6855712</v>
          </cell>
          <cell r="C161" t="str">
            <v>0.895186</v>
          </cell>
          <cell r="D161">
            <v>7</v>
          </cell>
          <cell r="E161">
            <v>3</v>
          </cell>
        </row>
        <row r="162">
          <cell r="A162" t="str">
            <v>cazador</v>
          </cell>
          <cell r="B162">
            <v>10277070</v>
          </cell>
          <cell r="C162">
            <v>1052196</v>
          </cell>
          <cell r="D162">
            <v>7</v>
          </cell>
          <cell r="E162">
            <v>3</v>
          </cell>
        </row>
        <row r="163">
          <cell r="A163" t="str">
            <v>cebolla</v>
          </cell>
          <cell r="B163">
            <v>5309116</v>
          </cell>
          <cell r="C163" t="str">
            <v>0.799968</v>
          </cell>
          <cell r="D163">
            <v>6</v>
          </cell>
          <cell r="E163">
            <v>3</v>
          </cell>
        </row>
        <row r="164">
          <cell r="A164" t="str">
            <v>cerebro</v>
          </cell>
          <cell r="B164">
            <v>31659744</v>
          </cell>
          <cell r="C164">
            <v>1514013</v>
          </cell>
          <cell r="D164">
            <v>7</v>
          </cell>
          <cell r="E164">
            <v>3</v>
          </cell>
        </row>
        <row r="165">
          <cell r="A165" t="str">
            <v>chaleco</v>
          </cell>
          <cell r="B165">
            <v>3989960</v>
          </cell>
          <cell r="C165" t="str">
            <v>0.698097</v>
          </cell>
          <cell r="D165">
            <v>6</v>
          </cell>
          <cell r="E165">
            <v>3</v>
          </cell>
        </row>
        <row r="166">
          <cell r="A166" t="str">
            <v>chupete</v>
          </cell>
          <cell r="B166" t="str">
            <v>0.393147</v>
          </cell>
          <cell r="C166" t="str">
            <v>0.143997</v>
          </cell>
          <cell r="D166">
            <v>6</v>
          </cell>
          <cell r="E166">
            <v>3</v>
          </cell>
        </row>
        <row r="167">
          <cell r="A167" t="str">
            <v>corazón</v>
          </cell>
          <cell r="B167">
            <v>148457036</v>
          </cell>
          <cell r="C167">
            <v>2174516</v>
          </cell>
          <cell r="D167">
            <v>7</v>
          </cell>
          <cell r="E167">
            <v>3</v>
          </cell>
        </row>
        <row r="168">
          <cell r="A168" t="str">
            <v>corbata</v>
          </cell>
          <cell r="B168">
            <v>5201893</v>
          </cell>
          <cell r="C168" t="str">
            <v>0.792524</v>
          </cell>
          <cell r="D168">
            <v>7</v>
          </cell>
          <cell r="E168">
            <v>3</v>
          </cell>
        </row>
        <row r="169">
          <cell r="A169" t="str">
            <v>cortina</v>
          </cell>
          <cell r="B169">
            <v>6868709</v>
          </cell>
          <cell r="C169" t="str">
            <v>0.895903</v>
          </cell>
          <cell r="D169">
            <v>7</v>
          </cell>
          <cell r="E169">
            <v>3</v>
          </cell>
        </row>
        <row r="170">
          <cell r="A170" t="str">
            <v>enchufe</v>
          </cell>
          <cell r="B170" t="str">
            <v>0.461380</v>
          </cell>
          <cell r="C170" t="str">
            <v>0.164763</v>
          </cell>
          <cell r="D170">
            <v>6</v>
          </cell>
          <cell r="E170">
            <v>3</v>
          </cell>
        </row>
        <row r="171">
          <cell r="A171" t="str">
            <v>espalda</v>
          </cell>
          <cell r="B171">
            <v>32439540</v>
          </cell>
          <cell r="C171">
            <v>1524260</v>
          </cell>
          <cell r="D171">
            <v>7</v>
          </cell>
          <cell r="E171">
            <v>3</v>
          </cell>
        </row>
        <row r="172">
          <cell r="A172" t="str">
            <v>estuche</v>
          </cell>
          <cell r="B172">
            <v>1777287</v>
          </cell>
          <cell r="C172" t="str">
            <v>0.443621</v>
          </cell>
          <cell r="D172">
            <v>6</v>
          </cell>
          <cell r="E172">
            <v>3</v>
          </cell>
        </row>
        <row r="173">
          <cell r="A173" t="str">
            <v>galleta</v>
          </cell>
          <cell r="B173">
            <v>1234678</v>
          </cell>
          <cell r="C173" t="str">
            <v>0.349215</v>
          </cell>
          <cell r="D173">
            <v>6</v>
          </cell>
          <cell r="E173">
            <v>3</v>
          </cell>
        </row>
        <row r="174">
          <cell r="A174" t="str">
            <v>girasol</v>
          </cell>
          <cell r="B174">
            <v>2043717</v>
          </cell>
          <cell r="C174" t="str">
            <v>0.483404</v>
          </cell>
          <cell r="D174">
            <v>7</v>
          </cell>
          <cell r="E174">
            <v>3</v>
          </cell>
        </row>
        <row r="175">
          <cell r="A175" t="str">
            <v>lámpara</v>
          </cell>
          <cell r="B175">
            <v>9175607</v>
          </cell>
          <cell r="C175">
            <v>1007560</v>
          </cell>
          <cell r="D175">
            <v>7</v>
          </cell>
          <cell r="E175">
            <v>3</v>
          </cell>
        </row>
        <row r="176">
          <cell r="A176" t="str">
            <v>lechuga</v>
          </cell>
          <cell r="B176">
            <v>1696058</v>
          </cell>
          <cell r="C176" t="str">
            <v>0.430729</v>
          </cell>
          <cell r="D176">
            <v>6</v>
          </cell>
          <cell r="E176">
            <v>3</v>
          </cell>
        </row>
        <row r="177">
          <cell r="A177" t="str">
            <v>manzana</v>
          </cell>
          <cell r="B177">
            <v>8126131</v>
          </cell>
          <cell r="C177" t="str">
            <v>0.960287</v>
          </cell>
          <cell r="D177">
            <v>7</v>
          </cell>
          <cell r="E177">
            <v>3</v>
          </cell>
        </row>
        <row r="178">
          <cell r="A178" t="str">
            <v>mechero</v>
          </cell>
          <cell r="B178" t="str">
            <v>0.578349</v>
          </cell>
          <cell r="C178" t="str">
            <v>0.198203</v>
          </cell>
          <cell r="D178">
            <v>6</v>
          </cell>
          <cell r="E178">
            <v>3</v>
          </cell>
        </row>
        <row r="179">
          <cell r="A179" t="str">
            <v>medalla</v>
          </cell>
          <cell r="B179">
            <v>32085383</v>
          </cell>
          <cell r="C179">
            <v>1519636</v>
          </cell>
          <cell r="D179">
            <v>6</v>
          </cell>
          <cell r="E179">
            <v>3</v>
          </cell>
        </row>
        <row r="180">
          <cell r="A180" t="str">
            <v>mochila</v>
          </cell>
          <cell r="B180">
            <v>3047705</v>
          </cell>
          <cell r="C180" t="str">
            <v>0.607209</v>
          </cell>
          <cell r="D180">
            <v>6</v>
          </cell>
          <cell r="E180">
            <v>3</v>
          </cell>
        </row>
        <row r="181">
          <cell r="A181" t="str">
            <v>nadador</v>
          </cell>
          <cell r="B181">
            <v>1696058</v>
          </cell>
          <cell r="C181" t="str">
            <v>0.430729</v>
          </cell>
          <cell r="D181">
            <v>7</v>
          </cell>
          <cell r="E181">
            <v>3</v>
          </cell>
        </row>
        <row r="182">
          <cell r="A182" t="str">
            <v>naranja</v>
          </cell>
          <cell r="B182">
            <v>14959099</v>
          </cell>
          <cell r="C182">
            <v>1203008</v>
          </cell>
          <cell r="D182">
            <v>7</v>
          </cell>
          <cell r="E182">
            <v>3</v>
          </cell>
        </row>
        <row r="183">
          <cell r="A183" t="str">
            <v>pasillo</v>
          </cell>
          <cell r="B183">
            <v>9994394</v>
          </cell>
          <cell r="C183">
            <v>1041171</v>
          </cell>
          <cell r="D183">
            <v>6</v>
          </cell>
          <cell r="E183">
            <v>3</v>
          </cell>
        </row>
        <row r="184">
          <cell r="A184" t="str">
            <v>piscina</v>
          </cell>
          <cell r="B184">
            <v>10387541</v>
          </cell>
          <cell r="C184">
            <v>1056430</v>
          </cell>
          <cell r="D184">
            <v>7</v>
          </cell>
          <cell r="E184">
            <v>3</v>
          </cell>
        </row>
        <row r="185">
          <cell r="A185" t="str">
            <v>plancha</v>
          </cell>
          <cell r="B185">
            <v>2914490</v>
          </cell>
          <cell r="C185" t="str">
            <v>0.592675</v>
          </cell>
          <cell r="D185">
            <v>6</v>
          </cell>
          <cell r="E185">
            <v>2</v>
          </cell>
        </row>
        <row r="186">
          <cell r="A186" t="str">
            <v>portero</v>
          </cell>
          <cell r="B186">
            <v>18026299</v>
          </cell>
          <cell r="C186">
            <v>1279354</v>
          </cell>
          <cell r="D186">
            <v>7</v>
          </cell>
          <cell r="E186">
            <v>3</v>
          </cell>
        </row>
        <row r="187">
          <cell r="A187" t="str">
            <v>rodilla</v>
          </cell>
          <cell r="B187">
            <v>12164828</v>
          </cell>
          <cell r="C187">
            <v>1119415</v>
          </cell>
          <cell r="D187">
            <v>6</v>
          </cell>
          <cell r="E187">
            <v>3</v>
          </cell>
        </row>
        <row r="188">
          <cell r="A188" t="str">
            <v>teclado</v>
          </cell>
          <cell r="B188">
            <v>8811702</v>
          </cell>
          <cell r="C188" t="str">
            <v>0.991744</v>
          </cell>
          <cell r="D188">
            <v>7</v>
          </cell>
          <cell r="E188">
            <v>3</v>
          </cell>
        </row>
        <row r="189">
          <cell r="A189" t="str">
            <v>tenedor</v>
          </cell>
          <cell r="B189">
            <v>1904003</v>
          </cell>
          <cell r="C189" t="str">
            <v>0.462997</v>
          </cell>
          <cell r="D189">
            <v>7</v>
          </cell>
          <cell r="E189">
            <v>3</v>
          </cell>
        </row>
        <row r="190">
          <cell r="A190" t="str">
            <v>tiburón</v>
          </cell>
          <cell r="B190">
            <v>3408361</v>
          </cell>
          <cell r="C190" t="str">
            <v>0.644277</v>
          </cell>
          <cell r="D190">
            <v>7</v>
          </cell>
          <cell r="E190">
            <v>3</v>
          </cell>
        </row>
        <row r="191">
          <cell r="A191" t="str">
            <v>tijeras</v>
          </cell>
          <cell r="B191">
            <v>2414120</v>
          </cell>
          <cell r="C191" t="str">
            <v>0.533279</v>
          </cell>
          <cell r="D191">
            <v>7</v>
          </cell>
          <cell r="E191">
            <v>3</v>
          </cell>
        </row>
        <row r="192">
          <cell r="A192" t="str">
            <v>tortuga</v>
          </cell>
          <cell r="B192">
            <v>5634031</v>
          </cell>
          <cell r="C192" t="str">
            <v>0.821777</v>
          </cell>
          <cell r="D192">
            <v>7</v>
          </cell>
          <cell r="E192">
            <v>3</v>
          </cell>
        </row>
        <row r="193">
          <cell r="A193" t="str">
            <v>tractor</v>
          </cell>
          <cell r="B193">
            <v>1319156</v>
          </cell>
          <cell r="C193" t="str">
            <v>0.365330</v>
          </cell>
          <cell r="D193">
            <v>7</v>
          </cell>
          <cell r="E193">
            <v>2</v>
          </cell>
        </row>
        <row r="194">
          <cell r="A194" t="str">
            <v>vestido</v>
          </cell>
          <cell r="B194">
            <v>31224357</v>
          </cell>
          <cell r="C194">
            <v>1508184</v>
          </cell>
          <cell r="D194">
            <v>7</v>
          </cell>
          <cell r="E194">
            <v>3</v>
          </cell>
        </row>
        <row r="195">
          <cell r="A195" t="str">
            <v>volante</v>
          </cell>
          <cell r="B195">
            <v>7664751</v>
          </cell>
          <cell r="C195" t="str">
            <v>0.937756</v>
          </cell>
          <cell r="D195">
            <v>7</v>
          </cell>
          <cell r="E195">
            <v>3</v>
          </cell>
        </row>
        <row r="196">
          <cell r="A196" t="str">
            <v>copa</v>
          </cell>
          <cell r="B196">
            <v>117710304</v>
          </cell>
          <cell r="C196">
            <v>2074488</v>
          </cell>
          <cell r="D196">
            <v>4</v>
          </cell>
          <cell r="E196">
            <v>2</v>
          </cell>
        </row>
        <row r="197">
          <cell r="A197" t="str">
            <v>faro</v>
          </cell>
          <cell r="B197">
            <v>7892192</v>
          </cell>
          <cell r="C197" t="str">
            <v>0.949009</v>
          </cell>
          <cell r="D197">
            <v>4</v>
          </cell>
          <cell r="E197">
            <v>2</v>
          </cell>
        </row>
        <row r="198">
          <cell r="A198" t="str">
            <v>pico</v>
          </cell>
          <cell r="B198">
            <v>29911700</v>
          </cell>
          <cell r="C198">
            <v>1490123</v>
          </cell>
          <cell r="D198">
            <v>4</v>
          </cell>
          <cell r="E198">
            <v>2</v>
          </cell>
        </row>
        <row r="199">
          <cell r="A199" t="str">
            <v>puño</v>
          </cell>
          <cell r="B199">
            <v>5981690</v>
          </cell>
          <cell r="C199" t="str">
            <v>0.843961</v>
          </cell>
          <cell r="D199">
            <v>4</v>
          </cell>
          <cell r="E199">
            <v>2</v>
          </cell>
        </row>
        <row r="200">
          <cell r="A200" t="str">
            <v>fruta</v>
          </cell>
          <cell r="B200">
            <v>13886879</v>
          </cell>
          <cell r="C200">
            <v>1172804</v>
          </cell>
          <cell r="D200">
            <v>5</v>
          </cell>
          <cell r="E200">
            <v>2</v>
          </cell>
        </row>
        <row r="201">
          <cell r="A201" t="str">
            <v>pluma</v>
          </cell>
          <cell r="B201">
            <v>17915828</v>
          </cell>
          <cell r="C201">
            <v>1276825</v>
          </cell>
          <cell r="D201">
            <v>5</v>
          </cell>
          <cell r="E201">
            <v>2</v>
          </cell>
        </row>
        <row r="202">
          <cell r="A202" t="str">
            <v>escudo</v>
          </cell>
          <cell r="B202">
            <v>43769336</v>
          </cell>
          <cell r="C202">
            <v>1650981</v>
          </cell>
          <cell r="D202">
            <v>6</v>
          </cell>
          <cell r="E202">
            <v>3</v>
          </cell>
        </row>
        <row r="203">
          <cell r="A203" t="str">
            <v>ladrón</v>
          </cell>
          <cell r="B203">
            <v>14416491</v>
          </cell>
          <cell r="C203">
            <v>1187986</v>
          </cell>
          <cell r="D203">
            <v>6</v>
          </cell>
          <cell r="E203">
            <v>2</v>
          </cell>
        </row>
        <row r="204">
          <cell r="A204" t="str">
            <v>plátano</v>
          </cell>
          <cell r="B204">
            <v>6092161</v>
          </cell>
          <cell r="C204" t="str">
            <v>0.850779</v>
          </cell>
          <cell r="D204">
            <v>7</v>
          </cell>
          <cell r="E204">
            <v>3</v>
          </cell>
        </row>
        <row r="205">
          <cell r="A205" t="str">
            <v>jamón</v>
          </cell>
          <cell r="B205">
            <v>4214151</v>
          </cell>
          <cell r="C205" t="str">
            <v>0.717184</v>
          </cell>
          <cell r="D205">
            <v>5</v>
          </cell>
          <cell r="E205">
            <v>2</v>
          </cell>
        </row>
        <row r="206">
          <cell r="A206" t="str">
            <v>camión</v>
          </cell>
          <cell r="B206">
            <v>11154341</v>
          </cell>
          <cell r="C206">
            <v>1084731</v>
          </cell>
          <cell r="D206">
            <v>6</v>
          </cell>
          <cell r="E206">
            <v>2</v>
          </cell>
        </row>
        <row r="207">
          <cell r="A207" t="str">
            <v>cohete</v>
          </cell>
          <cell r="B207">
            <v>7541283</v>
          </cell>
          <cell r="C207" t="str">
            <v>0.931523</v>
          </cell>
          <cell r="D207">
            <v>5</v>
          </cell>
          <cell r="E207">
            <v>3</v>
          </cell>
        </row>
        <row r="208">
          <cell r="A208" t="str">
            <v>dragón</v>
          </cell>
          <cell r="B208">
            <v>14793392</v>
          </cell>
          <cell r="C208">
            <v>1198475</v>
          </cell>
          <cell r="D208">
            <v>6</v>
          </cell>
          <cell r="E208">
            <v>2</v>
          </cell>
        </row>
        <row r="209">
          <cell r="A209" t="str">
            <v>puente</v>
          </cell>
          <cell r="B209">
            <v>63377972</v>
          </cell>
          <cell r="C209">
            <v>1808737</v>
          </cell>
          <cell r="D209">
            <v>6</v>
          </cell>
          <cell r="E209">
            <v>2</v>
          </cell>
        </row>
        <row r="210">
          <cell r="A210" t="str">
            <v>pistola</v>
          </cell>
          <cell r="B210">
            <v>13217553</v>
          </cell>
          <cell r="C210">
            <v>1152825</v>
          </cell>
          <cell r="D210">
            <v>7</v>
          </cell>
          <cell r="E210">
            <v>3</v>
          </cell>
        </row>
        <row r="211">
          <cell r="A211" t="str">
            <v>cubo</v>
          </cell>
          <cell r="B211">
            <v>5744502</v>
          </cell>
          <cell r="C211" t="str">
            <v>0.828950</v>
          </cell>
          <cell r="D211">
            <v>4</v>
          </cell>
          <cell r="E211">
            <v>2</v>
          </cell>
        </row>
        <row r="212">
          <cell r="A212" t="str">
            <v>noria</v>
          </cell>
          <cell r="B212">
            <v>1514105</v>
          </cell>
          <cell r="C212" t="str">
            <v>0.400383</v>
          </cell>
          <cell r="D212">
            <v>5</v>
          </cell>
          <cell r="E212">
            <v>2</v>
          </cell>
        </row>
        <row r="213">
          <cell r="A213" t="str">
            <v>peine</v>
          </cell>
          <cell r="B213">
            <v>1692809</v>
          </cell>
          <cell r="C213" t="str">
            <v>0.430205</v>
          </cell>
          <cell r="D213">
            <v>5</v>
          </cell>
          <cell r="E213">
            <v>2</v>
          </cell>
        </row>
        <row r="214">
          <cell r="A214" t="str">
            <v>cajero</v>
          </cell>
          <cell r="B214">
            <v>1306159</v>
          </cell>
          <cell r="C214" t="str">
            <v>0.362889</v>
          </cell>
          <cell r="D214">
            <v>6</v>
          </cell>
          <cell r="E214">
            <v>3</v>
          </cell>
        </row>
        <row r="215">
          <cell r="A215" t="str">
            <v>cuadro</v>
          </cell>
          <cell r="B215">
            <v>44607617</v>
          </cell>
          <cell r="C215">
            <v>1659037</v>
          </cell>
          <cell r="D215">
            <v>6</v>
          </cell>
          <cell r="E215">
            <v>2</v>
          </cell>
        </row>
        <row r="216">
          <cell r="A216" t="str">
            <v>pastor</v>
          </cell>
          <cell r="B216">
            <v>23286677</v>
          </cell>
          <cell r="C216">
            <v>1385368</v>
          </cell>
          <cell r="D216">
            <v>6</v>
          </cell>
          <cell r="E216">
            <v>2</v>
          </cell>
        </row>
        <row r="217">
          <cell r="A217" t="str">
            <v>cartero</v>
          </cell>
          <cell r="B217">
            <v>1858515</v>
          </cell>
          <cell r="C217" t="str">
            <v>0.456141</v>
          </cell>
          <cell r="D217">
            <v>7</v>
          </cell>
          <cell r="E217">
            <v>3</v>
          </cell>
        </row>
        <row r="218">
          <cell r="A218" t="str">
            <v>ventana</v>
          </cell>
          <cell r="B218">
            <v>41566410</v>
          </cell>
          <cell r="C218">
            <v>1629067</v>
          </cell>
          <cell r="D218">
            <v>7</v>
          </cell>
          <cell r="E218">
            <v>3</v>
          </cell>
        </row>
        <row r="219">
          <cell r="A219" t="str">
            <v>indio</v>
          </cell>
          <cell r="B219">
            <v>20407928</v>
          </cell>
          <cell r="C219">
            <v>1330575</v>
          </cell>
          <cell r="D219">
            <v>5</v>
          </cell>
          <cell r="E219">
            <v>2</v>
          </cell>
        </row>
        <row r="220">
          <cell r="A220" t="str">
            <v>piloto</v>
          </cell>
          <cell r="B220">
            <v>34502752</v>
          </cell>
          <cell r="C220">
            <v>1550262</v>
          </cell>
          <cell r="D220">
            <v>6</v>
          </cell>
          <cell r="E220">
            <v>3</v>
          </cell>
        </row>
        <row r="221">
          <cell r="A221" t="str">
            <v>pirata</v>
          </cell>
          <cell r="B221">
            <v>6693255</v>
          </cell>
          <cell r="C221" t="str">
            <v>0.886110</v>
          </cell>
          <cell r="D221">
            <v>6</v>
          </cell>
          <cell r="E221">
            <v>3</v>
          </cell>
        </row>
        <row r="222">
          <cell r="A222" t="str">
            <v>trineo</v>
          </cell>
          <cell r="B222">
            <v>1803280</v>
          </cell>
          <cell r="C222" t="str">
            <v>0.447666</v>
          </cell>
          <cell r="D222">
            <v>6</v>
          </cell>
          <cell r="E222">
            <v>3</v>
          </cell>
        </row>
        <row r="223">
          <cell r="A223" t="str">
            <v>erizo</v>
          </cell>
          <cell r="B223">
            <v>1621327</v>
          </cell>
          <cell r="C223" t="str">
            <v>0.418521</v>
          </cell>
          <cell r="D223">
            <v>5</v>
          </cell>
          <cell r="E223">
            <v>3</v>
          </cell>
        </row>
        <row r="224">
          <cell r="A224" t="str">
            <v>bala</v>
          </cell>
          <cell r="B224">
            <v>9786448</v>
          </cell>
          <cell r="C224">
            <v>1032878</v>
          </cell>
          <cell r="D224">
            <v>4</v>
          </cell>
          <cell r="E224">
            <v>2</v>
          </cell>
        </row>
        <row r="225">
          <cell r="A225" t="str">
            <v>balón</v>
          </cell>
          <cell r="B225">
            <v>21935030</v>
          </cell>
          <cell r="C225">
            <v>1360499</v>
          </cell>
          <cell r="D225">
            <v>5</v>
          </cell>
          <cell r="E225">
            <v>2</v>
          </cell>
        </row>
        <row r="226">
          <cell r="A226" t="str">
            <v>bolso</v>
          </cell>
          <cell r="B226">
            <v>2683800</v>
          </cell>
          <cell r="C226" t="str">
            <v>0.566296</v>
          </cell>
          <cell r="D226">
            <v>5</v>
          </cell>
          <cell r="E226">
            <v>2</v>
          </cell>
        </row>
        <row r="227">
          <cell r="A227" t="str">
            <v>lápiz</v>
          </cell>
          <cell r="B227">
            <v>5445580</v>
          </cell>
          <cell r="C227" t="str">
            <v>0.809262</v>
          </cell>
          <cell r="D227">
            <v>5</v>
          </cell>
          <cell r="E227">
            <v>2</v>
          </cell>
        </row>
        <row r="228">
          <cell r="A228" t="str">
            <v>anillo</v>
          </cell>
          <cell r="B228">
            <v>23692821</v>
          </cell>
          <cell r="C228">
            <v>1392571</v>
          </cell>
          <cell r="D228">
            <v>5</v>
          </cell>
          <cell r="E228">
            <v>3</v>
          </cell>
        </row>
        <row r="229">
          <cell r="A229" t="str">
            <v>pintor</v>
          </cell>
          <cell r="B229">
            <v>38180793</v>
          </cell>
          <cell r="C229">
            <v>1593073</v>
          </cell>
          <cell r="D229">
            <v>6</v>
          </cell>
          <cell r="E229">
            <v>2</v>
          </cell>
        </row>
        <row r="230">
          <cell r="A230" t="str">
            <v>carpeta</v>
          </cell>
          <cell r="B230">
            <v>2566831</v>
          </cell>
          <cell r="C230" t="str">
            <v>0.552282</v>
          </cell>
          <cell r="D230">
            <v>7</v>
          </cell>
          <cell r="E230">
            <v>3</v>
          </cell>
        </row>
        <row r="231">
          <cell r="A231" t="str">
            <v>tren</v>
          </cell>
          <cell r="B231">
            <v>40396715</v>
          </cell>
          <cell r="C231">
            <v>1616966</v>
          </cell>
          <cell r="D231">
            <v>4</v>
          </cell>
          <cell r="E231">
            <v>1</v>
          </cell>
        </row>
        <row r="232">
          <cell r="A232" t="str">
            <v>mosca</v>
          </cell>
          <cell r="B232">
            <v>8486787</v>
          </cell>
          <cell r="C232" t="str">
            <v>0.977119</v>
          </cell>
          <cell r="D232">
            <v>5</v>
          </cell>
          <cell r="E232">
            <v>2</v>
          </cell>
        </row>
        <row r="233">
          <cell r="A233" t="str">
            <v>puerto</v>
          </cell>
          <cell r="B233">
            <v>115299432</v>
          </cell>
          <cell r="C233">
            <v>2065578</v>
          </cell>
          <cell r="D233">
            <v>6</v>
          </cell>
          <cell r="E233">
            <v>2</v>
          </cell>
        </row>
        <row r="234">
          <cell r="A234" t="str">
            <v>tetera</v>
          </cell>
          <cell r="B234" t="str">
            <v>0.711564</v>
          </cell>
          <cell r="C234" t="str">
            <v>0.233393</v>
          </cell>
          <cell r="D234">
            <v>6</v>
          </cell>
          <cell r="E234">
            <v>3</v>
          </cell>
        </row>
        <row r="235">
          <cell r="A235" t="str">
            <v>fábrica</v>
          </cell>
          <cell r="B235">
            <v>31624003</v>
          </cell>
          <cell r="C235">
            <v>1513537</v>
          </cell>
          <cell r="D235">
            <v>7</v>
          </cell>
          <cell r="E235">
            <v>3</v>
          </cell>
        </row>
        <row r="236">
          <cell r="A236" t="str">
            <v>cuerno</v>
          </cell>
          <cell r="B236">
            <v>5192146</v>
          </cell>
          <cell r="C236" t="str">
            <v>0.791841</v>
          </cell>
          <cell r="D236">
            <v>6</v>
          </cell>
          <cell r="E236">
            <v>2</v>
          </cell>
        </row>
        <row r="237">
          <cell r="A237" t="str">
            <v>mando</v>
          </cell>
          <cell r="B237">
            <v>65970796</v>
          </cell>
          <cell r="C237">
            <v>1825885</v>
          </cell>
          <cell r="D237">
            <v>5</v>
          </cell>
          <cell r="E237">
            <v>2</v>
          </cell>
        </row>
        <row r="238">
          <cell r="A238" t="str">
            <v>candado</v>
          </cell>
          <cell r="B238">
            <v>1065722</v>
          </cell>
          <cell r="C238" t="str">
            <v>0.315072</v>
          </cell>
          <cell r="D238">
            <v>7</v>
          </cell>
          <cell r="E238">
            <v>3</v>
          </cell>
        </row>
        <row r="239">
          <cell r="A239" t="str">
            <v>mirilla</v>
          </cell>
          <cell r="B239" t="str">
            <v>0.500370</v>
          </cell>
          <cell r="C239" t="str">
            <v>0.176198</v>
          </cell>
          <cell r="D239">
            <v>6</v>
          </cell>
          <cell r="E239">
            <v>3</v>
          </cell>
        </row>
        <row r="240">
          <cell r="A240" t="str">
            <v>baño</v>
          </cell>
          <cell r="B240">
            <v>20248720</v>
          </cell>
          <cell r="C240">
            <v>1327333</v>
          </cell>
          <cell r="D240">
            <v>4</v>
          </cell>
          <cell r="E240">
            <v>2</v>
          </cell>
        </row>
        <row r="241">
          <cell r="A241" t="str">
            <v>muralla</v>
          </cell>
          <cell r="B241">
            <v>12096595</v>
          </cell>
          <cell r="C241">
            <v>1117158</v>
          </cell>
          <cell r="D241">
            <v>6</v>
          </cell>
          <cell r="E241">
            <v>3</v>
          </cell>
        </row>
        <row r="242">
          <cell r="A242" t="str">
            <v>arco</v>
          </cell>
          <cell r="B242">
            <v>35373525</v>
          </cell>
          <cell r="C242">
            <v>1560785</v>
          </cell>
          <cell r="D242">
            <v>4</v>
          </cell>
          <cell r="E242">
            <v>2</v>
          </cell>
        </row>
        <row r="243">
          <cell r="A243" t="str">
            <v>mano</v>
          </cell>
          <cell r="B243">
            <v>234319145</v>
          </cell>
          <cell r="C243">
            <v>2371657</v>
          </cell>
          <cell r="D243">
            <v>4</v>
          </cell>
          <cell r="E243">
            <v>2</v>
          </cell>
        </row>
        <row r="244">
          <cell r="A244" t="str">
            <v>rosa</v>
          </cell>
          <cell r="B244">
            <v>59885133</v>
          </cell>
          <cell r="C244">
            <v>1784511</v>
          </cell>
          <cell r="D244">
            <v>4</v>
          </cell>
          <cell r="E244">
            <v>2</v>
          </cell>
        </row>
        <row r="245">
          <cell r="A245" t="str">
            <v>tiza</v>
          </cell>
          <cell r="B245">
            <v>1348398</v>
          </cell>
          <cell r="C245" t="str">
            <v>0.370772</v>
          </cell>
          <cell r="D245">
            <v>4</v>
          </cell>
          <cell r="E245">
            <v>2</v>
          </cell>
        </row>
        <row r="246">
          <cell r="A246" t="str">
            <v>barco</v>
          </cell>
          <cell r="B246">
            <v>42739355</v>
          </cell>
          <cell r="C246">
            <v>1640872</v>
          </cell>
          <cell r="D246">
            <v>5</v>
          </cell>
          <cell r="E246">
            <v>2</v>
          </cell>
        </row>
        <row r="247">
          <cell r="A247" t="str">
            <v>gallo</v>
          </cell>
          <cell r="B247">
            <v>17058052</v>
          </cell>
          <cell r="C247">
            <v>1256671</v>
          </cell>
          <cell r="D247">
            <v>4</v>
          </cell>
          <cell r="E247">
            <v>2</v>
          </cell>
        </row>
        <row r="248">
          <cell r="A248" t="str">
            <v>basura</v>
          </cell>
          <cell r="B248">
            <v>11498751</v>
          </cell>
          <cell r="C248">
            <v>1096867</v>
          </cell>
          <cell r="D248">
            <v>6</v>
          </cell>
          <cell r="E248">
            <v>3</v>
          </cell>
        </row>
        <row r="249">
          <cell r="A249" t="str">
            <v>coro</v>
          </cell>
          <cell r="B249">
            <v>25895747</v>
          </cell>
          <cell r="C249">
            <v>1429684</v>
          </cell>
          <cell r="D249">
            <v>4</v>
          </cell>
          <cell r="E249">
            <v>2</v>
          </cell>
        </row>
        <row r="250">
          <cell r="A250" t="str">
            <v>dardo</v>
          </cell>
          <cell r="B250">
            <v>1910502</v>
          </cell>
          <cell r="C250" t="str">
            <v>0.463968</v>
          </cell>
          <cell r="D250">
            <v>5</v>
          </cell>
          <cell r="E250">
            <v>2</v>
          </cell>
        </row>
        <row r="251">
          <cell r="A251" t="str">
            <v>sello</v>
          </cell>
          <cell r="B251">
            <v>29291112</v>
          </cell>
          <cell r="C251">
            <v>1481315</v>
          </cell>
          <cell r="D251">
            <v>4</v>
          </cell>
          <cell r="E251">
            <v>2</v>
          </cell>
        </row>
        <row r="252">
          <cell r="A252" t="str">
            <v>zorro</v>
          </cell>
          <cell r="B252">
            <v>58465254</v>
          </cell>
          <cell r="C252">
            <v>1774263</v>
          </cell>
          <cell r="D252">
            <v>4</v>
          </cell>
          <cell r="E252">
            <v>2</v>
          </cell>
        </row>
        <row r="253">
          <cell r="A253" t="str">
            <v>timbre</v>
          </cell>
          <cell r="B253">
            <v>6566538</v>
          </cell>
          <cell r="C253" t="str">
            <v>0.878897</v>
          </cell>
          <cell r="D253">
            <v>6</v>
          </cell>
          <cell r="E253">
            <v>2</v>
          </cell>
        </row>
        <row r="254">
          <cell r="A254" t="str">
            <v>peluca</v>
          </cell>
          <cell r="B254">
            <v>1936495</v>
          </cell>
          <cell r="C254" t="str">
            <v>0.467829</v>
          </cell>
          <cell r="D254">
            <v>6</v>
          </cell>
          <cell r="E254">
            <v>3</v>
          </cell>
        </row>
        <row r="255">
          <cell r="A255" t="str">
            <v>iglesia</v>
          </cell>
          <cell r="B255">
            <v>216325337</v>
          </cell>
          <cell r="C255">
            <v>2337110</v>
          </cell>
          <cell r="D255">
            <v>7</v>
          </cell>
          <cell r="E255">
            <v>3</v>
          </cell>
        </row>
        <row r="256">
          <cell r="A256" t="str">
            <v>policía</v>
          </cell>
          <cell r="B256">
            <v>153087078</v>
          </cell>
          <cell r="C256">
            <v>2187766</v>
          </cell>
          <cell r="D256">
            <v>7</v>
          </cell>
          <cell r="E256">
            <v>4</v>
          </cell>
        </row>
        <row r="257">
          <cell r="A257" t="str">
            <v>cabra</v>
          </cell>
          <cell r="B257">
            <v>9091129</v>
          </cell>
          <cell r="C257">
            <v>1003940</v>
          </cell>
          <cell r="D257">
            <v>5</v>
          </cell>
          <cell r="E257">
            <v>2</v>
          </cell>
        </row>
        <row r="258">
          <cell r="A258" t="str">
            <v>corcho</v>
          </cell>
          <cell r="B258">
            <v>1748044</v>
          </cell>
          <cell r="C258" t="str">
            <v>0.439024</v>
          </cell>
          <cell r="D258">
            <v>5</v>
          </cell>
          <cell r="E258">
            <v>2</v>
          </cell>
        </row>
        <row r="259">
          <cell r="A259" t="str">
            <v>bebé</v>
          </cell>
          <cell r="B259">
            <v>13243546</v>
          </cell>
          <cell r="C259">
            <v>1153618</v>
          </cell>
          <cell r="D259">
            <v>4</v>
          </cell>
          <cell r="E259">
            <v>2</v>
          </cell>
        </row>
        <row r="260">
          <cell r="A260" t="str">
            <v>rama</v>
          </cell>
          <cell r="B260">
            <v>28105171</v>
          </cell>
          <cell r="C260">
            <v>1463970</v>
          </cell>
          <cell r="D260">
            <v>4</v>
          </cell>
          <cell r="E260">
            <v>2</v>
          </cell>
        </row>
        <row r="261">
          <cell r="A261" t="str">
            <v>tronco</v>
          </cell>
          <cell r="B261">
            <v>12564473</v>
          </cell>
          <cell r="C261">
            <v>1132403</v>
          </cell>
          <cell r="D261">
            <v>6</v>
          </cell>
          <cell r="E261">
            <v>2</v>
          </cell>
        </row>
        <row r="262">
          <cell r="A262" t="str">
            <v>armario</v>
          </cell>
          <cell r="B262">
            <v>5322112</v>
          </cell>
          <cell r="C262" t="str">
            <v>0.800862</v>
          </cell>
          <cell r="D262">
            <v>7</v>
          </cell>
          <cell r="E262">
            <v>3</v>
          </cell>
        </row>
        <row r="263">
          <cell r="A263" t="str">
            <v>pizarra</v>
          </cell>
          <cell r="B263">
            <v>4061441</v>
          </cell>
          <cell r="C263" t="str">
            <v>0.704274</v>
          </cell>
          <cell r="D263">
            <v>6</v>
          </cell>
          <cell r="E263">
            <v>3</v>
          </cell>
        </row>
        <row r="264">
          <cell r="A264" t="str">
            <v>bota</v>
          </cell>
          <cell r="B264">
            <v>3431105</v>
          </cell>
          <cell r="C264" t="str">
            <v>0.646512</v>
          </cell>
          <cell r="D264">
            <v>4</v>
          </cell>
          <cell r="E264">
            <v>2</v>
          </cell>
        </row>
        <row r="265">
          <cell r="A265" t="str">
            <v>lobo</v>
          </cell>
          <cell r="B265">
            <v>18474682</v>
          </cell>
          <cell r="C265">
            <v>1289470</v>
          </cell>
          <cell r="D265">
            <v>4</v>
          </cell>
          <cell r="E265">
            <v>2</v>
          </cell>
        </row>
        <row r="266">
          <cell r="A266" t="str">
            <v>mesa</v>
          </cell>
          <cell r="B266">
            <v>100246108</v>
          </cell>
          <cell r="C266">
            <v>2005378</v>
          </cell>
          <cell r="D266">
            <v>4</v>
          </cell>
          <cell r="E266">
            <v>2</v>
          </cell>
        </row>
        <row r="267">
          <cell r="A267" t="str">
            <v>vena</v>
          </cell>
          <cell r="B267">
            <v>3950970</v>
          </cell>
          <cell r="C267" t="str">
            <v>0.694690</v>
          </cell>
          <cell r="D267">
            <v>4</v>
          </cell>
          <cell r="E267">
            <v>2</v>
          </cell>
        </row>
        <row r="268">
          <cell r="A268" t="str">
            <v>libro</v>
          </cell>
          <cell r="B268">
            <v>210866761</v>
          </cell>
          <cell r="C268">
            <v>2326063</v>
          </cell>
          <cell r="D268">
            <v>5</v>
          </cell>
          <cell r="E268">
            <v>2</v>
          </cell>
        </row>
        <row r="269">
          <cell r="A269" t="str">
            <v>ratón</v>
          </cell>
          <cell r="B269">
            <v>8529026</v>
          </cell>
          <cell r="C269" t="str">
            <v>0.979049</v>
          </cell>
          <cell r="D269">
            <v>5</v>
          </cell>
          <cell r="E269">
            <v>2</v>
          </cell>
        </row>
        <row r="270">
          <cell r="A270" t="str">
            <v>tobillo</v>
          </cell>
          <cell r="B270">
            <v>4100431</v>
          </cell>
          <cell r="C270" t="str">
            <v>0.707607</v>
          </cell>
          <cell r="D270">
            <v>6</v>
          </cell>
          <cell r="E270">
            <v>3</v>
          </cell>
        </row>
        <row r="271">
          <cell r="A271" t="str">
            <v>mimo</v>
          </cell>
          <cell r="B271">
            <v>1929997</v>
          </cell>
          <cell r="C271" t="str">
            <v>0.466867</v>
          </cell>
          <cell r="D271">
            <v>4</v>
          </cell>
          <cell r="E271">
            <v>2</v>
          </cell>
        </row>
        <row r="272">
          <cell r="A272" t="str">
            <v>pavo</v>
          </cell>
          <cell r="B272">
            <v>14192299</v>
          </cell>
          <cell r="C272">
            <v>1181623</v>
          </cell>
          <cell r="D272">
            <v>4</v>
          </cell>
          <cell r="E272">
            <v>2</v>
          </cell>
        </row>
        <row r="273">
          <cell r="A273" t="str">
            <v>foca</v>
          </cell>
          <cell r="B273">
            <v>2105451</v>
          </cell>
          <cell r="C273" t="str">
            <v>0.492125</v>
          </cell>
          <cell r="D273">
            <v>4</v>
          </cell>
          <cell r="E273">
            <v>2</v>
          </cell>
        </row>
        <row r="274">
          <cell r="A274" t="str">
            <v>frontón</v>
          </cell>
          <cell r="B274">
            <v>3349876</v>
          </cell>
          <cell r="C274" t="str">
            <v>0.638477</v>
          </cell>
          <cell r="D274">
            <v>7</v>
          </cell>
          <cell r="E274">
            <v>2</v>
          </cell>
        </row>
        <row r="275">
          <cell r="A275" t="str">
            <v>parche</v>
          </cell>
          <cell r="B275">
            <v>2098953</v>
          </cell>
          <cell r="C275" t="str">
            <v>0.491215</v>
          </cell>
          <cell r="D275">
            <v>5</v>
          </cell>
          <cell r="E275">
            <v>2</v>
          </cell>
        </row>
        <row r="276">
          <cell r="A276" t="str">
            <v>capa</v>
          </cell>
          <cell r="B276">
            <v>31130132</v>
          </cell>
          <cell r="C276">
            <v>1506913</v>
          </cell>
          <cell r="D276">
            <v>4</v>
          </cell>
          <cell r="E276">
            <v>2</v>
          </cell>
        </row>
        <row r="277">
          <cell r="A277" t="str">
            <v>timón</v>
          </cell>
          <cell r="B277">
            <v>4168663</v>
          </cell>
          <cell r="C277" t="str">
            <v>0.713378</v>
          </cell>
          <cell r="D277">
            <v>5</v>
          </cell>
          <cell r="E277">
            <v>2</v>
          </cell>
        </row>
        <row r="278">
          <cell r="A278" t="str">
            <v>leñador</v>
          </cell>
          <cell r="B278" t="str">
            <v>0.877271</v>
          </cell>
          <cell r="C278" t="str">
            <v>0.273527</v>
          </cell>
          <cell r="D278">
            <v>7</v>
          </cell>
          <cell r="E278">
            <v>3</v>
          </cell>
        </row>
        <row r="279">
          <cell r="A279" t="str">
            <v>jabón</v>
          </cell>
          <cell r="B279">
            <v>3931475</v>
          </cell>
          <cell r="C279" t="str">
            <v>0.692977</v>
          </cell>
          <cell r="D279">
            <v>5</v>
          </cell>
          <cell r="E279">
            <v>2</v>
          </cell>
        </row>
        <row r="280">
          <cell r="A280" t="str">
            <v>tigre</v>
          </cell>
          <cell r="B280">
            <v>26474096</v>
          </cell>
          <cell r="C280">
            <v>1438923</v>
          </cell>
          <cell r="D280">
            <v>5</v>
          </cell>
          <cell r="E280">
            <v>2</v>
          </cell>
        </row>
        <row r="281">
          <cell r="A281" t="str">
            <v>bastón</v>
          </cell>
          <cell r="B281">
            <v>7635509</v>
          </cell>
          <cell r="C281" t="str">
            <v>0.936288</v>
          </cell>
          <cell r="D281">
            <v>6</v>
          </cell>
          <cell r="E281">
            <v>2</v>
          </cell>
        </row>
        <row r="282">
          <cell r="A282" t="str">
            <v>pierna</v>
          </cell>
          <cell r="B282">
            <v>15722650</v>
          </cell>
          <cell r="C282">
            <v>1223305</v>
          </cell>
          <cell r="D282">
            <v>6</v>
          </cell>
          <cell r="E282">
            <v>2</v>
          </cell>
        </row>
        <row r="283">
          <cell r="A283" t="str">
            <v>sandía</v>
          </cell>
          <cell r="B283">
            <v>1172944</v>
          </cell>
          <cell r="C283" t="str">
            <v>0.337049</v>
          </cell>
          <cell r="D283">
            <v>6</v>
          </cell>
          <cell r="E283">
            <v>3</v>
          </cell>
        </row>
        <row r="284">
          <cell r="A284" t="str">
            <v>boca</v>
          </cell>
          <cell r="B284">
            <v>86200021</v>
          </cell>
          <cell r="C284">
            <v>1940517</v>
          </cell>
          <cell r="D284">
            <v>4</v>
          </cell>
          <cell r="E284">
            <v>2</v>
          </cell>
        </row>
        <row r="285">
          <cell r="A285" t="str">
            <v>pulpo</v>
          </cell>
          <cell r="B285">
            <v>1445873</v>
          </cell>
          <cell r="C285" t="str">
            <v>0.388434</v>
          </cell>
          <cell r="D285">
            <v>5</v>
          </cell>
          <cell r="E285">
            <v>2</v>
          </cell>
        </row>
        <row r="286">
          <cell r="A286" t="str">
            <v>bosque</v>
          </cell>
          <cell r="B286">
            <v>50186413</v>
          </cell>
          <cell r="C286">
            <v>1709155</v>
          </cell>
          <cell r="D286">
            <v>5</v>
          </cell>
          <cell r="E286">
            <v>2</v>
          </cell>
        </row>
        <row r="287">
          <cell r="A287" t="str">
            <v>cono</v>
          </cell>
          <cell r="B287">
            <v>5549553</v>
          </cell>
          <cell r="C287" t="str">
            <v>0.816212</v>
          </cell>
          <cell r="D287">
            <v>4</v>
          </cell>
          <cell r="E287">
            <v>2</v>
          </cell>
        </row>
        <row r="288">
          <cell r="A288" t="str">
            <v>gota</v>
          </cell>
          <cell r="B288">
            <v>9958653</v>
          </cell>
          <cell r="C288">
            <v>1039757</v>
          </cell>
          <cell r="D288">
            <v>4</v>
          </cell>
          <cell r="E288">
            <v>2</v>
          </cell>
        </row>
        <row r="289">
          <cell r="A289" t="str">
            <v>aguja</v>
          </cell>
          <cell r="B289">
            <v>6339097</v>
          </cell>
          <cell r="C289" t="str">
            <v>0.865643</v>
          </cell>
          <cell r="D289">
            <v>5</v>
          </cell>
          <cell r="E289">
            <v>3</v>
          </cell>
        </row>
        <row r="290">
          <cell r="A290" t="str">
            <v>violín</v>
          </cell>
          <cell r="B290">
            <v>11540990</v>
          </cell>
          <cell r="C290">
            <v>1098332</v>
          </cell>
          <cell r="D290">
            <v>6</v>
          </cell>
          <cell r="E290">
            <v>2</v>
          </cell>
        </row>
        <row r="291">
          <cell r="A291" t="str">
            <v>granja</v>
          </cell>
          <cell r="B291">
            <v>11118601</v>
          </cell>
          <cell r="C291">
            <v>1083452</v>
          </cell>
          <cell r="D291">
            <v>6</v>
          </cell>
          <cell r="E291">
            <v>2</v>
          </cell>
        </row>
        <row r="292">
          <cell r="A292" t="str">
            <v>balanza</v>
          </cell>
          <cell r="B292">
            <v>8369817</v>
          </cell>
          <cell r="C292" t="str">
            <v>0.971731</v>
          </cell>
          <cell r="D292">
            <v>7</v>
          </cell>
          <cell r="E292">
            <v>3</v>
          </cell>
        </row>
        <row r="293">
          <cell r="A293" t="str">
            <v>círculo</v>
          </cell>
          <cell r="B293">
            <v>40903583</v>
          </cell>
          <cell r="C293">
            <v>1622251</v>
          </cell>
          <cell r="D293">
            <v>7</v>
          </cell>
          <cell r="E293">
            <v>3</v>
          </cell>
        </row>
        <row r="294">
          <cell r="A294" t="str">
            <v>embudo</v>
          </cell>
          <cell r="B294">
            <v>1374392</v>
          </cell>
          <cell r="C294" t="str">
            <v>0.375552</v>
          </cell>
          <cell r="D294">
            <v>6</v>
          </cell>
          <cell r="E294">
            <v>3</v>
          </cell>
        </row>
        <row r="295">
          <cell r="A295" t="str">
            <v>cigüeña</v>
          </cell>
          <cell r="B295">
            <v>4565060</v>
          </cell>
          <cell r="C295" t="str">
            <v>0.745470</v>
          </cell>
          <cell r="D295">
            <v>7</v>
          </cell>
          <cell r="E295">
            <v>3</v>
          </cell>
        </row>
        <row r="296">
          <cell r="A296" t="str">
            <v>sofá</v>
          </cell>
          <cell r="B296">
            <v>6088912</v>
          </cell>
          <cell r="C296" t="str">
            <v>0.850580</v>
          </cell>
          <cell r="D296">
            <v>4</v>
          </cell>
          <cell r="E296">
            <v>2</v>
          </cell>
        </row>
        <row r="297">
          <cell r="A297" t="str">
            <v>ángel</v>
          </cell>
          <cell r="B297">
            <v>59284040</v>
          </cell>
          <cell r="C297">
            <v>1780202</v>
          </cell>
          <cell r="D297">
            <v>5</v>
          </cell>
          <cell r="E297">
            <v>2</v>
          </cell>
        </row>
        <row r="298">
          <cell r="A298" t="str">
            <v>collar</v>
          </cell>
          <cell r="B298">
            <v>5357853</v>
          </cell>
          <cell r="C298" t="str">
            <v>0.803310</v>
          </cell>
          <cell r="D298">
            <v>5</v>
          </cell>
          <cell r="E298">
            <v>2</v>
          </cell>
        </row>
        <row r="299">
          <cell r="A299" t="str">
            <v>esponja</v>
          </cell>
          <cell r="B299">
            <v>1904003</v>
          </cell>
          <cell r="C299" t="str">
            <v>0.462997</v>
          </cell>
          <cell r="D299">
            <v>7</v>
          </cell>
          <cell r="E299">
            <v>3</v>
          </cell>
        </row>
        <row r="300">
          <cell r="A300" t="str">
            <v>pañal</v>
          </cell>
          <cell r="B300" t="str">
            <v>0.406144</v>
          </cell>
          <cell r="C300" t="str">
            <v>0.148030</v>
          </cell>
          <cell r="D300">
            <v>5</v>
          </cell>
          <cell r="E300">
            <v>2</v>
          </cell>
        </row>
        <row r="301">
          <cell r="A301" t="str">
            <v>jersey</v>
          </cell>
          <cell r="B301">
            <v>10381043</v>
          </cell>
          <cell r="C301">
            <v>1056182</v>
          </cell>
          <cell r="D301">
            <v>6</v>
          </cell>
          <cell r="E301">
            <v>2</v>
          </cell>
        </row>
        <row r="302">
          <cell r="A302" t="str">
            <v>pollo</v>
          </cell>
          <cell r="B302">
            <v>9779950</v>
          </cell>
          <cell r="C302">
            <v>1032617</v>
          </cell>
          <cell r="D302">
            <v>4</v>
          </cell>
          <cell r="E302">
            <v>2</v>
          </cell>
        </row>
        <row r="303">
          <cell r="A303" t="str">
            <v>donuts</v>
          </cell>
          <cell r="B303" t="str">
            <v>0.272929</v>
          </cell>
          <cell r="C303" t="str">
            <v>0.104804</v>
          </cell>
          <cell r="D303">
            <v>6</v>
          </cell>
          <cell r="E303">
            <v>2</v>
          </cell>
        </row>
        <row r="304">
          <cell r="A304" t="str">
            <v>labios</v>
          </cell>
          <cell r="B304">
            <v>36650442</v>
          </cell>
          <cell r="C304">
            <v>1575770</v>
          </cell>
          <cell r="D304">
            <v>6</v>
          </cell>
          <cell r="E304">
            <v>2</v>
          </cell>
        </row>
        <row r="305">
          <cell r="A305" t="str">
            <v>clavo</v>
          </cell>
          <cell r="B305">
            <v>6235124</v>
          </cell>
          <cell r="C305" t="str">
            <v>0.859446</v>
          </cell>
          <cell r="D305">
            <v>5</v>
          </cell>
          <cell r="E305">
            <v>2</v>
          </cell>
        </row>
        <row r="306">
          <cell r="A306" t="str">
            <v>lluvia</v>
          </cell>
          <cell r="B306">
            <v>39090556</v>
          </cell>
          <cell r="C306">
            <v>1603042</v>
          </cell>
          <cell r="D306">
            <v>5</v>
          </cell>
          <cell r="E306">
            <v>2</v>
          </cell>
        </row>
        <row r="307">
          <cell r="A307" t="str">
            <v>navaja</v>
          </cell>
          <cell r="B307">
            <v>4019202</v>
          </cell>
          <cell r="C307" t="str">
            <v>0.700635</v>
          </cell>
          <cell r="D307">
            <v>6</v>
          </cell>
          <cell r="E307">
            <v>3</v>
          </cell>
        </row>
        <row r="308">
          <cell r="A308" t="str">
            <v>piedra</v>
          </cell>
          <cell r="B308">
            <v>79510016</v>
          </cell>
          <cell r="C308">
            <v>1905850</v>
          </cell>
          <cell r="D308">
            <v>6</v>
          </cell>
          <cell r="E308">
            <v>2</v>
          </cell>
        </row>
        <row r="309">
          <cell r="A309" t="str">
            <v>aceite</v>
          </cell>
          <cell r="B309">
            <v>25427869</v>
          </cell>
          <cell r="C309">
            <v>1422062</v>
          </cell>
          <cell r="D309">
            <v>6</v>
          </cell>
          <cell r="E309">
            <v>3</v>
          </cell>
        </row>
        <row r="310">
          <cell r="A310" t="str">
            <v>balcón</v>
          </cell>
          <cell r="B310">
            <v>9191853</v>
          </cell>
          <cell r="C310">
            <v>1008253</v>
          </cell>
          <cell r="D310">
            <v>6</v>
          </cell>
          <cell r="E310">
            <v>2</v>
          </cell>
        </row>
        <row r="311">
          <cell r="A311" t="str">
            <v>gatillo</v>
          </cell>
          <cell r="B311">
            <v>1709054</v>
          </cell>
          <cell r="C311" t="str">
            <v>0.432818</v>
          </cell>
          <cell r="D311">
            <v>6</v>
          </cell>
          <cell r="E311">
            <v>3</v>
          </cell>
        </row>
        <row r="312">
          <cell r="A312" t="str">
            <v>jabalí</v>
          </cell>
          <cell r="B312">
            <v>4045195</v>
          </cell>
          <cell r="C312" t="str">
            <v>0.702878</v>
          </cell>
          <cell r="D312">
            <v>6</v>
          </cell>
          <cell r="E312">
            <v>3</v>
          </cell>
        </row>
        <row r="313">
          <cell r="A313" t="str">
            <v>búho</v>
          </cell>
          <cell r="B313">
            <v>2352387</v>
          </cell>
          <cell r="C313" t="str">
            <v>0.525354</v>
          </cell>
          <cell r="D313">
            <v>3</v>
          </cell>
          <cell r="E313">
            <v>2</v>
          </cell>
        </row>
        <row r="314">
          <cell r="A314" t="str">
            <v>nudo</v>
          </cell>
          <cell r="B314">
            <v>7200122</v>
          </cell>
          <cell r="C314" t="str">
            <v>0.913820</v>
          </cell>
          <cell r="D314">
            <v>4</v>
          </cell>
          <cell r="E314">
            <v>2</v>
          </cell>
        </row>
        <row r="315">
          <cell r="A315" t="str">
            <v>cuerda</v>
          </cell>
          <cell r="B315">
            <v>21879794</v>
          </cell>
          <cell r="C315">
            <v>1359452</v>
          </cell>
          <cell r="D315">
            <v>6</v>
          </cell>
          <cell r="E315">
            <v>2</v>
          </cell>
        </row>
        <row r="316">
          <cell r="A316" t="str">
            <v>pulsera</v>
          </cell>
          <cell r="B316">
            <v>1234678</v>
          </cell>
          <cell r="C316" t="str">
            <v>0.349215</v>
          </cell>
          <cell r="D316">
            <v>7</v>
          </cell>
          <cell r="E316">
            <v>3</v>
          </cell>
        </row>
        <row r="317">
          <cell r="A317" t="str">
            <v>esquina</v>
          </cell>
          <cell r="B317">
            <v>20316952</v>
          </cell>
          <cell r="C317">
            <v>1328725</v>
          </cell>
          <cell r="D317">
            <v>6</v>
          </cell>
          <cell r="E317">
            <v>3</v>
          </cell>
        </row>
        <row r="318">
          <cell r="A318" t="str">
            <v>ataúd</v>
          </cell>
          <cell r="B318">
            <v>3694287</v>
          </cell>
          <cell r="C318" t="str">
            <v>0.671570</v>
          </cell>
          <cell r="D318">
            <v>5</v>
          </cell>
          <cell r="E318">
            <v>3</v>
          </cell>
        </row>
        <row r="319">
          <cell r="A319" t="str">
            <v>chorizo</v>
          </cell>
          <cell r="B319">
            <v>1514105</v>
          </cell>
          <cell r="C319" t="str">
            <v>0.400383</v>
          </cell>
          <cell r="D319">
            <v>6</v>
          </cell>
          <cell r="E319">
            <v>3</v>
          </cell>
        </row>
        <row r="320">
          <cell r="A320" t="str">
            <v>plato</v>
          </cell>
          <cell r="B320">
            <v>18533167</v>
          </cell>
          <cell r="C320">
            <v>1290773</v>
          </cell>
          <cell r="D320">
            <v>5</v>
          </cell>
          <cell r="E320">
            <v>2</v>
          </cell>
        </row>
        <row r="321">
          <cell r="A321" t="str">
            <v>ciudad</v>
          </cell>
          <cell r="B321">
            <v>657553775</v>
          </cell>
          <cell r="C321">
            <v>2818591</v>
          </cell>
          <cell r="D321">
            <v>6</v>
          </cell>
          <cell r="E321">
            <v>2</v>
          </cell>
        </row>
        <row r="322">
          <cell r="A322" t="str">
            <v>columna</v>
          </cell>
          <cell r="B322">
            <v>26948472</v>
          </cell>
          <cell r="C322">
            <v>1446358</v>
          </cell>
          <cell r="D322">
            <v>7</v>
          </cell>
          <cell r="E322">
            <v>3</v>
          </cell>
        </row>
        <row r="323">
          <cell r="A323" t="str">
            <v>olla</v>
          </cell>
          <cell r="B323">
            <v>4773005</v>
          </cell>
          <cell r="C323" t="str">
            <v>0.761402</v>
          </cell>
          <cell r="D323">
            <v>3</v>
          </cell>
          <cell r="E323">
            <v>2</v>
          </cell>
        </row>
        <row r="324">
          <cell r="A324" t="str">
            <v>muñeca</v>
          </cell>
          <cell r="B324">
            <v>7096149</v>
          </cell>
          <cell r="C324" t="str">
            <v>0.908279</v>
          </cell>
          <cell r="D324">
            <v>6</v>
          </cell>
          <cell r="E324">
            <v>3</v>
          </cell>
        </row>
        <row r="325">
          <cell r="A325" t="str">
            <v>planta</v>
          </cell>
          <cell r="B325">
            <v>75646773</v>
          </cell>
          <cell r="C325">
            <v>1884494</v>
          </cell>
          <cell r="D325">
            <v>6</v>
          </cell>
          <cell r="E325">
            <v>2</v>
          </cell>
        </row>
        <row r="326">
          <cell r="A326" t="str">
            <v>gallina</v>
          </cell>
          <cell r="B326">
            <v>13916121</v>
          </cell>
          <cell r="C326">
            <v>1173656</v>
          </cell>
          <cell r="D326">
            <v>6</v>
          </cell>
          <cell r="E326">
            <v>3</v>
          </cell>
        </row>
        <row r="327">
          <cell r="A327" t="str">
            <v>puzle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ritten_es_wordlist_out_imageab"/>
      <sheetName val="Output_Espal_Zipf"/>
      <sheetName val="output_Zipf"/>
    </sheetNames>
    <sheetDataSet>
      <sheetData sheetId="0">
        <row r="1">
          <cell r="A1" t="str">
            <v>word</v>
          </cell>
          <cell r="B1" t="str">
            <v>frq</v>
          </cell>
          <cell r="C1" t="str">
            <v>log_frq</v>
          </cell>
          <cell r="D1" t="str">
            <v>es_num_phon</v>
          </cell>
          <cell r="E1" t="str">
            <v>es_num_syll</v>
          </cell>
          <cell r="F1" t="str">
            <v>imageability</v>
          </cell>
        </row>
        <row r="2">
          <cell r="A2" t="str">
            <v>arpa</v>
          </cell>
          <cell r="B2">
            <v>4.3148749999999998</v>
          </cell>
          <cell r="C2">
            <v>0.72549300000000005</v>
          </cell>
          <cell r="D2">
            <v>4</v>
          </cell>
          <cell r="E2">
            <v>2</v>
          </cell>
          <cell r="F2">
            <v>0</v>
          </cell>
        </row>
        <row r="3">
          <cell r="A3" t="str">
            <v>bolo</v>
          </cell>
          <cell r="B3">
            <v>1.4361250000000001</v>
          </cell>
          <cell r="C3">
            <v>0.38669999999999999</v>
          </cell>
          <cell r="D3">
            <v>4</v>
          </cell>
          <cell r="E3">
            <v>2</v>
          </cell>
          <cell r="F3">
            <v>0</v>
          </cell>
        </row>
        <row r="4">
          <cell r="A4" t="str">
            <v>café</v>
          </cell>
          <cell r="B4">
            <v>43.759588000000001</v>
          </cell>
          <cell r="C4">
            <v>1.6508860000000001</v>
          </cell>
          <cell r="D4">
            <v>4</v>
          </cell>
          <cell r="E4">
            <v>2</v>
          </cell>
          <cell r="F4">
            <v>0</v>
          </cell>
        </row>
        <row r="5">
          <cell r="A5" t="str">
            <v>caja</v>
          </cell>
          <cell r="B5">
            <v>51.499070000000003</v>
          </cell>
          <cell r="C5">
            <v>1.7201519999999999</v>
          </cell>
          <cell r="D5">
            <v>4</v>
          </cell>
          <cell r="E5">
            <v>2</v>
          </cell>
          <cell r="F5">
            <v>6.2320000000000002</v>
          </cell>
        </row>
        <row r="6">
          <cell r="A6" t="str">
            <v>cama</v>
          </cell>
          <cell r="B6">
            <v>45.514130999999999</v>
          </cell>
          <cell r="C6">
            <v>1.6675850000000001</v>
          </cell>
          <cell r="D6">
            <v>4</v>
          </cell>
          <cell r="E6">
            <v>2</v>
          </cell>
          <cell r="F6">
            <v>7</v>
          </cell>
        </row>
        <row r="7">
          <cell r="A7" t="str">
            <v>caña</v>
          </cell>
          <cell r="B7">
            <v>11.141344999999999</v>
          </cell>
          <cell r="C7">
            <v>1.0842670000000001</v>
          </cell>
          <cell r="D7">
            <v>4</v>
          </cell>
          <cell r="E7">
            <v>2</v>
          </cell>
          <cell r="F7">
            <v>0</v>
          </cell>
          <cell r="H7" t="str">
            <v xml:space="preserve"> </v>
          </cell>
        </row>
        <row r="8">
          <cell r="A8" t="str">
            <v>coco</v>
          </cell>
          <cell r="B8">
            <v>6.2643659999999999</v>
          </cell>
          <cell r="C8">
            <v>0.86119800000000002</v>
          </cell>
          <cell r="D8">
            <v>4</v>
          </cell>
          <cell r="E8">
            <v>2</v>
          </cell>
          <cell r="F8">
            <v>0</v>
          </cell>
        </row>
        <row r="9">
          <cell r="A9" t="str">
            <v>codo</v>
          </cell>
          <cell r="B9">
            <v>6.6282709999999998</v>
          </cell>
          <cell r="C9">
            <v>0.88242600000000004</v>
          </cell>
          <cell r="D9">
            <v>4</v>
          </cell>
          <cell r="E9">
            <v>2</v>
          </cell>
          <cell r="F9">
            <v>4.2850000000000001</v>
          </cell>
        </row>
        <row r="10">
          <cell r="A10" t="str">
            <v>cuna</v>
          </cell>
          <cell r="B10">
            <v>10.644223999999999</v>
          </cell>
          <cell r="C10">
            <v>1.066111</v>
          </cell>
          <cell r="D10">
            <v>4</v>
          </cell>
          <cell r="E10">
            <v>2</v>
          </cell>
          <cell r="F10">
            <v>6.069</v>
          </cell>
        </row>
        <row r="11">
          <cell r="A11" t="str">
            <v>dado</v>
          </cell>
          <cell r="B11">
            <v>206.73058900000001</v>
          </cell>
          <cell r="C11">
            <v>2.3174999999999999</v>
          </cell>
          <cell r="D11">
            <v>4</v>
          </cell>
          <cell r="E11">
            <v>2</v>
          </cell>
          <cell r="F11">
            <v>5.2729999999999997</v>
          </cell>
        </row>
        <row r="12">
          <cell r="A12" t="str">
            <v>flor</v>
          </cell>
          <cell r="B12">
            <v>33.141356999999999</v>
          </cell>
          <cell r="C12">
            <v>1.5332809999999999</v>
          </cell>
          <cell r="D12">
            <v>4</v>
          </cell>
          <cell r="E12">
            <v>1</v>
          </cell>
          <cell r="F12">
            <v>6.306</v>
          </cell>
          <cell r="G12" t="str">
            <v xml:space="preserve"> </v>
          </cell>
        </row>
        <row r="13">
          <cell r="A13" t="str">
            <v>gato</v>
          </cell>
          <cell r="B13">
            <v>38.557695000000002</v>
          </cell>
          <cell r="C13">
            <v>1.5972310000000001</v>
          </cell>
          <cell r="D13">
            <v>4</v>
          </cell>
          <cell r="E13">
            <v>2</v>
          </cell>
          <cell r="F13">
            <v>0</v>
          </cell>
        </row>
        <row r="14">
          <cell r="A14" t="str">
            <v>goma</v>
          </cell>
          <cell r="B14">
            <v>6.4040800000000004</v>
          </cell>
          <cell r="C14">
            <v>0.86947099999999999</v>
          </cell>
          <cell r="D14">
            <v>4</v>
          </cell>
          <cell r="E14">
            <v>2</v>
          </cell>
          <cell r="F14">
            <v>6.1639999999999997</v>
          </cell>
        </row>
        <row r="15">
          <cell r="A15" t="str">
            <v>isla</v>
          </cell>
          <cell r="B15">
            <v>154.00333900000001</v>
          </cell>
          <cell r="C15">
            <v>2.1903410000000001</v>
          </cell>
          <cell r="D15">
            <v>4</v>
          </cell>
          <cell r="E15">
            <v>2</v>
          </cell>
          <cell r="F15">
            <v>6.15</v>
          </cell>
        </row>
        <row r="16">
          <cell r="A16" t="str">
            <v>juez</v>
          </cell>
          <cell r="B16">
            <v>82.119084999999998</v>
          </cell>
          <cell r="C16">
            <v>1.9197010000000001</v>
          </cell>
          <cell r="D16">
            <v>4</v>
          </cell>
          <cell r="E16">
            <v>1</v>
          </cell>
          <cell r="F16">
            <v>5.9630000000000001</v>
          </cell>
        </row>
        <row r="17">
          <cell r="A17" t="str">
            <v>kiwi</v>
          </cell>
          <cell r="B17">
            <v>0.47112700000000002</v>
          </cell>
          <cell r="C17">
            <v>0.16764999999999999</v>
          </cell>
          <cell r="D17">
            <v>4</v>
          </cell>
          <cell r="E17">
            <v>2</v>
          </cell>
          <cell r="F17">
            <v>0</v>
          </cell>
        </row>
        <row r="18">
          <cell r="A18" t="str">
            <v>león</v>
          </cell>
          <cell r="B18">
            <v>102.42304</v>
          </cell>
          <cell r="C18">
            <v>2.0146169999999999</v>
          </cell>
          <cell r="D18">
            <v>4</v>
          </cell>
          <cell r="E18">
            <v>2</v>
          </cell>
          <cell r="F18">
            <v>6.7629999999999999</v>
          </cell>
        </row>
        <row r="19">
          <cell r="A19" t="str">
            <v>loro</v>
          </cell>
          <cell r="B19">
            <v>7.0766549999999997</v>
          </cell>
          <cell r="C19">
            <v>0.90723200000000004</v>
          </cell>
          <cell r="D19">
            <v>4</v>
          </cell>
          <cell r="E19">
            <v>2</v>
          </cell>
          <cell r="F19">
            <v>6.109</v>
          </cell>
        </row>
        <row r="20">
          <cell r="A20" t="str">
            <v>luna</v>
          </cell>
          <cell r="B20">
            <v>67.640861000000001</v>
          </cell>
          <cell r="C20">
            <v>1.8365830000000001</v>
          </cell>
          <cell r="D20">
            <v>4</v>
          </cell>
          <cell r="E20">
            <v>2</v>
          </cell>
          <cell r="F20">
            <v>5.7489999999999997</v>
          </cell>
        </row>
        <row r="21">
          <cell r="A21" t="str">
            <v>miel</v>
          </cell>
          <cell r="B21">
            <v>16.629162999999998</v>
          </cell>
          <cell r="C21">
            <v>1.246232</v>
          </cell>
          <cell r="D21">
            <v>4</v>
          </cell>
          <cell r="E21">
            <v>1</v>
          </cell>
          <cell r="F21">
            <v>5.4009999999999998</v>
          </cell>
        </row>
        <row r="22">
          <cell r="A22" t="str">
            <v>nido</v>
          </cell>
          <cell r="B22">
            <v>18.253740000000001</v>
          </cell>
          <cell r="C22">
            <v>1.2845150000000001</v>
          </cell>
          <cell r="D22">
            <v>4</v>
          </cell>
          <cell r="E22">
            <v>2</v>
          </cell>
          <cell r="F22">
            <v>6.33</v>
          </cell>
        </row>
        <row r="23">
          <cell r="A23" t="str">
            <v>niña</v>
          </cell>
          <cell r="B23">
            <v>38.005338999999999</v>
          </cell>
          <cell r="C23">
            <v>1.591124</v>
          </cell>
          <cell r="D23">
            <v>4</v>
          </cell>
          <cell r="E23">
            <v>2</v>
          </cell>
          <cell r="F23">
            <v>6.3159999999999998</v>
          </cell>
        </row>
        <row r="24">
          <cell r="A24" t="str">
            <v>niño</v>
          </cell>
          <cell r="B24">
            <v>100.070654</v>
          </cell>
          <cell r="C24">
            <v>2.0046249999999999</v>
          </cell>
          <cell r="D24">
            <v>4</v>
          </cell>
          <cell r="E24">
            <v>2</v>
          </cell>
          <cell r="F24">
            <v>6.39</v>
          </cell>
        </row>
        <row r="25">
          <cell r="A25" t="str">
            <v>nube</v>
          </cell>
          <cell r="B25">
            <v>15.043577000000001</v>
          </cell>
          <cell r="C25">
            <v>1.205301</v>
          </cell>
          <cell r="D25">
            <v>4</v>
          </cell>
          <cell r="E25">
            <v>2</v>
          </cell>
          <cell r="F25">
            <v>6.6180000000000003</v>
          </cell>
        </row>
        <row r="26">
          <cell r="A26" t="str">
            <v>nuez</v>
          </cell>
          <cell r="B26">
            <v>2.9632269999999998</v>
          </cell>
          <cell r="C26">
            <v>0.59804900000000005</v>
          </cell>
          <cell r="D26">
            <v>4</v>
          </cell>
          <cell r="E26">
            <v>1</v>
          </cell>
          <cell r="F26">
            <v>5.3090000000000002</v>
          </cell>
        </row>
        <row r="27">
          <cell r="A27" t="str">
            <v>pala</v>
          </cell>
          <cell r="B27">
            <v>4.116676</v>
          </cell>
          <cell r="C27">
            <v>0.70898799999999995</v>
          </cell>
          <cell r="D27">
            <v>4</v>
          </cell>
          <cell r="E27">
            <v>2</v>
          </cell>
          <cell r="F27">
            <v>6.2629999999999999</v>
          </cell>
        </row>
        <row r="28">
          <cell r="A28" t="str">
            <v>pato</v>
          </cell>
          <cell r="B28">
            <v>14.452230999999999</v>
          </cell>
          <cell r="C28">
            <v>1.1889909999999999</v>
          </cell>
          <cell r="D28">
            <v>4</v>
          </cell>
          <cell r="E28">
            <v>2</v>
          </cell>
          <cell r="F28">
            <v>6.5730000000000004</v>
          </cell>
        </row>
        <row r="29">
          <cell r="A29" t="str">
            <v>pera</v>
          </cell>
          <cell r="B29">
            <v>3.5415760000000001</v>
          </cell>
          <cell r="C29">
            <v>0.65720699999999999</v>
          </cell>
          <cell r="D29">
            <v>4</v>
          </cell>
          <cell r="E29">
            <v>2</v>
          </cell>
          <cell r="F29">
            <v>5.548</v>
          </cell>
        </row>
        <row r="30">
          <cell r="A30" t="str">
            <v>pila</v>
          </cell>
          <cell r="B30">
            <v>8.8506920000000004</v>
          </cell>
          <cell r="C30">
            <v>0.99346699999999999</v>
          </cell>
          <cell r="D30">
            <v>4</v>
          </cell>
          <cell r="E30">
            <v>2</v>
          </cell>
          <cell r="F30">
            <v>6.0279999999999996</v>
          </cell>
        </row>
        <row r="31">
          <cell r="A31" t="str">
            <v>piña</v>
          </cell>
          <cell r="B31">
            <v>2.4888509999999999</v>
          </cell>
          <cell r="C31">
            <v>0.542682</v>
          </cell>
          <cell r="D31">
            <v>4</v>
          </cell>
          <cell r="E31">
            <v>2</v>
          </cell>
          <cell r="F31">
            <v>0</v>
          </cell>
        </row>
        <row r="32">
          <cell r="A32" t="str">
            <v>pipa</v>
          </cell>
          <cell r="B32">
            <v>4.3798579999999996</v>
          </cell>
          <cell r="C32">
            <v>0.73077099999999995</v>
          </cell>
          <cell r="D32">
            <v>4</v>
          </cell>
          <cell r="E32">
            <v>2</v>
          </cell>
          <cell r="F32">
            <v>6.2709999999999999</v>
          </cell>
        </row>
        <row r="33">
          <cell r="A33" t="str">
            <v>pozo</v>
          </cell>
          <cell r="B33">
            <v>16.996317999999999</v>
          </cell>
          <cell r="C33">
            <v>1.2551840000000001</v>
          </cell>
          <cell r="D33">
            <v>4</v>
          </cell>
          <cell r="E33">
            <v>2</v>
          </cell>
          <cell r="F33">
            <v>6.1689999999999996</v>
          </cell>
        </row>
        <row r="34">
          <cell r="A34" t="str">
            <v>raíz</v>
          </cell>
          <cell r="B34">
            <v>43.369689999999999</v>
          </cell>
          <cell r="C34">
            <v>1.6470860000000001</v>
          </cell>
          <cell r="D34">
            <v>4</v>
          </cell>
          <cell r="E34">
            <v>2</v>
          </cell>
          <cell r="F34">
            <v>5.8010000000000002</v>
          </cell>
        </row>
        <row r="35">
          <cell r="A35" t="str">
            <v>rana</v>
          </cell>
          <cell r="B35">
            <v>8.5940089999999998</v>
          </cell>
          <cell r="C35">
            <v>0.98199999999999998</v>
          </cell>
          <cell r="D35">
            <v>4</v>
          </cell>
          <cell r="E35">
            <v>2</v>
          </cell>
          <cell r="F35">
            <v>6.2670000000000003</v>
          </cell>
        </row>
        <row r="36">
          <cell r="A36" t="str">
            <v>saco</v>
          </cell>
          <cell r="B36">
            <v>10.930149999999999</v>
          </cell>
          <cell r="C36">
            <v>1.076646</v>
          </cell>
          <cell r="D36">
            <v>4</v>
          </cell>
          <cell r="E36">
            <v>2</v>
          </cell>
          <cell r="F36">
            <v>5.7670000000000003</v>
          </cell>
        </row>
        <row r="37">
          <cell r="A37" t="str">
            <v>taxi</v>
          </cell>
          <cell r="B37">
            <v>7.109146</v>
          </cell>
          <cell r="C37">
            <v>0.90897499999999998</v>
          </cell>
          <cell r="D37">
            <v>5</v>
          </cell>
          <cell r="E37">
            <v>2</v>
          </cell>
          <cell r="F37">
            <v>6.6539999999999999</v>
          </cell>
        </row>
        <row r="38">
          <cell r="A38" t="str">
            <v>taza</v>
          </cell>
          <cell r="B38">
            <v>6.1733900000000004</v>
          </cell>
          <cell r="C38">
            <v>0.85572400000000004</v>
          </cell>
          <cell r="D38">
            <v>4</v>
          </cell>
          <cell r="E38">
            <v>2</v>
          </cell>
          <cell r="F38">
            <v>5.3410000000000002</v>
          </cell>
        </row>
        <row r="39">
          <cell r="A39" t="str">
            <v>toro</v>
          </cell>
          <cell r="B39">
            <v>31.074895999999999</v>
          </cell>
          <cell r="C39">
            <v>1.506165</v>
          </cell>
          <cell r="D39">
            <v>4</v>
          </cell>
          <cell r="E39">
            <v>2</v>
          </cell>
          <cell r="F39">
            <v>5.8579999999999997</v>
          </cell>
        </row>
        <row r="40">
          <cell r="A40" t="str">
            <v>vaca</v>
          </cell>
          <cell r="B40">
            <v>14.624435999999999</v>
          </cell>
          <cell r="C40">
            <v>1.1938040000000001</v>
          </cell>
          <cell r="D40">
            <v>4</v>
          </cell>
          <cell r="E40">
            <v>2</v>
          </cell>
          <cell r="F40">
            <v>6.0229999999999997</v>
          </cell>
        </row>
        <row r="41">
          <cell r="A41" t="str">
            <v>vaso</v>
          </cell>
          <cell r="B41">
            <v>15.050075</v>
          </cell>
          <cell r="C41">
            <v>1.2054769999999999</v>
          </cell>
          <cell r="D41">
            <v>4</v>
          </cell>
          <cell r="E41">
            <v>2</v>
          </cell>
          <cell r="F41">
            <v>6.6130000000000004</v>
          </cell>
        </row>
        <row r="42">
          <cell r="A42" t="str">
            <v>vela</v>
          </cell>
          <cell r="B42">
            <v>19.797087000000001</v>
          </cell>
          <cell r="C42">
            <v>1.318003</v>
          </cell>
          <cell r="D42">
            <v>4</v>
          </cell>
          <cell r="E42">
            <v>2</v>
          </cell>
          <cell r="F42">
            <v>5.7809999999999997</v>
          </cell>
        </row>
        <row r="43">
          <cell r="A43" t="str">
            <v>aleta</v>
          </cell>
          <cell r="B43">
            <v>1.640822</v>
          </cell>
          <cell r="C43">
            <v>0.42173899999999998</v>
          </cell>
          <cell r="D43">
            <v>5</v>
          </cell>
          <cell r="E43">
            <v>3</v>
          </cell>
          <cell r="F43">
            <v>5.7460000000000004</v>
          </cell>
        </row>
        <row r="44">
          <cell r="A44" t="str">
            <v>ancla</v>
          </cell>
          <cell r="B44">
            <v>2.3068979999999999</v>
          </cell>
          <cell r="C44">
            <v>0.51942100000000002</v>
          </cell>
          <cell r="D44">
            <v>5</v>
          </cell>
          <cell r="E44">
            <v>2</v>
          </cell>
          <cell r="F44">
            <v>5.7060000000000004</v>
          </cell>
        </row>
        <row r="45">
          <cell r="A45" t="str">
            <v>araña</v>
          </cell>
          <cell r="B45">
            <v>12.125838</v>
          </cell>
          <cell r="C45">
            <v>1.1181270000000001</v>
          </cell>
          <cell r="D45">
            <v>5</v>
          </cell>
          <cell r="E45">
            <v>3</v>
          </cell>
          <cell r="F45">
            <v>6.1429999999999998</v>
          </cell>
        </row>
        <row r="46">
          <cell r="A46" t="str">
            <v>árbol</v>
          </cell>
          <cell r="B46">
            <v>49.104444999999998</v>
          </cell>
          <cell r="C46">
            <v>1.6998759999999999</v>
          </cell>
          <cell r="D46">
            <v>5</v>
          </cell>
          <cell r="E46">
            <v>2</v>
          </cell>
          <cell r="F46">
            <v>6.2919999999999998</v>
          </cell>
        </row>
        <row r="47">
          <cell r="A47" t="str">
            <v>avión</v>
          </cell>
          <cell r="B47">
            <v>48.100456000000001</v>
          </cell>
          <cell r="C47">
            <v>1.6910860000000001</v>
          </cell>
          <cell r="D47">
            <v>5</v>
          </cell>
          <cell r="E47">
            <v>2</v>
          </cell>
          <cell r="F47">
            <v>5.81</v>
          </cell>
        </row>
        <row r="48">
          <cell r="A48" t="str">
            <v>banco</v>
          </cell>
          <cell r="B48">
            <v>118.626565</v>
          </cell>
          <cell r="C48">
            <v>2.0778279999999998</v>
          </cell>
          <cell r="D48">
            <v>5</v>
          </cell>
          <cell r="E48">
            <v>2</v>
          </cell>
          <cell r="F48">
            <v>5.7110000000000003</v>
          </cell>
        </row>
        <row r="49">
          <cell r="A49" t="str">
            <v>barba</v>
          </cell>
          <cell r="B49">
            <v>13.942114</v>
          </cell>
          <cell r="C49">
            <v>1.174412</v>
          </cell>
          <cell r="D49">
            <v>5</v>
          </cell>
          <cell r="E49">
            <v>2</v>
          </cell>
          <cell r="F49">
            <v>6.0549999999999997</v>
          </cell>
        </row>
        <row r="50">
          <cell r="A50" t="str">
            <v>bolsa</v>
          </cell>
          <cell r="B50">
            <v>54.780714000000003</v>
          </cell>
          <cell r="C50">
            <v>1.7464839999999999</v>
          </cell>
          <cell r="D50">
            <v>5</v>
          </cell>
          <cell r="E50">
            <v>2</v>
          </cell>
          <cell r="F50">
            <v>5.0350000000000001</v>
          </cell>
        </row>
        <row r="51">
          <cell r="A51" t="str">
            <v>bomba</v>
          </cell>
          <cell r="B51">
            <v>29.463317</v>
          </cell>
          <cell r="C51">
            <v>1.4837769999999999</v>
          </cell>
          <cell r="D51">
            <v>5</v>
          </cell>
          <cell r="E51">
            <v>2</v>
          </cell>
          <cell r="F51">
            <v>5.7919999999999998</v>
          </cell>
        </row>
        <row r="52">
          <cell r="A52" t="str">
            <v>botón</v>
          </cell>
          <cell r="B52">
            <v>7.8272089999999999</v>
          </cell>
          <cell r="C52">
            <v>0.94582299999999997</v>
          </cell>
          <cell r="D52">
            <v>5</v>
          </cell>
          <cell r="E52">
            <v>2</v>
          </cell>
          <cell r="F52">
            <v>6.5259999999999998</v>
          </cell>
        </row>
        <row r="53">
          <cell r="A53" t="str">
            <v>braga</v>
          </cell>
          <cell r="B53">
            <v>2.5180929999999999</v>
          </cell>
          <cell r="C53">
            <v>0.54630699999999999</v>
          </cell>
          <cell r="D53">
            <v>5</v>
          </cell>
          <cell r="E53">
            <v>2</v>
          </cell>
          <cell r="F53">
            <v>0</v>
          </cell>
        </row>
        <row r="54">
          <cell r="A54" t="str">
            <v>brazo</v>
          </cell>
          <cell r="B54">
            <v>48.779528999999997</v>
          </cell>
          <cell r="C54">
            <v>1.6970510000000001</v>
          </cell>
          <cell r="D54">
            <v>5</v>
          </cell>
          <cell r="E54">
            <v>2</v>
          </cell>
          <cell r="F54">
            <v>6.0860000000000003</v>
          </cell>
        </row>
        <row r="55">
          <cell r="A55" t="str">
            <v>bruja</v>
          </cell>
          <cell r="B55">
            <v>9.2275939999999999</v>
          </cell>
          <cell r="C55">
            <v>1.009773</v>
          </cell>
          <cell r="D55">
            <v>5</v>
          </cell>
          <cell r="E55">
            <v>2</v>
          </cell>
          <cell r="F55">
            <v>6.1269999999999998</v>
          </cell>
        </row>
        <row r="56">
          <cell r="A56" t="str">
            <v>buzón</v>
          </cell>
          <cell r="B56">
            <v>1.364644</v>
          </cell>
          <cell r="C56">
            <v>0.37376599999999999</v>
          </cell>
          <cell r="D56">
            <v>5</v>
          </cell>
          <cell r="E56">
            <v>2</v>
          </cell>
          <cell r="F56">
            <v>6.2880000000000003</v>
          </cell>
        </row>
        <row r="57">
          <cell r="A57" t="str">
            <v>cable</v>
          </cell>
          <cell r="B57">
            <v>16.567430000000002</v>
          </cell>
          <cell r="C57">
            <v>1.2447079999999999</v>
          </cell>
          <cell r="D57">
            <v>5</v>
          </cell>
          <cell r="E57">
            <v>2</v>
          </cell>
          <cell r="F57">
            <v>5.7119999999999997</v>
          </cell>
        </row>
        <row r="58">
          <cell r="A58" t="str">
            <v>cajón</v>
          </cell>
          <cell r="B58">
            <v>8.145626</v>
          </cell>
          <cell r="C58">
            <v>0.96121299999999998</v>
          </cell>
          <cell r="D58">
            <v>5</v>
          </cell>
          <cell r="E58">
            <v>2</v>
          </cell>
          <cell r="F58">
            <v>6.3920000000000003</v>
          </cell>
        </row>
        <row r="59">
          <cell r="A59" t="str">
            <v>cañón</v>
          </cell>
          <cell r="B59">
            <v>18.260238000000001</v>
          </cell>
          <cell r="C59">
            <v>1.284662</v>
          </cell>
          <cell r="D59">
            <v>5</v>
          </cell>
          <cell r="E59">
            <v>2</v>
          </cell>
          <cell r="F59">
            <v>5.5940000000000003</v>
          </cell>
        </row>
        <row r="60">
          <cell r="A60" t="str">
            <v>casco</v>
          </cell>
          <cell r="B60">
            <v>22.786307999999998</v>
          </cell>
          <cell r="C60">
            <v>1.3763270000000001</v>
          </cell>
          <cell r="D60">
            <v>5</v>
          </cell>
          <cell r="E60">
            <v>2</v>
          </cell>
          <cell r="F60">
            <v>5.7969999999999997</v>
          </cell>
        </row>
        <row r="61">
          <cell r="A61" t="str">
            <v>cebra</v>
          </cell>
          <cell r="B61">
            <v>1.2769170000000001</v>
          </cell>
          <cell r="C61">
            <v>0.35734700000000003</v>
          </cell>
          <cell r="D61">
            <v>5</v>
          </cell>
          <cell r="E61">
            <v>2</v>
          </cell>
          <cell r="F61">
            <v>0</v>
          </cell>
        </row>
        <row r="62">
          <cell r="A62" t="str">
            <v>cerdo</v>
          </cell>
          <cell r="B62">
            <v>15.163796</v>
          </cell>
          <cell r="C62">
            <v>1.2085429999999999</v>
          </cell>
          <cell r="D62">
            <v>5</v>
          </cell>
          <cell r="E62">
            <v>2</v>
          </cell>
          <cell r="F62">
            <v>5.8040000000000003</v>
          </cell>
        </row>
        <row r="63">
          <cell r="A63" t="str">
            <v>cesta</v>
          </cell>
          <cell r="B63">
            <v>4.0549429999999997</v>
          </cell>
          <cell r="C63">
            <v>0.70371600000000001</v>
          </cell>
          <cell r="D63">
            <v>5</v>
          </cell>
          <cell r="E63">
            <v>2</v>
          </cell>
          <cell r="F63">
            <v>6.0570000000000004</v>
          </cell>
        </row>
        <row r="64">
          <cell r="A64" t="str">
            <v>cisne</v>
          </cell>
          <cell r="B64">
            <v>11.115351</v>
          </cell>
          <cell r="C64">
            <v>1.0833360000000001</v>
          </cell>
          <cell r="D64">
            <v>5</v>
          </cell>
          <cell r="E64">
            <v>2</v>
          </cell>
          <cell r="F64">
            <v>6.3330000000000002</v>
          </cell>
        </row>
        <row r="65">
          <cell r="A65" t="str">
            <v>coche</v>
          </cell>
          <cell r="B65">
            <v>55.531269000000002</v>
          </cell>
          <cell r="C65">
            <v>1.752289</v>
          </cell>
          <cell r="D65">
            <v>4</v>
          </cell>
          <cell r="E65">
            <v>2</v>
          </cell>
          <cell r="F65">
            <v>6.5659999999999998</v>
          </cell>
        </row>
        <row r="66">
          <cell r="A66" t="str">
            <v>diana</v>
          </cell>
          <cell r="B66">
            <v>10.855418999999999</v>
          </cell>
          <cell r="C66">
            <v>1.073917</v>
          </cell>
          <cell r="D66">
            <v>5</v>
          </cell>
          <cell r="E66">
            <v>2</v>
          </cell>
          <cell r="F66">
            <v>5.4539999999999997</v>
          </cell>
        </row>
        <row r="67">
          <cell r="A67" t="str">
            <v>ducha</v>
          </cell>
          <cell r="B67">
            <v>2.5668310000000001</v>
          </cell>
          <cell r="C67">
            <v>0.55228200000000005</v>
          </cell>
          <cell r="D67">
            <v>4</v>
          </cell>
          <cell r="E67">
            <v>2</v>
          </cell>
          <cell r="F67">
            <v>6.5650000000000004</v>
          </cell>
        </row>
        <row r="68">
          <cell r="A68" t="str">
            <v>falda</v>
          </cell>
          <cell r="B68">
            <v>8.3373259999999991</v>
          </cell>
          <cell r="C68">
            <v>0.97022299999999995</v>
          </cell>
          <cell r="D68">
            <v>5</v>
          </cell>
          <cell r="E68">
            <v>2</v>
          </cell>
          <cell r="F68">
            <v>6.5910000000000002</v>
          </cell>
        </row>
        <row r="69">
          <cell r="A69" t="str">
            <v>fresa</v>
          </cell>
          <cell r="B69">
            <v>1.99498</v>
          </cell>
          <cell r="C69" t="str">
            <v>0.476394</v>
          </cell>
          <cell r="D69">
            <v>5</v>
          </cell>
          <cell r="E69">
            <v>2</v>
          </cell>
          <cell r="F69">
            <v>6.67</v>
          </cell>
        </row>
        <row r="70">
          <cell r="A70" t="str">
            <v>gafas</v>
          </cell>
          <cell r="B70">
            <v>6.4398210000000002</v>
          </cell>
          <cell r="C70" t="str">
            <v>0.871562</v>
          </cell>
          <cell r="D70">
            <v>5</v>
          </cell>
          <cell r="E70">
            <v>2</v>
          </cell>
          <cell r="F70">
            <v>5.8010000000000002</v>
          </cell>
        </row>
        <row r="71">
          <cell r="A71" t="str">
            <v>gaita</v>
          </cell>
          <cell r="B71">
            <v>2.18668</v>
          </cell>
          <cell r="C71" t="str">
            <v>0.503338</v>
          </cell>
          <cell r="D71">
            <v>5</v>
          </cell>
          <cell r="E71">
            <v>2</v>
          </cell>
          <cell r="F71">
            <v>0</v>
          </cell>
        </row>
        <row r="72">
          <cell r="A72" t="str">
            <v>globo</v>
          </cell>
          <cell r="B72">
            <v>16.944330999999998</v>
          </cell>
          <cell r="C72">
            <v>1.253927</v>
          </cell>
          <cell r="D72">
            <v>5</v>
          </cell>
          <cell r="E72">
            <v>2</v>
          </cell>
          <cell r="F72">
            <v>6.2430000000000003</v>
          </cell>
        </row>
        <row r="73">
          <cell r="A73" t="str">
            <v>grifo</v>
          </cell>
          <cell r="B73">
            <v>2.2939020000000001</v>
          </cell>
          <cell r="C73" t="str">
            <v>0.517711</v>
          </cell>
          <cell r="D73">
            <v>5</v>
          </cell>
          <cell r="E73">
            <v>2</v>
          </cell>
          <cell r="F73">
            <v>5.8070000000000004</v>
          </cell>
        </row>
        <row r="74">
          <cell r="A74" t="str">
            <v>jaula</v>
          </cell>
          <cell r="B74">
            <v>6.4463189999999999</v>
          </cell>
          <cell r="C74" t="str">
            <v>0.871942</v>
          </cell>
          <cell r="D74">
            <v>5</v>
          </cell>
          <cell r="E74">
            <v>2</v>
          </cell>
          <cell r="F74">
            <v>6.4850000000000003</v>
          </cell>
        </row>
        <row r="75">
          <cell r="A75" t="str">
            <v>koala</v>
          </cell>
          <cell r="B75">
            <v>0.58159799999999995</v>
          </cell>
          <cell r="C75" t="str">
            <v>0.199096</v>
          </cell>
          <cell r="D75">
            <v>5</v>
          </cell>
          <cell r="E75">
            <v>3</v>
          </cell>
          <cell r="F75">
            <v>0</v>
          </cell>
        </row>
        <row r="76">
          <cell r="A76" t="str">
            <v>limón</v>
          </cell>
          <cell r="B76">
            <v>6.9629339999999997</v>
          </cell>
          <cell r="C76" t="str">
            <v>0.901073</v>
          </cell>
          <cell r="D76">
            <v>5</v>
          </cell>
          <cell r="E76">
            <v>2</v>
          </cell>
          <cell r="F76">
            <v>0</v>
          </cell>
        </row>
        <row r="77">
          <cell r="A77" t="str">
            <v>llave</v>
          </cell>
          <cell r="B77">
            <v>21.866797999999999</v>
          </cell>
          <cell r="C77">
            <v>1.359205</v>
          </cell>
          <cell r="D77">
            <v>4</v>
          </cell>
          <cell r="E77">
            <v>2</v>
          </cell>
          <cell r="F77">
            <v>5.7679999999999998</v>
          </cell>
        </row>
        <row r="78">
          <cell r="A78" t="str">
            <v>melón</v>
          </cell>
          <cell r="B78">
            <v>1.6343240000000001</v>
          </cell>
          <cell r="C78" t="str">
            <v>0.420669</v>
          </cell>
          <cell r="D78">
            <v>5</v>
          </cell>
          <cell r="E78">
            <v>2</v>
          </cell>
          <cell r="F78">
            <v>0</v>
          </cell>
        </row>
        <row r="79">
          <cell r="A79" t="str">
            <v>motor</v>
          </cell>
          <cell r="B79">
            <v>49.299393999999999</v>
          </cell>
          <cell r="C79">
            <v>1.7015629999999999</v>
          </cell>
          <cell r="D79">
            <v>5</v>
          </cell>
          <cell r="E79">
            <v>2</v>
          </cell>
          <cell r="F79">
            <v>5.6520000000000001</v>
          </cell>
        </row>
        <row r="80">
          <cell r="A80" t="str">
            <v>nariz</v>
          </cell>
          <cell r="B80">
            <v>20.281210999999999</v>
          </cell>
          <cell r="C80">
            <v>1.327996</v>
          </cell>
          <cell r="D80">
            <v>5</v>
          </cell>
          <cell r="E80">
            <v>2</v>
          </cell>
          <cell r="F80">
            <v>6.39</v>
          </cell>
        </row>
        <row r="81">
          <cell r="A81" t="str">
            <v>oreja</v>
          </cell>
          <cell r="B81">
            <v>21.012270000000001</v>
          </cell>
          <cell r="C81">
            <v>1.342665</v>
          </cell>
          <cell r="D81">
            <v>5</v>
          </cell>
          <cell r="E81">
            <v>3</v>
          </cell>
          <cell r="F81">
            <v>6.4509999999999996</v>
          </cell>
        </row>
        <row r="82">
          <cell r="A82" t="str">
            <v>oveja</v>
          </cell>
          <cell r="B82">
            <v>20.924543</v>
          </cell>
          <cell r="C82">
            <v>1.3409310000000001</v>
          </cell>
          <cell r="D82">
            <v>5</v>
          </cell>
          <cell r="E82">
            <v>3</v>
          </cell>
          <cell r="F82">
            <v>6.3220000000000001</v>
          </cell>
        </row>
        <row r="83">
          <cell r="A83" t="str">
            <v>perro</v>
          </cell>
          <cell r="B83">
            <v>69.970502999999994</v>
          </cell>
          <cell r="C83">
            <v>1.851078</v>
          </cell>
          <cell r="D83">
            <v>4</v>
          </cell>
          <cell r="E83">
            <v>2</v>
          </cell>
          <cell r="F83">
            <v>6.5730000000000004</v>
          </cell>
        </row>
        <row r="84">
          <cell r="A84" t="str">
            <v>piano</v>
          </cell>
          <cell r="B84">
            <v>35.406016999999999</v>
          </cell>
          <cell r="C84">
            <v>1.5611729999999999</v>
          </cell>
          <cell r="D84">
            <v>5</v>
          </cell>
          <cell r="E84">
            <v>2</v>
          </cell>
          <cell r="F84">
            <v>6.5650000000000004</v>
          </cell>
        </row>
        <row r="85">
          <cell r="A85" t="str">
            <v>pinza</v>
          </cell>
          <cell r="B85">
            <v>1.0234829999999999</v>
          </cell>
          <cell r="C85" t="str">
            <v>0.306100</v>
          </cell>
          <cell r="D85">
            <v>5</v>
          </cell>
          <cell r="E85">
            <v>2</v>
          </cell>
          <cell r="F85">
            <v>0</v>
          </cell>
        </row>
        <row r="86">
          <cell r="A86" t="str">
            <v>pizza</v>
          </cell>
          <cell r="B86">
            <v>2.1931780000000001</v>
          </cell>
          <cell r="C86" t="str">
            <v>0.504223</v>
          </cell>
          <cell r="D86">
            <v>5</v>
          </cell>
          <cell r="E86">
            <v>2</v>
          </cell>
          <cell r="F86">
            <v>0</v>
          </cell>
        </row>
        <row r="87">
          <cell r="A87" t="str">
            <v>queso</v>
          </cell>
          <cell r="B87">
            <v>13.899875</v>
          </cell>
          <cell r="C87">
            <v>1.1731830000000001</v>
          </cell>
          <cell r="D87">
            <v>4</v>
          </cell>
          <cell r="E87">
            <v>2</v>
          </cell>
          <cell r="F87">
            <v>5.8490000000000002</v>
          </cell>
        </row>
        <row r="88">
          <cell r="A88" t="str">
            <v>regla</v>
          </cell>
          <cell r="B88">
            <v>32.338816999999999</v>
          </cell>
          <cell r="C88">
            <v>1.52295</v>
          </cell>
          <cell r="D88">
            <v>5</v>
          </cell>
          <cell r="E88">
            <v>2</v>
          </cell>
          <cell r="F88">
            <v>5.585</v>
          </cell>
        </row>
        <row r="89">
          <cell r="A89" t="str">
            <v>reina</v>
          </cell>
          <cell r="B89">
            <v>92.948510999999996</v>
          </cell>
          <cell r="C89">
            <v>1.97289</v>
          </cell>
          <cell r="D89">
            <v>5</v>
          </cell>
          <cell r="E89">
            <v>2</v>
          </cell>
          <cell r="F89">
            <v>6.3440000000000003</v>
          </cell>
        </row>
        <row r="90">
          <cell r="A90" t="str">
            <v>reloj</v>
          </cell>
          <cell r="B90">
            <v>26.145931999999998</v>
          </cell>
          <cell r="C90">
            <v>1.433705</v>
          </cell>
          <cell r="D90">
            <v>5</v>
          </cell>
          <cell r="E90">
            <v>2</v>
          </cell>
          <cell r="F90">
            <v>6.0430000000000001</v>
          </cell>
        </row>
        <row r="91">
          <cell r="A91" t="str">
            <v>robot</v>
          </cell>
          <cell r="B91">
            <v>9.6922219999999992</v>
          </cell>
          <cell r="C91">
            <v>1.0290680000000001</v>
          </cell>
          <cell r="D91">
            <v>5</v>
          </cell>
          <cell r="E91">
            <v>2</v>
          </cell>
          <cell r="F91">
            <v>6.0990000000000002</v>
          </cell>
        </row>
        <row r="92">
          <cell r="A92" t="str">
            <v>silla</v>
          </cell>
          <cell r="B92">
            <v>24.804031999999999</v>
          </cell>
          <cell r="C92">
            <v>1.4116880000000001</v>
          </cell>
          <cell r="D92">
            <v>4</v>
          </cell>
          <cell r="E92">
            <v>2</v>
          </cell>
          <cell r="F92">
            <v>6.54</v>
          </cell>
        </row>
        <row r="93">
          <cell r="A93" t="str">
            <v>tacón</v>
          </cell>
          <cell r="B93">
            <v>1.432876</v>
          </cell>
          <cell r="C93" t="str">
            <v>0.386120</v>
          </cell>
          <cell r="D93">
            <v>5</v>
          </cell>
          <cell r="E93">
            <v>2</v>
          </cell>
          <cell r="F93">
            <v>6.1029999999999998</v>
          </cell>
        </row>
        <row r="94">
          <cell r="A94" t="str">
            <v>traje</v>
          </cell>
          <cell r="B94">
            <v>31.711729999999999</v>
          </cell>
          <cell r="C94">
            <v>1.5147040000000001</v>
          </cell>
          <cell r="D94">
            <v>5</v>
          </cell>
          <cell r="E94">
            <v>2</v>
          </cell>
          <cell r="F94">
            <v>5.9429999999999996</v>
          </cell>
        </row>
        <row r="95">
          <cell r="A95" t="str">
            <v>túnel</v>
          </cell>
          <cell r="B95">
            <v>14.653679</v>
          </cell>
          <cell r="C95">
            <v>1.1946159999999999</v>
          </cell>
          <cell r="D95">
            <v>5</v>
          </cell>
          <cell r="E95">
            <v>2</v>
          </cell>
          <cell r="F95">
            <v>6.2069999999999999</v>
          </cell>
        </row>
        <row r="96">
          <cell r="A96" t="str">
            <v>abrazo</v>
          </cell>
          <cell r="B96">
            <v>6.0011850000000004</v>
          </cell>
          <cell r="C96" t="str">
            <v>0.845172</v>
          </cell>
          <cell r="D96">
            <v>6</v>
          </cell>
          <cell r="E96">
            <v>3</v>
          </cell>
          <cell r="F96">
            <v>6.2089999999999996</v>
          </cell>
        </row>
        <row r="97">
          <cell r="A97" t="str">
            <v>antena</v>
          </cell>
          <cell r="B97">
            <v>19.144007999999999</v>
          </cell>
          <cell r="C97">
            <v>1.304146</v>
          </cell>
          <cell r="D97">
            <v>6</v>
          </cell>
          <cell r="E97">
            <v>3</v>
          </cell>
          <cell r="F97">
            <v>6.5780000000000003</v>
          </cell>
        </row>
        <row r="98">
          <cell r="A98" t="str">
            <v>babero</v>
          </cell>
          <cell r="B98">
            <v>0.12346799999999999</v>
          </cell>
          <cell r="C98" t="str">
            <v>0.050561</v>
          </cell>
          <cell r="D98">
            <v>6</v>
          </cell>
          <cell r="E98">
            <v>3</v>
          </cell>
          <cell r="F98">
            <v>0</v>
          </cell>
        </row>
        <row r="99">
          <cell r="A99" t="str">
            <v>bañera</v>
          </cell>
          <cell r="B99">
            <v>1.8065290000000001</v>
          </cell>
          <cell r="C99" t="str">
            <v>0.448170</v>
          </cell>
          <cell r="D99">
            <v>6</v>
          </cell>
          <cell r="E99">
            <v>3</v>
          </cell>
          <cell r="F99">
            <v>6.6920000000000002</v>
          </cell>
        </row>
        <row r="100">
          <cell r="A100" t="str">
            <v>biblia</v>
          </cell>
          <cell r="B100">
            <v>17.376469</v>
          </cell>
          <cell r="C100">
            <v>1.264262</v>
          </cell>
          <cell r="D100">
            <v>6</v>
          </cell>
          <cell r="E100">
            <v>2</v>
          </cell>
          <cell r="F100">
            <v>5.702</v>
          </cell>
        </row>
        <row r="101">
          <cell r="A101" t="str">
            <v>bigote</v>
          </cell>
          <cell r="B101">
            <v>3.924976</v>
          </cell>
          <cell r="C101" t="str">
            <v>0.692404</v>
          </cell>
          <cell r="D101">
            <v>6</v>
          </cell>
          <cell r="E101">
            <v>3</v>
          </cell>
          <cell r="F101">
            <v>6.5039999999999996</v>
          </cell>
        </row>
        <row r="102">
          <cell r="A102" t="str">
            <v>billar</v>
          </cell>
          <cell r="B102">
            <v>2.2126730000000001</v>
          </cell>
          <cell r="C102" t="str">
            <v>0.506867</v>
          </cell>
          <cell r="D102">
            <v>5</v>
          </cell>
          <cell r="E102">
            <v>2</v>
          </cell>
          <cell r="F102">
            <v>0</v>
          </cell>
        </row>
        <row r="103">
          <cell r="A103" t="str">
            <v>cactus</v>
          </cell>
          <cell r="B103">
            <v>1.884509</v>
          </cell>
          <cell r="C103" t="str">
            <v>0.460072</v>
          </cell>
          <cell r="D103">
            <v>6</v>
          </cell>
          <cell r="E103">
            <v>2</v>
          </cell>
          <cell r="F103">
            <v>6.5090000000000003</v>
          </cell>
        </row>
        <row r="104">
          <cell r="A104" t="str">
            <v>cadena</v>
          </cell>
          <cell r="B104">
            <v>68.664344</v>
          </cell>
          <cell r="C104">
            <v>1.843011</v>
          </cell>
          <cell r="D104">
            <v>6</v>
          </cell>
          <cell r="E104">
            <v>3</v>
          </cell>
          <cell r="F104">
            <v>6.4429999999999996</v>
          </cell>
        </row>
        <row r="105">
          <cell r="A105" t="str">
            <v>cámara</v>
          </cell>
          <cell r="B105">
            <v>134.49867599999999</v>
          </cell>
          <cell r="C105">
            <v>2.1319349999999999</v>
          </cell>
          <cell r="D105">
            <v>6</v>
          </cell>
          <cell r="E105">
            <v>3</v>
          </cell>
          <cell r="F105">
            <v>6.2569999999999997</v>
          </cell>
        </row>
        <row r="106">
          <cell r="A106" t="str">
            <v>camisa</v>
          </cell>
          <cell r="B106">
            <v>13.724421</v>
          </cell>
          <cell r="C106">
            <v>1.1680379999999999</v>
          </cell>
          <cell r="D106">
            <v>6</v>
          </cell>
          <cell r="E106">
            <v>3</v>
          </cell>
          <cell r="F106">
            <v>6.2809999999999997</v>
          </cell>
        </row>
        <row r="107">
          <cell r="A107" t="str">
            <v>cereza</v>
          </cell>
          <cell r="B107">
            <v>1.4101319999999999</v>
          </cell>
          <cell r="C107" t="str">
            <v>0.382041</v>
          </cell>
          <cell r="D107">
            <v>6</v>
          </cell>
          <cell r="E107">
            <v>3</v>
          </cell>
          <cell r="F107">
            <v>0</v>
          </cell>
        </row>
        <row r="108">
          <cell r="A108" t="str">
            <v>cocina</v>
          </cell>
          <cell r="B108">
            <v>38.593435999999997</v>
          </cell>
          <cell r="C108">
            <v>1.597623</v>
          </cell>
          <cell r="D108">
            <v>6</v>
          </cell>
          <cell r="E108">
            <v>3</v>
          </cell>
          <cell r="F108">
            <v>6.0590000000000002</v>
          </cell>
        </row>
        <row r="109">
          <cell r="A109" t="str">
            <v>cometa</v>
          </cell>
          <cell r="B109">
            <v>6.0434239999999999</v>
          </cell>
          <cell r="C109" t="str">
            <v>0.847784</v>
          </cell>
          <cell r="D109">
            <v>6</v>
          </cell>
          <cell r="E109">
            <v>3</v>
          </cell>
          <cell r="F109">
            <v>6.0659999999999998</v>
          </cell>
        </row>
        <row r="110">
          <cell r="A110" t="str">
            <v>compás</v>
          </cell>
          <cell r="B110">
            <v>6.9921769999999999</v>
          </cell>
          <cell r="C110" t="str">
            <v>0.902665</v>
          </cell>
          <cell r="D110">
            <v>6</v>
          </cell>
          <cell r="E110">
            <v>2</v>
          </cell>
          <cell r="F110">
            <v>6.1820000000000004</v>
          </cell>
        </row>
        <row r="111">
          <cell r="A111" t="str">
            <v>conejo</v>
          </cell>
          <cell r="B111">
            <v>8.5485209999999991</v>
          </cell>
          <cell r="C111" t="str">
            <v>0.979936</v>
          </cell>
          <cell r="D111">
            <v>6</v>
          </cell>
          <cell r="E111">
            <v>3</v>
          </cell>
          <cell r="F111">
            <v>6.0609999999999999</v>
          </cell>
        </row>
        <row r="112">
          <cell r="A112" t="str">
            <v>corona</v>
          </cell>
          <cell r="B112">
            <v>52.204135999999998</v>
          </cell>
          <cell r="C112">
            <v>1.7259450000000001</v>
          </cell>
          <cell r="D112">
            <v>6</v>
          </cell>
          <cell r="E112">
            <v>3</v>
          </cell>
          <cell r="F112">
            <v>5.5570000000000004</v>
          </cell>
        </row>
        <row r="113">
          <cell r="A113" t="str">
            <v>delfín</v>
          </cell>
          <cell r="B113">
            <v>4.6365410000000002</v>
          </cell>
          <cell r="C113" t="str">
            <v>0.751013</v>
          </cell>
          <cell r="D113">
            <v>6</v>
          </cell>
          <cell r="E113">
            <v>2</v>
          </cell>
          <cell r="F113">
            <v>0</v>
          </cell>
        </row>
        <row r="114">
          <cell r="A114" t="str">
            <v>dominó</v>
          </cell>
          <cell r="B114">
            <v>5.517061</v>
          </cell>
          <cell r="C114" t="str">
            <v>0.814052</v>
          </cell>
          <cell r="D114">
            <v>6</v>
          </cell>
          <cell r="E114">
            <v>3</v>
          </cell>
          <cell r="F114">
            <v>0</v>
          </cell>
        </row>
        <row r="115">
          <cell r="A115" t="str">
            <v>escoba</v>
          </cell>
          <cell r="B115">
            <v>2.2159219999999999</v>
          </cell>
          <cell r="C115" t="str">
            <v>0.507306</v>
          </cell>
          <cell r="D115">
            <v>6</v>
          </cell>
          <cell r="E115">
            <v>3</v>
          </cell>
          <cell r="F115">
            <v>5.8490000000000002</v>
          </cell>
        </row>
        <row r="116">
          <cell r="A116" t="str">
            <v>espada</v>
          </cell>
          <cell r="B116">
            <v>39.308249000000004</v>
          </cell>
          <cell r="C116">
            <v>1.605394</v>
          </cell>
          <cell r="D116">
            <v>6</v>
          </cell>
          <cell r="E116">
            <v>3</v>
          </cell>
          <cell r="F116">
            <v>5.8760000000000003</v>
          </cell>
        </row>
        <row r="117">
          <cell r="A117" t="str">
            <v>espejo</v>
          </cell>
          <cell r="B117">
            <v>26.272649000000001</v>
          </cell>
          <cell r="C117">
            <v>1.435727</v>
          </cell>
          <cell r="D117">
            <v>6</v>
          </cell>
          <cell r="E117">
            <v>3</v>
          </cell>
          <cell r="F117">
            <v>5.5949999999999998</v>
          </cell>
        </row>
        <row r="118">
          <cell r="A118" t="str">
            <v>farola</v>
          </cell>
          <cell r="B118">
            <v>0.51336599999999999</v>
          </cell>
          <cell r="C118" t="str">
            <v>0.179944</v>
          </cell>
          <cell r="D118">
            <v>6</v>
          </cell>
          <cell r="E118">
            <v>3</v>
          </cell>
          <cell r="F118">
            <v>0</v>
          </cell>
        </row>
        <row r="119">
          <cell r="A119" t="str">
            <v>flauta</v>
          </cell>
          <cell r="B119">
            <v>7.7752220000000003</v>
          </cell>
          <cell r="C119" t="str">
            <v>0.943258</v>
          </cell>
          <cell r="D119">
            <v>6</v>
          </cell>
          <cell r="E119">
            <v>2</v>
          </cell>
          <cell r="F119">
            <v>5.9710000000000001</v>
          </cell>
        </row>
        <row r="120">
          <cell r="A120" t="str">
            <v>flecha</v>
          </cell>
          <cell r="B120">
            <v>9.6077449999999995</v>
          </cell>
          <cell r="C120">
            <v>1.025623</v>
          </cell>
          <cell r="D120">
            <v>5</v>
          </cell>
          <cell r="E120">
            <v>2</v>
          </cell>
          <cell r="F120">
            <v>6.1189999999999998</v>
          </cell>
        </row>
        <row r="121">
          <cell r="A121" t="str">
            <v>fuente</v>
          </cell>
          <cell r="B121">
            <v>113.05426799999999</v>
          </cell>
          <cell r="C121">
            <v>2.0571120000000001</v>
          </cell>
          <cell r="D121">
            <v>6</v>
          </cell>
          <cell r="E121">
            <v>2</v>
          </cell>
          <cell r="F121">
            <v>6.524</v>
          </cell>
        </row>
        <row r="122">
          <cell r="A122" t="str">
            <v>guante</v>
          </cell>
          <cell r="B122">
            <v>3.6942870000000001</v>
          </cell>
          <cell r="C122" t="str">
            <v>0.671570</v>
          </cell>
          <cell r="D122">
            <v>6</v>
          </cell>
          <cell r="E122">
            <v>2</v>
          </cell>
          <cell r="F122">
            <v>6.3280000000000003</v>
          </cell>
        </row>
        <row r="123">
          <cell r="A123" t="str">
            <v>jirafa</v>
          </cell>
          <cell r="B123">
            <v>0.659578</v>
          </cell>
          <cell r="C123" t="str">
            <v>0.219998</v>
          </cell>
          <cell r="D123">
            <v>6</v>
          </cell>
          <cell r="E123">
            <v>3</v>
          </cell>
          <cell r="F123">
            <v>0</v>
          </cell>
        </row>
        <row r="124">
          <cell r="A124" t="str">
            <v>lengua</v>
          </cell>
          <cell r="B124">
            <v>119.43885299999999</v>
          </cell>
          <cell r="C124">
            <v>2.0807669999999998</v>
          </cell>
          <cell r="D124">
            <v>6</v>
          </cell>
          <cell r="E124">
            <v>2</v>
          </cell>
          <cell r="F124">
            <v>6.4059999999999997</v>
          </cell>
        </row>
        <row r="125">
          <cell r="A125" t="str">
            <v>maleta</v>
          </cell>
          <cell r="B125">
            <v>4.4220969999999999</v>
          </cell>
          <cell r="C125" t="str">
            <v>0.734167</v>
          </cell>
          <cell r="D125">
            <v>6</v>
          </cell>
          <cell r="E125">
            <v>3</v>
          </cell>
          <cell r="F125">
            <v>4.87</v>
          </cell>
        </row>
        <row r="126">
          <cell r="A126" t="str">
            <v>medusa</v>
          </cell>
          <cell r="B126">
            <v>1.822775</v>
          </cell>
          <cell r="C126" t="str">
            <v>0.450676</v>
          </cell>
          <cell r="D126">
            <v>6</v>
          </cell>
          <cell r="E126">
            <v>3</v>
          </cell>
          <cell r="F126">
            <v>0</v>
          </cell>
        </row>
        <row r="127">
          <cell r="A127" t="str">
            <v>minero</v>
          </cell>
          <cell r="B127">
            <v>5.8094849999999996</v>
          </cell>
          <cell r="C127" t="str">
            <v>0.833114</v>
          </cell>
          <cell r="D127">
            <v>6</v>
          </cell>
          <cell r="E127">
            <v>3</v>
          </cell>
          <cell r="F127">
            <v>5.5609999999999999</v>
          </cell>
        </row>
        <row r="128">
          <cell r="A128" t="str">
            <v>molino</v>
          </cell>
          <cell r="B128">
            <v>9.6109939999999998</v>
          </cell>
          <cell r="C128">
            <v>1.0257559999999999</v>
          </cell>
          <cell r="D128">
            <v>6</v>
          </cell>
          <cell r="E128">
            <v>3</v>
          </cell>
          <cell r="F128">
            <v>6.0979999999999999</v>
          </cell>
        </row>
        <row r="129">
          <cell r="A129" t="str">
            <v>moneda</v>
          </cell>
          <cell r="B129">
            <v>46.768304000000001</v>
          </cell>
          <cell r="C129">
            <v>1.6791400000000001</v>
          </cell>
          <cell r="D129">
            <v>6</v>
          </cell>
          <cell r="E129">
            <v>3</v>
          </cell>
          <cell r="F129">
            <v>6.2949999999999999</v>
          </cell>
        </row>
        <row r="130">
          <cell r="A130" t="str">
            <v>muleta</v>
          </cell>
          <cell r="B130">
            <v>3.3043879999999999</v>
          </cell>
          <cell r="C130" t="str">
            <v>0.633911</v>
          </cell>
          <cell r="D130">
            <v>6</v>
          </cell>
          <cell r="E130">
            <v>3</v>
          </cell>
          <cell r="F130">
            <v>0</v>
          </cell>
        </row>
        <row r="131">
          <cell r="A131" t="str">
            <v>paella</v>
          </cell>
          <cell r="B131">
            <v>1.0364800000000001</v>
          </cell>
          <cell r="C131" t="str">
            <v>0.308880</v>
          </cell>
          <cell r="D131">
            <v>5</v>
          </cell>
          <cell r="E131">
            <v>3</v>
          </cell>
          <cell r="F131">
            <v>5.8230000000000004</v>
          </cell>
        </row>
        <row r="132">
          <cell r="A132" t="str">
            <v>patata</v>
          </cell>
          <cell r="B132">
            <v>3.4570979999999998</v>
          </cell>
          <cell r="C132" t="str">
            <v>0.649052</v>
          </cell>
          <cell r="D132">
            <v>6</v>
          </cell>
          <cell r="E132">
            <v>3</v>
          </cell>
          <cell r="F132">
            <v>6.3129999999999997</v>
          </cell>
        </row>
        <row r="133">
          <cell r="A133" t="str">
            <v>payaso</v>
          </cell>
          <cell r="B133">
            <v>3.814505</v>
          </cell>
          <cell r="C133" t="str">
            <v>0.682552</v>
          </cell>
          <cell r="D133">
            <v>6</v>
          </cell>
          <cell r="E133">
            <v>3</v>
          </cell>
          <cell r="F133">
            <v>6.3310000000000004</v>
          </cell>
        </row>
        <row r="134">
          <cell r="A134" t="str">
            <v>percha</v>
          </cell>
          <cell r="B134">
            <v>0.90326399999999996</v>
          </cell>
          <cell r="C134" t="str">
            <v>0.279499</v>
          </cell>
          <cell r="D134">
            <v>5</v>
          </cell>
          <cell r="E134">
            <v>2</v>
          </cell>
          <cell r="F134">
            <v>6.6139999999999999</v>
          </cell>
        </row>
        <row r="135">
          <cell r="A135" t="str">
            <v>pincel</v>
          </cell>
          <cell r="B135">
            <v>2.3783799999999999</v>
          </cell>
          <cell r="C135" t="str">
            <v>0.528708</v>
          </cell>
          <cell r="D135">
            <v>6</v>
          </cell>
          <cell r="E135">
            <v>2</v>
          </cell>
          <cell r="F135">
            <v>5.86</v>
          </cell>
        </row>
        <row r="136">
          <cell r="A136" t="str">
            <v>puerta</v>
          </cell>
          <cell r="B136">
            <v>158.97779199999999</v>
          </cell>
          <cell r="C136">
            <v>2.2040600000000001</v>
          </cell>
          <cell r="D136">
            <v>6</v>
          </cell>
          <cell r="E136">
            <v>2</v>
          </cell>
          <cell r="F136">
            <v>5.8040000000000003</v>
          </cell>
        </row>
        <row r="137">
          <cell r="A137" t="str">
            <v>pulmón</v>
          </cell>
          <cell r="B137">
            <v>6.0174310000000002</v>
          </cell>
          <cell r="C137" t="str">
            <v>0.846178</v>
          </cell>
          <cell r="D137">
            <v>6</v>
          </cell>
          <cell r="E137">
            <v>2</v>
          </cell>
          <cell r="F137">
            <v>5.4409999999999998</v>
          </cell>
        </row>
        <row r="138">
          <cell r="A138" t="str">
            <v>regalo</v>
          </cell>
          <cell r="B138">
            <v>15.066321</v>
          </cell>
          <cell r="C138">
            <v>1.205916</v>
          </cell>
          <cell r="D138">
            <v>6</v>
          </cell>
          <cell r="E138">
            <v>3</v>
          </cell>
          <cell r="F138">
            <v>6.03</v>
          </cell>
        </row>
        <row r="139">
          <cell r="A139" t="str">
            <v>sirena</v>
          </cell>
          <cell r="B139">
            <v>3.7917610000000002</v>
          </cell>
          <cell r="C139" t="str">
            <v>0.680495</v>
          </cell>
          <cell r="D139">
            <v>6</v>
          </cell>
          <cell r="E139">
            <v>3</v>
          </cell>
          <cell r="F139">
            <v>5.8810000000000002</v>
          </cell>
        </row>
        <row r="140">
          <cell r="A140" t="str">
            <v>sombra</v>
          </cell>
          <cell r="B140">
            <v>47.505862</v>
          </cell>
          <cell r="C140">
            <v>1.685794</v>
          </cell>
          <cell r="D140">
            <v>6</v>
          </cell>
          <cell r="E140">
            <v>2</v>
          </cell>
          <cell r="F140">
            <v>6.0449999999999999</v>
          </cell>
        </row>
        <row r="141">
          <cell r="A141" t="str">
            <v>tambor</v>
          </cell>
          <cell r="B141">
            <v>7.8532019999999996</v>
          </cell>
          <cell r="C141" t="str">
            <v>0.947100</v>
          </cell>
          <cell r="D141">
            <v>6</v>
          </cell>
          <cell r="E141">
            <v>2</v>
          </cell>
          <cell r="F141">
            <v>6.2130000000000001</v>
          </cell>
        </row>
        <row r="142">
          <cell r="A142" t="str">
            <v>tanque</v>
          </cell>
          <cell r="B142">
            <v>8.0838920000000005</v>
          </cell>
          <cell r="C142" t="str">
            <v>0.958272</v>
          </cell>
          <cell r="D142">
            <v>5</v>
          </cell>
          <cell r="E142">
            <v>2</v>
          </cell>
          <cell r="F142">
            <v>5.9930000000000003</v>
          </cell>
        </row>
        <row r="143">
          <cell r="A143" t="str">
            <v>tejado</v>
          </cell>
          <cell r="B143">
            <v>6.2383730000000002</v>
          </cell>
          <cell r="C143" t="str">
            <v>0.859641</v>
          </cell>
          <cell r="D143">
            <v>6</v>
          </cell>
          <cell r="E143">
            <v>3</v>
          </cell>
          <cell r="F143">
            <v>6.1369999999999996</v>
          </cell>
        </row>
        <row r="144">
          <cell r="A144" t="str">
            <v>tomate</v>
          </cell>
          <cell r="B144">
            <v>6.9629339999999997</v>
          </cell>
          <cell r="C144" t="str">
            <v>0.901073</v>
          </cell>
          <cell r="D144">
            <v>6</v>
          </cell>
          <cell r="E144">
            <v>3</v>
          </cell>
          <cell r="F144">
            <v>6.6280000000000001</v>
          </cell>
        </row>
        <row r="145">
          <cell r="A145" t="str">
            <v>torero</v>
          </cell>
          <cell r="B145">
            <v>8.3275780000000008</v>
          </cell>
          <cell r="C145" t="str">
            <v>0.969769</v>
          </cell>
          <cell r="D145">
            <v>6</v>
          </cell>
          <cell r="E145">
            <v>3</v>
          </cell>
          <cell r="F145">
            <v>6.1070000000000002</v>
          </cell>
        </row>
        <row r="146">
          <cell r="A146" t="str">
            <v>trébol</v>
          </cell>
          <cell r="B146">
            <v>1.527102</v>
          </cell>
          <cell r="C146" t="str">
            <v>0.402623</v>
          </cell>
          <cell r="D146">
            <v>6</v>
          </cell>
          <cell r="E146">
            <v>2</v>
          </cell>
          <cell r="F146">
            <v>0</v>
          </cell>
        </row>
        <row r="147">
          <cell r="A147" t="str">
            <v>volcán</v>
          </cell>
          <cell r="B147">
            <v>11.839912</v>
          </cell>
          <cell r="C147">
            <v>1.108562</v>
          </cell>
          <cell r="D147">
            <v>6</v>
          </cell>
          <cell r="E147">
            <v>2</v>
          </cell>
          <cell r="F147">
            <v>6.1669999999999998</v>
          </cell>
        </row>
        <row r="148">
          <cell r="A148" t="str">
            <v>zapato</v>
          </cell>
          <cell r="B148">
            <v>3.4181089999999998</v>
          </cell>
          <cell r="C148" t="str">
            <v>0.645236</v>
          </cell>
          <cell r="D148">
            <v>6</v>
          </cell>
          <cell r="E148">
            <v>3</v>
          </cell>
          <cell r="F148">
            <v>5.6360000000000001</v>
          </cell>
        </row>
        <row r="149">
          <cell r="A149" t="str">
            <v>abanico</v>
          </cell>
          <cell r="B149">
            <v>7.1058969999999997</v>
          </cell>
          <cell r="C149" t="str">
            <v>0.908801</v>
          </cell>
          <cell r="D149">
            <v>7</v>
          </cell>
          <cell r="E149">
            <v>4</v>
          </cell>
          <cell r="F149">
            <v>5.7279999999999998</v>
          </cell>
        </row>
        <row r="150">
          <cell r="A150" t="str">
            <v>ardilla</v>
          </cell>
          <cell r="B150">
            <v>2.3718810000000001</v>
          </cell>
          <cell r="C150" t="str">
            <v>0.527872</v>
          </cell>
          <cell r="D150">
            <v>6</v>
          </cell>
          <cell r="E150">
            <v>3</v>
          </cell>
          <cell r="F150">
            <v>5.8730000000000002</v>
          </cell>
        </row>
        <row r="151">
          <cell r="A151" t="str">
            <v>autobús</v>
          </cell>
          <cell r="B151">
            <v>13.26629</v>
          </cell>
          <cell r="C151">
            <v>1.1543110000000001</v>
          </cell>
          <cell r="D151">
            <v>7</v>
          </cell>
          <cell r="E151">
            <v>3</v>
          </cell>
          <cell r="F151">
            <v>6.3040000000000003</v>
          </cell>
        </row>
        <row r="152">
          <cell r="A152" t="str">
            <v>bandeja</v>
          </cell>
          <cell r="B152">
            <v>3.79501</v>
          </cell>
          <cell r="C152" t="str">
            <v>0.680790</v>
          </cell>
          <cell r="D152">
            <v>7</v>
          </cell>
          <cell r="E152">
            <v>3</v>
          </cell>
          <cell r="F152">
            <v>5.5970000000000004</v>
          </cell>
        </row>
        <row r="153">
          <cell r="A153" t="str">
            <v>bandera</v>
          </cell>
          <cell r="B153">
            <v>48.090708999999997</v>
          </cell>
          <cell r="C153">
            <v>1.6909989999999999</v>
          </cell>
          <cell r="D153">
            <v>7</v>
          </cell>
          <cell r="E153">
            <v>3</v>
          </cell>
          <cell r="F153">
            <v>6.0510000000000002</v>
          </cell>
        </row>
        <row r="154">
          <cell r="A154" t="str">
            <v>batería</v>
          </cell>
          <cell r="B154">
            <v>35.051859</v>
          </cell>
          <cell r="C154">
            <v>1.5569280000000001</v>
          </cell>
          <cell r="D154">
            <v>7</v>
          </cell>
          <cell r="E154">
            <v>4</v>
          </cell>
          <cell r="F154">
            <v>5.9139999999999997</v>
          </cell>
        </row>
        <row r="155">
          <cell r="A155" t="str">
            <v>billete</v>
          </cell>
          <cell r="B155">
            <v>8.7077290000000005</v>
          </cell>
          <cell r="C155" t="str">
            <v>0.987118</v>
          </cell>
          <cell r="D155">
            <v>6</v>
          </cell>
          <cell r="E155">
            <v>3</v>
          </cell>
          <cell r="F155">
            <v>6.5140000000000002</v>
          </cell>
        </row>
        <row r="156">
          <cell r="A156" t="str">
            <v>bombero</v>
          </cell>
          <cell r="B156">
            <v>1.445873</v>
          </cell>
          <cell r="C156" t="str">
            <v>0.388434</v>
          </cell>
          <cell r="D156">
            <v>7</v>
          </cell>
          <cell r="E156">
            <v>3</v>
          </cell>
          <cell r="F156">
            <v>0</v>
          </cell>
        </row>
        <row r="157">
          <cell r="A157" t="str">
            <v>botella</v>
          </cell>
          <cell r="B157">
            <v>15.618677</v>
          </cell>
          <cell r="C157">
            <v>1.220596</v>
          </cell>
          <cell r="D157">
            <v>6</v>
          </cell>
          <cell r="E157">
            <v>3</v>
          </cell>
          <cell r="F157">
            <v>6.7649999999999997</v>
          </cell>
        </row>
        <row r="158">
          <cell r="A158" t="str">
            <v>brújula</v>
          </cell>
          <cell r="B158">
            <v>2.144441</v>
          </cell>
          <cell r="C158" t="str">
            <v>0.497543</v>
          </cell>
          <cell r="D158">
            <v>7</v>
          </cell>
          <cell r="E158">
            <v>3</v>
          </cell>
          <cell r="F158">
            <v>0</v>
          </cell>
        </row>
        <row r="159">
          <cell r="A159" t="str">
            <v>campana</v>
          </cell>
          <cell r="B159">
            <v>11.859406999999999</v>
          </cell>
          <cell r="C159">
            <v>1.109221</v>
          </cell>
          <cell r="D159">
            <v>7</v>
          </cell>
          <cell r="E159">
            <v>3</v>
          </cell>
          <cell r="F159">
            <v>6.4880000000000004</v>
          </cell>
        </row>
        <row r="160">
          <cell r="A160" t="str">
            <v>canguro</v>
          </cell>
          <cell r="B160">
            <v>0.98124400000000001</v>
          </cell>
          <cell r="C160" t="str">
            <v>0.296938</v>
          </cell>
          <cell r="D160">
            <v>7</v>
          </cell>
          <cell r="E160">
            <v>3</v>
          </cell>
          <cell r="F160">
            <v>0</v>
          </cell>
        </row>
        <row r="161">
          <cell r="A161" t="str">
            <v>caracol</v>
          </cell>
          <cell r="B161">
            <v>6.8557119999999996</v>
          </cell>
          <cell r="C161" t="str">
            <v>0.895186</v>
          </cell>
          <cell r="D161">
            <v>7</v>
          </cell>
          <cell r="E161">
            <v>3</v>
          </cell>
          <cell r="F161">
            <v>6.5350000000000001</v>
          </cell>
        </row>
        <row r="162">
          <cell r="A162" t="str">
            <v>cazador</v>
          </cell>
          <cell r="B162">
            <v>10.27707</v>
          </cell>
          <cell r="C162">
            <v>1.0521959999999999</v>
          </cell>
          <cell r="D162">
            <v>7</v>
          </cell>
          <cell r="E162">
            <v>3</v>
          </cell>
          <cell r="F162">
            <v>5.5119999999999996</v>
          </cell>
        </row>
        <row r="163">
          <cell r="A163" t="str">
            <v>cebolla</v>
          </cell>
          <cell r="B163">
            <v>5.3091160000000004</v>
          </cell>
          <cell r="C163" t="str">
            <v>0.799968</v>
          </cell>
          <cell r="D163">
            <v>6</v>
          </cell>
          <cell r="E163">
            <v>3</v>
          </cell>
          <cell r="F163">
            <v>6.4059999999999997</v>
          </cell>
        </row>
        <row r="164">
          <cell r="A164" t="str">
            <v>cerebro</v>
          </cell>
          <cell r="B164">
            <v>31.659744</v>
          </cell>
          <cell r="C164">
            <v>1.5140130000000001</v>
          </cell>
          <cell r="D164">
            <v>7</v>
          </cell>
          <cell r="E164">
            <v>3</v>
          </cell>
          <cell r="F164">
            <v>5.7080000000000002</v>
          </cell>
        </row>
        <row r="165">
          <cell r="A165" t="str">
            <v>chaleco</v>
          </cell>
          <cell r="B165">
            <v>3.98996</v>
          </cell>
          <cell r="C165" t="str">
            <v>0.698097</v>
          </cell>
          <cell r="D165">
            <v>6</v>
          </cell>
          <cell r="E165">
            <v>3</v>
          </cell>
          <cell r="F165">
            <v>6.4950000000000001</v>
          </cell>
        </row>
        <row r="166">
          <cell r="A166" t="str">
            <v>chupete</v>
          </cell>
          <cell r="B166">
            <v>0.39314700000000002</v>
          </cell>
          <cell r="C166" t="str">
            <v>0.143997</v>
          </cell>
          <cell r="D166">
            <v>6</v>
          </cell>
          <cell r="E166">
            <v>3</v>
          </cell>
          <cell r="F166">
            <v>0</v>
          </cell>
        </row>
        <row r="167">
          <cell r="A167" t="str">
            <v>corazón</v>
          </cell>
          <cell r="B167">
            <v>148.45703599999999</v>
          </cell>
          <cell r="C167">
            <v>2.1745160000000001</v>
          </cell>
          <cell r="D167">
            <v>7</v>
          </cell>
          <cell r="E167">
            <v>3</v>
          </cell>
          <cell r="F167">
            <v>6.1580000000000004</v>
          </cell>
        </row>
        <row r="168">
          <cell r="A168" t="str">
            <v>corbata</v>
          </cell>
          <cell r="B168">
            <v>5.2018930000000001</v>
          </cell>
          <cell r="C168" t="str">
            <v>0.792524</v>
          </cell>
          <cell r="D168">
            <v>7</v>
          </cell>
          <cell r="E168">
            <v>3</v>
          </cell>
          <cell r="F168">
            <v>6.1479999999999997</v>
          </cell>
        </row>
        <row r="169">
          <cell r="A169" t="str">
            <v>cortina</v>
          </cell>
          <cell r="B169">
            <v>6.868709</v>
          </cell>
          <cell r="C169" t="str">
            <v>0.895903</v>
          </cell>
          <cell r="D169">
            <v>7</v>
          </cell>
          <cell r="E169">
            <v>3</v>
          </cell>
          <cell r="F169">
            <v>5.6390000000000002</v>
          </cell>
        </row>
        <row r="170">
          <cell r="A170" t="str">
            <v>enchufe</v>
          </cell>
          <cell r="B170">
            <v>0.46138000000000001</v>
          </cell>
          <cell r="C170" t="str">
            <v>0.164763</v>
          </cell>
          <cell r="D170">
            <v>6</v>
          </cell>
          <cell r="E170">
            <v>3</v>
          </cell>
          <cell r="F170">
            <v>0</v>
          </cell>
        </row>
        <row r="171">
          <cell r="A171" t="str">
            <v>espalda</v>
          </cell>
          <cell r="B171">
            <v>32.439540000000001</v>
          </cell>
          <cell r="C171">
            <v>1.5242599999999999</v>
          </cell>
          <cell r="D171">
            <v>7</v>
          </cell>
          <cell r="E171">
            <v>3</v>
          </cell>
          <cell r="F171">
            <v>6.48</v>
          </cell>
        </row>
        <row r="172">
          <cell r="A172" t="str">
            <v>estuche</v>
          </cell>
          <cell r="B172">
            <v>1.7772870000000001</v>
          </cell>
          <cell r="C172" t="str">
            <v>0.443621</v>
          </cell>
          <cell r="D172">
            <v>6</v>
          </cell>
          <cell r="E172">
            <v>3</v>
          </cell>
          <cell r="F172">
            <v>5.774</v>
          </cell>
        </row>
        <row r="173">
          <cell r="A173" t="str">
            <v>galleta</v>
          </cell>
          <cell r="B173">
            <v>1.2346779999999999</v>
          </cell>
          <cell r="C173" t="str">
            <v>0.349215</v>
          </cell>
          <cell r="D173">
            <v>6</v>
          </cell>
          <cell r="E173">
            <v>3</v>
          </cell>
          <cell r="F173">
            <v>0</v>
          </cell>
        </row>
        <row r="174">
          <cell r="A174" t="str">
            <v>girasol</v>
          </cell>
          <cell r="B174">
            <v>2.043717</v>
          </cell>
          <cell r="C174" t="str">
            <v>0.483404</v>
          </cell>
          <cell r="D174">
            <v>7</v>
          </cell>
          <cell r="E174">
            <v>3</v>
          </cell>
          <cell r="F174">
            <v>0</v>
          </cell>
        </row>
        <row r="175">
          <cell r="A175" t="str">
            <v>lámpara</v>
          </cell>
          <cell r="B175">
            <v>9.1756069999999994</v>
          </cell>
          <cell r="C175">
            <v>1.00756</v>
          </cell>
          <cell r="D175">
            <v>7</v>
          </cell>
          <cell r="E175">
            <v>3</v>
          </cell>
          <cell r="F175">
            <v>6.1040000000000001</v>
          </cell>
        </row>
        <row r="176">
          <cell r="A176" t="str">
            <v>lechuga</v>
          </cell>
          <cell r="B176">
            <v>1.6960580000000001</v>
          </cell>
          <cell r="C176" t="str">
            <v>0.430729</v>
          </cell>
          <cell r="D176">
            <v>6</v>
          </cell>
          <cell r="E176">
            <v>3</v>
          </cell>
          <cell r="F176">
            <v>5.6580000000000004</v>
          </cell>
        </row>
        <row r="177">
          <cell r="A177" t="str">
            <v>manzana</v>
          </cell>
          <cell r="B177">
            <v>8.1261310000000009</v>
          </cell>
          <cell r="C177" t="str">
            <v>0.960287</v>
          </cell>
          <cell r="D177">
            <v>7</v>
          </cell>
          <cell r="E177">
            <v>3</v>
          </cell>
          <cell r="F177">
            <v>6.58</v>
          </cell>
        </row>
        <row r="178">
          <cell r="A178" t="str">
            <v>mechero</v>
          </cell>
          <cell r="B178">
            <v>0.578349</v>
          </cell>
          <cell r="C178" t="str">
            <v>0.198203</v>
          </cell>
          <cell r="D178">
            <v>6</v>
          </cell>
          <cell r="E178">
            <v>3</v>
          </cell>
          <cell r="F178">
            <v>6.5519999999999996</v>
          </cell>
        </row>
        <row r="179">
          <cell r="A179" t="str">
            <v>medalla</v>
          </cell>
          <cell r="B179">
            <v>32.085383</v>
          </cell>
          <cell r="C179">
            <v>1.519636</v>
          </cell>
          <cell r="D179">
            <v>6</v>
          </cell>
          <cell r="E179">
            <v>3</v>
          </cell>
          <cell r="F179">
            <v>6.391</v>
          </cell>
        </row>
        <row r="180">
          <cell r="A180" t="str">
            <v>mochila</v>
          </cell>
          <cell r="B180">
            <v>3.0477050000000001</v>
          </cell>
          <cell r="C180" t="str">
            <v>0.607209</v>
          </cell>
          <cell r="D180">
            <v>6</v>
          </cell>
          <cell r="E180">
            <v>3</v>
          </cell>
          <cell r="F180">
            <v>5.8250000000000002</v>
          </cell>
        </row>
        <row r="181">
          <cell r="A181" t="str">
            <v>nadador</v>
          </cell>
          <cell r="B181">
            <v>1.6960580000000001</v>
          </cell>
          <cell r="C181" t="str">
            <v>0.430729</v>
          </cell>
          <cell r="D181">
            <v>7</v>
          </cell>
          <cell r="E181">
            <v>3</v>
          </cell>
          <cell r="F181">
            <v>0</v>
          </cell>
        </row>
        <row r="182">
          <cell r="A182" t="str">
            <v>naranja</v>
          </cell>
          <cell r="B182">
            <v>14.959099</v>
          </cell>
          <cell r="C182">
            <v>1.2030080000000001</v>
          </cell>
          <cell r="D182">
            <v>7</v>
          </cell>
          <cell r="E182">
            <v>3</v>
          </cell>
          <cell r="F182">
            <v>6.0510000000000002</v>
          </cell>
        </row>
        <row r="183">
          <cell r="A183" t="str">
            <v>pasillo</v>
          </cell>
          <cell r="B183">
            <v>9.9943939999999998</v>
          </cell>
          <cell r="C183">
            <v>1.0411710000000001</v>
          </cell>
          <cell r="D183">
            <v>6</v>
          </cell>
          <cell r="E183">
            <v>3</v>
          </cell>
          <cell r="F183">
            <v>6.274</v>
          </cell>
        </row>
        <row r="184">
          <cell r="A184" t="str">
            <v>piscina</v>
          </cell>
          <cell r="B184">
            <v>10.387541000000001</v>
          </cell>
          <cell r="C184">
            <v>1.05643</v>
          </cell>
          <cell r="D184">
            <v>7</v>
          </cell>
          <cell r="E184">
            <v>3</v>
          </cell>
          <cell r="F184">
            <v>6.54</v>
          </cell>
        </row>
        <row r="185">
          <cell r="A185" t="str">
            <v>plancha</v>
          </cell>
          <cell r="B185">
            <v>2.9144899999999998</v>
          </cell>
          <cell r="C185" t="str">
            <v>0.592675</v>
          </cell>
          <cell r="D185">
            <v>6</v>
          </cell>
          <cell r="E185">
            <v>2</v>
          </cell>
          <cell r="F185">
            <v>5.6580000000000004</v>
          </cell>
        </row>
        <row r="186">
          <cell r="A186" t="str">
            <v>portero</v>
          </cell>
          <cell r="B186">
            <v>18.026299000000002</v>
          </cell>
          <cell r="C186">
            <v>1.2793540000000001</v>
          </cell>
          <cell r="D186">
            <v>7</v>
          </cell>
          <cell r="E186">
            <v>3</v>
          </cell>
          <cell r="F186">
            <v>6.1689999999999996</v>
          </cell>
        </row>
        <row r="187">
          <cell r="A187" t="str">
            <v>rodilla</v>
          </cell>
          <cell r="B187">
            <v>12.164828</v>
          </cell>
          <cell r="C187">
            <v>1.119415</v>
          </cell>
          <cell r="D187">
            <v>6</v>
          </cell>
          <cell r="E187">
            <v>3</v>
          </cell>
          <cell r="F187">
            <v>4.6340000000000003</v>
          </cell>
        </row>
        <row r="188">
          <cell r="A188" t="str">
            <v>teclado</v>
          </cell>
          <cell r="B188">
            <v>8.8117020000000004</v>
          </cell>
          <cell r="C188" t="str">
            <v>0.991744</v>
          </cell>
          <cell r="D188">
            <v>7</v>
          </cell>
          <cell r="E188">
            <v>3</v>
          </cell>
          <cell r="F188">
            <v>0</v>
          </cell>
        </row>
        <row r="189">
          <cell r="A189" t="str">
            <v>tenedor</v>
          </cell>
          <cell r="B189">
            <v>1.9040029999999999</v>
          </cell>
          <cell r="C189" t="str">
            <v>0.462997</v>
          </cell>
          <cell r="D189">
            <v>7</v>
          </cell>
          <cell r="E189">
            <v>3</v>
          </cell>
          <cell r="F189">
            <v>6.4130000000000003</v>
          </cell>
        </row>
        <row r="190">
          <cell r="A190" t="str">
            <v>tiburón</v>
          </cell>
          <cell r="B190">
            <v>3.4083610000000002</v>
          </cell>
          <cell r="C190" t="str">
            <v>0.644277</v>
          </cell>
          <cell r="D190">
            <v>7</v>
          </cell>
          <cell r="E190">
            <v>3</v>
          </cell>
          <cell r="F190">
            <v>0</v>
          </cell>
        </row>
        <row r="191">
          <cell r="A191" t="str">
            <v>tijeras</v>
          </cell>
          <cell r="B191">
            <v>2.41412</v>
          </cell>
          <cell r="C191" t="str">
            <v>0.533279</v>
          </cell>
          <cell r="D191">
            <v>7</v>
          </cell>
          <cell r="E191">
            <v>3</v>
          </cell>
          <cell r="F191">
            <v>6.2539999999999996</v>
          </cell>
        </row>
        <row r="192">
          <cell r="A192" t="str">
            <v>tortuga</v>
          </cell>
          <cell r="B192">
            <v>5.6340310000000002</v>
          </cell>
          <cell r="C192" t="str">
            <v>0.821777</v>
          </cell>
          <cell r="D192">
            <v>7</v>
          </cell>
          <cell r="E192">
            <v>3</v>
          </cell>
          <cell r="F192">
            <v>6.4180000000000001</v>
          </cell>
        </row>
        <row r="193">
          <cell r="A193" t="str">
            <v>tractor</v>
          </cell>
          <cell r="B193">
            <v>1.319156</v>
          </cell>
          <cell r="C193" t="str">
            <v>0.365330</v>
          </cell>
          <cell r="D193">
            <v>7</v>
          </cell>
          <cell r="E193">
            <v>2</v>
          </cell>
          <cell r="F193">
            <v>0</v>
          </cell>
        </row>
        <row r="194">
          <cell r="A194" t="str">
            <v>vestido</v>
          </cell>
          <cell r="B194">
            <v>31.224357000000001</v>
          </cell>
          <cell r="C194">
            <v>1.508184</v>
          </cell>
          <cell r="D194">
            <v>7</v>
          </cell>
          <cell r="E194">
            <v>3</v>
          </cell>
          <cell r="F194">
            <v>0</v>
          </cell>
        </row>
        <row r="195">
          <cell r="A195" t="str">
            <v>volante</v>
          </cell>
          <cell r="B195">
            <v>7.6647509999999999</v>
          </cell>
          <cell r="C195" t="str">
            <v>0.937756</v>
          </cell>
          <cell r="D195">
            <v>7</v>
          </cell>
          <cell r="E195">
            <v>3</v>
          </cell>
          <cell r="F195">
            <v>6.5090000000000003</v>
          </cell>
        </row>
        <row r="196">
          <cell r="A196" t="str">
            <v>copa</v>
          </cell>
          <cell r="B196">
            <v>117.71030399999999</v>
          </cell>
          <cell r="C196">
            <v>2.0744880000000001</v>
          </cell>
          <cell r="D196">
            <v>4</v>
          </cell>
          <cell r="E196">
            <v>2</v>
          </cell>
          <cell r="F196">
            <v>6.3879999999999999</v>
          </cell>
        </row>
        <row r="197">
          <cell r="A197" t="str">
            <v>faro</v>
          </cell>
          <cell r="B197">
            <v>7.8921919999999997</v>
          </cell>
          <cell r="C197" t="str">
            <v>0.949009</v>
          </cell>
          <cell r="D197">
            <v>4</v>
          </cell>
          <cell r="E197">
            <v>2</v>
          </cell>
          <cell r="F197">
            <v>0</v>
          </cell>
        </row>
        <row r="198">
          <cell r="A198" t="str">
            <v>pico</v>
          </cell>
          <cell r="B198">
            <v>29.9117</v>
          </cell>
          <cell r="C198">
            <v>1.4901230000000001</v>
          </cell>
          <cell r="D198">
            <v>4</v>
          </cell>
          <cell r="E198">
            <v>2</v>
          </cell>
          <cell r="F198">
            <v>5.944</v>
          </cell>
        </row>
        <row r="199">
          <cell r="A199" t="str">
            <v>puño</v>
          </cell>
          <cell r="B199">
            <v>5.9816900000000004</v>
          </cell>
          <cell r="C199" t="str">
            <v>0.843961</v>
          </cell>
          <cell r="D199">
            <v>4</v>
          </cell>
          <cell r="E199">
            <v>2</v>
          </cell>
          <cell r="F199">
            <v>5</v>
          </cell>
        </row>
        <row r="200">
          <cell r="A200" t="str">
            <v>fruta</v>
          </cell>
          <cell r="B200">
            <v>13.886879</v>
          </cell>
          <cell r="C200">
            <v>1.172804</v>
          </cell>
          <cell r="D200">
            <v>5</v>
          </cell>
          <cell r="E200">
            <v>2</v>
          </cell>
          <cell r="F200">
            <v>5.3330000000000002</v>
          </cell>
        </row>
        <row r="201">
          <cell r="A201" t="str">
            <v>pluma</v>
          </cell>
          <cell r="B201">
            <v>17.915828000000001</v>
          </cell>
          <cell r="C201">
            <v>1.2768250000000001</v>
          </cell>
          <cell r="D201">
            <v>5</v>
          </cell>
          <cell r="E201">
            <v>2</v>
          </cell>
          <cell r="F201">
            <v>5.9580000000000002</v>
          </cell>
        </row>
        <row r="202">
          <cell r="A202" t="str">
            <v>escudo</v>
          </cell>
          <cell r="B202">
            <v>43.769336000000003</v>
          </cell>
          <cell r="C202">
            <v>1.650981</v>
          </cell>
          <cell r="D202">
            <v>6</v>
          </cell>
          <cell r="E202">
            <v>3</v>
          </cell>
          <cell r="F202">
            <v>5.117</v>
          </cell>
        </row>
        <row r="203">
          <cell r="A203" t="str">
            <v>ladrón</v>
          </cell>
          <cell r="B203">
            <v>14.416491000000001</v>
          </cell>
          <cell r="C203">
            <v>1.187986</v>
          </cell>
          <cell r="D203">
            <v>6</v>
          </cell>
          <cell r="E203">
            <v>2</v>
          </cell>
          <cell r="F203">
            <v>5.4379999999999997</v>
          </cell>
        </row>
        <row r="204">
          <cell r="A204" t="str">
            <v>plátano</v>
          </cell>
          <cell r="B204">
            <v>6.0921609999999999</v>
          </cell>
          <cell r="C204" t="str">
            <v>0.850779</v>
          </cell>
          <cell r="D204">
            <v>7</v>
          </cell>
          <cell r="E204">
            <v>3</v>
          </cell>
          <cell r="F204">
            <v>0</v>
          </cell>
        </row>
        <row r="205">
          <cell r="A205" t="str">
            <v>jamón</v>
          </cell>
          <cell r="B205">
            <v>4.2141510000000002</v>
          </cell>
          <cell r="C205" t="str">
            <v>0.717184</v>
          </cell>
          <cell r="D205">
            <v>5</v>
          </cell>
          <cell r="E205">
            <v>2</v>
          </cell>
          <cell r="F205">
            <v>6.125</v>
          </cell>
        </row>
        <row r="206">
          <cell r="A206" t="str">
            <v>camión</v>
          </cell>
          <cell r="B206">
            <v>11.154341000000001</v>
          </cell>
          <cell r="C206">
            <v>1.0847309999999999</v>
          </cell>
          <cell r="D206">
            <v>6</v>
          </cell>
          <cell r="E206">
            <v>2</v>
          </cell>
          <cell r="F206">
            <v>6.548</v>
          </cell>
        </row>
        <row r="207">
          <cell r="A207" t="str">
            <v>cohete</v>
          </cell>
          <cell r="B207">
            <v>7.541283</v>
          </cell>
          <cell r="C207" t="str">
            <v>0.931523</v>
          </cell>
          <cell r="D207">
            <v>5</v>
          </cell>
          <cell r="E207">
            <v>3</v>
          </cell>
          <cell r="F207">
            <v>6.2709999999999999</v>
          </cell>
        </row>
        <row r="208">
          <cell r="A208" t="str">
            <v>dragón</v>
          </cell>
          <cell r="B208">
            <v>14.793392000000001</v>
          </cell>
          <cell r="C208">
            <v>1.198475</v>
          </cell>
          <cell r="D208">
            <v>6</v>
          </cell>
          <cell r="E208">
            <v>2</v>
          </cell>
          <cell r="F208">
            <v>5.8819999999999997</v>
          </cell>
        </row>
        <row r="209">
          <cell r="A209" t="str">
            <v>puente</v>
          </cell>
          <cell r="B209">
            <v>63.377972</v>
          </cell>
          <cell r="C209">
            <v>1.808737</v>
          </cell>
          <cell r="D209">
            <v>6</v>
          </cell>
          <cell r="E209">
            <v>2</v>
          </cell>
          <cell r="F209">
            <v>5.6950000000000003</v>
          </cell>
        </row>
        <row r="210">
          <cell r="A210" t="str">
            <v>pistola</v>
          </cell>
          <cell r="B210">
            <v>13.217553000000001</v>
          </cell>
          <cell r="C210">
            <v>1.152825</v>
          </cell>
          <cell r="D210">
            <v>7</v>
          </cell>
          <cell r="E210">
            <v>3</v>
          </cell>
          <cell r="F210">
            <v>6.0110000000000001</v>
          </cell>
        </row>
        <row r="211">
          <cell r="A211" t="str">
            <v>cubo</v>
          </cell>
          <cell r="B211">
            <v>5.7445019999999998</v>
          </cell>
          <cell r="C211" t="str">
            <v>0.828950</v>
          </cell>
          <cell r="D211">
            <v>4</v>
          </cell>
          <cell r="E211">
            <v>2</v>
          </cell>
          <cell r="F211">
            <v>5.1289999999999996</v>
          </cell>
        </row>
        <row r="212">
          <cell r="A212" t="str">
            <v>noria</v>
          </cell>
          <cell r="B212">
            <v>1.514105</v>
          </cell>
          <cell r="C212" t="str">
            <v>0.400383</v>
          </cell>
          <cell r="D212">
            <v>5</v>
          </cell>
          <cell r="E212">
            <v>2</v>
          </cell>
          <cell r="F212">
            <v>0</v>
          </cell>
        </row>
        <row r="213">
          <cell r="A213" t="str">
            <v>peine</v>
          </cell>
          <cell r="B213">
            <v>1.692809</v>
          </cell>
          <cell r="C213" t="str">
            <v>0.430205</v>
          </cell>
          <cell r="D213">
            <v>5</v>
          </cell>
          <cell r="E213">
            <v>2</v>
          </cell>
          <cell r="F213">
            <v>6.2409999999999997</v>
          </cell>
        </row>
        <row r="214">
          <cell r="A214" t="str">
            <v>cajero</v>
          </cell>
          <cell r="B214">
            <v>1.3061590000000001</v>
          </cell>
          <cell r="C214" t="str">
            <v>0.362889</v>
          </cell>
          <cell r="D214">
            <v>6</v>
          </cell>
          <cell r="E214">
            <v>3</v>
          </cell>
          <cell r="F214">
            <v>5.6379999999999999</v>
          </cell>
        </row>
        <row r="215">
          <cell r="A215" t="str">
            <v>cuadro</v>
          </cell>
          <cell r="B215">
            <v>44.607616999999998</v>
          </cell>
          <cell r="C215">
            <v>1.6590370000000001</v>
          </cell>
          <cell r="D215">
            <v>6</v>
          </cell>
          <cell r="E215">
            <v>2</v>
          </cell>
          <cell r="F215">
            <v>6.6559999999999997</v>
          </cell>
        </row>
        <row r="216">
          <cell r="A216" t="str">
            <v>pastor</v>
          </cell>
          <cell r="B216">
            <v>23.286677000000001</v>
          </cell>
          <cell r="C216">
            <v>1.3853679999999999</v>
          </cell>
          <cell r="D216">
            <v>6</v>
          </cell>
          <cell r="E216">
            <v>2</v>
          </cell>
          <cell r="F216">
            <v>5.6479999999999997</v>
          </cell>
        </row>
        <row r="217">
          <cell r="A217" t="str">
            <v>cartero</v>
          </cell>
          <cell r="B217">
            <v>1.8585149999999999</v>
          </cell>
          <cell r="C217" t="str">
            <v>0.456141</v>
          </cell>
          <cell r="D217">
            <v>7</v>
          </cell>
          <cell r="E217">
            <v>3</v>
          </cell>
          <cell r="F217">
            <v>5.9509999999999996</v>
          </cell>
        </row>
        <row r="218">
          <cell r="A218" t="str">
            <v>ventana</v>
          </cell>
          <cell r="B218">
            <v>41.566409999999998</v>
          </cell>
          <cell r="C218">
            <v>1.629067</v>
          </cell>
          <cell r="D218">
            <v>7</v>
          </cell>
          <cell r="E218">
            <v>3</v>
          </cell>
          <cell r="F218">
            <v>6.5179999999999998</v>
          </cell>
        </row>
        <row r="219">
          <cell r="A219" t="str">
            <v>indio</v>
          </cell>
          <cell r="B219">
            <v>20.407927999999998</v>
          </cell>
          <cell r="C219">
            <v>1.3305750000000001</v>
          </cell>
          <cell r="D219">
            <v>5</v>
          </cell>
          <cell r="E219">
            <v>2</v>
          </cell>
          <cell r="F219">
            <v>6.5940000000000003</v>
          </cell>
        </row>
        <row r="220">
          <cell r="A220" t="str">
            <v>piloto</v>
          </cell>
          <cell r="B220">
            <v>34.502752000000001</v>
          </cell>
          <cell r="C220">
            <v>1.550262</v>
          </cell>
          <cell r="D220">
            <v>6</v>
          </cell>
          <cell r="E220">
            <v>3</v>
          </cell>
          <cell r="F220">
            <v>5.3890000000000002</v>
          </cell>
        </row>
        <row r="221">
          <cell r="A221" t="str">
            <v>pirata</v>
          </cell>
          <cell r="B221">
            <v>6.6932549999999997</v>
          </cell>
          <cell r="C221" t="str">
            <v>0.886110</v>
          </cell>
          <cell r="D221">
            <v>6</v>
          </cell>
          <cell r="E221">
            <v>3</v>
          </cell>
          <cell r="F221">
            <v>6.1520000000000001</v>
          </cell>
        </row>
        <row r="222">
          <cell r="A222" t="str">
            <v>trineo</v>
          </cell>
          <cell r="B222">
            <v>1.80328</v>
          </cell>
          <cell r="C222" t="str">
            <v>0.447666</v>
          </cell>
          <cell r="D222">
            <v>6</v>
          </cell>
          <cell r="E222">
            <v>3</v>
          </cell>
          <cell r="F222">
            <v>0</v>
          </cell>
        </row>
        <row r="223">
          <cell r="A223" t="str">
            <v>erizo</v>
          </cell>
          <cell r="B223">
            <v>1.621327</v>
          </cell>
          <cell r="C223" t="str">
            <v>0.418521</v>
          </cell>
          <cell r="D223">
            <v>5</v>
          </cell>
          <cell r="E223">
            <v>3</v>
          </cell>
          <cell r="F223">
            <v>0</v>
          </cell>
        </row>
        <row r="224">
          <cell r="A224" t="str">
            <v>bala</v>
          </cell>
          <cell r="B224">
            <v>9.786448</v>
          </cell>
          <cell r="C224">
            <v>1.032878</v>
          </cell>
          <cell r="D224">
            <v>4</v>
          </cell>
          <cell r="E224">
            <v>2</v>
          </cell>
          <cell r="F224">
            <v>5.5750000000000002</v>
          </cell>
        </row>
        <row r="225">
          <cell r="A225" t="str">
            <v>balón</v>
          </cell>
          <cell r="B225">
            <v>21.935030000000001</v>
          </cell>
          <cell r="C225">
            <v>1.3604989999999999</v>
          </cell>
          <cell r="D225">
            <v>5</v>
          </cell>
          <cell r="E225">
            <v>2</v>
          </cell>
          <cell r="F225">
            <v>6.3550000000000004</v>
          </cell>
        </row>
        <row r="226">
          <cell r="A226" t="str">
            <v>bolso</v>
          </cell>
          <cell r="B226">
            <v>2.6838000000000002</v>
          </cell>
          <cell r="C226" t="str">
            <v>0.566296</v>
          </cell>
          <cell r="D226">
            <v>5</v>
          </cell>
          <cell r="E226">
            <v>2</v>
          </cell>
          <cell r="F226">
            <v>6.3090000000000002</v>
          </cell>
        </row>
        <row r="227">
          <cell r="A227" t="str">
            <v>lápiz</v>
          </cell>
          <cell r="B227">
            <v>5.4455799999999996</v>
          </cell>
          <cell r="C227" t="str">
            <v>0.809262</v>
          </cell>
          <cell r="D227">
            <v>5</v>
          </cell>
          <cell r="E227">
            <v>2</v>
          </cell>
          <cell r="F227">
            <v>5.96</v>
          </cell>
        </row>
        <row r="228">
          <cell r="A228" t="str">
            <v>anillo</v>
          </cell>
          <cell r="B228">
            <v>23.692820999999999</v>
          </cell>
          <cell r="C228">
            <v>1.392571</v>
          </cell>
          <cell r="D228">
            <v>5</v>
          </cell>
          <cell r="E228">
            <v>3</v>
          </cell>
          <cell r="F228">
            <v>6.6109999999999998</v>
          </cell>
        </row>
        <row r="229">
          <cell r="A229" t="str">
            <v>pintor</v>
          </cell>
          <cell r="B229">
            <v>38.180793000000001</v>
          </cell>
          <cell r="C229">
            <v>1.593073</v>
          </cell>
          <cell r="D229">
            <v>6</v>
          </cell>
          <cell r="E229">
            <v>2</v>
          </cell>
          <cell r="F229">
            <v>6.0620000000000003</v>
          </cell>
        </row>
        <row r="230">
          <cell r="A230" t="str">
            <v>carpeta</v>
          </cell>
          <cell r="B230">
            <v>2.5668310000000001</v>
          </cell>
          <cell r="C230" t="str">
            <v>0.552282</v>
          </cell>
          <cell r="D230">
            <v>7</v>
          </cell>
          <cell r="E230">
            <v>3</v>
          </cell>
          <cell r="F230">
            <v>6.4690000000000003</v>
          </cell>
        </row>
        <row r="231">
          <cell r="A231" t="str">
            <v>tren</v>
          </cell>
          <cell r="B231">
            <v>40.396715</v>
          </cell>
          <cell r="C231">
            <v>1.6169659999999999</v>
          </cell>
          <cell r="D231">
            <v>4</v>
          </cell>
          <cell r="E231">
            <v>1</v>
          </cell>
          <cell r="F231">
            <v>6.5279999999999996</v>
          </cell>
        </row>
        <row r="232">
          <cell r="A232" t="str">
            <v>mosca</v>
          </cell>
          <cell r="B232">
            <v>8.4867869999999996</v>
          </cell>
          <cell r="C232" t="str">
            <v>0.977119</v>
          </cell>
          <cell r="D232">
            <v>5</v>
          </cell>
          <cell r="E232">
            <v>2</v>
          </cell>
          <cell r="F232">
            <v>6.5019999999999998</v>
          </cell>
        </row>
        <row r="233">
          <cell r="A233" t="str">
            <v>puerto</v>
          </cell>
          <cell r="B233">
            <v>115.299432</v>
          </cell>
          <cell r="C233">
            <v>2.0655779999999999</v>
          </cell>
          <cell r="D233">
            <v>6</v>
          </cell>
          <cell r="E233">
            <v>2</v>
          </cell>
          <cell r="F233">
            <v>6.1260000000000003</v>
          </cell>
        </row>
        <row r="234">
          <cell r="A234" t="str">
            <v>tetera</v>
          </cell>
          <cell r="B234">
            <v>0.71156399999999997</v>
          </cell>
          <cell r="C234" t="str">
            <v>0.233393</v>
          </cell>
          <cell r="D234">
            <v>6</v>
          </cell>
          <cell r="E234">
            <v>3</v>
          </cell>
          <cell r="F234">
            <v>0</v>
          </cell>
        </row>
        <row r="235">
          <cell r="A235" t="str">
            <v>fábrica</v>
          </cell>
          <cell r="B235">
            <v>31.624002999999998</v>
          </cell>
          <cell r="C235">
            <v>1.5135369999999999</v>
          </cell>
          <cell r="D235">
            <v>7</v>
          </cell>
          <cell r="E235">
            <v>3</v>
          </cell>
          <cell r="F235">
            <v>5.2370000000000001</v>
          </cell>
        </row>
        <row r="236">
          <cell r="A236" t="str">
            <v>cuerno</v>
          </cell>
          <cell r="B236">
            <v>5.1921460000000002</v>
          </cell>
          <cell r="C236" t="str">
            <v>0.791841</v>
          </cell>
          <cell r="D236">
            <v>6</v>
          </cell>
          <cell r="E236">
            <v>2</v>
          </cell>
          <cell r="F236">
            <v>6.0540000000000003</v>
          </cell>
        </row>
        <row r="237">
          <cell r="A237" t="str">
            <v>mando</v>
          </cell>
          <cell r="B237">
            <v>65.970796000000007</v>
          </cell>
          <cell r="C237">
            <v>1.825885</v>
          </cell>
          <cell r="D237">
            <v>5</v>
          </cell>
          <cell r="E237">
            <v>2</v>
          </cell>
          <cell r="F237">
            <v>4.4619999999999997</v>
          </cell>
        </row>
        <row r="238">
          <cell r="A238" t="str">
            <v>candado</v>
          </cell>
          <cell r="B238">
            <v>1.0657220000000001</v>
          </cell>
          <cell r="C238" t="str">
            <v>0.315072</v>
          </cell>
          <cell r="D238">
            <v>7</v>
          </cell>
          <cell r="E238">
            <v>3</v>
          </cell>
          <cell r="F238">
            <v>6.2220000000000004</v>
          </cell>
        </row>
        <row r="239">
          <cell r="A239" t="str">
            <v>mirilla</v>
          </cell>
          <cell r="B239">
            <v>0.50036999999999998</v>
          </cell>
          <cell r="C239" t="str">
            <v>0.176198</v>
          </cell>
          <cell r="D239">
            <v>6</v>
          </cell>
          <cell r="E239">
            <v>3</v>
          </cell>
          <cell r="F239">
            <v>5.9480000000000004</v>
          </cell>
        </row>
        <row r="240">
          <cell r="A240" t="str">
            <v>baño</v>
          </cell>
          <cell r="B240">
            <v>20.248719999999999</v>
          </cell>
          <cell r="C240">
            <v>1.3273330000000001</v>
          </cell>
          <cell r="D240">
            <v>4</v>
          </cell>
          <cell r="E240">
            <v>2</v>
          </cell>
          <cell r="F240">
            <v>6.3250000000000002</v>
          </cell>
        </row>
        <row r="241">
          <cell r="A241" t="str">
            <v>muralla</v>
          </cell>
          <cell r="B241">
            <v>12.096595000000001</v>
          </cell>
          <cell r="C241">
            <v>1.1171580000000001</v>
          </cell>
          <cell r="D241">
            <v>6</v>
          </cell>
          <cell r="E241">
            <v>3</v>
          </cell>
          <cell r="F241">
            <v>5.3170000000000002</v>
          </cell>
        </row>
        <row r="242">
          <cell r="A242" t="str">
            <v>arco</v>
          </cell>
          <cell r="B242">
            <v>35.373525000000001</v>
          </cell>
          <cell r="C242">
            <v>1.5607850000000001</v>
          </cell>
          <cell r="D242">
            <v>4</v>
          </cell>
          <cell r="E242">
            <v>2</v>
          </cell>
          <cell r="F242">
            <v>6.1630000000000003</v>
          </cell>
        </row>
        <row r="243">
          <cell r="A243" t="str">
            <v>mano</v>
          </cell>
          <cell r="B243">
            <v>234.31914499999999</v>
          </cell>
          <cell r="C243">
            <v>2.3716569999999999</v>
          </cell>
          <cell r="D243">
            <v>4</v>
          </cell>
          <cell r="E243">
            <v>2</v>
          </cell>
          <cell r="F243">
            <v>6.7169999999999996</v>
          </cell>
        </row>
        <row r="244">
          <cell r="A244" t="str">
            <v>rosa</v>
          </cell>
          <cell r="B244">
            <v>59.885133000000003</v>
          </cell>
          <cell r="C244">
            <v>1.784511</v>
          </cell>
          <cell r="D244">
            <v>4</v>
          </cell>
          <cell r="E244">
            <v>2</v>
          </cell>
          <cell r="F244">
            <v>0</v>
          </cell>
        </row>
        <row r="245">
          <cell r="A245" t="str">
            <v>tiza</v>
          </cell>
          <cell r="B245">
            <v>1.348398</v>
          </cell>
          <cell r="C245" t="str">
            <v>0.370772</v>
          </cell>
          <cell r="D245">
            <v>4</v>
          </cell>
          <cell r="E245">
            <v>2</v>
          </cell>
          <cell r="F245">
            <v>0</v>
          </cell>
        </row>
        <row r="246">
          <cell r="A246" t="str">
            <v>barco</v>
          </cell>
          <cell r="B246">
            <v>42.739355000000003</v>
          </cell>
          <cell r="C246">
            <v>1.6408720000000001</v>
          </cell>
          <cell r="D246">
            <v>5</v>
          </cell>
          <cell r="E246">
            <v>2</v>
          </cell>
          <cell r="F246">
            <v>6.2930000000000001</v>
          </cell>
        </row>
        <row r="247">
          <cell r="A247" t="str">
            <v>gallo</v>
          </cell>
          <cell r="B247">
            <v>17.058052</v>
          </cell>
          <cell r="C247">
            <v>1.2566710000000001</v>
          </cell>
          <cell r="D247">
            <v>4</v>
          </cell>
          <cell r="E247">
            <v>2</v>
          </cell>
          <cell r="F247">
            <v>6.6139999999999999</v>
          </cell>
        </row>
        <row r="248">
          <cell r="A248" t="str">
            <v>basura</v>
          </cell>
          <cell r="B248">
            <v>11.498751</v>
          </cell>
          <cell r="C248">
            <v>1.096867</v>
          </cell>
          <cell r="D248">
            <v>6</v>
          </cell>
          <cell r="E248">
            <v>3</v>
          </cell>
          <cell r="F248">
            <v>0</v>
          </cell>
        </row>
        <row r="249">
          <cell r="A249" t="str">
            <v>coro</v>
          </cell>
          <cell r="B249">
            <v>25.895747</v>
          </cell>
          <cell r="C249">
            <v>1.429684</v>
          </cell>
          <cell r="D249">
            <v>4</v>
          </cell>
          <cell r="E249">
            <v>2</v>
          </cell>
          <cell r="F249">
            <v>5.3339999999999996</v>
          </cell>
        </row>
        <row r="250">
          <cell r="A250" t="str">
            <v>dardo</v>
          </cell>
          <cell r="B250">
            <v>1.9105019999999999</v>
          </cell>
          <cell r="C250" t="str">
            <v>0.463968</v>
          </cell>
          <cell r="D250">
            <v>5</v>
          </cell>
          <cell r="E250">
            <v>2</v>
          </cell>
          <cell r="F250">
            <v>6.2679999999999998</v>
          </cell>
        </row>
        <row r="251">
          <cell r="A251" t="str">
            <v>sello</v>
          </cell>
          <cell r="B251">
            <v>29.291111999999998</v>
          </cell>
          <cell r="C251">
            <v>1.4813149999999999</v>
          </cell>
          <cell r="D251">
            <v>4</v>
          </cell>
          <cell r="E251">
            <v>2</v>
          </cell>
          <cell r="F251">
            <v>0</v>
          </cell>
        </row>
        <row r="252">
          <cell r="A252" t="str">
            <v>zorro</v>
          </cell>
          <cell r="B252">
            <v>58.465254000000002</v>
          </cell>
          <cell r="C252">
            <v>1.7742629999999999</v>
          </cell>
          <cell r="D252">
            <v>4</v>
          </cell>
          <cell r="E252">
            <v>2</v>
          </cell>
          <cell r="F252">
            <v>6.2039999999999997</v>
          </cell>
        </row>
        <row r="253">
          <cell r="A253" t="str">
            <v>timbre</v>
          </cell>
          <cell r="B253">
            <v>6.5665380000000004</v>
          </cell>
          <cell r="C253" t="str">
            <v>0.878897</v>
          </cell>
          <cell r="D253">
            <v>6</v>
          </cell>
          <cell r="E253">
            <v>2</v>
          </cell>
          <cell r="F253">
            <v>6.133</v>
          </cell>
        </row>
        <row r="254">
          <cell r="A254" t="str">
            <v>peluca</v>
          </cell>
          <cell r="B254">
            <v>1.9364950000000001</v>
          </cell>
          <cell r="C254" t="str">
            <v>0.467829</v>
          </cell>
          <cell r="D254">
            <v>6</v>
          </cell>
          <cell r="E254">
            <v>3</v>
          </cell>
          <cell r="F254">
            <v>0</v>
          </cell>
        </row>
        <row r="255">
          <cell r="A255" t="str">
            <v>iglesia</v>
          </cell>
          <cell r="B255">
            <v>216.32533699999999</v>
          </cell>
          <cell r="C255">
            <v>2.33711</v>
          </cell>
          <cell r="D255">
            <v>7</v>
          </cell>
          <cell r="E255">
            <v>3</v>
          </cell>
          <cell r="F255">
            <v>5.7130000000000001</v>
          </cell>
        </row>
        <row r="256">
          <cell r="A256" t="str">
            <v>policía</v>
          </cell>
          <cell r="B256">
            <v>153.08707799999999</v>
          </cell>
          <cell r="C256">
            <v>2.1877659999999999</v>
          </cell>
          <cell r="D256">
            <v>7</v>
          </cell>
          <cell r="E256">
            <v>4</v>
          </cell>
          <cell r="F256">
            <v>6.8609999999999998</v>
          </cell>
        </row>
        <row r="257">
          <cell r="A257" t="str">
            <v>cabra</v>
          </cell>
          <cell r="B257">
            <v>9.0911290000000005</v>
          </cell>
          <cell r="C257">
            <v>1.0039400000000001</v>
          </cell>
          <cell r="D257">
            <v>5</v>
          </cell>
          <cell r="E257">
            <v>2</v>
          </cell>
          <cell r="F257">
            <v>6.1109999999999998</v>
          </cell>
        </row>
        <row r="258">
          <cell r="A258" t="str">
            <v>corcho</v>
          </cell>
          <cell r="B258">
            <v>1.7480439999999999</v>
          </cell>
          <cell r="C258" t="str">
            <v>0.439024</v>
          </cell>
          <cell r="D258">
            <v>5</v>
          </cell>
          <cell r="E258">
            <v>2</v>
          </cell>
          <cell r="F258">
            <v>0</v>
          </cell>
        </row>
        <row r="259">
          <cell r="A259" t="str">
            <v>bebé</v>
          </cell>
          <cell r="B259">
            <v>13.243546</v>
          </cell>
          <cell r="C259">
            <v>1.153618</v>
          </cell>
          <cell r="D259">
            <v>4</v>
          </cell>
          <cell r="E259">
            <v>2</v>
          </cell>
          <cell r="F259">
            <v>6.8</v>
          </cell>
        </row>
        <row r="260">
          <cell r="A260" t="str">
            <v>rama</v>
          </cell>
          <cell r="B260">
            <v>28.105170999999999</v>
          </cell>
          <cell r="C260">
            <v>1.46397</v>
          </cell>
          <cell r="D260">
            <v>4</v>
          </cell>
          <cell r="E260">
            <v>2</v>
          </cell>
          <cell r="F260">
            <v>6.1139999999999999</v>
          </cell>
        </row>
        <row r="261">
          <cell r="A261" t="str">
            <v>tronco</v>
          </cell>
          <cell r="B261">
            <v>12.564473</v>
          </cell>
          <cell r="C261">
            <v>1.132403</v>
          </cell>
          <cell r="D261">
            <v>6</v>
          </cell>
          <cell r="E261">
            <v>2</v>
          </cell>
          <cell r="F261">
            <v>5.9089999999999998</v>
          </cell>
        </row>
        <row r="262">
          <cell r="A262" t="str">
            <v>armario</v>
          </cell>
          <cell r="B262">
            <v>5.3221119999999997</v>
          </cell>
          <cell r="C262" t="str">
            <v>0.800862</v>
          </cell>
          <cell r="D262">
            <v>7</v>
          </cell>
          <cell r="E262">
            <v>3</v>
          </cell>
          <cell r="F262">
            <v>6.2389999999999999</v>
          </cell>
        </row>
        <row r="263">
          <cell r="A263" t="str">
            <v>pizarra</v>
          </cell>
          <cell r="B263">
            <v>4.0614410000000003</v>
          </cell>
          <cell r="C263" t="str">
            <v>0.704274</v>
          </cell>
          <cell r="D263">
            <v>6</v>
          </cell>
          <cell r="E263">
            <v>3</v>
          </cell>
          <cell r="F263">
            <v>5.976</v>
          </cell>
        </row>
        <row r="264">
          <cell r="A264" t="str">
            <v>bota</v>
          </cell>
          <cell r="B264">
            <v>3.4311050000000001</v>
          </cell>
          <cell r="C264" t="str">
            <v>0.646512</v>
          </cell>
          <cell r="D264">
            <v>4</v>
          </cell>
          <cell r="E264">
            <v>2</v>
          </cell>
          <cell r="F264">
            <v>6.7489999999999997</v>
          </cell>
        </row>
        <row r="265">
          <cell r="A265" t="str">
            <v>lobo</v>
          </cell>
          <cell r="B265">
            <v>18.474682000000001</v>
          </cell>
          <cell r="C265">
            <v>1.2894699999999999</v>
          </cell>
          <cell r="D265">
            <v>4</v>
          </cell>
          <cell r="E265">
            <v>2</v>
          </cell>
          <cell r="F265">
            <v>6.1029999999999998</v>
          </cell>
        </row>
        <row r="266">
          <cell r="A266" t="str">
            <v>mesa</v>
          </cell>
          <cell r="B266">
            <v>100.24610800000001</v>
          </cell>
          <cell r="C266">
            <v>2.0053779999999999</v>
          </cell>
          <cell r="D266">
            <v>4</v>
          </cell>
          <cell r="E266">
            <v>2</v>
          </cell>
          <cell r="F266">
            <v>6.782</v>
          </cell>
        </row>
        <row r="267">
          <cell r="A267" t="str">
            <v>vena</v>
          </cell>
          <cell r="B267">
            <v>3.9509699999999999</v>
          </cell>
          <cell r="C267" t="str">
            <v>0.694690</v>
          </cell>
          <cell r="D267">
            <v>4</v>
          </cell>
          <cell r="E267">
            <v>2</v>
          </cell>
          <cell r="F267">
            <v>5.875</v>
          </cell>
        </row>
        <row r="268">
          <cell r="A268" t="str">
            <v>libro</v>
          </cell>
          <cell r="B268">
            <v>210.866761</v>
          </cell>
          <cell r="C268">
            <v>2.326063</v>
          </cell>
          <cell r="D268">
            <v>5</v>
          </cell>
          <cell r="E268">
            <v>2</v>
          </cell>
          <cell r="F268">
            <v>6.2610000000000001</v>
          </cell>
        </row>
        <row r="269">
          <cell r="A269" t="str">
            <v>ratón</v>
          </cell>
          <cell r="B269">
            <v>8.529026</v>
          </cell>
          <cell r="C269" t="str">
            <v>0.979049</v>
          </cell>
          <cell r="D269">
            <v>5</v>
          </cell>
          <cell r="E269">
            <v>2</v>
          </cell>
          <cell r="F269">
            <v>6.2130000000000001</v>
          </cell>
        </row>
        <row r="270">
          <cell r="A270" t="str">
            <v>tobillo</v>
          </cell>
          <cell r="B270">
            <v>4.1004310000000004</v>
          </cell>
          <cell r="C270" t="str">
            <v>0.707607</v>
          </cell>
          <cell r="D270">
            <v>6</v>
          </cell>
          <cell r="E270">
            <v>3</v>
          </cell>
          <cell r="F270">
            <v>0</v>
          </cell>
        </row>
        <row r="271">
          <cell r="A271" t="str">
            <v>mimo</v>
          </cell>
          <cell r="B271">
            <v>1.929997</v>
          </cell>
          <cell r="C271" t="str">
            <v>0.466867</v>
          </cell>
          <cell r="D271">
            <v>4</v>
          </cell>
          <cell r="E271">
            <v>2</v>
          </cell>
          <cell r="F271">
            <v>0</v>
          </cell>
        </row>
        <row r="272">
          <cell r="A272" t="str">
            <v>pavo</v>
          </cell>
          <cell r="B272">
            <v>14.192299</v>
          </cell>
          <cell r="C272">
            <v>1.1816230000000001</v>
          </cell>
          <cell r="D272">
            <v>4</v>
          </cell>
          <cell r="E272">
            <v>2</v>
          </cell>
          <cell r="F272">
            <v>4.6580000000000004</v>
          </cell>
        </row>
        <row r="273">
          <cell r="A273" t="str">
            <v>foca</v>
          </cell>
          <cell r="B273">
            <v>2.105451</v>
          </cell>
          <cell r="C273" t="str">
            <v>0.492125</v>
          </cell>
          <cell r="D273">
            <v>4</v>
          </cell>
          <cell r="E273">
            <v>2</v>
          </cell>
          <cell r="F273">
            <v>5.899</v>
          </cell>
        </row>
        <row r="274">
          <cell r="A274" t="str">
            <v>frontón</v>
          </cell>
          <cell r="B274">
            <v>3.3498760000000001</v>
          </cell>
          <cell r="C274" t="str">
            <v>0.638477</v>
          </cell>
          <cell r="D274">
            <v>7</v>
          </cell>
          <cell r="E274">
            <v>2</v>
          </cell>
          <cell r="F274">
            <v>5.7910000000000004</v>
          </cell>
        </row>
        <row r="275">
          <cell r="A275" t="str">
            <v>parche</v>
          </cell>
          <cell r="B275">
            <v>2.0989529999999998</v>
          </cell>
          <cell r="C275" t="str">
            <v>0.491215</v>
          </cell>
          <cell r="D275">
            <v>5</v>
          </cell>
          <cell r="E275">
            <v>2</v>
          </cell>
          <cell r="F275">
            <v>5.9290000000000003</v>
          </cell>
        </row>
        <row r="276">
          <cell r="A276" t="str">
            <v>capa</v>
          </cell>
          <cell r="B276">
            <v>31.130132</v>
          </cell>
          <cell r="C276">
            <v>1.5069129999999999</v>
          </cell>
          <cell r="D276">
            <v>4</v>
          </cell>
          <cell r="E276">
            <v>2</v>
          </cell>
          <cell r="F276">
            <v>0</v>
          </cell>
        </row>
        <row r="277">
          <cell r="A277" t="str">
            <v>timón</v>
          </cell>
          <cell r="B277">
            <v>4.1686629999999996</v>
          </cell>
          <cell r="C277" t="str">
            <v>0.713378</v>
          </cell>
          <cell r="D277">
            <v>5</v>
          </cell>
          <cell r="E277">
            <v>2</v>
          </cell>
          <cell r="F277">
            <v>5.9329999999999998</v>
          </cell>
        </row>
        <row r="278">
          <cell r="A278" t="str">
            <v>leñador</v>
          </cell>
          <cell r="B278">
            <v>0.87727100000000002</v>
          </cell>
          <cell r="C278" t="str">
            <v>0.273527</v>
          </cell>
          <cell r="D278">
            <v>7</v>
          </cell>
          <cell r="E278">
            <v>3</v>
          </cell>
          <cell r="F278">
            <v>0</v>
          </cell>
        </row>
        <row r="279">
          <cell r="A279" t="str">
            <v>jabón</v>
          </cell>
          <cell r="B279">
            <v>3.9314749999999998</v>
          </cell>
          <cell r="C279" t="str">
            <v>0.692977</v>
          </cell>
          <cell r="D279">
            <v>5</v>
          </cell>
          <cell r="E279">
            <v>2</v>
          </cell>
          <cell r="F279">
            <v>5.6479999999999997</v>
          </cell>
        </row>
        <row r="280">
          <cell r="A280" t="str">
            <v>tigre</v>
          </cell>
          <cell r="B280">
            <v>26.474095999999999</v>
          </cell>
          <cell r="C280">
            <v>1.438923</v>
          </cell>
          <cell r="D280">
            <v>5</v>
          </cell>
          <cell r="E280">
            <v>2</v>
          </cell>
          <cell r="F280">
            <v>6.3630000000000004</v>
          </cell>
        </row>
        <row r="281">
          <cell r="A281" t="str">
            <v>bastón</v>
          </cell>
          <cell r="B281">
            <v>7.6355089999999999</v>
          </cell>
          <cell r="C281" t="str">
            <v>0.936288</v>
          </cell>
          <cell r="D281">
            <v>6</v>
          </cell>
          <cell r="E281">
            <v>2</v>
          </cell>
          <cell r="F281">
            <v>6.601</v>
          </cell>
        </row>
        <row r="282">
          <cell r="A282" t="str">
            <v>pierna</v>
          </cell>
          <cell r="B282">
            <v>15.72265</v>
          </cell>
          <cell r="C282">
            <v>1.2233050000000001</v>
          </cell>
          <cell r="D282">
            <v>6</v>
          </cell>
          <cell r="E282">
            <v>2</v>
          </cell>
          <cell r="F282">
            <v>5.8680000000000003</v>
          </cell>
        </row>
        <row r="283">
          <cell r="A283" t="str">
            <v>sandía</v>
          </cell>
          <cell r="B283">
            <v>1.172944</v>
          </cell>
          <cell r="C283" t="str">
            <v>0.337049</v>
          </cell>
          <cell r="D283">
            <v>6</v>
          </cell>
          <cell r="E283">
            <v>3</v>
          </cell>
          <cell r="F283">
            <v>0</v>
          </cell>
        </row>
        <row r="284">
          <cell r="A284" t="str">
            <v>boca</v>
          </cell>
          <cell r="B284">
            <v>86.200021000000007</v>
          </cell>
          <cell r="C284">
            <v>1.940517</v>
          </cell>
          <cell r="D284">
            <v>4</v>
          </cell>
          <cell r="E284">
            <v>2</v>
          </cell>
          <cell r="F284">
            <v>6.2229999999999999</v>
          </cell>
        </row>
        <row r="285">
          <cell r="A285" t="str">
            <v>pulpo</v>
          </cell>
          <cell r="B285">
            <v>1.445873</v>
          </cell>
          <cell r="C285" t="str">
            <v>0.388434</v>
          </cell>
          <cell r="D285">
            <v>5</v>
          </cell>
          <cell r="E285">
            <v>2</v>
          </cell>
          <cell r="F285">
            <v>0</v>
          </cell>
        </row>
        <row r="286">
          <cell r="A286" t="str">
            <v>bosque</v>
          </cell>
          <cell r="B286">
            <v>50.186413000000002</v>
          </cell>
          <cell r="C286">
            <v>1.709155</v>
          </cell>
          <cell r="D286">
            <v>5</v>
          </cell>
          <cell r="E286">
            <v>2</v>
          </cell>
          <cell r="F286">
            <v>6.2389999999999999</v>
          </cell>
        </row>
        <row r="287">
          <cell r="A287" t="str">
            <v>cono</v>
          </cell>
          <cell r="B287">
            <v>5.5495530000000004</v>
          </cell>
          <cell r="C287" t="str">
            <v>0.816212</v>
          </cell>
          <cell r="D287">
            <v>4</v>
          </cell>
          <cell r="E287">
            <v>2</v>
          </cell>
          <cell r="F287">
            <v>5.4809999999999999</v>
          </cell>
        </row>
        <row r="288">
          <cell r="A288" t="str">
            <v>gota</v>
          </cell>
          <cell r="B288">
            <v>9.958653</v>
          </cell>
          <cell r="C288">
            <v>1.039757</v>
          </cell>
          <cell r="D288">
            <v>4</v>
          </cell>
          <cell r="E288">
            <v>2</v>
          </cell>
          <cell r="F288">
            <v>6.1769999999999996</v>
          </cell>
        </row>
        <row r="289">
          <cell r="A289" t="str">
            <v>aguja</v>
          </cell>
          <cell r="B289">
            <v>6.3390969999999998</v>
          </cell>
          <cell r="C289" t="str">
            <v>0.865643</v>
          </cell>
          <cell r="D289">
            <v>5</v>
          </cell>
          <cell r="E289">
            <v>3</v>
          </cell>
          <cell r="F289">
            <v>5.93</v>
          </cell>
        </row>
        <row r="290">
          <cell r="A290" t="str">
            <v>violín</v>
          </cell>
          <cell r="B290">
            <v>11.540990000000001</v>
          </cell>
          <cell r="C290">
            <v>1.0983320000000001</v>
          </cell>
          <cell r="D290">
            <v>6</v>
          </cell>
          <cell r="E290">
            <v>2</v>
          </cell>
          <cell r="F290">
            <v>6.3979999999999997</v>
          </cell>
        </row>
        <row r="291">
          <cell r="A291" t="str">
            <v>granja</v>
          </cell>
          <cell r="B291">
            <v>11.118601</v>
          </cell>
          <cell r="C291">
            <v>1.0834520000000001</v>
          </cell>
          <cell r="D291">
            <v>6</v>
          </cell>
          <cell r="E291">
            <v>2</v>
          </cell>
          <cell r="F291">
            <v>4.9930000000000003</v>
          </cell>
        </row>
        <row r="292">
          <cell r="A292" t="str">
            <v>balanza</v>
          </cell>
          <cell r="B292">
            <v>8.3698169999999994</v>
          </cell>
          <cell r="C292" t="str">
            <v>0.971731</v>
          </cell>
          <cell r="D292">
            <v>7</v>
          </cell>
          <cell r="E292">
            <v>3</v>
          </cell>
          <cell r="F292">
            <v>6.008</v>
          </cell>
        </row>
        <row r="293">
          <cell r="A293" t="str">
            <v>círculo</v>
          </cell>
          <cell r="B293">
            <v>40.903582999999998</v>
          </cell>
          <cell r="C293">
            <v>1.6222510000000001</v>
          </cell>
          <cell r="D293">
            <v>7</v>
          </cell>
          <cell r="E293">
            <v>3</v>
          </cell>
          <cell r="F293">
            <v>5.5010000000000003</v>
          </cell>
        </row>
        <row r="294">
          <cell r="A294" t="str">
            <v>embudo</v>
          </cell>
          <cell r="B294">
            <v>1.3743920000000001</v>
          </cell>
          <cell r="C294" t="str">
            <v>0.375552</v>
          </cell>
          <cell r="D294">
            <v>6</v>
          </cell>
          <cell r="E294">
            <v>3</v>
          </cell>
          <cell r="F294">
            <v>0</v>
          </cell>
        </row>
        <row r="295">
          <cell r="A295" t="str">
            <v>cigüeña</v>
          </cell>
          <cell r="B295">
            <v>4.5650599999999999</v>
          </cell>
          <cell r="C295" t="str">
            <v>0.745470</v>
          </cell>
          <cell r="D295">
            <v>7</v>
          </cell>
          <cell r="E295">
            <v>3</v>
          </cell>
          <cell r="F295">
            <v>6.0419999999999998</v>
          </cell>
        </row>
        <row r="296">
          <cell r="A296" t="str">
            <v>sofá</v>
          </cell>
          <cell r="B296">
            <v>6.0889119999999997</v>
          </cell>
          <cell r="C296" t="str">
            <v>0.850580</v>
          </cell>
          <cell r="D296">
            <v>4</v>
          </cell>
          <cell r="E296">
            <v>2</v>
          </cell>
          <cell r="F296">
            <v>6.0759999999999996</v>
          </cell>
        </row>
        <row r="297">
          <cell r="A297" t="str">
            <v>ángel</v>
          </cell>
          <cell r="B297">
            <v>59.284039999999997</v>
          </cell>
          <cell r="C297">
            <v>1.7802020000000001</v>
          </cell>
          <cell r="D297">
            <v>5</v>
          </cell>
          <cell r="E297">
            <v>2</v>
          </cell>
          <cell r="F297">
            <v>5.38</v>
          </cell>
        </row>
        <row r="298">
          <cell r="A298" t="str">
            <v>collar</v>
          </cell>
          <cell r="B298">
            <v>5.3578530000000004</v>
          </cell>
          <cell r="C298" t="str">
            <v>0.803310</v>
          </cell>
          <cell r="D298">
            <v>5</v>
          </cell>
          <cell r="E298">
            <v>2</v>
          </cell>
          <cell r="F298">
            <v>6.5430000000000001</v>
          </cell>
        </row>
        <row r="299">
          <cell r="A299" t="str">
            <v>esponja</v>
          </cell>
          <cell r="B299">
            <v>1.9040029999999999</v>
          </cell>
          <cell r="C299" t="str">
            <v>0.462997</v>
          </cell>
          <cell r="D299">
            <v>7</v>
          </cell>
          <cell r="E299">
            <v>3</v>
          </cell>
          <cell r="F299">
            <v>6.2119999999999997</v>
          </cell>
        </row>
        <row r="300">
          <cell r="A300" t="str">
            <v>pañal</v>
          </cell>
          <cell r="B300">
            <v>0.40614400000000001</v>
          </cell>
          <cell r="C300" t="str">
            <v>0.148030</v>
          </cell>
          <cell r="D300">
            <v>5</v>
          </cell>
          <cell r="E300">
            <v>2</v>
          </cell>
          <cell r="F300">
            <v>0</v>
          </cell>
        </row>
        <row r="301">
          <cell r="A301" t="str">
            <v>jersey</v>
          </cell>
          <cell r="B301">
            <v>10.381043</v>
          </cell>
          <cell r="C301">
            <v>1.056182</v>
          </cell>
          <cell r="D301">
            <v>6</v>
          </cell>
          <cell r="E301">
            <v>2</v>
          </cell>
          <cell r="F301">
            <v>6.2119999999999997</v>
          </cell>
        </row>
        <row r="302">
          <cell r="A302" t="str">
            <v>pollo</v>
          </cell>
          <cell r="B302">
            <v>9.7799499999999995</v>
          </cell>
          <cell r="C302">
            <v>1.0326169999999999</v>
          </cell>
          <cell r="D302">
            <v>4</v>
          </cell>
          <cell r="E302">
            <v>2</v>
          </cell>
          <cell r="F302">
            <v>6.5049999999999999</v>
          </cell>
        </row>
        <row r="303">
          <cell r="A303" t="str">
            <v>donuts</v>
          </cell>
          <cell r="B303">
            <v>0.27292899999999998</v>
          </cell>
          <cell r="C303" t="str">
            <v>0.104804</v>
          </cell>
          <cell r="D303">
            <v>6</v>
          </cell>
          <cell r="E303">
            <v>2</v>
          </cell>
          <cell r="F303">
            <v>0</v>
          </cell>
        </row>
        <row r="304">
          <cell r="A304" t="str">
            <v>labios</v>
          </cell>
          <cell r="B304">
            <v>36.650441999999998</v>
          </cell>
          <cell r="C304">
            <v>1.5757699999999999</v>
          </cell>
          <cell r="D304">
            <v>6</v>
          </cell>
          <cell r="E304">
            <v>2</v>
          </cell>
          <cell r="F304">
            <v>0</v>
          </cell>
        </row>
        <row r="305">
          <cell r="A305" t="str">
            <v>clavo</v>
          </cell>
          <cell r="B305">
            <v>6.2351239999999999</v>
          </cell>
          <cell r="C305" t="str">
            <v>0.859446</v>
          </cell>
          <cell r="D305">
            <v>5</v>
          </cell>
          <cell r="E305">
            <v>2</v>
          </cell>
          <cell r="F305">
            <v>5.8319999999999999</v>
          </cell>
        </row>
        <row r="306">
          <cell r="A306" t="str">
            <v>lluvia</v>
          </cell>
          <cell r="B306">
            <v>39.090555999999999</v>
          </cell>
          <cell r="C306">
            <v>1.6030420000000001</v>
          </cell>
          <cell r="D306">
            <v>5</v>
          </cell>
          <cell r="E306">
            <v>2</v>
          </cell>
          <cell r="F306">
            <v>6.3310000000000004</v>
          </cell>
        </row>
        <row r="307">
          <cell r="A307" t="str">
            <v>navaja</v>
          </cell>
          <cell r="B307">
            <v>4.0192019999999999</v>
          </cell>
          <cell r="C307" t="str">
            <v>0.700635</v>
          </cell>
          <cell r="D307">
            <v>6</v>
          </cell>
          <cell r="E307">
            <v>3</v>
          </cell>
          <cell r="F307">
            <v>6.6150000000000002</v>
          </cell>
        </row>
        <row r="308">
          <cell r="A308" t="str">
            <v>piedra</v>
          </cell>
          <cell r="B308">
            <v>79.510015999999993</v>
          </cell>
          <cell r="C308">
            <v>1.90585</v>
          </cell>
          <cell r="D308">
            <v>6</v>
          </cell>
          <cell r="E308">
            <v>2</v>
          </cell>
          <cell r="F308">
            <v>6.2370000000000001</v>
          </cell>
        </row>
        <row r="309">
          <cell r="A309" t="str">
            <v>aceite</v>
          </cell>
          <cell r="B309">
            <v>25.427869000000001</v>
          </cell>
          <cell r="C309">
            <v>1.4220619999999999</v>
          </cell>
          <cell r="D309">
            <v>6</v>
          </cell>
          <cell r="E309">
            <v>3</v>
          </cell>
          <cell r="F309">
            <v>5.6319999999999997</v>
          </cell>
        </row>
        <row r="310">
          <cell r="A310" t="str">
            <v>balcón</v>
          </cell>
          <cell r="B310">
            <v>9.1918530000000001</v>
          </cell>
          <cell r="C310">
            <v>1.0082530000000001</v>
          </cell>
          <cell r="D310">
            <v>6</v>
          </cell>
          <cell r="E310">
            <v>2</v>
          </cell>
          <cell r="F310">
            <v>6.1760000000000002</v>
          </cell>
        </row>
        <row r="311">
          <cell r="A311" t="str">
            <v>gatillo</v>
          </cell>
          <cell r="B311">
            <v>1.7090540000000001</v>
          </cell>
          <cell r="C311" t="str">
            <v>0.432818</v>
          </cell>
          <cell r="D311">
            <v>6</v>
          </cell>
          <cell r="E311">
            <v>3</v>
          </cell>
          <cell r="F311">
            <v>6.2759999999999998</v>
          </cell>
        </row>
        <row r="312">
          <cell r="A312" t="str">
            <v>jabalí</v>
          </cell>
          <cell r="B312">
            <v>4.0451949999999997</v>
          </cell>
          <cell r="C312" t="str">
            <v>0.702878</v>
          </cell>
          <cell r="D312">
            <v>6</v>
          </cell>
          <cell r="E312">
            <v>3</v>
          </cell>
          <cell r="F312">
            <v>5.69</v>
          </cell>
        </row>
        <row r="313">
          <cell r="A313" t="str">
            <v>búho</v>
          </cell>
          <cell r="B313">
            <v>2.3523869999999998</v>
          </cell>
          <cell r="C313" t="str">
            <v>0.525354</v>
          </cell>
          <cell r="D313">
            <v>3</v>
          </cell>
          <cell r="E313">
            <v>2</v>
          </cell>
          <cell r="F313">
            <v>6.0720000000000001</v>
          </cell>
        </row>
        <row r="314">
          <cell r="A314" t="str">
            <v>nudo</v>
          </cell>
          <cell r="B314">
            <v>7.2001220000000004</v>
          </cell>
          <cell r="C314" t="str">
            <v>0.913820</v>
          </cell>
          <cell r="D314">
            <v>4</v>
          </cell>
          <cell r="E314">
            <v>2</v>
          </cell>
          <cell r="F314">
            <v>5.2309999999999999</v>
          </cell>
        </row>
        <row r="315">
          <cell r="A315" t="str">
            <v>cuerda</v>
          </cell>
          <cell r="B315">
            <v>21.879794</v>
          </cell>
          <cell r="C315">
            <v>1.3594520000000001</v>
          </cell>
          <cell r="D315">
            <v>6</v>
          </cell>
          <cell r="E315">
            <v>2</v>
          </cell>
          <cell r="F315">
            <v>6.5469999999999997</v>
          </cell>
        </row>
        <row r="316">
          <cell r="A316" t="str">
            <v>pulsera</v>
          </cell>
          <cell r="B316">
            <v>1.2346779999999999</v>
          </cell>
          <cell r="C316" t="str">
            <v>0.349215</v>
          </cell>
          <cell r="D316">
            <v>7</v>
          </cell>
          <cell r="E316">
            <v>3</v>
          </cell>
          <cell r="F316">
            <v>5.9539999999999997</v>
          </cell>
        </row>
        <row r="317">
          <cell r="A317" t="str">
            <v>esquina</v>
          </cell>
          <cell r="B317">
            <v>20.316952000000001</v>
          </cell>
          <cell r="C317">
            <v>1.3287249999999999</v>
          </cell>
          <cell r="D317">
            <v>6</v>
          </cell>
          <cell r="E317">
            <v>3</v>
          </cell>
          <cell r="F317">
            <v>6.2539999999999996</v>
          </cell>
        </row>
        <row r="318">
          <cell r="A318" t="str">
            <v>ataúd</v>
          </cell>
          <cell r="B318">
            <v>3.6942870000000001</v>
          </cell>
          <cell r="C318" t="str">
            <v>0.671570</v>
          </cell>
          <cell r="D318">
            <v>5</v>
          </cell>
          <cell r="E318">
            <v>3</v>
          </cell>
          <cell r="F318">
            <v>5.3810000000000002</v>
          </cell>
        </row>
        <row r="319">
          <cell r="A319" t="str">
            <v>chorizo</v>
          </cell>
          <cell r="B319">
            <v>1.514105</v>
          </cell>
          <cell r="C319" t="str">
            <v>0.400383</v>
          </cell>
          <cell r="D319">
            <v>6</v>
          </cell>
          <cell r="E319">
            <v>3</v>
          </cell>
          <cell r="F319">
            <v>6.335</v>
          </cell>
        </row>
        <row r="320">
          <cell r="A320" t="str">
            <v>plato</v>
          </cell>
          <cell r="B320">
            <v>18.533166999999999</v>
          </cell>
          <cell r="C320">
            <v>1.2907729999999999</v>
          </cell>
          <cell r="D320">
            <v>5</v>
          </cell>
          <cell r="E320">
            <v>2</v>
          </cell>
          <cell r="F320">
            <v>0</v>
          </cell>
        </row>
        <row r="321">
          <cell r="A321" t="str">
            <v>ciudad</v>
          </cell>
          <cell r="B321">
            <v>657.55377499999997</v>
          </cell>
          <cell r="C321">
            <v>2.8185910000000001</v>
          </cell>
          <cell r="D321">
            <v>6</v>
          </cell>
          <cell r="E321">
            <v>2</v>
          </cell>
          <cell r="F321">
            <v>6.1879999999999997</v>
          </cell>
        </row>
        <row r="322">
          <cell r="A322" t="str">
            <v>columna</v>
          </cell>
          <cell r="B322">
            <v>26.948471999999999</v>
          </cell>
          <cell r="C322">
            <v>1.446358</v>
          </cell>
          <cell r="D322">
            <v>7</v>
          </cell>
          <cell r="E322">
            <v>3</v>
          </cell>
          <cell r="F322">
            <v>6.6449999999999996</v>
          </cell>
        </row>
        <row r="323">
          <cell r="A323" t="str">
            <v>olla</v>
          </cell>
          <cell r="B323">
            <v>4.7730050000000004</v>
          </cell>
          <cell r="C323" t="str">
            <v>0.761402</v>
          </cell>
          <cell r="D323">
            <v>3</v>
          </cell>
          <cell r="E323">
            <v>2</v>
          </cell>
          <cell r="F323">
            <v>6.1859999999999999</v>
          </cell>
        </row>
        <row r="324">
          <cell r="A324" t="str">
            <v>muñeca</v>
          </cell>
          <cell r="B324">
            <v>7.0961489999999996</v>
          </cell>
          <cell r="C324" t="str">
            <v>0.908279</v>
          </cell>
          <cell r="D324">
            <v>6</v>
          </cell>
          <cell r="E324">
            <v>3</v>
          </cell>
          <cell r="F324">
            <v>0</v>
          </cell>
        </row>
        <row r="325">
          <cell r="A325" t="str">
            <v>planta</v>
          </cell>
          <cell r="B325">
            <v>75.646772999999996</v>
          </cell>
          <cell r="C325">
            <v>1.8844939999999999</v>
          </cell>
          <cell r="D325">
            <v>6</v>
          </cell>
          <cell r="E325">
            <v>2</v>
          </cell>
          <cell r="F325">
            <v>5.9459999999999997</v>
          </cell>
        </row>
        <row r="326">
          <cell r="A326" t="str">
            <v>gallina</v>
          </cell>
          <cell r="B326">
            <v>13.916121</v>
          </cell>
          <cell r="C326">
            <v>1.173656</v>
          </cell>
          <cell r="D326">
            <v>6</v>
          </cell>
          <cell r="E326">
            <v>3</v>
          </cell>
          <cell r="F326">
            <v>6.718</v>
          </cell>
        </row>
      </sheetData>
      <sheetData sheetId="1"/>
      <sheetData sheetId="2">
        <row r="1">
          <cell r="A1" t="str">
            <v>word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.txt"/>
    </sheetNames>
    <sheetDataSet>
      <sheetData sheetId="0">
        <row r="1">
          <cell r="A1" t="str">
            <v>PICTURE</v>
          </cell>
          <cell r="B1" t="str">
            <v>NAME1</v>
          </cell>
          <cell r="C1" t="str">
            <v>NAME2</v>
          </cell>
          <cell r="D1" t="str">
            <v>H_INDEX</v>
          </cell>
          <cell r="E1" t="str">
            <v>PERCENTAGE_MODAL_NAME</v>
          </cell>
          <cell r="F1" t="str">
            <v>PERCENTAGE_VALID_RESPONSES</v>
          </cell>
          <cell r="G1" t="str">
            <v>NUMBER_DIFFERENT_RESPONSES</v>
          </cell>
          <cell r="H1" t="str">
            <v>PERCENTAGE_UNKNOWN_RESPONSES</v>
          </cell>
          <cell r="I1" t="str">
            <v>PERCENTAGE_IDIOSYNCRATIC_RESPONSES</v>
          </cell>
          <cell r="J1" t="str">
            <v>VISUAL_COMPLEXITY</v>
          </cell>
        </row>
        <row r="2">
          <cell r="A2" t="str">
            <v>PICTURE_1</v>
          </cell>
          <cell r="B2" t="str">
            <v>mouse</v>
          </cell>
          <cell r="D2">
            <v>0.58793037299999995</v>
          </cell>
          <cell r="E2">
            <v>85.858585860000005</v>
          </cell>
          <cell r="F2">
            <v>99</v>
          </cell>
          <cell r="G2">
            <v>2</v>
          </cell>
          <cell r="H2">
            <v>0</v>
          </cell>
          <cell r="I2">
            <v>1</v>
          </cell>
          <cell r="J2">
            <v>3.15</v>
          </cell>
        </row>
        <row r="3">
          <cell r="A3" t="str">
            <v>PICTURE_2</v>
          </cell>
          <cell r="B3" t="str">
            <v>tyre</v>
          </cell>
          <cell r="D3">
            <v>0.99639061900000003</v>
          </cell>
          <cell r="E3">
            <v>53.535353540000003</v>
          </cell>
          <cell r="F3">
            <v>99</v>
          </cell>
          <cell r="G3">
            <v>2</v>
          </cell>
          <cell r="H3">
            <v>0</v>
          </cell>
          <cell r="I3">
            <v>1</v>
          </cell>
          <cell r="J3">
            <v>2.73</v>
          </cell>
        </row>
        <row r="4">
          <cell r="A4" t="str">
            <v>PICTURE_3</v>
          </cell>
          <cell r="B4" t="str">
            <v>steps</v>
          </cell>
          <cell r="D4">
            <v>1.1222961920000001</v>
          </cell>
          <cell r="E4">
            <v>49.494949490000003</v>
          </cell>
          <cell r="F4">
            <v>99</v>
          </cell>
          <cell r="G4">
            <v>3</v>
          </cell>
          <cell r="H4">
            <v>0</v>
          </cell>
          <cell r="I4">
            <v>1</v>
          </cell>
          <cell r="J4">
            <v>1.98</v>
          </cell>
        </row>
        <row r="5">
          <cell r="A5" t="str">
            <v>PICTURE_4</v>
          </cell>
          <cell r="B5" t="str">
            <v>church</v>
          </cell>
          <cell r="D5">
            <v>0.85898103699999995</v>
          </cell>
          <cell r="E5">
            <v>71.739130430000003</v>
          </cell>
          <cell r="F5">
            <v>92</v>
          </cell>
          <cell r="G5">
            <v>2</v>
          </cell>
          <cell r="H5">
            <v>3</v>
          </cell>
          <cell r="I5">
            <v>5</v>
          </cell>
          <cell r="J5">
            <v>3.14</v>
          </cell>
        </row>
        <row r="6">
          <cell r="A6" t="str">
            <v>PICTURE_5</v>
          </cell>
          <cell r="B6" t="str">
            <v>shoulder</v>
          </cell>
          <cell r="D6">
            <v>1.18976766</v>
          </cell>
          <cell r="E6">
            <v>69.565217390000001</v>
          </cell>
          <cell r="F6">
            <v>92</v>
          </cell>
          <cell r="G6">
            <v>3</v>
          </cell>
          <cell r="H6">
            <v>5</v>
          </cell>
          <cell r="I6">
            <v>3</v>
          </cell>
          <cell r="J6">
            <v>2.17</v>
          </cell>
        </row>
        <row r="7">
          <cell r="A7" t="str">
            <v>PICTURE_6</v>
          </cell>
          <cell r="B7" t="str">
            <v>chin</v>
          </cell>
          <cell r="D7">
            <v>0.57926260500000004</v>
          </cell>
          <cell r="E7">
            <v>88.888888890000004</v>
          </cell>
          <cell r="F7">
            <v>99</v>
          </cell>
          <cell r="G7">
            <v>3</v>
          </cell>
          <cell r="H7">
            <v>0</v>
          </cell>
          <cell r="I7">
            <v>1</v>
          </cell>
          <cell r="J7">
            <v>1.8787878790000001</v>
          </cell>
        </row>
        <row r="8">
          <cell r="A8" t="str">
            <v>PICTURE_7</v>
          </cell>
          <cell r="B8" t="str">
            <v>fairy</v>
          </cell>
          <cell r="D8">
            <v>0.47413276599999998</v>
          </cell>
          <cell r="E8">
            <v>91.83673469</v>
          </cell>
          <cell r="F8">
            <v>98</v>
          </cell>
          <cell r="G8">
            <v>3</v>
          </cell>
          <cell r="H8">
            <v>0</v>
          </cell>
          <cell r="I8">
            <v>2</v>
          </cell>
          <cell r="J8">
            <v>3.01</v>
          </cell>
        </row>
        <row r="9">
          <cell r="A9" t="str">
            <v>PICTURE_8</v>
          </cell>
          <cell r="B9" t="str">
            <v>leg</v>
          </cell>
          <cell r="D9">
            <v>0.28853851400000002</v>
          </cell>
          <cell r="E9">
            <v>94.949494950000002</v>
          </cell>
          <cell r="F9">
            <v>99</v>
          </cell>
          <cell r="G9">
            <v>2</v>
          </cell>
          <cell r="H9">
            <v>0</v>
          </cell>
          <cell r="I9">
            <v>1</v>
          </cell>
          <cell r="J9">
            <v>2.33</v>
          </cell>
        </row>
        <row r="10">
          <cell r="A10" t="str">
            <v>PICTURE_9</v>
          </cell>
          <cell r="B10" t="str">
            <v>shower</v>
          </cell>
          <cell r="D10">
            <v>0</v>
          </cell>
          <cell r="E10">
            <v>100</v>
          </cell>
          <cell r="F10">
            <v>99</v>
          </cell>
          <cell r="G10">
            <v>1</v>
          </cell>
          <cell r="H10">
            <v>0</v>
          </cell>
          <cell r="I10">
            <v>1</v>
          </cell>
          <cell r="J10">
            <v>2.79</v>
          </cell>
        </row>
        <row r="11">
          <cell r="A11" t="str">
            <v>PICTURE_10</v>
          </cell>
          <cell r="B11" t="str">
            <v>steak</v>
          </cell>
          <cell r="D11">
            <v>1.5327259900000001</v>
          </cell>
          <cell r="E11">
            <v>68.656716419999995</v>
          </cell>
          <cell r="F11">
            <v>67</v>
          </cell>
          <cell r="G11">
            <v>6</v>
          </cell>
          <cell r="H11">
            <v>25</v>
          </cell>
          <cell r="I11">
            <v>8</v>
          </cell>
          <cell r="J11">
            <v>3.25</v>
          </cell>
        </row>
        <row r="12">
          <cell r="A12" t="str">
            <v>PICTURE_11</v>
          </cell>
          <cell r="B12" t="str">
            <v>burger</v>
          </cell>
          <cell r="D12">
            <v>0.33757642300000001</v>
          </cell>
          <cell r="E12">
            <v>94.949494950000002</v>
          </cell>
          <cell r="F12">
            <v>99</v>
          </cell>
          <cell r="G12">
            <v>3</v>
          </cell>
          <cell r="H12">
            <v>0</v>
          </cell>
          <cell r="I12">
            <v>1</v>
          </cell>
          <cell r="J12">
            <v>3.1</v>
          </cell>
        </row>
        <row r="13">
          <cell r="A13" t="str">
            <v>PICTURE_12</v>
          </cell>
          <cell r="B13" t="str">
            <v>mermaid</v>
          </cell>
          <cell r="D13">
            <v>0</v>
          </cell>
          <cell r="E13">
            <v>100</v>
          </cell>
          <cell r="F13">
            <v>97</v>
          </cell>
          <cell r="G13">
            <v>1</v>
          </cell>
          <cell r="H13">
            <v>1</v>
          </cell>
          <cell r="I13">
            <v>2</v>
          </cell>
          <cell r="J13">
            <v>2.72</v>
          </cell>
        </row>
        <row r="14">
          <cell r="A14" t="str">
            <v>PICTURE_13</v>
          </cell>
          <cell r="B14" t="str">
            <v>leg</v>
          </cell>
          <cell r="D14">
            <v>1.53003215</v>
          </cell>
          <cell r="E14">
            <v>46.391752580000002</v>
          </cell>
          <cell r="F14">
            <v>97</v>
          </cell>
          <cell r="G14">
            <v>3</v>
          </cell>
          <cell r="H14">
            <v>1</v>
          </cell>
          <cell r="I14">
            <v>2</v>
          </cell>
          <cell r="J14">
            <v>2.2000000000000002</v>
          </cell>
        </row>
        <row r="15">
          <cell r="A15" t="str">
            <v>PICTURE_14</v>
          </cell>
          <cell r="B15" t="str">
            <v>dressing gown</v>
          </cell>
          <cell r="D15">
            <v>1.2579816859999999</v>
          </cell>
          <cell r="E15">
            <v>69.696969699999997</v>
          </cell>
          <cell r="F15">
            <v>99</v>
          </cell>
          <cell r="G15">
            <v>4</v>
          </cell>
          <cell r="H15">
            <v>0</v>
          </cell>
          <cell r="I15">
            <v>1</v>
          </cell>
          <cell r="J15">
            <v>2.57</v>
          </cell>
        </row>
        <row r="16">
          <cell r="A16" t="str">
            <v>PICTURE_15</v>
          </cell>
          <cell r="B16" t="str">
            <v>lion</v>
          </cell>
          <cell r="D16">
            <v>0</v>
          </cell>
          <cell r="E16">
            <v>100</v>
          </cell>
          <cell r="F16">
            <v>99</v>
          </cell>
          <cell r="G16">
            <v>1</v>
          </cell>
          <cell r="H16">
            <v>0</v>
          </cell>
          <cell r="I16">
            <v>1</v>
          </cell>
          <cell r="J16">
            <v>3.26</v>
          </cell>
        </row>
        <row r="17">
          <cell r="A17" t="str">
            <v>PICTURE_16</v>
          </cell>
          <cell r="B17" t="str">
            <v>hunter</v>
          </cell>
          <cell r="D17">
            <v>1.6190141730000001</v>
          </cell>
          <cell r="E17">
            <v>50</v>
          </cell>
          <cell r="F17">
            <v>92</v>
          </cell>
          <cell r="G17">
            <v>6</v>
          </cell>
          <cell r="H17">
            <v>4</v>
          </cell>
          <cell r="I17">
            <v>4</v>
          </cell>
          <cell r="J17">
            <v>3.36</v>
          </cell>
        </row>
        <row r="18">
          <cell r="A18" t="str">
            <v>PICTURE_17</v>
          </cell>
          <cell r="B18" t="str">
            <v>devil</v>
          </cell>
          <cell r="D18">
            <v>0.47774737499999997</v>
          </cell>
          <cell r="E18">
            <v>91.75257732</v>
          </cell>
          <cell r="F18">
            <v>97</v>
          </cell>
          <cell r="G18">
            <v>3</v>
          </cell>
          <cell r="H18">
            <v>1</v>
          </cell>
          <cell r="I18">
            <v>2</v>
          </cell>
          <cell r="J18">
            <v>3.18</v>
          </cell>
        </row>
        <row r="19">
          <cell r="A19" t="str">
            <v>PICTURE_18</v>
          </cell>
          <cell r="B19" t="str">
            <v>planet</v>
          </cell>
          <cell r="D19">
            <v>1.3044591219999999</v>
          </cell>
          <cell r="E19">
            <v>48.421052629999998</v>
          </cell>
          <cell r="F19">
            <v>95</v>
          </cell>
          <cell r="G19">
            <v>3</v>
          </cell>
          <cell r="H19">
            <v>4</v>
          </cell>
          <cell r="I19">
            <v>1</v>
          </cell>
          <cell r="J19">
            <v>2.52</v>
          </cell>
        </row>
        <row r="20">
          <cell r="A20" t="str">
            <v>PICTURE_19</v>
          </cell>
          <cell r="B20" t="str">
            <v>turkey</v>
          </cell>
          <cell r="D20">
            <v>1.4262948520000001</v>
          </cell>
          <cell r="E20">
            <v>73.118279569999999</v>
          </cell>
          <cell r="F20">
            <v>93</v>
          </cell>
          <cell r="G20">
            <v>6</v>
          </cell>
          <cell r="H20">
            <v>6</v>
          </cell>
          <cell r="I20">
            <v>1</v>
          </cell>
          <cell r="J20">
            <v>3.78</v>
          </cell>
        </row>
        <row r="21">
          <cell r="A21" t="str">
            <v>PICTURE_20</v>
          </cell>
          <cell r="B21" t="str">
            <v>skeleton</v>
          </cell>
          <cell r="D21">
            <v>0</v>
          </cell>
          <cell r="E21">
            <v>100</v>
          </cell>
          <cell r="F21">
            <v>100</v>
          </cell>
          <cell r="G21">
            <v>1</v>
          </cell>
          <cell r="H21">
            <v>0</v>
          </cell>
          <cell r="I21">
            <v>0</v>
          </cell>
          <cell r="J21">
            <v>3.1</v>
          </cell>
        </row>
        <row r="22">
          <cell r="A22" t="str">
            <v>PICTURE_21</v>
          </cell>
          <cell r="B22" t="str">
            <v>boxer</v>
          </cell>
          <cell r="D22">
            <v>0</v>
          </cell>
          <cell r="E22">
            <v>100</v>
          </cell>
          <cell r="F22">
            <v>100</v>
          </cell>
          <cell r="G22">
            <v>1</v>
          </cell>
          <cell r="H22">
            <v>0</v>
          </cell>
          <cell r="I22">
            <v>0</v>
          </cell>
          <cell r="J22">
            <v>2.82</v>
          </cell>
        </row>
        <row r="23">
          <cell r="A23" t="str">
            <v>PICTURE_22</v>
          </cell>
          <cell r="B23" t="str">
            <v>campsite</v>
          </cell>
          <cell r="D23">
            <v>0.96479954899999998</v>
          </cell>
          <cell r="E23">
            <v>61</v>
          </cell>
          <cell r="F23">
            <v>100</v>
          </cell>
          <cell r="G23">
            <v>2</v>
          </cell>
          <cell r="H23">
            <v>0</v>
          </cell>
          <cell r="I23">
            <v>0</v>
          </cell>
          <cell r="J23">
            <v>2.87</v>
          </cell>
        </row>
        <row r="24">
          <cell r="A24" t="str">
            <v>PICTURE_23</v>
          </cell>
          <cell r="B24" t="str">
            <v>bike</v>
          </cell>
          <cell r="D24">
            <v>0</v>
          </cell>
          <cell r="E24">
            <v>100</v>
          </cell>
          <cell r="F24">
            <v>99</v>
          </cell>
          <cell r="G24">
            <v>1</v>
          </cell>
          <cell r="H24">
            <v>0</v>
          </cell>
          <cell r="I24">
            <v>1</v>
          </cell>
          <cell r="J24">
            <v>3</v>
          </cell>
        </row>
        <row r="25">
          <cell r="A25" t="str">
            <v>PICTURE_24</v>
          </cell>
          <cell r="B25" t="str">
            <v>bone</v>
          </cell>
          <cell r="D25">
            <v>0</v>
          </cell>
          <cell r="E25">
            <v>100</v>
          </cell>
          <cell r="F25">
            <v>100</v>
          </cell>
          <cell r="G25">
            <v>1</v>
          </cell>
          <cell r="H25">
            <v>0</v>
          </cell>
          <cell r="I25">
            <v>0</v>
          </cell>
          <cell r="J25">
            <v>1.4</v>
          </cell>
        </row>
        <row r="26">
          <cell r="A26" t="str">
            <v>PICTURE_25</v>
          </cell>
          <cell r="B26" t="str">
            <v>leopard</v>
          </cell>
          <cell r="D26">
            <v>1.4597997730000001</v>
          </cell>
          <cell r="E26">
            <v>60.60606061</v>
          </cell>
          <cell r="F26">
            <v>99</v>
          </cell>
          <cell r="G26">
            <v>4</v>
          </cell>
          <cell r="H26">
            <v>1</v>
          </cell>
          <cell r="I26">
            <v>0</v>
          </cell>
          <cell r="J26">
            <v>3.78</v>
          </cell>
        </row>
        <row r="27">
          <cell r="A27" t="str">
            <v>PICTURE_26</v>
          </cell>
          <cell r="B27" t="str">
            <v>onion</v>
          </cell>
          <cell r="D27">
            <v>0</v>
          </cell>
          <cell r="E27">
            <v>100</v>
          </cell>
          <cell r="F27">
            <v>91</v>
          </cell>
          <cell r="G27">
            <v>1</v>
          </cell>
          <cell r="H27">
            <v>4</v>
          </cell>
          <cell r="I27">
            <v>5</v>
          </cell>
          <cell r="J27">
            <v>2.8</v>
          </cell>
        </row>
        <row r="28">
          <cell r="A28" t="str">
            <v>PICTURE_27</v>
          </cell>
          <cell r="B28" t="str">
            <v>prisoner</v>
          </cell>
          <cell r="D28">
            <v>1.49647394</v>
          </cell>
          <cell r="E28">
            <v>67.346938780000002</v>
          </cell>
          <cell r="F28">
            <v>98</v>
          </cell>
          <cell r="G28">
            <v>6</v>
          </cell>
          <cell r="H28">
            <v>0</v>
          </cell>
          <cell r="I28">
            <v>2</v>
          </cell>
          <cell r="J28">
            <v>2.77</v>
          </cell>
        </row>
        <row r="29">
          <cell r="A29" t="str">
            <v>PICTURE_28</v>
          </cell>
          <cell r="B29" t="str">
            <v>microscope</v>
          </cell>
          <cell r="D29">
            <v>0.79363123099999999</v>
          </cell>
          <cell r="E29">
            <v>82.558139530000005</v>
          </cell>
          <cell r="F29">
            <v>86</v>
          </cell>
          <cell r="G29">
            <v>3</v>
          </cell>
          <cell r="H29">
            <v>13</v>
          </cell>
          <cell r="I29">
            <v>1</v>
          </cell>
          <cell r="J29">
            <v>3.49</v>
          </cell>
        </row>
        <row r="30">
          <cell r="A30" t="str">
            <v>PICTURE_29</v>
          </cell>
          <cell r="B30" t="str">
            <v>cowboy</v>
          </cell>
          <cell r="D30">
            <v>0</v>
          </cell>
          <cell r="E30">
            <v>100</v>
          </cell>
          <cell r="F30">
            <v>98</v>
          </cell>
          <cell r="G30">
            <v>1</v>
          </cell>
          <cell r="H30">
            <v>0</v>
          </cell>
          <cell r="I30">
            <v>2</v>
          </cell>
          <cell r="J30">
            <v>3.07</v>
          </cell>
        </row>
        <row r="31">
          <cell r="A31" t="str">
            <v>PICTURE_30</v>
          </cell>
          <cell r="B31" t="str">
            <v>farm</v>
          </cell>
          <cell r="D31">
            <v>0.14372616999999999</v>
          </cell>
          <cell r="E31">
            <v>97.959183670000002</v>
          </cell>
          <cell r="F31">
            <v>98</v>
          </cell>
          <cell r="G31">
            <v>2</v>
          </cell>
          <cell r="H31">
            <v>0</v>
          </cell>
          <cell r="I31">
            <v>2</v>
          </cell>
          <cell r="J31">
            <v>3.7676767679999998</v>
          </cell>
        </row>
        <row r="32">
          <cell r="A32" t="str">
            <v>PICTURE_31</v>
          </cell>
          <cell r="B32" t="str">
            <v>miner</v>
          </cell>
          <cell r="D32">
            <v>0.62297344200000004</v>
          </cell>
          <cell r="E32">
            <v>89.772727270000004</v>
          </cell>
          <cell r="F32">
            <v>88</v>
          </cell>
          <cell r="G32">
            <v>4</v>
          </cell>
          <cell r="H32">
            <v>8</v>
          </cell>
          <cell r="I32">
            <v>4</v>
          </cell>
          <cell r="J32">
            <v>3.3</v>
          </cell>
        </row>
        <row r="33">
          <cell r="A33" t="str">
            <v>PICTURE_32</v>
          </cell>
          <cell r="B33" t="str">
            <v>crown</v>
          </cell>
          <cell r="D33">
            <v>0</v>
          </cell>
          <cell r="E33">
            <v>100</v>
          </cell>
          <cell r="F33">
            <v>98</v>
          </cell>
          <cell r="G33">
            <v>1</v>
          </cell>
          <cell r="H33">
            <v>0</v>
          </cell>
          <cell r="I33">
            <v>2</v>
          </cell>
          <cell r="J33">
            <v>3.35</v>
          </cell>
        </row>
        <row r="34">
          <cell r="A34" t="str">
            <v>PICTURE_33</v>
          </cell>
          <cell r="B34" t="str">
            <v>frame</v>
          </cell>
          <cell r="D34">
            <v>1.6280926149999999</v>
          </cell>
          <cell r="E34">
            <v>50</v>
          </cell>
          <cell r="F34">
            <v>94</v>
          </cell>
          <cell r="G34">
            <v>4</v>
          </cell>
          <cell r="H34">
            <v>3</v>
          </cell>
          <cell r="I34">
            <v>3</v>
          </cell>
          <cell r="J34">
            <v>2.23</v>
          </cell>
        </row>
        <row r="35">
          <cell r="A35" t="str">
            <v>PICTURE_34</v>
          </cell>
          <cell r="B35" t="str">
            <v>cupcake</v>
          </cell>
          <cell r="D35">
            <v>2.0408841899999999</v>
          </cell>
          <cell r="E35">
            <v>38.043478260000001</v>
          </cell>
          <cell r="F35">
            <v>92</v>
          </cell>
          <cell r="G35">
            <v>6</v>
          </cell>
          <cell r="H35">
            <v>4</v>
          </cell>
          <cell r="I35">
            <v>4</v>
          </cell>
          <cell r="J35">
            <v>2.5299999999999998</v>
          </cell>
        </row>
        <row r="36">
          <cell r="A36" t="str">
            <v>PICTURE_35</v>
          </cell>
          <cell r="B36" t="str">
            <v>ear</v>
          </cell>
          <cell r="D36">
            <v>0.141440543</v>
          </cell>
          <cell r="E36">
            <v>98</v>
          </cell>
          <cell r="F36">
            <v>100</v>
          </cell>
          <cell r="G36">
            <v>2</v>
          </cell>
          <cell r="H36">
            <v>0</v>
          </cell>
          <cell r="I36">
            <v>0</v>
          </cell>
          <cell r="J36">
            <v>2.38</v>
          </cell>
        </row>
        <row r="37">
          <cell r="A37" t="str">
            <v>PICTURE_36</v>
          </cell>
          <cell r="B37" t="str">
            <v>beetle</v>
          </cell>
          <cell r="D37">
            <v>2.1024617729999999</v>
          </cell>
          <cell r="E37">
            <v>39.560439559999999</v>
          </cell>
          <cell r="F37">
            <v>91</v>
          </cell>
          <cell r="G37">
            <v>5</v>
          </cell>
          <cell r="H37">
            <v>5</v>
          </cell>
          <cell r="I37">
            <v>4</v>
          </cell>
          <cell r="J37">
            <v>2.98</v>
          </cell>
        </row>
        <row r="38">
          <cell r="A38" t="str">
            <v>PICTURE_37</v>
          </cell>
          <cell r="B38" t="str">
            <v>doughnut</v>
          </cell>
          <cell r="D38">
            <v>0</v>
          </cell>
          <cell r="E38">
            <v>100</v>
          </cell>
          <cell r="F38">
            <v>99</v>
          </cell>
          <cell r="G38">
            <v>1</v>
          </cell>
          <cell r="H38">
            <v>0</v>
          </cell>
          <cell r="I38">
            <v>1</v>
          </cell>
          <cell r="J38">
            <v>2.31</v>
          </cell>
        </row>
        <row r="39">
          <cell r="A39" t="str">
            <v>PICTURE_38</v>
          </cell>
          <cell r="B39" t="str">
            <v>spider</v>
          </cell>
          <cell r="D39">
            <v>0</v>
          </cell>
          <cell r="E39">
            <v>100</v>
          </cell>
          <cell r="F39">
            <v>99</v>
          </cell>
          <cell r="G39">
            <v>1</v>
          </cell>
          <cell r="H39">
            <v>0</v>
          </cell>
          <cell r="I39">
            <v>1</v>
          </cell>
          <cell r="J39">
            <v>2.39</v>
          </cell>
        </row>
        <row r="40">
          <cell r="A40" t="str">
            <v>PICTURE_39</v>
          </cell>
          <cell r="B40" t="str">
            <v>pocket</v>
          </cell>
          <cell r="D40">
            <v>0.29894079699999998</v>
          </cell>
          <cell r="E40">
            <v>95.698924730000002</v>
          </cell>
          <cell r="F40">
            <v>93</v>
          </cell>
          <cell r="G40">
            <v>3</v>
          </cell>
          <cell r="H40">
            <v>6</v>
          </cell>
          <cell r="I40">
            <v>1</v>
          </cell>
          <cell r="J40">
            <v>2.34</v>
          </cell>
        </row>
        <row r="41">
          <cell r="A41" t="str">
            <v>PICTURE_40</v>
          </cell>
          <cell r="B41" t="str">
            <v>clover</v>
          </cell>
          <cell r="D41">
            <v>0.71661838099999997</v>
          </cell>
          <cell r="E41">
            <v>87.5</v>
          </cell>
          <cell r="F41">
            <v>96</v>
          </cell>
          <cell r="G41">
            <v>4</v>
          </cell>
          <cell r="H41">
            <v>2</v>
          </cell>
          <cell r="I41">
            <v>2</v>
          </cell>
          <cell r="J41">
            <v>2.212121212</v>
          </cell>
        </row>
        <row r="42">
          <cell r="A42" t="str">
            <v>PICTURE_41</v>
          </cell>
          <cell r="B42" t="str">
            <v>market</v>
          </cell>
          <cell r="D42">
            <v>2.1201258049999998</v>
          </cell>
          <cell r="E42">
            <v>38.144329900000002</v>
          </cell>
          <cell r="F42">
            <v>97</v>
          </cell>
          <cell r="G42">
            <v>7</v>
          </cell>
          <cell r="H42">
            <v>1</v>
          </cell>
          <cell r="I42">
            <v>2</v>
          </cell>
          <cell r="J42">
            <v>3.52</v>
          </cell>
        </row>
        <row r="43">
          <cell r="A43" t="str">
            <v>PICTURE_42</v>
          </cell>
          <cell r="B43" t="str">
            <v>pear</v>
          </cell>
          <cell r="D43">
            <v>0</v>
          </cell>
          <cell r="E43">
            <v>100</v>
          </cell>
          <cell r="F43">
            <v>99</v>
          </cell>
          <cell r="G43">
            <v>1</v>
          </cell>
          <cell r="H43">
            <v>0</v>
          </cell>
          <cell r="I43">
            <v>1</v>
          </cell>
          <cell r="J43">
            <v>2.23</v>
          </cell>
        </row>
        <row r="44">
          <cell r="A44" t="str">
            <v>PICTURE_43</v>
          </cell>
          <cell r="B44" t="str">
            <v>hairbrush</v>
          </cell>
          <cell r="D44">
            <v>1.162872082</v>
          </cell>
          <cell r="E44">
            <v>51.515151520000003</v>
          </cell>
          <cell r="F44">
            <v>99</v>
          </cell>
          <cell r="G44">
            <v>3</v>
          </cell>
          <cell r="H44">
            <v>0</v>
          </cell>
          <cell r="I44">
            <v>1</v>
          </cell>
          <cell r="J44">
            <v>2.25</v>
          </cell>
        </row>
        <row r="45">
          <cell r="A45" t="str">
            <v>PICTURE_44</v>
          </cell>
          <cell r="B45" t="str">
            <v>claw</v>
          </cell>
          <cell r="D45">
            <v>0.54356444299999995</v>
          </cell>
          <cell r="E45">
            <v>87.5</v>
          </cell>
          <cell r="F45">
            <v>96</v>
          </cell>
          <cell r="G45">
            <v>2</v>
          </cell>
          <cell r="H45">
            <v>4</v>
          </cell>
          <cell r="I45">
            <v>0</v>
          </cell>
          <cell r="J45">
            <v>2.66</v>
          </cell>
        </row>
        <row r="46">
          <cell r="A46" t="str">
            <v>PICTURE_45</v>
          </cell>
          <cell r="B46" t="str">
            <v>tambourine</v>
          </cell>
          <cell r="D46">
            <v>0.513249544</v>
          </cell>
          <cell r="E46">
            <v>90.909090910000003</v>
          </cell>
          <cell r="F46">
            <v>88</v>
          </cell>
          <cell r="G46">
            <v>3</v>
          </cell>
          <cell r="H46">
            <v>11</v>
          </cell>
          <cell r="I46">
            <v>1</v>
          </cell>
          <cell r="J46">
            <v>2.8</v>
          </cell>
        </row>
        <row r="47">
          <cell r="A47" t="str">
            <v>PICTURE_46</v>
          </cell>
          <cell r="B47" t="str">
            <v>screwdriver</v>
          </cell>
          <cell r="D47">
            <v>0.28683890499999998</v>
          </cell>
          <cell r="E47">
            <v>95.918367349999997</v>
          </cell>
          <cell r="F47">
            <v>98</v>
          </cell>
          <cell r="G47">
            <v>3</v>
          </cell>
          <cell r="H47">
            <v>2</v>
          </cell>
          <cell r="I47">
            <v>0</v>
          </cell>
          <cell r="J47">
            <v>2.34</v>
          </cell>
        </row>
        <row r="48">
          <cell r="A48" t="str">
            <v>PICTURE_47</v>
          </cell>
          <cell r="B48" t="str">
            <v>desert</v>
          </cell>
          <cell r="D48">
            <v>0.34297895099999998</v>
          </cell>
          <cell r="E48">
            <v>94.845360819999996</v>
          </cell>
          <cell r="F48">
            <v>97</v>
          </cell>
          <cell r="G48">
            <v>3</v>
          </cell>
          <cell r="H48">
            <v>3</v>
          </cell>
          <cell r="I48">
            <v>0</v>
          </cell>
          <cell r="J48">
            <v>3.28</v>
          </cell>
        </row>
        <row r="49">
          <cell r="A49" t="str">
            <v>PICTURE_48</v>
          </cell>
          <cell r="B49" t="str">
            <v>fireman</v>
          </cell>
          <cell r="D49">
            <v>0.68804762399999997</v>
          </cell>
          <cell r="E49">
            <v>81.632653059999996</v>
          </cell>
          <cell r="F49">
            <v>98</v>
          </cell>
          <cell r="G49">
            <v>2</v>
          </cell>
          <cell r="H49">
            <v>1</v>
          </cell>
          <cell r="I49">
            <v>1</v>
          </cell>
          <cell r="J49">
            <v>2.86</v>
          </cell>
        </row>
        <row r="50">
          <cell r="A50" t="str">
            <v>PICTURE_49</v>
          </cell>
          <cell r="B50" t="str">
            <v>mansion</v>
          </cell>
          <cell r="D50">
            <v>2.219608118</v>
          </cell>
          <cell r="E50">
            <v>42.10526316</v>
          </cell>
          <cell r="F50">
            <v>95</v>
          </cell>
          <cell r="G50">
            <v>8</v>
          </cell>
          <cell r="H50">
            <v>3</v>
          </cell>
          <cell r="I50">
            <v>2</v>
          </cell>
          <cell r="J50">
            <v>3.07</v>
          </cell>
        </row>
        <row r="51">
          <cell r="A51" t="str">
            <v>PICTURE_50</v>
          </cell>
          <cell r="B51" t="str">
            <v>bald</v>
          </cell>
          <cell r="D51">
            <v>1.6689860329999999</v>
          </cell>
          <cell r="E51">
            <v>56.122448980000001</v>
          </cell>
          <cell r="F51">
            <v>98</v>
          </cell>
          <cell r="G51">
            <v>4</v>
          </cell>
          <cell r="H51">
            <v>1</v>
          </cell>
          <cell r="I51">
            <v>1</v>
          </cell>
          <cell r="J51">
            <v>2.5299999999999998</v>
          </cell>
        </row>
        <row r="52">
          <cell r="A52" t="str">
            <v>PICTURE_51</v>
          </cell>
          <cell r="B52" t="str">
            <v>hanging</v>
          </cell>
          <cell r="D52">
            <v>1.8853160920000001</v>
          </cell>
          <cell r="E52">
            <v>41.025641030000003</v>
          </cell>
          <cell r="F52">
            <v>78</v>
          </cell>
          <cell r="G52">
            <v>6</v>
          </cell>
          <cell r="H52">
            <v>18</v>
          </cell>
          <cell r="I52">
            <v>4</v>
          </cell>
          <cell r="J52">
            <v>2.8</v>
          </cell>
        </row>
        <row r="53">
          <cell r="A53" t="str">
            <v>PICTURE_52</v>
          </cell>
          <cell r="B53" t="str">
            <v>saw</v>
          </cell>
          <cell r="D53">
            <v>0</v>
          </cell>
          <cell r="E53">
            <v>100</v>
          </cell>
          <cell r="F53">
            <v>95</v>
          </cell>
          <cell r="G53">
            <v>1</v>
          </cell>
          <cell r="H53">
            <v>2</v>
          </cell>
          <cell r="I53">
            <v>3</v>
          </cell>
          <cell r="J53">
            <v>1.98</v>
          </cell>
        </row>
        <row r="54">
          <cell r="A54" t="str">
            <v>PICTURE_53</v>
          </cell>
          <cell r="B54" t="str">
            <v>bag</v>
          </cell>
          <cell r="D54">
            <v>0.97085949299999996</v>
          </cell>
          <cell r="E54">
            <v>77.551020410000007</v>
          </cell>
          <cell r="F54">
            <v>98</v>
          </cell>
          <cell r="G54">
            <v>3</v>
          </cell>
          <cell r="H54">
            <v>0</v>
          </cell>
          <cell r="I54">
            <v>2</v>
          </cell>
          <cell r="J54">
            <v>1.91</v>
          </cell>
        </row>
        <row r="55">
          <cell r="A55" t="str">
            <v>PICTURE_54</v>
          </cell>
          <cell r="B55" t="str">
            <v>necklace</v>
          </cell>
          <cell r="D55">
            <v>1.410146458</v>
          </cell>
          <cell r="E55">
            <v>62.626262629999999</v>
          </cell>
          <cell r="F55">
            <v>99</v>
          </cell>
          <cell r="G55">
            <v>4</v>
          </cell>
          <cell r="H55">
            <v>0</v>
          </cell>
          <cell r="I55">
            <v>1</v>
          </cell>
          <cell r="J55">
            <v>2.34</v>
          </cell>
        </row>
        <row r="56">
          <cell r="A56" t="str">
            <v>PICTURE_55</v>
          </cell>
          <cell r="B56" t="str">
            <v>shadow</v>
          </cell>
          <cell r="D56">
            <v>0</v>
          </cell>
          <cell r="E56">
            <v>100</v>
          </cell>
          <cell r="F56">
            <v>98</v>
          </cell>
          <cell r="G56">
            <v>1</v>
          </cell>
          <cell r="H56">
            <v>2</v>
          </cell>
          <cell r="I56">
            <v>0</v>
          </cell>
          <cell r="J56">
            <v>2.33</v>
          </cell>
        </row>
        <row r="57">
          <cell r="A57" t="str">
            <v>PICTURE_56</v>
          </cell>
          <cell r="B57" t="str">
            <v>elbow</v>
          </cell>
          <cell r="D57">
            <v>0.195909271</v>
          </cell>
          <cell r="E57">
            <v>96.969696970000001</v>
          </cell>
          <cell r="F57">
            <v>99</v>
          </cell>
          <cell r="G57">
            <v>2</v>
          </cell>
          <cell r="H57">
            <v>1</v>
          </cell>
          <cell r="I57">
            <v>0</v>
          </cell>
          <cell r="J57">
            <v>2.13</v>
          </cell>
        </row>
        <row r="58">
          <cell r="A58" t="str">
            <v>PICTURE_57</v>
          </cell>
          <cell r="B58" t="str">
            <v>stamp</v>
          </cell>
          <cell r="D58">
            <v>0.67944964399999996</v>
          </cell>
          <cell r="E58">
            <v>88.775510199999999</v>
          </cell>
          <cell r="F58">
            <v>98</v>
          </cell>
          <cell r="G58">
            <v>4</v>
          </cell>
          <cell r="H58">
            <v>0</v>
          </cell>
          <cell r="I58">
            <v>2</v>
          </cell>
          <cell r="J58">
            <v>2.63</v>
          </cell>
        </row>
        <row r="59">
          <cell r="A59" t="str">
            <v>PICTURE_58</v>
          </cell>
          <cell r="B59" t="str">
            <v>gardener</v>
          </cell>
          <cell r="D59">
            <v>1.1268935870000001</v>
          </cell>
          <cell r="E59">
            <v>60.638297870000002</v>
          </cell>
          <cell r="F59">
            <v>94</v>
          </cell>
          <cell r="G59">
            <v>3</v>
          </cell>
          <cell r="H59">
            <v>2</v>
          </cell>
          <cell r="I59">
            <v>4</v>
          </cell>
          <cell r="J59">
            <v>3.26</v>
          </cell>
        </row>
        <row r="60">
          <cell r="A60" t="str">
            <v>PICTURE_59</v>
          </cell>
          <cell r="B60" t="str">
            <v>shirt</v>
          </cell>
          <cell r="D60">
            <v>1.5193083700000001</v>
          </cell>
          <cell r="E60">
            <v>46.875</v>
          </cell>
          <cell r="F60">
            <v>96</v>
          </cell>
          <cell r="G60">
            <v>5</v>
          </cell>
          <cell r="H60">
            <v>2</v>
          </cell>
          <cell r="I60">
            <v>2</v>
          </cell>
          <cell r="J60">
            <v>2.44</v>
          </cell>
        </row>
        <row r="61">
          <cell r="A61" t="str">
            <v>PICTURE_60</v>
          </cell>
          <cell r="B61" t="str">
            <v>lumberjack</v>
          </cell>
          <cell r="D61">
            <v>2.5232127050000002</v>
          </cell>
          <cell r="E61">
            <v>45.070422540000003</v>
          </cell>
          <cell r="F61">
            <v>71</v>
          </cell>
          <cell r="G61">
            <v>9</v>
          </cell>
          <cell r="H61">
            <v>22</v>
          </cell>
          <cell r="I61">
            <v>7</v>
          </cell>
          <cell r="J61">
            <v>3.29</v>
          </cell>
        </row>
        <row r="62">
          <cell r="A62" t="str">
            <v>PICTURE_61</v>
          </cell>
          <cell r="B62" t="str">
            <v>newspaper</v>
          </cell>
          <cell r="D62">
            <v>0.83242058100000005</v>
          </cell>
          <cell r="E62">
            <v>79.761904759999993</v>
          </cell>
          <cell r="F62">
            <v>84</v>
          </cell>
          <cell r="G62">
            <v>3</v>
          </cell>
          <cell r="H62">
            <v>5</v>
          </cell>
          <cell r="I62">
            <v>11</v>
          </cell>
          <cell r="J62">
            <v>2.5</v>
          </cell>
        </row>
        <row r="63">
          <cell r="A63" t="str">
            <v>PICTURE_62</v>
          </cell>
          <cell r="B63" t="str">
            <v>wasp</v>
          </cell>
          <cell r="D63">
            <v>0.86684119199999998</v>
          </cell>
          <cell r="E63">
            <v>81.914893620000001</v>
          </cell>
          <cell r="F63">
            <v>94</v>
          </cell>
          <cell r="G63">
            <v>4</v>
          </cell>
          <cell r="H63">
            <v>4</v>
          </cell>
          <cell r="I63">
            <v>2</v>
          </cell>
          <cell r="J63">
            <v>3.25</v>
          </cell>
        </row>
        <row r="64">
          <cell r="A64" t="str">
            <v>PICTURE_63</v>
          </cell>
          <cell r="B64" t="str">
            <v>balcony</v>
          </cell>
          <cell r="D64">
            <v>0.90824313300000004</v>
          </cell>
          <cell r="E64">
            <v>77.083333330000002</v>
          </cell>
          <cell r="F64">
            <v>96</v>
          </cell>
          <cell r="G64">
            <v>3</v>
          </cell>
          <cell r="H64">
            <v>1</v>
          </cell>
          <cell r="I64">
            <v>3</v>
          </cell>
          <cell r="J64">
            <v>2.84</v>
          </cell>
        </row>
        <row r="65">
          <cell r="A65" t="str">
            <v>PICTURE_64</v>
          </cell>
          <cell r="B65" t="str">
            <v>button</v>
          </cell>
          <cell r="D65">
            <v>0</v>
          </cell>
          <cell r="E65">
            <v>100</v>
          </cell>
          <cell r="F65">
            <v>98</v>
          </cell>
          <cell r="G65">
            <v>1</v>
          </cell>
          <cell r="H65">
            <v>1</v>
          </cell>
          <cell r="I65">
            <v>1</v>
          </cell>
          <cell r="J65">
            <v>1.8080808079999999</v>
          </cell>
        </row>
        <row r="66">
          <cell r="A66" t="str">
            <v>PICTURE_65</v>
          </cell>
          <cell r="B66" t="str">
            <v>bum</v>
          </cell>
          <cell r="D66">
            <v>1.2426636659999999</v>
          </cell>
          <cell r="E66">
            <v>72.164948449999997</v>
          </cell>
          <cell r="F66">
            <v>97</v>
          </cell>
          <cell r="G66">
            <v>4</v>
          </cell>
          <cell r="H66">
            <v>0</v>
          </cell>
          <cell r="I66">
            <v>3</v>
          </cell>
          <cell r="J66">
            <v>1.9090909089999999</v>
          </cell>
        </row>
        <row r="67">
          <cell r="A67" t="str">
            <v>PICTURE_66</v>
          </cell>
          <cell r="B67" t="str">
            <v>roof</v>
          </cell>
          <cell r="D67">
            <v>0</v>
          </cell>
          <cell r="E67">
            <v>100</v>
          </cell>
          <cell r="F67">
            <v>95</v>
          </cell>
          <cell r="G67">
            <v>1</v>
          </cell>
          <cell r="H67">
            <v>3</v>
          </cell>
          <cell r="I67">
            <v>2</v>
          </cell>
          <cell r="J67">
            <v>2.73</v>
          </cell>
        </row>
        <row r="68">
          <cell r="A68" t="str">
            <v>PICTURE_67</v>
          </cell>
          <cell r="B68" t="str">
            <v>sofa</v>
          </cell>
          <cell r="D68">
            <v>0.671601271</v>
          </cell>
          <cell r="E68">
            <v>85.858585860000005</v>
          </cell>
          <cell r="F68">
            <v>99</v>
          </cell>
          <cell r="G68">
            <v>3</v>
          </cell>
          <cell r="H68">
            <v>0</v>
          </cell>
          <cell r="I68">
            <v>1</v>
          </cell>
          <cell r="J68">
            <v>2.08</v>
          </cell>
        </row>
        <row r="69">
          <cell r="A69" t="str">
            <v>PICTURE_68</v>
          </cell>
          <cell r="B69" t="str">
            <v>candle</v>
          </cell>
          <cell r="D69">
            <v>0</v>
          </cell>
          <cell r="E69">
            <v>100</v>
          </cell>
          <cell r="F69">
            <v>99</v>
          </cell>
          <cell r="G69">
            <v>1</v>
          </cell>
          <cell r="H69">
            <v>0</v>
          </cell>
          <cell r="I69">
            <v>1</v>
          </cell>
          <cell r="J69">
            <v>2.48</v>
          </cell>
        </row>
        <row r="70">
          <cell r="A70" t="str">
            <v>PICTURE_69</v>
          </cell>
          <cell r="B70" t="str">
            <v>banana</v>
          </cell>
          <cell r="D70">
            <v>0</v>
          </cell>
          <cell r="E70">
            <v>100</v>
          </cell>
          <cell r="F70">
            <v>100</v>
          </cell>
          <cell r="G70">
            <v>1</v>
          </cell>
          <cell r="H70">
            <v>0</v>
          </cell>
          <cell r="I70">
            <v>0</v>
          </cell>
          <cell r="J70">
            <v>2.36</v>
          </cell>
        </row>
        <row r="71">
          <cell r="A71" t="str">
            <v>PICTURE_70</v>
          </cell>
          <cell r="B71" t="str">
            <v>orchestra</v>
          </cell>
          <cell r="D71">
            <v>1.171832247</v>
          </cell>
          <cell r="E71">
            <v>76.344086020000006</v>
          </cell>
          <cell r="F71">
            <v>93</v>
          </cell>
          <cell r="G71">
            <v>5</v>
          </cell>
          <cell r="H71">
            <v>5</v>
          </cell>
          <cell r="I71">
            <v>2</v>
          </cell>
          <cell r="J71">
            <v>3.69</v>
          </cell>
        </row>
        <row r="72">
          <cell r="A72" t="str">
            <v>PICTURE_71</v>
          </cell>
          <cell r="B72" t="str">
            <v>trophy</v>
          </cell>
          <cell r="D72">
            <v>0.83082816500000001</v>
          </cell>
          <cell r="E72">
            <v>79.381443300000001</v>
          </cell>
          <cell r="F72">
            <v>97</v>
          </cell>
          <cell r="G72">
            <v>3</v>
          </cell>
          <cell r="H72">
            <v>1</v>
          </cell>
          <cell r="I72">
            <v>2</v>
          </cell>
          <cell r="J72">
            <v>2.37</v>
          </cell>
        </row>
        <row r="73">
          <cell r="A73" t="str">
            <v>PICTURE_72</v>
          </cell>
          <cell r="B73" t="str">
            <v>cheese</v>
          </cell>
          <cell r="D73">
            <v>0.79434669000000002</v>
          </cell>
          <cell r="E73">
            <v>76.041666669999998</v>
          </cell>
          <cell r="F73">
            <v>96</v>
          </cell>
          <cell r="G73">
            <v>2</v>
          </cell>
          <cell r="H73">
            <v>3</v>
          </cell>
          <cell r="I73">
            <v>1</v>
          </cell>
          <cell r="J73">
            <v>2.474747475</v>
          </cell>
        </row>
        <row r="74">
          <cell r="A74" t="str">
            <v>PICTURE_73</v>
          </cell>
          <cell r="B74" t="str">
            <v>wave</v>
          </cell>
          <cell r="D74">
            <v>0</v>
          </cell>
          <cell r="E74">
            <v>100</v>
          </cell>
          <cell r="F74">
            <v>95</v>
          </cell>
          <cell r="G74">
            <v>1</v>
          </cell>
          <cell r="H74">
            <v>1</v>
          </cell>
          <cell r="I74">
            <v>4</v>
          </cell>
          <cell r="J74">
            <v>3.11</v>
          </cell>
        </row>
        <row r="75">
          <cell r="A75" t="str">
            <v>PICTURE_74</v>
          </cell>
          <cell r="B75" t="str">
            <v>tractor</v>
          </cell>
          <cell r="D75">
            <v>0.37123232699999997</v>
          </cell>
          <cell r="E75">
            <v>92.857142859999996</v>
          </cell>
          <cell r="F75">
            <v>98</v>
          </cell>
          <cell r="G75">
            <v>2</v>
          </cell>
          <cell r="H75">
            <v>2</v>
          </cell>
          <cell r="I75">
            <v>0</v>
          </cell>
          <cell r="J75">
            <v>3.34</v>
          </cell>
        </row>
        <row r="76">
          <cell r="A76" t="str">
            <v>PICTURE_75</v>
          </cell>
          <cell r="B76" t="str">
            <v>balloon</v>
          </cell>
          <cell r="D76">
            <v>0</v>
          </cell>
          <cell r="E76">
            <v>100</v>
          </cell>
          <cell r="F76">
            <v>100</v>
          </cell>
          <cell r="G76">
            <v>1</v>
          </cell>
          <cell r="H76">
            <v>0</v>
          </cell>
          <cell r="I76">
            <v>0</v>
          </cell>
          <cell r="J76">
            <v>1.81</v>
          </cell>
        </row>
        <row r="77">
          <cell r="A77" t="str">
            <v>PICTURE_76</v>
          </cell>
          <cell r="B77" t="str">
            <v>broccoli</v>
          </cell>
          <cell r="D77">
            <v>0.29894079699999998</v>
          </cell>
          <cell r="E77">
            <v>95.698924730000002</v>
          </cell>
          <cell r="F77">
            <v>93</v>
          </cell>
          <cell r="G77">
            <v>3</v>
          </cell>
          <cell r="H77">
            <v>3</v>
          </cell>
          <cell r="I77">
            <v>4</v>
          </cell>
          <cell r="J77">
            <v>2.81</v>
          </cell>
        </row>
        <row r="78">
          <cell r="A78" t="str">
            <v>PICTURE_77</v>
          </cell>
          <cell r="B78" t="str">
            <v>camel</v>
          </cell>
          <cell r="D78">
            <v>0</v>
          </cell>
          <cell r="E78">
            <v>100</v>
          </cell>
          <cell r="F78">
            <v>98</v>
          </cell>
          <cell r="G78">
            <v>1</v>
          </cell>
          <cell r="H78">
            <v>2</v>
          </cell>
          <cell r="I78">
            <v>0</v>
          </cell>
          <cell r="J78">
            <v>3.7171717169999998</v>
          </cell>
        </row>
        <row r="79">
          <cell r="A79" t="str">
            <v>PICTURE_78</v>
          </cell>
          <cell r="B79" t="str">
            <v>key</v>
          </cell>
          <cell r="D79">
            <v>0</v>
          </cell>
          <cell r="E79">
            <v>100</v>
          </cell>
          <cell r="F79">
            <v>100</v>
          </cell>
          <cell r="G79">
            <v>1</v>
          </cell>
          <cell r="H79">
            <v>0</v>
          </cell>
          <cell r="I79">
            <v>0</v>
          </cell>
          <cell r="J79">
            <v>2.08</v>
          </cell>
        </row>
        <row r="80">
          <cell r="A80" t="str">
            <v>PICTURE_79</v>
          </cell>
          <cell r="B80" t="str">
            <v>keyboard</v>
          </cell>
          <cell r="D80">
            <v>0</v>
          </cell>
          <cell r="E80">
            <v>100</v>
          </cell>
          <cell r="F80">
            <v>97</v>
          </cell>
          <cell r="G80">
            <v>1</v>
          </cell>
          <cell r="H80">
            <v>0</v>
          </cell>
          <cell r="I80">
            <v>3</v>
          </cell>
          <cell r="J80">
            <v>2.0499999999999998</v>
          </cell>
        </row>
        <row r="81">
          <cell r="A81" t="str">
            <v>PICTURE_80</v>
          </cell>
          <cell r="B81" t="str">
            <v>helicopter</v>
          </cell>
          <cell r="D81">
            <v>0</v>
          </cell>
          <cell r="E81">
            <v>100</v>
          </cell>
          <cell r="F81">
            <v>100</v>
          </cell>
          <cell r="G81">
            <v>1</v>
          </cell>
          <cell r="H81">
            <v>0</v>
          </cell>
          <cell r="I81">
            <v>0</v>
          </cell>
          <cell r="J81">
            <v>3.15</v>
          </cell>
        </row>
        <row r="82">
          <cell r="A82" t="str">
            <v>PICTURE_81</v>
          </cell>
          <cell r="B82" t="str">
            <v>meat</v>
          </cell>
          <cell r="D82">
            <v>0.72988187400000004</v>
          </cell>
          <cell r="E82">
            <v>87.640449439999998</v>
          </cell>
          <cell r="F82">
            <v>89</v>
          </cell>
          <cell r="G82">
            <v>4</v>
          </cell>
          <cell r="H82">
            <v>6</v>
          </cell>
          <cell r="I82">
            <v>5</v>
          </cell>
          <cell r="J82">
            <v>3.28</v>
          </cell>
        </row>
        <row r="83">
          <cell r="A83" t="str">
            <v>PICTURE_82</v>
          </cell>
          <cell r="B83" t="str">
            <v>park</v>
          </cell>
          <cell r="D83">
            <v>0.61501822900000003</v>
          </cell>
          <cell r="E83">
            <v>88.421052630000005</v>
          </cell>
          <cell r="F83">
            <v>95</v>
          </cell>
          <cell r="G83">
            <v>3</v>
          </cell>
          <cell r="H83">
            <v>2</v>
          </cell>
          <cell r="I83">
            <v>3</v>
          </cell>
          <cell r="J83">
            <v>3.79</v>
          </cell>
        </row>
        <row r="84">
          <cell r="A84" t="str">
            <v>PICTURE_83</v>
          </cell>
          <cell r="B84" t="str">
            <v>heart</v>
          </cell>
          <cell r="D84">
            <v>0</v>
          </cell>
          <cell r="E84">
            <v>100</v>
          </cell>
          <cell r="F84">
            <v>100</v>
          </cell>
          <cell r="G84">
            <v>1</v>
          </cell>
          <cell r="H84">
            <v>0</v>
          </cell>
          <cell r="I84">
            <v>0</v>
          </cell>
          <cell r="J84">
            <v>1.45</v>
          </cell>
        </row>
        <row r="85">
          <cell r="A85" t="str">
            <v>PICTURE_84</v>
          </cell>
          <cell r="B85" t="str">
            <v>mask</v>
          </cell>
          <cell r="D85">
            <v>0.34857491200000001</v>
          </cell>
          <cell r="E85">
            <v>94.736842109999998</v>
          </cell>
          <cell r="F85">
            <v>95</v>
          </cell>
          <cell r="G85">
            <v>3</v>
          </cell>
          <cell r="H85">
            <v>4</v>
          </cell>
          <cell r="I85">
            <v>1</v>
          </cell>
          <cell r="J85">
            <v>3.56</v>
          </cell>
        </row>
        <row r="86">
          <cell r="A86" t="str">
            <v>PICTURE_85</v>
          </cell>
          <cell r="B86" t="str">
            <v>diamond</v>
          </cell>
          <cell r="D86">
            <v>0.195909271</v>
          </cell>
          <cell r="E86">
            <v>96.969696970000001</v>
          </cell>
          <cell r="F86">
            <v>99</v>
          </cell>
          <cell r="G86">
            <v>2</v>
          </cell>
          <cell r="H86">
            <v>0</v>
          </cell>
          <cell r="I86">
            <v>1</v>
          </cell>
          <cell r="J86">
            <v>2.67</v>
          </cell>
        </row>
        <row r="87">
          <cell r="A87" t="str">
            <v>PICTURE_86</v>
          </cell>
          <cell r="B87" t="str">
            <v>river</v>
          </cell>
          <cell r="D87">
            <v>1.894728645</v>
          </cell>
          <cell r="E87">
            <v>62.222222219999999</v>
          </cell>
          <cell r="F87">
            <v>90</v>
          </cell>
          <cell r="G87">
            <v>8</v>
          </cell>
          <cell r="H87">
            <v>4</v>
          </cell>
          <cell r="I87">
            <v>6</v>
          </cell>
          <cell r="J87">
            <v>2.73</v>
          </cell>
        </row>
        <row r="88">
          <cell r="A88" t="str">
            <v>PICTURE_87</v>
          </cell>
          <cell r="B88" t="str">
            <v>robot</v>
          </cell>
          <cell r="D88">
            <v>0</v>
          </cell>
          <cell r="E88">
            <v>100</v>
          </cell>
          <cell r="F88">
            <v>97</v>
          </cell>
          <cell r="G88">
            <v>1</v>
          </cell>
          <cell r="H88">
            <v>0</v>
          </cell>
          <cell r="I88">
            <v>3</v>
          </cell>
          <cell r="J88">
            <v>2.76</v>
          </cell>
        </row>
        <row r="89">
          <cell r="A89" t="str">
            <v>PICTURE_88</v>
          </cell>
          <cell r="B89" t="str">
            <v>crutches</v>
          </cell>
          <cell r="D89">
            <v>0.55477816300000005</v>
          </cell>
          <cell r="E89">
            <v>87.096774190000005</v>
          </cell>
          <cell r="F89">
            <v>93</v>
          </cell>
          <cell r="G89">
            <v>2</v>
          </cell>
          <cell r="H89">
            <v>5</v>
          </cell>
          <cell r="I89">
            <v>2</v>
          </cell>
          <cell r="J89">
            <v>2.11</v>
          </cell>
        </row>
        <row r="90">
          <cell r="A90" t="str">
            <v>PICTURE_89</v>
          </cell>
          <cell r="B90" t="str">
            <v>safe</v>
          </cell>
          <cell r="D90">
            <v>1.6089987240000001</v>
          </cell>
          <cell r="E90">
            <v>49.019607839999999</v>
          </cell>
          <cell r="F90">
            <v>51</v>
          </cell>
          <cell r="G90">
            <v>4</v>
          </cell>
          <cell r="H90">
            <v>40</v>
          </cell>
          <cell r="I90">
            <v>9</v>
          </cell>
          <cell r="J90">
            <v>2.76</v>
          </cell>
        </row>
        <row r="91">
          <cell r="A91" t="str">
            <v>PICTURE_90</v>
          </cell>
          <cell r="B91" t="str">
            <v>moon</v>
          </cell>
          <cell r="D91">
            <v>0.77127948199999996</v>
          </cell>
          <cell r="E91">
            <v>82.105263160000007</v>
          </cell>
          <cell r="F91">
            <v>95</v>
          </cell>
          <cell r="G91">
            <v>3</v>
          </cell>
          <cell r="H91">
            <v>0</v>
          </cell>
          <cell r="I91">
            <v>5</v>
          </cell>
          <cell r="J91">
            <v>1.41</v>
          </cell>
        </row>
        <row r="92">
          <cell r="A92" t="str">
            <v>PICTURE_91</v>
          </cell>
          <cell r="B92" t="str">
            <v>mouth</v>
          </cell>
          <cell r="D92">
            <v>0</v>
          </cell>
          <cell r="E92">
            <v>100</v>
          </cell>
          <cell r="F92">
            <v>98</v>
          </cell>
          <cell r="G92">
            <v>1</v>
          </cell>
          <cell r="H92">
            <v>0</v>
          </cell>
          <cell r="I92">
            <v>2</v>
          </cell>
          <cell r="J92">
            <v>2.94</v>
          </cell>
        </row>
        <row r="93">
          <cell r="A93" t="str">
            <v>PICTURE_92</v>
          </cell>
          <cell r="B93" t="str">
            <v>seal</v>
          </cell>
          <cell r="D93">
            <v>0.73106444299999995</v>
          </cell>
          <cell r="E93">
            <v>87.5</v>
          </cell>
          <cell r="F93">
            <v>96</v>
          </cell>
          <cell r="G93">
            <v>4</v>
          </cell>
          <cell r="H93">
            <v>3</v>
          </cell>
          <cell r="I93">
            <v>1</v>
          </cell>
          <cell r="J93">
            <v>3.05</v>
          </cell>
        </row>
        <row r="94">
          <cell r="A94" t="str">
            <v>PICTURE_93</v>
          </cell>
          <cell r="B94" t="str">
            <v>skateboard</v>
          </cell>
          <cell r="D94">
            <v>0.295181743</v>
          </cell>
          <cell r="E94">
            <v>94.791666669999998</v>
          </cell>
          <cell r="F94">
            <v>96</v>
          </cell>
          <cell r="G94">
            <v>2</v>
          </cell>
          <cell r="H94">
            <v>2</v>
          </cell>
          <cell r="I94">
            <v>2</v>
          </cell>
          <cell r="J94">
            <v>1.8</v>
          </cell>
        </row>
        <row r="95">
          <cell r="A95" t="str">
            <v>PICTURE_94</v>
          </cell>
          <cell r="B95" t="str">
            <v>belly</v>
          </cell>
          <cell r="D95">
            <v>1.642000643</v>
          </cell>
          <cell r="E95">
            <v>46.938775509999999</v>
          </cell>
          <cell r="F95">
            <v>98</v>
          </cell>
          <cell r="G95">
            <v>6</v>
          </cell>
          <cell r="H95">
            <v>0</v>
          </cell>
          <cell r="I95">
            <v>2</v>
          </cell>
          <cell r="J95">
            <v>1.96</v>
          </cell>
        </row>
        <row r="96">
          <cell r="A96" t="str">
            <v>PICTURE_95</v>
          </cell>
          <cell r="B96" t="str">
            <v>suitcase</v>
          </cell>
          <cell r="D96">
            <v>0.24414164199999999</v>
          </cell>
          <cell r="E96">
            <v>95.959595960000001</v>
          </cell>
          <cell r="F96">
            <v>99</v>
          </cell>
          <cell r="G96">
            <v>2</v>
          </cell>
          <cell r="H96">
            <v>0</v>
          </cell>
          <cell r="I96">
            <v>1</v>
          </cell>
          <cell r="J96">
            <v>2.4</v>
          </cell>
        </row>
        <row r="97">
          <cell r="A97" t="str">
            <v>PICTURE_96</v>
          </cell>
          <cell r="B97" t="str">
            <v>milk</v>
          </cell>
          <cell r="D97">
            <v>0.71290456099999999</v>
          </cell>
          <cell r="E97">
            <v>89</v>
          </cell>
          <cell r="F97">
            <v>100</v>
          </cell>
          <cell r="G97">
            <v>5</v>
          </cell>
          <cell r="H97">
            <v>0</v>
          </cell>
          <cell r="I97">
            <v>0</v>
          </cell>
          <cell r="J97">
            <v>2.21</v>
          </cell>
        </row>
        <row r="98">
          <cell r="A98" t="str">
            <v>PICTURE_97</v>
          </cell>
          <cell r="B98" t="str">
            <v>feather</v>
          </cell>
          <cell r="D98">
            <v>0.28639695700000001</v>
          </cell>
          <cell r="E98">
            <v>95</v>
          </cell>
          <cell r="F98">
            <v>100</v>
          </cell>
          <cell r="G98">
            <v>2</v>
          </cell>
          <cell r="H98">
            <v>0</v>
          </cell>
          <cell r="I98">
            <v>0</v>
          </cell>
          <cell r="J98">
            <v>2.29</v>
          </cell>
        </row>
        <row r="99">
          <cell r="A99" t="str">
            <v>PICTURE_98</v>
          </cell>
          <cell r="B99" t="str">
            <v>tiger</v>
          </cell>
          <cell r="D99">
            <v>0.327444919</v>
          </cell>
          <cell r="E99">
            <v>94</v>
          </cell>
          <cell r="F99">
            <v>100</v>
          </cell>
          <cell r="G99">
            <v>2</v>
          </cell>
          <cell r="H99">
            <v>0</v>
          </cell>
          <cell r="I99">
            <v>0</v>
          </cell>
          <cell r="J99">
            <v>3.48</v>
          </cell>
        </row>
        <row r="100">
          <cell r="A100" t="str">
            <v>PICTURE_99</v>
          </cell>
          <cell r="B100" t="str">
            <v>painting</v>
          </cell>
          <cell r="D100">
            <v>0.83151018499999996</v>
          </cell>
          <cell r="E100">
            <v>80.612244899999993</v>
          </cell>
          <cell r="F100">
            <v>98</v>
          </cell>
          <cell r="G100">
            <v>3</v>
          </cell>
          <cell r="H100">
            <v>0</v>
          </cell>
          <cell r="I100">
            <v>2</v>
          </cell>
          <cell r="J100">
            <v>2.99</v>
          </cell>
        </row>
        <row r="101">
          <cell r="A101" t="str">
            <v>PICTURE_100</v>
          </cell>
          <cell r="B101" t="str">
            <v>nose</v>
          </cell>
          <cell r="D101">
            <v>0</v>
          </cell>
          <cell r="E101">
            <v>100</v>
          </cell>
          <cell r="F101">
            <v>100</v>
          </cell>
          <cell r="G101">
            <v>1</v>
          </cell>
          <cell r="H101">
            <v>0</v>
          </cell>
          <cell r="I101">
            <v>0</v>
          </cell>
          <cell r="J101">
            <v>1.8787878790000001</v>
          </cell>
        </row>
        <row r="102">
          <cell r="A102" t="str">
            <v>PICTURE_101</v>
          </cell>
          <cell r="B102" t="str">
            <v>drum kit</v>
          </cell>
          <cell r="D102">
            <v>0</v>
          </cell>
          <cell r="E102">
            <v>100</v>
          </cell>
          <cell r="F102">
            <v>98</v>
          </cell>
          <cell r="G102">
            <v>1</v>
          </cell>
          <cell r="H102">
            <v>0</v>
          </cell>
          <cell r="I102">
            <v>2</v>
          </cell>
          <cell r="J102">
            <v>2.535353535</v>
          </cell>
        </row>
        <row r="103">
          <cell r="A103" t="str">
            <v>PICTURE_102</v>
          </cell>
          <cell r="B103" t="str">
            <v>hair</v>
          </cell>
          <cell r="D103">
            <v>0</v>
          </cell>
          <cell r="E103">
            <v>100</v>
          </cell>
          <cell r="F103">
            <v>99</v>
          </cell>
          <cell r="G103">
            <v>1</v>
          </cell>
          <cell r="H103">
            <v>0</v>
          </cell>
          <cell r="I103">
            <v>1</v>
          </cell>
          <cell r="J103">
            <v>2.888888889</v>
          </cell>
        </row>
        <row r="104">
          <cell r="A104" t="str">
            <v>PICTURE_103</v>
          </cell>
          <cell r="B104" t="str">
            <v>gallery</v>
          </cell>
          <cell r="D104">
            <v>1.2104774760000001</v>
          </cell>
          <cell r="E104">
            <v>71.578947369999995</v>
          </cell>
          <cell r="F104">
            <v>95</v>
          </cell>
          <cell r="G104">
            <v>5</v>
          </cell>
          <cell r="H104">
            <v>4</v>
          </cell>
          <cell r="I104">
            <v>1</v>
          </cell>
          <cell r="J104">
            <v>3.2346938779999999</v>
          </cell>
        </row>
        <row r="105">
          <cell r="A105" t="str">
            <v>PICTURE_104</v>
          </cell>
          <cell r="B105" t="str">
            <v>lift</v>
          </cell>
          <cell r="D105">
            <v>0.89317345800000003</v>
          </cell>
          <cell r="E105">
            <v>69</v>
          </cell>
          <cell r="F105">
            <v>100</v>
          </cell>
          <cell r="G105">
            <v>2</v>
          </cell>
          <cell r="H105">
            <v>0</v>
          </cell>
          <cell r="I105">
            <v>0</v>
          </cell>
          <cell r="J105">
            <v>2.44</v>
          </cell>
        </row>
        <row r="106">
          <cell r="A106" t="str">
            <v>PICTURE_105</v>
          </cell>
          <cell r="B106" t="str">
            <v>deer</v>
          </cell>
          <cell r="D106">
            <v>1.0037667539999999</v>
          </cell>
          <cell r="E106">
            <v>73.626373630000003</v>
          </cell>
          <cell r="F106">
            <v>91</v>
          </cell>
          <cell r="G106">
            <v>3</v>
          </cell>
          <cell r="H106">
            <v>6</v>
          </cell>
          <cell r="I106">
            <v>3</v>
          </cell>
          <cell r="J106">
            <v>3.24</v>
          </cell>
        </row>
        <row r="107">
          <cell r="A107" t="str">
            <v>PICTURE_106</v>
          </cell>
          <cell r="B107" t="str">
            <v>greenhouse</v>
          </cell>
          <cell r="D107">
            <v>0.30149693</v>
          </cell>
          <cell r="E107">
            <v>95.652173910000002</v>
          </cell>
          <cell r="F107">
            <v>92</v>
          </cell>
          <cell r="G107">
            <v>3</v>
          </cell>
          <cell r="H107">
            <v>4</v>
          </cell>
          <cell r="I107">
            <v>4</v>
          </cell>
          <cell r="J107">
            <v>2.98</v>
          </cell>
        </row>
        <row r="108">
          <cell r="A108" t="str">
            <v>PICTURE_107</v>
          </cell>
          <cell r="B108" t="str">
            <v>saxophone</v>
          </cell>
          <cell r="D108">
            <v>1.2605728620000001</v>
          </cell>
          <cell r="E108">
            <v>76.041666669999998</v>
          </cell>
          <cell r="F108">
            <v>96</v>
          </cell>
          <cell r="G108">
            <v>6</v>
          </cell>
          <cell r="H108">
            <v>4</v>
          </cell>
          <cell r="I108">
            <v>0</v>
          </cell>
          <cell r="J108">
            <v>3.31</v>
          </cell>
        </row>
        <row r="109">
          <cell r="A109" t="str">
            <v>PICTURE_108</v>
          </cell>
          <cell r="B109" t="str">
            <v>calendar</v>
          </cell>
          <cell r="D109">
            <v>0</v>
          </cell>
          <cell r="E109">
            <v>100</v>
          </cell>
          <cell r="F109">
            <v>99</v>
          </cell>
          <cell r="G109">
            <v>1</v>
          </cell>
          <cell r="H109">
            <v>0</v>
          </cell>
          <cell r="I109">
            <v>1</v>
          </cell>
          <cell r="J109">
            <v>2.4700000000000002</v>
          </cell>
        </row>
        <row r="110">
          <cell r="A110" t="str">
            <v>PICTURE_109</v>
          </cell>
          <cell r="B110" t="str">
            <v>gym</v>
          </cell>
          <cell r="D110">
            <v>0</v>
          </cell>
          <cell r="E110">
            <v>100</v>
          </cell>
          <cell r="F110">
            <v>99</v>
          </cell>
          <cell r="G110">
            <v>1</v>
          </cell>
          <cell r="H110">
            <v>0</v>
          </cell>
          <cell r="I110">
            <v>1</v>
          </cell>
          <cell r="J110">
            <v>3.18</v>
          </cell>
        </row>
        <row r="111">
          <cell r="A111" t="str">
            <v>PICTURE_110</v>
          </cell>
          <cell r="B111" t="str">
            <v>table</v>
          </cell>
          <cell r="D111">
            <v>0.83068363599999995</v>
          </cell>
          <cell r="E111">
            <v>73.737373739999995</v>
          </cell>
          <cell r="F111">
            <v>99</v>
          </cell>
          <cell r="G111">
            <v>2</v>
          </cell>
          <cell r="H111">
            <v>0</v>
          </cell>
          <cell r="I111">
            <v>1</v>
          </cell>
          <cell r="J111">
            <v>2.19</v>
          </cell>
        </row>
        <row r="112">
          <cell r="A112" t="str">
            <v>PICTURE_111</v>
          </cell>
          <cell r="B112" t="str">
            <v>dragon</v>
          </cell>
          <cell r="D112">
            <v>0</v>
          </cell>
          <cell r="E112">
            <v>100</v>
          </cell>
          <cell r="F112">
            <v>99</v>
          </cell>
          <cell r="G112">
            <v>1</v>
          </cell>
          <cell r="H112">
            <v>0</v>
          </cell>
          <cell r="I112">
            <v>1</v>
          </cell>
          <cell r="J112">
            <v>3.31</v>
          </cell>
        </row>
        <row r="113">
          <cell r="A113" t="str">
            <v>PICTURE_112</v>
          </cell>
          <cell r="B113" t="str">
            <v>lung</v>
          </cell>
          <cell r="D113">
            <v>0.15374218000000001</v>
          </cell>
          <cell r="E113">
            <v>97.777777779999994</v>
          </cell>
          <cell r="F113">
            <v>90</v>
          </cell>
          <cell r="G113">
            <v>2</v>
          </cell>
          <cell r="H113">
            <v>5</v>
          </cell>
          <cell r="I113">
            <v>5</v>
          </cell>
          <cell r="J113">
            <v>3.06</v>
          </cell>
        </row>
        <row r="114">
          <cell r="A114" t="str">
            <v>PICTURE_113</v>
          </cell>
          <cell r="B114" t="str">
            <v>lake</v>
          </cell>
          <cell r="D114">
            <v>0.90821097399999995</v>
          </cell>
          <cell r="E114">
            <v>84.61538462</v>
          </cell>
          <cell r="F114">
            <v>91</v>
          </cell>
          <cell r="G114">
            <v>5</v>
          </cell>
          <cell r="H114">
            <v>4</v>
          </cell>
          <cell r="I114">
            <v>5</v>
          </cell>
          <cell r="J114">
            <v>2.46</v>
          </cell>
        </row>
        <row r="115">
          <cell r="A115" t="str">
            <v>PICTURE_114</v>
          </cell>
          <cell r="B115" t="str">
            <v>fruit</v>
          </cell>
          <cell r="D115">
            <v>0</v>
          </cell>
          <cell r="E115">
            <v>100</v>
          </cell>
          <cell r="F115">
            <v>100</v>
          </cell>
          <cell r="G115">
            <v>1</v>
          </cell>
          <cell r="H115">
            <v>0</v>
          </cell>
          <cell r="I115">
            <v>0</v>
          </cell>
          <cell r="J115">
            <v>2.97</v>
          </cell>
        </row>
        <row r="116">
          <cell r="A116" t="str">
            <v>PICTURE_115</v>
          </cell>
          <cell r="B116" t="str">
            <v>hippo</v>
          </cell>
          <cell r="D116">
            <v>0.25593004400000002</v>
          </cell>
          <cell r="E116">
            <v>95.698924730000002</v>
          </cell>
          <cell r="F116">
            <v>93</v>
          </cell>
          <cell r="G116">
            <v>2</v>
          </cell>
          <cell r="H116">
            <v>6</v>
          </cell>
          <cell r="I116">
            <v>1</v>
          </cell>
          <cell r="J116">
            <v>3.02</v>
          </cell>
        </row>
        <row r="117">
          <cell r="A117" t="str">
            <v>PICTURE_116</v>
          </cell>
          <cell r="B117" t="str">
            <v>fire</v>
          </cell>
          <cell r="D117">
            <v>0.327444919</v>
          </cell>
          <cell r="E117">
            <v>94</v>
          </cell>
          <cell r="F117">
            <v>100</v>
          </cell>
          <cell r="G117">
            <v>2</v>
          </cell>
          <cell r="H117">
            <v>0</v>
          </cell>
          <cell r="I117">
            <v>0</v>
          </cell>
          <cell r="J117">
            <v>2.97</v>
          </cell>
        </row>
        <row r="118">
          <cell r="A118" t="str">
            <v>PICTURE_117</v>
          </cell>
          <cell r="B118" t="str">
            <v>horse</v>
          </cell>
          <cell r="D118">
            <v>0.64236150199999997</v>
          </cell>
          <cell r="E118">
            <v>86.868686870000005</v>
          </cell>
          <cell r="F118">
            <v>99</v>
          </cell>
          <cell r="G118">
            <v>3</v>
          </cell>
          <cell r="H118">
            <v>0</v>
          </cell>
          <cell r="I118">
            <v>1</v>
          </cell>
          <cell r="J118">
            <v>3.55</v>
          </cell>
        </row>
        <row r="119">
          <cell r="A119" t="str">
            <v>PICTURE_118</v>
          </cell>
          <cell r="B119" t="str">
            <v>cut</v>
          </cell>
          <cell r="D119">
            <v>1.523751632</v>
          </cell>
          <cell r="E119">
            <v>59.375</v>
          </cell>
          <cell r="F119">
            <v>96</v>
          </cell>
          <cell r="G119">
            <v>5</v>
          </cell>
          <cell r="H119">
            <v>0</v>
          </cell>
          <cell r="I119">
            <v>4</v>
          </cell>
          <cell r="J119">
            <v>3.07</v>
          </cell>
        </row>
        <row r="120">
          <cell r="A120" t="str">
            <v>PICTURE_119</v>
          </cell>
          <cell r="B120" t="str">
            <v>nut</v>
          </cell>
          <cell r="C120" t="str">
            <v>walnut</v>
          </cell>
          <cell r="D120">
            <v>1.528664799</v>
          </cell>
          <cell r="E120">
            <v>43.835616440000003</v>
          </cell>
          <cell r="F120">
            <v>73</v>
          </cell>
          <cell r="G120">
            <v>4</v>
          </cell>
          <cell r="H120">
            <v>21</v>
          </cell>
          <cell r="I120">
            <v>6</v>
          </cell>
          <cell r="J120">
            <v>3.49</v>
          </cell>
        </row>
        <row r="121">
          <cell r="A121" t="str">
            <v>PICTURE_120</v>
          </cell>
          <cell r="B121" t="str">
            <v>pot</v>
          </cell>
          <cell r="D121">
            <v>1.8670298649999999</v>
          </cell>
          <cell r="E121">
            <v>56.097560979999997</v>
          </cell>
          <cell r="F121">
            <v>82</v>
          </cell>
          <cell r="G121">
            <v>6</v>
          </cell>
          <cell r="H121">
            <v>14</v>
          </cell>
          <cell r="I121">
            <v>4</v>
          </cell>
          <cell r="J121">
            <v>2.58</v>
          </cell>
        </row>
        <row r="122">
          <cell r="A122" t="str">
            <v>PICTURE_121</v>
          </cell>
          <cell r="B122" t="str">
            <v>maze</v>
          </cell>
          <cell r="D122">
            <v>0.195909271</v>
          </cell>
          <cell r="E122">
            <v>96.969696970000001</v>
          </cell>
          <cell r="F122">
            <v>99</v>
          </cell>
          <cell r="G122">
            <v>2</v>
          </cell>
          <cell r="H122">
            <v>1</v>
          </cell>
          <cell r="I122">
            <v>0</v>
          </cell>
          <cell r="J122">
            <v>2.83</v>
          </cell>
        </row>
        <row r="123">
          <cell r="A123" t="str">
            <v>PICTURE_122</v>
          </cell>
          <cell r="B123" t="str">
            <v>chair</v>
          </cell>
          <cell r="D123">
            <v>0</v>
          </cell>
          <cell r="E123">
            <v>100</v>
          </cell>
          <cell r="F123">
            <v>100</v>
          </cell>
          <cell r="G123">
            <v>1</v>
          </cell>
          <cell r="H123">
            <v>0</v>
          </cell>
          <cell r="I123">
            <v>0</v>
          </cell>
          <cell r="J123">
            <v>2.3199999999999998</v>
          </cell>
        </row>
        <row r="124">
          <cell r="A124" t="str">
            <v>PICTURE_123</v>
          </cell>
          <cell r="B124" t="str">
            <v>dart</v>
          </cell>
          <cell r="D124">
            <v>0.54909777800000004</v>
          </cell>
          <cell r="E124">
            <v>89.795918369999995</v>
          </cell>
          <cell r="F124">
            <v>98</v>
          </cell>
          <cell r="G124">
            <v>3</v>
          </cell>
          <cell r="H124">
            <v>2</v>
          </cell>
          <cell r="I124">
            <v>0</v>
          </cell>
          <cell r="J124">
            <v>2.1</v>
          </cell>
        </row>
        <row r="125">
          <cell r="A125" t="str">
            <v>PICTURE_124</v>
          </cell>
          <cell r="B125" t="str">
            <v>corner</v>
          </cell>
          <cell r="D125">
            <v>0.82069672999999999</v>
          </cell>
          <cell r="E125">
            <v>79.797979799999993</v>
          </cell>
          <cell r="F125">
            <v>99</v>
          </cell>
          <cell r="G125">
            <v>3</v>
          </cell>
          <cell r="H125">
            <v>0</v>
          </cell>
          <cell r="I125">
            <v>1</v>
          </cell>
          <cell r="J125">
            <v>1.94</v>
          </cell>
        </row>
        <row r="126">
          <cell r="A126" t="str">
            <v>PICTURE_125</v>
          </cell>
          <cell r="B126" t="str">
            <v>kiwi</v>
          </cell>
          <cell r="D126">
            <v>0</v>
          </cell>
          <cell r="E126">
            <v>100</v>
          </cell>
          <cell r="F126">
            <v>93</v>
          </cell>
          <cell r="G126">
            <v>1</v>
          </cell>
          <cell r="H126">
            <v>5</v>
          </cell>
          <cell r="I126">
            <v>2</v>
          </cell>
          <cell r="J126">
            <v>3.02</v>
          </cell>
        </row>
        <row r="127">
          <cell r="A127" t="str">
            <v>PICTURE_126</v>
          </cell>
          <cell r="B127" t="str">
            <v>parachute</v>
          </cell>
          <cell r="D127">
            <v>0.32001486299999998</v>
          </cell>
          <cell r="E127">
            <v>94.186046509999997</v>
          </cell>
          <cell r="F127">
            <v>86</v>
          </cell>
          <cell r="G127">
            <v>2</v>
          </cell>
          <cell r="H127">
            <v>11</v>
          </cell>
          <cell r="I127">
            <v>3</v>
          </cell>
          <cell r="J127">
            <v>2.4500000000000002</v>
          </cell>
        </row>
        <row r="128">
          <cell r="A128" t="str">
            <v>PICTURE_127</v>
          </cell>
          <cell r="B128" t="str">
            <v>sack</v>
          </cell>
          <cell r="D128">
            <v>0.981267789</v>
          </cell>
          <cell r="E128">
            <v>76.842105259999997</v>
          </cell>
          <cell r="F128">
            <v>95</v>
          </cell>
          <cell r="G128">
            <v>4</v>
          </cell>
          <cell r="H128">
            <v>4</v>
          </cell>
          <cell r="I128">
            <v>1</v>
          </cell>
          <cell r="J128">
            <v>2.1800000000000002</v>
          </cell>
        </row>
        <row r="129">
          <cell r="A129" t="str">
            <v>PICTURE_128</v>
          </cell>
          <cell r="B129" t="str">
            <v>doll</v>
          </cell>
          <cell r="D129">
            <v>0.85301996599999996</v>
          </cell>
          <cell r="E129">
            <v>83.838383840000006</v>
          </cell>
          <cell r="F129">
            <v>99</v>
          </cell>
          <cell r="G129">
            <v>4</v>
          </cell>
          <cell r="H129">
            <v>0</v>
          </cell>
          <cell r="I129">
            <v>1</v>
          </cell>
          <cell r="J129">
            <v>2.88</v>
          </cell>
        </row>
        <row r="130">
          <cell r="A130" t="str">
            <v>PICTURE_129</v>
          </cell>
          <cell r="B130" t="str">
            <v>lemon</v>
          </cell>
          <cell r="D130">
            <v>0.37123232699999997</v>
          </cell>
          <cell r="E130">
            <v>92.857142859999996</v>
          </cell>
          <cell r="F130">
            <v>98</v>
          </cell>
          <cell r="G130">
            <v>2</v>
          </cell>
          <cell r="H130">
            <v>0</v>
          </cell>
          <cell r="I130">
            <v>2</v>
          </cell>
          <cell r="J130">
            <v>2.65</v>
          </cell>
        </row>
        <row r="131">
          <cell r="A131" t="str">
            <v>PICTURE_130</v>
          </cell>
          <cell r="B131" t="str">
            <v>waistcoat</v>
          </cell>
          <cell r="D131">
            <v>2.0549811760000001</v>
          </cell>
          <cell r="E131">
            <v>45.161290319999999</v>
          </cell>
          <cell r="F131">
            <v>93</v>
          </cell>
          <cell r="G131">
            <v>6</v>
          </cell>
          <cell r="H131">
            <v>3</v>
          </cell>
          <cell r="I131">
            <v>4</v>
          </cell>
          <cell r="J131">
            <v>2.42</v>
          </cell>
        </row>
        <row r="132">
          <cell r="A132" t="str">
            <v>PICTURE_131</v>
          </cell>
          <cell r="B132" t="str">
            <v>singer</v>
          </cell>
          <cell r="D132">
            <v>0.90579573599999996</v>
          </cell>
          <cell r="E132">
            <v>78.350515459999997</v>
          </cell>
          <cell r="F132">
            <v>97</v>
          </cell>
          <cell r="G132">
            <v>3</v>
          </cell>
          <cell r="H132">
            <v>0</v>
          </cell>
          <cell r="I132">
            <v>3</v>
          </cell>
          <cell r="J132">
            <v>3.07</v>
          </cell>
        </row>
        <row r="133">
          <cell r="A133" t="str">
            <v>PICTURE_132</v>
          </cell>
          <cell r="B133" t="str">
            <v>tag</v>
          </cell>
          <cell r="D133">
            <v>0.80716755500000004</v>
          </cell>
          <cell r="E133">
            <v>75.257731960000001</v>
          </cell>
          <cell r="F133">
            <v>97</v>
          </cell>
          <cell r="G133">
            <v>2</v>
          </cell>
          <cell r="H133">
            <v>0</v>
          </cell>
          <cell r="I133">
            <v>3</v>
          </cell>
          <cell r="J133">
            <v>2.21</v>
          </cell>
        </row>
        <row r="134">
          <cell r="A134" t="str">
            <v>PICTURE_133</v>
          </cell>
          <cell r="B134" t="str">
            <v>snake</v>
          </cell>
          <cell r="D134">
            <v>1.202237907</v>
          </cell>
          <cell r="E134">
            <v>61.61616162</v>
          </cell>
          <cell r="F134">
            <v>99</v>
          </cell>
          <cell r="G134">
            <v>3</v>
          </cell>
          <cell r="H134">
            <v>0</v>
          </cell>
          <cell r="I134">
            <v>1</v>
          </cell>
          <cell r="J134">
            <v>3.38</v>
          </cell>
        </row>
        <row r="135">
          <cell r="A135" t="str">
            <v>PICTURE_134</v>
          </cell>
          <cell r="B135" t="str">
            <v>wool</v>
          </cell>
          <cell r="D135">
            <v>1.800653863</v>
          </cell>
          <cell r="E135">
            <v>54.639175260000002</v>
          </cell>
          <cell r="F135">
            <v>97</v>
          </cell>
          <cell r="G135">
            <v>6</v>
          </cell>
          <cell r="H135">
            <v>1</v>
          </cell>
          <cell r="I135">
            <v>2</v>
          </cell>
          <cell r="J135">
            <v>2.2999999999999998</v>
          </cell>
        </row>
        <row r="136">
          <cell r="A136" t="str">
            <v>PICTURE_135</v>
          </cell>
          <cell r="B136" t="str">
            <v>suit</v>
          </cell>
          <cell r="D136">
            <v>0.14257333</v>
          </cell>
          <cell r="E136">
            <v>97.979797980000001</v>
          </cell>
          <cell r="F136">
            <v>99</v>
          </cell>
          <cell r="G136">
            <v>2</v>
          </cell>
          <cell r="H136">
            <v>0</v>
          </cell>
          <cell r="I136">
            <v>1</v>
          </cell>
          <cell r="J136">
            <v>2.62</v>
          </cell>
        </row>
        <row r="137">
          <cell r="A137" t="str">
            <v>PICTURE_136</v>
          </cell>
          <cell r="B137" t="str">
            <v>melon</v>
          </cell>
          <cell r="D137">
            <v>1.1422967369999999</v>
          </cell>
          <cell r="E137">
            <v>76.623376620000002</v>
          </cell>
          <cell r="F137">
            <v>77</v>
          </cell>
          <cell r="G137">
            <v>4</v>
          </cell>
          <cell r="H137">
            <v>22</v>
          </cell>
          <cell r="I137">
            <v>1</v>
          </cell>
          <cell r="J137">
            <v>2.9393939389999999</v>
          </cell>
        </row>
        <row r="138">
          <cell r="A138" t="str">
            <v>PICTURE_137</v>
          </cell>
          <cell r="B138" t="str">
            <v>rat</v>
          </cell>
          <cell r="D138">
            <v>0.74148274000000003</v>
          </cell>
          <cell r="E138">
            <v>79</v>
          </cell>
          <cell r="F138">
            <v>100</v>
          </cell>
          <cell r="G138">
            <v>2</v>
          </cell>
          <cell r="H138">
            <v>0</v>
          </cell>
          <cell r="I138">
            <v>0</v>
          </cell>
          <cell r="J138">
            <v>2.87</v>
          </cell>
        </row>
        <row r="139">
          <cell r="A139" t="str">
            <v>PICTURE_138</v>
          </cell>
          <cell r="B139" t="str">
            <v>fridge</v>
          </cell>
          <cell r="D139">
            <v>0.43646981699999998</v>
          </cell>
          <cell r="E139">
            <v>91</v>
          </cell>
          <cell r="F139">
            <v>100</v>
          </cell>
          <cell r="G139">
            <v>2</v>
          </cell>
          <cell r="H139">
            <v>0</v>
          </cell>
          <cell r="I139">
            <v>0</v>
          </cell>
          <cell r="J139">
            <v>2.68</v>
          </cell>
        </row>
        <row r="140">
          <cell r="A140" t="str">
            <v>PICTURE_139</v>
          </cell>
          <cell r="B140" t="str">
            <v>ghost</v>
          </cell>
          <cell r="D140">
            <v>0</v>
          </cell>
          <cell r="E140">
            <v>100</v>
          </cell>
          <cell r="F140">
            <v>99</v>
          </cell>
          <cell r="G140">
            <v>1</v>
          </cell>
          <cell r="H140">
            <v>0</v>
          </cell>
          <cell r="I140">
            <v>1</v>
          </cell>
          <cell r="J140">
            <v>1.47</v>
          </cell>
        </row>
        <row r="141">
          <cell r="A141" t="str">
            <v>PICTURE_140</v>
          </cell>
          <cell r="B141" t="str">
            <v>tap</v>
          </cell>
          <cell r="D141">
            <v>0.195909271</v>
          </cell>
          <cell r="E141">
            <v>96.969696970000001</v>
          </cell>
          <cell r="F141">
            <v>99</v>
          </cell>
          <cell r="G141">
            <v>2</v>
          </cell>
          <cell r="H141">
            <v>0</v>
          </cell>
          <cell r="I141">
            <v>1</v>
          </cell>
          <cell r="J141">
            <v>2.57</v>
          </cell>
        </row>
        <row r="142">
          <cell r="A142" t="str">
            <v>PICTURE_141</v>
          </cell>
          <cell r="B142" t="str">
            <v>sunflower</v>
          </cell>
          <cell r="D142">
            <v>0.53993573299999997</v>
          </cell>
          <cell r="E142">
            <v>87.62886598</v>
          </cell>
          <cell r="F142">
            <v>97</v>
          </cell>
          <cell r="G142">
            <v>2</v>
          </cell>
          <cell r="H142">
            <v>0</v>
          </cell>
          <cell r="I142">
            <v>3</v>
          </cell>
          <cell r="J142">
            <v>3.16</v>
          </cell>
        </row>
        <row r="143">
          <cell r="A143" t="str">
            <v>PICTURE_142</v>
          </cell>
          <cell r="B143" t="str">
            <v>glass</v>
          </cell>
          <cell r="D143">
            <v>0.195909271</v>
          </cell>
          <cell r="E143">
            <v>96.969696970000001</v>
          </cell>
          <cell r="F143">
            <v>99</v>
          </cell>
          <cell r="G143">
            <v>2</v>
          </cell>
          <cell r="H143">
            <v>0</v>
          </cell>
          <cell r="I143">
            <v>1</v>
          </cell>
          <cell r="J143">
            <v>2.1</v>
          </cell>
        </row>
        <row r="144">
          <cell r="A144" t="str">
            <v>PICTURE_143</v>
          </cell>
          <cell r="B144" t="str">
            <v>angel</v>
          </cell>
          <cell r="D144">
            <v>1.6425047719999999</v>
          </cell>
          <cell r="E144">
            <v>49.473684210000002</v>
          </cell>
          <cell r="F144">
            <v>95</v>
          </cell>
          <cell r="G144">
            <v>4</v>
          </cell>
          <cell r="H144">
            <v>5</v>
          </cell>
          <cell r="I144">
            <v>0</v>
          </cell>
          <cell r="J144">
            <v>2.78</v>
          </cell>
        </row>
        <row r="145">
          <cell r="A145" t="str">
            <v>PICTURE_144</v>
          </cell>
          <cell r="B145" t="str">
            <v>bull fighter</v>
          </cell>
          <cell r="D145">
            <v>1.6788684250000001</v>
          </cell>
          <cell r="E145">
            <v>45.454545449999998</v>
          </cell>
          <cell r="F145">
            <v>55</v>
          </cell>
          <cell r="G145">
            <v>4</v>
          </cell>
          <cell r="H145">
            <v>32</v>
          </cell>
          <cell r="I145">
            <v>13</v>
          </cell>
          <cell r="J145">
            <v>3.2</v>
          </cell>
        </row>
        <row r="146">
          <cell r="A146" t="str">
            <v>PICTURE_145</v>
          </cell>
          <cell r="B146" t="str">
            <v>bin</v>
          </cell>
          <cell r="D146">
            <v>0</v>
          </cell>
          <cell r="E146">
            <v>100</v>
          </cell>
          <cell r="F146">
            <v>100</v>
          </cell>
          <cell r="G146">
            <v>1</v>
          </cell>
          <cell r="H146">
            <v>0</v>
          </cell>
          <cell r="I146">
            <v>0</v>
          </cell>
          <cell r="J146">
            <v>2.16</v>
          </cell>
        </row>
        <row r="147">
          <cell r="A147" t="str">
            <v>PICTURE_146</v>
          </cell>
          <cell r="B147" t="str">
            <v>olive</v>
          </cell>
          <cell r="D147">
            <v>0</v>
          </cell>
          <cell r="E147">
            <v>100</v>
          </cell>
          <cell r="F147">
            <v>73</v>
          </cell>
          <cell r="G147">
            <v>1</v>
          </cell>
          <cell r="H147">
            <v>22</v>
          </cell>
          <cell r="I147">
            <v>5</v>
          </cell>
          <cell r="J147">
            <v>1.79</v>
          </cell>
        </row>
        <row r="148">
          <cell r="A148" t="str">
            <v>PICTURE_147</v>
          </cell>
          <cell r="B148" t="str">
            <v>hanger</v>
          </cell>
          <cell r="D148">
            <v>0.77801130399999996</v>
          </cell>
          <cell r="E148">
            <v>77</v>
          </cell>
          <cell r="F148">
            <v>100</v>
          </cell>
          <cell r="G148">
            <v>2</v>
          </cell>
          <cell r="H148">
            <v>0</v>
          </cell>
          <cell r="I148">
            <v>0</v>
          </cell>
          <cell r="J148">
            <v>2</v>
          </cell>
        </row>
        <row r="149">
          <cell r="A149" t="str">
            <v>PICTURE_148</v>
          </cell>
          <cell r="B149" t="str">
            <v>pipe</v>
          </cell>
          <cell r="D149">
            <v>0.450251183</v>
          </cell>
          <cell r="E149">
            <v>92.473118279999994</v>
          </cell>
          <cell r="F149">
            <v>93</v>
          </cell>
          <cell r="G149">
            <v>3</v>
          </cell>
          <cell r="H149">
            <v>6</v>
          </cell>
          <cell r="I149">
            <v>1</v>
          </cell>
          <cell r="J149">
            <v>2.15</v>
          </cell>
        </row>
        <row r="150">
          <cell r="A150" t="str">
            <v>PICTURE_149</v>
          </cell>
          <cell r="B150" t="str">
            <v>keyhole</v>
          </cell>
          <cell r="D150">
            <v>1.119110332</v>
          </cell>
          <cell r="E150">
            <v>62.222222219999999</v>
          </cell>
          <cell r="F150">
            <v>90</v>
          </cell>
          <cell r="G150">
            <v>3</v>
          </cell>
          <cell r="H150">
            <v>9</v>
          </cell>
          <cell r="I150">
            <v>1</v>
          </cell>
          <cell r="J150">
            <v>2.06</v>
          </cell>
        </row>
        <row r="151">
          <cell r="A151" t="str">
            <v>PICTURE_150</v>
          </cell>
          <cell r="B151" t="str">
            <v>puddle</v>
          </cell>
          <cell r="D151">
            <v>0.72344366199999999</v>
          </cell>
          <cell r="E151">
            <v>87.62886598</v>
          </cell>
          <cell r="F151">
            <v>97</v>
          </cell>
          <cell r="G151">
            <v>4</v>
          </cell>
          <cell r="H151">
            <v>3</v>
          </cell>
          <cell r="I151">
            <v>0</v>
          </cell>
          <cell r="J151">
            <v>3.06</v>
          </cell>
        </row>
        <row r="152">
          <cell r="A152" t="str">
            <v>PICTURE_151</v>
          </cell>
          <cell r="B152" t="str">
            <v>tray</v>
          </cell>
          <cell r="D152">
            <v>0</v>
          </cell>
          <cell r="E152">
            <v>100</v>
          </cell>
          <cell r="F152">
            <v>96</v>
          </cell>
          <cell r="G152">
            <v>1</v>
          </cell>
          <cell r="H152">
            <v>0</v>
          </cell>
          <cell r="I152">
            <v>4</v>
          </cell>
          <cell r="J152">
            <v>1.85</v>
          </cell>
        </row>
        <row r="153">
          <cell r="A153" t="str">
            <v>PICTURE_152</v>
          </cell>
          <cell r="B153" t="str">
            <v>snail</v>
          </cell>
          <cell r="D153">
            <v>0</v>
          </cell>
          <cell r="E153">
            <v>100</v>
          </cell>
          <cell r="F153">
            <v>99</v>
          </cell>
          <cell r="G153">
            <v>1</v>
          </cell>
          <cell r="H153">
            <v>1</v>
          </cell>
          <cell r="I153">
            <v>0</v>
          </cell>
          <cell r="J153">
            <v>3.38</v>
          </cell>
        </row>
        <row r="154">
          <cell r="A154" t="str">
            <v>PICTURE_153</v>
          </cell>
          <cell r="B154" t="str">
            <v>cigarette</v>
          </cell>
          <cell r="D154">
            <v>0.33228663000000003</v>
          </cell>
          <cell r="E154">
            <v>93.877551019999999</v>
          </cell>
          <cell r="F154">
            <v>98</v>
          </cell>
          <cell r="G154">
            <v>2</v>
          </cell>
          <cell r="H154">
            <v>0</v>
          </cell>
          <cell r="I154">
            <v>2</v>
          </cell>
          <cell r="J154">
            <v>2.7</v>
          </cell>
        </row>
        <row r="155">
          <cell r="A155" t="str">
            <v>PICTURE_154</v>
          </cell>
          <cell r="B155" t="str">
            <v>dominoes</v>
          </cell>
          <cell r="D155">
            <v>0</v>
          </cell>
          <cell r="E155">
            <v>100</v>
          </cell>
          <cell r="F155">
            <v>92</v>
          </cell>
          <cell r="G155">
            <v>1</v>
          </cell>
          <cell r="H155">
            <v>6</v>
          </cell>
          <cell r="I155">
            <v>2</v>
          </cell>
          <cell r="J155">
            <v>2.72</v>
          </cell>
        </row>
        <row r="156">
          <cell r="A156" t="str">
            <v>PICTURE_155</v>
          </cell>
          <cell r="B156" t="str">
            <v>bullet</v>
          </cell>
          <cell r="D156">
            <v>0.23070995599999999</v>
          </cell>
          <cell r="E156">
            <v>96.25</v>
          </cell>
          <cell r="F156">
            <v>80</v>
          </cell>
          <cell r="G156">
            <v>2</v>
          </cell>
          <cell r="H156">
            <v>16</v>
          </cell>
          <cell r="I156">
            <v>4</v>
          </cell>
          <cell r="J156">
            <v>2.2200000000000002</v>
          </cell>
        </row>
        <row r="157">
          <cell r="A157" t="str">
            <v>PICTURE_156</v>
          </cell>
          <cell r="B157" t="str">
            <v>recorder</v>
          </cell>
          <cell r="D157">
            <v>1.103527632</v>
          </cell>
          <cell r="E157">
            <v>58.064516130000001</v>
          </cell>
          <cell r="F157">
            <v>93</v>
          </cell>
          <cell r="G157">
            <v>3</v>
          </cell>
          <cell r="H157">
            <v>6</v>
          </cell>
          <cell r="I157">
            <v>1</v>
          </cell>
          <cell r="J157">
            <v>2.14</v>
          </cell>
        </row>
        <row r="158">
          <cell r="A158" t="str">
            <v>PICTURE_157</v>
          </cell>
          <cell r="B158" t="str">
            <v>princess</v>
          </cell>
          <cell r="D158">
            <v>1.3942380400000001</v>
          </cell>
          <cell r="E158">
            <v>73.195876290000001</v>
          </cell>
          <cell r="F158">
            <v>97</v>
          </cell>
          <cell r="G158">
            <v>6</v>
          </cell>
          <cell r="H158">
            <v>1</v>
          </cell>
          <cell r="I158">
            <v>2</v>
          </cell>
          <cell r="J158">
            <v>3.09</v>
          </cell>
        </row>
        <row r="159">
          <cell r="A159" t="str">
            <v>PICTURE_158</v>
          </cell>
          <cell r="B159" t="str">
            <v>controller</v>
          </cell>
          <cell r="D159">
            <v>1.3455918280000001</v>
          </cell>
          <cell r="E159">
            <v>73.469387760000004</v>
          </cell>
          <cell r="F159">
            <v>98</v>
          </cell>
          <cell r="G159">
            <v>5</v>
          </cell>
          <cell r="H159">
            <v>0</v>
          </cell>
          <cell r="I159">
            <v>2</v>
          </cell>
          <cell r="J159">
            <v>2.58</v>
          </cell>
        </row>
        <row r="160">
          <cell r="A160" t="str">
            <v>PICTURE_159</v>
          </cell>
          <cell r="B160" t="str">
            <v>beard</v>
          </cell>
          <cell r="D160">
            <v>0</v>
          </cell>
          <cell r="E160">
            <v>100</v>
          </cell>
          <cell r="F160">
            <v>98</v>
          </cell>
          <cell r="G160">
            <v>1</v>
          </cell>
          <cell r="H160">
            <v>0</v>
          </cell>
          <cell r="I160">
            <v>2</v>
          </cell>
          <cell r="J160">
            <v>3.27</v>
          </cell>
        </row>
        <row r="161">
          <cell r="A161" t="str">
            <v>PICTURE_160</v>
          </cell>
          <cell r="B161" t="str">
            <v>wheelbarrow</v>
          </cell>
          <cell r="D161">
            <v>0.151096971</v>
          </cell>
          <cell r="E161">
            <v>97.826086959999998</v>
          </cell>
          <cell r="F161">
            <v>92</v>
          </cell>
          <cell r="G161">
            <v>2</v>
          </cell>
          <cell r="H161">
            <v>8</v>
          </cell>
          <cell r="I161">
            <v>0</v>
          </cell>
          <cell r="J161">
            <v>2.81</v>
          </cell>
        </row>
        <row r="162">
          <cell r="A162" t="str">
            <v>PICTURE_161</v>
          </cell>
          <cell r="B162" t="str">
            <v>tie</v>
          </cell>
          <cell r="D162">
            <v>0</v>
          </cell>
          <cell r="E162">
            <v>100</v>
          </cell>
          <cell r="F162">
            <v>99</v>
          </cell>
          <cell r="G162">
            <v>1</v>
          </cell>
          <cell r="H162">
            <v>1</v>
          </cell>
          <cell r="I162">
            <v>0</v>
          </cell>
          <cell r="J162">
            <v>2.2599999999999998</v>
          </cell>
        </row>
        <row r="163">
          <cell r="A163" t="str">
            <v>PICTURE_162</v>
          </cell>
          <cell r="B163" t="str">
            <v>xbox</v>
          </cell>
          <cell r="D163">
            <v>1.976771372</v>
          </cell>
          <cell r="E163">
            <v>42.708333330000002</v>
          </cell>
          <cell r="F163">
            <v>96</v>
          </cell>
          <cell r="G163">
            <v>5</v>
          </cell>
          <cell r="H163">
            <v>0</v>
          </cell>
          <cell r="I163">
            <v>4</v>
          </cell>
          <cell r="J163">
            <v>2.8181818179999998</v>
          </cell>
        </row>
        <row r="164">
          <cell r="A164" t="str">
            <v>PICTURE_163</v>
          </cell>
          <cell r="B164" t="str">
            <v>coconut</v>
          </cell>
          <cell r="D164">
            <v>0</v>
          </cell>
          <cell r="E164">
            <v>100</v>
          </cell>
          <cell r="F164">
            <v>98</v>
          </cell>
          <cell r="G164">
            <v>1</v>
          </cell>
          <cell r="H164">
            <v>2</v>
          </cell>
          <cell r="I164">
            <v>0</v>
          </cell>
          <cell r="J164">
            <v>2.72</v>
          </cell>
        </row>
        <row r="165">
          <cell r="A165" t="str">
            <v>PICTURE_164</v>
          </cell>
          <cell r="B165" t="str">
            <v>road</v>
          </cell>
          <cell r="D165">
            <v>0</v>
          </cell>
          <cell r="E165">
            <v>100</v>
          </cell>
          <cell r="F165">
            <v>99</v>
          </cell>
          <cell r="G165">
            <v>1</v>
          </cell>
          <cell r="H165">
            <v>0</v>
          </cell>
          <cell r="I165">
            <v>1</v>
          </cell>
          <cell r="J165">
            <v>2.31</v>
          </cell>
        </row>
        <row r="166">
          <cell r="A166" t="str">
            <v>PICTURE_165</v>
          </cell>
          <cell r="B166" t="str">
            <v>belt</v>
          </cell>
          <cell r="D166">
            <v>0</v>
          </cell>
          <cell r="E166">
            <v>100</v>
          </cell>
          <cell r="F166">
            <v>100</v>
          </cell>
          <cell r="G166">
            <v>1</v>
          </cell>
          <cell r="H166">
            <v>0</v>
          </cell>
          <cell r="I166">
            <v>0</v>
          </cell>
          <cell r="J166">
            <v>2.48</v>
          </cell>
        </row>
        <row r="167">
          <cell r="A167" t="str">
            <v>PICTURE_166</v>
          </cell>
          <cell r="B167" t="str">
            <v>pearl</v>
          </cell>
          <cell r="D167">
            <v>1.2690026050000001</v>
          </cell>
          <cell r="E167">
            <v>72.631578950000005</v>
          </cell>
          <cell r="F167">
            <v>95</v>
          </cell>
          <cell r="G167">
            <v>4</v>
          </cell>
          <cell r="H167">
            <v>4</v>
          </cell>
          <cell r="I167">
            <v>1</v>
          </cell>
          <cell r="J167">
            <v>3.05</v>
          </cell>
        </row>
        <row r="168">
          <cell r="A168" t="str">
            <v>PICTURE_167</v>
          </cell>
          <cell r="B168" t="str">
            <v>lace</v>
          </cell>
          <cell r="D168">
            <v>0.53635965100000005</v>
          </cell>
          <cell r="E168">
            <v>87.755102039999997</v>
          </cell>
          <cell r="F168">
            <v>98</v>
          </cell>
          <cell r="G168">
            <v>2</v>
          </cell>
          <cell r="H168">
            <v>1</v>
          </cell>
          <cell r="I168">
            <v>1</v>
          </cell>
          <cell r="J168">
            <v>2.0699999999999998</v>
          </cell>
        </row>
        <row r="169">
          <cell r="A169" t="str">
            <v>PICTURE_168</v>
          </cell>
          <cell r="B169" t="str">
            <v>stadium</v>
          </cell>
          <cell r="D169">
            <v>0.988269175</v>
          </cell>
          <cell r="E169">
            <v>70.103092779999997</v>
          </cell>
          <cell r="F169">
            <v>97</v>
          </cell>
          <cell r="G169">
            <v>3</v>
          </cell>
          <cell r="H169">
            <v>0</v>
          </cell>
          <cell r="I169">
            <v>3</v>
          </cell>
          <cell r="J169">
            <v>3.4</v>
          </cell>
        </row>
        <row r="170">
          <cell r="A170" t="str">
            <v>PICTURE_169</v>
          </cell>
          <cell r="B170" t="str">
            <v>back</v>
          </cell>
          <cell r="D170">
            <v>0.14257333</v>
          </cell>
          <cell r="E170">
            <v>97.979797980000001</v>
          </cell>
          <cell r="F170">
            <v>99</v>
          </cell>
          <cell r="G170">
            <v>2</v>
          </cell>
          <cell r="H170">
            <v>0</v>
          </cell>
          <cell r="I170">
            <v>1</v>
          </cell>
          <cell r="J170">
            <v>2.3199999999999998</v>
          </cell>
        </row>
        <row r="171">
          <cell r="A171" t="str">
            <v>PICTURE_170</v>
          </cell>
          <cell r="B171" t="str">
            <v>goal</v>
          </cell>
          <cell r="D171">
            <v>1.3049622729999999</v>
          </cell>
          <cell r="E171">
            <v>74.747474749999995</v>
          </cell>
          <cell r="F171">
            <v>99</v>
          </cell>
          <cell r="G171">
            <v>6</v>
          </cell>
          <cell r="H171">
            <v>0</v>
          </cell>
          <cell r="I171">
            <v>1</v>
          </cell>
          <cell r="J171">
            <v>2.61</v>
          </cell>
        </row>
        <row r="172">
          <cell r="A172" t="str">
            <v>PICTURE_171</v>
          </cell>
          <cell r="B172" t="str">
            <v>goalkeeper</v>
          </cell>
          <cell r="D172">
            <v>0.80846359599999995</v>
          </cell>
          <cell r="E172">
            <v>86.868686870000005</v>
          </cell>
          <cell r="F172">
            <v>99</v>
          </cell>
          <cell r="G172">
            <v>5</v>
          </cell>
          <cell r="H172">
            <v>0</v>
          </cell>
          <cell r="I172">
            <v>1</v>
          </cell>
          <cell r="J172">
            <v>2.99</v>
          </cell>
        </row>
        <row r="173">
          <cell r="A173" t="str">
            <v>PICTURE_172</v>
          </cell>
          <cell r="B173" t="str">
            <v>parrot</v>
          </cell>
          <cell r="D173">
            <v>0.40217919000000002</v>
          </cell>
          <cell r="E173">
            <v>92</v>
          </cell>
          <cell r="F173">
            <v>100</v>
          </cell>
          <cell r="G173">
            <v>2</v>
          </cell>
          <cell r="H173">
            <v>0</v>
          </cell>
          <cell r="I173">
            <v>0</v>
          </cell>
          <cell r="J173">
            <v>3.74</v>
          </cell>
        </row>
        <row r="174">
          <cell r="A174" t="str">
            <v>PICTURE_173</v>
          </cell>
          <cell r="B174" t="str">
            <v>pharmacy</v>
          </cell>
          <cell r="D174">
            <v>0.862510738</v>
          </cell>
          <cell r="E174">
            <v>81.443298970000001</v>
          </cell>
          <cell r="F174">
            <v>97</v>
          </cell>
          <cell r="G174">
            <v>3</v>
          </cell>
          <cell r="H174">
            <v>0</v>
          </cell>
          <cell r="I174">
            <v>3</v>
          </cell>
          <cell r="J174">
            <v>3.31</v>
          </cell>
        </row>
        <row r="175">
          <cell r="A175" t="str">
            <v>PICTURE_174</v>
          </cell>
          <cell r="B175" t="str">
            <v>banister</v>
          </cell>
          <cell r="D175">
            <v>2.016021233</v>
          </cell>
          <cell r="E175">
            <v>46.25</v>
          </cell>
          <cell r="F175">
            <v>80</v>
          </cell>
          <cell r="G175">
            <v>6</v>
          </cell>
          <cell r="H175">
            <v>16</v>
          </cell>
          <cell r="I175">
            <v>4</v>
          </cell>
          <cell r="J175">
            <v>2.41</v>
          </cell>
        </row>
        <row r="176">
          <cell r="A176" t="str">
            <v>PICTURE_175</v>
          </cell>
          <cell r="B176" t="str">
            <v>artist</v>
          </cell>
          <cell r="D176">
            <v>1.1069641160000001</v>
          </cell>
          <cell r="E176">
            <v>56</v>
          </cell>
          <cell r="F176">
            <v>100</v>
          </cell>
          <cell r="G176">
            <v>3</v>
          </cell>
          <cell r="H176">
            <v>0</v>
          </cell>
          <cell r="I176">
            <v>0</v>
          </cell>
          <cell r="J176">
            <v>3.07</v>
          </cell>
        </row>
        <row r="177">
          <cell r="A177" t="str">
            <v>PICTURE_176</v>
          </cell>
          <cell r="B177" t="str">
            <v>knight</v>
          </cell>
          <cell r="D177">
            <v>1.40851496</v>
          </cell>
          <cell r="E177">
            <v>47.777777780000001</v>
          </cell>
          <cell r="F177">
            <v>90</v>
          </cell>
          <cell r="G177">
            <v>3</v>
          </cell>
          <cell r="H177">
            <v>8</v>
          </cell>
          <cell r="I177">
            <v>2</v>
          </cell>
          <cell r="J177">
            <v>3.01</v>
          </cell>
        </row>
        <row r="178">
          <cell r="A178" t="str">
            <v>PICTURE_177</v>
          </cell>
          <cell r="B178" t="str">
            <v>mushroom</v>
          </cell>
          <cell r="D178">
            <v>0.53635965100000005</v>
          </cell>
          <cell r="E178">
            <v>87.755102039999997</v>
          </cell>
          <cell r="F178">
            <v>98</v>
          </cell>
          <cell r="G178">
            <v>2</v>
          </cell>
          <cell r="H178">
            <v>2</v>
          </cell>
          <cell r="I178">
            <v>0</v>
          </cell>
          <cell r="J178">
            <v>2.16</v>
          </cell>
        </row>
        <row r="179">
          <cell r="A179" t="str">
            <v>PICTURE_178</v>
          </cell>
          <cell r="B179" t="str">
            <v>bridge</v>
          </cell>
          <cell r="D179">
            <v>0.772517385</v>
          </cell>
          <cell r="E179">
            <v>85.263157890000002</v>
          </cell>
          <cell r="F179">
            <v>95</v>
          </cell>
          <cell r="G179">
            <v>4</v>
          </cell>
          <cell r="H179">
            <v>4</v>
          </cell>
          <cell r="I179">
            <v>1</v>
          </cell>
          <cell r="J179">
            <v>2.8</v>
          </cell>
        </row>
        <row r="180">
          <cell r="A180" t="str">
            <v>PICTURE_179</v>
          </cell>
          <cell r="B180" t="str">
            <v>easel</v>
          </cell>
          <cell r="D180">
            <v>1.8196756890000001</v>
          </cell>
          <cell r="E180">
            <v>48</v>
          </cell>
          <cell r="F180">
            <v>75</v>
          </cell>
          <cell r="G180">
            <v>6</v>
          </cell>
          <cell r="H180">
            <v>19</v>
          </cell>
          <cell r="I180">
            <v>6</v>
          </cell>
          <cell r="J180">
            <v>2.4</v>
          </cell>
        </row>
        <row r="181">
          <cell r="A181" t="str">
            <v>PICTURE_180</v>
          </cell>
          <cell r="B181" t="str">
            <v>tail</v>
          </cell>
          <cell r="D181">
            <v>1.7409261599999999</v>
          </cell>
          <cell r="E181">
            <v>50</v>
          </cell>
          <cell r="F181">
            <v>96</v>
          </cell>
          <cell r="G181">
            <v>4</v>
          </cell>
          <cell r="H181">
            <v>2</v>
          </cell>
          <cell r="I181">
            <v>2</v>
          </cell>
          <cell r="J181">
            <v>2.7777777779999999</v>
          </cell>
        </row>
        <row r="182">
          <cell r="A182" t="str">
            <v>PICTURE_181</v>
          </cell>
          <cell r="B182" t="str">
            <v>triangle</v>
          </cell>
          <cell r="D182">
            <v>0</v>
          </cell>
          <cell r="E182">
            <v>100</v>
          </cell>
          <cell r="F182">
            <v>100</v>
          </cell>
          <cell r="G182">
            <v>1</v>
          </cell>
          <cell r="H182">
            <v>0</v>
          </cell>
          <cell r="I182">
            <v>0</v>
          </cell>
          <cell r="J182">
            <v>1.24</v>
          </cell>
        </row>
        <row r="183">
          <cell r="A183" t="str">
            <v>PICTURE_182</v>
          </cell>
          <cell r="B183" t="str">
            <v>head</v>
          </cell>
          <cell r="D183">
            <v>0.92806728199999999</v>
          </cell>
          <cell r="E183">
            <v>65.656565659999998</v>
          </cell>
          <cell r="F183">
            <v>99</v>
          </cell>
          <cell r="G183">
            <v>2</v>
          </cell>
          <cell r="H183">
            <v>0</v>
          </cell>
          <cell r="I183">
            <v>1</v>
          </cell>
          <cell r="J183">
            <v>1.74</v>
          </cell>
        </row>
        <row r="184">
          <cell r="A184" t="str">
            <v>PICTURE_183</v>
          </cell>
          <cell r="B184" t="str">
            <v>eagle</v>
          </cell>
          <cell r="D184">
            <v>1.918120727</v>
          </cell>
          <cell r="E184">
            <v>47.368421050000002</v>
          </cell>
          <cell r="F184">
            <v>95</v>
          </cell>
          <cell r="G184">
            <v>5</v>
          </cell>
          <cell r="H184">
            <v>2</v>
          </cell>
          <cell r="I184">
            <v>3</v>
          </cell>
          <cell r="J184">
            <v>3.44</v>
          </cell>
        </row>
        <row r="185">
          <cell r="A185" t="str">
            <v>PICTURE_184</v>
          </cell>
          <cell r="B185" t="str">
            <v>witch</v>
          </cell>
          <cell r="D185">
            <v>0</v>
          </cell>
          <cell r="E185">
            <v>100</v>
          </cell>
          <cell r="F185">
            <v>100</v>
          </cell>
          <cell r="G185">
            <v>1</v>
          </cell>
          <cell r="H185">
            <v>0</v>
          </cell>
          <cell r="I185">
            <v>0</v>
          </cell>
          <cell r="J185">
            <v>3.18</v>
          </cell>
        </row>
        <row r="186">
          <cell r="A186" t="str">
            <v>PICTURE_185</v>
          </cell>
          <cell r="B186" t="str">
            <v>football</v>
          </cell>
          <cell r="D186">
            <v>0.47218938500000002</v>
          </cell>
          <cell r="E186">
            <v>89.898989900000004</v>
          </cell>
          <cell r="F186">
            <v>99</v>
          </cell>
          <cell r="G186">
            <v>2</v>
          </cell>
          <cell r="H186">
            <v>0</v>
          </cell>
          <cell r="I186">
            <v>1</v>
          </cell>
          <cell r="J186">
            <v>2.06</v>
          </cell>
        </row>
        <row r="187">
          <cell r="A187" t="str">
            <v>PICTURE_186</v>
          </cell>
          <cell r="B187" t="str">
            <v>engine</v>
          </cell>
          <cell r="D187">
            <v>0.59072391899999999</v>
          </cell>
          <cell r="E187">
            <v>89.473684210000002</v>
          </cell>
          <cell r="F187">
            <v>76</v>
          </cell>
          <cell r="G187">
            <v>3</v>
          </cell>
          <cell r="H187">
            <v>22</v>
          </cell>
          <cell r="I187">
            <v>2</v>
          </cell>
          <cell r="J187">
            <v>3.7</v>
          </cell>
        </row>
        <row r="188">
          <cell r="A188" t="str">
            <v>PICTURE_187</v>
          </cell>
          <cell r="B188" t="str">
            <v>city</v>
          </cell>
          <cell r="D188">
            <v>1.4037064669999999</v>
          </cell>
          <cell r="E188">
            <v>67.368421049999995</v>
          </cell>
          <cell r="F188">
            <v>95</v>
          </cell>
          <cell r="G188">
            <v>4</v>
          </cell>
          <cell r="H188">
            <v>0</v>
          </cell>
          <cell r="I188">
            <v>5</v>
          </cell>
          <cell r="J188">
            <v>3.4</v>
          </cell>
        </row>
        <row r="189">
          <cell r="A189" t="str">
            <v>PICTURE_188</v>
          </cell>
          <cell r="B189" t="str">
            <v>warehouse</v>
          </cell>
          <cell r="D189">
            <v>1.458478495</v>
          </cell>
          <cell r="E189">
            <v>66.279069770000007</v>
          </cell>
          <cell r="F189">
            <v>86</v>
          </cell>
          <cell r="G189">
            <v>5</v>
          </cell>
          <cell r="H189">
            <v>7</v>
          </cell>
          <cell r="I189">
            <v>7</v>
          </cell>
          <cell r="J189">
            <v>3.29</v>
          </cell>
        </row>
        <row r="190">
          <cell r="A190" t="str">
            <v>PICTURE_189</v>
          </cell>
          <cell r="B190" t="str">
            <v>crocodile</v>
          </cell>
          <cell r="D190">
            <v>0.88002704799999998</v>
          </cell>
          <cell r="E190">
            <v>70.103092779999997</v>
          </cell>
          <cell r="F190">
            <v>97</v>
          </cell>
          <cell r="G190">
            <v>2</v>
          </cell>
          <cell r="H190">
            <v>3</v>
          </cell>
          <cell r="I190">
            <v>0</v>
          </cell>
          <cell r="J190">
            <v>3.6</v>
          </cell>
        </row>
        <row r="191">
          <cell r="A191" t="str">
            <v>PICTURE_190</v>
          </cell>
          <cell r="B191" t="str">
            <v>rain</v>
          </cell>
          <cell r="D191">
            <v>0.89675501599999996</v>
          </cell>
          <cell r="E191">
            <v>68.686868689999997</v>
          </cell>
          <cell r="F191">
            <v>99</v>
          </cell>
          <cell r="G191">
            <v>2</v>
          </cell>
          <cell r="H191">
            <v>0</v>
          </cell>
          <cell r="I191">
            <v>1</v>
          </cell>
          <cell r="J191">
            <v>1.68</v>
          </cell>
        </row>
        <row r="192">
          <cell r="A192" t="str">
            <v>PICTURE_191</v>
          </cell>
          <cell r="B192" t="str">
            <v>salad</v>
          </cell>
          <cell r="D192">
            <v>0.58766445099999998</v>
          </cell>
          <cell r="E192">
            <v>88.659793809999996</v>
          </cell>
          <cell r="F192">
            <v>97</v>
          </cell>
          <cell r="G192">
            <v>3</v>
          </cell>
          <cell r="H192">
            <v>2</v>
          </cell>
          <cell r="I192">
            <v>1</v>
          </cell>
          <cell r="J192">
            <v>2.95</v>
          </cell>
        </row>
        <row r="193">
          <cell r="A193" t="str">
            <v>PICTURE_192</v>
          </cell>
          <cell r="B193" t="str">
            <v>thermometer</v>
          </cell>
          <cell r="D193">
            <v>0.16232617999999999</v>
          </cell>
          <cell r="E193">
            <v>97.619047620000003</v>
          </cell>
          <cell r="F193">
            <v>84</v>
          </cell>
          <cell r="G193">
            <v>2</v>
          </cell>
          <cell r="H193">
            <v>15</v>
          </cell>
          <cell r="I193">
            <v>1</v>
          </cell>
          <cell r="J193">
            <v>2.09</v>
          </cell>
        </row>
        <row r="194">
          <cell r="A194" t="str">
            <v>PICTURE_193</v>
          </cell>
          <cell r="B194" t="str">
            <v>jellyfish</v>
          </cell>
          <cell r="D194">
            <v>0.15240699899999999</v>
          </cell>
          <cell r="E194">
            <v>97.802197800000002</v>
          </cell>
          <cell r="F194">
            <v>91</v>
          </cell>
          <cell r="G194">
            <v>2</v>
          </cell>
          <cell r="H194">
            <v>6</v>
          </cell>
          <cell r="I194">
            <v>3</v>
          </cell>
          <cell r="J194">
            <v>3.1</v>
          </cell>
        </row>
        <row r="195">
          <cell r="A195" t="str">
            <v>PICTURE_194</v>
          </cell>
          <cell r="B195" t="str">
            <v>mattress</v>
          </cell>
          <cell r="D195">
            <v>1.947490502</v>
          </cell>
          <cell r="E195">
            <v>58.333333330000002</v>
          </cell>
          <cell r="F195">
            <v>60</v>
          </cell>
          <cell r="G195">
            <v>7</v>
          </cell>
          <cell r="H195">
            <v>35</v>
          </cell>
          <cell r="I195">
            <v>5</v>
          </cell>
          <cell r="J195">
            <v>2.58</v>
          </cell>
        </row>
        <row r="196">
          <cell r="A196" t="str">
            <v>PICTURE_195</v>
          </cell>
          <cell r="B196" t="str">
            <v>sailor</v>
          </cell>
          <cell r="D196">
            <v>1.3398690449999999</v>
          </cell>
          <cell r="E196">
            <v>63.043478260000001</v>
          </cell>
          <cell r="F196">
            <v>92</v>
          </cell>
          <cell r="G196">
            <v>5</v>
          </cell>
          <cell r="H196">
            <v>6</v>
          </cell>
          <cell r="I196">
            <v>2</v>
          </cell>
          <cell r="J196">
            <v>3.22</v>
          </cell>
        </row>
        <row r="197">
          <cell r="A197" t="str">
            <v>PICTURE_196</v>
          </cell>
          <cell r="B197" t="str">
            <v>computer</v>
          </cell>
          <cell r="D197">
            <v>0.24414164199999999</v>
          </cell>
          <cell r="E197">
            <v>95.959595960000001</v>
          </cell>
          <cell r="F197">
            <v>99</v>
          </cell>
          <cell r="G197">
            <v>2</v>
          </cell>
          <cell r="H197">
            <v>0</v>
          </cell>
          <cell r="I197">
            <v>1</v>
          </cell>
          <cell r="J197">
            <v>2.58</v>
          </cell>
        </row>
        <row r="198">
          <cell r="A198" t="str">
            <v>PICTURE_197</v>
          </cell>
          <cell r="B198" t="str">
            <v>compass</v>
          </cell>
          <cell r="D198">
            <v>0.77991406100000005</v>
          </cell>
          <cell r="E198">
            <v>83.333333330000002</v>
          </cell>
          <cell r="F198">
            <v>78</v>
          </cell>
          <cell r="G198">
            <v>3</v>
          </cell>
          <cell r="H198">
            <v>20</v>
          </cell>
          <cell r="I198">
            <v>2</v>
          </cell>
          <cell r="J198">
            <v>2.89</v>
          </cell>
        </row>
        <row r="199">
          <cell r="A199" t="str">
            <v>PICTURE_198</v>
          </cell>
          <cell r="B199" t="str">
            <v>fortune teller</v>
          </cell>
          <cell r="D199">
            <v>2.190292178</v>
          </cell>
          <cell r="E199">
            <v>45.23809524</v>
          </cell>
          <cell r="F199">
            <v>84</v>
          </cell>
          <cell r="G199">
            <v>8</v>
          </cell>
          <cell r="H199">
            <v>10</v>
          </cell>
          <cell r="I199">
            <v>6</v>
          </cell>
          <cell r="J199">
            <v>3.0612244899999999</v>
          </cell>
        </row>
        <row r="200">
          <cell r="A200" t="str">
            <v>PICTURE_199</v>
          </cell>
          <cell r="B200" t="str">
            <v>skirt</v>
          </cell>
          <cell r="D200">
            <v>0.20731018600000001</v>
          </cell>
          <cell r="E200">
            <v>96.739130430000003</v>
          </cell>
          <cell r="F200">
            <v>92</v>
          </cell>
          <cell r="G200">
            <v>2</v>
          </cell>
          <cell r="H200">
            <v>5</v>
          </cell>
          <cell r="I200">
            <v>3</v>
          </cell>
          <cell r="J200">
            <v>2.63</v>
          </cell>
        </row>
        <row r="201">
          <cell r="A201" t="str">
            <v>PICTURE_200</v>
          </cell>
          <cell r="B201" t="str">
            <v>trumpet</v>
          </cell>
          <cell r="D201">
            <v>0.48142336099999999</v>
          </cell>
          <cell r="E201">
            <v>91.666666669999998</v>
          </cell>
          <cell r="F201">
            <v>96</v>
          </cell>
          <cell r="G201">
            <v>3</v>
          </cell>
          <cell r="H201">
            <v>2</v>
          </cell>
          <cell r="I201">
            <v>2</v>
          </cell>
          <cell r="J201">
            <v>2.66</v>
          </cell>
        </row>
        <row r="202">
          <cell r="A202" t="str">
            <v>PICTURE_201</v>
          </cell>
          <cell r="B202" t="str">
            <v>pea</v>
          </cell>
          <cell r="D202">
            <v>1.968851511</v>
          </cell>
          <cell r="E202">
            <v>41.463414630000003</v>
          </cell>
          <cell r="F202">
            <v>82</v>
          </cell>
          <cell r="G202">
            <v>5</v>
          </cell>
          <cell r="H202">
            <v>13</v>
          </cell>
          <cell r="I202">
            <v>5</v>
          </cell>
          <cell r="J202">
            <v>2.4300000000000002</v>
          </cell>
        </row>
        <row r="203">
          <cell r="A203" t="str">
            <v>PICTURE_202</v>
          </cell>
          <cell r="B203" t="str">
            <v>fishing rod</v>
          </cell>
          <cell r="D203">
            <v>0.48955404499999999</v>
          </cell>
          <cell r="E203">
            <v>91.75257732</v>
          </cell>
          <cell r="F203">
            <v>97</v>
          </cell>
          <cell r="G203">
            <v>3</v>
          </cell>
          <cell r="H203">
            <v>1</v>
          </cell>
          <cell r="I203">
            <v>2</v>
          </cell>
          <cell r="J203">
            <v>2.4300000000000002</v>
          </cell>
        </row>
        <row r="204">
          <cell r="A204" t="str">
            <v>PICTURE_203</v>
          </cell>
          <cell r="B204" t="str">
            <v>cap</v>
          </cell>
          <cell r="D204">
            <v>0.85545081099999998</v>
          </cell>
          <cell r="E204">
            <v>72</v>
          </cell>
          <cell r="F204">
            <v>100</v>
          </cell>
          <cell r="G204">
            <v>2</v>
          </cell>
          <cell r="H204">
            <v>0</v>
          </cell>
          <cell r="I204">
            <v>0</v>
          </cell>
          <cell r="J204">
            <v>2.35</v>
          </cell>
        </row>
        <row r="205">
          <cell r="A205" t="str">
            <v>PICTURE_204</v>
          </cell>
          <cell r="B205" t="str">
            <v>printer</v>
          </cell>
          <cell r="D205">
            <v>0</v>
          </cell>
          <cell r="E205">
            <v>100</v>
          </cell>
          <cell r="F205">
            <v>99</v>
          </cell>
          <cell r="G205">
            <v>1</v>
          </cell>
          <cell r="H205">
            <v>0</v>
          </cell>
          <cell r="I205">
            <v>1</v>
          </cell>
          <cell r="J205">
            <v>2.99</v>
          </cell>
        </row>
        <row r="206">
          <cell r="A206" t="str">
            <v>PICTURE_205</v>
          </cell>
          <cell r="B206" t="str">
            <v>ankle</v>
          </cell>
          <cell r="D206">
            <v>0.29071586500000002</v>
          </cell>
          <cell r="E206">
            <v>94.897959180000001</v>
          </cell>
          <cell r="F206">
            <v>98</v>
          </cell>
          <cell r="G206">
            <v>2</v>
          </cell>
          <cell r="H206">
            <v>0</v>
          </cell>
          <cell r="I206">
            <v>2</v>
          </cell>
          <cell r="J206">
            <v>2.41</v>
          </cell>
        </row>
        <row r="207">
          <cell r="A207" t="str">
            <v>PICTURE_206</v>
          </cell>
          <cell r="B207" t="str">
            <v>paint roller</v>
          </cell>
          <cell r="D207">
            <v>0.81059985099999998</v>
          </cell>
          <cell r="E207">
            <v>85.416666669999998</v>
          </cell>
          <cell r="F207">
            <v>96</v>
          </cell>
          <cell r="G207">
            <v>4</v>
          </cell>
          <cell r="H207">
            <v>2</v>
          </cell>
          <cell r="I207">
            <v>2</v>
          </cell>
          <cell r="J207">
            <v>2.16</v>
          </cell>
        </row>
        <row r="208">
          <cell r="A208" t="str">
            <v>PICTURE_207</v>
          </cell>
          <cell r="B208" t="str">
            <v>scar</v>
          </cell>
          <cell r="D208">
            <v>0.93529885400000001</v>
          </cell>
          <cell r="E208">
            <v>83.157894740000003</v>
          </cell>
          <cell r="F208">
            <v>95</v>
          </cell>
          <cell r="G208">
            <v>5</v>
          </cell>
          <cell r="H208">
            <v>1</v>
          </cell>
          <cell r="I208">
            <v>4</v>
          </cell>
          <cell r="J208">
            <v>2.15</v>
          </cell>
        </row>
        <row r="209">
          <cell r="A209" t="str">
            <v>PICTURE_208</v>
          </cell>
          <cell r="B209" t="str">
            <v>microphone</v>
          </cell>
          <cell r="D209">
            <v>0</v>
          </cell>
          <cell r="E209">
            <v>100</v>
          </cell>
          <cell r="F209">
            <v>100</v>
          </cell>
          <cell r="G209">
            <v>1</v>
          </cell>
          <cell r="H209">
            <v>0</v>
          </cell>
          <cell r="I209">
            <v>0</v>
          </cell>
          <cell r="J209">
            <v>2.4500000000000002</v>
          </cell>
        </row>
        <row r="210">
          <cell r="A210" t="str">
            <v>PICTURE_209</v>
          </cell>
          <cell r="B210" t="str">
            <v>boomerang</v>
          </cell>
          <cell r="D210">
            <v>0.21639693199999999</v>
          </cell>
          <cell r="E210">
            <v>96.551724140000005</v>
          </cell>
          <cell r="F210">
            <v>87</v>
          </cell>
          <cell r="G210">
            <v>2</v>
          </cell>
          <cell r="H210">
            <v>9</v>
          </cell>
          <cell r="I210">
            <v>4</v>
          </cell>
          <cell r="J210">
            <v>2.2599999999999998</v>
          </cell>
        </row>
        <row r="211">
          <cell r="A211" t="str">
            <v>PICTURE_210</v>
          </cell>
          <cell r="B211" t="str">
            <v>nipple</v>
          </cell>
          <cell r="D211">
            <v>0.98057249800000001</v>
          </cell>
          <cell r="E211">
            <v>77.551020410000007</v>
          </cell>
          <cell r="F211">
            <v>98</v>
          </cell>
          <cell r="G211">
            <v>3</v>
          </cell>
          <cell r="H211">
            <v>1</v>
          </cell>
          <cell r="I211">
            <v>1</v>
          </cell>
          <cell r="J211">
            <v>2.4500000000000002</v>
          </cell>
        </row>
        <row r="212">
          <cell r="A212" t="str">
            <v>PICTURE_211</v>
          </cell>
          <cell r="B212" t="str">
            <v>beetle</v>
          </cell>
          <cell r="D212">
            <v>1.516203712</v>
          </cell>
          <cell r="E212">
            <v>64.772727270000004</v>
          </cell>
          <cell r="F212">
            <v>88</v>
          </cell>
          <cell r="G212">
            <v>5</v>
          </cell>
          <cell r="H212">
            <v>9</v>
          </cell>
          <cell r="I212">
            <v>3</v>
          </cell>
          <cell r="J212">
            <v>2.92</v>
          </cell>
        </row>
        <row r="213">
          <cell r="A213" t="str">
            <v>PICTURE_212</v>
          </cell>
          <cell r="B213" t="str">
            <v>scales</v>
          </cell>
          <cell r="D213">
            <v>0.58810782299999997</v>
          </cell>
          <cell r="E213">
            <v>88.764044940000005</v>
          </cell>
          <cell r="F213">
            <v>89</v>
          </cell>
          <cell r="G213">
            <v>3</v>
          </cell>
          <cell r="H213">
            <v>11</v>
          </cell>
          <cell r="I213">
            <v>0</v>
          </cell>
          <cell r="J213">
            <v>2.35</v>
          </cell>
        </row>
        <row r="214">
          <cell r="A214" t="str">
            <v>PICTURE_213</v>
          </cell>
          <cell r="B214" t="str">
            <v>policeman</v>
          </cell>
          <cell r="D214">
            <v>1.84901088</v>
          </cell>
          <cell r="E214">
            <v>49.473684210000002</v>
          </cell>
          <cell r="F214">
            <v>95</v>
          </cell>
          <cell r="G214">
            <v>6</v>
          </cell>
          <cell r="H214">
            <v>1</v>
          </cell>
          <cell r="I214">
            <v>4</v>
          </cell>
          <cell r="J214">
            <v>3.25</v>
          </cell>
        </row>
        <row r="215">
          <cell r="A215" t="str">
            <v>PICTURE_214</v>
          </cell>
          <cell r="B215" t="str">
            <v>bedroom</v>
          </cell>
          <cell r="D215">
            <v>0.14257333</v>
          </cell>
          <cell r="E215">
            <v>97.979797980000001</v>
          </cell>
          <cell r="F215">
            <v>99</v>
          </cell>
          <cell r="G215">
            <v>2</v>
          </cell>
          <cell r="H215">
            <v>0</v>
          </cell>
          <cell r="I215">
            <v>1</v>
          </cell>
          <cell r="J215">
            <v>3.2525252529999999</v>
          </cell>
        </row>
        <row r="216">
          <cell r="A216" t="str">
            <v>PICTURE_215</v>
          </cell>
          <cell r="B216" t="str">
            <v>boot</v>
          </cell>
          <cell r="D216">
            <v>1.5753991089999999</v>
          </cell>
          <cell r="E216">
            <v>57.575757580000001</v>
          </cell>
          <cell r="F216">
            <v>99</v>
          </cell>
          <cell r="G216">
            <v>5</v>
          </cell>
          <cell r="H216">
            <v>0</v>
          </cell>
          <cell r="I216">
            <v>1</v>
          </cell>
          <cell r="J216">
            <v>2.94</v>
          </cell>
        </row>
        <row r="217">
          <cell r="A217" t="str">
            <v>PICTURE_216</v>
          </cell>
          <cell r="B217" t="str">
            <v>hammer</v>
          </cell>
          <cell r="D217">
            <v>0.67236145599999997</v>
          </cell>
          <cell r="E217">
            <v>88.888888890000004</v>
          </cell>
          <cell r="F217">
            <v>90</v>
          </cell>
          <cell r="G217">
            <v>4</v>
          </cell>
          <cell r="H217">
            <v>9</v>
          </cell>
          <cell r="I217">
            <v>1</v>
          </cell>
          <cell r="J217">
            <v>1.96</v>
          </cell>
        </row>
        <row r="218">
          <cell r="A218" t="str">
            <v>PICTURE_217</v>
          </cell>
          <cell r="B218" t="str">
            <v>photographer</v>
          </cell>
          <cell r="D218">
            <v>1.278341339</v>
          </cell>
          <cell r="E218">
            <v>68.421052630000005</v>
          </cell>
          <cell r="F218">
            <v>95</v>
          </cell>
          <cell r="G218">
            <v>4</v>
          </cell>
          <cell r="H218">
            <v>0</v>
          </cell>
          <cell r="I218">
            <v>5</v>
          </cell>
          <cell r="J218">
            <v>2.95</v>
          </cell>
        </row>
        <row r="219">
          <cell r="A219" t="str">
            <v>PICTURE_218</v>
          </cell>
          <cell r="B219" t="str">
            <v>nappy</v>
          </cell>
          <cell r="D219">
            <v>0.730809504</v>
          </cell>
          <cell r="E219">
            <v>83.673469389999994</v>
          </cell>
          <cell r="F219">
            <v>98</v>
          </cell>
          <cell r="G219">
            <v>3</v>
          </cell>
          <cell r="H219">
            <v>0</v>
          </cell>
          <cell r="I219">
            <v>2</v>
          </cell>
          <cell r="J219">
            <v>3.02</v>
          </cell>
        </row>
        <row r="220">
          <cell r="A220" t="str">
            <v>PICTURE_219</v>
          </cell>
          <cell r="B220" t="str">
            <v>washing line</v>
          </cell>
          <cell r="D220">
            <v>2.736370741</v>
          </cell>
          <cell r="E220">
            <v>37.20930233</v>
          </cell>
          <cell r="F220">
            <v>86</v>
          </cell>
          <cell r="G220">
            <v>10</v>
          </cell>
          <cell r="H220">
            <v>10</v>
          </cell>
          <cell r="I220">
            <v>4</v>
          </cell>
          <cell r="J220">
            <v>2.46</v>
          </cell>
        </row>
        <row r="221">
          <cell r="A221" t="str">
            <v>PICTURE_220</v>
          </cell>
          <cell r="B221" t="str">
            <v>seagull</v>
          </cell>
          <cell r="D221">
            <v>0.90443387799999997</v>
          </cell>
          <cell r="E221">
            <v>75.510204079999994</v>
          </cell>
          <cell r="F221">
            <v>98</v>
          </cell>
          <cell r="G221">
            <v>3</v>
          </cell>
          <cell r="H221">
            <v>0</v>
          </cell>
          <cell r="I221">
            <v>2</v>
          </cell>
          <cell r="J221">
            <v>2.86</v>
          </cell>
        </row>
        <row r="222">
          <cell r="A222" t="str">
            <v>PICTURE_221</v>
          </cell>
          <cell r="B222" t="str">
            <v>dummy</v>
          </cell>
          <cell r="D222">
            <v>0.29292995100000002</v>
          </cell>
          <cell r="E222">
            <v>94.845360819999996</v>
          </cell>
          <cell r="F222">
            <v>97</v>
          </cell>
          <cell r="G222">
            <v>2</v>
          </cell>
          <cell r="H222">
            <v>1</v>
          </cell>
          <cell r="I222">
            <v>2</v>
          </cell>
          <cell r="J222">
            <v>2.36</v>
          </cell>
        </row>
        <row r="223">
          <cell r="A223" t="str">
            <v>PICTURE_222</v>
          </cell>
          <cell r="B223" t="str">
            <v>knee</v>
          </cell>
          <cell r="D223">
            <v>0.405020133</v>
          </cell>
          <cell r="E223">
            <v>91.919191920000003</v>
          </cell>
          <cell r="F223">
            <v>99</v>
          </cell>
          <cell r="G223">
            <v>2</v>
          </cell>
          <cell r="H223">
            <v>0</v>
          </cell>
          <cell r="I223">
            <v>1</v>
          </cell>
          <cell r="J223">
            <v>2.23</v>
          </cell>
        </row>
        <row r="224">
          <cell r="A224" t="str">
            <v>PICTURE_223</v>
          </cell>
          <cell r="B224" t="str">
            <v>zip</v>
          </cell>
          <cell r="D224">
            <v>0</v>
          </cell>
          <cell r="E224">
            <v>100</v>
          </cell>
          <cell r="F224">
            <v>100</v>
          </cell>
          <cell r="G224">
            <v>1</v>
          </cell>
          <cell r="H224">
            <v>0</v>
          </cell>
          <cell r="I224">
            <v>0</v>
          </cell>
          <cell r="J224">
            <v>2.66</v>
          </cell>
        </row>
        <row r="225">
          <cell r="A225" t="str">
            <v>PICTURE_224</v>
          </cell>
          <cell r="B225" t="str">
            <v>Paint brush</v>
          </cell>
          <cell r="D225">
            <v>0.83068363599999995</v>
          </cell>
          <cell r="E225">
            <v>73.737373739999995</v>
          </cell>
          <cell r="F225">
            <v>99</v>
          </cell>
          <cell r="G225">
            <v>2</v>
          </cell>
          <cell r="H225">
            <v>1</v>
          </cell>
          <cell r="I225">
            <v>0</v>
          </cell>
          <cell r="J225">
            <v>2.35</v>
          </cell>
        </row>
        <row r="226">
          <cell r="A226" t="str">
            <v>PICTURE_225</v>
          </cell>
          <cell r="B226" t="str">
            <v>peas</v>
          </cell>
          <cell r="D226">
            <v>1.427631571</v>
          </cell>
          <cell r="E226">
            <v>53.125</v>
          </cell>
          <cell r="F226">
            <v>96</v>
          </cell>
          <cell r="G226">
            <v>3</v>
          </cell>
          <cell r="H226">
            <v>1</v>
          </cell>
          <cell r="I226">
            <v>3</v>
          </cell>
          <cell r="J226">
            <v>2.36</v>
          </cell>
        </row>
        <row r="227">
          <cell r="A227" t="str">
            <v>PICTURE_226</v>
          </cell>
          <cell r="B227" t="str">
            <v>train</v>
          </cell>
          <cell r="D227">
            <v>0.49991595799999999</v>
          </cell>
          <cell r="E227">
            <v>89</v>
          </cell>
          <cell r="F227">
            <v>100</v>
          </cell>
          <cell r="G227">
            <v>2</v>
          </cell>
          <cell r="H227">
            <v>0</v>
          </cell>
          <cell r="I227">
            <v>0</v>
          </cell>
          <cell r="J227">
            <v>2.96</v>
          </cell>
        </row>
        <row r="228">
          <cell r="A228" t="str">
            <v>PICTURE_227</v>
          </cell>
          <cell r="B228" t="str">
            <v>wall</v>
          </cell>
          <cell r="D228">
            <v>0.14372616999999999</v>
          </cell>
          <cell r="E228">
            <v>97.959183670000002</v>
          </cell>
          <cell r="F228">
            <v>98</v>
          </cell>
          <cell r="G228">
            <v>2</v>
          </cell>
          <cell r="H228">
            <v>1</v>
          </cell>
          <cell r="I228">
            <v>1</v>
          </cell>
          <cell r="J228">
            <v>2.75</v>
          </cell>
        </row>
        <row r="229">
          <cell r="A229" t="str">
            <v>PICTURE_228</v>
          </cell>
          <cell r="B229" t="str">
            <v>acorn</v>
          </cell>
          <cell r="D229">
            <v>1.2200963010000001</v>
          </cell>
          <cell r="E229">
            <v>78.313253009999997</v>
          </cell>
          <cell r="F229">
            <v>83</v>
          </cell>
          <cell r="G229">
            <v>6</v>
          </cell>
          <cell r="H229">
            <v>10</v>
          </cell>
          <cell r="I229">
            <v>7</v>
          </cell>
          <cell r="J229">
            <v>2.92</v>
          </cell>
        </row>
        <row r="230">
          <cell r="A230" t="str">
            <v>PICTURE_229</v>
          </cell>
          <cell r="B230" t="str">
            <v>beer</v>
          </cell>
          <cell r="D230">
            <v>1.5532153829999999</v>
          </cell>
          <cell r="E230">
            <v>69.892473120000005</v>
          </cell>
          <cell r="F230">
            <v>93</v>
          </cell>
          <cell r="G230">
            <v>7</v>
          </cell>
          <cell r="H230">
            <v>2</v>
          </cell>
          <cell r="I230">
            <v>5</v>
          </cell>
          <cell r="J230">
            <v>2.6</v>
          </cell>
        </row>
        <row r="231">
          <cell r="A231" t="str">
            <v>PICTURE_230</v>
          </cell>
          <cell r="B231" t="str">
            <v>court</v>
          </cell>
          <cell r="D231">
            <v>1.415166135</v>
          </cell>
          <cell r="E231">
            <v>61.904761899999997</v>
          </cell>
          <cell r="F231">
            <v>84</v>
          </cell>
          <cell r="G231">
            <v>4</v>
          </cell>
          <cell r="H231">
            <v>12</v>
          </cell>
          <cell r="I231">
            <v>4</v>
          </cell>
          <cell r="J231">
            <v>2.7272727269999999</v>
          </cell>
        </row>
        <row r="232">
          <cell r="A232" t="str">
            <v>PICTURE_231</v>
          </cell>
          <cell r="B232" t="str">
            <v>chest</v>
          </cell>
          <cell r="D232">
            <v>1.4727812680000001</v>
          </cell>
          <cell r="E232">
            <v>60.439560440000001</v>
          </cell>
          <cell r="F232">
            <v>91</v>
          </cell>
          <cell r="G232">
            <v>5</v>
          </cell>
          <cell r="H232">
            <v>5</v>
          </cell>
          <cell r="I232">
            <v>4</v>
          </cell>
          <cell r="J232">
            <v>2.48</v>
          </cell>
        </row>
        <row r="233">
          <cell r="A233" t="str">
            <v>PICTURE_232</v>
          </cell>
          <cell r="B233" t="str">
            <v>llama</v>
          </cell>
          <cell r="D233">
            <v>1.4819037070000001</v>
          </cell>
          <cell r="E233">
            <v>55.813953490000003</v>
          </cell>
          <cell r="F233">
            <v>86</v>
          </cell>
          <cell r="G233">
            <v>4</v>
          </cell>
          <cell r="H233">
            <v>13</v>
          </cell>
          <cell r="I233">
            <v>1</v>
          </cell>
          <cell r="J233">
            <v>3.5</v>
          </cell>
        </row>
        <row r="234">
          <cell r="A234" t="str">
            <v>PICTURE_233</v>
          </cell>
          <cell r="B234" t="str">
            <v>salt</v>
          </cell>
          <cell r="D234">
            <v>1.0051805810000001</v>
          </cell>
          <cell r="E234">
            <v>77</v>
          </cell>
          <cell r="F234">
            <v>100</v>
          </cell>
          <cell r="G234">
            <v>3</v>
          </cell>
          <cell r="H234">
            <v>0</v>
          </cell>
          <cell r="I234">
            <v>0</v>
          </cell>
          <cell r="J234">
            <v>2.2599999999999998</v>
          </cell>
        </row>
        <row r="235">
          <cell r="A235" t="str">
            <v>PICTURE_234</v>
          </cell>
          <cell r="B235" t="str">
            <v>plate</v>
          </cell>
          <cell r="D235">
            <v>1.08418372</v>
          </cell>
          <cell r="E235">
            <v>80</v>
          </cell>
          <cell r="F235">
            <v>80</v>
          </cell>
          <cell r="G235">
            <v>5</v>
          </cell>
          <cell r="H235">
            <v>17</v>
          </cell>
          <cell r="I235">
            <v>3</v>
          </cell>
          <cell r="J235">
            <v>2.19</v>
          </cell>
        </row>
        <row r="236">
          <cell r="A236" t="str">
            <v>PICTURE_235</v>
          </cell>
          <cell r="B236" t="str">
            <v>needle</v>
          </cell>
          <cell r="D236">
            <v>0.14372616999999999</v>
          </cell>
          <cell r="E236">
            <v>97.959183670000002</v>
          </cell>
          <cell r="F236">
            <v>98</v>
          </cell>
          <cell r="G236">
            <v>2</v>
          </cell>
          <cell r="H236">
            <v>0</v>
          </cell>
          <cell r="I236">
            <v>2</v>
          </cell>
          <cell r="J236">
            <v>2.0699999999999998</v>
          </cell>
        </row>
        <row r="237">
          <cell r="A237" t="str">
            <v>PICTURE_236</v>
          </cell>
          <cell r="B237" t="str">
            <v>giraffe</v>
          </cell>
          <cell r="D237">
            <v>0</v>
          </cell>
          <cell r="E237">
            <v>100</v>
          </cell>
          <cell r="F237">
            <v>97</v>
          </cell>
          <cell r="G237">
            <v>1</v>
          </cell>
          <cell r="H237">
            <v>3</v>
          </cell>
          <cell r="I237">
            <v>0</v>
          </cell>
          <cell r="J237">
            <v>3.61</v>
          </cell>
        </row>
        <row r="238">
          <cell r="A238" t="str">
            <v>PICTURE_237</v>
          </cell>
          <cell r="B238" t="str">
            <v>cheese</v>
          </cell>
          <cell r="D238">
            <v>2.3666152</v>
          </cell>
          <cell r="E238">
            <v>39.7260274</v>
          </cell>
          <cell r="F238">
            <v>73</v>
          </cell>
          <cell r="G238">
            <v>8</v>
          </cell>
          <cell r="H238">
            <v>26</v>
          </cell>
          <cell r="I238">
            <v>1</v>
          </cell>
          <cell r="J238">
            <v>3.02</v>
          </cell>
        </row>
        <row r="239">
          <cell r="A239" t="str">
            <v>PICTURE_238</v>
          </cell>
          <cell r="B239" t="str">
            <v>puzzle</v>
          </cell>
          <cell r="D239">
            <v>0.89317345800000003</v>
          </cell>
          <cell r="E239">
            <v>69</v>
          </cell>
          <cell r="F239">
            <v>100</v>
          </cell>
          <cell r="G239">
            <v>2</v>
          </cell>
          <cell r="H239">
            <v>0</v>
          </cell>
          <cell r="I239">
            <v>0</v>
          </cell>
          <cell r="J239">
            <v>2.21</v>
          </cell>
        </row>
        <row r="240">
          <cell r="A240" t="str">
            <v>PICTURE_239</v>
          </cell>
          <cell r="B240" t="str">
            <v>woman</v>
          </cell>
          <cell r="D240">
            <v>1.1859205989999999</v>
          </cell>
          <cell r="E240">
            <v>72.043010749999993</v>
          </cell>
          <cell r="F240">
            <v>93</v>
          </cell>
          <cell r="G240">
            <v>4</v>
          </cell>
          <cell r="H240">
            <v>3</v>
          </cell>
          <cell r="I240">
            <v>4</v>
          </cell>
          <cell r="J240">
            <v>2.7</v>
          </cell>
        </row>
        <row r="241">
          <cell r="A241" t="str">
            <v>PICTURE_240</v>
          </cell>
          <cell r="B241" t="str">
            <v>castle</v>
          </cell>
          <cell r="D241">
            <v>1.3494249899999999</v>
          </cell>
          <cell r="E241">
            <v>63.736263739999998</v>
          </cell>
          <cell r="F241">
            <v>91</v>
          </cell>
          <cell r="G241">
            <v>4</v>
          </cell>
          <cell r="H241">
            <v>6</v>
          </cell>
          <cell r="I241">
            <v>3</v>
          </cell>
          <cell r="J241">
            <v>2.464646465</v>
          </cell>
        </row>
        <row r="242">
          <cell r="A242" t="str">
            <v>PICTURE_241</v>
          </cell>
          <cell r="B242" t="str">
            <v>eye</v>
          </cell>
          <cell r="D242">
            <v>0</v>
          </cell>
          <cell r="E242">
            <v>100</v>
          </cell>
          <cell r="F242">
            <v>99</v>
          </cell>
          <cell r="G242">
            <v>1</v>
          </cell>
          <cell r="H242">
            <v>0</v>
          </cell>
          <cell r="I242">
            <v>1</v>
          </cell>
          <cell r="J242">
            <v>3.78</v>
          </cell>
        </row>
        <row r="243">
          <cell r="A243" t="str">
            <v>PICTURE_242</v>
          </cell>
          <cell r="B243" t="str">
            <v>postman</v>
          </cell>
          <cell r="D243">
            <v>0.78549347000000003</v>
          </cell>
          <cell r="E243">
            <v>81.443298970000001</v>
          </cell>
          <cell r="F243">
            <v>97</v>
          </cell>
          <cell r="G243">
            <v>3</v>
          </cell>
          <cell r="H243">
            <v>0</v>
          </cell>
          <cell r="I243">
            <v>3</v>
          </cell>
          <cell r="J243">
            <v>2.86</v>
          </cell>
        </row>
        <row r="244">
          <cell r="A244" t="str">
            <v>PICTURE_243</v>
          </cell>
          <cell r="B244" t="str">
            <v>beret</v>
          </cell>
          <cell r="D244">
            <v>1.258359523</v>
          </cell>
          <cell r="E244">
            <v>54.166666669999998</v>
          </cell>
          <cell r="F244">
            <v>96</v>
          </cell>
          <cell r="G244">
            <v>3</v>
          </cell>
          <cell r="H244">
            <v>2</v>
          </cell>
          <cell r="I244">
            <v>2</v>
          </cell>
          <cell r="J244">
            <v>2.31</v>
          </cell>
        </row>
        <row r="245">
          <cell r="A245" t="str">
            <v>PICTURE_244</v>
          </cell>
          <cell r="B245" t="str">
            <v>lightbulb</v>
          </cell>
          <cell r="D245">
            <v>0.61361902000000002</v>
          </cell>
          <cell r="E245">
            <v>84.848484850000006</v>
          </cell>
          <cell r="F245">
            <v>99</v>
          </cell>
          <cell r="G245">
            <v>2</v>
          </cell>
          <cell r="H245">
            <v>0</v>
          </cell>
          <cell r="I245">
            <v>1</v>
          </cell>
          <cell r="J245">
            <v>2.41</v>
          </cell>
        </row>
        <row r="246">
          <cell r="A246" t="str">
            <v>PICTURE_245</v>
          </cell>
          <cell r="B246" t="str">
            <v>roots</v>
          </cell>
          <cell r="D246">
            <v>0.14257333</v>
          </cell>
          <cell r="E246">
            <v>97.979797980000001</v>
          </cell>
          <cell r="F246">
            <v>99</v>
          </cell>
          <cell r="G246">
            <v>2</v>
          </cell>
          <cell r="H246">
            <v>0</v>
          </cell>
          <cell r="I246">
            <v>1</v>
          </cell>
          <cell r="J246">
            <v>2.313131313</v>
          </cell>
        </row>
        <row r="247">
          <cell r="A247" t="str">
            <v>PICTURE_246</v>
          </cell>
          <cell r="B247" t="str">
            <v>dentist</v>
          </cell>
          <cell r="D247">
            <v>0</v>
          </cell>
          <cell r="E247">
            <v>100</v>
          </cell>
          <cell r="F247">
            <v>99</v>
          </cell>
          <cell r="G247">
            <v>1</v>
          </cell>
          <cell r="H247">
            <v>0</v>
          </cell>
          <cell r="I247">
            <v>1</v>
          </cell>
          <cell r="J247">
            <v>3.49</v>
          </cell>
        </row>
        <row r="248">
          <cell r="A248" t="str">
            <v>PICTURE_247</v>
          </cell>
          <cell r="B248" t="str">
            <v>brain</v>
          </cell>
          <cell r="D248">
            <v>0</v>
          </cell>
          <cell r="E248">
            <v>100</v>
          </cell>
          <cell r="F248">
            <v>100</v>
          </cell>
          <cell r="G248">
            <v>1</v>
          </cell>
          <cell r="H248">
            <v>0</v>
          </cell>
          <cell r="I248">
            <v>0</v>
          </cell>
          <cell r="J248">
            <v>3.21</v>
          </cell>
        </row>
        <row r="249">
          <cell r="A249" t="str">
            <v>PICTURE_248</v>
          </cell>
          <cell r="B249" t="str">
            <v>cart</v>
          </cell>
          <cell r="D249">
            <v>2.0057422680000001</v>
          </cell>
          <cell r="E249">
            <v>54.320987649999999</v>
          </cell>
          <cell r="F249">
            <v>81</v>
          </cell>
          <cell r="G249">
            <v>6</v>
          </cell>
          <cell r="H249">
            <v>18</v>
          </cell>
          <cell r="I249">
            <v>1</v>
          </cell>
          <cell r="J249">
            <v>2.85</v>
          </cell>
        </row>
        <row r="250">
          <cell r="A250" t="str">
            <v>PICTURE_249</v>
          </cell>
          <cell r="B250" t="str">
            <v>potato</v>
          </cell>
          <cell r="D250">
            <v>0</v>
          </cell>
          <cell r="E250">
            <v>100</v>
          </cell>
          <cell r="F250">
            <v>95</v>
          </cell>
          <cell r="G250">
            <v>1</v>
          </cell>
          <cell r="H250">
            <v>4</v>
          </cell>
          <cell r="I250">
            <v>1</v>
          </cell>
          <cell r="J250">
            <v>2.3199999999999998</v>
          </cell>
        </row>
        <row r="251">
          <cell r="A251" t="str">
            <v>PICTURE_250</v>
          </cell>
          <cell r="B251" t="str">
            <v>chainsaw</v>
          </cell>
          <cell r="D251">
            <v>0.64575233300000001</v>
          </cell>
          <cell r="E251">
            <v>83.516483519999994</v>
          </cell>
          <cell r="F251">
            <v>91</v>
          </cell>
          <cell r="G251">
            <v>2</v>
          </cell>
          <cell r="H251">
            <v>6</v>
          </cell>
          <cell r="I251">
            <v>3</v>
          </cell>
          <cell r="J251">
            <v>3.11</v>
          </cell>
        </row>
        <row r="252">
          <cell r="A252" t="str">
            <v>PICTURE_251</v>
          </cell>
          <cell r="B252" t="str">
            <v>pot</v>
          </cell>
          <cell r="D252">
            <v>1.958583873</v>
          </cell>
          <cell r="E252">
            <v>33.734939760000003</v>
          </cell>
          <cell r="F252">
            <v>83</v>
          </cell>
          <cell r="G252">
            <v>5</v>
          </cell>
          <cell r="H252">
            <v>14</v>
          </cell>
          <cell r="I252">
            <v>3</v>
          </cell>
          <cell r="J252">
            <v>2.4700000000000002</v>
          </cell>
        </row>
        <row r="253">
          <cell r="A253" t="str">
            <v>PICTURE_252</v>
          </cell>
          <cell r="B253" t="str">
            <v>lizard</v>
          </cell>
          <cell r="D253">
            <v>0</v>
          </cell>
          <cell r="E253">
            <v>100</v>
          </cell>
          <cell r="F253">
            <v>90</v>
          </cell>
          <cell r="G253">
            <v>1</v>
          </cell>
          <cell r="H253">
            <v>5</v>
          </cell>
          <cell r="I253">
            <v>5</v>
          </cell>
          <cell r="J253">
            <v>3.22</v>
          </cell>
        </row>
        <row r="254">
          <cell r="A254" t="str">
            <v>PICTURE_253</v>
          </cell>
          <cell r="B254" t="str">
            <v>choir</v>
          </cell>
          <cell r="D254">
            <v>0.14609425000000001</v>
          </cell>
          <cell r="E254">
            <v>97.916666669999998</v>
          </cell>
          <cell r="F254">
            <v>96</v>
          </cell>
          <cell r="G254">
            <v>2</v>
          </cell>
          <cell r="H254">
            <v>0</v>
          </cell>
          <cell r="I254">
            <v>4</v>
          </cell>
          <cell r="J254">
            <v>3.0707070710000002</v>
          </cell>
        </row>
        <row r="255">
          <cell r="A255" t="str">
            <v>PICTURE_254</v>
          </cell>
          <cell r="B255" t="str">
            <v>butcher</v>
          </cell>
          <cell r="D255">
            <v>0.33729006700000003</v>
          </cell>
          <cell r="E255">
            <v>93.75</v>
          </cell>
          <cell r="F255">
            <v>96</v>
          </cell>
          <cell r="G255">
            <v>2</v>
          </cell>
          <cell r="H255">
            <v>1</v>
          </cell>
          <cell r="I255">
            <v>3</v>
          </cell>
          <cell r="J255">
            <v>3.1</v>
          </cell>
        </row>
        <row r="256">
          <cell r="A256" t="str">
            <v>PICTURE_255</v>
          </cell>
          <cell r="B256" t="str">
            <v>shovel</v>
          </cell>
          <cell r="D256">
            <v>0.92836207199999998</v>
          </cell>
          <cell r="E256">
            <v>65.625</v>
          </cell>
          <cell r="F256">
            <v>96</v>
          </cell>
          <cell r="G256">
            <v>2</v>
          </cell>
          <cell r="H256">
            <v>3</v>
          </cell>
          <cell r="I256">
            <v>1</v>
          </cell>
          <cell r="J256">
            <v>2.13</v>
          </cell>
        </row>
        <row r="257">
          <cell r="A257" t="str">
            <v>PICTURE_256</v>
          </cell>
          <cell r="B257" t="str">
            <v>letter</v>
          </cell>
          <cell r="D257">
            <v>1.4785622140000001</v>
          </cell>
          <cell r="E257">
            <v>73.195876290000001</v>
          </cell>
          <cell r="F257">
            <v>97</v>
          </cell>
          <cell r="G257">
            <v>7</v>
          </cell>
          <cell r="H257">
            <v>2</v>
          </cell>
          <cell r="I257">
            <v>1</v>
          </cell>
          <cell r="J257">
            <v>2.37</v>
          </cell>
        </row>
        <row r="258">
          <cell r="A258" t="str">
            <v>PICTURE_257</v>
          </cell>
          <cell r="B258" t="str">
            <v>cave</v>
          </cell>
          <cell r="D258">
            <v>0.84963123600000001</v>
          </cell>
          <cell r="E258">
            <v>84.745762709999994</v>
          </cell>
          <cell r="F258">
            <v>59</v>
          </cell>
          <cell r="G258">
            <v>4</v>
          </cell>
          <cell r="H258">
            <v>27</v>
          </cell>
          <cell r="I258">
            <v>14</v>
          </cell>
          <cell r="J258">
            <v>3.2525252529999999</v>
          </cell>
        </row>
        <row r="259">
          <cell r="A259" t="str">
            <v>PICTURE_258</v>
          </cell>
          <cell r="B259" t="str">
            <v>baguette</v>
          </cell>
          <cell r="D259">
            <v>1.4857883270000001</v>
          </cell>
          <cell r="E259">
            <v>57.731958759999998</v>
          </cell>
          <cell r="F259">
            <v>97</v>
          </cell>
          <cell r="G259">
            <v>5</v>
          </cell>
          <cell r="H259">
            <v>0</v>
          </cell>
          <cell r="I259">
            <v>3</v>
          </cell>
          <cell r="J259">
            <v>2.12</v>
          </cell>
        </row>
        <row r="260">
          <cell r="A260" t="str">
            <v>PICTURE_259</v>
          </cell>
          <cell r="B260" t="str">
            <v>cone</v>
          </cell>
          <cell r="D260">
            <v>0</v>
          </cell>
          <cell r="E260">
            <v>100</v>
          </cell>
          <cell r="F260">
            <v>97</v>
          </cell>
          <cell r="G260">
            <v>1</v>
          </cell>
          <cell r="H260">
            <v>1</v>
          </cell>
          <cell r="I260">
            <v>2</v>
          </cell>
          <cell r="J260">
            <v>2</v>
          </cell>
        </row>
        <row r="261">
          <cell r="A261" t="str">
            <v>PICTURE_260</v>
          </cell>
          <cell r="B261" t="str">
            <v>island</v>
          </cell>
          <cell r="D261">
            <v>0</v>
          </cell>
          <cell r="E261">
            <v>100</v>
          </cell>
          <cell r="F261">
            <v>100</v>
          </cell>
          <cell r="G261">
            <v>1</v>
          </cell>
          <cell r="H261">
            <v>0</v>
          </cell>
          <cell r="I261">
            <v>0</v>
          </cell>
          <cell r="J261">
            <v>3.02</v>
          </cell>
        </row>
        <row r="262">
          <cell r="A262" t="str">
            <v>PICTURE_261</v>
          </cell>
          <cell r="B262" t="str">
            <v>lamp post</v>
          </cell>
          <cell r="D262">
            <v>1.790309516</v>
          </cell>
          <cell r="E262">
            <v>61.224489800000001</v>
          </cell>
          <cell r="F262">
            <v>98</v>
          </cell>
          <cell r="G262">
            <v>6</v>
          </cell>
          <cell r="H262">
            <v>1</v>
          </cell>
          <cell r="I262">
            <v>1</v>
          </cell>
          <cell r="J262">
            <v>2.34</v>
          </cell>
        </row>
        <row r="263">
          <cell r="A263" t="str">
            <v>PICTURE_262</v>
          </cell>
          <cell r="B263" t="str">
            <v>torch</v>
          </cell>
          <cell r="D263">
            <v>0.50325833499999995</v>
          </cell>
          <cell r="E263">
            <v>88.888888890000004</v>
          </cell>
          <cell r="F263">
            <v>99</v>
          </cell>
          <cell r="G263">
            <v>2</v>
          </cell>
          <cell r="H263">
            <v>0</v>
          </cell>
          <cell r="I263">
            <v>1</v>
          </cell>
          <cell r="J263">
            <v>2.31</v>
          </cell>
        </row>
        <row r="264">
          <cell r="A264" t="str">
            <v>PICTURE_263</v>
          </cell>
          <cell r="B264" t="str">
            <v>rabbit</v>
          </cell>
          <cell r="D264">
            <v>1.4109126320000001</v>
          </cell>
          <cell r="E264">
            <v>46.938775509999999</v>
          </cell>
          <cell r="F264">
            <v>98</v>
          </cell>
          <cell r="G264">
            <v>5</v>
          </cell>
          <cell r="H264">
            <v>2</v>
          </cell>
          <cell r="I264">
            <v>0</v>
          </cell>
          <cell r="J264">
            <v>3.22</v>
          </cell>
        </row>
        <row r="265">
          <cell r="A265" t="str">
            <v>PICTURE_264</v>
          </cell>
          <cell r="B265" t="str">
            <v>hand</v>
          </cell>
          <cell r="D265">
            <v>0.24229218899999999</v>
          </cell>
          <cell r="E265">
            <v>96</v>
          </cell>
          <cell r="F265">
            <v>100</v>
          </cell>
          <cell r="G265">
            <v>2</v>
          </cell>
          <cell r="H265">
            <v>0</v>
          </cell>
          <cell r="I265">
            <v>0</v>
          </cell>
          <cell r="J265">
            <v>2.37</v>
          </cell>
        </row>
        <row r="266">
          <cell r="A266" t="str">
            <v>PICTURE_265</v>
          </cell>
          <cell r="B266" t="str">
            <v>pirate</v>
          </cell>
          <cell r="D266">
            <v>0</v>
          </cell>
          <cell r="E266">
            <v>100</v>
          </cell>
          <cell r="F266">
            <v>92</v>
          </cell>
          <cell r="G266">
            <v>1</v>
          </cell>
          <cell r="H266">
            <v>5</v>
          </cell>
          <cell r="I266">
            <v>3</v>
          </cell>
          <cell r="J266">
            <v>3.16</v>
          </cell>
        </row>
        <row r="267">
          <cell r="A267" t="str">
            <v>PICTURE_266</v>
          </cell>
          <cell r="B267" t="str">
            <v>heel</v>
          </cell>
          <cell r="D267">
            <v>0.36855677799999997</v>
          </cell>
          <cell r="E267">
            <v>92.929292930000003</v>
          </cell>
          <cell r="F267">
            <v>99</v>
          </cell>
          <cell r="G267">
            <v>2</v>
          </cell>
          <cell r="H267">
            <v>0</v>
          </cell>
          <cell r="I267">
            <v>1</v>
          </cell>
          <cell r="J267">
            <v>1.95</v>
          </cell>
        </row>
        <row r="268">
          <cell r="A268" t="str">
            <v>PICTURE_267</v>
          </cell>
          <cell r="B268" t="str">
            <v>knot</v>
          </cell>
          <cell r="D268">
            <v>0.66361131299999998</v>
          </cell>
          <cell r="E268">
            <v>88.541666669999998</v>
          </cell>
          <cell r="F268">
            <v>96</v>
          </cell>
          <cell r="G268">
            <v>4</v>
          </cell>
          <cell r="H268">
            <v>3</v>
          </cell>
          <cell r="I268">
            <v>1</v>
          </cell>
          <cell r="J268">
            <v>2.0707070710000002</v>
          </cell>
        </row>
        <row r="269">
          <cell r="A269" t="str">
            <v>PICTURE_268</v>
          </cell>
          <cell r="B269" t="str">
            <v>bed</v>
          </cell>
          <cell r="D269">
            <v>0</v>
          </cell>
          <cell r="E269">
            <v>100</v>
          </cell>
          <cell r="F269">
            <v>100</v>
          </cell>
          <cell r="G269">
            <v>1</v>
          </cell>
          <cell r="H269">
            <v>0</v>
          </cell>
          <cell r="I269">
            <v>0</v>
          </cell>
          <cell r="J269">
            <v>2.5858585860000001</v>
          </cell>
        </row>
        <row r="270">
          <cell r="A270" t="str">
            <v>PICTURE_269</v>
          </cell>
          <cell r="B270" t="str">
            <v>chameleon</v>
          </cell>
          <cell r="D270">
            <v>1.557986874</v>
          </cell>
          <cell r="E270">
            <v>53.93258427</v>
          </cell>
          <cell r="F270">
            <v>89</v>
          </cell>
          <cell r="G270">
            <v>4</v>
          </cell>
          <cell r="H270">
            <v>9</v>
          </cell>
          <cell r="I270">
            <v>2</v>
          </cell>
          <cell r="J270">
            <v>3.55</v>
          </cell>
        </row>
        <row r="271">
          <cell r="A271" t="str">
            <v>PICTURE_270</v>
          </cell>
          <cell r="B271" t="str">
            <v>arrow</v>
          </cell>
          <cell r="D271">
            <v>0</v>
          </cell>
          <cell r="E271">
            <v>100</v>
          </cell>
          <cell r="F271">
            <v>98</v>
          </cell>
          <cell r="G271">
            <v>1</v>
          </cell>
          <cell r="H271">
            <v>0</v>
          </cell>
          <cell r="I271">
            <v>2</v>
          </cell>
          <cell r="J271">
            <v>1.64</v>
          </cell>
        </row>
        <row r="272">
          <cell r="A272" t="str">
            <v>PICTURE_271</v>
          </cell>
          <cell r="B272" t="str">
            <v>rabbit</v>
          </cell>
          <cell r="D272">
            <v>0.36592365100000002</v>
          </cell>
          <cell r="E272">
            <v>93</v>
          </cell>
          <cell r="F272">
            <v>100</v>
          </cell>
          <cell r="G272">
            <v>2</v>
          </cell>
          <cell r="H272">
            <v>0</v>
          </cell>
          <cell r="I272">
            <v>0</v>
          </cell>
          <cell r="J272">
            <v>3.32</v>
          </cell>
        </row>
        <row r="273">
          <cell r="A273" t="str">
            <v>PICTURE_272</v>
          </cell>
          <cell r="B273" t="str">
            <v>executioner</v>
          </cell>
          <cell r="D273">
            <v>2.4248814479999998</v>
          </cell>
          <cell r="E273">
            <v>48.333333330000002</v>
          </cell>
          <cell r="F273">
            <v>60</v>
          </cell>
          <cell r="G273">
            <v>9</v>
          </cell>
          <cell r="H273">
            <v>33</v>
          </cell>
          <cell r="I273">
            <v>7</v>
          </cell>
          <cell r="J273">
            <v>2.76</v>
          </cell>
        </row>
        <row r="274">
          <cell r="A274" t="str">
            <v>PICTURE_273</v>
          </cell>
          <cell r="B274" t="str">
            <v>bus</v>
          </cell>
          <cell r="D274">
            <v>0.195909271</v>
          </cell>
          <cell r="E274">
            <v>96.969696970000001</v>
          </cell>
          <cell r="F274">
            <v>99</v>
          </cell>
          <cell r="G274">
            <v>2</v>
          </cell>
          <cell r="H274">
            <v>0</v>
          </cell>
          <cell r="I274">
            <v>1</v>
          </cell>
          <cell r="J274">
            <v>3.11</v>
          </cell>
        </row>
        <row r="275">
          <cell r="A275" t="str">
            <v>PICTURE_274</v>
          </cell>
          <cell r="B275" t="str">
            <v>smoke</v>
          </cell>
          <cell r="D275">
            <v>2.1822718590000001</v>
          </cell>
          <cell r="E275">
            <v>44.186046509999997</v>
          </cell>
          <cell r="F275">
            <v>86</v>
          </cell>
          <cell r="G275">
            <v>6</v>
          </cell>
          <cell r="H275">
            <v>10</v>
          </cell>
          <cell r="I275">
            <v>4</v>
          </cell>
          <cell r="J275">
            <v>2.88</v>
          </cell>
        </row>
        <row r="276">
          <cell r="A276" t="str">
            <v>PICTURE_275</v>
          </cell>
          <cell r="B276" t="str">
            <v>cape</v>
          </cell>
          <cell r="D276">
            <v>1.1969518770000001</v>
          </cell>
          <cell r="E276">
            <v>74.444444439999998</v>
          </cell>
          <cell r="F276">
            <v>90</v>
          </cell>
          <cell r="G276">
            <v>5</v>
          </cell>
          <cell r="H276">
            <v>3</v>
          </cell>
          <cell r="I276">
            <v>7</v>
          </cell>
          <cell r="J276">
            <v>2.41</v>
          </cell>
        </row>
        <row r="277">
          <cell r="A277" t="str">
            <v>PICTURE_276</v>
          </cell>
          <cell r="B277" t="str">
            <v>hook</v>
          </cell>
          <cell r="D277">
            <v>1.6211404169999999</v>
          </cell>
          <cell r="E277">
            <v>63.235294119999999</v>
          </cell>
          <cell r="F277">
            <v>68</v>
          </cell>
          <cell r="G277">
            <v>5</v>
          </cell>
          <cell r="H277">
            <v>26</v>
          </cell>
          <cell r="I277">
            <v>6</v>
          </cell>
          <cell r="J277">
            <v>2.0299999999999998</v>
          </cell>
        </row>
        <row r="278">
          <cell r="A278" t="str">
            <v>PICTURE_277</v>
          </cell>
          <cell r="B278" t="str">
            <v>wig</v>
          </cell>
          <cell r="D278">
            <v>0.87247520499999998</v>
          </cell>
          <cell r="E278">
            <v>70.707070709999996</v>
          </cell>
          <cell r="F278">
            <v>99</v>
          </cell>
          <cell r="G278">
            <v>2</v>
          </cell>
          <cell r="H278">
            <v>1</v>
          </cell>
          <cell r="I278">
            <v>0</v>
          </cell>
          <cell r="J278">
            <v>2.46</v>
          </cell>
        </row>
        <row r="279">
          <cell r="A279" t="str">
            <v>PICTURE_278</v>
          </cell>
          <cell r="B279" t="str">
            <v>drum</v>
          </cell>
          <cell r="D279">
            <v>0</v>
          </cell>
          <cell r="E279">
            <v>100</v>
          </cell>
          <cell r="F279">
            <v>99</v>
          </cell>
          <cell r="G279">
            <v>1</v>
          </cell>
          <cell r="H279">
            <v>0</v>
          </cell>
          <cell r="I279">
            <v>1</v>
          </cell>
          <cell r="J279">
            <v>2.68</v>
          </cell>
        </row>
        <row r="280">
          <cell r="A280" t="str">
            <v>PICTURE_279</v>
          </cell>
          <cell r="B280" t="str">
            <v>rock</v>
          </cell>
          <cell r="D280">
            <v>1.513504717</v>
          </cell>
          <cell r="E280">
            <v>53.623188409999997</v>
          </cell>
          <cell r="F280">
            <v>69</v>
          </cell>
          <cell r="G280">
            <v>4</v>
          </cell>
          <cell r="H280">
            <v>30</v>
          </cell>
          <cell r="I280">
            <v>1</v>
          </cell>
          <cell r="J280">
            <v>2.68</v>
          </cell>
        </row>
        <row r="281">
          <cell r="A281" t="str">
            <v>PICTURE_280</v>
          </cell>
          <cell r="B281" t="str">
            <v>neck</v>
          </cell>
          <cell r="D281">
            <v>0.71360360700000003</v>
          </cell>
          <cell r="E281">
            <v>80.412371129999997</v>
          </cell>
          <cell r="F281">
            <v>97</v>
          </cell>
          <cell r="G281">
            <v>2</v>
          </cell>
          <cell r="H281">
            <v>1</v>
          </cell>
          <cell r="I281">
            <v>2</v>
          </cell>
          <cell r="J281">
            <v>2.42</v>
          </cell>
        </row>
        <row r="282">
          <cell r="A282" t="str">
            <v>PICTURE_281</v>
          </cell>
          <cell r="B282" t="str">
            <v>pomegranate</v>
          </cell>
          <cell r="D282">
            <v>0.94663739199999997</v>
          </cell>
          <cell r="E282">
            <v>83.116883119999997</v>
          </cell>
          <cell r="F282">
            <v>77</v>
          </cell>
          <cell r="G282">
            <v>5</v>
          </cell>
          <cell r="H282">
            <v>20</v>
          </cell>
          <cell r="I282">
            <v>3</v>
          </cell>
          <cell r="J282">
            <v>3.1717171720000001</v>
          </cell>
        </row>
        <row r="283">
          <cell r="A283" t="str">
            <v>PICTURE_282</v>
          </cell>
          <cell r="B283" t="str">
            <v>rhino</v>
          </cell>
          <cell r="D283">
            <v>0</v>
          </cell>
          <cell r="E283">
            <v>100</v>
          </cell>
          <cell r="F283">
            <v>98</v>
          </cell>
          <cell r="G283">
            <v>1</v>
          </cell>
          <cell r="H283">
            <v>1</v>
          </cell>
          <cell r="I283">
            <v>1</v>
          </cell>
          <cell r="J283">
            <v>3.09</v>
          </cell>
        </row>
        <row r="284">
          <cell r="A284" t="str">
            <v>PICTURE_283</v>
          </cell>
          <cell r="B284" t="str">
            <v>limo</v>
          </cell>
          <cell r="D284">
            <v>0.141440543</v>
          </cell>
          <cell r="E284">
            <v>98</v>
          </cell>
          <cell r="F284">
            <v>100</v>
          </cell>
          <cell r="G284">
            <v>2</v>
          </cell>
          <cell r="H284">
            <v>0</v>
          </cell>
          <cell r="I284">
            <v>0</v>
          </cell>
          <cell r="J284">
            <v>2.56</v>
          </cell>
        </row>
        <row r="285">
          <cell r="A285" t="str">
            <v>PICTURE_284</v>
          </cell>
          <cell r="B285" t="str">
            <v>necklace</v>
          </cell>
          <cell r="D285">
            <v>1.833784536</v>
          </cell>
          <cell r="E285">
            <v>48.913043479999999</v>
          </cell>
          <cell r="F285">
            <v>92</v>
          </cell>
          <cell r="G285">
            <v>6</v>
          </cell>
          <cell r="H285">
            <v>4</v>
          </cell>
          <cell r="I285">
            <v>4</v>
          </cell>
          <cell r="J285">
            <v>2.42</v>
          </cell>
        </row>
        <row r="286">
          <cell r="A286" t="str">
            <v>PICTURE_285</v>
          </cell>
          <cell r="B286" t="str">
            <v>carrot</v>
          </cell>
          <cell r="D286">
            <v>0</v>
          </cell>
          <cell r="E286">
            <v>100</v>
          </cell>
          <cell r="F286">
            <v>100</v>
          </cell>
          <cell r="G286">
            <v>1</v>
          </cell>
          <cell r="H286">
            <v>0</v>
          </cell>
          <cell r="I286">
            <v>0</v>
          </cell>
          <cell r="J286">
            <v>2.31</v>
          </cell>
        </row>
        <row r="287">
          <cell r="A287" t="str">
            <v>PICTURE_286</v>
          </cell>
          <cell r="B287" t="str">
            <v>tunnel</v>
          </cell>
          <cell r="D287">
            <v>0</v>
          </cell>
          <cell r="E287">
            <v>100</v>
          </cell>
          <cell r="F287">
            <v>96</v>
          </cell>
          <cell r="G287">
            <v>1</v>
          </cell>
          <cell r="H287">
            <v>1</v>
          </cell>
          <cell r="I287">
            <v>3</v>
          </cell>
          <cell r="J287">
            <v>2.6</v>
          </cell>
        </row>
        <row r="288">
          <cell r="A288" t="str">
            <v>PICTURE_287</v>
          </cell>
          <cell r="B288" t="str">
            <v>vein</v>
          </cell>
          <cell r="D288">
            <v>0.34297895099999998</v>
          </cell>
          <cell r="E288">
            <v>94.845360819999996</v>
          </cell>
          <cell r="F288">
            <v>97</v>
          </cell>
          <cell r="G288">
            <v>3</v>
          </cell>
          <cell r="H288">
            <v>2</v>
          </cell>
          <cell r="I288">
            <v>1</v>
          </cell>
          <cell r="J288">
            <v>2.11</v>
          </cell>
        </row>
        <row r="289">
          <cell r="A289" t="str">
            <v>PICTURE_288</v>
          </cell>
          <cell r="B289" t="str">
            <v>forest</v>
          </cell>
          <cell r="D289">
            <v>1.214610704</v>
          </cell>
          <cell r="E289">
            <v>65.656565659999998</v>
          </cell>
          <cell r="F289">
            <v>99</v>
          </cell>
          <cell r="G289">
            <v>4</v>
          </cell>
          <cell r="H289">
            <v>0</v>
          </cell>
          <cell r="I289">
            <v>1</v>
          </cell>
          <cell r="J289">
            <v>3.04</v>
          </cell>
        </row>
        <row r="290">
          <cell r="A290" t="str">
            <v>PICTURE_289</v>
          </cell>
          <cell r="B290" t="str">
            <v>nail</v>
          </cell>
          <cell r="D290">
            <v>1.317715795</v>
          </cell>
          <cell r="E290">
            <v>50.505050509999997</v>
          </cell>
          <cell r="F290">
            <v>99</v>
          </cell>
          <cell r="G290">
            <v>3</v>
          </cell>
          <cell r="H290">
            <v>0</v>
          </cell>
          <cell r="I290">
            <v>1</v>
          </cell>
          <cell r="J290">
            <v>2.19</v>
          </cell>
        </row>
        <row r="291">
          <cell r="A291" t="str">
            <v>PICTURE_290</v>
          </cell>
          <cell r="B291" t="str">
            <v>cage</v>
          </cell>
          <cell r="D291">
            <v>0</v>
          </cell>
          <cell r="E291">
            <v>100</v>
          </cell>
          <cell r="F291">
            <v>99</v>
          </cell>
          <cell r="G291">
            <v>1</v>
          </cell>
          <cell r="H291">
            <v>0</v>
          </cell>
          <cell r="I291">
            <v>1</v>
          </cell>
          <cell r="J291">
            <v>2.93</v>
          </cell>
        </row>
        <row r="292">
          <cell r="A292" t="str">
            <v>PICTURE_291</v>
          </cell>
          <cell r="B292" t="str">
            <v>trigger</v>
          </cell>
          <cell r="D292">
            <v>1.0974706400000001</v>
          </cell>
          <cell r="E292">
            <v>70.212765959999999</v>
          </cell>
          <cell r="F292">
            <v>94</v>
          </cell>
          <cell r="G292">
            <v>4</v>
          </cell>
          <cell r="H292">
            <v>3</v>
          </cell>
          <cell r="I292">
            <v>3</v>
          </cell>
          <cell r="J292">
            <v>2.7</v>
          </cell>
        </row>
        <row r="293">
          <cell r="A293" t="str">
            <v>PICTURE_292</v>
          </cell>
          <cell r="B293" t="str">
            <v>compass</v>
          </cell>
          <cell r="D293">
            <v>0</v>
          </cell>
          <cell r="E293">
            <v>100</v>
          </cell>
          <cell r="F293">
            <v>90</v>
          </cell>
          <cell r="G293">
            <v>1</v>
          </cell>
          <cell r="H293">
            <v>6</v>
          </cell>
          <cell r="I293">
            <v>4</v>
          </cell>
          <cell r="J293">
            <v>2.65</v>
          </cell>
        </row>
        <row r="294">
          <cell r="A294" t="str">
            <v>PICTURE_293</v>
          </cell>
          <cell r="B294" t="str">
            <v>dinosaur</v>
          </cell>
          <cell r="D294">
            <v>0.14731066700000001</v>
          </cell>
          <cell r="E294">
            <v>97.894736839999993</v>
          </cell>
          <cell r="F294">
            <v>95</v>
          </cell>
          <cell r="G294">
            <v>2</v>
          </cell>
          <cell r="H294">
            <v>3</v>
          </cell>
          <cell r="I294">
            <v>2</v>
          </cell>
          <cell r="J294">
            <v>3.03</v>
          </cell>
        </row>
        <row r="295">
          <cell r="A295" t="str">
            <v>PICTURE_294</v>
          </cell>
          <cell r="B295" t="str">
            <v>plumber</v>
          </cell>
          <cell r="D295">
            <v>0.20559250800000001</v>
          </cell>
          <cell r="E295">
            <v>96.774193550000007</v>
          </cell>
          <cell r="F295">
            <v>93</v>
          </cell>
          <cell r="G295">
            <v>2</v>
          </cell>
          <cell r="H295">
            <v>3</v>
          </cell>
          <cell r="I295">
            <v>4</v>
          </cell>
          <cell r="J295">
            <v>2.89</v>
          </cell>
        </row>
        <row r="296">
          <cell r="A296" t="str">
            <v>PICTURE_295</v>
          </cell>
          <cell r="B296" t="str">
            <v>flag</v>
          </cell>
          <cell r="D296">
            <v>0</v>
          </cell>
          <cell r="E296">
            <v>100</v>
          </cell>
          <cell r="F296">
            <v>100</v>
          </cell>
          <cell r="G296">
            <v>1</v>
          </cell>
          <cell r="H296">
            <v>0</v>
          </cell>
          <cell r="I296">
            <v>0</v>
          </cell>
          <cell r="J296">
            <v>1.53</v>
          </cell>
        </row>
        <row r="297">
          <cell r="A297" t="str">
            <v>PICTURE_296</v>
          </cell>
          <cell r="B297" t="str">
            <v>bolt</v>
          </cell>
          <cell r="C297" t="str">
            <v>nut</v>
          </cell>
          <cell r="D297">
            <v>1.960988146</v>
          </cell>
          <cell r="E297">
            <v>34.939759039999998</v>
          </cell>
          <cell r="F297">
            <v>83</v>
          </cell>
          <cell r="G297">
            <v>5</v>
          </cell>
          <cell r="H297">
            <v>11</v>
          </cell>
          <cell r="I297">
            <v>6</v>
          </cell>
          <cell r="J297">
            <v>2.5959595960000001</v>
          </cell>
        </row>
        <row r="298">
          <cell r="A298" t="str">
            <v>PICTURE_297</v>
          </cell>
          <cell r="B298" t="str">
            <v>aeroplane</v>
          </cell>
          <cell r="D298">
            <v>0.99740158899999998</v>
          </cell>
          <cell r="E298">
            <v>53</v>
          </cell>
          <cell r="F298">
            <v>100</v>
          </cell>
          <cell r="G298">
            <v>2</v>
          </cell>
          <cell r="H298">
            <v>0</v>
          </cell>
          <cell r="I298">
            <v>0</v>
          </cell>
          <cell r="J298">
            <v>2.72</v>
          </cell>
        </row>
        <row r="299">
          <cell r="A299" t="str">
            <v>PICTURE_298</v>
          </cell>
          <cell r="B299" t="str">
            <v>paella</v>
          </cell>
          <cell r="D299">
            <v>2.5558057810000001</v>
          </cell>
          <cell r="E299">
            <v>49.41176471</v>
          </cell>
          <cell r="F299">
            <v>85</v>
          </cell>
          <cell r="G299">
            <v>12</v>
          </cell>
          <cell r="H299">
            <v>9</v>
          </cell>
          <cell r="I299">
            <v>6</v>
          </cell>
          <cell r="J299">
            <v>3.12</v>
          </cell>
        </row>
        <row r="300">
          <cell r="A300" t="str">
            <v>PICTURE_299</v>
          </cell>
          <cell r="B300" t="str">
            <v>ostrich</v>
          </cell>
          <cell r="D300">
            <v>0.78424395199999997</v>
          </cell>
          <cell r="E300">
            <v>86.516853929999996</v>
          </cell>
          <cell r="F300">
            <v>89</v>
          </cell>
          <cell r="G300">
            <v>4</v>
          </cell>
          <cell r="H300">
            <v>10</v>
          </cell>
          <cell r="I300">
            <v>1</v>
          </cell>
          <cell r="J300">
            <v>3.13</v>
          </cell>
        </row>
        <row r="301">
          <cell r="A301" t="str">
            <v>PICTURE_300</v>
          </cell>
          <cell r="B301" t="str">
            <v>thread</v>
          </cell>
          <cell r="D301">
            <v>1.5620202670000001</v>
          </cell>
          <cell r="E301">
            <v>60.215053760000004</v>
          </cell>
          <cell r="F301">
            <v>93</v>
          </cell>
          <cell r="G301">
            <v>5</v>
          </cell>
          <cell r="H301">
            <v>3</v>
          </cell>
          <cell r="I301">
            <v>4</v>
          </cell>
          <cell r="J301">
            <v>2.58</v>
          </cell>
        </row>
        <row r="302">
          <cell r="A302" t="str">
            <v>PICTURE_301</v>
          </cell>
          <cell r="B302" t="str">
            <v>sword</v>
          </cell>
          <cell r="D302">
            <v>0</v>
          </cell>
          <cell r="E302">
            <v>100</v>
          </cell>
          <cell r="F302">
            <v>94</v>
          </cell>
          <cell r="G302">
            <v>1</v>
          </cell>
          <cell r="H302">
            <v>1</v>
          </cell>
          <cell r="I302">
            <v>5</v>
          </cell>
          <cell r="J302">
            <v>2.29</v>
          </cell>
        </row>
        <row r="303">
          <cell r="A303" t="str">
            <v>PICTURE_302</v>
          </cell>
          <cell r="B303" t="str">
            <v>taxi</v>
          </cell>
          <cell r="D303">
            <v>1.701573639</v>
          </cell>
          <cell r="E303">
            <v>41.489361700000003</v>
          </cell>
          <cell r="F303">
            <v>94</v>
          </cell>
          <cell r="G303">
            <v>5</v>
          </cell>
          <cell r="H303">
            <v>3</v>
          </cell>
          <cell r="I303">
            <v>3</v>
          </cell>
          <cell r="J303">
            <v>3.1</v>
          </cell>
        </row>
        <row r="304">
          <cell r="A304" t="str">
            <v>PICTURE_303</v>
          </cell>
          <cell r="B304" t="str">
            <v>mime</v>
          </cell>
          <cell r="D304">
            <v>0.79356262399999999</v>
          </cell>
          <cell r="E304">
            <v>85.869565219999998</v>
          </cell>
          <cell r="F304">
            <v>92</v>
          </cell>
          <cell r="G304">
            <v>4</v>
          </cell>
          <cell r="H304">
            <v>6</v>
          </cell>
          <cell r="I304">
            <v>2</v>
          </cell>
          <cell r="J304">
            <v>2.9898989899999999</v>
          </cell>
        </row>
        <row r="305">
          <cell r="A305" t="str">
            <v>PICTURE_304</v>
          </cell>
          <cell r="B305" t="str">
            <v>cot</v>
          </cell>
          <cell r="D305">
            <v>1.064466192</v>
          </cell>
          <cell r="E305">
            <v>76</v>
          </cell>
          <cell r="F305">
            <v>100</v>
          </cell>
          <cell r="G305">
            <v>4</v>
          </cell>
          <cell r="H305">
            <v>0</v>
          </cell>
          <cell r="I305">
            <v>0</v>
          </cell>
          <cell r="J305">
            <v>2.888888889</v>
          </cell>
        </row>
        <row r="306">
          <cell r="A306" t="str">
            <v>PICTURE_305</v>
          </cell>
          <cell r="B306" t="str">
            <v>letterbox</v>
          </cell>
          <cell r="D306">
            <v>1.4390958060000001</v>
          </cell>
          <cell r="E306">
            <v>45.744680850000002</v>
          </cell>
          <cell r="F306">
            <v>94</v>
          </cell>
          <cell r="G306">
            <v>3</v>
          </cell>
          <cell r="H306">
            <v>4</v>
          </cell>
          <cell r="I306">
            <v>2</v>
          </cell>
          <cell r="J306">
            <v>2.38</v>
          </cell>
        </row>
        <row r="307">
          <cell r="A307" t="str">
            <v>PICTURE_306</v>
          </cell>
          <cell r="B307" t="str">
            <v>bike</v>
          </cell>
          <cell r="D307">
            <v>0.99624011400000001</v>
          </cell>
          <cell r="E307">
            <v>53.608247419999998</v>
          </cell>
          <cell r="F307">
            <v>97</v>
          </cell>
          <cell r="G307">
            <v>2</v>
          </cell>
          <cell r="H307">
            <v>3</v>
          </cell>
          <cell r="I307">
            <v>0</v>
          </cell>
          <cell r="J307">
            <v>2.97</v>
          </cell>
        </row>
        <row r="308">
          <cell r="A308" t="str">
            <v>PICTURE_307</v>
          </cell>
          <cell r="B308" t="str">
            <v>wing</v>
          </cell>
          <cell r="D308">
            <v>0.33228663000000003</v>
          </cell>
          <cell r="E308">
            <v>93.877551019999999</v>
          </cell>
          <cell r="F308">
            <v>98</v>
          </cell>
          <cell r="G308">
            <v>2</v>
          </cell>
          <cell r="H308">
            <v>1</v>
          </cell>
          <cell r="I308">
            <v>1</v>
          </cell>
          <cell r="J308">
            <v>2.58</v>
          </cell>
        </row>
        <row r="309">
          <cell r="A309" t="str">
            <v>PICTURE_308</v>
          </cell>
          <cell r="B309" t="str">
            <v>dice</v>
          </cell>
          <cell r="D309">
            <v>0.141440543</v>
          </cell>
          <cell r="E309">
            <v>98</v>
          </cell>
          <cell r="F309">
            <v>100</v>
          </cell>
          <cell r="G309">
            <v>2</v>
          </cell>
          <cell r="H309">
            <v>0</v>
          </cell>
          <cell r="I309">
            <v>0</v>
          </cell>
          <cell r="J309">
            <v>1.92</v>
          </cell>
        </row>
        <row r="310">
          <cell r="A310" t="str">
            <v>PICTURE_309</v>
          </cell>
          <cell r="B310" t="str">
            <v>ice cream</v>
          </cell>
          <cell r="D310">
            <v>0</v>
          </cell>
          <cell r="E310">
            <v>100</v>
          </cell>
          <cell r="F310">
            <v>100</v>
          </cell>
          <cell r="G310">
            <v>1</v>
          </cell>
          <cell r="H310">
            <v>0</v>
          </cell>
          <cell r="I310">
            <v>0</v>
          </cell>
          <cell r="J310">
            <v>2.16</v>
          </cell>
        </row>
        <row r="311">
          <cell r="A311" t="str">
            <v>PICTURE_310</v>
          </cell>
          <cell r="B311" t="str">
            <v>envelope</v>
          </cell>
          <cell r="D311">
            <v>0.989747029</v>
          </cell>
          <cell r="E311">
            <v>76</v>
          </cell>
          <cell r="F311">
            <v>100</v>
          </cell>
          <cell r="G311">
            <v>3</v>
          </cell>
          <cell r="H311">
            <v>0</v>
          </cell>
          <cell r="I311">
            <v>0</v>
          </cell>
          <cell r="J311">
            <v>1.68</v>
          </cell>
        </row>
        <row r="312">
          <cell r="A312" t="str">
            <v>PICTURE_311</v>
          </cell>
          <cell r="B312" t="str">
            <v>razor</v>
          </cell>
          <cell r="D312">
            <v>0.82534596599999999</v>
          </cell>
          <cell r="E312">
            <v>84.21052632</v>
          </cell>
          <cell r="F312">
            <v>95</v>
          </cell>
          <cell r="G312">
            <v>4</v>
          </cell>
          <cell r="H312">
            <v>3</v>
          </cell>
          <cell r="I312">
            <v>2</v>
          </cell>
          <cell r="J312">
            <v>2.42</v>
          </cell>
        </row>
        <row r="313">
          <cell r="A313" t="str">
            <v>PICTURE_312</v>
          </cell>
          <cell r="B313" t="str">
            <v>flower</v>
          </cell>
          <cell r="D313">
            <v>0</v>
          </cell>
          <cell r="E313">
            <v>100</v>
          </cell>
          <cell r="F313">
            <v>97</v>
          </cell>
          <cell r="G313">
            <v>1</v>
          </cell>
          <cell r="H313">
            <v>0</v>
          </cell>
          <cell r="I313">
            <v>3</v>
          </cell>
          <cell r="J313">
            <v>3.25</v>
          </cell>
        </row>
        <row r="314">
          <cell r="A314" t="str">
            <v>PICTURE_313</v>
          </cell>
          <cell r="B314" t="str">
            <v>barber</v>
          </cell>
          <cell r="D314">
            <v>1.116278082</v>
          </cell>
          <cell r="E314">
            <v>53.535353540000003</v>
          </cell>
          <cell r="F314">
            <v>99</v>
          </cell>
          <cell r="G314">
            <v>3</v>
          </cell>
          <cell r="H314">
            <v>0</v>
          </cell>
          <cell r="I314">
            <v>1</v>
          </cell>
          <cell r="J314">
            <v>3.08</v>
          </cell>
        </row>
        <row r="315">
          <cell r="A315" t="str">
            <v>PICTURE_314</v>
          </cell>
          <cell r="B315" t="str">
            <v>perfume</v>
          </cell>
          <cell r="D315">
            <v>0.87318293700000005</v>
          </cell>
          <cell r="E315">
            <v>85.567010310000001</v>
          </cell>
          <cell r="F315">
            <v>97</v>
          </cell>
          <cell r="G315">
            <v>5</v>
          </cell>
          <cell r="H315">
            <v>0</v>
          </cell>
          <cell r="I315">
            <v>3</v>
          </cell>
          <cell r="J315">
            <v>2.41</v>
          </cell>
        </row>
        <row r="316">
          <cell r="A316" t="str">
            <v>PICTURE_315</v>
          </cell>
          <cell r="B316" t="str">
            <v>spaceship</v>
          </cell>
          <cell r="D316">
            <v>1.292777375</v>
          </cell>
          <cell r="E316">
            <v>62.5</v>
          </cell>
          <cell r="F316">
            <v>96</v>
          </cell>
          <cell r="G316">
            <v>4</v>
          </cell>
          <cell r="H316">
            <v>0</v>
          </cell>
          <cell r="I316">
            <v>4</v>
          </cell>
          <cell r="J316">
            <v>2.83</v>
          </cell>
        </row>
        <row r="317">
          <cell r="A317" t="str">
            <v>PICTURE_316</v>
          </cell>
          <cell r="B317" t="str">
            <v>shell</v>
          </cell>
          <cell r="D317">
            <v>1.8319068380000001</v>
          </cell>
          <cell r="E317">
            <v>39.39393939</v>
          </cell>
          <cell r="F317">
            <v>66</v>
          </cell>
          <cell r="G317">
            <v>4</v>
          </cell>
          <cell r="H317">
            <v>30</v>
          </cell>
          <cell r="I317">
            <v>4</v>
          </cell>
          <cell r="J317">
            <v>2.72</v>
          </cell>
        </row>
        <row r="318">
          <cell r="A318" t="str">
            <v>PICTURE_317</v>
          </cell>
          <cell r="B318" t="str">
            <v>soldier</v>
          </cell>
          <cell r="D318">
            <v>0.70951288599999995</v>
          </cell>
          <cell r="E318">
            <v>80.612244899999993</v>
          </cell>
          <cell r="F318">
            <v>98</v>
          </cell>
          <cell r="G318">
            <v>2</v>
          </cell>
          <cell r="H318">
            <v>0</v>
          </cell>
          <cell r="I318">
            <v>2</v>
          </cell>
          <cell r="J318">
            <v>2.97</v>
          </cell>
        </row>
        <row r="319">
          <cell r="A319" t="str">
            <v>PICTURE_318</v>
          </cell>
          <cell r="B319" t="str">
            <v>leaf</v>
          </cell>
          <cell r="D319">
            <v>0</v>
          </cell>
          <cell r="E319">
            <v>100</v>
          </cell>
          <cell r="F319">
            <v>98</v>
          </cell>
          <cell r="G319">
            <v>1</v>
          </cell>
          <cell r="H319">
            <v>1</v>
          </cell>
          <cell r="I319">
            <v>1</v>
          </cell>
          <cell r="J319">
            <v>2.5151515149999999</v>
          </cell>
        </row>
        <row r="320">
          <cell r="A320" t="str">
            <v>PICTURE_319</v>
          </cell>
          <cell r="B320" t="str">
            <v>cow</v>
          </cell>
          <cell r="D320">
            <v>0</v>
          </cell>
          <cell r="E320">
            <v>100</v>
          </cell>
          <cell r="F320">
            <v>100</v>
          </cell>
          <cell r="G320">
            <v>1</v>
          </cell>
          <cell r="H320">
            <v>0</v>
          </cell>
          <cell r="I320">
            <v>0</v>
          </cell>
          <cell r="J320">
            <v>2.84</v>
          </cell>
        </row>
        <row r="321">
          <cell r="A321" t="str">
            <v>PICTURE_320</v>
          </cell>
          <cell r="B321" t="str">
            <v>church</v>
          </cell>
          <cell r="D321">
            <v>1.396182222</v>
          </cell>
          <cell r="E321">
            <v>74.193548390000004</v>
          </cell>
          <cell r="F321">
            <v>93</v>
          </cell>
          <cell r="G321">
            <v>7</v>
          </cell>
          <cell r="H321">
            <v>5</v>
          </cell>
          <cell r="I321">
            <v>2</v>
          </cell>
          <cell r="J321">
            <v>3.01</v>
          </cell>
        </row>
        <row r="322">
          <cell r="A322" t="str">
            <v>PICTURE_321</v>
          </cell>
          <cell r="B322" t="str">
            <v>chair</v>
          </cell>
          <cell r="D322">
            <v>1.6161592579999999</v>
          </cell>
          <cell r="E322">
            <v>46.391752580000002</v>
          </cell>
          <cell r="F322">
            <v>97</v>
          </cell>
          <cell r="G322">
            <v>4</v>
          </cell>
          <cell r="H322">
            <v>0</v>
          </cell>
          <cell r="I322">
            <v>3</v>
          </cell>
          <cell r="J322">
            <v>2.5454545450000001</v>
          </cell>
        </row>
        <row r="323">
          <cell r="A323" t="str">
            <v>PICTURE_322</v>
          </cell>
          <cell r="B323" t="str">
            <v>logs</v>
          </cell>
          <cell r="D323">
            <v>1.310178101</v>
          </cell>
          <cell r="E323">
            <v>53.061224490000001</v>
          </cell>
          <cell r="F323">
            <v>98</v>
          </cell>
          <cell r="G323">
            <v>3</v>
          </cell>
          <cell r="H323">
            <v>0</v>
          </cell>
          <cell r="I323">
            <v>2</v>
          </cell>
          <cell r="J323">
            <v>2.84</v>
          </cell>
        </row>
        <row r="324">
          <cell r="A324" t="str">
            <v>PICTURE_323</v>
          </cell>
          <cell r="B324" t="str">
            <v>owl</v>
          </cell>
          <cell r="D324">
            <v>0.195909271</v>
          </cell>
          <cell r="E324">
            <v>96.969696970000001</v>
          </cell>
          <cell r="F324">
            <v>99</v>
          </cell>
          <cell r="G324">
            <v>2</v>
          </cell>
          <cell r="H324">
            <v>0</v>
          </cell>
          <cell r="I324">
            <v>1</v>
          </cell>
          <cell r="J324">
            <v>3.76</v>
          </cell>
        </row>
        <row r="325">
          <cell r="A325" t="str">
            <v>PICTURE_324</v>
          </cell>
          <cell r="B325" t="str">
            <v>fish dish</v>
          </cell>
          <cell r="D325">
            <v>0.66161790600000003</v>
          </cell>
          <cell r="E325">
            <v>82.828282830000006</v>
          </cell>
          <cell r="F325">
            <v>99</v>
          </cell>
          <cell r="G325">
            <v>2</v>
          </cell>
          <cell r="H325">
            <v>0</v>
          </cell>
          <cell r="I325">
            <v>1</v>
          </cell>
          <cell r="J325">
            <v>3.12</v>
          </cell>
        </row>
        <row r="326">
          <cell r="A326" t="str">
            <v>PICTURE_325</v>
          </cell>
          <cell r="B326" t="str">
            <v>television</v>
          </cell>
          <cell r="D326">
            <v>0.14257333</v>
          </cell>
          <cell r="E326">
            <v>97.979797980000001</v>
          </cell>
          <cell r="F326">
            <v>99</v>
          </cell>
          <cell r="G326">
            <v>2</v>
          </cell>
          <cell r="H326">
            <v>0</v>
          </cell>
          <cell r="I326">
            <v>1</v>
          </cell>
          <cell r="J326">
            <v>2.42</v>
          </cell>
        </row>
        <row r="327">
          <cell r="A327" t="str">
            <v>PICTURE_326</v>
          </cell>
          <cell r="B327" t="str">
            <v>tomato</v>
          </cell>
          <cell r="D327">
            <v>0</v>
          </cell>
          <cell r="E327">
            <v>100</v>
          </cell>
          <cell r="F327">
            <v>99</v>
          </cell>
          <cell r="G327">
            <v>1</v>
          </cell>
          <cell r="H327">
            <v>0</v>
          </cell>
          <cell r="I327">
            <v>1</v>
          </cell>
          <cell r="J327">
            <v>1.94</v>
          </cell>
        </row>
        <row r="328">
          <cell r="A328" t="str">
            <v>PICTURE_327</v>
          </cell>
          <cell r="B328" t="str">
            <v>helmet</v>
          </cell>
          <cell r="D328">
            <v>0</v>
          </cell>
          <cell r="E328">
            <v>100</v>
          </cell>
          <cell r="F328">
            <v>97</v>
          </cell>
          <cell r="G328">
            <v>1</v>
          </cell>
          <cell r="H328">
            <v>1</v>
          </cell>
          <cell r="I328">
            <v>2</v>
          </cell>
          <cell r="J328">
            <v>2.84</v>
          </cell>
        </row>
        <row r="329">
          <cell r="A329" t="str">
            <v>PICTURE_328</v>
          </cell>
          <cell r="B329" t="str">
            <v>barrells</v>
          </cell>
          <cell r="D329">
            <v>2.00476645</v>
          </cell>
          <cell r="E329">
            <v>42.10526316</v>
          </cell>
          <cell r="F329">
            <v>76</v>
          </cell>
          <cell r="G329">
            <v>7</v>
          </cell>
          <cell r="H329">
            <v>19</v>
          </cell>
          <cell r="I329">
            <v>5</v>
          </cell>
          <cell r="J329">
            <v>2.9</v>
          </cell>
        </row>
        <row r="330">
          <cell r="A330" t="str">
            <v>PICTURE_329</v>
          </cell>
          <cell r="B330" t="str">
            <v>pregnant</v>
          </cell>
          <cell r="D330">
            <v>0.53881685000000001</v>
          </cell>
          <cell r="E330">
            <v>91.666666669999998</v>
          </cell>
          <cell r="F330">
            <v>96</v>
          </cell>
          <cell r="G330">
            <v>4</v>
          </cell>
          <cell r="H330">
            <v>0</v>
          </cell>
          <cell r="I330">
            <v>4</v>
          </cell>
          <cell r="J330">
            <v>2.79</v>
          </cell>
        </row>
        <row r="331">
          <cell r="A331" t="str">
            <v>PICTURE_330</v>
          </cell>
          <cell r="B331" t="str">
            <v>crocodile</v>
          </cell>
          <cell r="D331">
            <v>1.1383448570000001</v>
          </cell>
          <cell r="E331">
            <v>63.157894740000003</v>
          </cell>
          <cell r="F331">
            <v>95</v>
          </cell>
          <cell r="G331">
            <v>3</v>
          </cell>
          <cell r="H331">
            <v>3</v>
          </cell>
          <cell r="I331">
            <v>2</v>
          </cell>
          <cell r="J331">
            <v>3.55</v>
          </cell>
        </row>
        <row r="332">
          <cell r="A332" t="str">
            <v>PICTURE_331</v>
          </cell>
          <cell r="B332" t="str">
            <v>bra</v>
          </cell>
          <cell r="D332">
            <v>0</v>
          </cell>
          <cell r="E332">
            <v>100</v>
          </cell>
          <cell r="F332">
            <v>100</v>
          </cell>
          <cell r="G332">
            <v>1</v>
          </cell>
          <cell r="H332">
            <v>0</v>
          </cell>
          <cell r="I332">
            <v>0</v>
          </cell>
          <cell r="J332">
            <v>2.37</v>
          </cell>
        </row>
        <row r="333">
          <cell r="A333" t="str">
            <v>PICTURE_332</v>
          </cell>
          <cell r="B333" t="str">
            <v>bird</v>
          </cell>
          <cell r="D333">
            <v>2.1559262170000002</v>
          </cell>
          <cell r="E333">
            <v>47.252747249999999</v>
          </cell>
          <cell r="F333">
            <v>91</v>
          </cell>
          <cell r="G333">
            <v>7</v>
          </cell>
          <cell r="H333">
            <v>8</v>
          </cell>
          <cell r="I333">
            <v>1</v>
          </cell>
          <cell r="J333">
            <v>3.21</v>
          </cell>
        </row>
        <row r="334">
          <cell r="A334" t="str">
            <v>PICTURE_333</v>
          </cell>
          <cell r="B334" t="str">
            <v>cupcake</v>
          </cell>
          <cell r="D334">
            <v>1.370950594</v>
          </cell>
          <cell r="E334">
            <v>60</v>
          </cell>
          <cell r="F334">
            <v>100</v>
          </cell>
          <cell r="G334">
            <v>3</v>
          </cell>
          <cell r="H334">
            <v>0</v>
          </cell>
          <cell r="I334">
            <v>0</v>
          </cell>
          <cell r="J334">
            <v>2.7</v>
          </cell>
        </row>
        <row r="335">
          <cell r="A335" t="str">
            <v>PICTURE_334</v>
          </cell>
          <cell r="B335" t="str">
            <v>chess board</v>
          </cell>
          <cell r="D335">
            <v>1.1894197630000001</v>
          </cell>
          <cell r="E335">
            <v>76.842105259999997</v>
          </cell>
          <cell r="F335">
            <v>95</v>
          </cell>
          <cell r="G335">
            <v>5</v>
          </cell>
          <cell r="H335">
            <v>3</v>
          </cell>
          <cell r="I335">
            <v>2</v>
          </cell>
          <cell r="J335">
            <v>2.31</v>
          </cell>
        </row>
        <row r="336">
          <cell r="A336" t="str">
            <v>PICTURE_335</v>
          </cell>
          <cell r="B336" t="str">
            <v>butter</v>
          </cell>
          <cell r="D336">
            <v>0.29747224900000002</v>
          </cell>
          <cell r="E336">
            <v>94.736842109999998</v>
          </cell>
          <cell r="F336">
            <v>95</v>
          </cell>
          <cell r="G336">
            <v>2</v>
          </cell>
          <cell r="H336">
            <v>4</v>
          </cell>
          <cell r="I336">
            <v>1</v>
          </cell>
          <cell r="J336">
            <v>2.69</v>
          </cell>
        </row>
        <row r="337">
          <cell r="A337" t="str">
            <v>PICTURE_336</v>
          </cell>
          <cell r="B337" t="str">
            <v>ruler</v>
          </cell>
          <cell r="D337">
            <v>0</v>
          </cell>
          <cell r="E337">
            <v>100</v>
          </cell>
          <cell r="F337">
            <v>97</v>
          </cell>
          <cell r="G337">
            <v>1</v>
          </cell>
          <cell r="H337">
            <v>2</v>
          </cell>
          <cell r="I337">
            <v>1</v>
          </cell>
          <cell r="J337">
            <v>1.89</v>
          </cell>
        </row>
        <row r="338">
          <cell r="A338" t="str">
            <v>PICTURE_337</v>
          </cell>
          <cell r="B338" t="str">
            <v>monster</v>
          </cell>
          <cell r="D338">
            <v>1.642032575</v>
          </cell>
          <cell r="E338">
            <v>54.545454550000002</v>
          </cell>
          <cell r="F338">
            <v>66</v>
          </cell>
          <cell r="G338">
            <v>5</v>
          </cell>
          <cell r="H338">
            <v>31</v>
          </cell>
          <cell r="I338">
            <v>3</v>
          </cell>
          <cell r="J338">
            <v>3.34</v>
          </cell>
        </row>
        <row r="339">
          <cell r="A339" t="str">
            <v>PICTURE_338</v>
          </cell>
          <cell r="B339" t="str">
            <v>present</v>
          </cell>
          <cell r="D339">
            <v>0.71812951899999999</v>
          </cell>
          <cell r="E339">
            <v>85</v>
          </cell>
          <cell r="F339">
            <v>100</v>
          </cell>
          <cell r="G339">
            <v>3</v>
          </cell>
          <cell r="H339">
            <v>0</v>
          </cell>
          <cell r="I339">
            <v>0</v>
          </cell>
          <cell r="J339">
            <v>2.31</v>
          </cell>
        </row>
        <row r="340">
          <cell r="A340" t="str">
            <v>PICTURE_339</v>
          </cell>
          <cell r="B340" t="str">
            <v>backpack</v>
          </cell>
          <cell r="D340">
            <v>1.559951925</v>
          </cell>
          <cell r="E340">
            <v>41.414141409999999</v>
          </cell>
          <cell r="F340">
            <v>99</v>
          </cell>
          <cell r="G340">
            <v>3</v>
          </cell>
          <cell r="H340">
            <v>0</v>
          </cell>
          <cell r="I340">
            <v>1</v>
          </cell>
          <cell r="J340">
            <v>2.5656565659999999</v>
          </cell>
        </row>
        <row r="341">
          <cell r="A341" t="str">
            <v>PICTURE_340</v>
          </cell>
          <cell r="B341" t="str">
            <v>mirror</v>
          </cell>
          <cell r="D341">
            <v>0</v>
          </cell>
          <cell r="E341">
            <v>100</v>
          </cell>
          <cell r="F341">
            <v>100</v>
          </cell>
          <cell r="G341">
            <v>1</v>
          </cell>
          <cell r="H341">
            <v>0</v>
          </cell>
          <cell r="I341">
            <v>0</v>
          </cell>
          <cell r="J341">
            <v>2.262626263</v>
          </cell>
        </row>
        <row r="342">
          <cell r="A342" t="str">
            <v>PICTURE_341</v>
          </cell>
          <cell r="B342" t="str">
            <v>flipper</v>
          </cell>
          <cell r="D342">
            <v>0</v>
          </cell>
          <cell r="E342">
            <v>100</v>
          </cell>
          <cell r="F342">
            <v>83</v>
          </cell>
          <cell r="G342">
            <v>1</v>
          </cell>
          <cell r="H342">
            <v>14</v>
          </cell>
          <cell r="I342">
            <v>3</v>
          </cell>
          <cell r="J342">
            <v>2.8282828279999999</v>
          </cell>
        </row>
        <row r="343">
          <cell r="A343" t="str">
            <v>PICTURE_342</v>
          </cell>
          <cell r="B343" t="str">
            <v>night</v>
          </cell>
          <cell r="D343">
            <v>1.8536806400000001</v>
          </cell>
          <cell r="E343">
            <v>57.777777780000001</v>
          </cell>
          <cell r="F343">
            <v>90</v>
          </cell>
          <cell r="G343">
            <v>6</v>
          </cell>
          <cell r="H343">
            <v>3</v>
          </cell>
          <cell r="I343">
            <v>7</v>
          </cell>
          <cell r="J343">
            <v>2.88</v>
          </cell>
        </row>
        <row r="344">
          <cell r="A344" t="str">
            <v>PICTURE_343</v>
          </cell>
          <cell r="B344" t="str">
            <v>bottle</v>
          </cell>
          <cell r="D344">
            <v>0</v>
          </cell>
          <cell r="E344">
            <v>100</v>
          </cell>
          <cell r="F344">
            <v>99</v>
          </cell>
          <cell r="G344">
            <v>1</v>
          </cell>
          <cell r="H344">
            <v>0</v>
          </cell>
          <cell r="I344">
            <v>1</v>
          </cell>
          <cell r="J344">
            <v>1.74</v>
          </cell>
        </row>
        <row r="345">
          <cell r="A345" t="str">
            <v>PICTURE_344</v>
          </cell>
          <cell r="B345" t="str">
            <v>fountain</v>
          </cell>
          <cell r="D345">
            <v>2.0719109050000002</v>
          </cell>
          <cell r="E345">
            <v>55.952380949999998</v>
          </cell>
          <cell r="F345">
            <v>84</v>
          </cell>
          <cell r="G345">
            <v>8</v>
          </cell>
          <cell r="H345">
            <v>12</v>
          </cell>
          <cell r="I345">
            <v>4</v>
          </cell>
          <cell r="J345">
            <v>2.7979797980000001</v>
          </cell>
        </row>
        <row r="346">
          <cell r="A346" t="str">
            <v>PICTURE_345</v>
          </cell>
          <cell r="B346" t="str">
            <v>grape</v>
          </cell>
          <cell r="D346">
            <v>1.4614203139999999</v>
          </cell>
          <cell r="E346">
            <v>70.786516849999998</v>
          </cell>
          <cell r="F346">
            <v>89</v>
          </cell>
          <cell r="G346">
            <v>6</v>
          </cell>
          <cell r="H346">
            <v>7</v>
          </cell>
          <cell r="I346">
            <v>4</v>
          </cell>
          <cell r="J346">
            <v>2.54</v>
          </cell>
        </row>
        <row r="347">
          <cell r="A347" t="str">
            <v>PICTURE_346</v>
          </cell>
          <cell r="B347" t="str">
            <v>net</v>
          </cell>
          <cell r="D347">
            <v>0</v>
          </cell>
          <cell r="E347">
            <v>100</v>
          </cell>
          <cell r="F347">
            <v>95</v>
          </cell>
          <cell r="G347">
            <v>1</v>
          </cell>
          <cell r="H347">
            <v>3</v>
          </cell>
          <cell r="I347">
            <v>2</v>
          </cell>
          <cell r="J347">
            <v>2.5050505049999998</v>
          </cell>
        </row>
        <row r="348">
          <cell r="A348" t="str">
            <v>PICTURE_347</v>
          </cell>
          <cell r="B348" t="str">
            <v>money</v>
          </cell>
          <cell r="D348">
            <v>0.54118840300000004</v>
          </cell>
          <cell r="E348">
            <v>90</v>
          </cell>
          <cell r="F348">
            <v>100</v>
          </cell>
          <cell r="G348">
            <v>3</v>
          </cell>
          <cell r="H348">
            <v>0</v>
          </cell>
          <cell r="I348">
            <v>0</v>
          </cell>
          <cell r="J348">
            <v>3.11</v>
          </cell>
        </row>
        <row r="349">
          <cell r="A349" t="str">
            <v>PICTURE_348</v>
          </cell>
          <cell r="B349" t="str">
            <v>pepper</v>
          </cell>
          <cell r="D349">
            <v>0.14257333</v>
          </cell>
          <cell r="E349">
            <v>97.979797980000001</v>
          </cell>
          <cell r="F349">
            <v>99</v>
          </cell>
          <cell r="G349">
            <v>2</v>
          </cell>
          <cell r="H349">
            <v>0</v>
          </cell>
          <cell r="I349">
            <v>1</v>
          </cell>
          <cell r="J349">
            <v>2.31</v>
          </cell>
        </row>
        <row r="350">
          <cell r="A350" t="str">
            <v>PICTURE_349</v>
          </cell>
          <cell r="B350" t="str">
            <v>lock</v>
          </cell>
          <cell r="D350">
            <v>0.99969954299999997</v>
          </cell>
          <cell r="E350">
            <v>51.020408160000002</v>
          </cell>
          <cell r="F350">
            <v>98</v>
          </cell>
          <cell r="G350">
            <v>2</v>
          </cell>
          <cell r="H350">
            <v>1</v>
          </cell>
          <cell r="I350">
            <v>1</v>
          </cell>
          <cell r="J350">
            <v>2.09</v>
          </cell>
        </row>
        <row r="351">
          <cell r="A351" t="str">
            <v>PICTURE_350</v>
          </cell>
          <cell r="B351" t="str">
            <v>bible</v>
          </cell>
          <cell r="D351">
            <v>0</v>
          </cell>
          <cell r="E351">
            <v>100</v>
          </cell>
          <cell r="F351">
            <v>100</v>
          </cell>
          <cell r="G351">
            <v>1</v>
          </cell>
          <cell r="H351">
            <v>0</v>
          </cell>
          <cell r="I351">
            <v>0</v>
          </cell>
          <cell r="J351">
            <v>2.1</v>
          </cell>
        </row>
        <row r="352">
          <cell r="A352" t="str">
            <v>PICTURE_351</v>
          </cell>
          <cell r="B352" t="str">
            <v>butterfly</v>
          </cell>
          <cell r="D352">
            <v>0.141440543</v>
          </cell>
          <cell r="E352">
            <v>98</v>
          </cell>
          <cell r="F352">
            <v>100</v>
          </cell>
          <cell r="G352">
            <v>2</v>
          </cell>
          <cell r="H352">
            <v>0</v>
          </cell>
          <cell r="I352">
            <v>0</v>
          </cell>
          <cell r="J352">
            <v>3.22</v>
          </cell>
        </row>
        <row r="353">
          <cell r="A353" t="str">
            <v>PICTURE_352</v>
          </cell>
          <cell r="B353" t="str">
            <v>fan</v>
          </cell>
          <cell r="D353">
            <v>1.135287371</v>
          </cell>
          <cell r="E353">
            <v>74.468085110000004</v>
          </cell>
          <cell r="F353">
            <v>94</v>
          </cell>
          <cell r="G353">
            <v>4</v>
          </cell>
          <cell r="H353">
            <v>4</v>
          </cell>
          <cell r="I353">
            <v>2</v>
          </cell>
          <cell r="J353">
            <v>2.38</v>
          </cell>
        </row>
        <row r="354">
          <cell r="A354" t="str">
            <v>PICTURE_353</v>
          </cell>
          <cell r="B354" t="str">
            <v>T-shirt</v>
          </cell>
          <cell r="D354">
            <v>0.69481673099999997</v>
          </cell>
          <cell r="E354">
            <v>85</v>
          </cell>
          <cell r="F354">
            <v>100</v>
          </cell>
          <cell r="G354">
            <v>3</v>
          </cell>
          <cell r="H354">
            <v>0</v>
          </cell>
          <cell r="I354">
            <v>0</v>
          </cell>
          <cell r="J354">
            <v>1.96</v>
          </cell>
        </row>
        <row r="355">
          <cell r="A355" t="str">
            <v>PICTURE_354</v>
          </cell>
          <cell r="B355" t="str">
            <v>goat</v>
          </cell>
          <cell r="D355">
            <v>0.28683890499999998</v>
          </cell>
          <cell r="E355">
            <v>95.918367349999997</v>
          </cell>
          <cell r="F355">
            <v>98</v>
          </cell>
          <cell r="G355">
            <v>3</v>
          </cell>
          <cell r="H355">
            <v>1</v>
          </cell>
          <cell r="I355">
            <v>1</v>
          </cell>
          <cell r="J355">
            <v>2.84</v>
          </cell>
        </row>
        <row r="356">
          <cell r="A356" t="str">
            <v>PICTURE_355</v>
          </cell>
          <cell r="B356" t="str">
            <v>deer</v>
          </cell>
          <cell r="D356">
            <v>1.269225705</v>
          </cell>
          <cell r="E356">
            <v>73.863636360000001</v>
          </cell>
          <cell r="F356">
            <v>88</v>
          </cell>
          <cell r="G356">
            <v>5</v>
          </cell>
          <cell r="H356">
            <v>11</v>
          </cell>
          <cell r="I356">
            <v>1</v>
          </cell>
          <cell r="J356">
            <v>2.68</v>
          </cell>
        </row>
        <row r="357">
          <cell r="A357" t="str">
            <v>PICTURE_356</v>
          </cell>
          <cell r="B357" t="str">
            <v>pawn</v>
          </cell>
          <cell r="D357">
            <v>1.4853713129999999</v>
          </cell>
          <cell r="E357">
            <v>45.161290319999999</v>
          </cell>
          <cell r="F357">
            <v>93</v>
          </cell>
          <cell r="G357">
            <v>3</v>
          </cell>
          <cell r="H357">
            <v>6</v>
          </cell>
          <cell r="I357">
            <v>1</v>
          </cell>
          <cell r="J357">
            <v>2.25</v>
          </cell>
        </row>
        <row r="358">
          <cell r="A358" t="str">
            <v>PICTURE_357</v>
          </cell>
          <cell r="B358" t="str">
            <v>guitar</v>
          </cell>
          <cell r="D358">
            <v>0</v>
          </cell>
          <cell r="E358">
            <v>100</v>
          </cell>
          <cell r="F358">
            <v>99</v>
          </cell>
          <cell r="G358">
            <v>1</v>
          </cell>
          <cell r="H358">
            <v>1</v>
          </cell>
          <cell r="I358">
            <v>0</v>
          </cell>
          <cell r="J358">
            <v>2.7</v>
          </cell>
        </row>
        <row r="359">
          <cell r="A359" t="str">
            <v>PICTURE_358</v>
          </cell>
          <cell r="B359" t="str">
            <v>car</v>
          </cell>
          <cell r="D359">
            <v>0</v>
          </cell>
          <cell r="E359">
            <v>100</v>
          </cell>
          <cell r="F359">
            <v>100</v>
          </cell>
          <cell r="G359">
            <v>1</v>
          </cell>
          <cell r="H359">
            <v>0</v>
          </cell>
          <cell r="I359">
            <v>0</v>
          </cell>
          <cell r="J359">
            <v>2.6</v>
          </cell>
        </row>
        <row r="360">
          <cell r="A360" t="str">
            <v>PICTURE_359</v>
          </cell>
          <cell r="B360" t="str">
            <v>knife</v>
          </cell>
          <cell r="D360">
            <v>0</v>
          </cell>
          <cell r="E360">
            <v>100</v>
          </cell>
          <cell r="F360">
            <v>100</v>
          </cell>
          <cell r="G360">
            <v>1</v>
          </cell>
          <cell r="H360">
            <v>0</v>
          </cell>
          <cell r="I360">
            <v>0</v>
          </cell>
          <cell r="J360">
            <v>1.84</v>
          </cell>
        </row>
        <row r="361">
          <cell r="A361" t="str">
            <v>PICTURE_360</v>
          </cell>
          <cell r="B361" t="str">
            <v>tree</v>
          </cell>
          <cell r="D361">
            <v>0</v>
          </cell>
          <cell r="E361">
            <v>100</v>
          </cell>
          <cell r="F361">
            <v>98</v>
          </cell>
          <cell r="G361">
            <v>1</v>
          </cell>
          <cell r="H361">
            <v>0</v>
          </cell>
          <cell r="I361">
            <v>2</v>
          </cell>
          <cell r="J361">
            <v>2.3030303029999999</v>
          </cell>
        </row>
        <row r="362">
          <cell r="A362" t="str">
            <v>PICTURE_361</v>
          </cell>
          <cell r="B362" t="str">
            <v>dolphin</v>
          </cell>
          <cell r="D362">
            <v>0</v>
          </cell>
          <cell r="E362">
            <v>100</v>
          </cell>
          <cell r="F362">
            <v>100</v>
          </cell>
          <cell r="G362">
            <v>1</v>
          </cell>
          <cell r="H362">
            <v>0</v>
          </cell>
          <cell r="I362">
            <v>0</v>
          </cell>
          <cell r="J362">
            <v>2.9</v>
          </cell>
        </row>
        <row r="363">
          <cell r="A363" t="str">
            <v>PICTURE_362</v>
          </cell>
          <cell r="B363" t="str">
            <v>pool</v>
          </cell>
          <cell r="D363">
            <v>0</v>
          </cell>
          <cell r="E363">
            <v>100</v>
          </cell>
          <cell r="F363">
            <v>98</v>
          </cell>
          <cell r="G363">
            <v>1</v>
          </cell>
          <cell r="H363">
            <v>1</v>
          </cell>
          <cell r="I363">
            <v>1</v>
          </cell>
          <cell r="J363">
            <v>2.5299999999999998</v>
          </cell>
        </row>
        <row r="364">
          <cell r="A364" t="str">
            <v>PICTURE_363</v>
          </cell>
          <cell r="B364" t="str">
            <v>fan</v>
          </cell>
          <cell r="D364">
            <v>0</v>
          </cell>
          <cell r="E364">
            <v>100</v>
          </cell>
          <cell r="F364">
            <v>99</v>
          </cell>
          <cell r="G364">
            <v>1</v>
          </cell>
          <cell r="H364">
            <v>1</v>
          </cell>
          <cell r="I364">
            <v>0</v>
          </cell>
          <cell r="J364">
            <v>2.64</v>
          </cell>
        </row>
        <row r="365">
          <cell r="A365" t="str">
            <v>PICTURE_364</v>
          </cell>
          <cell r="B365" t="str">
            <v>car</v>
          </cell>
          <cell r="D365">
            <v>1.6421177010000001</v>
          </cell>
          <cell r="E365">
            <v>45.833333330000002</v>
          </cell>
          <cell r="F365">
            <v>96</v>
          </cell>
          <cell r="G365">
            <v>4</v>
          </cell>
          <cell r="H365">
            <v>2</v>
          </cell>
          <cell r="I365">
            <v>2</v>
          </cell>
          <cell r="J365">
            <v>2.5299999999999998</v>
          </cell>
        </row>
        <row r="366">
          <cell r="A366" t="str">
            <v>PICTURE_365</v>
          </cell>
          <cell r="B366" t="str">
            <v>hedgehog</v>
          </cell>
          <cell r="D366">
            <v>0</v>
          </cell>
          <cell r="E366">
            <v>100</v>
          </cell>
          <cell r="F366">
            <v>95</v>
          </cell>
          <cell r="G366">
            <v>1</v>
          </cell>
          <cell r="H366">
            <v>3</v>
          </cell>
          <cell r="I366">
            <v>2</v>
          </cell>
          <cell r="J366">
            <v>3.51</v>
          </cell>
        </row>
        <row r="367">
          <cell r="A367" t="str">
            <v>PICTURE_366</v>
          </cell>
          <cell r="B367" t="str">
            <v>blood</v>
          </cell>
          <cell r="D367">
            <v>1.6989003600000001</v>
          </cell>
          <cell r="E367">
            <v>49.484536079999998</v>
          </cell>
          <cell r="F367">
            <v>97</v>
          </cell>
          <cell r="G367">
            <v>4</v>
          </cell>
          <cell r="H367">
            <v>2</v>
          </cell>
          <cell r="I367">
            <v>1</v>
          </cell>
          <cell r="J367">
            <v>2.31</v>
          </cell>
        </row>
        <row r="368">
          <cell r="A368" t="str">
            <v>PICTURE_367</v>
          </cell>
          <cell r="B368" t="str">
            <v>spear</v>
          </cell>
          <cell r="D368">
            <v>1.2354283290000001</v>
          </cell>
          <cell r="E368">
            <v>73.493975899999995</v>
          </cell>
          <cell r="F368">
            <v>83</v>
          </cell>
          <cell r="G368">
            <v>5</v>
          </cell>
          <cell r="H368">
            <v>11</v>
          </cell>
          <cell r="I368">
            <v>6</v>
          </cell>
          <cell r="J368">
            <v>2.0606060610000001</v>
          </cell>
        </row>
        <row r="369">
          <cell r="A369" t="str">
            <v>PICTURE_368</v>
          </cell>
          <cell r="B369" t="str">
            <v>fan</v>
          </cell>
          <cell r="D369">
            <v>0</v>
          </cell>
          <cell r="E369">
            <v>100</v>
          </cell>
          <cell r="F369">
            <v>97</v>
          </cell>
          <cell r="G369">
            <v>1</v>
          </cell>
          <cell r="H369">
            <v>3</v>
          </cell>
          <cell r="I369">
            <v>0</v>
          </cell>
          <cell r="J369">
            <v>2.29</v>
          </cell>
        </row>
        <row r="370">
          <cell r="A370" t="str">
            <v>PICTURE_369</v>
          </cell>
          <cell r="B370" t="str">
            <v>pot</v>
          </cell>
          <cell r="D370">
            <v>1.3584050999999999</v>
          </cell>
          <cell r="E370">
            <v>60.204081629999997</v>
          </cell>
          <cell r="F370">
            <v>98</v>
          </cell>
          <cell r="G370">
            <v>3</v>
          </cell>
          <cell r="H370">
            <v>1</v>
          </cell>
          <cell r="I370">
            <v>1</v>
          </cell>
          <cell r="J370">
            <v>2.29</v>
          </cell>
        </row>
        <row r="371">
          <cell r="A371" t="str">
            <v>PICTURE_370</v>
          </cell>
          <cell r="B371" t="str">
            <v>scorpion</v>
          </cell>
          <cell r="D371">
            <v>0.39785271</v>
          </cell>
          <cell r="E371">
            <v>93.684210530000001</v>
          </cell>
          <cell r="F371">
            <v>95</v>
          </cell>
          <cell r="G371">
            <v>3</v>
          </cell>
          <cell r="H371">
            <v>3</v>
          </cell>
          <cell r="I371">
            <v>2</v>
          </cell>
          <cell r="J371">
            <v>2.76</v>
          </cell>
        </row>
        <row r="372">
          <cell r="A372" t="str">
            <v>PICTURE_371</v>
          </cell>
          <cell r="B372" t="str">
            <v>grasshopper</v>
          </cell>
          <cell r="D372">
            <v>1.4299850160000001</v>
          </cell>
          <cell r="E372">
            <v>62.765957450000002</v>
          </cell>
          <cell r="F372">
            <v>94</v>
          </cell>
          <cell r="G372">
            <v>4</v>
          </cell>
          <cell r="H372">
            <v>5</v>
          </cell>
          <cell r="I372">
            <v>1</v>
          </cell>
          <cell r="J372">
            <v>3.26</v>
          </cell>
        </row>
        <row r="373">
          <cell r="A373" t="str">
            <v>PICTURE_372</v>
          </cell>
          <cell r="B373" t="str">
            <v>toucan</v>
          </cell>
          <cell r="D373">
            <v>1.9459087900000001</v>
          </cell>
          <cell r="E373">
            <v>38.043478260000001</v>
          </cell>
          <cell r="F373">
            <v>92</v>
          </cell>
          <cell r="G373">
            <v>5</v>
          </cell>
          <cell r="H373">
            <v>7</v>
          </cell>
          <cell r="I373">
            <v>1</v>
          </cell>
          <cell r="J373">
            <v>3</v>
          </cell>
        </row>
        <row r="374">
          <cell r="A374" t="str">
            <v>PICTURE_373</v>
          </cell>
          <cell r="B374" t="str">
            <v>cauliflower</v>
          </cell>
          <cell r="D374">
            <v>1.0047921259999999</v>
          </cell>
          <cell r="E374">
            <v>71.739130430000003</v>
          </cell>
          <cell r="F374">
            <v>92</v>
          </cell>
          <cell r="G374">
            <v>3</v>
          </cell>
          <cell r="H374">
            <v>6</v>
          </cell>
          <cell r="I374">
            <v>2</v>
          </cell>
          <cell r="J374">
            <v>3.0202020200000002</v>
          </cell>
        </row>
        <row r="375">
          <cell r="A375" t="str">
            <v>PICTURE_374</v>
          </cell>
          <cell r="B375" t="str">
            <v>gold</v>
          </cell>
          <cell r="D375">
            <v>1.3161912280000001</v>
          </cell>
          <cell r="E375">
            <v>63.917525769999997</v>
          </cell>
          <cell r="F375">
            <v>97</v>
          </cell>
          <cell r="G375">
            <v>5</v>
          </cell>
          <cell r="H375">
            <v>0</v>
          </cell>
          <cell r="I375">
            <v>3</v>
          </cell>
          <cell r="J375">
            <v>2.0909090909999999</v>
          </cell>
        </row>
        <row r="376">
          <cell r="A376" t="str">
            <v>PICTURE_375</v>
          </cell>
          <cell r="B376" t="str">
            <v>circus</v>
          </cell>
          <cell r="D376">
            <v>1.1692915269999999</v>
          </cell>
          <cell r="E376">
            <v>48.958333330000002</v>
          </cell>
          <cell r="F376">
            <v>96</v>
          </cell>
          <cell r="G376">
            <v>3</v>
          </cell>
          <cell r="H376">
            <v>4</v>
          </cell>
          <cell r="I376">
            <v>0</v>
          </cell>
          <cell r="J376">
            <v>2.62</v>
          </cell>
        </row>
        <row r="377">
          <cell r="A377" t="str">
            <v>PICTURE_376</v>
          </cell>
          <cell r="B377" t="str">
            <v>sculptor</v>
          </cell>
          <cell r="D377">
            <v>1.4525551240000001</v>
          </cell>
          <cell r="E377">
            <v>72.727272729999996</v>
          </cell>
          <cell r="F377">
            <v>77</v>
          </cell>
          <cell r="G377">
            <v>6</v>
          </cell>
          <cell r="H377">
            <v>19</v>
          </cell>
          <cell r="I377">
            <v>4</v>
          </cell>
          <cell r="J377">
            <v>3.13</v>
          </cell>
        </row>
        <row r="378">
          <cell r="A378" t="str">
            <v>PICTURE_377</v>
          </cell>
          <cell r="B378" t="str">
            <v>bib</v>
          </cell>
          <cell r="D378">
            <v>0.35910162600000001</v>
          </cell>
          <cell r="E378">
            <v>93.181818179999993</v>
          </cell>
          <cell r="F378">
            <v>88</v>
          </cell>
          <cell r="G378">
            <v>2</v>
          </cell>
          <cell r="H378">
            <v>10</v>
          </cell>
          <cell r="I378">
            <v>2</v>
          </cell>
          <cell r="J378">
            <v>2.84</v>
          </cell>
        </row>
        <row r="379">
          <cell r="A379" t="str">
            <v>PICTURE_378</v>
          </cell>
          <cell r="B379" t="str">
            <v>lobster</v>
          </cell>
          <cell r="D379">
            <v>0.52050866100000004</v>
          </cell>
          <cell r="E379">
            <v>90.625</v>
          </cell>
          <cell r="F379">
            <v>96</v>
          </cell>
          <cell r="G379">
            <v>3</v>
          </cell>
          <cell r="H379">
            <v>2</v>
          </cell>
          <cell r="I379">
            <v>2</v>
          </cell>
          <cell r="J379">
            <v>3.06</v>
          </cell>
        </row>
        <row r="380">
          <cell r="A380" t="str">
            <v>PICTURE_379</v>
          </cell>
          <cell r="B380" t="str">
            <v>zebra</v>
          </cell>
          <cell r="D380">
            <v>0</v>
          </cell>
          <cell r="E380">
            <v>100</v>
          </cell>
          <cell r="F380">
            <v>100</v>
          </cell>
          <cell r="G380">
            <v>1</v>
          </cell>
          <cell r="H380">
            <v>0</v>
          </cell>
          <cell r="I380">
            <v>0</v>
          </cell>
          <cell r="J380">
            <v>3.02</v>
          </cell>
        </row>
        <row r="381">
          <cell r="A381" t="str">
            <v>PICTURE_380</v>
          </cell>
          <cell r="B381" t="str">
            <v>gorilla</v>
          </cell>
          <cell r="D381">
            <v>0.52690435599999996</v>
          </cell>
          <cell r="E381">
            <v>90.816326529999998</v>
          </cell>
          <cell r="F381">
            <v>98</v>
          </cell>
          <cell r="G381">
            <v>3</v>
          </cell>
          <cell r="H381">
            <v>0</v>
          </cell>
          <cell r="I381">
            <v>2</v>
          </cell>
          <cell r="J381">
            <v>3.68</v>
          </cell>
        </row>
        <row r="382">
          <cell r="A382" t="str">
            <v>PICTURE_381</v>
          </cell>
          <cell r="B382" t="str">
            <v>strawberry</v>
          </cell>
          <cell r="D382">
            <v>0</v>
          </cell>
          <cell r="E382">
            <v>100</v>
          </cell>
          <cell r="F382">
            <v>100</v>
          </cell>
          <cell r="G382">
            <v>1</v>
          </cell>
          <cell r="H382">
            <v>0</v>
          </cell>
          <cell r="I382">
            <v>0</v>
          </cell>
          <cell r="J382">
            <v>2.6</v>
          </cell>
        </row>
        <row r="383">
          <cell r="A383" t="str">
            <v>PICTURE_382</v>
          </cell>
          <cell r="B383" t="str">
            <v>wallet</v>
          </cell>
          <cell r="D383">
            <v>0</v>
          </cell>
          <cell r="E383">
            <v>100</v>
          </cell>
          <cell r="F383">
            <v>99</v>
          </cell>
          <cell r="G383">
            <v>1</v>
          </cell>
          <cell r="H383">
            <v>0</v>
          </cell>
          <cell r="I383">
            <v>1</v>
          </cell>
          <cell r="J383">
            <v>2.33</v>
          </cell>
        </row>
        <row r="384">
          <cell r="A384" t="str">
            <v>PICTURE_383</v>
          </cell>
          <cell r="B384" t="str">
            <v>coin</v>
          </cell>
          <cell r="D384">
            <v>0.60609065299999998</v>
          </cell>
          <cell r="E384">
            <v>90</v>
          </cell>
          <cell r="F384">
            <v>100</v>
          </cell>
          <cell r="G384">
            <v>4</v>
          </cell>
          <cell r="H384">
            <v>0</v>
          </cell>
          <cell r="I384">
            <v>0</v>
          </cell>
          <cell r="J384">
            <v>2.54</v>
          </cell>
        </row>
        <row r="385">
          <cell r="A385" t="str">
            <v>PICTURE_384</v>
          </cell>
          <cell r="B385" t="str">
            <v>oven</v>
          </cell>
          <cell r="D385">
            <v>1.3243536229999999</v>
          </cell>
          <cell r="E385">
            <v>76.041666669999998</v>
          </cell>
          <cell r="F385">
            <v>96</v>
          </cell>
          <cell r="G385">
            <v>6</v>
          </cell>
          <cell r="H385">
            <v>1</v>
          </cell>
          <cell r="I385">
            <v>3</v>
          </cell>
          <cell r="J385">
            <v>2.84</v>
          </cell>
        </row>
        <row r="386">
          <cell r="A386" t="str">
            <v>PICTURE_385</v>
          </cell>
          <cell r="B386" t="str">
            <v>treasure chest</v>
          </cell>
          <cell r="D386">
            <v>1.871488874</v>
          </cell>
          <cell r="E386">
            <v>36.734693880000002</v>
          </cell>
          <cell r="F386">
            <v>98</v>
          </cell>
          <cell r="G386">
            <v>5</v>
          </cell>
          <cell r="H386">
            <v>0</v>
          </cell>
          <cell r="I386">
            <v>2</v>
          </cell>
          <cell r="J386">
            <v>2.85</v>
          </cell>
        </row>
        <row r="387">
          <cell r="A387" t="str">
            <v>PICTURE_386</v>
          </cell>
          <cell r="B387" t="str">
            <v>bomb</v>
          </cell>
          <cell r="D387">
            <v>0</v>
          </cell>
          <cell r="E387">
            <v>100</v>
          </cell>
          <cell r="F387">
            <v>99</v>
          </cell>
          <cell r="G387">
            <v>1</v>
          </cell>
          <cell r="H387">
            <v>0</v>
          </cell>
          <cell r="I387">
            <v>1</v>
          </cell>
          <cell r="J387">
            <v>1.95</v>
          </cell>
        </row>
        <row r="388">
          <cell r="A388" t="str">
            <v>PICTURE_387</v>
          </cell>
          <cell r="B388" t="str">
            <v>stapler</v>
          </cell>
          <cell r="D388">
            <v>0</v>
          </cell>
          <cell r="E388">
            <v>100</v>
          </cell>
          <cell r="F388">
            <v>99</v>
          </cell>
          <cell r="G388">
            <v>1</v>
          </cell>
          <cell r="H388">
            <v>1</v>
          </cell>
          <cell r="I388">
            <v>0</v>
          </cell>
          <cell r="J388">
            <v>2.52</v>
          </cell>
        </row>
        <row r="389">
          <cell r="A389" t="str">
            <v>PICTURE_388</v>
          </cell>
          <cell r="B389" t="str">
            <v>bag</v>
          </cell>
          <cell r="D389">
            <v>1.023775576</v>
          </cell>
          <cell r="E389">
            <v>67</v>
          </cell>
          <cell r="F389">
            <v>100</v>
          </cell>
          <cell r="G389">
            <v>3</v>
          </cell>
          <cell r="H389">
            <v>0</v>
          </cell>
          <cell r="I389">
            <v>0</v>
          </cell>
          <cell r="J389">
            <v>2.2799999999999998</v>
          </cell>
        </row>
        <row r="390">
          <cell r="A390" t="str">
            <v>PICTURE_389</v>
          </cell>
          <cell r="B390" t="str">
            <v>aerial</v>
          </cell>
          <cell r="D390">
            <v>1.9956431809999999</v>
          </cell>
          <cell r="E390">
            <v>43.023255810000002</v>
          </cell>
          <cell r="F390">
            <v>86</v>
          </cell>
          <cell r="G390">
            <v>6</v>
          </cell>
          <cell r="H390">
            <v>10</v>
          </cell>
          <cell r="I390">
            <v>4</v>
          </cell>
          <cell r="J390">
            <v>2.96</v>
          </cell>
        </row>
        <row r="391">
          <cell r="A391" t="str">
            <v>PICTURE_390</v>
          </cell>
          <cell r="B391" t="str">
            <v>snow</v>
          </cell>
          <cell r="D391">
            <v>1.3411407529999999</v>
          </cell>
          <cell r="E391">
            <v>66.666666669999998</v>
          </cell>
          <cell r="F391">
            <v>99</v>
          </cell>
          <cell r="G391">
            <v>4</v>
          </cell>
          <cell r="H391">
            <v>0</v>
          </cell>
          <cell r="I391">
            <v>1</v>
          </cell>
          <cell r="J391">
            <v>1.69</v>
          </cell>
        </row>
        <row r="392">
          <cell r="A392" t="str">
            <v>PICTURE_391</v>
          </cell>
          <cell r="B392" t="str">
            <v>chain</v>
          </cell>
          <cell r="D392">
            <v>0</v>
          </cell>
          <cell r="E392">
            <v>100</v>
          </cell>
          <cell r="F392">
            <v>96</v>
          </cell>
          <cell r="G392">
            <v>1</v>
          </cell>
          <cell r="H392">
            <v>2</v>
          </cell>
          <cell r="I392">
            <v>2</v>
          </cell>
          <cell r="J392">
            <v>2.33</v>
          </cell>
        </row>
        <row r="393">
          <cell r="A393" t="str">
            <v>PICTURE_392</v>
          </cell>
          <cell r="B393" t="str">
            <v>teapot</v>
          </cell>
          <cell r="D393">
            <v>0.66776345000000004</v>
          </cell>
          <cell r="E393">
            <v>88.775510199999999</v>
          </cell>
          <cell r="F393">
            <v>98</v>
          </cell>
          <cell r="G393">
            <v>4</v>
          </cell>
          <cell r="H393">
            <v>1</v>
          </cell>
          <cell r="I393">
            <v>1</v>
          </cell>
          <cell r="J393">
            <v>2.02</v>
          </cell>
        </row>
        <row r="394">
          <cell r="A394" t="str">
            <v>PICTURE_393</v>
          </cell>
          <cell r="B394" t="str">
            <v>man</v>
          </cell>
          <cell r="D394">
            <v>2.3040603850000001</v>
          </cell>
          <cell r="E394">
            <v>32.876712329999997</v>
          </cell>
          <cell r="F394">
            <v>73</v>
          </cell>
          <cell r="G394">
            <v>6</v>
          </cell>
          <cell r="H394">
            <v>20</v>
          </cell>
          <cell r="I394">
            <v>7</v>
          </cell>
          <cell r="J394">
            <v>3.18</v>
          </cell>
        </row>
        <row r="395">
          <cell r="A395" t="str">
            <v>PICTURE_394</v>
          </cell>
          <cell r="B395" t="str">
            <v>cat</v>
          </cell>
          <cell r="D395">
            <v>1.5284860419999999</v>
          </cell>
          <cell r="E395">
            <v>68.181818179999993</v>
          </cell>
          <cell r="F395">
            <v>88</v>
          </cell>
          <cell r="G395">
            <v>7</v>
          </cell>
          <cell r="H395">
            <v>7</v>
          </cell>
          <cell r="I395">
            <v>5</v>
          </cell>
          <cell r="J395">
            <v>3.66</v>
          </cell>
        </row>
        <row r="396">
          <cell r="A396" t="str">
            <v>PICTURE_395</v>
          </cell>
          <cell r="B396" t="str">
            <v>pillow</v>
          </cell>
          <cell r="D396">
            <v>2.3060547809999998</v>
          </cell>
          <cell r="E396">
            <v>36.263736260000002</v>
          </cell>
          <cell r="F396">
            <v>91</v>
          </cell>
          <cell r="G396">
            <v>7</v>
          </cell>
          <cell r="H396">
            <v>5</v>
          </cell>
          <cell r="I396">
            <v>4</v>
          </cell>
          <cell r="J396">
            <v>2.5499999999999998</v>
          </cell>
        </row>
        <row r="397">
          <cell r="A397" t="str">
            <v>PICTURE_396</v>
          </cell>
          <cell r="B397" t="str">
            <v>atm</v>
          </cell>
          <cell r="D397">
            <v>1.4666917829999999</v>
          </cell>
          <cell r="E397">
            <v>44.791666669999998</v>
          </cell>
          <cell r="F397">
            <v>96</v>
          </cell>
          <cell r="G397">
            <v>3</v>
          </cell>
          <cell r="H397">
            <v>1</v>
          </cell>
          <cell r="I397">
            <v>3</v>
          </cell>
          <cell r="J397">
            <v>2.82</v>
          </cell>
        </row>
        <row r="398">
          <cell r="A398" t="str">
            <v>PICTURE_397</v>
          </cell>
          <cell r="B398" t="str">
            <v>onion</v>
          </cell>
          <cell r="D398">
            <v>1.2985549169999999</v>
          </cell>
          <cell r="E398">
            <v>71.875</v>
          </cell>
          <cell r="F398">
            <v>64</v>
          </cell>
          <cell r="G398">
            <v>5</v>
          </cell>
          <cell r="H398">
            <v>29</v>
          </cell>
          <cell r="I398">
            <v>7</v>
          </cell>
          <cell r="J398">
            <v>2.52</v>
          </cell>
        </row>
        <row r="399">
          <cell r="A399" t="str">
            <v>PICTURE_398</v>
          </cell>
          <cell r="B399" t="str">
            <v>steering wheel</v>
          </cell>
          <cell r="D399">
            <v>1.162872082</v>
          </cell>
          <cell r="E399">
            <v>51.515151520000003</v>
          </cell>
          <cell r="F399">
            <v>99</v>
          </cell>
          <cell r="G399">
            <v>3</v>
          </cell>
          <cell r="H399">
            <v>0</v>
          </cell>
          <cell r="I399">
            <v>1</v>
          </cell>
          <cell r="J399">
            <v>2.13</v>
          </cell>
        </row>
        <row r="400">
          <cell r="A400" t="str">
            <v>PICTURE_399</v>
          </cell>
          <cell r="B400" t="str">
            <v>ballerina</v>
          </cell>
          <cell r="D400">
            <v>1.257140763</v>
          </cell>
          <cell r="E400">
            <v>66</v>
          </cell>
          <cell r="F400">
            <v>100</v>
          </cell>
          <cell r="G400">
            <v>3</v>
          </cell>
          <cell r="H400">
            <v>0</v>
          </cell>
          <cell r="I400">
            <v>0</v>
          </cell>
          <cell r="J400">
            <v>2.64</v>
          </cell>
        </row>
        <row r="401">
          <cell r="A401" t="str">
            <v>PICTURE_400</v>
          </cell>
          <cell r="B401" t="str">
            <v>duck</v>
          </cell>
          <cell r="D401">
            <v>0.47853391000000001</v>
          </cell>
          <cell r="E401">
            <v>92</v>
          </cell>
          <cell r="F401">
            <v>100</v>
          </cell>
          <cell r="G401">
            <v>3</v>
          </cell>
          <cell r="H401">
            <v>0</v>
          </cell>
          <cell r="I401">
            <v>0</v>
          </cell>
          <cell r="J401">
            <v>3.7</v>
          </cell>
        </row>
        <row r="402">
          <cell r="A402" t="str">
            <v>PICTURE_401</v>
          </cell>
          <cell r="B402" t="str">
            <v>onion</v>
          </cell>
          <cell r="D402">
            <v>0.93423135099999999</v>
          </cell>
          <cell r="E402">
            <v>75.36231884</v>
          </cell>
          <cell r="F402">
            <v>69</v>
          </cell>
          <cell r="G402">
            <v>3</v>
          </cell>
          <cell r="H402">
            <v>26</v>
          </cell>
          <cell r="I402">
            <v>5</v>
          </cell>
          <cell r="J402">
            <v>3.11</v>
          </cell>
        </row>
        <row r="403">
          <cell r="A403" t="str">
            <v>PICTURE_402</v>
          </cell>
          <cell r="B403" t="str">
            <v>chalkboard</v>
          </cell>
          <cell r="D403">
            <v>1.9204341439999999</v>
          </cell>
          <cell r="E403">
            <v>43.877551019999999</v>
          </cell>
          <cell r="F403">
            <v>98</v>
          </cell>
          <cell r="G403">
            <v>5</v>
          </cell>
          <cell r="H403">
            <v>0</v>
          </cell>
          <cell r="I403">
            <v>2</v>
          </cell>
          <cell r="J403">
            <v>2.4</v>
          </cell>
        </row>
        <row r="404">
          <cell r="A404" t="str">
            <v>PICTURE_403</v>
          </cell>
          <cell r="B404" t="str">
            <v>cathedral</v>
          </cell>
          <cell r="D404">
            <v>2.0532658439999998</v>
          </cell>
          <cell r="E404">
            <v>45.054945050000001</v>
          </cell>
          <cell r="F404">
            <v>91</v>
          </cell>
          <cell r="G404">
            <v>6</v>
          </cell>
          <cell r="H404">
            <v>5</v>
          </cell>
          <cell r="I404">
            <v>4</v>
          </cell>
          <cell r="J404">
            <v>3.6</v>
          </cell>
        </row>
        <row r="405">
          <cell r="A405" t="str">
            <v>PICTURE_404</v>
          </cell>
          <cell r="B405" t="str">
            <v>dragonfly</v>
          </cell>
          <cell r="D405">
            <v>1.4665398569999999</v>
          </cell>
          <cell r="E405">
            <v>68.75</v>
          </cell>
          <cell r="F405">
            <v>96</v>
          </cell>
          <cell r="G405">
            <v>5</v>
          </cell>
          <cell r="H405">
            <v>3</v>
          </cell>
          <cell r="I405">
            <v>1</v>
          </cell>
          <cell r="J405">
            <v>3.7</v>
          </cell>
        </row>
        <row r="406">
          <cell r="A406" t="str">
            <v>PICTURE_405</v>
          </cell>
          <cell r="B406" t="str">
            <v>anchor</v>
          </cell>
          <cell r="D406">
            <v>0.151096971</v>
          </cell>
          <cell r="E406">
            <v>97.826086959999998</v>
          </cell>
          <cell r="F406">
            <v>92</v>
          </cell>
          <cell r="G406">
            <v>2</v>
          </cell>
          <cell r="H406">
            <v>6</v>
          </cell>
          <cell r="I406">
            <v>2</v>
          </cell>
          <cell r="J406">
            <v>2.4900000000000002</v>
          </cell>
        </row>
        <row r="407">
          <cell r="A407" t="str">
            <v>PICTURE_406</v>
          </cell>
          <cell r="B407" t="str">
            <v>rooster</v>
          </cell>
          <cell r="D407">
            <v>2.1002593140000001</v>
          </cell>
          <cell r="E407">
            <v>34.693877550000003</v>
          </cell>
          <cell r="F407">
            <v>98</v>
          </cell>
          <cell r="G407">
            <v>6</v>
          </cell>
          <cell r="H407">
            <v>1</v>
          </cell>
          <cell r="I407">
            <v>1</v>
          </cell>
          <cell r="J407">
            <v>3.5</v>
          </cell>
        </row>
        <row r="408">
          <cell r="A408" t="str">
            <v>PICTURE_407</v>
          </cell>
          <cell r="B408" t="str">
            <v>mountain</v>
          </cell>
          <cell r="D408">
            <v>0</v>
          </cell>
          <cell r="E408">
            <v>100</v>
          </cell>
          <cell r="F408">
            <v>96</v>
          </cell>
          <cell r="G408">
            <v>1</v>
          </cell>
          <cell r="H408">
            <v>1</v>
          </cell>
          <cell r="I408">
            <v>3</v>
          </cell>
          <cell r="J408">
            <v>3.050505051</v>
          </cell>
        </row>
        <row r="409">
          <cell r="A409" t="str">
            <v>PICTURE_408</v>
          </cell>
          <cell r="B409" t="str">
            <v>finger</v>
          </cell>
          <cell r="D409">
            <v>0</v>
          </cell>
          <cell r="E409">
            <v>100</v>
          </cell>
          <cell r="F409">
            <v>100</v>
          </cell>
          <cell r="G409">
            <v>1</v>
          </cell>
          <cell r="H409">
            <v>0</v>
          </cell>
          <cell r="I409">
            <v>0</v>
          </cell>
          <cell r="J409">
            <v>2.73</v>
          </cell>
        </row>
        <row r="410">
          <cell r="A410" t="str">
            <v>PICTURE_409</v>
          </cell>
          <cell r="B410" t="str">
            <v>cork</v>
          </cell>
          <cell r="D410">
            <v>0.220283267</v>
          </cell>
          <cell r="E410">
            <v>96.470588239999998</v>
          </cell>
          <cell r="F410">
            <v>85</v>
          </cell>
          <cell r="G410">
            <v>2</v>
          </cell>
          <cell r="H410">
            <v>12</v>
          </cell>
          <cell r="I410">
            <v>3</v>
          </cell>
          <cell r="J410">
            <v>3.44</v>
          </cell>
        </row>
        <row r="411">
          <cell r="A411" t="str">
            <v>PICTURE_410</v>
          </cell>
          <cell r="B411" t="str">
            <v>pistachio</v>
          </cell>
          <cell r="D411">
            <v>1.1334836070000001</v>
          </cell>
          <cell r="E411">
            <v>63.265306119999998</v>
          </cell>
          <cell r="F411">
            <v>49</v>
          </cell>
          <cell r="G411">
            <v>3</v>
          </cell>
          <cell r="H411">
            <v>43</v>
          </cell>
          <cell r="I411">
            <v>8</v>
          </cell>
          <cell r="J411">
            <v>2.93</v>
          </cell>
        </row>
        <row r="412">
          <cell r="A412" t="str">
            <v>PICTURE_411</v>
          </cell>
          <cell r="B412" t="str">
            <v>fist</v>
          </cell>
          <cell r="D412">
            <v>0.14489961800000001</v>
          </cell>
          <cell r="E412">
            <v>97.93814433</v>
          </cell>
          <cell r="F412">
            <v>97</v>
          </cell>
          <cell r="G412">
            <v>2</v>
          </cell>
          <cell r="H412">
            <v>0</v>
          </cell>
          <cell r="I412">
            <v>3</v>
          </cell>
          <cell r="J412">
            <v>2.5151515149999999</v>
          </cell>
        </row>
        <row r="413">
          <cell r="A413" t="str">
            <v>PICTURE_412</v>
          </cell>
          <cell r="B413" t="str">
            <v>factory</v>
          </cell>
          <cell r="D413">
            <v>0.55666344000000001</v>
          </cell>
          <cell r="E413">
            <v>91.304347829999998</v>
          </cell>
          <cell r="F413">
            <v>92</v>
          </cell>
          <cell r="G413">
            <v>4</v>
          </cell>
          <cell r="H413">
            <v>6</v>
          </cell>
          <cell r="I413">
            <v>2</v>
          </cell>
          <cell r="J413">
            <v>2.89</v>
          </cell>
        </row>
        <row r="414">
          <cell r="A414" t="str">
            <v>PICTURE_413</v>
          </cell>
          <cell r="B414" t="str">
            <v>tattoo</v>
          </cell>
          <cell r="D414">
            <v>0</v>
          </cell>
          <cell r="E414">
            <v>100</v>
          </cell>
          <cell r="F414">
            <v>97</v>
          </cell>
          <cell r="G414">
            <v>1</v>
          </cell>
          <cell r="H414">
            <v>1</v>
          </cell>
          <cell r="I414">
            <v>2</v>
          </cell>
          <cell r="J414">
            <v>2.27</v>
          </cell>
        </row>
        <row r="415">
          <cell r="A415" t="str">
            <v>PICTURE_414</v>
          </cell>
          <cell r="B415" t="str">
            <v>lamp</v>
          </cell>
          <cell r="D415">
            <v>0.195909271</v>
          </cell>
          <cell r="E415">
            <v>96.969696970000001</v>
          </cell>
          <cell r="F415">
            <v>99</v>
          </cell>
          <cell r="G415">
            <v>2</v>
          </cell>
          <cell r="H415">
            <v>0</v>
          </cell>
          <cell r="I415">
            <v>1</v>
          </cell>
          <cell r="J415">
            <v>2.19</v>
          </cell>
        </row>
        <row r="416">
          <cell r="A416" t="str">
            <v>PICTURE_415</v>
          </cell>
          <cell r="B416" t="str">
            <v>letterbox</v>
          </cell>
          <cell r="D416">
            <v>2.046315957</v>
          </cell>
          <cell r="E416">
            <v>42.708333330000002</v>
          </cell>
          <cell r="F416">
            <v>96</v>
          </cell>
          <cell r="G416">
            <v>5</v>
          </cell>
          <cell r="H416">
            <v>3</v>
          </cell>
          <cell r="I416">
            <v>1</v>
          </cell>
          <cell r="J416">
            <v>2.5555555559999998</v>
          </cell>
        </row>
        <row r="417">
          <cell r="A417" t="str">
            <v>PICTURE_416</v>
          </cell>
          <cell r="B417" t="str">
            <v>sock</v>
          </cell>
          <cell r="D417">
            <v>0</v>
          </cell>
          <cell r="E417">
            <v>100</v>
          </cell>
          <cell r="F417">
            <v>100</v>
          </cell>
          <cell r="G417">
            <v>1</v>
          </cell>
          <cell r="H417">
            <v>0</v>
          </cell>
          <cell r="I417">
            <v>0</v>
          </cell>
          <cell r="J417">
            <v>2.37</v>
          </cell>
        </row>
        <row r="418">
          <cell r="A418" t="str">
            <v>PICTURE_417</v>
          </cell>
          <cell r="B418" t="str">
            <v>trumpet</v>
          </cell>
          <cell r="D418">
            <v>1.2949629899999999</v>
          </cell>
          <cell r="E418">
            <v>51.612903230000001</v>
          </cell>
          <cell r="F418">
            <v>93</v>
          </cell>
          <cell r="G418">
            <v>4</v>
          </cell>
          <cell r="H418">
            <v>5</v>
          </cell>
          <cell r="I418">
            <v>2</v>
          </cell>
          <cell r="J418">
            <v>2.2000000000000002</v>
          </cell>
        </row>
        <row r="419">
          <cell r="A419" t="str">
            <v>PICTURE_418</v>
          </cell>
          <cell r="B419" t="str">
            <v>curtain</v>
          </cell>
          <cell r="D419">
            <v>0</v>
          </cell>
          <cell r="E419">
            <v>100</v>
          </cell>
          <cell r="F419">
            <v>97</v>
          </cell>
          <cell r="G419">
            <v>1</v>
          </cell>
          <cell r="H419">
            <v>0</v>
          </cell>
          <cell r="I419">
            <v>3</v>
          </cell>
          <cell r="J419">
            <v>2.38</v>
          </cell>
        </row>
        <row r="420">
          <cell r="A420" t="str">
            <v>PICTURE_419</v>
          </cell>
          <cell r="B420" t="str">
            <v>elf</v>
          </cell>
          <cell r="D420">
            <v>2.0048785659999999</v>
          </cell>
          <cell r="E420">
            <v>41.463414630000003</v>
          </cell>
          <cell r="F420">
            <v>82</v>
          </cell>
          <cell r="G420">
            <v>6</v>
          </cell>
          <cell r="H420">
            <v>14</v>
          </cell>
          <cell r="I420">
            <v>4</v>
          </cell>
          <cell r="J420">
            <v>2.85</v>
          </cell>
        </row>
        <row r="421">
          <cell r="A421" t="str">
            <v>PICTURE_420</v>
          </cell>
          <cell r="B421" t="str">
            <v>throne</v>
          </cell>
          <cell r="D421">
            <v>0.88129089900000002</v>
          </cell>
          <cell r="E421">
            <v>70</v>
          </cell>
          <cell r="F421">
            <v>100</v>
          </cell>
          <cell r="G421">
            <v>2</v>
          </cell>
          <cell r="H421">
            <v>0</v>
          </cell>
          <cell r="I421">
            <v>0</v>
          </cell>
          <cell r="J421">
            <v>2.66</v>
          </cell>
        </row>
        <row r="422">
          <cell r="A422" t="str">
            <v>PICTURE_421</v>
          </cell>
          <cell r="B422" t="str">
            <v>squid</v>
          </cell>
          <cell r="D422">
            <v>0.59657348200000004</v>
          </cell>
          <cell r="E422">
            <v>90.47619048</v>
          </cell>
          <cell r="F422">
            <v>84</v>
          </cell>
          <cell r="G422">
            <v>4</v>
          </cell>
          <cell r="H422">
            <v>16</v>
          </cell>
          <cell r="I422">
            <v>0</v>
          </cell>
          <cell r="J422">
            <v>2.93</v>
          </cell>
        </row>
        <row r="423">
          <cell r="A423" t="str">
            <v>PICTURE_422</v>
          </cell>
          <cell r="B423" t="str">
            <v>axe</v>
          </cell>
          <cell r="D423">
            <v>0.634067881</v>
          </cell>
          <cell r="E423">
            <v>87.912087909999997</v>
          </cell>
          <cell r="F423">
            <v>91</v>
          </cell>
          <cell r="G423">
            <v>3</v>
          </cell>
          <cell r="H423">
            <v>7</v>
          </cell>
          <cell r="I423">
            <v>2</v>
          </cell>
          <cell r="J423">
            <v>1.99</v>
          </cell>
        </row>
        <row r="424">
          <cell r="A424" t="str">
            <v>PICTURE_423</v>
          </cell>
          <cell r="B424" t="str">
            <v>egg</v>
          </cell>
          <cell r="D424">
            <v>0</v>
          </cell>
          <cell r="E424">
            <v>100</v>
          </cell>
          <cell r="F424">
            <v>100</v>
          </cell>
          <cell r="G424">
            <v>1</v>
          </cell>
          <cell r="H424">
            <v>0</v>
          </cell>
          <cell r="I424">
            <v>0</v>
          </cell>
          <cell r="J424">
            <v>2.48</v>
          </cell>
        </row>
        <row r="425">
          <cell r="A425" t="str">
            <v>PICTURE_424</v>
          </cell>
          <cell r="B425" t="str">
            <v>car park</v>
          </cell>
          <cell r="D425">
            <v>0.65160703399999997</v>
          </cell>
          <cell r="E425">
            <v>87.878787880000004</v>
          </cell>
          <cell r="F425">
            <v>99</v>
          </cell>
          <cell r="G425">
            <v>3</v>
          </cell>
          <cell r="H425">
            <v>0</v>
          </cell>
          <cell r="I425">
            <v>1</v>
          </cell>
          <cell r="J425">
            <v>3.02</v>
          </cell>
        </row>
        <row r="426">
          <cell r="A426" t="str">
            <v>PICTURE_425</v>
          </cell>
          <cell r="B426" t="str">
            <v>bagpipes</v>
          </cell>
          <cell r="D426">
            <v>0</v>
          </cell>
          <cell r="E426">
            <v>100</v>
          </cell>
          <cell r="F426">
            <v>75</v>
          </cell>
          <cell r="G426">
            <v>1</v>
          </cell>
          <cell r="H426">
            <v>20</v>
          </cell>
          <cell r="I426">
            <v>5</v>
          </cell>
          <cell r="J426">
            <v>2.81</v>
          </cell>
        </row>
        <row r="427">
          <cell r="A427" t="str">
            <v>PICTURE_426</v>
          </cell>
          <cell r="B427" t="str">
            <v>comb</v>
          </cell>
          <cell r="D427">
            <v>0.32984606999999999</v>
          </cell>
          <cell r="E427">
            <v>93.939393940000002</v>
          </cell>
          <cell r="F427">
            <v>99</v>
          </cell>
          <cell r="G427">
            <v>2</v>
          </cell>
          <cell r="H427">
            <v>1</v>
          </cell>
          <cell r="I427">
            <v>0</v>
          </cell>
          <cell r="J427">
            <v>2.0499999999999998</v>
          </cell>
        </row>
        <row r="428">
          <cell r="A428" t="str">
            <v>PICTURE_427</v>
          </cell>
          <cell r="B428" t="str">
            <v>blind man</v>
          </cell>
          <cell r="D428">
            <v>1.2149929269999999</v>
          </cell>
          <cell r="E428">
            <v>75.757575759999995</v>
          </cell>
          <cell r="F428">
            <v>99</v>
          </cell>
          <cell r="G428">
            <v>5</v>
          </cell>
          <cell r="H428">
            <v>0</v>
          </cell>
          <cell r="I428">
            <v>1</v>
          </cell>
          <cell r="J428">
            <v>3.07</v>
          </cell>
        </row>
        <row r="429">
          <cell r="A429" t="str">
            <v>PICTURE_428</v>
          </cell>
          <cell r="B429" t="str">
            <v>crab</v>
          </cell>
          <cell r="D429">
            <v>0.14372616999999999</v>
          </cell>
          <cell r="E429">
            <v>97.959183670000002</v>
          </cell>
          <cell r="F429">
            <v>98</v>
          </cell>
          <cell r="G429">
            <v>2</v>
          </cell>
          <cell r="H429">
            <v>2</v>
          </cell>
          <cell r="I429">
            <v>0</v>
          </cell>
          <cell r="J429">
            <v>2.8181818179999998</v>
          </cell>
        </row>
        <row r="430">
          <cell r="A430" t="str">
            <v>PICTURE_429</v>
          </cell>
          <cell r="B430" t="str">
            <v>paddle</v>
          </cell>
          <cell r="D430">
            <v>1.386938096</v>
          </cell>
          <cell r="E430">
            <v>55.696202530000001</v>
          </cell>
          <cell r="F430">
            <v>79</v>
          </cell>
          <cell r="G430">
            <v>4</v>
          </cell>
          <cell r="H430">
            <v>17</v>
          </cell>
          <cell r="I430">
            <v>4</v>
          </cell>
          <cell r="J430">
            <v>2.11</v>
          </cell>
        </row>
        <row r="431">
          <cell r="A431" t="str">
            <v>PICTURE_430</v>
          </cell>
          <cell r="B431" t="str">
            <v>bird</v>
          </cell>
          <cell r="D431">
            <v>0.98690699000000004</v>
          </cell>
          <cell r="E431">
            <v>80.208333330000002</v>
          </cell>
          <cell r="F431">
            <v>96</v>
          </cell>
          <cell r="G431">
            <v>4</v>
          </cell>
          <cell r="H431">
            <v>1</v>
          </cell>
          <cell r="I431">
            <v>3</v>
          </cell>
          <cell r="J431">
            <v>3.46</v>
          </cell>
        </row>
        <row r="432">
          <cell r="A432" t="str">
            <v>PICTURE_431</v>
          </cell>
          <cell r="B432" t="str">
            <v>glove</v>
          </cell>
          <cell r="D432">
            <v>0.99933750399999999</v>
          </cell>
          <cell r="E432">
            <v>51.515151520000003</v>
          </cell>
          <cell r="F432">
            <v>99</v>
          </cell>
          <cell r="G432">
            <v>2</v>
          </cell>
          <cell r="H432">
            <v>1</v>
          </cell>
          <cell r="I432">
            <v>0</v>
          </cell>
          <cell r="J432">
            <v>2.04</v>
          </cell>
        </row>
        <row r="433">
          <cell r="A433" t="str">
            <v>PICTURE_432</v>
          </cell>
          <cell r="B433" t="str">
            <v>knight</v>
          </cell>
          <cell r="D433">
            <v>2.0501284389999999</v>
          </cell>
          <cell r="E433">
            <v>47.191011240000002</v>
          </cell>
          <cell r="F433">
            <v>89</v>
          </cell>
          <cell r="G433">
            <v>8</v>
          </cell>
          <cell r="H433">
            <v>8</v>
          </cell>
          <cell r="I433">
            <v>3</v>
          </cell>
          <cell r="J433">
            <v>3.18</v>
          </cell>
        </row>
        <row r="434">
          <cell r="A434" t="str">
            <v>PICTURE_433</v>
          </cell>
          <cell r="B434" t="str">
            <v>bell</v>
          </cell>
          <cell r="D434">
            <v>0.14257333</v>
          </cell>
          <cell r="E434">
            <v>97.979797980000001</v>
          </cell>
          <cell r="F434">
            <v>99</v>
          </cell>
          <cell r="G434">
            <v>2</v>
          </cell>
          <cell r="H434">
            <v>0</v>
          </cell>
          <cell r="I434">
            <v>1</v>
          </cell>
          <cell r="J434">
            <v>2.2999999999999998</v>
          </cell>
        </row>
        <row r="435">
          <cell r="A435" t="str">
            <v>PICTURE_434</v>
          </cell>
          <cell r="B435" t="str">
            <v>teacher</v>
          </cell>
          <cell r="D435">
            <v>0.36855677799999997</v>
          </cell>
          <cell r="E435">
            <v>92.929292930000003</v>
          </cell>
          <cell r="F435">
            <v>99</v>
          </cell>
          <cell r="G435">
            <v>2</v>
          </cell>
          <cell r="H435">
            <v>0</v>
          </cell>
          <cell r="I435">
            <v>1</v>
          </cell>
          <cell r="J435">
            <v>3.05</v>
          </cell>
        </row>
        <row r="436">
          <cell r="A436" t="str">
            <v>PICTURE_435</v>
          </cell>
          <cell r="B436" t="str">
            <v>bell</v>
          </cell>
          <cell r="D436">
            <v>0.77115046200000004</v>
          </cell>
          <cell r="E436">
            <v>84.126984129999997</v>
          </cell>
          <cell r="F436">
            <v>63</v>
          </cell>
          <cell r="G436">
            <v>3</v>
          </cell>
          <cell r="H436">
            <v>34</v>
          </cell>
          <cell r="I436">
            <v>3</v>
          </cell>
          <cell r="J436">
            <v>2.11</v>
          </cell>
        </row>
        <row r="437">
          <cell r="A437" t="str">
            <v>PICTURE_436</v>
          </cell>
          <cell r="B437" t="str">
            <v>girl</v>
          </cell>
          <cell r="D437">
            <v>0.28639695700000001</v>
          </cell>
          <cell r="E437">
            <v>95</v>
          </cell>
          <cell r="F437">
            <v>100</v>
          </cell>
          <cell r="G437">
            <v>2</v>
          </cell>
          <cell r="H437">
            <v>0</v>
          </cell>
          <cell r="I437">
            <v>0</v>
          </cell>
          <cell r="J437">
            <v>2.6464646460000001</v>
          </cell>
        </row>
        <row r="438">
          <cell r="A438" t="str">
            <v>PICTURE_437</v>
          </cell>
          <cell r="B438" t="str">
            <v>cannon</v>
          </cell>
          <cell r="D438">
            <v>0.51984408400000004</v>
          </cell>
          <cell r="E438">
            <v>92.134831460000001</v>
          </cell>
          <cell r="F438">
            <v>89</v>
          </cell>
          <cell r="G438">
            <v>4</v>
          </cell>
          <cell r="H438">
            <v>10</v>
          </cell>
          <cell r="I438">
            <v>1</v>
          </cell>
          <cell r="J438">
            <v>2.74</v>
          </cell>
        </row>
        <row r="439">
          <cell r="A439" t="str">
            <v>PICTURE_438</v>
          </cell>
          <cell r="B439" t="str">
            <v>thumb</v>
          </cell>
          <cell r="D439">
            <v>0</v>
          </cell>
          <cell r="E439">
            <v>100</v>
          </cell>
          <cell r="F439">
            <v>99</v>
          </cell>
          <cell r="G439">
            <v>1</v>
          </cell>
          <cell r="H439">
            <v>1</v>
          </cell>
          <cell r="I439">
            <v>0</v>
          </cell>
          <cell r="J439">
            <v>2.2200000000000002</v>
          </cell>
        </row>
        <row r="440">
          <cell r="A440" t="str">
            <v>PICTURE_439</v>
          </cell>
          <cell r="B440" t="str">
            <v>volcano</v>
          </cell>
          <cell r="D440">
            <v>0.194391858</v>
          </cell>
          <cell r="E440">
            <v>97</v>
          </cell>
          <cell r="F440">
            <v>100</v>
          </cell>
          <cell r="G440">
            <v>2</v>
          </cell>
          <cell r="H440">
            <v>0</v>
          </cell>
          <cell r="I440">
            <v>0</v>
          </cell>
          <cell r="J440">
            <v>3.22</v>
          </cell>
        </row>
        <row r="441">
          <cell r="A441" t="str">
            <v>PICTURE_440</v>
          </cell>
          <cell r="B441" t="str">
            <v>statue</v>
          </cell>
          <cell r="D441">
            <v>0.71503082500000004</v>
          </cell>
          <cell r="E441">
            <v>87.755102039999997</v>
          </cell>
          <cell r="F441">
            <v>98</v>
          </cell>
          <cell r="G441">
            <v>4</v>
          </cell>
          <cell r="H441">
            <v>1</v>
          </cell>
          <cell r="I441">
            <v>1</v>
          </cell>
          <cell r="J441">
            <v>3.18</v>
          </cell>
        </row>
        <row r="442">
          <cell r="A442" t="str">
            <v>PICTURE_441</v>
          </cell>
          <cell r="B442" t="str">
            <v>sausage</v>
          </cell>
          <cell r="D442">
            <v>1.136390622</v>
          </cell>
          <cell r="E442">
            <v>75.308641980000004</v>
          </cell>
          <cell r="F442">
            <v>81</v>
          </cell>
          <cell r="G442">
            <v>4</v>
          </cell>
          <cell r="H442">
            <v>14</v>
          </cell>
          <cell r="I442">
            <v>5</v>
          </cell>
          <cell r="J442">
            <v>2.88</v>
          </cell>
        </row>
        <row r="443">
          <cell r="A443" t="str">
            <v>PICTURE_442</v>
          </cell>
          <cell r="B443" t="str">
            <v>pineapple</v>
          </cell>
          <cell r="D443">
            <v>0</v>
          </cell>
          <cell r="E443">
            <v>100</v>
          </cell>
          <cell r="F443">
            <v>99</v>
          </cell>
          <cell r="G443">
            <v>1</v>
          </cell>
          <cell r="H443">
            <v>1</v>
          </cell>
          <cell r="I443">
            <v>0</v>
          </cell>
          <cell r="J443">
            <v>2.89</v>
          </cell>
        </row>
        <row r="444">
          <cell r="A444" t="str">
            <v>PICTURE_443</v>
          </cell>
          <cell r="B444" t="str">
            <v>teacher</v>
          </cell>
          <cell r="D444">
            <v>0</v>
          </cell>
          <cell r="E444">
            <v>100</v>
          </cell>
          <cell r="F444">
            <v>99</v>
          </cell>
          <cell r="G444">
            <v>1</v>
          </cell>
          <cell r="H444">
            <v>0</v>
          </cell>
          <cell r="I444">
            <v>1</v>
          </cell>
          <cell r="J444">
            <v>2.83</v>
          </cell>
        </row>
        <row r="445">
          <cell r="A445" t="str">
            <v>PICTURE_444</v>
          </cell>
          <cell r="B445" t="str">
            <v>peep hole</v>
          </cell>
          <cell r="D445">
            <v>2.0317137280000002</v>
          </cell>
          <cell r="E445">
            <v>51.764705880000001</v>
          </cell>
          <cell r="F445">
            <v>85</v>
          </cell>
          <cell r="G445">
            <v>7</v>
          </cell>
          <cell r="H445">
            <v>13</v>
          </cell>
          <cell r="I445">
            <v>2</v>
          </cell>
          <cell r="J445">
            <v>2.88</v>
          </cell>
        </row>
        <row r="446">
          <cell r="A446" t="str">
            <v>PICTURE_445</v>
          </cell>
          <cell r="B446" t="str">
            <v>nest</v>
          </cell>
          <cell r="D446">
            <v>0</v>
          </cell>
          <cell r="E446">
            <v>100</v>
          </cell>
          <cell r="F446">
            <v>91</v>
          </cell>
          <cell r="G446">
            <v>1</v>
          </cell>
          <cell r="H446">
            <v>8</v>
          </cell>
          <cell r="I446">
            <v>1</v>
          </cell>
          <cell r="J446">
            <v>3.01</v>
          </cell>
        </row>
        <row r="447">
          <cell r="A447" t="str">
            <v>PICTURE_446</v>
          </cell>
          <cell r="B447" t="str">
            <v>pig</v>
          </cell>
          <cell r="D447">
            <v>0.52936086500000001</v>
          </cell>
          <cell r="E447">
            <v>88</v>
          </cell>
          <cell r="F447">
            <v>100</v>
          </cell>
          <cell r="G447">
            <v>2</v>
          </cell>
          <cell r="H447">
            <v>0</v>
          </cell>
          <cell r="I447">
            <v>0</v>
          </cell>
          <cell r="J447">
            <v>2.8080808080000002</v>
          </cell>
        </row>
        <row r="448">
          <cell r="A448" t="str">
            <v>PICTURE_447</v>
          </cell>
          <cell r="B448" t="str">
            <v>star</v>
          </cell>
          <cell r="D448">
            <v>0</v>
          </cell>
          <cell r="E448">
            <v>100</v>
          </cell>
          <cell r="F448">
            <v>100</v>
          </cell>
          <cell r="G448">
            <v>1</v>
          </cell>
          <cell r="H448">
            <v>0</v>
          </cell>
          <cell r="I448">
            <v>0</v>
          </cell>
          <cell r="J448">
            <v>1.2727272730000001</v>
          </cell>
        </row>
        <row r="449">
          <cell r="A449" t="str">
            <v>PICTURE_448</v>
          </cell>
          <cell r="B449" t="str">
            <v>jar</v>
          </cell>
          <cell r="D449">
            <v>0</v>
          </cell>
          <cell r="E449">
            <v>100</v>
          </cell>
          <cell r="F449">
            <v>96</v>
          </cell>
          <cell r="G449">
            <v>1</v>
          </cell>
          <cell r="H449">
            <v>1</v>
          </cell>
          <cell r="I449">
            <v>3</v>
          </cell>
          <cell r="J449">
            <v>1.8282828280000001</v>
          </cell>
        </row>
        <row r="450">
          <cell r="A450" t="str">
            <v>PICTURE_449</v>
          </cell>
          <cell r="B450" t="str">
            <v>bench</v>
          </cell>
          <cell r="D450">
            <v>0.141440543</v>
          </cell>
          <cell r="E450">
            <v>98</v>
          </cell>
          <cell r="F450">
            <v>100</v>
          </cell>
          <cell r="G450">
            <v>2</v>
          </cell>
          <cell r="H450">
            <v>0</v>
          </cell>
          <cell r="I450">
            <v>0</v>
          </cell>
          <cell r="J450">
            <v>2.2020202019999999</v>
          </cell>
        </row>
        <row r="451">
          <cell r="A451" t="str">
            <v>PICTURE_450</v>
          </cell>
          <cell r="B451" t="str">
            <v>magician</v>
          </cell>
          <cell r="D451">
            <v>0.84901512800000001</v>
          </cell>
          <cell r="E451">
            <v>84.61538462</v>
          </cell>
          <cell r="F451">
            <v>91</v>
          </cell>
          <cell r="G451">
            <v>4</v>
          </cell>
          <cell r="H451">
            <v>2</v>
          </cell>
          <cell r="I451">
            <v>7</v>
          </cell>
          <cell r="J451">
            <v>3.12</v>
          </cell>
        </row>
        <row r="452">
          <cell r="A452" t="str">
            <v>PICTURE_451</v>
          </cell>
          <cell r="B452" t="str">
            <v>king</v>
          </cell>
          <cell r="D452">
            <v>0</v>
          </cell>
          <cell r="E452">
            <v>100</v>
          </cell>
          <cell r="F452">
            <v>99</v>
          </cell>
          <cell r="G452">
            <v>1</v>
          </cell>
          <cell r="H452">
            <v>0</v>
          </cell>
          <cell r="I452">
            <v>1</v>
          </cell>
          <cell r="J452">
            <v>3.6597938139999999</v>
          </cell>
        </row>
        <row r="453">
          <cell r="A453" t="str">
            <v>PICTURE_452</v>
          </cell>
          <cell r="B453" t="str">
            <v>watch</v>
          </cell>
          <cell r="D453">
            <v>0</v>
          </cell>
          <cell r="E453">
            <v>100</v>
          </cell>
          <cell r="F453">
            <v>100</v>
          </cell>
          <cell r="G453">
            <v>1</v>
          </cell>
          <cell r="H453">
            <v>0</v>
          </cell>
          <cell r="I453">
            <v>0</v>
          </cell>
          <cell r="J453">
            <v>2.36</v>
          </cell>
        </row>
        <row r="454">
          <cell r="A454" t="str">
            <v>PICTURE_453</v>
          </cell>
          <cell r="B454" t="str">
            <v>scissors</v>
          </cell>
          <cell r="D454">
            <v>0</v>
          </cell>
          <cell r="E454">
            <v>100</v>
          </cell>
          <cell r="F454">
            <v>98</v>
          </cell>
          <cell r="G454">
            <v>1</v>
          </cell>
          <cell r="H454">
            <v>2</v>
          </cell>
          <cell r="I454">
            <v>0</v>
          </cell>
          <cell r="J454">
            <v>1.9</v>
          </cell>
        </row>
        <row r="455">
          <cell r="A455" t="str">
            <v>PICTURE_454</v>
          </cell>
          <cell r="B455" t="str">
            <v>chicken</v>
          </cell>
          <cell r="D455">
            <v>1.2704002619999999</v>
          </cell>
          <cell r="E455">
            <v>70.707070709999996</v>
          </cell>
          <cell r="F455">
            <v>99</v>
          </cell>
          <cell r="G455">
            <v>4</v>
          </cell>
          <cell r="H455">
            <v>0</v>
          </cell>
          <cell r="I455">
            <v>1</v>
          </cell>
          <cell r="J455">
            <v>3.17</v>
          </cell>
        </row>
        <row r="456">
          <cell r="A456" t="str">
            <v>PICTURE_455</v>
          </cell>
          <cell r="B456" t="str">
            <v>foot</v>
          </cell>
          <cell r="D456">
            <v>0.28639695700000001</v>
          </cell>
          <cell r="E456">
            <v>95</v>
          </cell>
          <cell r="F456">
            <v>100</v>
          </cell>
          <cell r="G456">
            <v>2</v>
          </cell>
          <cell r="H456">
            <v>0</v>
          </cell>
          <cell r="I456">
            <v>0</v>
          </cell>
          <cell r="J456">
            <v>1.85</v>
          </cell>
        </row>
        <row r="457">
          <cell r="A457" t="str">
            <v>PICTURE_456</v>
          </cell>
          <cell r="B457" t="str">
            <v>oil</v>
          </cell>
          <cell r="D457">
            <v>1.4489949849999999</v>
          </cell>
          <cell r="E457">
            <v>66.666666669999998</v>
          </cell>
          <cell r="F457">
            <v>87</v>
          </cell>
          <cell r="G457">
            <v>6</v>
          </cell>
          <cell r="H457">
            <v>9</v>
          </cell>
          <cell r="I457">
            <v>4</v>
          </cell>
          <cell r="J457">
            <v>2.75</v>
          </cell>
        </row>
        <row r="458">
          <cell r="A458" t="str">
            <v>PICTURE_457</v>
          </cell>
          <cell r="B458" t="str">
            <v>pyramid</v>
          </cell>
          <cell r="D458">
            <v>1.003776107</v>
          </cell>
          <cell r="E458">
            <v>81.395348839999997</v>
          </cell>
          <cell r="F458">
            <v>86</v>
          </cell>
          <cell r="G458">
            <v>5</v>
          </cell>
          <cell r="H458">
            <v>11</v>
          </cell>
          <cell r="I458">
            <v>3</v>
          </cell>
          <cell r="J458">
            <v>2.88</v>
          </cell>
        </row>
        <row r="459">
          <cell r="A459" t="str">
            <v>PICTURE_458</v>
          </cell>
          <cell r="B459" t="str">
            <v>wardrobe</v>
          </cell>
          <cell r="D459">
            <v>1.236612493</v>
          </cell>
          <cell r="E459">
            <v>71.578947369999995</v>
          </cell>
          <cell r="F459">
            <v>95</v>
          </cell>
          <cell r="G459">
            <v>5</v>
          </cell>
          <cell r="H459">
            <v>2</v>
          </cell>
          <cell r="I459">
            <v>3</v>
          </cell>
          <cell r="J459">
            <v>2.2799999999999998</v>
          </cell>
        </row>
        <row r="460">
          <cell r="A460" t="str">
            <v>PICTURE_459</v>
          </cell>
          <cell r="B460" t="str">
            <v>mine</v>
          </cell>
          <cell r="D460">
            <v>1.2306962809999999</v>
          </cell>
          <cell r="E460">
            <v>61.224489800000001</v>
          </cell>
          <cell r="F460">
            <v>98</v>
          </cell>
          <cell r="G460">
            <v>4</v>
          </cell>
          <cell r="H460">
            <v>2</v>
          </cell>
          <cell r="I460">
            <v>0</v>
          </cell>
          <cell r="J460">
            <v>3.46</v>
          </cell>
        </row>
        <row r="461">
          <cell r="A461" t="str">
            <v>PICTURE_460</v>
          </cell>
          <cell r="B461" t="str">
            <v>blanket</v>
          </cell>
          <cell r="D461">
            <v>1.4796507130000001</v>
          </cell>
          <cell r="E461">
            <v>59.793814429999998</v>
          </cell>
          <cell r="F461">
            <v>97</v>
          </cell>
          <cell r="G461">
            <v>4</v>
          </cell>
          <cell r="H461">
            <v>1</v>
          </cell>
          <cell r="I461">
            <v>2</v>
          </cell>
          <cell r="J461">
            <v>2.69</v>
          </cell>
        </row>
        <row r="462">
          <cell r="A462" t="str">
            <v>PICTURE_461</v>
          </cell>
          <cell r="B462" t="str">
            <v>gun</v>
          </cell>
          <cell r="D462">
            <v>0.46899559400000002</v>
          </cell>
          <cell r="E462">
            <v>90</v>
          </cell>
          <cell r="F462">
            <v>100</v>
          </cell>
          <cell r="G462">
            <v>2</v>
          </cell>
          <cell r="H462">
            <v>0</v>
          </cell>
          <cell r="I462">
            <v>0</v>
          </cell>
          <cell r="J462">
            <v>2.323232323</v>
          </cell>
        </row>
        <row r="463">
          <cell r="A463" t="str">
            <v>PICTURE_462</v>
          </cell>
          <cell r="B463" t="str">
            <v>fly</v>
          </cell>
          <cell r="D463">
            <v>0.63186529499999999</v>
          </cell>
          <cell r="E463">
            <v>89.69072165</v>
          </cell>
          <cell r="F463">
            <v>97</v>
          </cell>
          <cell r="G463">
            <v>4</v>
          </cell>
          <cell r="H463">
            <v>1</v>
          </cell>
          <cell r="I463">
            <v>2</v>
          </cell>
          <cell r="J463">
            <v>3.53</v>
          </cell>
        </row>
        <row r="464">
          <cell r="A464" t="str">
            <v>PICTURE_463</v>
          </cell>
          <cell r="B464" t="str">
            <v>rectangle</v>
          </cell>
          <cell r="D464">
            <v>1.381740059</v>
          </cell>
          <cell r="E464">
            <v>70.707070709999996</v>
          </cell>
          <cell r="F464">
            <v>99</v>
          </cell>
          <cell r="G464">
            <v>5</v>
          </cell>
          <cell r="H464">
            <v>0</v>
          </cell>
          <cell r="I464">
            <v>1</v>
          </cell>
          <cell r="J464">
            <v>1.262626263</v>
          </cell>
        </row>
        <row r="465">
          <cell r="A465" t="str">
            <v>PICTURE_464</v>
          </cell>
          <cell r="B465" t="str">
            <v>rubber</v>
          </cell>
          <cell r="D465">
            <v>0.92470720900000003</v>
          </cell>
          <cell r="E465">
            <v>75</v>
          </cell>
          <cell r="F465">
            <v>84</v>
          </cell>
          <cell r="G465">
            <v>3</v>
          </cell>
          <cell r="H465">
            <v>13</v>
          </cell>
          <cell r="I465">
            <v>3</v>
          </cell>
          <cell r="J465">
            <v>2.2400000000000002</v>
          </cell>
        </row>
        <row r="466">
          <cell r="A466" t="str">
            <v>PICTURE_465</v>
          </cell>
          <cell r="B466" t="str">
            <v>knife</v>
          </cell>
          <cell r="D466">
            <v>1.1342367229999999</v>
          </cell>
          <cell r="E466">
            <v>76.288659789999997</v>
          </cell>
          <cell r="F466">
            <v>97</v>
          </cell>
          <cell r="G466">
            <v>4</v>
          </cell>
          <cell r="H466">
            <v>1</v>
          </cell>
          <cell r="I466">
            <v>2</v>
          </cell>
          <cell r="J466">
            <v>2.5656565659999999</v>
          </cell>
        </row>
        <row r="467">
          <cell r="A467" t="str">
            <v>PICTURE_466</v>
          </cell>
          <cell r="B467" t="str">
            <v>judge</v>
          </cell>
          <cell r="D467">
            <v>0.39785271</v>
          </cell>
          <cell r="E467">
            <v>93.684210530000001</v>
          </cell>
          <cell r="F467">
            <v>95</v>
          </cell>
          <cell r="G467">
            <v>3</v>
          </cell>
          <cell r="H467">
            <v>2</v>
          </cell>
          <cell r="I467">
            <v>3</v>
          </cell>
          <cell r="J467">
            <v>3.09</v>
          </cell>
        </row>
        <row r="468">
          <cell r="A468" t="str">
            <v>PICTURE_467</v>
          </cell>
          <cell r="B468" t="str">
            <v>peg</v>
          </cell>
          <cell r="D468">
            <v>0.42304881599999999</v>
          </cell>
          <cell r="E468">
            <v>91.397849460000003</v>
          </cell>
          <cell r="F468">
            <v>93</v>
          </cell>
          <cell r="G468">
            <v>2</v>
          </cell>
          <cell r="H468">
            <v>4</v>
          </cell>
          <cell r="I468">
            <v>3</v>
          </cell>
          <cell r="J468">
            <v>2.11</v>
          </cell>
        </row>
        <row r="469">
          <cell r="A469" t="str">
            <v>PICTURE_468</v>
          </cell>
          <cell r="B469" t="str">
            <v>screen</v>
          </cell>
          <cell r="D469">
            <v>1.8937273649999999</v>
          </cell>
          <cell r="E469">
            <v>35.353535350000001</v>
          </cell>
          <cell r="F469">
            <v>99</v>
          </cell>
          <cell r="G469">
            <v>4</v>
          </cell>
          <cell r="H469">
            <v>0</v>
          </cell>
          <cell r="I469">
            <v>1</v>
          </cell>
          <cell r="J469">
            <v>2.23</v>
          </cell>
        </row>
        <row r="470">
          <cell r="A470" t="str">
            <v>PICTURE_469</v>
          </cell>
          <cell r="B470" t="str">
            <v>stool</v>
          </cell>
          <cell r="D470">
            <v>1.194281143</v>
          </cell>
          <cell r="E470">
            <v>59.793814429999998</v>
          </cell>
          <cell r="F470">
            <v>97</v>
          </cell>
          <cell r="G470">
            <v>3</v>
          </cell>
          <cell r="H470">
            <v>1</v>
          </cell>
          <cell r="I470">
            <v>2</v>
          </cell>
          <cell r="J470">
            <v>2.0699999999999998</v>
          </cell>
        </row>
        <row r="471">
          <cell r="A471" t="str">
            <v>PICTURE_470</v>
          </cell>
          <cell r="B471" t="str">
            <v>motorbike</v>
          </cell>
          <cell r="D471">
            <v>2.077386808</v>
          </cell>
          <cell r="E471">
            <v>39.795918370000003</v>
          </cell>
          <cell r="F471">
            <v>98</v>
          </cell>
          <cell r="G471">
            <v>5</v>
          </cell>
          <cell r="H471">
            <v>0</v>
          </cell>
          <cell r="I471">
            <v>2</v>
          </cell>
          <cell r="J471">
            <v>3.59</v>
          </cell>
        </row>
        <row r="472">
          <cell r="A472" t="str">
            <v>PICTURE_471</v>
          </cell>
          <cell r="B472" t="str">
            <v>delivery man</v>
          </cell>
          <cell r="D472">
            <v>1.5785341070000001</v>
          </cell>
          <cell r="E472">
            <v>64.893617019999994</v>
          </cell>
          <cell r="F472">
            <v>94</v>
          </cell>
          <cell r="G472">
            <v>6</v>
          </cell>
          <cell r="H472">
            <v>1</v>
          </cell>
          <cell r="I472">
            <v>5</v>
          </cell>
          <cell r="J472">
            <v>2.9</v>
          </cell>
        </row>
        <row r="473">
          <cell r="A473" t="str">
            <v>PICTURE_472</v>
          </cell>
          <cell r="B473" t="str">
            <v>square</v>
          </cell>
          <cell r="D473">
            <v>0.80212243000000005</v>
          </cell>
          <cell r="E473">
            <v>82.653061219999998</v>
          </cell>
          <cell r="F473">
            <v>98</v>
          </cell>
          <cell r="G473">
            <v>3</v>
          </cell>
          <cell r="H473">
            <v>0</v>
          </cell>
          <cell r="I473">
            <v>2</v>
          </cell>
          <cell r="J473">
            <v>1.25</v>
          </cell>
        </row>
        <row r="474">
          <cell r="A474" t="str">
            <v>PICTURE_473</v>
          </cell>
          <cell r="B474" t="str">
            <v>arm</v>
          </cell>
          <cell r="D474">
            <v>0.14257333</v>
          </cell>
          <cell r="E474">
            <v>97.979797980000001</v>
          </cell>
          <cell r="F474">
            <v>99</v>
          </cell>
          <cell r="G474">
            <v>2</v>
          </cell>
          <cell r="H474">
            <v>0</v>
          </cell>
          <cell r="I474">
            <v>1</v>
          </cell>
          <cell r="J474">
            <v>1.93</v>
          </cell>
        </row>
        <row r="475">
          <cell r="A475" t="str">
            <v>PICTURE_474</v>
          </cell>
          <cell r="B475" t="str">
            <v>money</v>
          </cell>
          <cell r="D475">
            <v>1.096139159</v>
          </cell>
          <cell r="E475">
            <v>63.636363639999999</v>
          </cell>
          <cell r="F475">
            <v>99</v>
          </cell>
          <cell r="G475">
            <v>3</v>
          </cell>
          <cell r="H475">
            <v>1</v>
          </cell>
          <cell r="I475">
            <v>0</v>
          </cell>
          <cell r="J475">
            <v>3.05</v>
          </cell>
        </row>
        <row r="476">
          <cell r="A476" t="str">
            <v>PICTURE_475</v>
          </cell>
          <cell r="B476" t="str">
            <v>tram</v>
          </cell>
          <cell r="D476">
            <v>1.2899924899999999</v>
          </cell>
          <cell r="E476">
            <v>52.040816329999998</v>
          </cell>
          <cell r="F476">
            <v>98</v>
          </cell>
          <cell r="G476">
            <v>3</v>
          </cell>
          <cell r="H476">
            <v>1</v>
          </cell>
          <cell r="I476">
            <v>1</v>
          </cell>
          <cell r="J476">
            <v>3.26</v>
          </cell>
        </row>
        <row r="477">
          <cell r="A477" t="str">
            <v>PICTURE_476</v>
          </cell>
          <cell r="B477" t="str">
            <v>apron</v>
          </cell>
          <cell r="D477">
            <v>0</v>
          </cell>
          <cell r="E477">
            <v>100</v>
          </cell>
          <cell r="F477">
            <v>94</v>
          </cell>
          <cell r="G477">
            <v>1</v>
          </cell>
          <cell r="H477">
            <v>2</v>
          </cell>
          <cell r="I477">
            <v>4</v>
          </cell>
          <cell r="J477">
            <v>2.56</v>
          </cell>
        </row>
        <row r="478">
          <cell r="A478" t="str">
            <v>PICTURE_477</v>
          </cell>
          <cell r="B478" t="str">
            <v>avocado</v>
          </cell>
          <cell r="D478">
            <v>0.39124356399999999</v>
          </cell>
          <cell r="E478">
            <v>92.307692309999993</v>
          </cell>
          <cell r="F478">
            <v>78</v>
          </cell>
          <cell r="G478">
            <v>2</v>
          </cell>
          <cell r="H478">
            <v>19</v>
          </cell>
          <cell r="I478">
            <v>3</v>
          </cell>
          <cell r="J478">
            <v>2.4700000000000002</v>
          </cell>
        </row>
        <row r="479">
          <cell r="A479" t="str">
            <v>PICTURE_478</v>
          </cell>
          <cell r="B479" t="str">
            <v>sink</v>
          </cell>
          <cell r="D479">
            <v>0</v>
          </cell>
          <cell r="E479">
            <v>100</v>
          </cell>
          <cell r="F479">
            <v>100</v>
          </cell>
          <cell r="G479">
            <v>1</v>
          </cell>
          <cell r="H479">
            <v>0</v>
          </cell>
          <cell r="I479">
            <v>0</v>
          </cell>
          <cell r="J479">
            <v>2.4700000000000002</v>
          </cell>
        </row>
        <row r="480">
          <cell r="A480" t="str">
            <v>PICTURE_479</v>
          </cell>
          <cell r="B480" t="str">
            <v>kangaroo</v>
          </cell>
          <cell r="D480">
            <v>0</v>
          </cell>
          <cell r="E480">
            <v>100</v>
          </cell>
          <cell r="F480">
            <v>97</v>
          </cell>
          <cell r="G480">
            <v>1</v>
          </cell>
          <cell r="H480">
            <v>2</v>
          </cell>
          <cell r="I480">
            <v>1</v>
          </cell>
          <cell r="J480">
            <v>2.84</v>
          </cell>
        </row>
        <row r="481">
          <cell r="A481" t="str">
            <v>PICTURE_480</v>
          </cell>
          <cell r="B481" t="str">
            <v>rose</v>
          </cell>
          <cell r="D481">
            <v>0</v>
          </cell>
          <cell r="E481">
            <v>100</v>
          </cell>
          <cell r="F481">
            <v>100</v>
          </cell>
          <cell r="G481">
            <v>1</v>
          </cell>
          <cell r="H481">
            <v>0</v>
          </cell>
          <cell r="I481">
            <v>0</v>
          </cell>
          <cell r="J481">
            <v>2.8</v>
          </cell>
        </row>
        <row r="482">
          <cell r="A482" t="str">
            <v>PICTURE_481</v>
          </cell>
          <cell r="B482" t="str">
            <v>curb</v>
          </cell>
          <cell r="D482">
            <v>1.5028829429999999</v>
          </cell>
          <cell r="E482">
            <v>56.626506020000001</v>
          </cell>
          <cell r="F482">
            <v>83</v>
          </cell>
          <cell r="G482">
            <v>4</v>
          </cell>
          <cell r="H482">
            <v>8</v>
          </cell>
          <cell r="I482">
            <v>9</v>
          </cell>
          <cell r="J482">
            <v>2.74</v>
          </cell>
        </row>
        <row r="483">
          <cell r="A483" t="str">
            <v>PICTURE_482</v>
          </cell>
          <cell r="B483" t="str">
            <v>boat</v>
          </cell>
          <cell r="D483">
            <v>0.81718902000000004</v>
          </cell>
          <cell r="E483">
            <v>82.653061219999998</v>
          </cell>
          <cell r="F483">
            <v>98</v>
          </cell>
          <cell r="G483">
            <v>3</v>
          </cell>
          <cell r="H483">
            <v>1</v>
          </cell>
          <cell r="I483">
            <v>1</v>
          </cell>
          <cell r="J483">
            <v>2.6262626259999999</v>
          </cell>
        </row>
        <row r="484">
          <cell r="A484" t="str">
            <v>PICTURE_483</v>
          </cell>
          <cell r="B484" t="str">
            <v>corridor</v>
          </cell>
          <cell r="D484">
            <v>1.411539189</v>
          </cell>
          <cell r="E484">
            <v>44.444444439999998</v>
          </cell>
          <cell r="F484">
            <v>99</v>
          </cell>
          <cell r="G484">
            <v>3</v>
          </cell>
          <cell r="H484">
            <v>1</v>
          </cell>
          <cell r="I484">
            <v>0</v>
          </cell>
          <cell r="J484">
            <v>2.4444444440000002</v>
          </cell>
        </row>
        <row r="485">
          <cell r="A485" t="str">
            <v>PICTURE_484</v>
          </cell>
          <cell r="B485" t="str">
            <v>squirrel</v>
          </cell>
          <cell r="D485">
            <v>0</v>
          </cell>
          <cell r="E485">
            <v>100</v>
          </cell>
          <cell r="F485">
            <v>97</v>
          </cell>
          <cell r="G485">
            <v>1</v>
          </cell>
          <cell r="H485">
            <v>2</v>
          </cell>
          <cell r="I485">
            <v>1</v>
          </cell>
          <cell r="J485">
            <v>3.13</v>
          </cell>
        </row>
        <row r="486">
          <cell r="A486" t="str">
            <v>PICTURE_485</v>
          </cell>
          <cell r="B486" t="str">
            <v>nail</v>
          </cell>
          <cell r="D486">
            <v>1.1364853939999999</v>
          </cell>
          <cell r="E486">
            <v>73.404255320000004</v>
          </cell>
          <cell r="F486">
            <v>94</v>
          </cell>
          <cell r="G486">
            <v>4</v>
          </cell>
          <cell r="H486">
            <v>4</v>
          </cell>
          <cell r="I486">
            <v>2</v>
          </cell>
          <cell r="J486">
            <v>1.88</v>
          </cell>
        </row>
        <row r="487">
          <cell r="A487" t="str">
            <v>PICTURE_486</v>
          </cell>
          <cell r="B487" t="str">
            <v>cell</v>
          </cell>
          <cell r="D487">
            <v>1.273667611</v>
          </cell>
          <cell r="E487">
            <v>64.646464649999999</v>
          </cell>
          <cell r="F487">
            <v>99</v>
          </cell>
          <cell r="G487">
            <v>3</v>
          </cell>
          <cell r="H487">
            <v>0</v>
          </cell>
          <cell r="I487">
            <v>1</v>
          </cell>
          <cell r="J487">
            <v>3.04</v>
          </cell>
        </row>
        <row r="488">
          <cell r="A488" t="str">
            <v>PICTURE_487</v>
          </cell>
          <cell r="B488" t="str">
            <v>basket</v>
          </cell>
          <cell r="D488">
            <v>0</v>
          </cell>
          <cell r="E488">
            <v>100</v>
          </cell>
          <cell r="F488">
            <v>99</v>
          </cell>
          <cell r="G488">
            <v>1</v>
          </cell>
          <cell r="H488">
            <v>1</v>
          </cell>
          <cell r="I488">
            <v>0</v>
          </cell>
          <cell r="J488">
            <v>2.8787878789999999</v>
          </cell>
        </row>
        <row r="489">
          <cell r="A489" t="str">
            <v>PICTURE_488</v>
          </cell>
          <cell r="B489" t="str">
            <v>sun</v>
          </cell>
          <cell r="D489">
            <v>0</v>
          </cell>
          <cell r="E489">
            <v>100</v>
          </cell>
          <cell r="F489">
            <v>100</v>
          </cell>
          <cell r="G489">
            <v>1</v>
          </cell>
          <cell r="H489">
            <v>0</v>
          </cell>
          <cell r="I489">
            <v>0</v>
          </cell>
          <cell r="J489">
            <v>1.84</v>
          </cell>
        </row>
        <row r="490">
          <cell r="A490" t="str">
            <v>PICTURE_489</v>
          </cell>
          <cell r="B490" t="str">
            <v>pizza</v>
          </cell>
          <cell r="D490">
            <v>0</v>
          </cell>
          <cell r="E490">
            <v>100</v>
          </cell>
          <cell r="F490">
            <v>100</v>
          </cell>
          <cell r="G490">
            <v>1</v>
          </cell>
          <cell r="H490">
            <v>0</v>
          </cell>
          <cell r="I490">
            <v>0</v>
          </cell>
          <cell r="J490">
            <v>2.71</v>
          </cell>
        </row>
        <row r="491">
          <cell r="A491" t="str">
            <v>PICTURE_490</v>
          </cell>
          <cell r="B491" t="str">
            <v>handle</v>
          </cell>
          <cell r="D491">
            <v>0.47413276599999998</v>
          </cell>
          <cell r="E491">
            <v>91.83673469</v>
          </cell>
          <cell r="F491">
            <v>98</v>
          </cell>
          <cell r="G491">
            <v>3</v>
          </cell>
          <cell r="H491">
            <v>1</v>
          </cell>
          <cell r="I491">
            <v>1</v>
          </cell>
          <cell r="J491">
            <v>2.17</v>
          </cell>
        </row>
        <row r="492">
          <cell r="A492" t="str">
            <v>PICTURE_491</v>
          </cell>
          <cell r="B492" t="str">
            <v>rug</v>
          </cell>
          <cell r="D492">
            <v>1.0436352330000001</v>
          </cell>
          <cell r="E492">
            <v>74.747474749999995</v>
          </cell>
          <cell r="F492">
            <v>99</v>
          </cell>
          <cell r="G492">
            <v>3</v>
          </cell>
          <cell r="H492">
            <v>0</v>
          </cell>
          <cell r="I492">
            <v>1</v>
          </cell>
          <cell r="J492">
            <v>2.2999999999999998</v>
          </cell>
        </row>
        <row r="493">
          <cell r="A493" t="str">
            <v>PICTURE_492</v>
          </cell>
          <cell r="B493" t="str">
            <v>nun</v>
          </cell>
          <cell r="D493">
            <v>0.350563821</v>
          </cell>
          <cell r="E493">
            <v>93.406593409999999</v>
          </cell>
          <cell r="F493">
            <v>91</v>
          </cell>
          <cell r="G493">
            <v>2</v>
          </cell>
          <cell r="H493">
            <v>5</v>
          </cell>
          <cell r="I493">
            <v>4</v>
          </cell>
          <cell r="J493">
            <v>3.01</v>
          </cell>
        </row>
        <row r="494">
          <cell r="A494" t="str">
            <v>PICTURE_493</v>
          </cell>
          <cell r="B494" t="str">
            <v>skunk</v>
          </cell>
          <cell r="D494">
            <v>0.55189961600000004</v>
          </cell>
          <cell r="E494">
            <v>90.217391300000003</v>
          </cell>
          <cell r="F494">
            <v>92</v>
          </cell>
          <cell r="G494">
            <v>3</v>
          </cell>
          <cell r="H494">
            <v>6</v>
          </cell>
          <cell r="I494">
            <v>2</v>
          </cell>
          <cell r="J494">
            <v>3.32</v>
          </cell>
        </row>
        <row r="495">
          <cell r="A495" t="str">
            <v>PICTURE_494</v>
          </cell>
          <cell r="B495" t="str">
            <v>moustache</v>
          </cell>
          <cell r="D495">
            <v>0</v>
          </cell>
          <cell r="E495">
            <v>100</v>
          </cell>
          <cell r="F495">
            <v>97</v>
          </cell>
          <cell r="G495">
            <v>1</v>
          </cell>
          <cell r="H495">
            <v>2</v>
          </cell>
          <cell r="I495">
            <v>1</v>
          </cell>
          <cell r="J495">
            <v>3.11</v>
          </cell>
        </row>
        <row r="496">
          <cell r="A496" t="str">
            <v>PICTURE_495</v>
          </cell>
          <cell r="B496" t="str">
            <v>harbour</v>
          </cell>
          <cell r="D496">
            <v>2.7093762610000001</v>
          </cell>
          <cell r="E496">
            <v>40.909090910000003</v>
          </cell>
          <cell r="F496">
            <v>88</v>
          </cell>
          <cell r="G496">
            <v>11</v>
          </cell>
          <cell r="H496">
            <v>5</v>
          </cell>
          <cell r="I496">
            <v>7</v>
          </cell>
          <cell r="J496">
            <v>3.62</v>
          </cell>
        </row>
        <row r="497">
          <cell r="A497" t="str">
            <v>PICTURE_496</v>
          </cell>
          <cell r="B497" t="str">
            <v>circle</v>
          </cell>
          <cell r="D497">
            <v>0</v>
          </cell>
          <cell r="E497">
            <v>100</v>
          </cell>
          <cell r="F497">
            <v>99</v>
          </cell>
          <cell r="G497">
            <v>1</v>
          </cell>
          <cell r="H497">
            <v>1</v>
          </cell>
          <cell r="I497">
            <v>0</v>
          </cell>
          <cell r="J497">
            <v>1.29</v>
          </cell>
        </row>
        <row r="498">
          <cell r="A498" t="str">
            <v>PICTURE_497</v>
          </cell>
          <cell r="B498" t="str">
            <v>coffin</v>
          </cell>
          <cell r="D498">
            <v>0.291548959</v>
          </cell>
          <cell r="E498">
            <v>95.833333330000002</v>
          </cell>
          <cell r="F498">
            <v>96</v>
          </cell>
          <cell r="G498">
            <v>3</v>
          </cell>
          <cell r="H498">
            <v>1</v>
          </cell>
          <cell r="I498">
            <v>3</v>
          </cell>
          <cell r="J498">
            <v>2.17</v>
          </cell>
        </row>
        <row r="499">
          <cell r="A499" t="str">
            <v>PICTURE_498</v>
          </cell>
          <cell r="B499" t="str">
            <v>mug</v>
          </cell>
          <cell r="D499">
            <v>1.2733810480000001</v>
          </cell>
          <cell r="E499">
            <v>55</v>
          </cell>
          <cell r="F499">
            <v>100</v>
          </cell>
          <cell r="G499">
            <v>3</v>
          </cell>
          <cell r="H499">
            <v>0</v>
          </cell>
          <cell r="I499">
            <v>0</v>
          </cell>
          <cell r="J499">
            <v>1.868686869</v>
          </cell>
        </row>
        <row r="500">
          <cell r="A500" t="str">
            <v>PICTURE_499</v>
          </cell>
          <cell r="B500" t="str">
            <v>boy</v>
          </cell>
          <cell r="D500">
            <v>0.676197461</v>
          </cell>
          <cell r="E500">
            <v>85.714285709999999</v>
          </cell>
          <cell r="F500">
            <v>98</v>
          </cell>
          <cell r="G500">
            <v>3</v>
          </cell>
          <cell r="H500">
            <v>0</v>
          </cell>
          <cell r="I500">
            <v>2</v>
          </cell>
          <cell r="J500">
            <v>2.73</v>
          </cell>
        </row>
        <row r="501">
          <cell r="A501" t="str">
            <v>PICTURE_500</v>
          </cell>
          <cell r="B501" t="str">
            <v>stairs</v>
          </cell>
          <cell r="D501">
            <v>0.97650046899999998</v>
          </cell>
          <cell r="E501">
            <v>59</v>
          </cell>
          <cell r="F501">
            <v>100</v>
          </cell>
          <cell r="G501">
            <v>2</v>
          </cell>
          <cell r="H501">
            <v>0</v>
          </cell>
          <cell r="I501">
            <v>0</v>
          </cell>
          <cell r="J501">
            <v>2.74</v>
          </cell>
        </row>
        <row r="502">
          <cell r="A502" t="str">
            <v>PICTURE_501</v>
          </cell>
          <cell r="B502" t="str">
            <v>shield</v>
          </cell>
          <cell r="D502">
            <v>0.15240699899999999</v>
          </cell>
          <cell r="E502">
            <v>97.802197800000002</v>
          </cell>
          <cell r="F502">
            <v>91</v>
          </cell>
          <cell r="G502">
            <v>2</v>
          </cell>
          <cell r="H502">
            <v>7</v>
          </cell>
          <cell r="I502">
            <v>2</v>
          </cell>
          <cell r="J502">
            <v>2.7</v>
          </cell>
        </row>
        <row r="503">
          <cell r="A503" t="str">
            <v>PICTURE_502</v>
          </cell>
          <cell r="B503" t="str">
            <v>farmer</v>
          </cell>
          <cell r="D503">
            <v>1.2522568999999999</v>
          </cell>
          <cell r="E503">
            <v>63.440860219999998</v>
          </cell>
          <cell r="F503">
            <v>93</v>
          </cell>
          <cell r="G503">
            <v>4</v>
          </cell>
          <cell r="H503">
            <v>3</v>
          </cell>
          <cell r="I503">
            <v>4</v>
          </cell>
          <cell r="J503">
            <v>3.1919191919999998</v>
          </cell>
        </row>
        <row r="504">
          <cell r="A504" t="str">
            <v>PICTURE_503</v>
          </cell>
          <cell r="B504" t="str">
            <v>tongue</v>
          </cell>
          <cell r="D504">
            <v>0.24229218899999999</v>
          </cell>
          <cell r="E504">
            <v>96</v>
          </cell>
          <cell r="F504">
            <v>100</v>
          </cell>
          <cell r="G504">
            <v>2</v>
          </cell>
          <cell r="H504">
            <v>0</v>
          </cell>
          <cell r="I504">
            <v>0</v>
          </cell>
          <cell r="J504">
            <v>1.89</v>
          </cell>
        </row>
        <row r="505">
          <cell r="A505" t="str">
            <v>PICTURE_504</v>
          </cell>
          <cell r="B505" t="str">
            <v>wheel</v>
          </cell>
          <cell r="D505">
            <v>1.3010531620000001</v>
          </cell>
          <cell r="E505">
            <v>70</v>
          </cell>
          <cell r="F505">
            <v>90</v>
          </cell>
          <cell r="G505">
            <v>4</v>
          </cell>
          <cell r="H505">
            <v>7</v>
          </cell>
          <cell r="I505">
            <v>3</v>
          </cell>
          <cell r="J505">
            <v>2.3877551019999999</v>
          </cell>
        </row>
        <row r="506">
          <cell r="A506" t="str">
            <v>PICTURE_505</v>
          </cell>
          <cell r="B506" t="str">
            <v>book</v>
          </cell>
          <cell r="D506">
            <v>0</v>
          </cell>
          <cell r="E506">
            <v>100</v>
          </cell>
          <cell r="F506">
            <v>100</v>
          </cell>
          <cell r="G506">
            <v>1</v>
          </cell>
          <cell r="H506">
            <v>0</v>
          </cell>
          <cell r="I506">
            <v>0</v>
          </cell>
          <cell r="J506">
            <v>2.2999999999999998</v>
          </cell>
        </row>
        <row r="507">
          <cell r="A507" t="str">
            <v>PICTURE_506</v>
          </cell>
          <cell r="B507" t="str">
            <v>lightning</v>
          </cell>
          <cell r="D507">
            <v>0.64030003700000004</v>
          </cell>
          <cell r="E507">
            <v>87.62886598</v>
          </cell>
          <cell r="F507">
            <v>97</v>
          </cell>
          <cell r="G507">
            <v>3</v>
          </cell>
          <cell r="H507">
            <v>1</v>
          </cell>
          <cell r="I507">
            <v>2</v>
          </cell>
          <cell r="J507">
            <v>2.86</v>
          </cell>
        </row>
        <row r="508">
          <cell r="A508" t="str">
            <v>PICTURE_507</v>
          </cell>
          <cell r="B508" t="str">
            <v>baby</v>
          </cell>
          <cell r="D508">
            <v>0</v>
          </cell>
          <cell r="E508">
            <v>100</v>
          </cell>
          <cell r="F508">
            <v>99</v>
          </cell>
          <cell r="G508">
            <v>1</v>
          </cell>
          <cell r="H508">
            <v>0</v>
          </cell>
          <cell r="I508">
            <v>1</v>
          </cell>
          <cell r="J508">
            <v>3.08</v>
          </cell>
        </row>
        <row r="509">
          <cell r="A509" t="str">
            <v>PICTURE_508</v>
          </cell>
          <cell r="B509" t="str">
            <v>box</v>
          </cell>
          <cell r="D509">
            <v>0</v>
          </cell>
          <cell r="E509">
            <v>100</v>
          </cell>
          <cell r="F509">
            <v>100</v>
          </cell>
          <cell r="G509">
            <v>1</v>
          </cell>
          <cell r="H509">
            <v>0</v>
          </cell>
          <cell r="I509">
            <v>0</v>
          </cell>
          <cell r="J509">
            <v>1.83</v>
          </cell>
        </row>
        <row r="510">
          <cell r="A510" t="str">
            <v>PICTURE_509</v>
          </cell>
          <cell r="B510" t="str">
            <v>telephone</v>
          </cell>
          <cell r="D510">
            <v>0</v>
          </cell>
          <cell r="E510">
            <v>100</v>
          </cell>
          <cell r="F510">
            <v>99</v>
          </cell>
          <cell r="G510">
            <v>1</v>
          </cell>
          <cell r="H510">
            <v>0</v>
          </cell>
          <cell r="I510">
            <v>1</v>
          </cell>
          <cell r="J510">
            <v>2.48</v>
          </cell>
        </row>
        <row r="511">
          <cell r="A511" t="str">
            <v>PICTURE_510</v>
          </cell>
          <cell r="B511" t="str">
            <v>face</v>
          </cell>
          <cell r="D511">
            <v>0.195909271</v>
          </cell>
          <cell r="E511">
            <v>96.969696970000001</v>
          </cell>
          <cell r="F511">
            <v>99</v>
          </cell>
          <cell r="G511">
            <v>2</v>
          </cell>
          <cell r="H511">
            <v>0</v>
          </cell>
          <cell r="I511">
            <v>1</v>
          </cell>
          <cell r="J511">
            <v>2.59</v>
          </cell>
        </row>
        <row r="512">
          <cell r="A512" t="str">
            <v>PICTURE_511</v>
          </cell>
          <cell r="B512" t="str">
            <v>leg (of meat)</v>
          </cell>
          <cell r="D512">
            <v>1.6788628619999999</v>
          </cell>
          <cell r="E512">
            <v>52.5</v>
          </cell>
          <cell r="F512">
            <v>40</v>
          </cell>
          <cell r="G512">
            <v>4</v>
          </cell>
          <cell r="H512">
            <v>54</v>
          </cell>
          <cell r="I512">
            <v>6</v>
          </cell>
          <cell r="J512">
            <v>3.31</v>
          </cell>
        </row>
        <row r="513">
          <cell r="A513" t="str">
            <v>PICTURE_512</v>
          </cell>
          <cell r="B513" t="str">
            <v>eye patch</v>
          </cell>
          <cell r="D513">
            <v>0.68770677499999999</v>
          </cell>
          <cell r="E513">
            <v>86.597938139999997</v>
          </cell>
          <cell r="F513">
            <v>97</v>
          </cell>
          <cell r="G513">
            <v>3</v>
          </cell>
          <cell r="H513">
            <v>2</v>
          </cell>
          <cell r="I513">
            <v>1</v>
          </cell>
          <cell r="J513">
            <v>2.17</v>
          </cell>
        </row>
        <row r="514">
          <cell r="A514" t="str">
            <v>PICTURE_513</v>
          </cell>
          <cell r="B514" t="str">
            <v>lips</v>
          </cell>
          <cell r="D514">
            <v>0</v>
          </cell>
          <cell r="E514">
            <v>100</v>
          </cell>
          <cell r="F514">
            <v>98</v>
          </cell>
          <cell r="G514">
            <v>1</v>
          </cell>
          <cell r="H514">
            <v>0</v>
          </cell>
          <cell r="I514">
            <v>2</v>
          </cell>
          <cell r="J514">
            <v>2.69</v>
          </cell>
        </row>
        <row r="515">
          <cell r="A515" t="str">
            <v>PICTURE_514</v>
          </cell>
          <cell r="B515" t="str">
            <v>submarine</v>
          </cell>
          <cell r="D515">
            <v>0.368115005</v>
          </cell>
          <cell r="E515">
            <v>92.941176470000002</v>
          </cell>
          <cell r="F515">
            <v>85</v>
          </cell>
          <cell r="G515">
            <v>2</v>
          </cell>
          <cell r="H515">
            <v>7</v>
          </cell>
          <cell r="I515">
            <v>8</v>
          </cell>
          <cell r="J515">
            <v>2.52</v>
          </cell>
        </row>
        <row r="516">
          <cell r="A516" t="str">
            <v>PICTURE_515</v>
          </cell>
          <cell r="B516" t="str">
            <v>flowers</v>
          </cell>
          <cell r="D516">
            <v>1.6777933519999999</v>
          </cell>
          <cell r="E516">
            <v>64</v>
          </cell>
          <cell r="F516">
            <v>100</v>
          </cell>
          <cell r="G516">
            <v>6</v>
          </cell>
          <cell r="H516">
            <v>0</v>
          </cell>
          <cell r="I516">
            <v>0</v>
          </cell>
          <cell r="J516">
            <v>2.54</v>
          </cell>
        </row>
        <row r="517">
          <cell r="A517" t="str">
            <v>PICTURE_516</v>
          </cell>
          <cell r="B517" t="str">
            <v>calculator</v>
          </cell>
          <cell r="D517">
            <v>0</v>
          </cell>
          <cell r="E517">
            <v>100</v>
          </cell>
          <cell r="F517">
            <v>100</v>
          </cell>
          <cell r="G517">
            <v>1</v>
          </cell>
          <cell r="H517">
            <v>0</v>
          </cell>
          <cell r="I517">
            <v>0</v>
          </cell>
          <cell r="J517">
            <v>2.19</v>
          </cell>
        </row>
        <row r="518">
          <cell r="A518" t="str">
            <v>PICTURE_517</v>
          </cell>
          <cell r="B518" t="str">
            <v>rope</v>
          </cell>
          <cell r="D518">
            <v>0</v>
          </cell>
          <cell r="E518">
            <v>100</v>
          </cell>
          <cell r="F518">
            <v>99</v>
          </cell>
          <cell r="G518">
            <v>1</v>
          </cell>
          <cell r="H518">
            <v>1</v>
          </cell>
          <cell r="I518">
            <v>0</v>
          </cell>
          <cell r="J518">
            <v>2.06</v>
          </cell>
        </row>
        <row r="519">
          <cell r="A519" t="str">
            <v>PICTURE_518</v>
          </cell>
          <cell r="B519" t="str">
            <v>glass</v>
          </cell>
          <cell r="D519">
            <v>0.42634209099999998</v>
          </cell>
          <cell r="E519">
            <v>93</v>
          </cell>
          <cell r="F519">
            <v>100</v>
          </cell>
          <cell r="G519">
            <v>3</v>
          </cell>
          <cell r="H519">
            <v>0</v>
          </cell>
          <cell r="I519">
            <v>0</v>
          </cell>
          <cell r="J519">
            <v>2.101010101</v>
          </cell>
        </row>
        <row r="520">
          <cell r="A520" t="str">
            <v>PICTURE_519</v>
          </cell>
          <cell r="B520" t="str">
            <v>dancer</v>
          </cell>
          <cell r="D520">
            <v>1.895419969</v>
          </cell>
          <cell r="E520">
            <v>48.484848479999997</v>
          </cell>
          <cell r="F520">
            <v>99</v>
          </cell>
          <cell r="G520">
            <v>5</v>
          </cell>
          <cell r="H520">
            <v>1</v>
          </cell>
          <cell r="I520">
            <v>0</v>
          </cell>
          <cell r="J520">
            <v>2.83</v>
          </cell>
        </row>
        <row r="521">
          <cell r="A521" t="str">
            <v>PICTURE_520</v>
          </cell>
          <cell r="B521" t="str">
            <v>brick</v>
          </cell>
          <cell r="D521">
            <v>0.838691034</v>
          </cell>
          <cell r="E521">
            <v>84.848484850000006</v>
          </cell>
          <cell r="F521">
            <v>66</v>
          </cell>
          <cell r="G521">
            <v>4</v>
          </cell>
          <cell r="H521">
            <v>27</v>
          </cell>
          <cell r="I521">
            <v>7</v>
          </cell>
          <cell r="J521">
            <v>2.5299999999999998</v>
          </cell>
        </row>
        <row r="522">
          <cell r="A522" t="str">
            <v>PICTURE_521</v>
          </cell>
          <cell r="B522" t="str">
            <v>fox</v>
          </cell>
          <cell r="D522">
            <v>0</v>
          </cell>
          <cell r="E522">
            <v>100</v>
          </cell>
          <cell r="F522">
            <v>97</v>
          </cell>
          <cell r="G522">
            <v>1</v>
          </cell>
          <cell r="H522">
            <v>1</v>
          </cell>
          <cell r="I522">
            <v>2</v>
          </cell>
          <cell r="J522">
            <v>3.23</v>
          </cell>
        </row>
        <row r="523">
          <cell r="A523" t="str">
            <v>PICTURE_522</v>
          </cell>
          <cell r="B523" t="str">
            <v>house</v>
          </cell>
          <cell r="D523">
            <v>0.478623413</v>
          </cell>
          <cell r="E523">
            <v>92.929292930000003</v>
          </cell>
          <cell r="F523">
            <v>99</v>
          </cell>
          <cell r="G523">
            <v>4</v>
          </cell>
          <cell r="H523">
            <v>0</v>
          </cell>
          <cell r="I523">
            <v>1</v>
          </cell>
          <cell r="J523">
            <v>3.5</v>
          </cell>
        </row>
        <row r="524">
          <cell r="A524" t="str">
            <v>PICTURE_523</v>
          </cell>
          <cell r="B524" t="str">
            <v>wire</v>
          </cell>
          <cell r="D524">
            <v>0.79270692200000004</v>
          </cell>
          <cell r="E524">
            <v>82.291666669999998</v>
          </cell>
          <cell r="F524">
            <v>96</v>
          </cell>
          <cell r="G524">
            <v>3</v>
          </cell>
          <cell r="H524">
            <v>3</v>
          </cell>
          <cell r="I524">
            <v>1</v>
          </cell>
          <cell r="J524">
            <v>2.35</v>
          </cell>
        </row>
        <row r="525">
          <cell r="A525" t="str">
            <v>PICTURE_524</v>
          </cell>
          <cell r="B525" t="str">
            <v>indian</v>
          </cell>
          <cell r="D525">
            <v>1.8783608970000001</v>
          </cell>
          <cell r="E525">
            <v>51.219512199999997</v>
          </cell>
          <cell r="F525">
            <v>82</v>
          </cell>
          <cell r="G525">
            <v>6</v>
          </cell>
          <cell r="H525">
            <v>12</v>
          </cell>
          <cell r="I525">
            <v>6</v>
          </cell>
          <cell r="J525">
            <v>3.78</v>
          </cell>
        </row>
        <row r="526">
          <cell r="A526" t="str">
            <v>PICTURE_525</v>
          </cell>
          <cell r="B526" t="str">
            <v>shrimp</v>
          </cell>
          <cell r="D526">
            <v>1.7218240039999999</v>
          </cell>
          <cell r="E526">
            <v>48.863636360000001</v>
          </cell>
          <cell r="F526">
            <v>88</v>
          </cell>
          <cell r="G526">
            <v>6</v>
          </cell>
          <cell r="H526">
            <v>9</v>
          </cell>
          <cell r="I526">
            <v>3</v>
          </cell>
          <cell r="J526">
            <v>2.9</v>
          </cell>
        </row>
        <row r="527">
          <cell r="A527" t="str">
            <v>PICTURE_526</v>
          </cell>
          <cell r="B527" t="str">
            <v>waitress</v>
          </cell>
          <cell r="D527">
            <v>1.7913005829999999</v>
          </cell>
          <cell r="E527">
            <v>65.625</v>
          </cell>
          <cell r="F527">
            <v>96</v>
          </cell>
          <cell r="G527">
            <v>9</v>
          </cell>
          <cell r="H527">
            <v>2</v>
          </cell>
          <cell r="I527">
            <v>2</v>
          </cell>
          <cell r="J527">
            <v>2.93</v>
          </cell>
        </row>
        <row r="528">
          <cell r="A528" t="str">
            <v>PICTURE_527</v>
          </cell>
          <cell r="B528" t="str">
            <v>photo</v>
          </cell>
          <cell r="D528">
            <v>1.4452784729999999</v>
          </cell>
          <cell r="E528">
            <v>47.872340430000001</v>
          </cell>
          <cell r="F528">
            <v>94</v>
          </cell>
          <cell r="G528">
            <v>4</v>
          </cell>
          <cell r="H528">
            <v>3</v>
          </cell>
          <cell r="I528">
            <v>3</v>
          </cell>
          <cell r="J528">
            <v>3.21</v>
          </cell>
        </row>
        <row r="529">
          <cell r="A529" t="str">
            <v>PICTURE_528</v>
          </cell>
          <cell r="B529" t="str">
            <v>swan</v>
          </cell>
          <cell r="D529">
            <v>0.19902377500000001</v>
          </cell>
          <cell r="E529">
            <v>96.907216489999996</v>
          </cell>
          <cell r="F529">
            <v>97</v>
          </cell>
          <cell r="G529">
            <v>2</v>
          </cell>
          <cell r="H529">
            <v>2</v>
          </cell>
          <cell r="I529">
            <v>1</v>
          </cell>
          <cell r="J529">
            <v>2.94</v>
          </cell>
        </row>
        <row r="530">
          <cell r="A530" t="str">
            <v>PICTURE_529</v>
          </cell>
          <cell r="B530" t="str">
            <v>walrus</v>
          </cell>
          <cell r="D530">
            <v>1.1069856490000001</v>
          </cell>
          <cell r="E530">
            <v>77.647058819999998</v>
          </cell>
          <cell r="F530">
            <v>85</v>
          </cell>
          <cell r="G530">
            <v>5</v>
          </cell>
          <cell r="H530">
            <v>11</v>
          </cell>
          <cell r="I530">
            <v>4</v>
          </cell>
          <cell r="J530">
            <v>3.57</v>
          </cell>
        </row>
        <row r="531">
          <cell r="A531" t="str">
            <v>PICTURE_530</v>
          </cell>
          <cell r="B531" t="str">
            <v>fence</v>
          </cell>
          <cell r="D531">
            <v>0.47218938500000002</v>
          </cell>
          <cell r="E531">
            <v>89.898989900000004</v>
          </cell>
          <cell r="F531">
            <v>99</v>
          </cell>
          <cell r="G531">
            <v>2</v>
          </cell>
          <cell r="H531">
            <v>1</v>
          </cell>
          <cell r="I531">
            <v>0</v>
          </cell>
          <cell r="J531">
            <v>2.1</v>
          </cell>
        </row>
        <row r="532">
          <cell r="A532" t="str">
            <v>PICTURE_531</v>
          </cell>
          <cell r="B532" t="str">
            <v>turtle</v>
          </cell>
          <cell r="D532">
            <v>1.28624184</v>
          </cell>
          <cell r="E532">
            <v>61.458333330000002</v>
          </cell>
          <cell r="F532">
            <v>96</v>
          </cell>
          <cell r="G532">
            <v>3</v>
          </cell>
          <cell r="H532">
            <v>2</v>
          </cell>
          <cell r="I532">
            <v>2</v>
          </cell>
          <cell r="J532">
            <v>3.43</v>
          </cell>
        </row>
        <row r="533">
          <cell r="A533" t="str">
            <v>PICTURE_532</v>
          </cell>
          <cell r="B533" t="str">
            <v>clown</v>
          </cell>
          <cell r="D533">
            <v>0</v>
          </cell>
          <cell r="E533">
            <v>100</v>
          </cell>
          <cell r="F533">
            <v>100</v>
          </cell>
          <cell r="G533">
            <v>1</v>
          </cell>
          <cell r="H533">
            <v>0</v>
          </cell>
          <cell r="I533">
            <v>0</v>
          </cell>
          <cell r="J533">
            <v>3.0606060610000001</v>
          </cell>
        </row>
        <row r="534">
          <cell r="A534" t="str">
            <v>PICTURE_533</v>
          </cell>
          <cell r="B534" t="str">
            <v>shark</v>
          </cell>
          <cell r="D534">
            <v>0</v>
          </cell>
          <cell r="E534">
            <v>100</v>
          </cell>
          <cell r="F534">
            <v>99</v>
          </cell>
          <cell r="G534">
            <v>1</v>
          </cell>
          <cell r="H534">
            <v>0</v>
          </cell>
          <cell r="I534">
            <v>1</v>
          </cell>
          <cell r="J534">
            <v>2.82</v>
          </cell>
        </row>
        <row r="535">
          <cell r="A535" t="str">
            <v>PICTURE_534</v>
          </cell>
          <cell r="B535" t="str">
            <v>record</v>
          </cell>
          <cell r="D535">
            <v>1.9483581160000001</v>
          </cell>
          <cell r="E535">
            <v>36.734693880000002</v>
          </cell>
          <cell r="F535">
            <v>98</v>
          </cell>
          <cell r="G535">
            <v>5</v>
          </cell>
          <cell r="H535">
            <v>2</v>
          </cell>
          <cell r="I535">
            <v>0</v>
          </cell>
          <cell r="J535">
            <v>2.59</v>
          </cell>
        </row>
        <row r="536">
          <cell r="A536" t="str">
            <v>PICTURE_535</v>
          </cell>
          <cell r="B536" t="str">
            <v>truck</v>
          </cell>
          <cell r="D536">
            <v>0.97095059399999994</v>
          </cell>
          <cell r="E536">
            <v>60</v>
          </cell>
          <cell r="F536">
            <v>100</v>
          </cell>
          <cell r="G536">
            <v>2</v>
          </cell>
          <cell r="H536">
            <v>0</v>
          </cell>
          <cell r="I536">
            <v>0</v>
          </cell>
          <cell r="J536">
            <v>2.85</v>
          </cell>
        </row>
        <row r="537">
          <cell r="A537" t="str">
            <v>PICTURE_536</v>
          </cell>
          <cell r="B537" t="str">
            <v>branch</v>
          </cell>
          <cell r="D537">
            <v>0.56899559399999999</v>
          </cell>
          <cell r="E537">
            <v>90</v>
          </cell>
          <cell r="F537">
            <v>100</v>
          </cell>
          <cell r="G537">
            <v>3</v>
          </cell>
          <cell r="H537">
            <v>0</v>
          </cell>
          <cell r="I537">
            <v>0</v>
          </cell>
          <cell r="J537">
            <v>2.19</v>
          </cell>
        </row>
        <row r="538">
          <cell r="A538" t="str">
            <v>PICTURE_537</v>
          </cell>
          <cell r="B538" t="str">
            <v>fingerprint</v>
          </cell>
          <cell r="D538">
            <v>0.54118840300000004</v>
          </cell>
          <cell r="E538">
            <v>90</v>
          </cell>
          <cell r="F538">
            <v>100</v>
          </cell>
          <cell r="G538">
            <v>3</v>
          </cell>
          <cell r="H538">
            <v>0</v>
          </cell>
          <cell r="I538">
            <v>0</v>
          </cell>
          <cell r="J538">
            <v>2.8585858590000002</v>
          </cell>
        </row>
        <row r="539">
          <cell r="A539" t="str">
            <v>PICTURE_538</v>
          </cell>
          <cell r="B539" t="str">
            <v>jacket</v>
          </cell>
          <cell r="D539">
            <v>1.3783592039999999</v>
          </cell>
          <cell r="E539">
            <v>54</v>
          </cell>
          <cell r="F539">
            <v>100</v>
          </cell>
          <cell r="G539">
            <v>4</v>
          </cell>
          <cell r="H539">
            <v>0</v>
          </cell>
          <cell r="I539">
            <v>0</v>
          </cell>
          <cell r="J539">
            <v>2.3199999999999998</v>
          </cell>
        </row>
        <row r="540">
          <cell r="A540" t="str">
            <v>PICTURE_539</v>
          </cell>
          <cell r="B540" t="str">
            <v>astronaut</v>
          </cell>
          <cell r="D540">
            <v>0.81902024699999998</v>
          </cell>
          <cell r="E540">
            <v>80</v>
          </cell>
          <cell r="F540">
            <v>95</v>
          </cell>
          <cell r="G540">
            <v>3</v>
          </cell>
          <cell r="H540">
            <v>5</v>
          </cell>
          <cell r="I540">
            <v>0</v>
          </cell>
          <cell r="J540">
            <v>3.22</v>
          </cell>
        </row>
        <row r="541">
          <cell r="A541" t="str">
            <v>PICTURE_540</v>
          </cell>
          <cell r="B541" t="str">
            <v>lighthouse</v>
          </cell>
          <cell r="D541">
            <v>0.14489961800000001</v>
          </cell>
          <cell r="E541">
            <v>97.93814433</v>
          </cell>
          <cell r="F541">
            <v>97</v>
          </cell>
          <cell r="G541">
            <v>2</v>
          </cell>
          <cell r="H541">
            <v>2</v>
          </cell>
          <cell r="I541">
            <v>1</v>
          </cell>
          <cell r="J541">
            <v>2.77</v>
          </cell>
        </row>
        <row r="542">
          <cell r="A542" t="str">
            <v>PICTURE_541</v>
          </cell>
          <cell r="B542" t="str">
            <v>shoe</v>
          </cell>
          <cell r="D542">
            <v>0.327444919</v>
          </cell>
          <cell r="E542">
            <v>94</v>
          </cell>
          <cell r="F542">
            <v>100</v>
          </cell>
          <cell r="G542">
            <v>2</v>
          </cell>
          <cell r="H542">
            <v>0</v>
          </cell>
          <cell r="I542">
            <v>0</v>
          </cell>
          <cell r="J542">
            <v>2.98</v>
          </cell>
        </row>
        <row r="543">
          <cell r="A543" t="str">
            <v>PICTURE_542</v>
          </cell>
          <cell r="B543" t="str">
            <v>fireplace</v>
          </cell>
          <cell r="D543">
            <v>0</v>
          </cell>
          <cell r="E543">
            <v>100</v>
          </cell>
          <cell r="F543">
            <v>98</v>
          </cell>
          <cell r="G543">
            <v>1</v>
          </cell>
          <cell r="H543">
            <v>0</v>
          </cell>
          <cell r="I543">
            <v>2</v>
          </cell>
          <cell r="J543">
            <v>2.6</v>
          </cell>
        </row>
        <row r="544">
          <cell r="A544" t="str">
            <v>PICTURE_543</v>
          </cell>
          <cell r="B544" t="str">
            <v>breast</v>
          </cell>
          <cell r="D544">
            <v>1.5292371389999999</v>
          </cell>
          <cell r="E544">
            <v>45.161290319999999</v>
          </cell>
          <cell r="F544">
            <v>93</v>
          </cell>
          <cell r="G544">
            <v>3</v>
          </cell>
          <cell r="H544">
            <v>6</v>
          </cell>
          <cell r="I544">
            <v>1</v>
          </cell>
          <cell r="J544">
            <v>2.12</v>
          </cell>
        </row>
        <row r="545">
          <cell r="A545" t="str">
            <v>PICTURE_544</v>
          </cell>
          <cell r="B545" t="str">
            <v>doctor</v>
          </cell>
          <cell r="D545">
            <v>0</v>
          </cell>
          <cell r="E545">
            <v>100</v>
          </cell>
          <cell r="F545">
            <v>98</v>
          </cell>
          <cell r="G545">
            <v>1</v>
          </cell>
          <cell r="H545">
            <v>1</v>
          </cell>
          <cell r="I545">
            <v>1</v>
          </cell>
          <cell r="J545">
            <v>2.84</v>
          </cell>
        </row>
        <row r="546">
          <cell r="A546" t="str">
            <v>PICTURE_545</v>
          </cell>
          <cell r="B546" t="str">
            <v>knickers</v>
          </cell>
          <cell r="D546">
            <v>1.6158803799999999</v>
          </cell>
          <cell r="E546">
            <v>58.585858590000001</v>
          </cell>
          <cell r="F546">
            <v>99</v>
          </cell>
          <cell r="G546">
            <v>5</v>
          </cell>
          <cell r="H546">
            <v>0</v>
          </cell>
          <cell r="I546">
            <v>1</v>
          </cell>
          <cell r="J546">
            <v>2.5499999999999998</v>
          </cell>
        </row>
        <row r="547">
          <cell r="A547" t="str">
            <v>PICTURE_546</v>
          </cell>
          <cell r="B547" t="str">
            <v>door</v>
          </cell>
          <cell r="D547">
            <v>0</v>
          </cell>
          <cell r="E547">
            <v>100</v>
          </cell>
          <cell r="F547">
            <v>100</v>
          </cell>
          <cell r="G547">
            <v>1</v>
          </cell>
          <cell r="H547">
            <v>0</v>
          </cell>
          <cell r="I547">
            <v>0</v>
          </cell>
          <cell r="J547">
            <v>1.96</v>
          </cell>
        </row>
        <row r="548">
          <cell r="A548" t="str">
            <v>PICTURE_547</v>
          </cell>
          <cell r="B548" t="str">
            <v>bat</v>
          </cell>
          <cell r="D548">
            <v>0</v>
          </cell>
          <cell r="E548">
            <v>100</v>
          </cell>
          <cell r="F548">
            <v>99</v>
          </cell>
          <cell r="G548">
            <v>1</v>
          </cell>
          <cell r="H548">
            <v>1</v>
          </cell>
          <cell r="I548">
            <v>0</v>
          </cell>
          <cell r="J548">
            <v>3.44</v>
          </cell>
        </row>
        <row r="549">
          <cell r="A549" t="str">
            <v>PICTURE_548</v>
          </cell>
          <cell r="B549" t="str">
            <v>gun</v>
          </cell>
          <cell r="D549">
            <v>3.0328106340000001</v>
          </cell>
          <cell r="E549">
            <v>27.586206900000001</v>
          </cell>
          <cell r="F549">
            <v>87</v>
          </cell>
          <cell r="G549">
            <v>12</v>
          </cell>
          <cell r="H549">
            <v>3</v>
          </cell>
          <cell r="I549">
            <v>10</v>
          </cell>
          <cell r="J549">
            <v>2.82</v>
          </cell>
        </row>
        <row r="550">
          <cell r="A550" t="str">
            <v>PICTURE_549</v>
          </cell>
          <cell r="B550" t="str">
            <v>snake</v>
          </cell>
          <cell r="D550">
            <v>0</v>
          </cell>
          <cell r="E550">
            <v>100</v>
          </cell>
          <cell r="F550">
            <v>100</v>
          </cell>
          <cell r="G550">
            <v>1</v>
          </cell>
          <cell r="H550">
            <v>0</v>
          </cell>
          <cell r="I550">
            <v>0</v>
          </cell>
          <cell r="J550">
            <v>2.36</v>
          </cell>
        </row>
        <row r="551">
          <cell r="A551" t="str">
            <v>PICTURE_550</v>
          </cell>
          <cell r="B551" t="str">
            <v>wool</v>
          </cell>
          <cell r="D551">
            <v>1.5533095029999999</v>
          </cell>
          <cell r="E551">
            <v>69.387755100000007</v>
          </cell>
          <cell r="F551">
            <v>98</v>
          </cell>
          <cell r="G551">
            <v>6</v>
          </cell>
          <cell r="H551">
            <v>1</v>
          </cell>
          <cell r="I551">
            <v>1</v>
          </cell>
          <cell r="J551">
            <v>2.89</v>
          </cell>
        </row>
        <row r="552">
          <cell r="A552" t="str">
            <v>PICTURE_551</v>
          </cell>
          <cell r="B552" t="str">
            <v>pumpkin</v>
          </cell>
          <cell r="D552">
            <v>0</v>
          </cell>
          <cell r="E552">
            <v>100</v>
          </cell>
          <cell r="F552">
            <v>98</v>
          </cell>
          <cell r="G552">
            <v>1</v>
          </cell>
          <cell r="H552">
            <v>2</v>
          </cell>
          <cell r="I552">
            <v>0</v>
          </cell>
          <cell r="J552">
            <v>2.61</v>
          </cell>
        </row>
        <row r="553">
          <cell r="A553" t="str">
            <v>PICTURE_552</v>
          </cell>
          <cell r="B553" t="str">
            <v>apple</v>
          </cell>
          <cell r="D553">
            <v>0</v>
          </cell>
          <cell r="E553">
            <v>100</v>
          </cell>
          <cell r="F553">
            <v>97</v>
          </cell>
          <cell r="G553">
            <v>1</v>
          </cell>
          <cell r="H553">
            <v>3</v>
          </cell>
          <cell r="I553">
            <v>0</v>
          </cell>
          <cell r="J553">
            <v>2.39</v>
          </cell>
        </row>
        <row r="554">
          <cell r="A554" t="str">
            <v>PICTURE_553</v>
          </cell>
          <cell r="B554" t="str">
            <v>beach</v>
          </cell>
          <cell r="D554">
            <v>2.4819868110000001</v>
          </cell>
          <cell r="E554">
            <v>50.549450550000003</v>
          </cell>
          <cell r="F554">
            <v>91</v>
          </cell>
          <cell r="G554">
            <v>10</v>
          </cell>
          <cell r="H554">
            <v>4</v>
          </cell>
          <cell r="I554">
            <v>5</v>
          </cell>
          <cell r="J554">
            <v>2.8787878789999999</v>
          </cell>
        </row>
        <row r="555">
          <cell r="A555" t="str">
            <v>PICTURE_554</v>
          </cell>
          <cell r="B555" t="str">
            <v>puppet</v>
          </cell>
          <cell r="D555">
            <v>0.291548959</v>
          </cell>
          <cell r="E555">
            <v>95.833333330000002</v>
          </cell>
          <cell r="F555">
            <v>96</v>
          </cell>
          <cell r="G555">
            <v>3</v>
          </cell>
          <cell r="H555">
            <v>1</v>
          </cell>
          <cell r="I555">
            <v>3</v>
          </cell>
          <cell r="J555">
            <v>2.89</v>
          </cell>
        </row>
        <row r="556">
          <cell r="A556" t="str">
            <v>PICTURE_555</v>
          </cell>
          <cell r="B556" t="str">
            <v>breakfast</v>
          </cell>
          <cell r="D556">
            <v>0.99327574200000002</v>
          </cell>
          <cell r="E556">
            <v>72.164948449999997</v>
          </cell>
          <cell r="F556">
            <v>97</v>
          </cell>
          <cell r="G556">
            <v>3</v>
          </cell>
          <cell r="H556">
            <v>1</v>
          </cell>
          <cell r="I556">
            <v>2</v>
          </cell>
          <cell r="J556">
            <v>3.34</v>
          </cell>
        </row>
        <row r="557">
          <cell r="A557" t="str">
            <v>PICTURE_556</v>
          </cell>
          <cell r="B557" t="str">
            <v>pill</v>
          </cell>
          <cell r="D557">
            <v>0.61595423299999996</v>
          </cell>
          <cell r="E557">
            <v>87.755102039999997</v>
          </cell>
          <cell r="F557">
            <v>98</v>
          </cell>
          <cell r="G557">
            <v>3</v>
          </cell>
          <cell r="H557">
            <v>1</v>
          </cell>
          <cell r="I557">
            <v>1</v>
          </cell>
          <cell r="J557">
            <v>1.76</v>
          </cell>
        </row>
        <row r="558">
          <cell r="A558" t="str">
            <v>PICTURE_557</v>
          </cell>
          <cell r="B558" t="str">
            <v>wolf</v>
          </cell>
          <cell r="D558">
            <v>0.62663299800000005</v>
          </cell>
          <cell r="E558">
            <v>88.421052630000005</v>
          </cell>
          <cell r="F558">
            <v>95</v>
          </cell>
          <cell r="G558">
            <v>3</v>
          </cell>
          <cell r="H558">
            <v>1</v>
          </cell>
          <cell r="I558">
            <v>4</v>
          </cell>
          <cell r="J558">
            <v>3.3838383840000001</v>
          </cell>
        </row>
        <row r="559">
          <cell r="A559" t="str">
            <v>PICTURE_558</v>
          </cell>
          <cell r="B559" t="str">
            <v>lighter</v>
          </cell>
          <cell r="D559">
            <v>0</v>
          </cell>
          <cell r="E559">
            <v>100</v>
          </cell>
          <cell r="F559">
            <v>97</v>
          </cell>
          <cell r="G559">
            <v>1</v>
          </cell>
          <cell r="H559">
            <v>2</v>
          </cell>
          <cell r="I559">
            <v>1</v>
          </cell>
          <cell r="J559">
            <v>2.52</v>
          </cell>
        </row>
        <row r="560">
          <cell r="A560" t="str">
            <v>PICTURE_559</v>
          </cell>
          <cell r="B560" t="str">
            <v>cucumber</v>
          </cell>
          <cell r="D560">
            <v>0.97234960199999998</v>
          </cell>
          <cell r="E560">
            <v>81.720430109999995</v>
          </cell>
          <cell r="F560">
            <v>93</v>
          </cell>
          <cell r="G560">
            <v>4</v>
          </cell>
          <cell r="H560">
            <v>4</v>
          </cell>
          <cell r="I560">
            <v>3</v>
          </cell>
          <cell r="J560">
            <v>2.6</v>
          </cell>
        </row>
        <row r="561">
          <cell r="A561" t="str">
            <v>PICTURE_560</v>
          </cell>
          <cell r="B561" t="str">
            <v>watermelon</v>
          </cell>
          <cell r="D561">
            <v>0.70546904099999996</v>
          </cell>
          <cell r="E561">
            <v>80.808080810000007</v>
          </cell>
          <cell r="F561">
            <v>99</v>
          </cell>
          <cell r="G561">
            <v>2</v>
          </cell>
          <cell r="H561">
            <v>1</v>
          </cell>
          <cell r="I561">
            <v>0</v>
          </cell>
          <cell r="J561">
            <v>2.72</v>
          </cell>
        </row>
        <row r="562">
          <cell r="A562" t="str">
            <v>PICTURE_561</v>
          </cell>
          <cell r="B562" t="str">
            <v>caterpillar</v>
          </cell>
          <cell r="D562">
            <v>0</v>
          </cell>
          <cell r="E562">
            <v>100</v>
          </cell>
          <cell r="F562">
            <v>91</v>
          </cell>
          <cell r="G562">
            <v>1</v>
          </cell>
          <cell r="H562">
            <v>4</v>
          </cell>
          <cell r="I562">
            <v>5</v>
          </cell>
          <cell r="J562">
            <v>3.1</v>
          </cell>
        </row>
        <row r="563">
          <cell r="A563" t="str">
            <v>PICTURE_562</v>
          </cell>
          <cell r="B563" t="str">
            <v>toaster</v>
          </cell>
          <cell r="D563">
            <v>0.52936086500000001</v>
          </cell>
          <cell r="E563">
            <v>88</v>
          </cell>
          <cell r="F563">
            <v>100</v>
          </cell>
          <cell r="G563">
            <v>2</v>
          </cell>
          <cell r="H563">
            <v>0</v>
          </cell>
          <cell r="I563">
            <v>0</v>
          </cell>
          <cell r="J563">
            <v>2</v>
          </cell>
        </row>
        <row r="564">
          <cell r="A564" t="str">
            <v>PICTURE_563</v>
          </cell>
          <cell r="B564" t="str">
            <v>vulture</v>
          </cell>
          <cell r="D564">
            <v>1.8968602050000001</v>
          </cell>
          <cell r="E564">
            <v>51.111111110000003</v>
          </cell>
          <cell r="F564">
            <v>90</v>
          </cell>
          <cell r="G564">
            <v>6</v>
          </cell>
          <cell r="H564">
            <v>8</v>
          </cell>
          <cell r="I564">
            <v>2</v>
          </cell>
          <cell r="J564">
            <v>3.98</v>
          </cell>
        </row>
        <row r="565">
          <cell r="A565" t="str">
            <v>PICTURE_564</v>
          </cell>
          <cell r="B565" t="str">
            <v>spoon</v>
          </cell>
          <cell r="D565">
            <v>0</v>
          </cell>
          <cell r="E565">
            <v>100</v>
          </cell>
          <cell r="F565">
            <v>100</v>
          </cell>
          <cell r="G565">
            <v>1</v>
          </cell>
          <cell r="H565">
            <v>0</v>
          </cell>
          <cell r="I565">
            <v>0</v>
          </cell>
          <cell r="J565">
            <v>1.56</v>
          </cell>
        </row>
        <row r="566">
          <cell r="A566" t="str">
            <v>PICTURE_565</v>
          </cell>
          <cell r="B566" t="str">
            <v>bell</v>
          </cell>
          <cell r="D566">
            <v>0</v>
          </cell>
          <cell r="E566">
            <v>100</v>
          </cell>
          <cell r="F566">
            <v>100</v>
          </cell>
          <cell r="G566">
            <v>1</v>
          </cell>
          <cell r="H566">
            <v>0</v>
          </cell>
          <cell r="I566">
            <v>0</v>
          </cell>
          <cell r="J566">
            <v>2.4040404039999999</v>
          </cell>
        </row>
        <row r="567">
          <cell r="A567" t="str">
            <v>PICTURE_566</v>
          </cell>
          <cell r="B567" t="str">
            <v>violin</v>
          </cell>
          <cell r="D567">
            <v>0.84861760799999997</v>
          </cell>
          <cell r="E567">
            <v>84.375</v>
          </cell>
          <cell r="F567">
            <v>96</v>
          </cell>
          <cell r="G567">
            <v>4</v>
          </cell>
          <cell r="H567">
            <v>3</v>
          </cell>
          <cell r="I567">
            <v>1</v>
          </cell>
          <cell r="J567">
            <v>2.98</v>
          </cell>
        </row>
        <row r="568">
          <cell r="A568" t="str">
            <v>PICTURE_567</v>
          </cell>
          <cell r="B568" t="str">
            <v>pocket</v>
          </cell>
          <cell r="D568">
            <v>1.943671068</v>
          </cell>
          <cell r="E568">
            <v>40.74074074</v>
          </cell>
          <cell r="F568">
            <v>81</v>
          </cell>
          <cell r="G568">
            <v>6</v>
          </cell>
          <cell r="H568">
            <v>18</v>
          </cell>
          <cell r="I568">
            <v>1</v>
          </cell>
          <cell r="J568">
            <v>2.69</v>
          </cell>
        </row>
        <row r="569">
          <cell r="A569" t="str">
            <v>PICTURE_568</v>
          </cell>
          <cell r="B569" t="str">
            <v>castle</v>
          </cell>
          <cell r="D569">
            <v>0.14609425000000001</v>
          </cell>
          <cell r="E569">
            <v>97.916666669999998</v>
          </cell>
          <cell r="F569">
            <v>96</v>
          </cell>
          <cell r="G569">
            <v>2</v>
          </cell>
          <cell r="H569">
            <v>1</v>
          </cell>
          <cell r="I569">
            <v>3</v>
          </cell>
          <cell r="J569">
            <v>3.05</v>
          </cell>
        </row>
        <row r="570">
          <cell r="A570" t="str">
            <v>PICTURE_569</v>
          </cell>
          <cell r="B570" t="str">
            <v>tooth</v>
          </cell>
          <cell r="D570">
            <v>0.37671500299999999</v>
          </cell>
          <cell r="E570">
            <v>92.708333330000002</v>
          </cell>
          <cell r="F570">
            <v>96</v>
          </cell>
          <cell r="G570">
            <v>2</v>
          </cell>
          <cell r="H570">
            <v>3</v>
          </cell>
          <cell r="I570">
            <v>1</v>
          </cell>
          <cell r="J570">
            <v>3.01</v>
          </cell>
        </row>
        <row r="571">
          <cell r="A571" t="str">
            <v>PICTURE_570</v>
          </cell>
          <cell r="B571" t="str">
            <v>bull</v>
          </cell>
          <cell r="D571">
            <v>0.354375263</v>
          </cell>
          <cell r="E571">
            <v>94.623655909999997</v>
          </cell>
          <cell r="F571">
            <v>93</v>
          </cell>
          <cell r="G571">
            <v>3</v>
          </cell>
          <cell r="H571">
            <v>5</v>
          </cell>
          <cell r="I571">
            <v>2</v>
          </cell>
          <cell r="J571">
            <v>3.0404040399999999</v>
          </cell>
        </row>
        <row r="572">
          <cell r="A572" t="str">
            <v>PICTURE_571</v>
          </cell>
          <cell r="B572" t="str">
            <v>magnet</v>
          </cell>
          <cell r="D572">
            <v>0.37671500299999999</v>
          </cell>
          <cell r="E572">
            <v>92.708333330000002</v>
          </cell>
          <cell r="F572">
            <v>96</v>
          </cell>
          <cell r="G572">
            <v>2</v>
          </cell>
          <cell r="H572">
            <v>4</v>
          </cell>
          <cell r="I572">
            <v>0</v>
          </cell>
          <cell r="J572">
            <v>1.68</v>
          </cell>
        </row>
        <row r="573">
          <cell r="A573" t="str">
            <v>PICTURE_572</v>
          </cell>
          <cell r="B573" t="str">
            <v>juggler</v>
          </cell>
          <cell r="D573">
            <v>0.67925828600000004</v>
          </cell>
          <cell r="E573">
            <v>88.172043009999996</v>
          </cell>
          <cell r="F573">
            <v>93</v>
          </cell>
          <cell r="G573">
            <v>4</v>
          </cell>
          <cell r="H573">
            <v>5</v>
          </cell>
          <cell r="I573">
            <v>2</v>
          </cell>
          <cell r="J573">
            <v>2.84</v>
          </cell>
        </row>
        <row r="574">
          <cell r="A574" t="str">
            <v>PICTURE_573</v>
          </cell>
          <cell r="B574" t="str">
            <v>aubergine</v>
          </cell>
          <cell r="D574">
            <v>1.6899391370000001</v>
          </cell>
          <cell r="E574">
            <v>61.643835619999997</v>
          </cell>
          <cell r="F574">
            <v>73</v>
          </cell>
          <cell r="G574">
            <v>6</v>
          </cell>
          <cell r="H574">
            <v>25</v>
          </cell>
          <cell r="I574">
            <v>2</v>
          </cell>
          <cell r="J574">
            <v>2.31</v>
          </cell>
        </row>
        <row r="575">
          <cell r="A575" t="str">
            <v>PICTURE_574</v>
          </cell>
          <cell r="B575" t="str">
            <v>gladiator</v>
          </cell>
          <cell r="D575">
            <v>2.4656547510000002</v>
          </cell>
          <cell r="E575">
            <v>48.387096769999999</v>
          </cell>
          <cell r="F575">
            <v>93</v>
          </cell>
          <cell r="G575">
            <v>10</v>
          </cell>
          <cell r="H575">
            <v>6</v>
          </cell>
          <cell r="I575">
            <v>1</v>
          </cell>
          <cell r="J575">
            <v>3.02</v>
          </cell>
        </row>
        <row r="576">
          <cell r="A576" t="str">
            <v>PICTURE_575</v>
          </cell>
          <cell r="B576" t="str">
            <v>beak</v>
          </cell>
          <cell r="D576">
            <v>0.14489961800000001</v>
          </cell>
          <cell r="E576">
            <v>97.93814433</v>
          </cell>
          <cell r="F576">
            <v>97</v>
          </cell>
          <cell r="G576">
            <v>2</v>
          </cell>
          <cell r="H576">
            <v>2</v>
          </cell>
          <cell r="I576">
            <v>1</v>
          </cell>
          <cell r="J576">
            <v>2.56</v>
          </cell>
        </row>
        <row r="577">
          <cell r="A577" t="str">
            <v>PICTURE_576</v>
          </cell>
          <cell r="B577" t="str">
            <v>glove</v>
          </cell>
          <cell r="D577">
            <v>0</v>
          </cell>
          <cell r="E577">
            <v>100</v>
          </cell>
          <cell r="F577">
            <v>100</v>
          </cell>
          <cell r="G577">
            <v>1</v>
          </cell>
          <cell r="H577">
            <v>0</v>
          </cell>
          <cell r="I577">
            <v>0</v>
          </cell>
          <cell r="J577">
            <v>2.21</v>
          </cell>
        </row>
        <row r="578">
          <cell r="A578" t="str">
            <v>PICTURE_577</v>
          </cell>
          <cell r="B578" t="str">
            <v>iceberg</v>
          </cell>
          <cell r="D578">
            <v>1.19126617</v>
          </cell>
          <cell r="E578">
            <v>77.419354839999997</v>
          </cell>
          <cell r="F578">
            <v>93</v>
          </cell>
          <cell r="G578">
            <v>5</v>
          </cell>
          <cell r="H578">
            <v>4</v>
          </cell>
          <cell r="I578">
            <v>3</v>
          </cell>
          <cell r="J578">
            <v>2.99</v>
          </cell>
        </row>
        <row r="579">
          <cell r="A579" t="str">
            <v>PICTURE_578</v>
          </cell>
          <cell r="B579" t="str">
            <v>eyebrow</v>
          </cell>
          <cell r="D579">
            <v>0.89675501599999996</v>
          </cell>
          <cell r="E579">
            <v>68.686868689999997</v>
          </cell>
          <cell r="F579">
            <v>99</v>
          </cell>
          <cell r="G579">
            <v>2</v>
          </cell>
          <cell r="H579">
            <v>0</v>
          </cell>
          <cell r="I579">
            <v>1</v>
          </cell>
          <cell r="J579">
            <v>2.88</v>
          </cell>
        </row>
        <row r="580">
          <cell r="A580" t="str">
            <v>PICTURE_579</v>
          </cell>
          <cell r="B580" t="str">
            <v>elephant</v>
          </cell>
          <cell r="D580">
            <v>0</v>
          </cell>
          <cell r="E580">
            <v>100</v>
          </cell>
          <cell r="F580">
            <v>99</v>
          </cell>
          <cell r="G580">
            <v>1</v>
          </cell>
          <cell r="H580">
            <v>0</v>
          </cell>
          <cell r="I580">
            <v>1</v>
          </cell>
          <cell r="J580">
            <v>2.9090909090000001</v>
          </cell>
        </row>
        <row r="581">
          <cell r="A581" t="str">
            <v>PICTURE_580</v>
          </cell>
          <cell r="B581" t="str">
            <v>nurse</v>
          </cell>
          <cell r="D581">
            <v>0</v>
          </cell>
          <cell r="E581">
            <v>100</v>
          </cell>
          <cell r="F581">
            <v>99</v>
          </cell>
          <cell r="G581">
            <v>1</v>
          </cell>
          <cell r="H581">
            <v>0</v>
          </cell>
          <cell r="I581">
            <v>1</v>
          </cell>
          <cell r="J581">
            <v>3</v>
          </cell>
        </row>
        <row r="582">
          <cell r="A582" t="str">
            <v>PICTURE_581</v>
          </cell>
          <cell r="B582" t="str">
            <v>asparagus</v>
          </cell>
          <cell r="D582">
            <v>0.48217918999999998</v>
          </cell>
          <cell r="E582">
            <v>92</v>
          </cell>
          <cell r="F582">
            <v>75</v>
          </cell>
          <cell r="G582">
            <v>3</v>
          </cell>
          <cell r="H582">
            <v>20</v>
          </cell>
          <cell r="I582">
            <v>5</v>
          </cell>
          <cell r="J582">
            <v>2.5499999999999998</v>
          </cell>
        </row>
        <row r="583">
          <cell r="A583" t="str">
            <v>PICTURE_582</v>
          </cell>
          <cell r="B583" t="str">
            <v>lab</v>
          </cell>
          <cell r="D583">
            <v>0</v>
          </cell>
          <cell r="E583">
            <v>100</v>
          </cell>
          <cell r="F583">
            <v>96</v>
          </cell>
          <cell r="G583">
            <v>1</v>
          </cell>
          <cell r="H583">
            <v>1</v>
          </cell>
          <cell r="I583">
            <v>3</v>
          </cell>
          <cell r="J583">
            <v>3.52</v>
          </cell>
        </row>
        <row r="584">
          <cell r="A584" t="str">
            <v>PICTURE_583</v>
          </cell>
          <cell r="B584" t="str">
            <v>ship</v>
          </cell>
          <cell r="D584">
            <v>1.3895328769999999</v>
          </cell>
          <cell r="E584">
            <v>51.041666669999998</v>
          </cell>
          <cell r="F584">
            <v>96</v>
          </cell>
          <cell r="G584">
            <v>4</v>
          </cell>
          <cell r="H584">
            <v>0</v>
          </cell>
          <cell r="I584">
            <v>4</v>
          </cell>
          <cell r="J584">
            <v>3.111111111</v>
          </cell>
        </row>
        <row r="585">
          <cell r="A585" t="str">
            <v>PICTURE_584</v>
          </cell>
          <cell r="B585" t="str">
            <v>toad</v>
          </cell>
          <cell r="D585">
            <v>0.99247600400000002</v>
          </cell>
          <cell r="E585">
            <v>55.102040819999999</v>
          </cell>
          <cell r="F585">
            <v>98</v>
          </cell>
          <cell r="G585">
            <v>2</v>
          </cell>
          <cell r="H585">
            <v>1</v>
          </cell>
          <cell r="I585">
            <v>1</v>
          </cell>
          <cell r="J585">
            <v>3.48</v>
          </cell>
        </row>
        <row r="586">
          <cell r="A586" t="str">
            <v>PICTURE_585</v>
          </cell>
          <cell r="B586" t="str">
            <v>ant</v>
          </cell>
          <cell r="D586">
            <v>0.66604803800000001</v>
          </cell>
          <cell r="E586">
            <v>87.5</v>
          </cell>
          <cell r="F586">
            <v>96</v>
          </cell>
          <cell r="G586">
            <v>3</v>
          </cell>
          <cell r="H586">
            <v>4</v>
          </cell>
          <cell r="I586">
            <v>0</v>
          </cell>
          <cell r="J586">
            <v>2.89</v>
          </cell>
        </row>
        <row r="587">
          <cell r="A587" t="str">
            <v>PICTURE_586</v>
          </cell>
          <cell r="B587" t="str">
            <v>iron</v>
          </cell>
          <cell r="D587">
            <v>0</v>
          </cell>
          <cell r="E587">
            <v>100</v>
          </cell>
          <cell r="F587">
            <v>100</v>
          </cell>
          <cell r="G587">
            <v>1</v>
          </cell>
          <cell r="H587">
            <v>0</v>
          </cell>
          <cell r="I587">
            <v>0</v>
          </cell>
          <cell r="J587">
            <v>2.44</v>
          </cell>
        </row>
        <row r="588">
          <cell r="A588" t="str">
            <v>PICTURE_587</v>
          </cell>
          <cell r="B588" t="str">
            <v>corn</v>
          </cell>
          <cell r="D588">
            <v>0.70951288599999995</v>
          </cell>
          <cell r="E588">
            <v>80.612244899999993</v>
          </cell>
          <cell r="F588">
            <v>98</v>
          </cell>
          <cell r="G588">
            <v>2</v>
          </cell>
          <cell r="H588">
            <v>0</v>
          </cell>
          <cell r="I588">
            <v>2</v>
          </cell>
          <cell r="J588">
            <v>2.94</v>
          </cell>
        </row>
        <row r="589">
          <cell r="A589" t="str">
            <v>PICTURE_588</v>
          </cell>
          <cell r="B589" t="str">
            <v>bracelet</v>
          </cell>
          <cell r="D589">
            <v>0.14489961800000001</v>
          </cell>
          <cell r="E589">
            <v>97.93814433</v>
          </cell>
          <cell r="F589">
            <v>97</v>
          </cell>
          <cell r="G589">
            <v>2</v>
          </cell>
          <cell r="H589">
            <v>1</v>
          </cell>
          <cell r="I589">
            <v>2</v>
          </cell>
          <cell r="J589">
            <v>2.73</v>
          </cell>
        </row>
        <row r="590">
          <cell r="A590" t="str">
            <v>PICTURE_589</v>
          </cell>
          <cell r="B590" t="str">
            <v>bedroom</v>
          </cell>
          <cell r="D590">
            <v>0.141440543</v>
          </cell>
          <cell r="E590">
            <v>98</v>
          </cell>
          <cell r="F590">
            <v>100</v>
          </cell>
          <cell r="G590">
            <v>2</v>
          </cell>
          <cell r="H590">
            <v>0</v>
          </cell>
          <cell r="I590">
            <v>0</v>
          </cell>
          <cell r="J590">
            <v>3.16</v>
          </cell>
        </row>
        <row r="591">
          <cell r="A591" t="str">
            <v>PICTURE_590</v>
          </cell>
          <cell r="B591" t="str">
            <v>broom</v>
          </cell>
          <cell r="D591">
            <v>0.33476761300000002</v>
          </cell>
          <cell r="E591">
            <v>93.81443299</v>
          </cell>
          <cell r="F591">
            <v>97</v>
          </cell>
          <cell r="G591">
            <v>2</v>
          </cell>
          <cell r="H591">
            <v>0</v>
          </cell>
          <cell r="I591">
            <v>3</v>
          </cell>
          <cell r="J591">
            <v>2.39</v>
          </cell>
        </row>
        <row r="592">
          <cell r="A592" t="str">
            <v>PICTURE_591</v>
          </cell>
          <cell r="B592" t="str">
            <v>towel</v>
          </cell>
          <cell r="D592">
            <v>1.0132293720000001</v>
          </cell>
          <cell r="E592">
            <v>68.47826087</v>
          </cell>
          <cell r="F592">
            <v>92</v>
          </cell>
          <cell r="G592">
            <v>3</v>
          </cell>
          <cell r="H592">
            <v>3</v>
          </cell>
          <cell r="I592">
            <v>5</v>
          </cell>
          <cell r="J592">
            <v>2.3199999999999998</v>
          </cell>
        </row>
        <row r="593">
          <cell r="A593" t="str">
            <v>PICTURE_592</v>
          </cell>
          <cell r="B593" t="str">
            <v>lettuce</v>
          </cell>
          <cell r="D593">
            <v>0.98763938200000001</v>
          </cell>
          <cell r="E593">
            <v>76.595744679999996</v>
          </cell>
          <cell r="F593">
            <v>94</v>
          </cell>
          <cell r="G593">
            <v>4</v>
          </cell>
          <cell r="H593">
            <v>3</v>
          </cell>
          <cell r="I593">
            <v>3</v>
          </cell>
          <cell r="J593">
            <v>2.77</v>
          </cell>
        </row>
        <row r="594">
          <cell r="A594" t="str">
            <v>PICTURE_593</v>
          </cell>
          <cell r="B594" t="str">
            <v>chocolate</v>
          </cell>
          <cell r="D594">
            <v>0</v>
          </cell>
          <cell r="E594">
            <v>100</v>
          </cell>
          <cell r="F594">
            <v>99</v>
          </cell>
          <cell r="G594">
            <v>1</v>
          </cell>
          <cell r="H594">
            <v>0</v>
          </cell>
          <cell r="I594">
            <v>1</v>
          </cell>
          <cell r="J594">
            <v>2.38</v>
          </cell>
        </row>
        <row r="595">
          <cell r="A595" t="str">
            <v>PICTURE_594</v>
          </cell>
          <cell r="B595" t="str">
            <v>needle</v>
          </cell>
          <cell r="D595">
            <v>1.377061656</v>
          </cell>
          <cell r="E595">
            <v>58.16326531</v>
          </cell>
          <cell r="F595">
            <v>98</v>
          </cell>
          <cell r="G595">
            <v>3</v>
          </cell>
          <cell r="H595">
            <v>1</v>
          </cell>
          <cell r="I595">
            <v>1</v>
          </cell>
          <cell r="J595">
            <v>2.66</v>
          </cell>
        </row>
        <row r="596">
          <cell r="A596" t="str">
            <v>PICTURE_595</v>
          </cell>
          <cell r="B596" t="str">
            <v>cube</v>
          </cell>
          <cell r="D596">
            <v>1.1062896579999999</v>
          </cell>
          <cell r="E596">
            <v>65.979381439999997</v>
          </cell>
          <cell r="F596">
            <v>97</v>
          </cell>
          <cell r="G596">
            <v>3</v>
          </cell>
          <cell r="H596">
            <v>1</v>
          </cell>
          <cell r="I596">
            <v>2</v>
          </cell>
          <cell r="J596">
            <v>1.6</v>
          </cell>
        </row>
        <row r="597">
          <cell r="A597" t="str">
            <v>PICTURE_596</v>
          </cell>
          <cell r="B597" t="str">
            <v>folder</v>
          </cell>
          <cell r="D597">
            <v>2.7469902629999998</v>
          </cell>
          <cell r="E597">
            <v>30.851063830000001</v>
          </cell>
          <cell r="F597">
            <v>94</v>
          </cell>
          <cell r="G597">
            <v>10</v>
          </cell>
          <cell r="H597">
            <v>2</v>
          </cell>
          <cell r="I597">
            <v>4</v>
          </cell>
          <cell r="J597">
            <v>1.97</v>
          </cell>
        </row>
        <row r="598">
          <cell r="A598" t="str">
            <v>PICTURE_597</v>
          </cell>
          <cell r="B598" t="str">
            <v>window</v>
          </cell>
          <cell r="D598">
            <v>0.53283506300000005</v>
          </cell>
          <cell r="E598">
            <v>87.878787880000004</v>
          </cell>
          <cell r="F598">
            <v>99</v>
          </cell>
          <cell r="G598">
            <v>2</v>
          </cell>
          <cell r="H598">
            <v>1</v>
          </cell>
          <cell r="I598">
            <v>0</v>
          </cell>
          <cell r="J598">
            <v>2.88</v>
          </cell>
        </row>
        <row r="599">
          <cell r="A599" t="str">
            <v>PICTURE_598</v>
          </cell>
          <cell r="B599" t="str">
            <v>dart board</v>
          </cell>
          <cell r="D599">
            <v>0.49022122099999998</v>
          </cell>
          <cell r="E599">
            <v>92.708333330000002</v>
          </cell>
          <cell r="F599">
            <v>96</v>
          </cell>
          <cell r="G599">
            <v>4</v>
          </cell>
          <cell r="H599">
            <v>2</v>
          </cell>
          <cell r="I599">
            <v>2</v>
          </cell>
          <cell r="J599">
            <v>2.4900000000000002</v>
          </cell>
        </row>
        <row r="600">
          <cell r="A600" t="str">
            <v>PICTURE_599</v>
          </cell>
          <cell r="B600" t="str">
            <v>cloud</v>
          </cell>
          <cell r="D600">
            <v>0</v>
          </cell>
          <cell r="E600">
            <v>100</v>
          </cell>
          <cell r="F600">
            <v>92</v>
          </cell>
          <cell r="G600">
            <v>1</v>
          </cell>
          <cell r="H600">
            <v>3</v>
          </cell>
          <cell r="I600">
            <v>5</v>
          </cell>
          <cell r="J600">
            <v>1.58</v>
          </cell>
        </row>
        <row r="601">
          <cell r="A601" t="str">
            <v>PICTURE_600</v>
          </cell>
          <cell r="B601" t="str">
            <v>tribesman</v>
          </cell>
          <cell r="D601">
            <v>2.0798644620000002</v>
          </cell>
          <cell r="E601">
            <v>58.333333330000002</v>
          </cell>
          <cell r="F601">
            <v>84</v>
          </cell>
          <cell r="G601">
            <v>9</v>
          </cell>
          <cell r="H601">
            <v>13</v>
          </cell>
          <cell r="I601">
            <v>3</v>
          </cell>
          <cell r="J601">
            <v>3.43</v>
          </cell>
        </row>
        <row r="602">
          <cell r="A602" t="str">
            <v>PICTURE_601</v>
          </cell>
          <cell r="B602" t="str">
            <v>koala</v>
          </cell>
          <cell r="D602">
            <v>0.151096971</v>
          </cell>
          <cell r="E602">
            <v>97.826086959999998</v>
          </cell>
          <cell r="F602">
            <v>92</v>
          </cell>
          <cell r="G602">
            <v>2</v>
          </cell>
          <cell r="H602">
            <v>3</v>
          </cell>
          <cell r="I602">
            <v>5</v>
          </cell>
          <cell r="J602">
            <v>3.51</v>
          </cell>
        </row>
        <row r="603">
          <cell r="A603" t="str">
            <v>PICTURE_602</v>
          </cell>
          <cell r="B603" t="str">
            <v>priest</v>
          </cell>
          <cell r="D603">
            <v>0.98934749899999996</v>
          </cell>
          <cell r="E603">
            <v>80.898876400000006</v>
          </cell>
          <cell r="F603">
            <v>89</v>
          </cell>
          <cell r="G603">
            <v>5</v>
          </cell>
          <cell r="H603">
            <v>4</v>
          </cell>
          <cell r="I603">
            <v>7</v>
          </cell>
          <cell r="J603">
            <v>2.8282828279999999</v>
          </cell>
        </row>
        <row r="604">
          <cell r="A604" t="str">
            <v>PICTURE_603</v>
          </cell>
          <cell r="B604" t="str">
            <v>graveyard</v>
          </cell>
          <cell r="D604">
            <v>0.71774180899999995</v>
          </cell>
          <cell r="E604">
            <v>80.208333330000002</v>
          </cell>
          <cell r="F604">
            <v>96</v>
          </cell>
          <cell r="G604">
            <v>2</v>
          </cell>
          <cell r="H604">
            <v>2</v>
          </cell>
          <cell r="I604">
            <v>2</v>
          </cell>
          <cell r="J604">
            <v>3.09</v>
          </cell>
        </row>
        <row r="605">
          <cell r="A605" t="str">
            <v>PICTURE_604</v>
          </cell>
          <cell r="B605" t="str">
            <v>tobacco</v>
          </cell>
          <cell r="D605">
            <v>1.731704334</v>
          </cell>
          <cell r="E605">
            <v>53.333333330000002</v>
          </cell>
          <cell r="F605">
            <v>75</v>
          </cell>
          <cell r="G605">
            <v>6</v>
          </cell>
          <cell r="H605">
            <v>19</v>
          </cell>
          <cell r="I605">
            <v>6</v>
          </cell>
          <cell r="J605">
            <v>3.01</v>
          </cell>
        </row>
        <row r="606">
          <cell r="A606" t="str">
            <v>PICTURE_605</v>
          </cell>
          <cell r="B606" t="str">
            <v>harp</v>
          </cell>
          <cell r="D606">
            <v>0.15374218000000001</v>
          </cell>
          <cell r="E606">
            <v>97.777777779999994</v>
          </cell>
          <cell r="F606">
            <v>90</v>
          </cell>
          <cell r="G606">
            <v>2</v>
          </cell>
          <cell r="H606">
            <v>9</v>
          </cell>
          <cell r="I606">
            <v>1</v>
          </cell>
          <cell r="J606">
            <v>2.98</v>
          </cell>
        </row>
        <row r="607">
          <cell r="A607" t="str">
            <v>PICTURE_606</v>
          </cell>
          <cell r="B607" t="str">
            <v>cat</v>
          </cell>
          <cell r="D607">
            <v>0.950672093</v>
          </cell>
          <cell r="E607">
            <v>63</v>
          </cell>
          <cell r="F607">
            <v>100</v>
          </cell>
          <cell r="G607">
            <v>2</v>
          </cell>
          <cell r="H607">
            <v>0</v>
          </cell>
          <cell r="I607">
            <v>0</v>
          </cell>
          <cell r="J607">
            <v>3.59</v>
          </cell>
        </row>
        <row r="608">
          <cell r="A608" t="str">
            <v>PICTURE_607</v>
          </cell>
          <cell r="B608" t="str">
            <v>jumper</v>
          </cell>
          <cell r="D608">
            <v>0.82107366400000004</v>
          </cell>
          <cell r="E608">
            <v>83.505154640000001</v>
          </cell>
          <cell r="F608">
            <v>97</v>
          </cell>
          <cell r="G608">
            <v>4</v>
          </cell>
          <cell r="H608">
            <v>0</v>
          </cell>
          <cell r="I608">
            <v>3</v>
          </cell>
          <cell r="J608">
            <v>2.6</v>
          </cell>
        </row>
        <row r="609">
          <cell r="A609" t="str">
            <v>PICTURE_608</v>
          </cell>
          <cell r="B609" t="str">
            <v>condom</v>
          </cell>
          <cell r="D609">
            <v>0.16232617999999999</v>
          </cell>
          <cell r="E609">
            <v>97.619047620000003</v>
          </cell>
          <cell r="F609">
            <v>84</v>
          </cell>
          <cell r="G609">
            <v>2</v>
          </cell>
          <cell r="H609">
            <v>15</v>
          </cell>
          <cell r="I609">
            <v>1</v>
          </cell>
          <cell r="J609">
            <v>2.5151515149999999</v>
          </cell>
        </row>
        <row r="610">
          <cell r="A610" t="str">
            <v>PICTURE_609</v>
          </cell>
          <cell r="B610" t="str">
            <v>pencil case</v>
          </cell>
          <cell r="D610">
            <v>0</v>
          </cell>
          <cell r="E610">
            <v>100</v>
          </cell>
          <cell r="F610">
            <v>99</v>
          </cell>
          <cell r="G610">
            <v>1</v>
          </cell>
          <cell r="H610">
            <v>0</v>
          </cell>
          <cell r="I610">
            <v>1</v>
          </cell>
          <cell r="J610">
            <v>2.59</v>
          </cell>
        </row>
        <row r="611">
          <cell r="A611" t="str">
            <v>PICTURE_610</v>
          </cell>
          <cell r="B611" t="str">
            <v>honey</v>
          </cell>
          <cell r="D611">
            <v>0</v>
          </cell>
          <cell r="E611">
            <v>100</v>
          </cell>
          <cell r="F611">
            <v>97</v>
          </cell>
          <cell r="G611">
            <v>1</v>
          </cell>
          <cell r="H611">
            <v>1</v>
          </cell>
          <cell r="I611">
            <v>2</v>
          </cell>
          <cell r="J611">
            <v>2.8</v>
          </cell>
        </row>
        <row r="612">
          <cell r="A612" t="str">
            <v>PICTURE_611</v>
          </cell>
          <cell r="B612" t="str">
            <v>plant</v>
          </cell>
          <cell r="D612">
            <v>0.91371430300000001</v>
          </cell>
          <cell r="E612">
            <v>82.828282830000006</v>
          </cell>
          <cell r="F612">
            <v>99</v>
          </cell>
          <cell r="G612">
            <v>4</v>
          </cell>
          <cell r="H612">
            <v>0</v>
          </cell>
          <cell r="I612">
            <v>1</v>
          </cell>
          <cell r="J612">
            <v>2.67</v>
          </cell>
        </row>
        <row r="613">
          <cell r="A613" t="str">
            <v>PICTURE_612</v>
          </cell>
          <cell r="B613" t="str">
            <v>frog</v>
          </cell>
          <cell r="D613">
            <v>0.14257333</v>
          </cell>
          <cell r="E613">
            <v>97.979797980000001</v>
          </cell>
          <cell r="F613">
            <v>99</v>
          </cell>
          <cell r="G613">
            <v>2</v>
          </cell>
          <cell r="H613">
            <v>1</v>
          </cell>
          <cell r="I613">
            <v>0</v>
          </cell>
          <cell r="J613">
            <v>2.7777777779999999</v>
          </cell>
        </row>
        <row r="614">
          <cell r="A614" t="str">
            <v>PICTURE_613</v>
          </cell>
          <cell r="B614" t="str">
            <v>hoodie</v>
          </cell>
          <cell r="D614">
            <v>0.58423881200000005</v>
          </cell>
          <cell r="E614">
            <v>86</v>
          </cell>
          <cell r="F614">
            <v>100</v>
          </cell>
          <cell r="G614">
            <v>2</v>
          </cell>
          <cell r="H614">
            <v>0</v>
          </cell>
          <cell r="I614">
            <v>0</v>
          </cell>
          <cell r="J614">
            <v>2.5</v>
          </cell>
        </row>
        <row r="615">
          <cell r="A615" t="str">
            <v>PICTURE_614</v>
          </cell>
          <cell r="B615" t="str">
            <v>queen</v>
          </cell>
          <cell r="D615">
            <v>0</v>
          </cell>
          <cell r="E615">
            <v>100</v>
          </cell>
          <cell r="F615">
            <v>99</v>
          </cell>
          <cell r="G615">
            <v>1</v>
          </cell>
          <cell r="H615">
            <v>0</v>
          </cell>
          <cell r="I615">
            <v>1</v>
          </cell>
          <cell r="J615">
            <v>3.15</v>
          </cell>
        </row>
        <row r="616">
          <cell r="A616" t="str">
            <v>PICTURE_615</v>
          </cell>
          <cell r="B616" t="str">
            <v>briefcase</v>
          </cell>
          <cell r="D616">
            <v>1.040534066</v>
          </cell>
          <cell r="E616">
            <v>82.828282830000006</v>
          </cell>
          <cell r="F616">
            <v>99</v>
          </cell>
          <cell r="G616">
            <v>6</v>
          </cell>
          <cell r="H616">
            <v>0</v>
          </cell>
          <cell r="I616">
            <v>1</v>
          </cell>
          <cell r="J616">
            <v>2.23</v>
          </cell>
        </row>
        <row r="617">
          <cell r="A617" t="str">
            <v>PICTURE_616</v>
          </cell>
          <cell r="B617" t="str">
            <v>biscuit</v>
          </cell>
          <cell r="D617">
            <v>1.240804733</v>
          </cell>
          <cell r="E617">
            <v>76.744186049999996</v>
          </cell>
          <cell r="F617">
            <v>43</v>
          </cell>
          <cell r="G617">
            <v>5</v>
          </cell>
          <cell r="H617">
            <v>49</v>
          </cell>
          <cell r="I617">
            <v>8</v>
          </cell>
          <cell r="J617">
            <v>2.59</v>
          </cell>
        </row>
        <row r="618">
          <cell r="A618" t="str">
            <v>PICTURE_617</v>
          </cell>
          <cell r="B618" t="str">
            <v>airport</v>
          </cell>
          <cell r="D618">
            <v>0</v>
          </cell>
          <cell r="E618">
            <v>100</v>
          </cell>
          <cell r="F618">
            <v>95</v>
          </cell>
          <cell r="G618">
            <v>1</v>
          </cell>
          <cell r="H618">
            <v>1</v>
          </cell>
          <cell r="I618">
            <v>4</v>
          </cell>
          <cell r="J618">
            <v>3.05</v>
          </cell>
        </row>
        <row r="619">
          <cell r="A619" t="str">
            <v>PICTURE_618</v>
          </cell>
          <cell r="B619" t="str">
            <v>cabin</v>
          </cell>
          <cell r="D619">
            <v>2.6562992059999999</v>
          </cell>
          <cell r="E619">
            <v>40</v>
          </cell>
          <cell r="F619">
            <v>95</v>
          </cell>
          <cell r="G619">
            <v>11</v>
          </cell>
          <cell r="H619">
            <v>3</v>
          </cell>
          <cell r="I619">
            <v>2</v>
          </cell>
          <cell r="J619">
            <v>3.489795918</v>
          </cell>
        </row>
        <row r="620">
          <cell r="A620" t="str">
            <v>PICTURE_619</v>
          </cell>
          <cell r="B620" t="str">
            <v>soap</v>
          </cell>
          <cell r="D620">
            <v>0.41388892199999999</v>
          </cell>
          <cell r="E620">
            <v>93.421052630000005</v>
          </cell>
          <cell r="F620">
            <v>76</v>
          </cell>
          <cell r="G620">
            <v>3</v>
          </cell>
          <cell r="H620">
            <v>19</v>
          </cell>
          <cell r="I620">
            <v>5</v>
          </cell>
          <cell r="J620">
            <v>2.38</v>
          </cell>
        </row>
        <row r="621">
          <cell r="A621" t="str">
            <v>PICTURE_620</v>
          </cell>
          <cell r="B621" t="str">
            <v>grapes</v>
          </cell>
          <cell r="D621">
            <v>1.511602431</v>
          </cell>
          <cell r="E621">
            <v>62.10526316</v>
          </cell>
          <cell r="F621">
            <v>95</v>
          </cell>
          <cell r="G621">
            <v>5</v>
          </cell>
          <cell r="H621">
            <v>3</v>
          </cell>
          <cell r="I621">
            <v>2</v>
          </cell>
          <cell r="J621">
            <v>2.4949494950000002</v>
          </cell>
        </row>
        <row r="622">
          <cell r="A622" t="str">
            <v>PICTURE_621</v>
          </cell>
          <cell r="B622" t="str">
            <v>tank</v>
          </cell>
          <cell r="D622">
            <v>0.20905980599999999</v>
          </cell>
          <cell r="E622">
            <v>96.703296699999996</v>
          </cell>
          <cell r="F622">
            <v>91</v>
          </cell>
          <cell r="G622">
            <v>2</v>
          </cell>
          <cell r="H622">
            <v>5</v>
          </cell>
          <cell r="I622">
            <v>4</v>
          </cell>
          <cell r="J622">
            <v>3.11</v>
          </cell>
        </row>
        <row r="623">
          <cell r="A623" t="str">
            <v>PICTURE_622</v>
          </cell>
          <cell r="B623" t="str">
            <v>chalk</v>
          </cell>
          <cell r="D623">
            <v>0.70291677500000005</v>
          </cell>
          <cell r="E623">
            <v>86.170212770000006</v>
          </cell>
          <cell r="F623">
            <v>94</v>
          </cell>
          <cell r="G623">
            <v>3</v>
          </cell>
          <cell r="H623">
            <v>3</v>
          </cell>
          <cell r="I623">
            <v>3</v>
          </cell>
          <cell r="J623">
            <v>2.4141414139999999</v>
          </cell>
        </row>
        <row r="624">
          <cell r="A624" t="str">
            <v>PICTURE_623</v>
          </cell>
          <cell r="B624" t="str">
            <v>prison</v>
          </cell>
          <cell r="D624">
            <v>1.006377291</v>
          </cell>
          <cell r="E624">
            <v>81.927710840000003</v>
          </cell>
          <cell r="F624">
            <v>83</v>
          </cell>
          <cell r="G624">
            <v>5</v>
          </cell>
          <cell r="H624">
            <v>13</v>
          </cell>
          <cell r="I624">
            <v>4</v>
          </cell>
          <cell r="J624">
            <v>2.83</v>
          </cell>
        </row>
        <row r="625">
          <cell r="A625" t="str">
            <v>PICTURE_624</v>
          </cell>
          <cell r="B625" t="str">
            <v>donkey</v>
          </cell>
          <cell r="D625">
            <v>0.25186284799999997</v>
          </cell>
          <cell r="E625">
            <v>95.78947368</v>
          </cell>
          <cell r="F625">
            <v>95</v>
          </cell>
          <cell r="G625">
            <v>2</v>
          </cell>
          <cell r="H625">
            <v>1</v>
          </cell>
          <cell r="I625">
            <v>4</v>
          </cell>
          <cell r="J625">
            <v>3.01</v>
          </cell>
        </row>
        <row r="626">
          <cell r="A626" t="str">
            <v>PICTURE_625</v>
          </cell>
          <cell r="B626" t="str">
            <v>sledge</v>
          </cell>
          <cell r="D626">
            <v>1.2679461219999999</v>
          </cell>
          <cell r="E626">
            <v>65.168539330000002</v>
          </cell>
          <cell r="F626">
            <v>89</v>
          </cell>
          <cell r="G626">
            <v>3</v>
          </cell>
          <cell r="H626">
            <v>9</v>
          </cell>
          <cell r="I626">
            <v>2</v>
          </cell>
          <cell r="J626">
            <v>2.38</v>
          </cell>
        </row>
        <row r="627">
          <cell r="A627" t="str">
            <v>PICTURE_626</v>
          </cell>
          <cell r="B627" t="str">
            <v>piano</v>
          </cell>
          <cell r="D627">
            <v>0</v>
          </cell>
          <cell r="E627">
            <v>100</v>
          </cell>
          <cell r="F627">
            <v>99</v>
          </cell>
          <cell r="G627">
            <v>1</v>
          </cell>
          <cell r="H627">
            <v>0</v>
          </cell>
          <cell r="I627">
            <v>1</v>
          </cell>
          <cell r="J627">
            <v>3.07</v>
          </cell>
        </row>
        <row r="628">
          <cell r="A628" t="str">
            <v>PICTURE_627</v>
          </cell>
          <cell r="B628" t="str">
            <v>sausage</v>
          </cell>
          <cell r="D628">
            <v>0.39662328299999999</v>
          </cell>
          <cell r="E628">
            <v>93.81443299</v>
          </cell>
          <cell r="F628">
            <v>97</v>
          </cell>
          <cell r="G628">
            <v>3</v>
          </cell>
          <cell r="H628">
            <v>2</v>
          </cell>
          <cell r="I628">
            <v>1</v>
          </cell>
          <cell r="J628">
            <v>1.949494949</v>
          </cell>
        </row>
        <row r="629">
          <cell r="A629" t="str">
            <v>PICTURE_628</v>
          </cell>
          <cell r="B629" t="str">
            <v>scarf</v>
          </cell>
          <cell r="D629">
            <v>0</v>
          </cell>
          <cell r="E629">
            <v>100</v>
          </cell>
          <cell r="F629">
            <v>100</v>
          </cell>
          <cell r="G629">
            <v>1</v>
          </cell>
          <cell r="H629">
            <v>0</v>
          </cell>
          <cell r="I629">
            <v>0</v>
          </cell>
          <cell r="J629">
            <v>3.0606060610000001</v>
          </cell>
        </row>
        <row r="630">
          <cell r="A630" t="str">
            <v>PICTURE_629</v>
          </cell>
          <cell r="B630" t="str">
            <v>pier</v>
          </cell>
          <cell r="D630">
            <v>0.994030211</v>
          </cell>
          <cell r="E630">
            <v>54.545454550000002</v>
          </cell>
          <cell r="F630">
            <v>88</v>
          </cell>
          <cell r="G630">
            <v>2</v>
          </cell>
          <cell r="H630">
            <v>5</v>
          </cell>
          <cell r="I630">
            <v>7</v>
          </cell>
          <cell r="J630">
            <v>3.11</v>
          </cell>
        </row>
        <row r="631">
          <cell r="A631" t="str">
            <v>PICTURE_630</v>
          </cell>
          <cell r="B631" t="str">
            <v>barrell</v>
          </cell>
          <cell r="D631">
            <v>0.58188867799999999</v>
          </cell>
          <cell r="E631">
            <v>89.189189189999993</v>
          </cell>
          <cell r="F631">
            <v>74</v>
          </cell>
          <cell r="G631">
            <v>3</v>
          </cell>
          <cell r="H631">
            <v>23</v>
          </cell>
          <cell r="I631">
            <v>3</v>
          </cell>
          <cell r="J631">
            <v>2.62</v>
          </cell>
        </row>
        <row r="632">
          <cell r="A632" t="str">
            <v>PICTURE_631</v>
          </cell>
          <cell r="B632" t="str">
            <v>burglar</v>
          </cell>
          <cell r="D632">
            <v>1.3975201399999999</v>
          </cell>
          <cell r="E632">
            <v>50</v>
          </cell>
          <cell r="F632">
            <v>100</v>
          </cell>
          <cell r="G632">
            <v>3</v>
          </cell>
          <cell r="H632">
            <v>0</v>
          </cell>
          <cell r="I632">
            <v>0</v>
          </cell>
          <cell r="J632">
            <v>2.61</v>
          </cell>
        </row>
        <row r="633">
          <cell r="A633" t="str">
            <v>PICTURE_632</v>
          </cell>
          <cell r="B633" t="str">
            <v>path</v>
          </cell>
          <cell r="D633">
            <v>2.4707165770000001</v>
          </cell>
          <cell r="E633">
            <v>46.236559139999997</v>
          </cell>
          <cell r="F633">
            <v>93</v>
          </cell>
          <cell r="G633">
            <v>10</v>
          </cell>
          <cell r="H633">
            <v>3</v>
          </cell>
          <cell r="I633">
            <v>4</v>
          </cell>
          <cell r="J633">
            <v>2.38</v>
          </cell>
        </row>
        <row r="634">
          <cell r="A634" t="str">
            <v>PICTURE_633</v>
          </cell>
          <cell r="B634" t="str">
            <v>funnel</v>
          </cell>
          <cell r="D634">
            <v>0.66177198100000001</v>
          </cell>
          <cell r="E634">
            <v>87.5</v>
          </cell>
          <cell r="F634">
            <v>88</v>
          </cell>
          <cell r="G634">
            <v>3</v>
          </cell>
          <cell r="H634">
            <v>10</v>
          </cell>
          <cell r="I634">
            <v>2</v>
          </cell>
          <cell r="J634">
            <v>2.29</v>
          </cell>
        </row>
        <row r="635">
          <cell r="A635" t="str">
            <v>PICTURE_634</v>
          </cell>
          <cell r="B635" t="str">
            <v>dynamite</v>
          </cell>
          <cell r="D635">
            <v>1.6563812019999999</v>
          </cell>
          <cell r="E635">
            <v>61.53846154</v>
          </cell>
          <cell r="F635">
            <v>91</v>
          </cell>
          <cell r="G635">
            <v>5</v>
          </cell>
          <cell r="H635">
            <v>7</v>
          </cell>
          <cell r="I635">
            <v>2</v>
          </cell>
          <cell r="J635">
            <v>2.59</v>
          </cell>
        </row>
        <row r="636">
          <cell r="A636" t="str">
            <v>PICTURE_635</v>
          </cell>
          <cell r="B636" t="str">
            <v>pig</v>
          </cell>
          <cell r="D636">
            <v>1.800720313</v>
          </cell>
          <cell r="E636">
            <v>44.31818182</v>
          </cell>
          <cell r="F636">
            <v>88</v>
          </cell>
          <cell r="G636">
            <v>5</v>
          </cell>
          <cell r="H636">
            <v>11</v>
          </cell>
          <cell r="I636">
            <v>1</v>
          </cell>
          <cell r="J636">
            <v>3.35</v>
          </cell>
        </row>
        <row r="637">
          <cell r="A637" t="str">
            <v>PICTURE_636</v>
          </cell>
          <cell r="B637" t="str">
            <v>sheep</v>
          </cell>
          <cell r="D637">
            <v>0.33494448700000001</v>
          </cell>
          <cell r="E637">
            <v>95</v>
          </cell>
          <cell r="F637">
            <v>100</v>
          </cell>
          <cell r="G637">
            <v>3</v>
          </cell>
          <cell r="H637">
            <v>0</v>
          </cell>
          <cell r="I637">
            <v>0</v>
          </cell>
          <cell r="J637">
            <v>3.04</v>
          </cell>
        </row>
        <row r="638">
          <cell r="A638" t="str">
            <v>PICTURE_637</v>
          </cell>
          <cell r="B638" t="str">
            <v>bear</v>
          </cell>
          <cell r="D638">
            <v>0</v>
          </cell>
          <cell r="E638">
            <v>100</v>
          </cell>
          <cell r="F638">
            <v>99</v>
          </cell>
          <cell r="G638">
            <v>1</v>
          </cell>
          <cell r="H638">
            <v>1</v>
          </cell>
          <cell r="I638">
            <v>0</v>
          </cell>
          <cell r="J638">
            <v>3.24</v>
          </cell>
        </row>
        <row r="639">
          <cell r="A639" t="str">
            <v>PICTURE_638</v>
          </cell>
          <cell r="B639" t="str">
            <v>heater</v>
          </cell>
          <cell r="D639">
            <v>1.129271854</v>
          </cell>
          <cell r="E639">
            <v>61.627906979999999</v>
          </cell>
          <cell r="F639">
            <v>86</v>
          </cell>
          <cell r="G639">
            <v>3</v>
          </cell>
          <cell r="H639">
            <v>11</v>
          </cell>
          <cell r="I639">
            <v>3</v>
          </cell>
          <cell r="J639">
            <v>2.7</v>
          </cell>
        </row>
        <row r="640">
          <cell r="A640" t="str">
            <v>PICTURE_639</v>
          </cell>
          <cell r="B640" t="str">
            <v>artichoke</v>
          </cell>
          <cell r="D640">
            <v>2.833028171</v>
          </cell>
          <cell r="E640">
            <v>22.916666670000001</v>
          </cell>
          <cell r="F640">
            <v>48</v>
          </cell>
          <cell r="G640">
            <v>8</v>
          </cell>
          <cell r="H640">
            <v>47</v>
          </cell>
          <cell r="I640">
            <v>5</v>
          </cell>
          <cell r="J640">
            <v>2.65</v>
          </cell>
        </row>
        <row r="641">
          <cell r="A641" t="str">
            <v>PICTURE_640</v>
          </cell>
          <cell r="B641" t="str">
            <v>cactus</v>
          </cell>
          <cell r="D641">
            <v>0</v>
          </cell>
          <cell r="E641">
            <v>100</v>
          </cell>
          <cell r="F641">
            <v>94</v>
          </cell>
          <cell r="G641">
            <v>1</v>
          </cell>
          <cell r="H641">
            <v>6</v>
          </cell>
          <cell r="I641">
            <v>0</v>
          </cell>
          <cell r="J641">
            <v>3.37</v>
          </cell>
        </row>
        <row r="642">
          <cell r="A642" t="str">
            <v>PICTURE_641</v>
          </cell>
          <cell r="B642" t="str">
            <v>concert</v>
          </cell>
          <cell r="D642">
            <v>1.7962731409999999</v>
          </cell>
          <cell r="E642">
            <v>64.21052632</v>
          </cell>
          <cell r="F642">
            <v>95</v>
          </cell>
          <cell r="G642">
            <v>8</v>
          </cell>
          <cell r="H642">
            <v>3</v>
          </cell>
          <cell r="I642">
            <v>2</v>
          </cell>
          <cell r="J642">
            <v>3.2</v>
          </cell>
        </row>
        <row r="643">
          <cell r="A643" t="str">
            <v>PICTURE_642</v>
          </cell>
          <cell r="B643" t="str">
            <v>notebook</v>
          </cell>
          <cell r="D643">
            <v>1.531606668</v>
          </cell>
          <cell r="E643">
            <v>46.464646459999997</v>
          </cell>
          <cell r="F643">
            <v>99</v>
          </cell>
          <cell r="G643">
            <v>3</v>
          </cell>
          <cell r="H643">
            <v>0</v>
          </cell>
          <cell r="I643">
            <v>1</v>
          </cell>
          <cell r="J643">
            <v>2.17</v>
          </cell>
        </row>
        <row r="644">
          <cell r="A644" t="str">
            <v>PICTURE_643</v>
          </cell>
          <cell r="B644" t="str">
            <v>cleavage</v>
          </cell>
          <cell r="D644">
            <v>2.1641221979999998</v>
          </cell>
          <cell r="E644">
            <v>43.47826087</v>
          </cell>
          <cell r="F644">
            <v>92</v>
          </cell>
          <cell r="G644">
            <v>6</v>
          </cell>
          <cell r="H644">
            <v>2</v>
          </cell>
          <cell r="I644">
            <v>6</v>
          </cell>
          <cell r="J644">
            <v>2.2200000000000002</v>
          </cell>
        </row>
        <row r="645">
          <cell r="A645" t="str">
            <v>PICTURE_644</v>
          </cell>
          <cell r="B645" t="str">
            <v>coat</v>
          </cell>
          <cell r="D645">
            <v>0.36855677799999997</v>
          </cell>
          <cell r="E645">
            <v>92.929292930000003</v>
          </cell>
          <cell r="F645">
            <v>99</v>
          </cell>
          <cell r="G645">
            <v>2</v>
          </cell>
          <cell r="H645">
            <v>1</v>
          </cell>
          <cell r="I645">
            <v>0</v>
          </cell>
          <cell r="J645">
            <v>2.4949494950000002</v>
          </cell>
        </row>
        <row r="646">
          <cell r="A646" t="str">
            <v>PICTURE_645</v>
          </cell>
          <cell r="B646" t="str">
            <v>gun</v>
          </cell>
          <cell r="D646">
            <v>1.3439645339999999</v>
          </cell>
          <cell r="E646">
            <v>58</v>
          </cell>
          <cell r="F646">
            <v>100</v>
          </cell>
          <cell r="G646">
            <v>3</v>
          </cell>
          <cell r="H646">
            <v>0</v>
          </cell>
          <cell r="I646">
            <v>0</v>
          </cell>
          <cell r="J646">
            <v>2.3199999999999998</v>
          </cell>
        </row>
        <row r="647">
          <cell r="A647" t="str">
            <v>PICTURE_646</v>
          </cell>
          <cell r="B647" t="str">
            <v>stump</v>
          </cell>
          <cell r="C647"/>
          <cell r="D647">
            <v>1.8671507685635016</v>
          </cell>
          <cell r="E647">
            <v>51.578947370000002</v>
          </cell>
          <cell r="F647">
            <v>95</v>
          </cell>
          <cell r="G647">
            <v>5</v>
          </cell>
          <cell r="H647">
            <v>3</v>
          </cell>
          <cell r="I647">
            <v>2</v>
          </cell>
          <cell r="J647">
            <v>3.28</v>
          </cell>
        </row>
        <row r="648">
          <cell r="A648" t="str">
            <v>PICTURE_647</v>
          </cell>
          <cell r="B648" t="str">
            <v>buffalo</v>
          </cell>
          <cell r="D648">
            <v>2.5676649970000001</v>
          </cell>
          <cell r="E648">
            <v>29.87012987</v>
          </cell>
          <cell r="F648">
            <v>77</v>
          </cell>
          <cell r="G648">
            <v>8</v>
          </cell>
          <cell r="H648">
            <v>19</v>
          </cell>
          <cell r="I648">
            <v>4</v>
          </cell>
          <cell r="J648">
            <v>3.55</v>
          </cell>
        </row>
        <row r="649">
          <cell r="A649" t="str">
            <v>PICTURE_648</v>
          </cell>
          <cell r="B649" t="str">
            <v>mosquito</v>
          </cell>
          <cell r="D649">
            <v>1.8141816260000001</v>
          </cell>
          <cell r="E649">
            <v>52.127659569999999</v>
          </cell>
          <cell r="F649">
            <v>94</v>
          </cell>
          <cell r="G649">
            <v>5</v>
          </cell>
          <cell r="H649">
            <v>3</v>
          </cell>
          <cell r="I649">
            <v>3</v>
          </cell>
          <cell r="J649">
            <v>3.29</v>
          </cell>
        </row>
        <row r="650">
          <cell r="A650" t="str">
            <v>PICTURE_649</v>
          </cell>
          <cell r="B650" t="str">
            <v>ambulance</v>
          </cell>
          <cell r="D650">
            <v>0</v>
          </cell>
          <cell r="E650">
            <v>100</v>
          </cell>
          <cell r="F650">
            <v>99</v>
          </cell>
          <cell r="G650">
            <v>1</v>
          </cell>
          <cell r="H650">
            <v>0</v>
          </cell>
          <cell r="I650">
            <v>1</v>
          </cell>
          <cell r="J650">
            <v>2.63</v>
          </cell>
        </row>
        <row r="651">
          <cell r="A651" t="str">
            <v>PICTURE_650</v>
          </cell>
          <cell r="B651" t="str">
            <v>sponge</v>
          </cell>
          <cell r="D651">
            <v>0.92764109299999997</v>
          </cell>
          <cell r="E651">
            <v>82.278481009999993</v>
          </cell>
          <cell r="F651">
            <v>79</v>
          </cell>
          <cell r="G651">
            <v>4</v>
          </cell>
          <cell r="H651">
            <v>18</v>
          </cell>
          <cell r="I651">
            <v>3</v>
          </cell>
          <cell r="J651">
            <v>3.06</v>
          </cell>
        </row>
        <row r="652">
          <cell r="A652" t="str">
            <v>PICTURE_651</v>
          </cell>
          <cell r="B652" t="str">
            <v>soup</v>
          </cell>
          <cell r="D652">
            <v>1.5540157999999999</v>
          </cell>
          <cell r="E652">
            <v>64.444444439999998</v>
          </cell>
          <cell r="F652">
            <v>90</v>
          </cell>
          <cell r="G652">
            <v>5</v>
          </cell>
          <cell r="H652">
            <v>9</v>
          </cell>
          <cell r="I652">
            <v>1</v>
          </cell>
          <cell r="J652">
            <v>2.37</v>
          </cell>
        </row>
        <row r="653">
          <cell r="A653" t="str">
            <v>PICTURE_652</v>
          </cell>
          <cell r="B653" t="str">
            <v>ferris wheel</v>
          </cell>
          <cell r="D653">
            <v>1.3670384120000001</v>
          </cell>
          <cell r="E653">
            <v>67.741935479999995</v>
          </cell>
          <cell r="F653">
            <v>93</v>
          </cell>
          <cell r="G653">
            <v>5</v>
          </cell>
          <cell r="H653">
            <v>5</v>
          </cell>
          <cell r="I653">
            <v>2</v>
          </cell>
          <cell r="J653">
            <v>3.4040404039999999</v>
          </cell>
        </row>
        <row r="654">
          <cell r="A654" t="str">
            <v>PICTURE_653</v>
          </cell>
          <cell r="B654" t="str">
            <v>umbrella</v>
          </cell>
          <cell r="D654">
            <v>0</v>
          </cell>
          <cell r="E654">
            <v>100</v>
          </cell>
          <cell r="F654">
            <v>100</v>
          </cell>
          <cell r="G654">
            <v>1</v>
          </cell>
          <cell r="H654">
            <v>0</v>
          </cell>
          <cell r="I654">
            <v>0</v>
          </cell>
          <cell r="J654">
            <v>2.39</v>
          </cell>
        </row>
        <row r="655">
          <cell r="A655" t="str">
            <v>PICTURE_654</v>
          </cell>
          <cell r="B655" t="str">
            <v>pencil</v>
          </cell>
          <cell r="D655">
            <v>0</v>
          </cell>
          <cell r="E655">
            <v>100</v>
          </cell>
          <cell r="F655">
            <v>100</v>
          </cell>
          <cell r="G655">
            <v>1</v>
          </cell>
          <cell r="H655">
            <v>0</v>
          </cell>
          <cell r="I655">
            <v>0</v>
          </cell>
          <cell r="J655">
            <v>1.99</v>
          </cell>
        </row>
        <row r="656">
          <cell r="A656" t="str">
            <v>PICTURE_655</v>
          </cell>
          <cell r="B656" t="str">
            <v>megaphone</v>
          </cell>
          <cell r="D656">
            <v>2.5782857469999998</v>
          </cell>
          <cell r="E656">
            <v>34.52380952</v>
          </cell>
          <cell r="F656">
            <v>84</v>
          </cell>
          <cell r="G656">
            <v>8</v>
          </cell>
          <cell r="H656">
            <v>12</v>
          </cell>
          <cell r="I656">
            <v>4</v>
          </cell>
          <cell r="J656">
            <v>2.38</v>
          </cell>
        </row>
        <row r="657">
          <cell r="A657" t="str">
            <v>PICTURE_656</v>
          </cell>
          <cell r="B657" t="str">
            <v>battery</v>
          </cell>
          <cell r="D657">
            <v>0</v>
          </cell>
          <cell r="E657">
            <v>100</v>
          </cell>
          <cell r="F657">
            <v>100</v>
          </cell>
          <cell r="G657">
            <v>1</v>
          </cell>
          <cell r="H657">
            <v>0</v>
          </cell>
          <cell r="I657">
            <v>0</v>
          </cell>
          <cell r="J657">
            <v>2.27</v>
          </cell>
        </row>
        <row r="658">
          <cell r="A658" t="str">
            <v>PICTURE_657</v>
          </cell>
          <cell r="B658" t="str">
            <v>medal</v>
          </cell>
          <cell r="D658">
            <v>0</v>
          </cell>
          <cell r="E658">
            <v>100</v>
          </cell>
          <cell r="F658">
            <v>99</v>
          </cell>
          <cell r="G658">
            <v>1</v>
          </cell>
          <cell r="H658">
            <v>1</v>
          </cell>
          <cell r="I658">
            <v>0</v>
          </cell>
          <cell r="J658">
            <v>2.46</v>
          </cell>
        </row>
        <row r="659">
          <cell r="A659" t="str">
            <v>PICTURE_658</v>
          </cell>
          <cell r="B659" t="str">
            <v>crow</v>
          </cell>
          <cell r="D659">
            <v>1.2847112060000001</v>
          </cell>
          <cell r="E659">
            <v>54.166666669999998</v>
          </cell>
          <cell r="F659">
            <v>96</v>
          </cell>
          <cell r="G659">
            <v>3</v>
          </cell>
          <cell r="H659">
            <v>1</v>
          </cell>
          <cell r="I659">
            <v>3</v>
          </cell>
          <cell r="J659">
            <v>2.94</v>
          </cell>
        </row>
        <row r="660">
          <cell r="A660" t="str">
            <v>PICTURE_659</v>
          </cell>
          <cell r="B660" t="str">
            <v>radio</v>
          </cell>
          <cell r="D660">
            <v>0.58320683500000003</v>
          </cell>
          <cell r="E660">
            <v>89.583333330000002</v>
          </cell>
          <cell r="F660">
            <v>96</v>
          </cell>
          <cell r="G660">
            <v>3</v>
          </cell>
          <cell r="H660">
            <v>0</v>
          </cell>
          <cell r="I660">
            <v>4</v>
          </cell>
          <cell r="J660">
            <v>2.85</v>
          </cell>
        </row>
        <row r="661">
          <cell r="A661" t="str">
            <v>PICTURE_660</v>
          </cell>
          <cell r="B661" t="str">
            <v>clarinet</v>
          </cell>
          <cell r="D661">
            <v>1.7064315210000001</v>
          </cell>
          <cell r="E661">
            <v>54.216867469999997</v>
          </cell>
          <cell r="F661">
            <v>83</v>
          </cell>
          <cell r="G661">
            <v>6</v>
          </cell>
          <cell r="H661">
            <v>16</v>
          </cell>
          <cell r="I661">
            <v>1</v>
          </cell>
          <cell r="J661">
            <v>3.1717171720000001</v>
          </cell>
        </row>
        <row r="662">
          <cell r="A662" t="str">
            <v>PICTURE_661</v>
          </cell>
          <cell r="B662" t="str">
            <v>drawer</v>
          </cell>
          <cell r="D662">
            <v>0.14372616999999999</v>
          </cell>
          <cell r="E662">
            <v>97.959183670000002</v>
          </cell>
          <cell r="F662">
            <v>98</v>
          </cell>
          <cell r="G662">
            <v>2</v>
          </cell>
          <cell r="H662">
            <v>1</v>
          </cell>
          <cell r="I662">
            <v>1</v>
          </cell>
          <cell r="J662">
            <v>2.36</v>
          </cell>
        </row>
        <row r="663">
          <cell r="A663" t="str">
            <v>PICTURE_662</v>
          </cell>
          <cell r="B663" t="str">
            <v>pelican</v>
          </cell>
          <cell r="D663">
            <v>1.552604729</v>
          </cell>
          <cell r="E663">
            <v>57.647058819999998</v>
          </cell>
          <cell r="F663">
            <v>85</v>
          </cell>
          <cell r="G663">
            <v>5</v>
          </cell>
          <cell r="H663">
            <v>13</v>
          </cell>
          <cell r="I663">
            <v>2</v>
          </cell>
          <cell r="J663">
            <v>3.3434343430000002</v>
          </cell>
        </row>
        <row r="664">
          <cell r="A664" t="str">
            <v>PICTURE_663</v>
          </cell>
          <cell r="B664" t="str">
            <v>pillar</v>
          </cell>
          <cell r="D664">
            <v>1.095905052</v>
          </cell>
          <cell r="E664">
            <v>71.604938270000005</v>
          </cell>
          <cell r="F664">
            <v>81</v>
          </cell>
          <cell r="G664">
            <v>3</v>
          </cell>
          <cell r="H664">
            <v>12</v>
          </cell>
          <cell r="I664">
            <v>7</v>
          </cell>
          <cell r="J664">
            <v>2.44</v>
          </cell>
        </row>
        <row r="665">
          <cell r="A665" t="str">
            <v>PICTURE_664</v>
          </cell>
          <cell r="B665" t="str">
            <v>dress</v>
          </cell>
          <cell r="D665">
            <v>0</v>
          </cell>
          <cell r="E665">
            <v>100</v>
          </cell>
          <cell r="F665">
            <v>99</v>
          </cell>
          <cell r="G665">
            <v>1</v>
          </cell>
          <cell r="H665">
            <v>0</v>
          </cell>
          <cell r="I665">
            <v>1</v>
          </cell>
          <cell r="J665">
            <v>2.38</v>
          </cell>
        </row>
        <row r="666">
          <cell r="A666" t="str">
            <v>PICTURE_665</v>
          </cell>
          <cell r="B666" t="str">
            <v>panther</v>
          </cell>
          <cell r="D666">
            <v>1.874494589</v>
          </cell>
          <cell r="E666">
            <v>48.93617021</v>
          </cell>
          <cell r="F666">
            <v>94</v>
          </cell>
          <cell r="G666">
            <v>5</v>
          </cell>
          <cell r="H666">
            <v>4</v>
          </cell>
          <cell r="I666">
            <v>2</v>
          </cell>
          <cell r="J666">
            <v>3.2323232320000002</v>
          </cell>
        </row>
        <row r="667">
          <cell r="A667" t="str">
            <v>PICTURE_666</v>
          </cell>
          <cell r="B667" t="str">
            <v>coffee</v>
          </cell>
          <cell r="D667">
            <v>0.37395136699999998</v>
          </cell>
          <cell r="E667">
            <v>92.783505149999996</v>
          </cell>
          <cell r="F667">
            <v>97</v>
          </cell>
          <cell r="G667">
            <v>2</v>
          </cell>
          <cell r="H667">
            <v>0</v>
          </cell>
          <cell r="I667">
            <v>3</v>
          </cell>
          <cell r="J667">
            <v>3.09</v>
          </cell>
        </row>
        <row r="668">
          <cell r="A668" t="str">
            <v>PICTURE_667</v>
          </cell>
          <cell r="B668" t="str">
            <v>daisy</v>
          </cell>
          <cell r="D668">
            <v>0.95629400600000003</v>
          </cell>
          <cell r="E668">
            <v>62.244897960000003</v>
          </cell>
          <cell r="F668">
            <v>98</v>
          </cell>
          <cell r="G668">
            <v>2</v>
          </cell>
          <cell r="H668">
            <v>0</v>
          </cell>
          <cell r="I668">
            <v>2</v>
          </cell>
          <cell r="J668">
            <v>2.65</v>
          </cell>
        </row>
        <row r="669">
          <cell r="A669" t="str">
            <v>PICTURE_668</v>
          </cell>
          <cell r="B669" t="str">
            <v>chicken</v>
          </cell>
          <cell r="D669">
            <v>1.033753707</v>
          </cell>
          <cell r="E669">
            <v>73.737373739999995</v>
          </cell>
          <cell r="F669">
            <v>99</v>
          </cell>
          <cell r="G669">
            <v>4</v>
          </cell>
          <cell r="H669">
            <v>0</v>
          </cell>
          <cell r="I669">
            <v>1</v>
          </cell>
          <cell r="J669">
            <v>2.71</v>
          </cell>
        </row>
        <row r="670">
          <cell r="A670" t="str">
            <v>PICTURE_669</v>
          </cell>
          <cell r="B670" t="str">
            <v>pilot</v>
          </cell>
          <cell r="D670">
            <v>0.42590440400000001</v>
          </cell>
          <cell r="E670">
            <v>93.939393940000002</v>
          </cell>
          <cell r="F670">
            <v>99</v>
          </cell>
          <cell r="G670">
            <v>4</v>
          </cell>
          <cell r="H670">
            <v>0</v>
          </cell>
          <cell r="I670">
            <v>1</v>
          </cell>
          <cell r="J670">
            <v>3.33</v>
          </cell>
        </row>
        <row r="671">
          <cell r="A671" t="str">
            <v>PICTURE_670</v>
          </cell>
          <cell r="B671" t="str">
            <v>boat wheel</v>
          </cell>
          <cell r="D671">
            <v>2.1133194300000002</v>
          </cell>
          <cell r="E671">
            <v>42.424242419999999</v>
          </cell>
          <cell r="F671">
            <v>99</v>
          </cell>
          <cell r="G671">
            <v>6</v>
          </cell>
          <cell r="H671">
            <v>0</v>
          </cell>
          <cell r="I671">
            <v>1</v>
          </cell>
          <cell r="J671">
            <v>2.99</v>
          </cell>
        </row>
        <row r="672">
          <cell r="A672" t="str">
            <v>PICTURE_671</v>
          </cell>
          <cell r="B672" t="str">
            <v>braces</v>
          </cell>
          <cell r="D672">
            <v>1.4522197320000001</v>
          </cell>
          <cell r="E672">
            <v>67.5</v>
          </cell>
          <cell r="F672">
            <v>80</v>
          </cell>
          <cell r="G672">
            <v>5</v>
          </cell>
          <cell r="H672">
            <v>11</v>
          </cell>
          <cell r="I672">
            <v>9</v>
          </cell>
          <cell r="J672">
            <v>2.35</v>
          </cell>
        </row>
        <row r="673">
          <cell r="A673" t="str">
            <v>PICTURE_672</v>
          </cell>
          <cell r="B673" t="str">
            <v>bee</v>
          </cell>
          <cell r="D673">
            <v>1.3736341519999999</v>
          </cell>
          <cell r="E673">
            <v>63.636363639999999</v>
          </cell>
          <cell r="F673">
            <v>99</v>
          </cell>
          <cell r="G673">
            <v>4</v>
          </cell>
          <cell r="H673">
            <v>0</v>
          </cell>
          <cell r="I673">
            <v>1</v>
          </cell>
          <cell r="J673">
            <v>3.04</v>
          </cell>
        </row>
        <row r="674">
          <cell r="A674" t="str">
            <v>PICTURE_673</v>
          </cell>
          <cell r="B674" t="str">
            <v>fork</v>
          </cell>
          <cell r="D674">
            <v>0</v>
          </cell>
          <cell r="E674">
            <v>100</v>
          </cell>
          <cell r="F674">
            <v>100</v>
          </cell>
          <cell r="G674">
            <v>1</v>
          </cell>
          <cell r="H674">
            <v>0</v>
          </cell>
          <cell r="I674">
            <v>0</v>
          </cell>
          <cell r="J674">
            <v>1.57</v>
          </cell>
        </row>
        <row r="675">
          <cell r="A675" t="str">
            <v>PICTURE_674</v>
          </cell>
          <cell r="B675" t="str">
            <v>doll</v>
          </cell>
          <cell r="D675">
            <v>1.201991606</v>
          </cell>
          <cell r="E675">
            <v>49</v>
          </cell>
          <cell r="F675">
            <v>100</v>
          </cell>
          <cell r="G675">
            <v>3</v>
          </cell>
          <cell r="H675">
            <v>0</v>
          </cell>
          <cell r="I675">
            <v>0</v>
          </cell>
          <cell r="J675">
            <v>2.5299999999999998</v>
          </cell>
        </row>
        <row r="676">
          <cell r="A676" t="str">
            <v>PICTURE_675</v>
          </cell>
          <cell r="B676" t="str">
            <v>windmill</v>
          </cell>
          <cell r="D676">
            <v>0.149811367</v>
          </cell>
          <cell r="E676">
            <v>97.849462369999998</v>
          </cell>
          <cell r="F676">
            <v>93</v>
          </cell>
          <cell r="G676">
            <v>2</v>
          </cell>
          <cell r="H676">
            <v>5</v>
          </cell>
          <cell r="I676">
            <v>2</v>
          </cell>
          <cell r="J676">
            <v>2.96</v>
          </cell>
        </row>
        <row r="677">
          <cell r="A677" t="str">
            <v>PICTURE_676</v>
          </cell>
          <cell r="B677" t="str">
            <v>walking stick</v>
          </cell>
          <cell r="D677">
            <v>0.78075362500000001</v>
          </cell>
          <cell r="E677">
            <v>76.842105259999997</v>
          </cell>
          <cell r="F677">
            <v>95</v>
          </cell>
          <cell r="G677">
            <v>2</v>
          </cell>
          <cell r="H677">
            <v>3</v>
          </cell>
          <cell r="I677">
            <v>2</v>
          </cell>
          <cell r="J677">
            <v>1.94</v>
          </cell>
        </row>
        <row r="678">
          <cell r="A678" t="str">
            <v>PICTURE_677</v>
          </cell>
          <cell r="B678" t="str">
            <v>map</v>
          </cell>
          <cell r="D678">
            <v>0.14257333</v>
          </cell>
          <cell r="E678">
            <v>97.979797980000001</v>
          </cell>
          <cell r="F678">
            <v>99</v>
          </cell>
          <cell r="G678">
            <v>2</v>
          </cell>
          <cell r="H678">
            <v>0</v>
          </cell>
          <cell r="I678">
            <v>1</v>
          </cell>
          <cell r="J678">
            <v>2.91</v>
          </cell>
        </row>
        <row r="679">
          <cell r="A679" t="str">
            <v>PICTURE_678</v>
          </cell>
          <cell r="B679" t="str">
            <v>horn</v>
          </cell>
          <cell r="D679">
            <v>0.87493158800000004</v>
          </cell>
          <cell r="E679">
            <v>70.512820509999997</v>
          </cell>
          <cell r="F679">
            <v>78</v>
          </cell>
          <cell r="G679">
            <v>2</v>
          </cell>
          <cell r="H679">
            <v>17</v>
          </cell>
          <cell r="I679">
            <v>5</v>
          </cell>
          <cell r="J679">
            <v>2.48</v>
          </cell>
        </row>
        <row r="680">
          <cell r="A680" t="str">
            <v>PICTURE_679</v>
          </cell>
          <cell r="B680" t="str">
            <v>fish bones</v>
          </cell>
          <cell r="D680">
            <v>1.345054864</v>
          </cell>
          <cell r="E680">
            <v>60.824742270000002</v>
          </cell>
          <cell r="F680">
            <v>97</v>
          </cell>
          <cell r="G680">
            <v>3</v>
          </cell>
          <cell r="H680">
            <v>1</v>
          </cell>
          <cell r="I680">
            <v>2</v>
          </cell>
          <cell r="J680">
            <v>1.92</v>
          </cell>
        </row>
        <row r="681">
          <cell r="A681" t="str">
            <v>PICTURE_680</v>
          </cell>
          <cell r="B681" t="str">
            <v>bow</v>
          </cell>
          <cell r="D681">
            <v>0.64980879999999996</v>
          </cell>
          <cell r="E681">
            <v>90.322580650000006</v>
          </cell>
          <cell r="F681">
            <v>93</v>
          </cell>
          <cell r="G681">
            <v>5</v>
          </cell>
          <cell r="H681">
            <v>5</v>
          </cell>
          <cell r="I681">
            <v>2</v>
          </cell>
          <cell r="J681">
            <v>2.4545454549999999</v>
          </cell>
        </row>
        <row r="682">
          <cell r="A682" t="str">
            <v>PICTURE_681</v>
          </cell>
          <cell r="B682" t="str">
            <v>rocket</v>
          </cell>
          <cell r="D682">
            <v>0.35144882100000002</v>
          </cell>
          <cell r="E682">
            <v>94.680851059999995</v>
          </cell>
          <cell r="F682">
            <v>94</v>
          </cell>
          <cell r="G682">
            <v>3</v>
          </cell>
          <cell r="H682">
            <v>2</v>
          </cell>
          <cell r="I682">
            <v>4</v>
          </cell>
          <cell r="J682">
            <v>2.78</v>
          </cell>
        </row>
        <row r="683">
          <cell r="A683" t="str">
            <v>PICTURE_682</v>
          </cell>
          <cell r="B683" t="str">
            <v>penguin</v>
          </cell>
          <cell r="D683">
            <v>0</v>
          </cell>
          <cell r="E683">
            <v>100</v>
          </cell>
          <cell r="F683">
            <v>99</v>
          </cell>
          <cell r="G683">
            <v>1</v>
          </cell>
          <cell r="H683">
            <v>1</v>
          </cell>
          <cell r="I683">
            <v>0</v>
          </cell>
          <cell r="J683">
            <v>2.5499999999999998</v>
          </cell>
        </row>
        <row r="684">
          <cell r="A684" t="str">
            <v>PICTURE_683</v>
          </cell>
          <cell r="B684" t="str">
            <v>caravan</v>
          </cell>
          <cell r="D684">
            <v>0.416844196</v>
          </cell>
          <cell r="E684">
            <v>91.578947369999995</v>
          </cell>
          <cell r="F684">
            <v>95</v>
          </cell>
          <cell r="G684">
            <v>2</v>
          </cell>
          <cell r="H684">
            <v>2</v>
          </cell>
          <cell r="I684">
            <v>3</v>
          </cell>
          <cell r="J684">
            <v>2.74</v>
          </cell>
        </row>
        <row r="685">
          <cell r="A685" t="str">
            <v>PICTURE_684</v>
          </cell>
          <cell r="B685" t="str">
            <v>peanut</v>
          </cell>
          <cell r="D685">
            <v>1.64831905</v>
          </cell>
          <cell r="E685">
            <v>48.837209299999998</v>
          </cell>
          <cell r="F685">
            <v>86</v>
          </cell>
          <cell r="G685">
            <v>5</v>
          </cell>
          <cell r="H685">
            <v>13</v>
          </cell>
          <cell r="I685">
            <v>1</v>
          </cell>
          <cell r="J685">
            <v>3.17</v>
          </cell>
        </row>
        <row r="686">
          <cell r="A686" t="str">
            <v>PICTURE_685</v>
          </cell>
          <cell r="B686" t="str">
            <v>goose</v>
          </cell>
          <cell r="D686">
            <v>1.5465118760000001</v>
          </cell>
          <cell r="E686">
            <v>56.52173913</v>
          </cell>
          <cell r="F686">
            <v>92</v>
          </cell>
          <cell r="G686">
            <v>4</v>
          </cell>
          <cell r="H686">
            <v>7</v>
          </cell>
          <cell r="I686">
            <v>1</v>
          </cell>
          <cell r="J686">
            <v>3.212121212</v>
          </cell>
        </row>
        <row r="687">
          <cell r="A687" t="str">
            <v>PICTURE_686</v>
          </cell>
          <cell r="B687" t="str">
            <v>great wall of china</v>
          </cell>
          <cell r="D687">
            <v>1.3376080130000001</v>
          </cell>
          <cell r="E687">
            <v>75.78947368</v>
          </cell>
          <cell r="F687">
            <v>95</v>
          </cell>
          <cell r="G687">
            <v>7</v>
          </cell>
          <cell r="H687">
            <v>2</v>
          </cell>
          <cell r="I687">
            <v>3</v>
          </cell>
          <cell r="J687">
            <v>3.79</v>
          </cell>
        </row>
        <row r="688">
          <cell r="A688" t="str">
            <v>PICTURE_687</v>
          </cell>
          <cell r="B688" t="str">
            <v>shirt</v>
          </cell>
          <cell r="D688">
            <v>0.33757642300000001</v>
          </cell>
          <cell r="E688">
            <v>94.949494950000002</v>
          </cell>
          <cell r="F688">
            <v>99</v>
          </cell>
          <cell r="G688">
            <v>3</v>
          </cell>
          <cell r="H688">
            <v>0</v>
          </cell>
          <cell r="I688">
            <v>1</v>
          </cell>
          <cell r="J688">
            <v>2.14</v>
          </cell>
        </row>
        <row r="689">
          <cell r="A689" t="str">
            <v>PICTURE_688</v>
          </cell>
          <cell r="B689" t="str">
            <v>runner</v>
          </cell>
          <cell r="D689">
            <v>0.69481673099999997</v>
          </cell>
          <cell r="E689">
            <v>85</v>
          </cell>
          <cell r="F689">
            <v>100</v>
          </cell>
          <cell r="G689">
            <v>3</v>
          </cell>
          <cell r="H689">
            <v>0</v>
          </cell>
          <cell r="I689">
            <v>0</v>
          </cell>
          <cell r="J689">
            <v>2.92</v>
          </cell>
        </row>
        <row r="690">
          <cell r="A690" t="str">
            <v>PICTURE_689</v>
          </cell>
          <cell r="B690" t="str">
            <v>fish tank</v>
          </cell>
          <cell r="D690">
            <v>0.99508038200000004</v>
          </cell>
          <cell r="E690">
            <v>80.808080810000007</v>
          </cell>
          <cell r="F690">
            <v>99</v>
          </cell>
          <cell r="G690">
            <v>4</v>
          </cell>
          <cell r="H690">
            <v>0</v>
          </cell>
          <cell r="I690">
            <v>1</v>
          </cell>
          <cell r="J690">
            <v>3.04</v>
          </cell>
        </row>
        <row r="691">
          <cell r="A691" t="str">
            <v>PICTURE_690</v>
          </cell>
          <cell r="B691" t="str">
            <v>hat</v>
          </cell>
          <cell r="D691">
            <v>0.32984606999999999</v>
          </cell>
          <cell r="E691">
            <v>93.939393940000002</v>
          </cell>
          <cell r="F691">
            <v>99</v>
          </cell>
          <cell r="G691">
            <v>2</v>
          </cell>
          <cell r="H691">
            <v>0</v>
          </cell>
          <cell r="I691">
            <v>1</v>
          </cell>
          <cell r="J691">
            <v>1.9898989899999999</v>
          </cell>
        </row>
        <row r="692">
          <cell r="A692" t="str">
            <v>PICTURE_691</v>
          </cell>
          <cell r="B692" t="str">
            <v>man</v>
          </cell>
          <cell r="D692">
            <v>0.14489961800000001</v>
          </cell>
          <cell r="E692">
            <v>97.93814433</v>
          </cell>
          <cell r="F692">
            <v>97</v>
          </cell>
          <cell r="G692">
            <v>2</v>
          </cell>
          <cell r="H692">
            <v>2</v>
          </cell>
          <cell r="I692">
            <v>1</v>
          </cell>
          <cell r="J692">
            <v>2.8383838379999999</v>
          </cell>
        </row>
        <row r="693">
          <cell r="A693" t="str">
            <v>PICTURE_692</v>
          </cell>
          <cell r="B693" t="str">
            <v>cherry</v>
          </cell>
          <cell r="D693">
            <v>0</v>
          </cell>
          <cell r="E693">
            <v>100</v>
          </cell>
          <cell r="F693">
            <v>98</v>
          </cell>
          <cell r="G693">
            <v>1</v>
          </cell>
          <cell r="H693">
            <v>1</v>
          </cell>
          <cell r="I693">
            <v>1</v>
          </cell>
          <cell r="J693">
            <v>1.97</v>
          </cell>
        </row>
        <row r="694">
          <cell r="A694" t="str">
            <v>PICTURE_693</v>
          </cell>
          <cell r="B694" t="str">
            <v>tree</v>
          </cell>
          <cell r="D694">
            <v>0</v>
          </cell>
          <cell r="E694">
            <v>100</v>
          </cell>
          <cell r="F694">
            <v>100</v>
          </cell>
          <cell r="G694">
            <v>1</v>
          </cell>
          <cell r="H694">
            <v>0</v>
          </cell>
          <cell r="I694">
            <v>0</v>
          </cell>
          <cell r="J694">
            <v>2.0299999999999998</v>
          </cell>
        </row>
        <row r="695">
          <cell r="A695" t="str">
            <v>PICTURE_694</v>
          </cell>
          <cell r="B695" t="str">
            <v>hug</v>
          </cell>
          <cell r="D695">
            <v>0.61045086500000001</v>
          </cell>
          <cell r="E695">
            <v>88.541666669999998</v>
          </cell>
          <cell r="F695">
            <v>96</v>
          </cell>
          <cell r="G695">
            <v>3</v>
          </cell>
          <cell r="H695">
            <v>0</v>
          </cell>
          <cell r="I695">
            <v>4</v>
          </cell>
          <cell r="J695">
            <v>2.67</v>
          </cell>
        </row>
        <row r="696">
          <cell r="A696" t="str">
            <v>PICTURE_695</v>
          </cell>
          <cell r="B696" t="str">
            <v>orange</v>
          </cell>
          <cell r="D696">
            <v>0.28853851400000002</v>
          </cell>
          <cell r="E696">
            <v>94.949494950000002</v>
          </cell>
          <cell r="F696">
            <v>99</v>
          </cell>
          <cell r="G696">
            <v>2</v>
          </cell>
          <cell r="H696">
            <v>0</v>
          </cell>
          <cell r="I696">
            <v>1</v>
          </cell>
          <cell r="J696">
            <v>2.67</v>
          </cell>
        </row>
        <row r="697">
          <cell r="A697" t="str">
            <v>PICTURE_696</v>
          </cell>
          <cell r="B697" t="str">
            <v>man</v>
          </cell>
          <cell r="D697">
            <v>0.93238681599999995</v>
          </cell>
          <cell r="E697">
            <v>84.375</v>
          </cell>
          <cell r="F697">
            <v>96</v>
          </cell>
          <cell r="G697">
            <v>5</v>
          </cell>
          <cell r="H697">
            <v>2</v>
          </cell>
          <cell r="I697">
            <v>2</v>
          </cell>
          <cell r="J697">
            <v>2.73</v>
          </cell>
        </row>
        <row r="698">
          <cell r="A698" t="str">
            <v>PICTURE_697</v>
          </cell>
          <cell r="B698" t="str">
            <v>peach</v>
          </cell>
          <cell r="D698">
            <v>1.922238355</v>
          </cell>
          <cell r="E698">
            <v>62.352941180000002</v>
          </cell>
          <cell r="F698">
            <v>85</v>
          </cell>
          <cell r="G698">
            <v>8</v>
          </cell>
          <cell r="H698">
            <v>13</v>
          </cell>
          <cell r="I698">
            <v>2</v>
          </cell>
          <cell r="J698">
            <v>2.71</v>
          </cell>
        </row>
        <row r="699">
          <cell r="A699" t="str">
            <v>PICTURE_698</v>
          </cell>
          <cell r="B699" t="str">
            <v>earring</v>
          </cell>
          <cell r="D699">
            <v>0.14257333</v>
          </cell>
          <cell r="E699">
            <v>97.979797980000001</v>
          </cell>
          <cell r="F699">
            <v>99</v>
          </cell>
          <cell r="G699">
            <v>2</v>
          </cell>
          <cell r="H699">
            <v>1</v>
          </cell>
          <cell r="I699">
            <v>0</v>
          </cell>
          <cell r="J699">
            <v>2.64</v>
          </cell>
        </row>
        <row r="700">
          <cell r="A700" t="str">
            <v>PICTURE_699</v>
          </cell>
          <cell r="B700" t="str">
            <v>telescope</v>
          </cell>
          <cell r="D700">
            <v>0.97216000700000005</v>
          </cell>
          <cell r="E700">
            <v>85.416666669999998</v>
          </cell>
          <cell r="F700">
            <v>96</v>
          </cell>
          <cell r="G700">
            <v>7</v>
          </cell>
          <cell r="H700">
            <v>4</v>
          </cell>
          <cell r="I700">
            <v>0</v>
          </cell>
          <cell r="J700">
            <v>2.79</v>
          </cell>
        </row>
        <row r="701">
          <cell r="A701" t="str">
            <v>PICTURE_700</v>
          </cell>
          <cell r="B701" t="str">
            <v>spot</v>
          </cell>
          <cell r="D701">
            <v>1.094106797</v>
          </cell>
          <cell r="E701">
            <v>75</v>
          </cell>
          <cell r="F701">
            <v>100</v>
          </cell>
          <cell r="G701">
            <v>4</v>
          </cell>
          <cell r="H701">
            <v>0</v>
          </cell>
          <cell r="I701">
            <v>0</v>
          </cell>
          <cell r="J701">
            <v>2.35</v>
          </cell>
        </row>
        <row r="702">
          <cell r="A702" t="str">
            <v>PICTURE_701</v>
          </cell>
          <cell r="B702" t="str">
            <v>wrinkles</v>
          </cell>
          <cell r="D702">
            <v>0.995849341</v>
          </cell>
          <cell r="E702">
            <v>75</v>
          </cell>
          <cell r="F702">
            <v>96</v>
          </cell>
          <cell r="G702">
            <v>3</v>
          </cell>
          <cell r="H702">
            <v>1</v>
          </cell>
          <cell r="I702">
            <v>3</v>
          </cell>
          <cell r="J702">
            <v>2.78</v>
          </cell>
        </row>
        <row r="703">
          <cell r="A703" t="str">
            <v>PICTURE_702</v>
          </cell>
          <cell r="B703" t="str">
            <v>fire extinguisher</v>
          </cell>
          <cell r="D703">
            <v>0.48628741800000003</v>
          </cell>
          <cell r="E703">
            <v>92.783505149999996</v>
          </cell>
          <cell r="F703">
            <v>97</v>
          </cell>
          <cell r="G703">
            <v>4</v>
          </cell>
          <cell r="H703">
            <v>3</v>
          </cell>
          <cell r="I703">
            <v>0</v>
          </cell>
          <cell r="J703">
            <v>2.5</v>
          </cell>
        </row>
        <row r="704">
          <cell r="A704" t="str">
            <v>PICTURE_703</v>
          </cell>
          <cell r="B704" t="str">
            <v>eagle</v>
          </cell>
          <cell r="D704">
            <v>1.0946916209999999</v>
          </cell>
          <cell r="E704">
            <v>72.916666669999998</v>
          </cell>
          <cell r="F704">
            <v>96</v>
          </cell>
          <cell r="G704">
            <v>3</v>
          </cell>
          <cell r="H704">
            <v>2</v>
          </cell>
          <cell r="I704">
            <v>2</v>
          </cell>
          <cell r="J704">
            <v>3.34</v>
          </cell>
        </row>
        <row r="705">
          <cell r="A705" t="str">
            <v>PICTURE_704</v>
          </cell>
          <cell r="B705" t="str">
            <v>prince</v>
          </cell>
          <cell r="D705">
            <v>2.6549124160000002</v>
          </cell>
          <cell r="E705">
            <v>40.243902439999999</v>
          </cell>
          <cell r="F705">
            <v>82</v>
          </cell>
          <cell r="G705">
            <v>10</v>
          </cell>
          <cell r="H705">
            <v>10</v>
          </cell>
          <cell r="I705">
            <v>8</v>
          </cell>
          <cell r="J705">
            <v>3</v>
          </cell>
        </row>
        <row r="706">
          <cell r="A706" t="str">
            <v>PICTURE_705</v>
          </cell>
          <cell r="B706" t="str">
            <v>girl</v>
          </cell>
          <cell r="D706">
            <v>1.659311969</v>
          </cell>
          <cell r="E706">
            <v>46.464646459999997</v>
          </cell>
          <cell r="F706">
            <v>99</v>
          </cell>
          <cell r="G706">
            <v>5</v>
          </cell>
          <cell r="H706">
            <v>0</v>
          </cell>
          <cell r="I706">
            <v>1</v>
          </cell>
          <cell r="J706">
            <v>2.79</v>
          </cell>
        </row>
        <row r="707">
          <cell r="A707" t="str">
            <v>PICTURE_706</v>
          </cell>
          <cell r="B707" t="str">
            <v>drop</v>
          </cell>
          <cell r="D707">
            <v>2.2719365439999999</v>
          </cell>
          <cell r="E707">
            <v>29.896907219999999</v>
          </cell>
          <cell r="F707">
            <v>97</v>
          </cell>
          <cell r="G707">
            <v>5</v>
          </cell>
          <cell r="H707">
            <v>0</v>
          </cell>
          <cell r="I707">
            <v>3</v>
          </cell>
          <cell r="J707">
            <v>2</v>
          </cell>
        </row>
        <row r="708">
          <cell r="A708" t="str">
            <v>PICTURE_707</v>
          </cell>
          <cell r="B708" t="str">
            <v>dog</v>
          </cell>
          <cell r="D708">
            <v>0.36855677799999997</v>
          </cell>
          <cell r="E708">
            <v>92.929292930000003</v>
          </cell>
          <cell r="F708">
            <v>99</v>
          </cell>
          <cell r="G708">
            <v>2</v>
          </cell>
          <cell r="H708">
            <v>0</v>
          </cell>
          <cell r="I708">
            <v>1</v>
          </cell>
          <cell r="J708">
            <v>3.16</v>
          </cell>
        </row>
        <row r="709">
          <cell r="A709" t="str">
            <v>PICTURE_708</v>
          </cell>
          <cell r="B709" t="str">
            <v>monkey</v>
          </cell>
          <cell r="D709">
            <v>1.5567218709999999</v>
          </cell>
          <cell r="E709">
            <v>52.525252530000003</v>
          </cell>
          <cell r="F709">
            <v>99</v>
          </cell>
          <cell r="G709">
            <v>4</v>
          </cell>
          <cell r="H709">
            <v>0</v>
          </cell>
          <cell r="I709">
            <v>1</v>
          </cell>
          <cell r="J709">
            <v>3.77</v>
          </cell>
        </row>
        <row r="710">
          <cell r="A710" t="str">
            <v>PICTURE_709</v>
          </cell>
          <cell r="B710" t="str">
            <v>swimming</v>
          </cell>
          <cell r="D710">
            <v>0</v>
          </cell>
          <cell r="E710">
            <v>100</v>
          </cell>
          <cell r="F710">
            <v>100</v>
          </cell>
          <cell r="G710">
            <v>1</v>
          </cell>
          <cell r="H710">
            <v>0</v>
          </cell>
          <cell r="I710">
            <v>0</v>
          </cell>
          <cell r="J710">
            <v>3.12</v>
          </cell>
        </row>
        <row r="711">
          <cell r="A711" t="str">
            <v>PICTURE_710</v>
          </cell>
          <cell r="B711" t="str">
            <v>doctor</v>
          </cell>
          <cell r="D711">
            <v>0.141440543</v>
          </cell>
          <cell r="E711">
            <v>98</v>
          </cell>
          <cell r="F711">
            <v>100</v>
          </cell>
          <cell r="G711">
            <v>2</v>
          </cell>
          <cell r="H711">
            <v>0</v>
          </cell>
          <cell r="I711">
            <v>0</v>
          </cell>
          <cell r="J711">
            <v>3.05</v>
          </cell>
        </row>
        <row r="712">
          <cell r="A712" t="str">
            <v>PICTURE_711</v>
          </cell>
          <cell r="B712" t="str">
            <v>lawnmower</v>
          </cell>
          <cell r="D712">
            <v>0.33729006700000003</v>
          </cell>
          <cell r="E712">
            <v>93.75</v>
          </cell>
          <cell r="F712">
            <v>96</v>
          </cell>
          <cell r="G712">
            <v>2</v>
          </cell>
          <cell r="H712">
            <v>3</v>
          </cell>
          <cell r="I712">
            <v>1</v>
          </cell>
          <cell r="J712">
            <v>2.9797979799999998</v>
          </cell>
        </row>
        <row r="713">
          <cell r="A713" t="str">
            <v>PICTURE_712</v>
          </cell>
          <cell r="B713" t="str">
            <v>skull</v>
          </cell>
          <cell r="D713">
            <v>0.24229218899999999</v>
          </cell>
          <cell r="E713">
            <v>96</v>
          </cell>
          <cell r="F713">
            <v>100</v>
          </cell>
          <cell r="G713">
            <v>2</v>
          </cell>
          <cell r="H713">
            <v>0</v>
          </cell>
          <cell r="I713">
            <v>0</v>
          </cell>
          <cell r="J713">
            <v>2.15</v>
          </cell>
        </row>
        <row r="714">
          <cell r="A714" t="str">
            <v>PICTURE_713</v>
          </cell>
          <cell r="B714" t="str">
            <v>boat</v>
          </cell>
          <cell r="D714">
            <v>1.159573073</v>
          </cell>
          <cell r="E714">
            <v>54.166666669999998</v>
          </cell>
          <cell r="F714">
            <v>96</v>
          </cell>
          <cell r="G714">
            <v>3</v>
          </cell>
          <cell r="H714">
            <v>2</v>
          </cell>
          <cell r="I714">
            <v>2</v>
          </cell>
          <cell r="J714">
            <v>2.4900000000000002</v>
          </cell>
        </row>
        <row r="715">
          <cell r="A715" t="str">
            <v>PICTURE_714</v>
          </cell>
          <cell r="B715" t="str">
            <v>shakespeare</v>
          </cell>
          <cell r="D715">
            <v>2.2478173520000002</v>
          </cell>
          <cell r="E715">
            <v>37.878787879999997</v>
          </cell>
          <cell r="F715">
            <v>66</v>
          </cell>
          <cell r="G715">
            <v>7</v>
          </cell>
          <cell r="H715">
            <v>26</v>
          </cell>
          <cell r="I715">
            <v>8</v>
          </cell>
          <cell r="J715">
            <v>3.22</v>
          </cell>
        </row>
        <row r="716">
          <cell r="A716" t="str">
            <v>PICTURE_715</v>
          </cell>
          <cell r="B716" t="str">
            <v>pool table</v>
          </cell>
          <cell r="D716">
            <v>0.88496363600000005</v>
          </cell>
          <cell r="E716">
            <v>69.696969699999997</v>
          </cell>
          <cell r="F716">
            <v>99</v>
          </cell>
          <cell r="G716">
            <v>2</v>
          </cell>
          <cell r="H716">
            <v>0</v>
          </cell>
          <cell r="I716">
            <v>1</v>
          </cell>
          <cell r="J716">
            <v>2.8686868689999998</v>
          </cell>
        </row>
        <row r="717">
          <cell r="A717" t="str">
            <v>PICTURE_716</v>
          </cell>
          <cell r="B717" t="str">
            <v>fire</v>
          </cell>
          <cell r="C717" t="str">
            <v>flame</v>
          </cell>
          <cell r="D717">
            <v>1.846139494</v>
          </cell>
          <cell r="E717">
            <v>35.714285709999999</v>
          </cell>
          <cell r="F717">
            <v>84</v>
          </cell>
          <cell r="G717">
            <v>5</v>
          </cell>
          <cell r="H717">
            <v>13</v>
          </cell>
          <cell r="I717">
            <v>3</v>
          </cell>
          <cell r="J717">
            <v>2.3333333330000001</v>
          </cell>
        </row>
        <row r="718">
          <cell r="A718" t="str">
            <v>PICTURE_717</v>
          </cell>
          <cell r="B718" t="str">
            <v>accordion</v>
          </cell>
          <cell r="D718">
            <v>1.34907668</v>
          </cell>
          <cell r="E718">
            <v>65.909090910000003</v>
          </cell>
          <cell r="F718">
            <v>44</v>
          </cell>
          <cell r="G718">
            <v>4</v>
          </cell>
          <cell r="H718">
            <v>52</v>
          </cell>
          <cell r="I718">
            <v>4</v>
          </cell>
          <cell r="J718">
            <v>3.15</v>
          </cell>
        </row>
        <row r="719">
          <cell r="A719" t="str">
            <v>PICTURE_718</v>
          </cell>
          <cell r="B719" t="str">
            <v>trousers</v>
          </cell>
          <cell r="D719">
            <v>0.59718621699999996</v>
          </cell>
          <cell r="E719">
            <v>88.888888890000004</v>
          </cell>
          <cell r="F719">
            <v>99</v>
          </cell>
          <cell r="G719">
            <v>3</v>
          </cell>
          <cell r="H719">
            <v>0</v>
          </cell>
          <cell r="I719">
            <v>1</v>
          </cell>
          <cell r="J719">
            <v>2.42</v>
          </cell>
        </row>
        <row r="720">
          <cell r="A720" t="str">
            <v>PICTURE_719</v>
          </cell>
          <cell r="B720" t="str">
            <v>bathroom</v>
          </cell>
          <cell r="D720">
            <v>0.52936086500000001</v>
          </cell>
          <cell r="E720">
            <v>88</v>
          </cell>
          <cell r="F720">
            <v>100</v>
          </cell>
          <cell r="G720">
            <v>2</v>
          </cell>
          <cell r="H720">
            <v>0</v>
          </cell>
          <cell r="I720">
            <v>0</v>
          </cell>
          <cell r="J720">
            <v>2.9</v>
          </cell>
        </row>
        <row r="721">
          <cell r="A721" t="str">
            <v>PICTURE_720</v>
          </cell>
          <cell r="B721" t="str">
            <v>kite</v>
          </cell>
          <cell r="D721">
            <v>0</v>
          </cell>
          <cell r="E721">
            <v>100</v>
          </cell>
          <cell r="F721">
            <v>98</v>
          </cell>
          <cell r="G721">
            <v>1</v>
          </cell>
          <cell r="H721">
            <v>2</v>
          </cell>
          <cell r="I721">
            <v>0</v>
          </cell>
          <cell r="J721">
            <v>3.08</v>
          </cell>
        </row>
        <row r="722">
          <cell r="A722" t="str">
            <v>PICTURE_721</v>
          </cell>
          <cell r="B722" t="str">
            <v>camera</v>
          </cell>
          <cell r="D722">
            <v>0</v>
          </cell>
          <cell r="E722">
            <v>100</v>
          </cell>
          <cell r="F722">
            <v>100</v>
          </cell>
          <cell r="G722">
            <v>1</v>
          </cell>
          <cell r="H722">
            <v>0</v>
          </cell>
          <cell r="I722">
            <v>0</v>
          </cell>
          <cell r="J722">
            <v>2.75</v>
          </cell>
        </row>
        <row r="723">
          <cell r="A723" t="str">
            <v>PICTURE_722</v>
          </cell>
          <cell r="B723" t="str">
            <v>wheat</v>
          </cell>
          <cell r="D723">
            <v>1.3945315460000001</v>
          </cell>
          <cell r="E723">
            <v>74.418604650000006</v>
          </cell>
          <cell r="F723">
            <v>86</v>
          </cell>
          <cell r="G723">
            <v>7</v>
          </cell>
          <cell r="H723">
            <v>10</v>
          </cell>
          <cell r="I723">
            <v>4</v>
          </cell>
          <cell r="J723">
            <v>2.37</v>
          </cell>
        </row>
        <row r="724">
          <cell r="A724" t="str">
            <v>PICTURE_723</v>
          </cell>
          <cell r="B724" t="str">
            <v>cards</v>
          </cell>
          <cell r="D724">
            <v>1.5383157030000001</v>
          </cell>
          <cell r="E724">
            <v>68.367346940000004</v>
          </cell>
          <cell r="F724">
            <v>98</v>
          </cell>
          <cell r="G724">
            <v>6</v>
          </cell>
          <cell r="H724">
            <v>0</v>
          </cell>
          <cell r="I724">
            <v>2</v>
          </cell>
          <cell r="J724">
            <v>2.1</v>
          </cell>
        </row>
        <row r="725">
          <cell r="A725" t="str">
            <v>PICTURE_724</v>
          </cell>
          <cell r="B725" t="str">
            <v>whale</v>
          </cell>
          <cell r="D725">
            <v>0.30217361799999998</v>
          </cell>
          <cell r="E725">
            <v>94.623655909999997</v>
          </cell>
          <cell r="F725">
            <v>93</v>
          </cell>
          <cell r="G725">
            <v>2</v>
          </cell>
          <cell r="H725">
            <v>4</v>
          </cell>
          <cell r="I725">
            <v>3</v>
          </cell>
          <cell r="J725">
            <v>2.888888889</v>
          </cell>
        </row>
        <row r="726">
          <cell r="A726" t="str">
            <v>PICTURE_725</v>
          </cell>
          <cell r="B726" t="str">
            <v>cigarette</v>
          </cell>
          <cell r="D726">
            <v>1.1765519369999999</v>
          </cell>
          <cell r="E726">
            <v>77.528089890000004</v>
          </cell>
          <cell r="F726">
            <v>89</v>
          </cell>
          <cell r="G726">
            <v>5</v>
          </cell>
          <cell r="H726">
            <v>7</v>
          </cell>
          <cell r="I726">
            <v>4</v>
          </cell>
          <cell r="J726">
            <v>3.03</v>
          </cell>
        </row>
        <row r="727">
          <cell r="A727" t="str">
            <v>PICTURE_726</v>
          </cell>
          <cell r="B727" t="str">
            <v>waiter</v>
          </cell>
          <cell r="D727">
            <v>0.19745300399999999</v>
          </cell>
          <cell r="E727">
            <v>96.938775509999999</v>
          </cell>
          <cell r="F727">
            <v>98</v>
          </cell>
          <cell r="G727">
            <v>2</v>
          </cell>
          <cell r="H727">
            <v>1</v>
          </cell>
          <cell r="I727">
            <v>1</v>
          </cell>
          <cell r="J727">
            <v>2.91</v>
          </cell>
        </row>
        <row r="728">
          <cell r="A728" t="str">
            <v>PICTURE_727</v>
          </cell>
          <cell r="B728" t="str">
            <v>hose</v>
          </cell>
          <cell r="D728">
            <v>0.65002242200000004</v>
          </cell>
          <cell r="E728">
            <v>83.333333330000002</v>
          </cell>
          <cell r="F728">
            <v>96</v>
          </cell>
          <cell r="G728">
            <v>2</v>
          </cell>
          <cell r="H728">
            <v>4</v>
          </cell>
          <cell r="I728">
            <v>0</v>
          </cell>
          <cell r="J728">
            <v>2.2000000000000002</v>
          </cell>
        </row>
        <row r="729">
          <cell r="A729" t="str">
            <v>PICTURE_728</v>
          </cell>
          <cell r="B729" t="str">
            <v>octopus</v>
          </cell>
          <cell r="D729">
            <v>0.79359122999999998</v>
          </cell>
          <cell r="E729">
            <v>76.086956520000001</v>
          </cell>
          <cell r="F729">
            <v>92</v>
          </cell>
          <cell r="G729">
            <v>2</v>
          </cell>
          <cell r="H729">
            <v>5</v>
          </cell>
          <cell r="I729">
            <v>3</v>
          </cell>
          <cell r="J729">
            <v>3.27</v>
          </cell>
        </row>
        <row r="730">
          <cell r="A730" t="str">
            <v>PICTURE_729</v>
          </cell>
          <cell r="B730" t="str">
            <v>statue of liberty</v>
          </cell>
          <cell r="D730">
            <v>0.71869809299999998</v>
          </cell>
          <cell r="E730">
            <v>84.21052632</v>
          </cell>
          <cell r="F730">
            <v>95</v>
          </cell>
          <cell r="G730">
            <v>3</v>
          </cell>
          <cell r="H730">
            <v>3</v>
          </cell>
          <cell r="I730">
            <v>2</v>
          </cell>
          <cell r="J730">
            <v>3.39</v>
          </cell>
        </row>
        <row r="731">
          <cell r="A731" t="str">
            <v>PICTURE_730</v>
          </cell>
          <cell r="B731" t="str">
            <v>kitchen</v>
          </cell>
          <cell r="D731">
            <v>0</v>
          </cell>
          <cell r="E731">
            <v>100</v>
          </cell>
          <cell r="F731">
            <v>100</v>
          </cell>
          <cell r="G731">
            <v>1</v>
          </cell>
          <cell r="H731">
            <v>0</v>
          </cell>
          <cell r="I731">
            <v>0</v>
          </cell>
          <cell r="J731">
            <v>3.29</v>
          </cell>
        </row>
        <row r="732">
          <cell r="A732" t="str">
            <v>PICTURE_731</v>
          </cell>
          <cell r="B732" t="str">
            <v>digger</v>
          </cell>
          <cell r="D732">
            <v>1.364700338</v>
          </cell>
          <cell r="E732">
            <v>76.744186049999996</v>
          </cell>
          <cell r="F732">
            <v>86</v>
          </cell>
          <cell r="G732">
            <v>7</v>
          </cell>
          <cell r="H732">
            <v>11</v>
          </cell>
          <cell r="I732">
            <v>3</v>
          </cell>
          <cell r="J732">
            <v>2.79</v>
          </cell>
        </row>
        <row r="733">
          <cell r="A733" t="str">
            <v>PICTURE_732</v>
          </cell>
          <cell r="B733" t="str">
            <v>ball</v>
          </cell>
          <cell r="D733">
            <v>0.676197461</v>
          </cell>
          <cell r="E733">
            <v>85.714285709999999</v>
          </cell>
          <cell r="F733">
            <v>98</v>
          </cell>
          <cell r="G733">
            <v>3</v>
          </cell>
          <cell r="H733">
            <v>2</v>
          </cell>
          <cell r="I733">
            <v>0</v>
          </cell>
          <cell r="J733">
            <v>2.11</v>
          </cell>
        </row>
        <row r="734">
          <cell r="A734" t="str">
            <v>PICTURE_733</v>
          </cell>
          <cell r="B734" t="str">
            <v>glasses</v>
          </cell>
          <cell r="D734">
            <v>0</v>
          </cell>
          <cell r="E734">
            <v>100</v>
          </cell>
          <cell r="F734">
            <v>98</v>
          </cell>
          <cell r="G734">
            <v>1</v>
          </cell>
          <cell r="H734">
            <v>0</v>
          </cell>
          <cell r="I734">
            <v>2</v>
          </cell>
          <cell r="J734">
            <v>2.2727272730000001</v>
          </cell>
        </row>
        <row r="735">
          <cell r="A735" t="str">
            <v>PICTURE_734</v>
          </cell>
          <cell r="B735" t="str">
            <v>washing machine</v>
          </cell>
          <cell r="D735">
            <v>0.195909271</v>
          </cell>
          <cell r="E735">
            <v>96.969696970000001</v>
          </cell>
          <cell r="F735">
            <v>99</v>
          </cell>
          <cell r="G735">
            <v>2</v>
          </cell>
          <cell r="H735">
            <v>0</v>
          </cell>
          <cell r="I735">
            <v>1</v>
          </cell>
          <cell r="J735">
            <v>2.89</v>
          </cell>
        </row>
        <row r="736">
          <cell r="A736" t="str">
            <v>PICTURE_735</v>
          </cell>
          <cell r="B736" t="str">
            <v>ice cube</v>
          </cell>
          <cell r="D736">
            <v>0.81127812399999999</v>
          </cell>
          <cell r="E736">
            <v>75</v>
          </cell>
          <cell r="F736">
            <v>100</v>
          </cell>
          <cell r="G736">
            <v>2</v>
          </cell>
          <cell r="H736">
            <v>0</v>
          </cell>
          <cell r="I736">
            <v>0</v>
          </cell>
          <cell r="J736">
            <v>2.64</v>
          </cell>
        </row>
        <row r="737">
          <cell r="A737" t="str">
            <v>PICTURE_736</v>
          </cell>
          <cell r="B737" t="str">
            <v>wizard</v>
          </cell>
          <cell r="D737">
            <v>0.93995352899999995</v>
          </cell>
          <cell r="E737">
            <v>84.146341460000002</v>
          </cell>
          <cell r="F737">
            <v>82</v>
          </cell>
          <cell r="G737">
            <v>5</v>
          </cell>
          <cell r="H737">
            <v>16</v>
          </cell>
          <cell r="I737">
            <v>2</v>
          </cell>
          <cell r="J737">
            <v>3.15</v>
          </cell>
        </row>
        <row r="738">
          <cell r="A738" t="str">
            <v>PICTURE_737</v>
          </cell>
          <cell r="B738" t="str">
            <v>pants</v>
          </cell>
          <cell r="D738">
            <v>2.0314829489999999</v>
          </cell>
          <cell r="E738">
            <v>35.353535350000001</v>
          </cell>
          <cell r="F738">
            <v>99</v>
          </cell>
          <cell r="G738">
            <v>5</v>
          </cell>
          <cell r="H738">
            <v>1</v>
          </cell>
          <cell r="I738">
            <v>0</v>
          </cell>
          <cell r="J738">
            <v>2.7070707070000002</v>
          </cell>
        </row>
        <row r="739">
          <cell r="A739" t="str">
            <v>PICTURE_738</v>
          </cell>
          <cell r="B739" t="str">
            <v>bird</v>
          </cell>
          <cell r="D739">
            <v>1.5144082409999999</v>
          </cell>
          <cell r="E739">
            <v>47.474747469999997</v>
          </cell>
          <cell r="F739">
            <v>99</v>
          </cell>
          <cell r="G739">
            <v>3</v>
          </cell>
          <cell r="H739">
            <v>1</v>
          </cell>
          <cell r="I739">
            <v>0</v>
          </cell>
          <cell r="J739">
            <v>3.14</v>
          </cell>
        </row>
        <row r="740">
          <cell r="A740" t="str">
            <v>PICTURE_739</v>
          </cell>
          <cell r="B740" t="str">
            <v>cross</v>
          </cell>
          <cell r="D740">
            <v>1.869062805</v>
          </cell>
          <cell r="E740">
            <v>61.290322580000002</v>
          </cell>
          <cell r="F740">
            <v>93</v>
          </cell>
          <cell r="G740">
            <v>7</v>
          </cell>
          <cell r="H740">
            <v>4</v>
          </cell>
          <cell r="I740">
            <v>3</v>
          </cell>
          <cell r="J740">
            <v>1.97</v>
          </cell>
        </row>
        <row r="741">
          <cell r="A741" t="str">
            <v>PICTURE_740</v>
          </cell>
          <cell r="B741" t="str">
            <v>fisherman</v>
          </cell>
          <cell r="D741">
            <v>0.82069672999999999</v>
          </cell>
          <cell r="E741">
            <v>79.797979799999993</v>
          </cell>
          <cell r="F741">
            <v>99</v>
          </cell>
          <cell r="G741">
            <v>3</v>
          </cell>
          <cell r="H741">
            <v>0</v>
          </cell>
          <cell r="I741">
            <v>1</v>
          </cell>
          <cell r="J741">
            <v>3.0303030299999998</v>
          </cell>
        </row>
        <row r="742">
          <cell r="A742" t="str">
            <v>PICTURE_741</v>
          </cell>
          <cell r="B742" t="str">
            <v>sweet</v>
          </cell>
          <cell r="D742">
            <v>0.24602257799999999</v>
          </cell>
          <cell r="E742">
            <v>95.918367349999997</v>
          </cell>
          <cell r="F742">
            <v>98</v>
          </cell>
          <cell r="G742">
            <v>2</v>
          </cell>
          <cell r="H742">
            <v>0</v>
          </cell>
          <cell r="I742">
            <v>2</v>
          </cell>
          <cell r="J742">
            <v>2.4545454549999999</v>
          </cell>
        </row>
        <row r="743">
          <cell r="A743" t="str">
            <v>PICTURE_742</v>
          </cell>
          <cell r="B743" t="str">
            <v>pope</v>
          </cell>
          <cell r="D743">
            <v>1.482023699</v>
          </cell>
          <cell r="E743">
            <v>56.842105259999997</v>
          </cell>
          <cell r="F743">
            <v>95</v>
          </cell>
          <cell r="G743">
            <v>4</v>
          </cell>
          <cell r="H743">
            <v>1</v>
          </cell>
          <cell r="I743">
            <v>4</v>
          </cell>
          <cell r="J743">
            <v>3.31</v>
          </cell>
        </row>
        <row r="744">
          <cell r="A744" t="str">
            <v>PICTURE_743</v>
          </cell>
          <cell r="B744" t="str">
            <v>scarecrow</v>
          </cell>
          <cell r="D744">
            <v>0</v>
          </cell>
          <cell r="E744">
            <v>100</v>
          </cell>
          <cell r="F744">
            <v>96</v>
          </cell>
          <cell r="G744">
            <v>1</v>
          </cell>
          <cell r="H744">
            <v>3</v>
          </cell>
          <cell r="I744">
            <v>1</v>
          </cell>
          <cell r="J744">
            <v>3</v>
          </cell>
        </row>
        <row r="745">
          <cell r="A745" t="str">
            <v>PICTURE_744</v>
          </cell>
          <cell r="B745" t="str">
            <v>ring</v>
          </cell>
          <cell r="D745">
            <v>0.42932515100000002</v>
          </cell>
          <cell r="E745">
            <v>93.877551019999999</v>
          </cell>
          <cell r="F745">
            <v>98</v>
          </cell>
          <cell r="G745">
            <v>4</v>
          </cell>
          <cell r="H745">
            <v>1</v>
          </cell>
          <cell r="I745">
            <v>1</v>
          </cell>
          <cell r="J745">
            <v>2.2599999999999998</v>
          </cell>
        </row>
        <row r="746">
          <cell r="A746" t="str">
            <v>PICTURE_745</v>
          </cell>
          <cell r="B746" t="str">
            <v>well</v>
          </cell>
          <cell r="D746">
            <v>0.14854949000000001</v>
          </cell>
          <cell r="E746">
            <v>97.872340429999994</v>
          </cell>
          <cell r="F746">
            <v>94</v>
          </cell>
          <cell r="G746">
            <v>2</v>
          </cell>
          <cell r="H746">
            <v>3</v>
          </cell>
          <cell r="I746">
            <v>3</v>
          </cell>
          <cell r="J746">
            <v>3.2222222220000001</v>
          </cell>
        </row>
        <row r="747">
          <cell r="A747" t="str">
            <v>PICTURE_746</v>
          </cell>
          <cell r="B747" t="str">
            <v>bowling pin</v>
          </cell>
          <cell r="D747">
            <v>0.776555785</v>
          </cell>
          <cell r="E747">
            <v>77.083333330000002</v>
          </cell>
          <cell r="F747">
            <v>96</v>
          </cell>
          <cell r="G747">
            <v>2</v>
          </cell>
          <cell r="H747">
            <v>3</v>
          </cell>
          <cell r="I747">
            <v>1</v>
          </cell>
          <cell r="J747">
            <v>1.92</v>
          </cell>
        </row>
        <row r="748">
          <cell r="A748" t="str">
            <v>PICTURE_747</v>
          </cell>
          <cell r="B748" t="str">
            <v>bath</v>
          </cell>
          <cell r="D748">
            <v>0.868721246</v>
          </cell>
          <cell r="E748">
            <v>71</v>
          </cell>
          <cell r="F748">
            <v>100</v>
          </cell>
          <cell r="G748">
            <v>2</v>
          </cell>
          <cell r="H748">
            <v>0</v>
          </cell>
          <cell r="I748">
            <v>0</v>
          </cell>
          <cell r="J748">
            <v>2.42</v>
          </cell>
        </row>
        <row r="749">
          <cell r="A749" t="str">
            <v>PICTURE_748</v>
          </cell>
          <cell r="B749" t="str">
            <v>mussel</v>
          </cell>
          <cell r="D749">
            <v>1.713020808</v>
          </cell>
          <cell r="E749">
            <v>45.454545449999998</v>
          </cell>
          <cell r="F749">
            <v>88</v>
          </cell>
          <cell r="G749">
            <v>4</v>
          </cell>
          <cell r="H749">
            <v>12</v>
          </cell>
          <cell r="I749">
            <v>0</v>
          </cell>
          <cell r="J749">
            <v>3.21</v>
          </cell>
        </row>
        <row r="750">
          <cell r="A750" t="str">
            <v>PICTURE_749</v>
          </cell>
          <cell r="B750" t="str">
            <v>bin</v>
          </cell>
          <cell r="D750">
            <v>1.1295955470000001</v>
          </cell>
          <cell r="E750">
            <v>75</v>
          </cell>
          <cell r="F750">
            <v>100</v>
          </cell>
          <cell r="G750">
            <v>4</v>
          </cell>
          <cell r="H750">
            <v>0</v>
          </cell>
          <cell r="I750">
            <v>0</v>
          </cell>
          <cell r="J750">
            <v>3.08</v>
          </cell>
        </row>
        <row r="751">
          <cell r="A751" t="str">
            <v>PICTURE_750</v>
          </cell>
          <cell r="B751" t="str">
            <v>kettle</v>
          </cell>
          <cell r="D751">
            <v>2.4125960229999999</v>
          </cell>
          <cell r="E751">
            <v>43.055555560000002</v>
          </cell>
          <cell r="F751">
            <v>72</v>
          </cell>
          <cell r="G751">
            <v>8</v>
          </cell>
          <cell r="H751">
            <v>23</v>
          </cell>
          <cell r="I751">
            <v>5</v>
          </cell>
          <cell r="J751">
            <v>2.67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M457" totalsRowShown="0" headerRowDxfId="85" dataDxfId="83" headerRowBorderDxfId="84" tableBorderDxfId="82" totalsRowBorderDxfId="81">
  <autoFilter ref="A1:M457" xr:uid="{00000000-0009-0000-0100-000002000000}"/>
  <sortState xmlns:xlrd2="http://schemas.microsoft.com/office/spreadsheetml/2017/richdata2" ref="A2:M457">
    <sortCondition ref="D1:D457"/>
  </sortState>
  <tableColumns count="13">
    <tableColumn id="1" xr3:uid="{00000000-0010-0000-0100-000001000000}" name="ITEM" dataDxfId="80"/>
    <tableColumn id="2" xr3:uid="{00000000-0010-0000-0100-000002000000}" name="PICTURE" dataDxfId="79"/>
    <tableColumn id="3" xr3:uid="{00000000-0010-0000-0100-000003000000}" name="NAME1" dataDxfId="78"/>
    <tableColumn id="12" xr3:uid="{00000000-0010-0000-0100-00000C000000}" name="LENGTH_GRAPHEMES" dataDxfId="77">
      <calculatedColumnFormula>LEN(Table2[[#This Row],[NAME1]])</calculatedColumnFormula>
    </tableColumn>
    <tableColumn id="13" xr3:uid="{00000000-0010-0000-0100-00000D000000}" name="LENGTH_PHONEMES" dataDxfId="76"/>
    <tableColumn id="4" xr3:uid="{00000000-0010-0000-0100-000004000000}" name="NAME2" dataDxfId="75"/>
    <tableColumn id="5" xr3:uid="{00000000-0010-0000-0100-000005000000}" name="H_INDEX" dataDxfId="74"/>
    <tableColumn id="6" xr3:uid="{00000000-0010-0000-0100-000006000000}" name="PERCENTAGE_MODAL_NAME" dataDxfId="73"/>
    <tableColumn id="7" xr3:uid="{00000000-0010-0000-0100-000007000000}" name="PERCENTAGE_VALID_RESPONSES" dataDxfId="72"/>
    <tableColumn id="8" xr3:uid="{00000000-0010-0000-0100-000008000000}" name="NUMBER_DIFFERENT_RESPONSES" dataDxfId="71"/>
    <tableColumn id="9" xr3:uid="{00000000-0010-0000-0100-000009000000}" name="PERCENTAGE_UNKNOWN_RESPONSES" dataDxfId="70"/>
    <tableColumn id="10" xr3:uid="{00000000-0010-0000-0100-00000A000000}" name="PERCENTAGE_IDIOSYNCRATIC_RESPONSES" dataDxfId="69"/>
    <tableColumn id="11" xr3:uid="{00000000-0010-0000-0100-00000B000000}" name="VISUAL_COMPLEXITY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P277" totalsRowShown="0" headerRowDxfId="67" dataDxfId="65" headerRowBorderDxfId="66" tableBorderDxfId="64" totalsRowBorderDxfId="63">
  <autoFilter ref="A1:P277" xr:uid="{00000000-0009-0000-0100-000003000000}"/>
  <sortState xmlns:xlrd2="http://schemas.microsoft.com/office/spreadsheetml/2017/richdata2" ref="A2:P277">
    <sortCondition descending="1" ref="G1:G277"/>
  </sortState>
  <tableColumns count="16">
    <tableColumn id="14" xr3:uid="{00000000-0010-0000-0200-00000E000000}" name="ORDER" dataDxfId="62"/>
    <tableColumn id="1" xr3:uid="{00000000-0010-0000-0200-000001000000}" name="ITEM" dataDxfId="61"/>
    <tableColumn id="2" xr3:uid="{00000000-0010-0000-0200-000002000000}" name="PICTURE" dataDxfId="60"/>
    <tableColumn id="3" xr3:uid="{00000000-0010-0000-0200-000003000000}" name="NAME1" dataDxfId="59"/>
    <tableColumn id="4" xr3:uid="{00000000-0010-0000-0200-000004000000}" name="LENGTH_GRAPHEMES" dataDxfId="58">
      <calculatedColumnFormula>LEN(Table3[[#This Row],[NAME1]])</calculatedColumnFormula>
    </tableColumn>
    <tableColumn id="5" xr3:uid="{00000000-0010-0000-0200-000005000000}" name="LENGTH_PHONEMES" dataDxfId="57">
      <calculatedColumnFormula>VLOOKUP(Table3[[#This Row],[NAME1]], [1]Sheet1!$1:$1048576, 4, 0)</calculatedColumnFormula>
    </tableColumn>
    <tableColumn id="15" xr3:uid="{00000000-0010-0000-0200-00000F000000}" name="NUMBER_SYLLABLES" dataDxfId="56">
      <calculatedColumnFormula>VLOOKUP(Table3[[#This Row],[NAME1]], [1]Sheet1!$1:$1048576, 5, 9)</calculatedColumnFormula>
    </tableColumn>
    <tableColumn id="16" xr3:uid="{00000000-0010-0000-0200-000010000000}" name="WORD_FREQUENCY" dataDxfId="55">
      <calculatedColumnFormula>VLOOKUP(Table3[[#This Row],[NAME1]], [2]Sheet1!$1:$1048576, 2, 0)</calculatedColumnFormula>
    </tableColumn>
    <tableColumn id="17" xr3:uid="{00000000-0010-0000-0200-000011000000}" name="LOG_FREQUENCY" dataDxfId="54">
      <calculatedColumnFormula>VLOOKUP(Table3[[#This Row],[NAME1]], [2]Sheet1!$1:$1048576, 3, 0)</calculatedColumnFormula>
    </tableColumn>
    <tableColumn id="7" xr3:uid="{00000000-0010-0000-0200-000007000000}" name="H_INDEX" dataDxfId="53"/>
    <tableColumn id="8" xr3:uid="{00000000-0010-0000-0200-000008000000}" name="PERCENTAGE_MODAL_NAME" dataDxfId="52"/>
    <tableColumn id="9" xr3:uid="{00000000-0010-0000-0200-000009000000}" name="PERCENTAGE_VALID_RESPONSES" dataDxfId="51"/>
    <tableColumn id="10" xr3:uid="{00000000-0010-0000-0200-00000A000000}" name="NUMBER_DIFFERENT_RESPONSES" dataDxfId="50"/>
    <tableColumn id="11" xr3:uid="{00000000-0010-0000-0200-00000B000000}" name="PERCENTAGE_UNKNOWN_RESPONSES" dataDxfId="49"/>
    <tableColumn id="12" xr3:uid="{00000000-0010-0000-0200-00000C000000}" name="PERCENTAGE_IDIOSYNCRATIC_RESPONSES" dataDxfId="48"/>
    <tableColumn id="13" xr3:uid="{00000000-0010-0000-0200-00000D000000}" name="VISUAL_COMPLEXITY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P51" totalsRowShown="0" headerRowDxfId="46" dataDxfId="44" headerRowBorderDxfId="45" tableBorderDxfId="43" totalsRowBorderDxfId="42">
  <autoFilter ref="A1:P51" xr:uid="{00000000-0009-0000-0100-000004000000}"/>
  <tableColumns count="16">
    <tableColumn id="1" xr3:uid="{00000000-0010-0000-0300-000001000000}" name="ORDER" dataDxfId="41"/>
    <tableColumn id="2" xr3:uid="{00000000-0010-0000-0300-000002000000}" name="ITEM" dataDxfId="40"/>
    <tableColumn id="3" xr3:uid="{00000000-0010-0000-0300-000003000000}" name="PICTURE" dataDxfId="39"/>
    <tableColumn id="4" xr3:uid="{00000000-0010-0000-0300-000004000000}" name="NAME1" dataDxfId="38"/>
    <tableColumn id="5" xr3:uid="{00000000-0010-0000-0300-000005000000}" name="LENGTH_GRAPHEMES" dataDxfId="37">
      <calculatedColumnFormula>LEN(Table3[[#This Row],[NAME1]])</calculatedColumnFormula>
    </tableColumn>
    <tableColumn id="6" xr3:uid="{00000000-0010-0000-0300-000006000000}" name="LENGTH_PHONEMES" dataDxfId="36">
      <calculatedColumnFormula>VLOOKUP(Table3[[#This Row],[NAME1]], [1]Sheet1!$1:$1048576, 4, 0)</calculatedColumnFormula>
    </tableColumn>
    <tableColumn id="7" xr3:uid="{00000000-0010-0000-0300-000007000000}" name="NUMBER_SYLLABLES" dataDxfId="35">
      <calculatedColumnFormula>VLOOKUP(Table3[[#This Row],[NAME1]], [1]Sheet1!$1:$1048576, 5, 9)</calculatedColumnFormula>
    </tableColumn>
    <tableColumn id="8" xr3:uid="{00000000-0010-0000-0300-000008000000}" name="WORD_FREQUENCY" dataDxfId="34"/>
    <tableColumn id="9" xr3:uid="{00000000-0010-0000-0300-000009000000}" name="LOG_FREQUENCY" dataDxfId="33"/>
    <tableColumn id="10" xr3:uid="{00000000-0010-0000-0300-00000A000000}" name="H_INDEX" dataDxfId="32"/>
    <tableColumn id="11" xr3:uid="{00000000-0010-0000-0300-00000B000000}" name="PERCENTAGE_MODAL_NAME" dataDxfId="31"/>
    <tableColumn id="12" xr3:uid="{00000000-0010-0000-0300-00000C000000}" name="PERCENTAGE_VALID_RESPONSES" dataDxfId="30"/>
    <tableColumn id="13" xr3:uid="{00000000-0010-0000-0300-00000D000000}" name="NUMBER_DIFFERENT_RESPONSES" dataDxfId="29"/>
    <tableColumn id="14" xr3:uid="{00000000-0010-0000-0300-00000E000000}" name="PERCENTAGE_UNKNOWN_RESPONSES" dataDxfId="28"/>
    <tableColumn id="15" xr3:uid="{00000000-0010-0000-0300-00000F000000}" name="PERCENTAGE_IDIOSYNCRATIC_RESPONSES" dataDxfId="27"/>
    <tableColumn id="16" xr3:uid="{00000000-0010-0000-0300-000010000000}" name="VISUAL_COMPLEXITY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AFCBC0-6036-40FC-99AF-ECCCF9711455}" name="Table36" displayName="Table36" ref="A1:U273" totalsRowShown="0" headerRowDxfId="25" dataDxfId="23" headerRowBorderDxfId="24" tableBorderDxfId="22" totalsRowBorderDxfId="21">
  <autoFilter ref="A1:U273" xr:uid="{B7AFCBC0-6036-40FC-99AF-ECCCF9711455}"/>
  <sortState xmlns:xlrd2="http://schemas.microsoft.com/office/spreadsheetml/2017/richdata2" ref="A2:U273">
    <sortCondition ref="A1:A273"/>
  </sortState>
  <tableColumns count="21">
    <tableColumn id="1" xr3:uid="{7C6ADF00-4FC5-471F-87C5-46E3D99A5061}" name="Order" dataDxfId="20"/>
    <tableColumn id="19" xr3:uid="{141D5E93-F86A-48EB-9FFA-5E3811E55EB6}" name="Item_no" dataDxfId="19"/>
    <tableColumn id="2" xr3:uid="{F92CD426-74EA-4246-90AE-E46B0DC9C001}" name="Picture_no" dataDxfId="18"/>
    <tableColumn id="3" xr3:uid="{E3FF2B7F-04E8-4CA1-AC53-3A8678978F93}" name="Spanish" dataDxfId="17"/>
    <tableColumn id="22" xr3:uid="{76C157F7-D799-42A7-AB8D-7B44F6DA4AA6}" name="IPA_SP" dataDxfId="16"/>
    <tableColumn id="18" xr3:uid="{6358237E-1645-40DE-8D7F-D5C79C3BFF3A}" name="English" dataDxfId="15">
      <calculatedColumnFormula>VLOOKUP(Table36[[#This Row],[Picture_no]], [3]ENGLISH.txt!$1:$1048576, 2, 0)</calculatedColumnFormula>
    </tableColumn>
    <tableColumn id="23" xr3:uid="{5B7567E5-5813-4B0B-81AB-3A7E565379D8}" name="IPA_ENG" dataDxfId="14"/>
    <tableColumn id="14" xr3:uid="{0ED6CB94-2BA6-44A9-A301-7D453C8ED7EB}" name="Semantic_category" dataDxfId="13"/>
    <tableColumn id="4" xr3:uid="{7B6E955E-970C-4EDB-8E1B-054A0CC9CD91}" name="Length_graphemes_SP" dataDxfId="12">
      <calculatedColumnFormula>LEN(Table36[[#This Row],[Spanish]])</calculatedColumnFormula>
    </tableColumn>
    <tableColumn id="5" xr3:uid="{5B8AEC74-E3D7-48C4-9142-056E408FF4DD}" name="Length_phonemes_SP" dataDxfId="11">
      <calculatedColumnFormula>VLOOKUP(Table36[[#This Row],[Spanish]], [1]Sheet1!$1:$1048576, 4, 0)</calculatedColumnFormula>
    </tableColumn>
    <tableColumn id="15" xr3:uid="{566F2F71-F250-4B25-A676-A71EFABA60C6}" name="No_Syllables_SP" dataDxfId="10">
      <calculatedColumnFormula>VLOOKUP(Table36[[#This Row],[Spanish]], [1]Sheet1!$1:$1048576, 5, 9)</calculatedColumnFormula>
    </tableColumn>
    <tableColumn id="16" xr3:uid="{594B07E9-D1F3-4AAD-9BB1-06A7B2C4E026}" name="Word_Freq_SP" dataDxfId="9">
      <calculatedColumnFormula>VLOOKUP(Table36[[#This Row],[Spanish]], [2]Sheet1!$1:$1048576, 2, 0)</calculatedColumnFormula>
    </tableColumn>
    <tableColumn id="17" xr3:uid="{F1DCB9AB-6C04-48A7-971B-216FA472F5F7}" name="Log_Freq_SP" dataDxfId="8">
      <calculatedColumnFormula>VLOOKUP(Table36[[#This Row],[Spanish]], [2]Sheet1!$1:$1048576, 3, 0)</calculatedColumnFormula>
    </tableColumn>
    <tableColumn id="6" xr3:uid="{C2A80536-EF99-42EA-8189-2619B3294DEA}" name="Imageability_SP" dataDxfId="7">
      <calculatedColumnFormula>VLOOKUP(Table36[[#This Row],[Spanish]], [2]Sheet1!$1:$1048576, 6, 0)</calculatedColumnFormula>
    </tableColumn>
    <tableColumn id="7" xr3:uid="{457B34AE-6B62-4F77-ADCF-C06419D84529}" name="H_Index_SP" dataDxfId="6"/>
    <tableColumn id="8" xr3:uid="{C9EE5577-0D30-4C52-89BE-1D2C397E17CB}" name="Name_Agreement_SP" dataDxfId="5"/>
    <tableColumn id="9" xr3:uid="{36225071-44EB-4DB5-94B0-C5026029C0AE}" name="Percentage_Valid_Responses_SP" dataDxfId="4"/>
    <tableColumn id="10" xr3:uid="{6DC434CA-7235-498B-867C-38FB23EF6691}" name="No_Different_Responses_SP" dataDxfId="3"/>
    <tableColumn id="11" xr3:uid="{FFE1E54A-795E-41F1-8956-0B01AFFD9ADC}" name="Percentage_Unknown_Responses_SP" dataDxfId="2"/>
    <tableColumn id="12" xr3:uid="{1BF9657C-DD63-4E49-9BBC-C53B5EC64A4E}" name="Percentage_Idiosyncratic_Responses_SP" dataDxfId="1"/>
    <tableColumn id="13" xr3:uid="{1A8FFCDF-A8A4-4EF6-B56E-ED42060AF13E}" name="Visual_Complexity_S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7"/>
  <sheetViews>
    <sheetView workbookViewId="0">
      <selection activeCell="C290" sqref="C290"/>
    </sheetView>
  </sheetViews>
  <sheetFormatPr defaultRowHeight="15.6" x14ac:dyDescent="0.3"/>
  <cols>
    <col min="2" max="2" width="11.8984375" bestFit="1" customWidth="1"/>
    <col min="3" max="3" width="13.5" bestFit="1" customWidth="1"/>
    <col min="4" max="4" width="21.5" bestFit="1" customWidth="1"/>
    <col min="5" max="5" width="21.5" customWidth="1"/>
    <col min="6" max="6" width="10.09765625" customWidth="1"/>
    <col min="7" max="7" width="27.59765625" customWidth="1"/>
    <col min="8" max="8" width="30.69921875" customWidth="1"/>
    <col min="9" max="9" width="31.19921875" customWidth="1"/>
    <col min="10" max="10" width="35.5" customWidth="1"/>
    <col min="11" max="11" width="38.59765625" customWidth="1"/>
    <col min="12" max="12" width="20.398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923</v>
      </c>
      <c r="E1" s="1" t="s">
        <v>924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2">
        <v>307</v>
      </c>
      <c r="B2" s="2" t="s">
        <v>393</v>
      </c>
      <c r="C2" s="2" t="s">
        <v>394</v>
      </c>
      <c r="D2" s="2">
        <f>LEN(Table2[[#This Row],[NAME1]])</f>
        <v>3</v>
      </c>
      <c r="E2" s="2"/>
      <c r="F2" s="2"/>
      <c r="G2" s="2">
        <v>0.24414164199999999</v>
      </c>
      <c r="H2" s="2">
        <v>95.959595960000001</v>
      </c>
      <c r="I2" s="2">
        <v>99</v>
      </c>
      <c r="J2" s="2">
        <v>2</v>
      </c>
      <c r="K2" s="2">
        <v>0</v>
      </c>
      <c r="L2" s="2">
        <v>1</v>
      </c>
      <c r="M2" s="2">
        <v>2.4700000000000002</v>
      </c>
    </row>
    <row r="3" spans="1:13" x14ac:dyDescent="0.3">
      <c r="A3" s="2">
        <v>241</v>
      </c>
      <c r="B3" s="2" t="s">
        <v>301</v>
      </c>
      <c r="C3" s="2" t="s">
        <v>302</v>
      </c>
      <c r="D3" s="2">
        <f>LEN(Table2[[#This Row],[NAME1]])</f>
        <v>3</v>
      </c>
      <c r="E3" s="2"/>
      <c r="F3" s="2"/>
      <c r="G3" s="2">
        <v>0</v>
      </c>
      <c r="H3" s="2">
        <v>100</v>
      </c>
      <c r="I3" s="2">
        <v>99</v>
      </c>
      <c r="J3" s="2">
        <v>1</v>
      </c>
      <c r="K3" s="2">
        <v>0</v>
      </c>
      <c r="L3" s="2">
        <v>1</v>
      </c>
      <c r="M3" s="2">
        <v>2.92</v>
      </c>
    </row>
    <row r="4" spans="1:13" x14ac:dyDescent="0.3">
      <c r="A4" s="2">
        <v>73</v>
      </c>
      <c r="B4" s="2" t="s">
        <v>92</v>
      </c>
      <c r="C4" s="2" t="s">
        <v>93</v>
      </c>
      <c r="D4" s="2">
        <f>LEN(Table2[[#This Row],[NAME1]])</f>
        <v>3</v>
      </c>
      <c r="E4" s="2"/>
      <c r="F4" s="2"/>
      <c r="G4" s="2">
        <v>0</v>
      </c>
      <c r="H4" s="2">
        <v>100</v>
      </c>
      <c r="I4" s="2">
        <v>99</v>
      </c>
      <c r="J4" s="2">
        <v>1</v>
      </c>
      <c r="K4" s="2">
        <v>1</v>
      </c>
      <c r="L4" s="2">
        <v>0</v>
      </c>
      <c r="M4" s="2">
        <v>2.8</v>
      </c>
    </row>
    <row r="5" spans="1:13" x14ac:dyDescent="0.3">
      <c r="A5" s="2">
        <v>637</v>
      </c>
      <c r="B5" s="2" t="s">
        <v>794</v>
      </c>
      <c r="C5" s="2" t="s">
        <v>795</v>
      </c>
      <c r="D5" s="2">
        <f>LEN(Table2[[#This Row],[NAME1]])</f>
        <v>3</v>
      </c>
      <c r="E5" s="2"/>
      <c r="F5" s="2"/>
      <c r="G5" s="2">
        <v>0</v>
      </c>
      <c r="H5" s="2">
        <v>100</v>
      </c>
      <c r="I5" s="2">
        <v>100</v>
      </c>
      <c r="J5" s="2">
        <v>1</v>
      </c>
      <c r="K5" s="2">
        <v>0</v>
      </c>
      <c r="L5" s="2">
        <v>0</v>
      </c>
      <c r="M5" s="2">
        <v>2.71</v>
      </c>
    </row>
    <row r="6" spans="1:13" x14ac:dyDescent="0.3">
      <c r="A6" s="2">
        <v>258</v>
      </c>
      <c r="B6" s="2" t="s">
        <v>319</v>
      </c>
      <c r="C6" s="2" t="s">
        <v>320</v>
      </c>
      <c r="D6" s="2">
        <f>LEN(Table2[[#This Row],[NAME1]])</f>
        <v>3</v>
      </c>
      <c r="E6" s="2"/>
      <c r="F6" s="2"/>
      <c r="G6" s="2">
        <v>0</v>
      </c>
      <c r="H6" s="2">
        <v>100</v>
      </c>
      <c r="I6" s="2">
        <v>98</v>
      </c>
      <c r="J6" s="2">
        <v>1</v>
      </c>
      <c r="K6" s="2">
        <v>0</v>
      </c>
      <c r="L6" s="2">
        <v>2</v>
      </c>
      <c r="M6" s="2">
        <v>1.62</v>
      </c>
    </row>
    <row r="7" spans="1:13" x14ac:dyDescent="0.3">
      <c r="A7" s="2">
        <v>324</v>
      </c>
      <c r="B7" s="2" t="s">
        <v>407</v>
      </c>
      <c r="C7" s="2" t="s">
        <v>408</v>
      </c>
      <c r="D7" s="2">
        <f>LEN(Table2[[#This Row],[NAME1]])</f>
        <v>3</v>
      </c>
      <c r="E7" s="2"/>
      <c r="F7" s="2"/>
      <c r="G7" s="2">
        <v>0.141440543</v>
      </c>
      <c r="H7" s="2">
        <v>98</v>
      </c>
      <c r="I7" s="2">
        <v>100</v>
      </c>
      <c r="J7" s="2">
        <v>2</v>
      </c>
      <c r="K7" s="2">
        <v>0</v>
      </c>
      <c r="L7" s="2">
        <v>0</v>
      </c>
      <c r="M7" s="2">
        <v>2.4848484850000001</v>
      </c>
    </row>
    <row r="8" spans="1:13" x14ac:dyDescent="0.3">
      <c r="A8" s="2">
        <v>455</v>
      </c>
      <c r="B8" s="2" t="s">
        <v>563</v>
      </c>
      <c r="C8" s="2" t="s">
        <v>564</v>
      </c>
      <c r="D8" s="2">
        <f>LEN(Table2[[#This Row],[NAME1]])</f>
        <v>3</v>
      </c>
      <c r="E8" s="2"/>
      <c r="F8" s="2"/>
      <c r="G8" s="2">
        <v>0.24229218899999999</v>
      </c>
      <c r="H8" s="2">
        <v>96</v>
      </c>
      <c r="I8" s="2">
        <v>100</v>
      </c>
      <c r="J8" s="2">
        <v>2</v>
      </c>
      <c r="K8" s="2">
        <v>0</v>
      </c>
      <c r="L8" s="2">
        <v>0</v>
      </c>
      <c r="M8" s="2">
        <v>1.51</v>
      </c>
    </row>
    <row r="9" spans="1:13" x14ac:dyDescent="0.3">
      <c r="A9" s="2">
        <v>346</v>
      </c>
      <c r="B9" s="2" t="s">
        <v>436</v>
      </c>
      <c r="C9" s="2" t="s">
        <v>437</v>
      </c>
      <c r="D9" s="2">
        <f>LEN(Table2[[#This Row],[NAME1]])</f>
        <v>3</v>
      </c>
      <c r="E9" s="2"/>
      <c r="F9" s="2"/>
      <c r="G9" s="2">
        <v>0.15374218000000001</v>
      </c>
      <c r="H9" s="2">
        <v>97.777777779999994</v>
      </c>
      <c r="I9" s="2">
        <v>90</v>
      </c>
      <c r="J9" s="2">
        <v>2</v>
      </c>
      <c r="K9" s="2">
        <v>5</v>
      </c>
      <c r="L9" s="2">
        <v>5</v>
      </c>
      <c r="M9" s="2">
        <v>2.4500000000000002</v>
      </c>
    </row>
    <row r="10" spans="1:13" x14ac:dyDescent="0.3">
      <c r="A10" s="2">
        <v>451</v>
      </c>
      <c r="B10" s="2" t="s">
        <v>555</v>
      </c>
      <c r="C10" s="2" t="s">
        <v>556</v>
      </c>
      <c r="D10" s="2">
        <f>LEN(Table2[[#This Row],[NAME1]])</f>
        <v>3</v>
      </c>
      <c r="E10" s="2"/>
      <c r="F10" s="2"/>
      <c r="G10" s="2">
        <v>0</v>
      </c>
      <c r="H10" s="2">
        <v>100</v>
      </c>
      <c r="I10" s="2">
        <v>99</v>
      </c>
      <c r="J10" s="2">
        <v>1</v>
      </c>
      <c r="K10" s="2">
        <v>0</v>
      </c>
      <c r="L10" s="2">
        <v>1</v>
      </c>
      <c r="M10" s="2">
        <v>3.4</v>
      </c>
    </row>
    <row r="11" spans="1:13" x14ac:dyDescent="0.3">
      <c r="A11" s="2">
        <v>86</v>
      </c>
      <c r="B11" s="2" t="s">
        <v>106</v>
      </c>
      <c r="C11" s="2" t="s">
        <v>107</v>
      </c>
      <c r="D11" s="2">
        <f>LEN(Table2[[#This Row],[NAME1]])</f>
        <v>3</v>
      </c>
      <c r="E11" s="2"/>
      <c r="F11" s="2"/>
      <c r="G11" s="2">
        <v>0.45212013499999998</v>
      </c>
      <c r="H11" s="2">
        <v>92.631578950000005</v>
      </c>
      <c r="I11" s="2">
        <v>95</v>
      </c>
      <c r="J11" s="2">
        <v>3</v>
      </c>
      <c r="K11" s="2">
        <v>0</v>
      </c>
      <c r="L11" s="2">
        <v>5</v>
      </c>
      <c r="M11" s="2">
        <v>2.4300000000000002</v>
      </c>
    </row>
    <row r="12" spans="1:13" x14ac:dyDescent="0.3">
      <c r="A12" s="2">
        <v>488</v>
      </c>
      <c r="B12" s="2" t="s">
        <v>603</v>
      </c>
      <c r="C12" s="2" t="s">
        <v>604</v>
      </c>
      <c r="D12" s="2">
        <f>LEN(Table2[[#This Row],[NAME1]])</f>
        <v>3</v>
      </c>
      <c r="E12" s="2"/>
      <c r="F12" s="2"/>
      <c r="G12" s="2">
        <v>0</v>
      </c>
      <c r="H12" s="2">
        <v>100</v>
      </c>
      <c r="I12" s="2">
        <v>100</v>
      </c>
      <c r="J12" s="2">
        <v>1</v>
      </c>
      <c r="K12" s="2">
        <v>0</v>
      </c>
      <c r="L12" s="2">
        <v>0</v>
      </c>
      <c r="M12" s="2">
        <v>1.52</v>
      </c>
    </row>
    <row r="13" spans="1:13" x14ac:dyDescent="0.3">
      <c r="A13" s="2">
        <v>680</v>
      </c>
      <c r="B13" s="2" t="s">
        <v>840</v>
      </c>
      <c r="C13" s="2" t="s">
        <v>841</v>
      </c>
      <c r="D13" s="2">
        <f>LEN(Table2[[#This Row],[NAME1]])</f>
        <v>4</v>
      </c>
      <c r="E13" s="2"/>
      <c r="F13" s="2"/>
      <c r="G13" s="2">
        <v>0.20390587600000001</v>
      </c>
      <c r="H13" s="2">
        <v>96.808510639999994</v>
      </c>
      <c r="I13" s="2">
        <v>94</v>
      </c>
      <c r="J13" s="2">
        <v>2</v>
      </c>
      <c r="K13" s="2">
        <v>4</v>
      </c>
      <c r="L13" s="2">
        <v>2</v>
      </c>
      <c r="M13" s="2">
        <v>2.2000000000000002</v>
      </c>
    </row>
    <row r="14" spans="1:13" x14ac:dyDescent="0.3">
      <c r="A14" s="2">
        <v>605</v>
      </c>
      <c r="B14" s="2" t="s">
        <v>752</v>
      </c>
      <c r="C14" s="2" t="s">
        <v>753</v>
      </c>
      <c r="D14" s="2">
        <f>LEN(Table2[[#This Row],[NAME1]])</f>
        <v>4</v>
      </c>
      <c r="E14" s="2"/>
      <c r="F14" s="2"/>
      <c r="G14" s="2">
        <v>0</v>
      </c>
      <c r="H14" s="2">
        <v>100</v>
      </c>
      <c r="I14" s="2">
        <v>97</v>
      </c>
      <c r="J14" s="2">
        <v>1</v>
      </c>
      <c r="K14" s="2">
        <v>2</v>
      </c>
      <c r="L14" s="2">
        <v>1</v>
      </c>
      <c r="M14" s="2">
        <v>2.41</v>
      </c>
    </row>
    <row r="15" spans="1:13" x14ac:dyDescent="0.3">
      <c r="A15" s="2">
        <v>155</v>
      </c>
      <c r="B15" s="2" t="s">
        <v>202</v>
      </c>
      <c r="C15" s="2" t="s">
        <v>203</v>
      </c>
      <c r="D15" s="2">
        <f>LEN(Table2[[#This Row],[NAME1]])</f>
        <v>4</v>
      </c>
      <c r="E15" s="2"/>
      <c r="F15" s="2"/>
      <c r="G15" s="2">
        <v>0.151096971</v>
      </c>
      <c r="H15" s="2">
        <v>97.826086959999998</v>
      </c>
      <c r="I15" s="2">
        <v>92</v>
      </c>
      <c r="J15" s="2">
        <v>2</v>
      </c>
      <c r="K15" s="2">
        <v>3</v>
      </c>
      <c r="L15" s="2">
        <v>5</v>
      </c>
      <c r="M15" s="2">
        <v>1.96</v>
      </c>
    </row>
    <row r="16" spans="1:13" x14ac:dyDescent="0.3">
      <c r="A16" s="2">
        <v>719</v>
      </c>
      <c r="B16" s="2" t="s">
        <v>885</v>
      </c>
      <c r="C16" s="2" t="s">
        <v>886</v>
      </c>
      <c r="D16" s="2">
        <f>LEN(Table2[[#This Row],[NAME1]])</f>
        <v>4</v>
      </c>
      <c r="E16" s="2"/>
      <c r="F16" s="2"/>
      <c r="G16" s="2">
        <v>0.20062232399999999</v>
      </c>
      <c r="H16" s="2">
        <v>96.875</v>
      </c>
      <c r="I16" s="2">
        <v>96</v>
      </c>
      <c r="J16" s="2">
        <v>2</v>
      </c>
      <c r="K16" s="2">
        <v>0</v>
      </c>
      <c r="L16" s="2">
        <v>4</v>
      </c>
      <c r="M16" s="2">
        <v>2.8181818179999998</v>
      </c>
    </row>
    <row r="17" spans="1:13" x14ac:dyDescent="0.3">
      <c r="A17" s="2">
        <v>507</v>
      </c>
      <c r="B17" s="2" t="s">
        <v>633</v>
      </c>
      <c r="C17" s="2" t="s">
        <v>634</v>
      </c>
      <c r="D17" s="2">
        <f>LEN(Table2[[#This Row],[NAME1]])</f>
        <v>4</v>
      </c>
      <c r="E17" s="2"/>
      <c r="F17" s="2"/>
      <c r="G17" s="2">
        <v>0.28639695700000001</v>
      </c>
      <c r="H17" s="2">
        <v>95</v>
      </c>
      <c r="I17" s="2">
        <v>100</v>
      </c>
      <c r="J17" s="2">
        <v>2</v>
      </c>
      <c r="K17" s="2">
        <v>0</v>
      </c>
      <c r="L17" s="2">
        <v>0</v>
      </c>
      <c r="M17" s="2">
        <v>2.57</v>
      </c>
    </row>
    <row r="18" spans="1:13" x14ac:dyDescent="0.3">
      <c r="A18" s="2">
        <v>91</v>
      </c>
      <c r="B18" s="2" t="s">
        <v>116</v>
      </c>
      <c r="C18" s="2" t="s">
        <v>117</v>
      </c>
      <c r="D18" s="2">
        <f>LEN(Table2[[#This Row],[NAME1]])</f>
        <v>4</v>
      </c>
      <c r="E18" s="2"/>
      <c r="F18" s="2"/>
      <c r="G18" s="2">
        <v>0.38550036300000001</v>
      </c>
      <c r="H18" s="2">
        <v>93.939393940000002</v>
      </c>
      <c r="I18" s="2">
        <v>99</v>
      </c>
      <c r="J18" s="2">
        <v>3</v>
      </c>
      <c r="K18" s="2">
        <v>0</v>
      </c>
      <c r="L18" s="2">
        <v>1</v>
      </c>
      <c r="M18" s="2">
        <v>2.6969696970000001</v>
      </c>
    </row>
    <row r="19" spans="1:13" x14ac:dyDescent="0.3">
      <c r="A19" s="2">
        <v>746</v>
      </c>
      <c r="B19" s="2" t="s">
        <v>915</v>
      </c>
      <c r="C19" s="2" t="s">
        <v>916</v>
      </c>
      <c r="D19" s="2">
        <f>LEN(Table2[[#This Row],[NAME1]])</f>
        <v>4</v>
      </c>
      <c r="E19" s="2"/>
      <c r="F19" s="2"/>
      <c r="G19" s="2">
        <v>0</v>
      </c>
      <c r="H19" s="2">
        <v>100</v>
      </c>
      <c r="I19" s="2">
        <v>100</v>
      </c>
      <c r="J19" s="2">
        <v>1</v>
      </c>
      <c r="K19" s="2">
        <v>0</v>
      </c>
      <c r="L19" s="2">
        <v>0</v>
      </c>
      <c r="M19" s="2">
        <v>1.52</v>
      </c>
    </row>
    <row r="20" spans="1:13" x14ac:dyDescent="0.3">
      <c r="A20" s="2">
        <v>215</v>
      </c>
      <c r="B20" s="2" t="s">
        <v>275</v>
      </c>
      <c r="C20" s="2" t="s">
        <v>276</v>
      </c>
      <c r="D20" s="2">
        <f>LEN(Table2[[#This Row],[NAME1]])</f>
        <v>4</v>
      </c>
      <c r="E20" s="2"/>
      <c r="F20" s="2"/>
      <c r="G20" s="2">
        <v>0.28853851400000002</v>
      </c>
      <c r="H20" s="2">
        <v>94.949494950000002</v>
      </c>
      <c r="I20" s="2">
        <v>99</v>
      </c>
      <c r="J20" s="2">
        <v>2</v>
      </c>
      <c r="K20" s="2">
        <v>0</v>
      </c>
      <c r="L20" s="2">
        <v>1</v>
      </c>
      <c r="M20" s="2">
        <v>2.5</v>
      </c>
    </row>
    <row r="21" spans="1:13" x14ac:dyDescent="0.3">
      <c r="A21" s="2">
        <v>323</v>
      </c>
      <c r="B21" s="2" t="s">
        <v>405</v>
      </c>
      <c r="C21" s="2" t="s">
        <v>406</v>
      </c>
      <c r="D21" s="2">
        <f>LEN(Table2[[#This Row],[NAME1]])</f>
        <v>4</v>
      </c>
      <c r="E21" s="2"/>
      <c r="F21" s="2"/>
      <c r="G21" s="2">
        <v>0.43646981699999998</v>
      </c>
      <c r="H21" s="2">
        <v>91</v>
      </c>
      <c r="I21" s="2">
        <v>100</v>
      </c>
      <c r="J21" s="2">
        <v>2</v>
      </c>
      <c r="K21" s="2">
        <v>0</v>
      </c>
      <c r="L21" s="2">
        <v>0</v>
      </c>
      <c r="M21" s="2">
        <v>3.2</v>
      </c>
    </row>
    <row r="22" spans="1:13" x14ac:dyDescent="0.3">
      <c r="A22" s="2">
        <v>666</v>
      </c>
      <c r="B22" s="2" t="s">
        <v>824</v>
      </c>
      <c r="C22" s="2" t="s">
        <v>825</v>
      </c>
      <c r="D22" s="2">
        <f>LEN(Table2[[#This Row],[NAME1]])</f>
        <v>4</v>
      </c>
      <c r="E22" s="2"/>
      <c r="F22" s="2"/>
      <c r="G22" s="2">
        <v>0</v>
      </c>
      <c r="H22" s="2">
        <v>100</v>
      </c>
      <c r="I22" s="2">
        <v>100</v>
      </c>
      <c r="J22" s="2">
        <v>1</v>
      </c>
      <c r="K22" s="2">
        <v>0</v>
      </c>
      <c r="L22" s="2">
        <v>0</v>
      </c>
      <c r="M22" s="2">
        <v>2.83</v>
      </c>
    </row>
    <row r="23" spans="1:13" x14ac:dyDescent="0.3">
      <c r="A23" s="2">
        <v>508</v>
      </c>
      <c r="B23" s="2" t="s">
        <v>635</v>
      </c>
      <c r="C23" s="2" t="s">
        <v>636</v>
      </c>
      <c r="D23" s="2">
        <f>LEN(Table2[[#This Row],[NAME1]])</f>
        <v>4</v>
      </c>
      <c r="E23" s="2"/>
      <c r="F23" s="2"/>
      <c r="G23" s="2">
        <v>0</v>
      </c>
      <c r="H23" s="2">
        <v>100</v>
      </c>
      <c r="I23" s="2">
        <v>100</v>
      </c>
      <c r="J23" s="2">
        <v>1</v>
      </c>
      <c r="K23" s="2">
        <v>0</v>
      </c>
      <c r="L23" s="2">
        <v>0</v>
      </c>
      <c r="M23" s="2">
        <v>1.56</v>
      </c>
    </row>
    <row r="24" spans="1:13" x14ac:dyDescent="0.3">
      <c r="A24" s="2">
        <v>268</v>
      </c>
      <c r="B24" s="2" t="s">
        <v>337</v>
      </c>
      <c r="C24" s="2" t="s">
        <v>338</v>
      </c>
      <c r="D24" s="2">
        <f>LEN(Table2[[#This Row],[NAME1]])</f>
        <v>4</v>
      </c>
      <c r="E24" s="2"/>
      <c r="F24" s="2"/>
      <c r="G24" s="2">
        <v>0</v>
      </c>
      <c r="H24" s="2">
        <v>100</v>
      </c>
      <c r="I24" s="2">
        <v>100</v>
      </c>
      <c r="J24" s="2">
        <v>1</v>
      </c>
      <c r="K24" s="2">
        <v>0</v>
      </c>
      <c r="L24" s="2">
        <v>0</v>
      </c>
      <c r="M24" s="2">
        <v>2.2200000000000002</v>
      </c>
    </row>
    <row r="25" spans="1:13" x14ac:dyDescent="0.3">
      <c r="A25" s="2">
        <v>202</v>
      </c>
      <c r="B25" s="2" t="s">
        <v>261</v>
      </c>
      <c r="C25" s="2" t="s">
        <v>262</v>
      </c>
      <c r="D25" s="2">
        <f>LEN(Table2[[#This Row],[NAME1]])</f>
        <v>4</v>
      </c>
      <c r="E25" s="2"/>
      <c r="F25" s="2"/>
      <c r="G25" s="2">
        <v>0</v>
      </c>
      <c r="H25" s="2">
        <v>100</v>
      </c>
      <c r="I25" s="2">
        <v>98</v>
      </c>
      <c r="J25" s="2">
        <v>1</v>
      </c>
      <c r="K25" s="2">
        <v>0</v>
      </c>
      <c r="L25" s="2">
        <v>2</v>
      </c>
      <c r="M25" s="2">
        <v>2.21</v>
      </c>
    </row>
    <row r="26" spans="1:13" x14ac:dyDescent="0.3">
      <c r="A26" s="2">
        <v>275</v>
      </c>
      <c r="B26" s="2" t="s">
        <v>345</v>
      </c>
      <c r="C26" s="2" t="s">
        <v>346</v>
      </c>
      <c r="D26" s="2">
        <f>LEN(Table2[[#This Row],[NAME1]])</f>
        <v>4</v>
      </c>
      <c r="E26" s="2"/>
      <c r="F26" s="2"/>
      <c r="G26" s="2">
        <v>0.30217361799999998</v>
      </c>
      <c r="H26" s="2">
        <v>94.623655909999997</v>
      </c>
      <c r="I26" s="2">
        <v>93</v>
      </c>
      <c r="J26" s="2">
        <v>2</v>
      </c>
      <c r="K26" s="2">
        <v>3</v>
      </c>
      <c r="L26" s="2">
        <v>4</v>
      </c>
      <c r="M26" s="2">
        <v>2.12</v>
      </c>
    </row>
    <row r="27" spans="1:13" x14ac:dyDescent="0.3">
      <c r="A27" s="2">
        <v>163</v>
      </c>
      <c r="B27" s="2" t="s">
        <v>214</v>
      </c>
      <c r="C27" s="2" t="s">
        <v>215</v>
      </c>
      <c r="D27" s="2">
        <f>LEN(Table2[[#This Row],[NAME1]])</f>
        <v>4</v>
      </c>
      <c r="E27" s="2"/>
      <c r="F27" s="2"/>
      <c r="G27" s="2">
        <v>0</v>
      </c>
      <c r="H27" s="2">
        <v>100</v>
      </c>
      <c r="I27" s="2">
        <v>99</v>
      </c>
      <c r="J27" s="2">
        <v>1</v>
      </c>
      <c r="K27" s="2">
        <v>0</v>
      </c>
      <c r="L27" s="2">
        <v>1</v>
      </c>
      <c r="M27" s="2">
        <v>2.29</v>
      </c>
    </row>
    <row r="28" spans="1:13" x14ac:dyDescent="0.3">
      <c r="A28" s="2">
        <v>56</v>
      </c>
      <c r="B28" s="2" t="s">
        <v>67</v>
      </c>
      <c r="C28" s="2" t="s">
        <v>68</v>
      </c>
      <c r="D28" s="2">
        <f>LEN(Table2[[#This Row],[NAME1]])</f>
        <v>4</v>
      </c>
      <c r="E28" s="2"/>
      <c r="F28" s="2"/>
      <c r="G28" s="2">
        <v>0</v>
      </c>
      <c r="H28" s="2">
        <v>100</v>
      </c>
      <c r="I28" s="2">
        <v>99</v>
      </c>
      <c r="J28" s="2">
        <v>1</v>
      </c>
      <c r="K28" s="2">
        <v>0</v>
      </c>
      <c r="L28" s="2">
        <v>1</v>
      </c>
      <c r="M28" s="2">
        <v>1.91</v>
      </c>
    </row>
    <row r="29" spans="1:13" x14ac:dyDescent="0.3">
      <c r="A29" s="2">
        <v>259</v>
      </c>
      <c r="B29" s="2" t="s">
        <v>321</v>
      </c>
      <c r="C29" s="2" t="s">
        <v>322</v>
      </c>
      <c r="D29" s="2">
        <f>LEN(Table2[[#This Row],[NAME1]])</f>
        <v>4</v>
      </c>
      <c r="E29" s="2"/>
      <c r="F29" s="2"/>
      <c r="G29" s="2">
        <v>0.33228663000000003</v>
      </c>
      <c r="H29" s="2">
        <v>93.877551019999999</v>
      </c>
      <c r="I29" s="2">
        <v>98</v>
      </c>
      <c r="J29" s="2">
        <v>2</v>
      </c>
      <c r="K29" s="2">
        <v>2</v>
      </c>
      <c r="L29" s="2">
        <v>0</v>
      </c>
      <c r="M29" s="2">
        <v>1.64</v>
      </c>
    </row>
    <row r="30" spans="1:13" x14ac:dyDescent="0.3">
      <c r="A30" s="2">
        <v>518</v>
      </c>
      <c r="B30" s="2" t="s">
        <v>651</v>
      </c>
      <c r="C30" s="2" t="s">
        <v>652</v>
      </c>
      <c r="D30" s="2">
        <f>LEN(Table2[[#This Row],[NAME1]])</f>
        <v>4</v>
      </c>
      <c r="E30" s="2"/>
      <c r="F30" s="2"/>
      <c r="G30" s="2">
        <v>0.141440543</v>
      </c>
      <c r="H30" s="2">
        <v>98</v>
      </c>
      <c r="I30" s="2">
        <v>100</v>
      </c>
      <c r="J30" s="2">
        <v>2</v>
      </c>
      <c r="K30" s="2">
        <v>0</v>
      </c>
      <c r="L30" s="2">
        <v>0</v>
      </c>
      <c r="M30" s="2">
        <v>1.64</v>
      </c>
    </row>
    <row r="31" spans="1:13" x14ac:dyDescent="0.3">
      <c r="A31" s="2">
        <v>253</v>
      </c>
      <c r="B31" s="2" t="s">
        <v>315</v>
      </c>
      <c r="C31" s="2" t="s">
        <v>316</v>
      </c>
      <c r="D31" s="2">
        <f>LEN(Table2[[#This Row],[NAME1]])</f>
        <v>4</v>
      </c>
      <c r="E31" s="2"/>
      <c r="F31" s="2"/>
      <c r="G31" s="2">
        <v>0.28454568299999999</v>
      </c>
      <c r="H31" s="2">
        <v>95.959595960000001</v>
      </c>
      <c r="I31" s="2">
        <v>99</v>
      </c>
      <c r="J31" s="2">
        <v>3</v>
      </c>
      <c r="K31" s="2">
        <v>0</v>
      </c>
      <c r="L31" s="2">
        <v>1</v>
      </c>
      <c r="M31" s="2">
        <v>3.151515152</v>
      </c>
    </row>
    <row r="32" spans="1:13" x14ac:dyDescent="0.3">
      <c r="A32" s="2">
        <v>595</v>
      </c>
      <c r="B32" s="2" t="s">
        <v>738</v>
      </c>
      <c r="C32" s="2" t="s">
        <v>739</v>
      </c>
      <c r="D32" s="2">
        <f>LEN(Table2[[#This Row],[NAME1]])</f>
        <v>4</v>
      </c>
      <c r="E32" s="2"/>
      <c r="F32" s="2"/>
      <c r="G32" s="2">
        <v>0.14372616999999999</v>
      </c>
      <c r="H32" s="2">
        <v>97.959183670000002</v>
      </c>
      <c r="I32" s="2">
        <v>98</v>
      </c>
      <c r="J32" s="2">
        <v>2</v>
      </c>
      <c r="K32" s="2">
        <v>1</v>
      </c>
      <c r="L32" s="2">
        <v>1</v>
      </c>
      <c r="M32" s="2">
        <v>1.33</v>
      </c>
    </row>
    <row r="33" spans="1:13" x14ac:dyDescent="0.3">
      <c r="A33" s="2">
        <v>304</v>
      </c>
      <c r="B33" s="2" t="s">
        <v>389</v>
      </c>
      <c r="C33" s="2" t="s">
        <v>390</v>
      </c>
      <c r="D33" s="2">
        <f>LEN(Table2[[#This Row],[NAME1]])</f>
        <v>4</v>
      </c>
      <c r="E33" s="2"/>
      <c r="F33" s="2"/>
      <c r="G33" s="2">
        <v>0</v>
      </c>
      <c r="H33" s="2">
        <v>100</v>
      </c>
      <c r="I33" s="2">
        <v>100</v>
      </c>
      <c r="J33" s="2">
        <v>1</v>
      </c>
      <c r="K33" s="2">
        <v>0</v>
      </c>
      <c r="L33" s="2">
        <v>0</v>
      </c>
      <c r="M33" s="2">
        <v>2.5299999999999998</v>
      </c>
    </row>
    <row r="34" spans="1:13" x14ac:dyDescent="0.3">
      <c r="A34" s="2">
        <v>308</v>
      </c>
      <c r="B34" s="2" t="s">
        <v>395</v>
      </c>
      <c r="C34" s="2" t="s">
        <v>396</v>
      </c>
      <c r="D34" s="2">
        <f>LEN(Table2[[#This Row],[NAME1]])</f>
        <v>4</v>
      </c>
      <c r="E34" s="2"/>
      <c r="F34" s="2"/>
      <c r="G34" s="2">
        <v>0</v>
      </c>
      <c r="H34" s="2">
        <v>100</v>
      </c>
      <c r="I34" s="2">
        <v>99</v>
      </c>
      <c r="J34" s="2">
        <v>1</v>
      </c>
      <c r="K34" s="2">
        <v>0</v>
      </c>
      <c r="L34" s="2">
        <v>1</v>
      </c>
      <c r="M34" s="2">
        <v>1.54</v>
      </c>
    </row>
    <row r="35" spans="1:13" x14ac:dyDescent="0.3">
      <c r="A35" s="2">
        <v>540</v>
      </c>
      <c r="B35" s="2" t="s">
        <v>679</v>
      </c>
      <c r="C35" s="2" t="s">
        <v>680</v>
      </c>
      <c r="D35" s="2">
        <f>LEN(Table2[[#This Row],[NAME1]])</f>
        <v>4</v>
      </c>
      <c r="E35" s="2"/>
      <c r="F35" s="2"/>
      <c r="G35" s="2">
        <v>0.141440543</v>
      </c>
      <c r="H35" s="2">
        <v>98</v>
      </c>
      <c r="I35" s="2">
        <v>100</v>
      </c>
      <c r="J35" s="2">
        <v>2</v>
      </c>
      <c r="K35" s="2">
        <v>0</v>
      </c>
      <c r="L35" s="2">
        <v>0</v>
      </c>
      <c r="M35" s="2">
        <v>2.3199999999999998</v>
      </c>
    </row>
    <row r="36" spans="1:13" x14ac:dyDescent="0.3">
      <c r="A36" s="2">
        <v>312</v>
      </c>
      <c r="B36" s="2" t="s">
        <v>397</v>
      </c>
      <c r="C36" s="2" t="s">
        <v>398</v>
      </c>
      <c r="D36" s="2">
        <f>LEN(Table2[[#This Row],[NAME1]])</f>
        <v>4</v>
      </c>
      <c r="E36" s="2"/>
      <c r="F36" s="2"/>
      <c r="G36" s="2">
        <v>0</v>
      </c>
      <c r="H36" s="2">
        <v>100</v>
      </c>
      <c r="I36" s="2">
        <v>97</v>
      </c>
      <c r="J36" s="2">
        <v>1</v>
      </c>
      <c r="K36" s="2">
        <v>1</v>
      </c>
      <c r="L36" s="2">
        <v>2</v>
      </c>
      <c r="M36" s="2">
        <v>2.76</v>
      </c>
    </row>
    <row r="37" spans="1:13" x14ac:dyDescent="0.3">
      <c r="A37" s="2">
        <v>92</v>
      </c>
      <c r="B37" s="2" t="s">
        <v>118</v>
      </c>
      <c r="C37" s="2" t="s">
        <v>119</v>
      </c>
      <c r="D37" s="2">
        <f>LEN(Table2[[#This Row],[NAME1]])</f>
        <v>4</v>
      </c>
      <c r="E37" s="2"/>
      <c r="F37" s="2"/>
      <c r="G37" s="2">
        <v>0.295181743</v>
      </c>
      <c r="H37" s="2">
        <v>94.791666669999998</v>
      </c>
      <c r="I37" s="2">
        <v>96</v>
      </c>
      <c r="J37" s="2">
        <v>2</v>
      </c>
      <c r="K37" s="2">
        <v>1</v>
      </c>
      <c r="L37" s="2">
        <v>3</v>
      </c>
      <c r="M37" s="2">
        <v>2.84</v>
      </c>
    </row>
    <row r="38" spans="1:13" x14ac:dyDescent="0.3">
      <c r="A38" s="2">
        <v>606</v>
      </c>
      <c r="B38" s="2" t="s">
        <v>754</v>
      </c>
      <c r="C38" s="2" t="s">
        <v>755</v>
      </c>
      <c r="D38" s="2">
        <f>LEN(Table2[[#This Row],[NAME1]])</f>
        <v>4</v>
      </c>
      <c r="E38" s="2"/>
      <c r="F38" s="2"/>
      <c r="G38" s="2">
        <v>0</v>
      </c>
      <c r="H38" s="2">
        <v>100</v>
      </c>
      <c r="I38" s="2">
        <v>100</v>
      </c>
      <c r="J38" s="2">
        <v>1</v>
      </c>
      <c r="K38" s="2">
        <v>0</v>
      </c>
      <c r="L38" s="2">
        <v>0</v>
      </c>
      <c r="M38" s="2">
        <v>2.96</v>
      </c>
    </row>
    <row r="39" spans="1:13" x14ac:dyDescent="0.3">
      <c r="A39" s="2">
        <v>464</v>
      </c>
      <c r="B39" s="2" t="s">
        <v>575</v>
      </c>
      <c r="C39" s="2" t="s">
        <v>576</v>
      </c>
      <c r="D39" s="2">
        <f>LEN(Table2[[#This Row],[NAME1]])</f>
        <v>4</v>
      </c>
      <c r="E39" s="2"/>
      <c r="F39" s="2"/>
      <c r="G39" s="2">
        <v>0</v>
      </c>
      <c r="H39" s="2">
        <v>100</v>
      </c>
      <c r="I39" s="2">
        <v>96</v>
      </c>
      <c r="J39" s="2">
        <v>1</v>
      </c>
      <c r="K39" s="2">
        <v>3</v>
      </c>
      <c r="L39" s="2">
        <v>1</v>
      </c>
      <c r="M39" s="2">
        <v>1.83</v>
      </c>
    </row>
    <row r="40" spans="1:13" x14ac:dyDescent="0.3">
      <c r="A40" s="2">
        <v>706</v>
      </c>
      <c r="B40" s="2" t="s">
        <v>871</v>
      </c>
      <c r="C40" s="2" t="s">
        <v>872</v>
      </c>
      <c r="D40" s="2">
        <f>LEN(Table2[[#This Row],[NAME1]])</f>
        <v>4</v>
      </c>
      <c r="E40" s="2"/>
      <c r="F40" s="2"/>
      <c r="G40" s="2">
        <v>0.38850882399999997</v>
      </c>
      <c r="H40" s="2">
        <v>93.877551019999999</v>
      </c>
      <c r="I40" s="2">
        <v>98</v>
      </c>
      <c r="J40" s="2">
        <v>3</v>
      </c>
      <c r="K40" s="2">
        <v>1</v>
      </c>
      <c r="L40" s="2">
        <v>1</v>
      </c>
      <c r="M40" s="2">
        <v>1.55</v>
      </c>
    </row>
    <row r="41" spans="1:13" x14ac:dyDescent="0.3">
      <c r="A41" s="2">
        <v>260</v>
      </c>
      <c r="B41" s="2" t="s">
        <v>323</v>
      </c>
      <c r="C41" s="2" t="s">
        <v>324</v>
      </c>
      <c r="D41" s="2">
        <f>LEN(Table2[[#This Row],[NAME1]])</f>
        <v>4</v>
      </c>
      <c r="E41" s="2"/>
      <c r="F41" s="2"/>
      <c r="G41" s="2">
        <v>0</v>
      </c>
      <c r="H41" s="2">
        <v>100</v>
      </c>
      <c r="I41" s="2">
        <v>100</v>
      </c>
      <c r="J41" s="2">
        <v>1</v>
      </c>
      <c r="K41" s="2">
        <v>0</v>
      </c>
      <c r="L41" s="2">
        <v>0</v>
      </c>
      <c r="M41" s="2">
        <v>2.85</v>
      </c>
    </row>
    <row r="42" spans="1:13" x14ac:dyDescent="0.3">
      <c r="A42" s="2">
        <v>466</v>
      </c>
      <c r="B42" s="2" t="s">
        <v>579</v>
      </c>
      <c r="C42" s="2" t="s">
        <v>580</v>
      </c>
      <c r="D42" s="2">
        <f>LEN(Table2[[#This Row],[NAME1]])</f>
        <v>4</v>
      </c>
      <c r="E42" s="2"/>
      <c r="F42" s="2"/>
      <c r="G42" s="2">
        <v>0</v>
      </c>
      <c r="H42" s="2">
        <v>100</v>
      </c>
      <c r="I42" s="2">
        <v>99</v>
      </c>
      <c r="J42" s="2">
        <v>1</v>
      </c>
      <c r="K42" s="2">
        <v>0</v>
      </c>
      <c r="L42" s="2">
        <v>1</v>
      </c>
      <c r="M42" s="2">
        <v>2.93</v>
      </c>
    </row>
    <row r="43" spans="1:13" x14ac:dyDescent="0.3">
      <c r="A43" s="2">
        <v>125</v>
      </c>
      <c r="B43" s="2" t="s">
        <v>160</v>
      </c>
      <c r="C43" s="2" t="s">
        <v>161</v>
      </c>
      <c r="D43" s="2">
        <f>LEN(Table2[[#This Row],[NAME1]])</f>
        <v>4</v>
      </c>
      <c r="E43" s="2"/>
      <c r="F43" s="2"/>
      <c r="G43" s="2">
        <v>0</v>
      </c>
      <c r="H43" s="2">
        <v>100</v>
      </c>
      <c r="I43" s="2">
        <v>99</v>
      </c>
      <c r="J43" s="2">
        <v>1</v>
      </c>
      <c r="K43" s="2">
        <v>0</v>
      </c>
      <c r="L43" s="2">
        <v>1</v>
      </c>
      <c r="M43" s="2">
        <v>2.31</v>
      </c>
    </row>
    <row r="44" spans="1:13" x14ac:dyDescent="0.3">
      <c r="A44" s="2">
        <v>15</v>
      </c>
      <c r="B44" s="2" t="s">
        <v>19</v>
      </c>
      <c r="C44" s="2" t="s">
        <v>20</v>
      </c>
      <c r="D44" s="2">
        <f>LEN(Table2[[#This Row],[NAME1]])</f>
        <v>4</v>
      </c>
      <c r="E44" s="2"/>
      <c r="F44" s="2"/>
      <c r="G44" s="2">
        <v>0</v>
      </c>
      <c r="H44" s="2">
        <v>100</v>
      </c>
      <c r="I44" s="2">
        <v>100</v>
      </c>
      <c r="J44" s="2">
        <v>1</v>
      </c>
      <c r="K44" s="2">
        <v>0</v>
      </c>
      <c r="L44" s="2">
        <v>0</v>
      </c>
      <c r="M44" s="2">
        <v>2.8</v>
      </c>
    </row>
    <row r="45" spans="1:13" x14ac:dyDescent="0.3">
      <c r="A45" s="2">
        <v>557</v>
      </c>
      <c r="B45" s="2" t="s">
        <v>699</v>
      </c>
      <c r="C45" s="2" t="s">
        <v>700</v>
      </c>
      <c r="D45" s="2">
        <f>LEN(Table2[[#This Row],[NAME1]])</f>
        <v>4</v>
      </c>
      <c r="E45" s="2"/>
      <c r="F45" s="2"/>
      <c r="G45" s="2">
        <v>0.33757642300000001</v>
      </c>
      <c r="H45" s="2">
        <v>94.949494950000002</v>
      </c>
      <c r="I45" s="2">
        <v>99</v>
      </c>
      <c r="J45" s="2">
        <v>3</v>
      </c>
      <c r="K45" s="2">
        <v>0</v>
      </c>
      <c r="L45" s="2">
        <v>1</v>
      </c>
      <c r="M45" s="2">
        <v>3.05</v>
      </c>
    </row>
    <row r="46" spans="1:13" x14ac:dyDescent="0.3">
      <c r="A46" s="2">
        <v>172</v>
      </c>
      <c r="B46" s="2" t="s">
        <v>226</v>
      </c>
      <c r="C46" s="2" t="s">
        <v>227</v>
      </c>
      <c r="D46" s="2">
        <f>LEN(Table2[[#This Row],[NAME1]])</f>
        <v>4</v>
      </c>
      <c r="E46" s="2"/>
      <c r="F46" s="2"/>
      <c r="G46" s="2">
        <v>0</v>
      </c>
      <c r="H46" s="2">
        <v>100</v>
      </c>
      <c r="I46" s="2">
        <v>97</v>
      </c>
      <c r="J46" s="2">
        <v>1</v>
      </c>
      <c r="K46" s="2">
        <v>0</v>
      </c>
      <c r="L46" s="2">
        <v>3</v>
      </c>
      <c r="M46" s="2">
        <v>3.16</v>
      </c>
    </row>
    <row r="47" spans="1:13" x14ac:dyDescent="0.3">
      <c r="A47" s="2">
        <v>90</v>
      </c>
      <c r="B47" s="2" t="s">
        <v>114</v>
      </c>
      <c r="C47" s="2" t="s">
        <v>115</v>
      </c>
      <c r="D47" s="2">
        <f>LEN(Table2[[#This Row],[NAME1]])</f>
        <v>4</v>
      </c>
      <c r="E47" s="2"/>
      <c r="F47" s="2"/>
      <c r="G47" s="2">
        <v>0</v>
      </c>
      <c r="H47" s="2">
        <v>100</v>
      </c>
      <c r="I47" s="2">
        <v>100</v>
      </c>
      <c r="J47" s="2">
        <v>1</v>
      </c>
      <c r="K47" s="2">
        <v>0</v>
      </c>
      <c r="L47" s="2">
        <v>0</v>
      </c>
      <c r="M47" s="2">
        <v>1.24</v>
      </c>
    </row>
    <row r="48" spans="1:13" x14ac:dyDescent="0.3">
      <c r="A48" s="2">
        <v>264</v>
      </c>
      <c r="B48" s="2" t="s">
        <v>329</v>
      </c>
      <c r="C48" s="2" t="s">
        <v>330</v>
      </c>
      <c r="D48" s="2">
        <f>LEN(Table2[[#This Row],[NAME1]])</f>
        <v>4</v>
      </c>
      <c r="E48" s="2"/>
      <c r="F48" s="2"/>
      <c r="G48" s="2">
        <v>0.24229218899999999</v>
      </c>
      <c r="H48" s="2">
        <v>96</v>
      </c>
      <c r="I48" s="2">
        <v>100</v>
      </c>
      <c r="J48" s="2">
        <v>2</v>
      </c>
      <c r="K48" s="2">
        <v>0</v>
      </c>
      <c r="L48" s="2">
        <v>0</v>
      </c>
      <c r="M48" s="2">
        <v>2.17</v>
      </c>
    </row>
    <row r="49" spans="1:13" x14ac:dyDescent="0.3">
      <c r="A49" s="2">
        <v>110</v>
      </c>
      <c r="B49" s="2" t="s">
        <v>140</v>
      </c>
      <c r="C49" s="2" t="s">
        <v>141</v>
      </c>
      <c r="D49" s="2">
        <f>LEN(Table2[[#This Row],[NAME1]])</f>
        <v>4</v>
      </c>
      <c r="E49" s="2"/>
      <c r="F49" s="2"/>
      <c r="G49" s="2">
        <v>0.28853851400000002</v>
      </c>
      <c r="H49" s="2">
        <v>94.949494950000002</v>
      </c>
      <c r="I49" s="2">
        <v>99</v>
      </c>
      <c r="J49" s="2">
        <v>2</v>
      </c>
      <c r="K49" s="2">
        <v>0</v>
      </c>
      <c r="L49" s="2">
        <v>1</v>
      </c>
      <c r="M49" s="2">
        <v>1.79</v>
      </c>
    </row>
    <row r="50" spans="1:13" x14ac:dyDescent="0.3">
      <c r="A50" s="2">
        <v>610</v>
      </c>
      <c r="B50" s="2" t="s">
        <v>760</v>
      </c>
      <c r="C50" s="2" t="s">
        <v>761</v>
      </c>
      <c r="D50" s="2">
        <f>LEN(Table2[[#This Row],[NAME1]])</f>
        <v>4</v>
      </c>
      <c r="E50" s="2"/>
      <c r="F50" s="2"/>
      <c r="G50" s="2">
        <v>0</v>
      </c>
      <c r="H50" s="2">
        <v>100</v>
      </c>
      <c r="I50" s="2">
        <v>100</v>
      </c>
      <c r="J50" s="2">
        <v>1</v>
      </c>
      <c r="K50" s="2">
        <v>0</v>
      </c>
      <c r="L50" s="2">
        <v>0</v>
      </c>
      <c r="M50" s="2">
        <v>2.3838383840000001</v>
      </c>
    </row>
    <row r="51" spans="1:13" x14ac:dyDescent="0.3">
      <c r="A51" s="2">
        <v>303</v>
      </c>
      <c r="B51" s="2" t="s">
        <v>387</v>
      </c>
      <c r="C51" s="2" t="s">
        <v>388</v>
      </c>
      <c r="D51" s="2">
        <f>LEN(Table2[[#This Row],[NAME1]])</f>
        <v>4</v>
      </c>
      <c r="E51" s="2"/>
      <c r="F51" s="2"/>
      <c r="G51" s="2">
        <v>0.29292995100000002</v>
      </c>
      <c r="H51" s="2">
        <v>94.845360819999996</v>
      </c>
      <c r="I51" s="2">
        <v>97</v>
      </c>
      <c r="J51" s="2">
        <v>2</v>
      </c>
      <c r="K51" s="2">
        <v>1</v>
      </c>
      <c r="L51" s="2">
        <v>2</v>
      </c>
      <c r="M51" s="2">
        <v>2.96</v>
      </c>
    </row>
    <row r="52" spans="1:13" x14ac:dyDescent="0.3">
      <c r="A52" s="2">
        <v>445</v>
      </c>
      <c r="B52" s="2" t="s">
        <v>547</v>
      </c>
      <c r="C52" s="2" t="s">
        <v>548</v>
      </c>
      <c r="D52" s="2">
        <f>LEN(Table2[[#This Row],[NAME1]])</f>
        <v>4</v>
      </c>
      <c r="E52" s="2"/>
      <c r="F52" s="2"/>
      <c r="G52" s="2">
        <v>0</v>
      </c>
      <c r="H52" s="2">
        <v>100</v>
      </c>
      <c r="I52" s="2">
        <v>99</v>
      </c>
      <c r="J52" s="2">
        <v>1</v>
      </c>
      <c r="K52" s="2">
        <v>1</v>
      </c>
      <c r="L52" s="2">
        <v>0</v>
      </c>
      <c r="M52" s="2">
        <v>2.63</v>
      </c>
    </row>
    <row r="53" spans="1:13" x14ac:dyDescent="0.3">
      <c r="A53" s="2">
        <v>436</v>
      </c>
      <c r="B53" s="2" t="s">
        <v>533</v>
      </c>
      <c r="C53" s="2" t="s">
        <v>534</v>
      </c>
      <c r="D53" s="2">
        <f>LEN(Table2[[#This Row],[NAME1]])</f>
        <v>4</v>
      </c>
      <c r="E53" s="2"/>
      <c r="F53" s="2"/>
      <c r="G53" s="2">
        <v>0</v>
      </c>
      <c r="H53" s="2">
        <v>100</v>
      </c>
      <c r="I53" s="2">
        <v>98</v>
      </c>
      <c r="J53" s="2">
        <v>1</v>
      </c>
      <c r="K53" s="2">
        <v>0</v>
      </c>
      <c r="L53" s="2">
        <v>2</v>
      </c>
      <c r="M53" s="2">
        <v>2.54</v>
      </c>
    </row>
    <row r="54" spans="1:13" x14ac:dyDescent="0.3">
      <c r="A54" s="2">
        <v>499</v>
      </c>
      <c r="B54" s="2" t="s">
        <v>619</v>
      </c>
      <c r="C54" s="2" t="s">
        <v>620</v>
      </c>
      <c r="D54" s="2">
        <f>LEN(Table2[[#This Row],[NAME1]])</f>
        <v>4</v>
      </c>
      <c r="E54" s="2"/>
      <c r="F54" s="2"/>
      <c r="G54" s="2">
        <v>0</v>
      </c>
      <c r="H54" s="2">
        <v>100</v>
      </c>
      <c r="I54" s="2">
        <v>100</v>
      </c>
      <c r="J54" s="2">
        <v>1</v>
      </c>
      <c r="K54" s="2">
        <v>0</v>
      </c>
      <c r="L54" s="2">
        <v>0</v>
      </c>
      <c r="M54" s="2">
        <v>2.4700000000000002</v>
      </c>
    </row>
    <row r="55" spans="1:13" x14ac:dyDescent="0.3">
      <c r="A55" s="2">
        <v>599</v>
      </c>
      <c r="B55" s="2" t="s">
        <v>746</v>
      </c>
      <c r="C55" s="2" t="s">
        <v>747</v>
      </c>
      <c r="D55" s="2">
        <f>LEN(Table2[[#This Row],[NAME1]])</f>
        <v>4</v>
      </c>
      <c r="E55" s="2"/>
      <c r="F55" s="2"/>
      <c r="G55" s="2">
        <v>0</v>
      </c>
      <c r="H55" s="2">
        <v>100</v>
      </c>
      <c r="I55" s="2">
        <v>100</v>
      </c>
      <c r="J55" s="2">
        <v>1</v>
      </c>
      <c r="K55" s="2">
        <v>0</v>
      </c>
      <c r="L55" s="2">
        <v>0</v>
      </c>
      <c r="M55" s="2">
        <v>1.37</v>
      </c>
    </row>
    <row r="56" spans="1:13" x14ac:dyDescent="0.3">
      <c r="A56" s="2">
        <v>267</v>
      </c>
      <c r="B56" s="2" t="s">
        <v>335</v>
      </c>
      <c r="C56" s="2" t="s">
        <v>336</v>
      </c>
      <c r="D56" s="2">
        <f>LEN(Table2[[#This Row],[NAME1]])</f>
        <v>4</v>
      </c>
      <c r="E56" s="2"/>
      <c r="F56" s="2"/>
      <c r="G56" s="2">
        <v>0.57421419200000001</v>
      </c>
      <c r="H56" s="2">
        <v>91</v>
      </c>
      <c r="I56" s="2">
        <v>100</v>
      </c>
      <c r="J56" s="2">
        <v>4</v>
      </c>
      <c r="K56" s="2">
        <v>0</v>
      </c>
      <c r="L56" s="2">
        <v>0</v>
      </c>
      <c r="M56" s="2">
        <v>1.63</v>
      </c>
    </row>
    <row r="57" spans="1:13" x14ac:dyDescent="0.3">
      <c r="A57" s="2">
        <v>119</v>
      </c>
      <c r="B57" s="2" t="s">
        <v>148</v>
      </c>
      <c r="C57" s="2" t="s">
        <v>149</v>
      </c>
      <c r="D57" s="2">
        <f>LEN(Table2[[#This Row],[NAME1]])</f>
        <v>4</v>
      </c>
      <c r="E57" s="2"/>
      <c r="F57" s="2"/>
      <c r="G57" s="2">
        <v>0</v>
      </c>
      <c r="H57" s="2">
        <v>100</v>
      </c>
      <c r="I57" s="2">
        <v>98</v>
      </c>
      <c r="J57" s="2">
        <v>1</v>
      </c>
      <c r="K57" s="2">
        <v>0</v>
      </c>
      <c r="L57" s="2">
        <v>2</v>
      </c>
      <c r="M57" s="2">
        <v>3.03</v>
      </c>
    </row>
    <row r="58" spans="1:13" x14ac:dyDescent="0.3">
      <c r="A58" s="2">
        <v>120</v>
      </c>
      <c r="B58" s="2" t="s">
        <v>150</v>
      </c>
      <c r="C58" s="2" t="s">
        <v>151</v>
      </c>
      <c r="D58" s="2">
        <f>LEN(Table2[[#This Row],[NAME1]])</f>
        <v>4</v>
      </c>
      <c r="E58" s="2"/>
      <c r="F58" s="2"/>
      <c r="G58" s="2">
        <v>0.54118840300000004</v>
      </c>
      <c r="H58" s="2">
        <v>90</v>
      </c>
      <c r="I58" s="2">
        <v>100</v>
      </c>
      <c r="J58" s="2">
        <v>3</v>
      </c>
      <c r="K58" s="2">
        <v>0</v>
      </c>
      <c r="L58" s="2">
        <v>0</v>
      </c>
      <c r="M58" s="2">
        <v>2.3199999999999998</v>
      </c>
    </row>
    <row r="59" spans="1:13" x14ac:dyDescent="0.3">
      <c r="A59" s="2">
        <v>255</v>
      </c>
      <c r="B59" s="2" t="s">
        <v>317</v>
      </c>
      <c r="C59" s="2" t="s">
        <v>318</v>
      </c>
      <c r="D59" s="2">
        <f>LEN(Table2[[#This Row],[NAME1]])</f>
        <v>4</v>
      </c>
      <c r="E59" s="2"/>
      <c r="F59" s="2"/>
      <c r="G59" s="2">
        <v>0</v>
      </c>
      <c r="H59" s="2">
        <v>100</v>
      </c>
      <c r="I59" s="2">
        <v>100</v>
      </c>
      <c r="J59" s="2">
        <v>1</v>
      </c>
      <c r="K59" s="2">
        <v>0</v>
      </c>
      <c r="L59" s="2">
        <v>0</v>
      </c>
      <c r="M59" s="2">
        <v>1.76</v>
      </c>
    </row>
    <row r="60" spans="1:13" x14ac:dyDescent="0.3">
      <c r="A60" s="2">
        <v>400</v>
      </c>
      <c r="B60" s="2" t="s">
        <v>498</v>
      </c>
      <c r="C60" s="2" t="s">
        <v>499</v>
      </c>
      <c r="D60" s="2">
        <f>LEN(Table2[[#This Row],[NAME1]])</f>
        <v>4</v>
      </c>
      <c r="E60" s="2"/>
      <c r="F60" s="2"/>
      <c r="G60" s="2">
        <v>0</v>
      </c>
      <c r="H60" s="2">
        <v>100</v>
      </c>
      <c r="I60" s="2">
        <v>99</v>
      </c>
      <c r="J60" s="2">
        <v>1</v>
      </c>
      <c r="K60" s="2">
        <v>0</v>
      </c>
      <c r="L60" s="2">
        <v>1</v>
      </c>
      <c r="M60" s="2">
        <v>3.22</v>
      </c>
    </row>
    <row r="61" spans="1:13" x14ac:dyDescent="0.3">
      <c r="A61" s="2">
        <v>19</v>
      </c>
      <c r="B61" s="2" t="s">
        <v>23</v>
      </c>
      <c r="C61" s="2" t="s">
        <v>24</v>
      </c>
      <c r="D61" s="2">
        <f>LEN(Table2[[#This Row],[NAME1]])</f>
        <v>4</v>
      </c>
      <c r="E61" s="2"/>
      <c r="F61" s="2"/>
      <c r="G61" s="2">
        <v>0.34297895099999998</v>
      </c>
      <c r="H61" s="2">
        <v>94.845360819999996</v>
      </c>
      <c r="I61" s="2">
        <v>97</v>
      </c>
      <c r="J61" s="2">
        <v>3</v>
      </c>
      <c r="K61" s="2">
        <v>2</v>
      </c>
      <c r="L61" s="2">
        <v>1</v>
      </c>
      <c r="M61" s="2">
        <v>3.51</v>
      </c>
    </row>
    <row r="62" spans="1:13" x14ac:dyDescent="0.3">
      <c r="A62" s="2">
        <v>42</v>
      </c>
      <c r="B62" s="2" t="s">
        <v>51</v>
      </c>
      <c r="C62" s="2" t="s">
        <v>52</v>
      </c>
      <c r="D62" s="2">
        <f>LEN(Table2[[#This Row],[NAME1]])</f>
        <v>4</v>
      </c>
      <c r="E62" s="2"/>
      <c r="F62" s="2"/>
      <c r="G62" s="2">
        <v>0</v>
      </c>
      <c r="H62" s="2">
        <v>100</v>
      </c>
      <c r="I62" s="2">
        <v>100</v>
      </c>
      <c r="J62" s="2">
        <v>1</v>
      </c>
      <c r="K62" s="2">
        <v>0</v>
      </c>
      <c r="L62" s="2">
        <v>0</v>
      </c>
      <c r="M62" s="2">
        <v>1.88</v>
      </c>
    </row>
    <row r="63" spans="1:13" x14ac:dyDescent="0.3">
      <c r="A63" s="2">
        <v>575</v>
      </c>
      <c r="B63" s="2" t="s">
        <v>717</v>
      </c>
      <c r="C63" s="2" t="s">
        <v>718</v>
      </c>
      <c r="D63" s="2">
        <f>LEN(Table2[[#This Row],[NAME1]])</f>
        <v>4</v>
      </c>
      <c r="E63" s="2"/>
      <c r="F63" s="2"/>
      <c r="G63" s="2">
        <v>0.141440543</v>
      </c>
      <c r="H63" s="2">
        <v>98</v>
      </c>
      <c r="I63" s="2">
        <v>100</v>
      </c>
      <c r="J63" s="2">
        <v>2</v>
      </c>
      <c r="K63" s="2">
        <v>0</v>
      </c>
      <c r="L63" s="2">
        <v>0</v>
      </c>
      <c r="M63" s="2">
        <v>2.11</v>
      </c>
    </row>
    <row r="64" spans="1:13" x14ac:dyDescent="0.3">
      <c r="A64" s="2">
        <v>656</v>
      </c>
      <c r="B64" s="2" t="s">
        <v>814</v>
      </c>
      <c r="C64" s="2" t="s">
        <v>815</v>
      </c>
      <c r="D64" s="2">
        <f>LEN(Table2[[#This Row],[NAME1]])</f>
        <v>4</v>
      </c>
      <c r="E64" s="2"/>
      <c r="F64" s="2"/>
      <c r="G64" s="2">
        <v>0</v>
      </c>
      <c r="H64" s="2">
        <v>100</v>
      </c>
      <c r="I64" s="2">
        <v>100</v>
      </c>
      <c r="J64" s="2">
        <v>1</v>
      </c>
      <c r="K64" s="2">
        <v>0</v>
      </c>
      <c r="L64" s="2">
        <v>0</v>
      </c>
      <c r="M64" s="2">
        <v>1.91</v>
      </c>
    </row>
    <row r="65" spans="1:13" x14ac:dyDescent="0.3">
      <c r="A65" s="2">
        <v>442</v>
      </c>
      <c r="B65" s="2" t="s">
        <v>541</v>
      </c>
      <c r="C65" s="2" t="s">
        <v>542</v>
      </c>
      <c r="D65" s="2">
        <f>LEN(Table2[[#This Row],[NAME1]])</f>
        <v>4</v>
      </c>
      <c r="E65" s="2"/>
      <c r="F65" s="2"/>
      <c r="G65" s="2">
        <v>0</v>
      </c>
      <c r="H65" s="2">
        <v>100</v>
      </c>
      <c r="I65" s="2">
        <v>100</v>
      </c>
      <c r="J65" s="2">
        <v>1</v>
      </c>
      <c r="K65" s="2">
        <v>0</v>
      </c>
      <c r="L65" s="2">
        <v>0</v>
      </c>
      <c r="M65" s="2">
        <v>2.36</v>
      </c>
    </row>
    <row r="66" spans="1:13" x14ac:dyDescent="0.3">
      <c r="A66" s="2">
        <v>148</v>
      </c>
      <c r="B66" s="2" t="s">
        <v>192</v>
      </c>
      <c r="C66" s="2" t="s">
        <v>193</v>
      </c>
      <c r="D66" s="2">
        <f>LEN(Table2[[#This Row],[NAME1]])</f>
        <v>4</v>
      </c>
      <c r="E66" s="2"/>
      <c r="F66" s="2"/>
      <c r="G66" s="2">
        <v>0</v>
      </c>
      <c r="H66" s="2">
        <v>100</v>
      </c>
      <c r="I66" s="2">
        <v>100</v>
      </c>
      <c r="J66" s="2">
        <v>1</v>
      </c>
      <c r="K66" s="2">
        <v>0</v>
      </c>
      <c r="L66" s="2">
        <v>0</v>
      </c>
      <c r="M66" s="2">
        <v>1.79</v>
      </c>
    </row>
    <row r="67" spans="1:13" x14ac:dyDescent="0.3">
      <c r="A67" s="2">
        <v>745</v>
      </c>
      <c r="B67" s="2" t="s">
        <v>913</v>
      </c>
      <c r="C67" s="2" t="s">
        <v>914</v>
      </c>
      <c r="D67" s="2">
        <f>LEN(Table2[[#This Row],[NAME1]])</f>
        <v>4</v>
      </c>
      <c r="E67" s="2"/>
      <c r="F67" s="2"/>
      <c r="G67" s="2">
        <v>0</v>
      </c>
      <c r="H67" s="2">
        <v>100</v>
      </c>
      <c r="I67" s="2">
        <v>99</v>
      </c>
      <c r="J67" s="2">
        <v>1</v>
      </c>
      <c r="K67" s="2">
        <v>1</v>
      </c>
      <c r="L67" s="2">
        <v>0</v>
      </c>
      <c r="M67" s="2">
        <v>2.87</v>
      </c>
    </row>
    <row r="68" spans="1:13" x14ac:dyDescent="0.3">
      <c r="A68" s="2">
        <v>411</v>
      </c>
      <c r="B68" s="2" t="s">
        <v>512</v>
      </c>
      <c r="C68" s="2" t="s">
        <v>513</v>
      </c>
      <c r="D68" s="2">
        <f>LEN(Table2[[#This Row],[NAME1]])</f>
        <v>4</v>
      </c>
      <c r="E68" s="2"/>
      <c r="F68" s="2"/>
      <c r="G68" s="2">
        <v>0.141440543</v>
      </c>
      <c r="H68" s="2">
        <v>98</v>
      </c>
      <c r="I68" s="2">
        <v>100</v>
      </c>
      <c r="J68" s="2">
        <v>2</v>
      </c>
      <c r="K68" s="2">
        <v>0</v>
      </c>
      <c r="L68" s="2">
        <v>0</v>
      </c>
      <c r="M68" s="2">
        <v>2.31</v>
      </c>
    </row>
    <row r="69" spans="1:13" x14ac:dyDescent="0.3">
      <c r="A69" s="2">
        <v>245</v>
      </c>
      <c r="B69" s="2" t="s">
        <v>307</v>
      </c>
      <c r="C69" s="2" t="s">
        <v>308</v>
      </c>
      <c r="D69" s="2">
        <f>LEN(Table2[[#This Row],[NAME1]])</f>
        <v>4</v>
      </c>
      <c r="E69" s="2"/>
      <c r="F69" s="2"/>
      <c r="G69" s="2">
        <v>0</v>
      </c>
      <c r="H69" s="2">
        <v>100</v>
      </c>
      <c r="I69" s="2">
        <v>100</v>
      </c>
      <c r="J69" s="2">
        <v>1</v>
      </c>
      <c r="K69" s="2">
        <v>0</v>
      </c>
      <c r="L69" s="2">
        <v>0</v>
      </c>
      <c r="M69" s="2">
        <v>1.96</v>
      </c>
    </row>
    <row r="70" spans="1:13" x14ac:dyDescent="0.3">
      <c r="A70" s="2">
        <v>536</v>
      </c>
      <c r="B70" s="2" t="s">
        <v>675</v>
      </c>
      <c r="C70" s="2" t="s">
        <v>676</v>
      </c>
      <c r="D70" s="2">
        <f>LEN(Table2[[#This Row],[NAME1]])</f>
        <v>4</v>
      </c>
      <c r="E70" s="2"/>
      <c r="F70" s="2"/>
      <c r="G70" s="2">
        <v>0.33494448700000001</v>
      </c>
      <c r="H70" s="2">
        <v>95</v>
      </c>
      <c r="I70" s="2">
        <v>100</v>
      </c>
      <c r="J70" s="2">
        <v>3</v>
      </c>
      <c r="K70" s="2">
        <v>0</v>
      </c>
      <c r="L70" s="2">
        <v>0</v>
      </c>
      <c r="M70" s="2">
        <v>1.898989899</v>
      </c>
    </row>
    <row r="71" spans="1:13" x14ac:dyDescent="0.3">
      <c r="A71" s="2">
        <v>612</v>
      </c>
      <c r="B71" s="2" t="s">
        <v>764</v>
      </c>
      <c r="C71" s="2" t="s">
        <v>765</v>
      </c>
      <c r="D71" s="2">
        <f>LEN(Table2[[#This Row],[NAME1]])</f>
        <v>4</v>
      </c>
      <c r="E71" s="2"/>
      <c r="F71" s="2"/>
      <c r="G71" s="2">
        <v>0</v>
      </c>
      <c r="H71" s="2">
        <v>100</v>
      </c>
      <c r="I71" s="2">
        <v>100</v>
      </c>
      <c r="J71" s="2">
        <v>1</v>
      </c>
      <c r="K71" s="2">
        <v>0</v>
      </c>
      <c r="L71" s="2">
        <v>0</v>
      </c>
      <c r="M71" s="2">
        <v>2.67</v>
      </c>
    </row>
    <row r="72" spans="1:13" x14ac:dyDescent="0.3">
      <c r="A72" s="2">
        <v>480</v>
      </c>
      <c r="B72" s="2" t="s">
        <v>593</v>
      </c>
      <c r="C72" s="2" t="s">
        <v>594</v>
      </c>
      <c r="D72" s="2">
        <f>LEN(Table2[[#This Row],[NAME1]])</f>
        <v>4</v>
      </c>
      <c r="E72" s="2"/>
      <c r="F72" s="2"/>
      <c r="G72" s="2">
        <v>0.24229218899999999</v>
      </c>
      <c r="H72" s="2">
        <v>96</v>
      </c>
      <c r="I72" s="2">
        <v>100</v>
      </c>
      <c r="J72" s="2">
        <v>2</v>
      </c>
      <c r="K72" s="2">
        <v>0</v>
      </c>
      <c r="L72" s="2">
        <v>0</v>
      </c>
      <c r="M72" s="2">
        <v>2.44</v>
      </c>
    </row>
    <row r="73" spans="1:13" x14ac:dyDescent="0.3">
      <c r="A73" s="2">
        <v>127</v>
      </c>
      <c r="B73" s="2" t="s">
        <v>162</v>
      </c>
      <c r="C73" s="2" t="s">
        <v>163</v>
      </c>
      <c r="D73" s="2">
        <f>LEN(Table2[[#This Row],[NAME1]])</f>
        <v>4</v>
      </c>
      <c r="E73" s="2"/>
      <c r="F73" s="2"/>
      <c r="G73" s="2">
        <v>0</v>
      </c>
      <c r="H73" s="2">
        <v>100</v>
      </c>
      <c r="I73" s="2">
        <v>96</v>
      </c>
      <c r="J73" s="2">
        <v>1</v>
      </c>
      <c r="K73" s="2">
        <v>1</v>
      </c>
      <c r="L73" s="2">
        <v>3</v>
      </c>
      <c r="M73" s="2">
        <v>1.79</v>
      </c>
    </row>
    <row r="74" spans="1:13" x14ac:dyDescent="0.3">
      <c r="A74" s="2">
        <v>67</v>
      </c>
      <c r="B74" s="2" t="s">
        <v>84</v>
      </c>
      <c r="C74" s="2" t="s">
        <v>85</v>
      </c>
      <c r="D74" s="2">
        <f>LEN(Table2[[#This Row],[NAME1]])</f>
        <v>4</v>
      </c>
      <c r="E74" s="2"/>
      <c r="F74" s="2"/>
      <c r="G74" s="2">
        <v>0.36592365100000002</v>
      </c>
      <c r="H74" s="2">
        <v>93</v>
      </c>
      <c r="I74" s="2">
        <v>100</v>
      </c>
      <c r="J74" s="2">
        <v>2</v>
      </c>
      <c r="K74" s="2">
        <v>0</v>
      </c>
      <c r="L74" s="2">
        <v>0</v>
      </c>
      <c r="M74" s="2">
        <v>1.81</v>
      </c>
    </row>
    <row r="75" spans="1:13" x14ac:dyDescent="0.3">
      <c r="A75" s="2">
        <v>302</v>
      </c>
      <c r="B75" s="2" t="s">
        <v>385</v>
      </c>
      <c r="C75" s="2" t="s">
        <v>386</v>
      </c>
      <c r="D75" s="2">
        <f>LEN(Table2[[#This Row],[NAME1]])</f>
        <v>4</v>
      </c>
      <c r="E75" s="2"/>
      <c r="F75" s="2"/>
      <c r="G75" s="2">
        <v>0</v>
      </c>
      <c r="H75" s="2">
        <v>100</v>
      </c>
      <c r="I75" s="2">
        <v>99</v>
      </c>
      <c r="J75" s="2">
        <v>1</v>
      </c>
      <c r="K75" s="2">
        <v>0</v>
      </c>
      <c r="L75" s="2">
        <v>1</v>
      </c>
      <c r="M75" s="2">
        <v>2.8</v>
      </c>
    </row>
    <row r="76" spans="1:13" x14ac:dyDescent="0.3">
      <c r="A76" s="2">
        <v>498</v>
      </c>
      <c r="B76" s="2" t="s">
        <v>617</v>
      </c>
      <c r="C76" s="2" t="s">
        <v>618</v>
      </c>
      <c r="D76" s="2">
        <f>LEN(Table2[[#This Row],[NAME1]])</f>
        <v>4</v>
      </c>
      <c r="E76" s="2"/>
      <c r="F76" s="2"/>
      <c r="G76" s="2">
        <v>0</v>
      </c>
      <c r="H76" s="2">
        <v>100</v>
      </c>
      <c r="I76" s="2">
        <v>99</v>
      </c>
      <c r="J76" s="2">
        <v>1</v>
      </c>
      <c r="K76" s="2">
        <v>0</v>
      </c>
      <c r="L76" s="2">
        <v>1</v>
      </c>
      <c r="M76" s="2">
        <v>1.52</v>
      </c>
    </row>
    <row r="77" spans="1:13" x14ac:dyDescent="0.3">
      <c r="A77" s="2">
        <v>622</v>
      </c>
      <c r="B77" s="2" t="s">
        <v>778</v>
      </c>
      <c r="C77" s="2" t="s">
        <v>779</v>
      </c>
      <c r="D77" s="2">
        <f>LEN(Table2[[#This Row],[NAME1]])</f>
        <v>4</v>
      </c>
      <c r="E77" s="2"/>
      <c r="F77" s="2"/>
      <c r="G77" s="2">
        <v>0.28229218900000003</v>
      </c>
      <c r="H77" s="2">
        <v>96</v>
      </c>
      <c r="I77" s="2">
        <v>100</v>
      </c>
      <c r="J77" s="2">
        <v>3</v>
      </c>
      <c r="K77" s="2">
        <v>0</v>
      </c>
      <c r="L77" s="2">
        <v>0</v>
      </c>
      <c r="M77" s="2">
        <v>2.06</v>
      </c>
    </row>
    <row r="78" spans="1:13" x14ac:dyDescent="0.3">
      <c r="A78" s="2">
        <v>570</v>
      </c>
      <c r="B78" s="2" t="s">
        <v>711</v>
      </c>
      <c r="C78" s="2" t="s">
        <v>712</v>
      </c>
      <c r="D78" s="2">
        <f>LEN(Table2[[#This Row],[NAME1]])</f>
        <v>4</v>
      </c>
      <c r="E78" s="2"/>
      <c r="F78" s="2"/>
      <c r="G78" s="2">
        <v>0</v>
      </c>
      <c r="H78" s="2">
        <v>100</v>
      </c>
      <c r="I78" s="2">
        <v>99</v>
      </c>
      <c r="J78" s="2">
        <v>1</v>
      </c>
      <c r="K78" s="2">
        <v>0</v>
      </c>
      <c r="L78" s="2">
        <v>1</v>
      </c>
      <c r="M78" s="2">
        <v>2.5299999999999998</v>
      </c>
    </row>
    <row r="79" spans="1:13" x14ac:dyDescent="0.3">
      <c r="A79" s="2">
        <v>226</v>
      </c>
      <c r="B79" s="2" t="s">
        <v>289</v>
      </c>
      <c r="C79" s="2" t="s">
        <v>290</v>
      </c>
      <c r="D79" s="2">
        <f>LEN(Table2[[#This Row],[NAME1]])</f>
        <v>4</v>
      </c>
      <c r="E79" s="2"/>
      <c r="F79" s="2"/>
      <c r="G79" s="2">
        <v>0.195909271</v>
      </c>
      <c r="H79" s="2">
        <v>96.969696970000001</v>
      </c>
      <c r="I79" s="2">
        <v>99</v>
      </c>
      <c r="J79" s="2">
        <v>2</v>
      </c>
      <c r="K79" s="2">
        <v>0</v>
      </c>
      <c r="L79" s="2">
        <v>1</v>
      </c>
      <c r="M79" s="2">
        <v>2.76</v>
      </c>
    </row>
    <row r="80" spans="1:13" x14ac:dyDescent="0.3">
      <c r="A80" s="2">
        <v>319</v>
      </c>
      <c r="B80" s="2" t="s">
        <v>401</v>
      </c>
      <c r="C80" s="2" t="s">
        <v>402</v>
      </c>
      <c r="D80" s="2">
        <f>LEN(Table2[[#This Row],[NAME1]])</f>
        <v>4</v>
      </c>
      <c r="E80" s="2"/>
      <c r="F80" s="2"/>
      <c r="G80" s="2">
        <v>0</v>
      </c>
      <c r="H80" s="2">
        <v>100</v>
      </c>
      <c r="I80" s="2">
        <v>100</v>
      </c>
      <c r="J80" s="2">
        <v>1</v>
      </c>
      <c r="K80" s="2">
        <v>0</v>
      </c>
      <c r="L80" s="2">
        <v>0</v>
      </c>
      <c r="M80" s="2">
        <v>2.65</v>
      </c>
    </row>
    <row r="81" spans="1:13" x14ac:dyDescent="0.3">
      <c r="A81" s="2">
        <v>142</v>
      </c>
      <c r="B81" s="2" t="s">
        <v>182</v>
      </c>
      <c r="C81" s="2" t="s">
        <v>183</v>
      </c>
      <c r="D81" s="2">
        <f>LEN(Table2[[#This Row],[NAME1]])</f>
        <v>4</v>
      </c>
      <c r="E81" s="2"/>
      <c r="F81" s="2"/>
      <c r="G81" s="2">
        <v>0</v>
      </c>
      <c r="H81" s="2">
        <v>100</v>
      </c>
      <c r="I81" s="2">
        <v>98</v>
      </c>
      <c r="J81" s="2">
        <v>1</v>
      </c>
      <c r="K81" s="2">
        <v>1</v>
      </c>
      <c r="L81" s="2">
        <v>1</v>
      </c>
      <c r="M81" s="2">
        <v>1.71</v>
      </c>
    </row>
    <row r="82" spans="1:13" x14ac:dyDescent="0.3">
      <c r="A82" s="2">
        <v>68</v>
      </c>
      <c r="B82" s="2" t="s">
        <v>86</v>
      </c>
      <c r="C82" s="2" t="s">
        <v>87</v>
      </c>
      <c r="D82" s="2">
        <f>LEN(Table2[[#This Row],[NAME1]])</f>
        <v>4</v>
      </c>
      <c r="E82" s="2"/>
      <c r="F82" s="2"/>
      <c r="G82" s="2">
        <v>0</v>
      </c>
      <c r="H82" s="2">
        <v>100</v>
      </c>
      <c r="I82" s="2">
        <v>99</v>
      </c>
      <c r="J82" s="2">
        <v>1</v>
      </c>
      <c r="K82" s="2">
        <v>0</v>
      </c>
      <c r="L82" s="2">
        <v>1</v>
      </c>
      <c r="M82" s="2">
        <v>1.96</v>
      </c>
    </row>
    <row r="83" spans="1:13" x14ac:dyDescent="0.3">
      <c r="A83" s="2">
        <v>287</v>
      </c>
      <c r="B83" s="2" t="s">
        <v>361</v>
      </c>
      <c r="C83" s="2" t="s">
        <v>362</v>
      </c>
      <c r="D83" s="2">
        <f>LEN(Table2[[#This Row],[NAME1]])</f>
        <v>4</v>
      </c>
      <c r="E83" s="2"/>
      <c r="F83" s="2"/>
      <c r="G83" s="2">
        <v>0.33757642300000001</v>
      </c>
      <c r="H83" s="2">
        <v>94.949494950000002</v>
      </c>
      <c r="I83" s="2">
        <v>99</v>
      </c>
      <c r="J83" s="2">
        <v>3</v>
      </c>
      <c r="K83" s="2">
        <v>0</v>
      </c>
      <c r="L83" s="2">
        <v>1</v>
      </c>
      <c r="M83" s="2">
        <v>1.82</v>
      </c>
    </row>
    <row r="84" spans="1:13" x14ac:dyDescent="0.3">
      <c r="A84" s="2">
        <v>235</v>
      </c>
      <c r="B84" s="2" t="s">
        <v>295</v>
      </c>
      <c r="C84" s="2" t="s">
        <v>296</v>
      </c>
      <c r="D84" s="2">
        <f>LEN(Table2[[#This Row],[NAME1]])</f>
        <v>5</v>
      </c>
      <c r="E84" s="2"/>
      <c r="F84" s="2"/>
      <c r="G84" s="2">
        <v>0.33228663000000003</v>
      </c>
      <c r="H84" s="2">
        <v>93.877551019999999</v>
      </c>
      <c r="I84" s="2">
        <v>98</v>
      </c>
      <c r="J84" s="2">
        <v>2</v>
      </c>
      <c r="K84" s="2">
        <v>1</v>
      </c>
      <c r="L84" s="2">
        <v>1</v>
      </c>
      <c r="M84" s="2">
        <v>1.81</v>
      </c>
    </row>
    <row r="85" spans="1:13" x14ac:dyDescent="0.3">
      <c r="A85" s="2">
        <v>341</v>
      </c>
      <c r="B85" s="2" t="s">
        <v>430</v>
      </c>
      <c r="C85" s="2" t="s">
        <v>431</v>
      </c>
      <c r="D85" s="2">
        <f>LEN(Table2[[#This Row],[NAME1]])</f>
        <v>5</v>
      </c>
      <c r="E85" s="2"/>
      <c r="F85" s="2"/>
      <c r="G85" s="2">
        <v>0</v>
      </c>
      <c r="H85" s="2">
        <v>100</v>
      </c>
      <c r="I85" s="2">
        <v>98</v>
      </c>
      <c r="J85" s="2">
        <v>1</v>
      </c>
      <c r="K85" s="2">
        <v>2</v>
      </c>
      <c r="L85" s="2">
        <v>0</v>
      </c>
      <c r="M85" s="2">
        <v>2.73</v>
      </c>
    </row>
    <row r="86" spans="1:13" x14ac:dyDescent="0.3">
      <c r="A86" s="2">
        <v>405</v>
      </c>
      <c r="B86" s="2" t="s">
        <v>504</v>
      </c>
      <c r="C86" s="2" t="s">
        <v>505</v>
      </c>
      <c r="D86" s="2">
        <f>LEN(Table2[[#This Row],[NAME1]])</f>
        <v>5</v>
      </c>
      <c r="E86" s="2"/>
      <c r="F86" s="2"/>
      <c r="G86" s="2">
        <v>0</v>
      </c>
      <c r="H86" s="2">
        <v>100</v>
      </c>
      <c r="I86" s="2">
        <v>100</v>
      </c>
      <c r="J86" s="2">
        <v>1</v>
      </c>
      <c r="K86" s="2">
        <v>0</v>
      </c>
      <c r="L86" s="2">
        <v>0</v>
      </c>
      <c r="M86" s="2">
        <v>2</v>
      </c>
    </row>
    <row r="87" spans="1:13" x14ac:dyDescent="0.3">
      <c r="A87" s="2">
        <v>143</v>
      </c>
      <c r="B87" s="2" t="s">
        <v>184</v>
      </c>
      <c r="C87" s="2" t="s">
        <v>185</v>
      </c>
      <c r="D87" s="2">
        <f>LEN(Table2[[#This Row],[NAME1]])</f>
        <v>5</v>
      </c>
      <c r="E87" s="2"/>
      <c r="F87" s="2"/>
      <c r="G87" s="2">
        <v>0.36592365100000002</v>
      </c>
      <c r="H87" s="2">
        <v>93</v>
      </c>
      <c r="I87" s="2">
        <v>100</v>
      </c>
      <c r="J87" s="2">
        <v>2</v>
      </c>
      <c r="K87" s="2">
        <v>0</v>
      </c>
      <c r="L87" s="2">
        <v>0</v>
      </c>
      <c r="M87" s="2">
        <v>2.67</v>
      </c>
    </row>
    <row r="88" spans="1:13" x14ac:dyDescent="0.3">
      <c r="A88" s="2">
        <v>38</v>
      </c>
      <c r="B88" s="2" t="s">
        <v>45</v>
      </c>
      <c r="C88" s="2" t="s">
        <v>46</v>
      </c>
      <c r="D88" s="2">
        <f>LEN(Table2[[#This Row],[NAME1]])</f>
        <v>5</v>
      </c>
      <c r="E88" s="2"/>
      <c r="F88" s="2"/>
      <c r="G88" s="2">
        <v>0</v>
      </c>
      <c r="H88" s="2">
        <v>100</v>
      </c>
      <c r="I88" s="2">
        <v>98</v>
      </c>
      <c r="J88" s="2">
        <v>1</v>
      </c>
      <c r="K88" s="2">
        <v>0</v>
      </c>
      <c r="L88" s="2">
        <v>2</v>
      </c>
      <c r="M88" s="2">
        <v>2.21</v>
      </c>
    </row>
    <row r="89" spans="1:13" x14ac:dyDescent="0.3">
      <c r="A89" s="2">
        <v>693</v>
      </c>
      <c r="B89" s="2" t="s">
        <v>857</v>
      </c>
      <c r="C89" s="2" t="s">
        <v>858</v>
      </c>
      <c r="D89" s="2">
        <f>LEN(Table2[[#This Row],[NAME1]])</f>
        <v>5</v>
      </c>
      <c r="E89" s="2"/>
      <c r="F89" s="2"/>
      <c r="G89" s="2">
        <v>0</v>
      </c>
      <c r="H89" s="2">
        <v>100</v>
      </c>
      <c r="I89" s="2">
        <v>100</v>
      </c>
      <c r="J89" s="2">
        <v>1</v>
      </c>
      <c r="K89" s="2">
        <v>0</v>
      </c>
      <c r="L89" s="2">
        <v>0</v>
      </c>
      <c r="M89" s="2">
        <v>1.79</v>
      </c>
    </row>
    <row r="90" spans="1:13" x14ac:dyDescent="0.3">
      <c r="A90" s="2">
        <v>497</v>
      </c>
      <c r="B90" s="2" t="s">
        <v>615</v>
      </c>
      <c r="C90" s="2" t="s">
        <v>616</v>
      </c>
      <c r="D90" s="2">
        <f>LEN(Table2[[#This Row],[NAME1]])</f>
        <v>5</v>
      </c>
      <c r="E90" s="2"/>
      <c r="F90" s="2"/>
      <c r="G90" s="2">
        <v>0.51275311099999998</v>
      </c>
      <c r="H90" s="2">
        <v>90.816326529999998</v>
      </c>
      <c r="I90" s="2">
        <v>98</v>
      </c>
      <c r="J90" s="2">
        <v>3</v>
      </c>
      <c r="K90" s="2">
        <v>1</v>
      </c>
      <c r="L90" s="2">
        <v>1</v>
      </c>
      <c r="M90" s="2">
        <v>2.0099999999999998</v>
      </c>
    </row>
    <row r="91" spans="1:13" x14ac:dyDescent="0.3">
      <c r="A91" s="2">
        <v>297</v>
      </c>
      <c r="B91" s="2" t="s">
        <v>377</v>
      </c>
      <c r="C91" s="2" t="s">
        <v>378</v>
      </c>
      <c r="D91" s="2">
        <f>LEN(Table2[[#This Row],[NAME1]])</f>
        <v>5</v>
      </c>
      <c r="E91" s="2"/>
      <c r="F91" s="2"/>
      <c r="G91" s="2">
        <v>0</v>
      </c>
      <c r="H91" s="2">
        <v>100</v>
      </c>
      <c r="I91" s="2">
        <v>100</v>
      </c>
      <c r="J91" s="2">
        <v>1</v>
      </c>
      <c r="K91" s="2">
        <v>0</v>
      </c>
      <c r="L91" s="2">
        <v>0</v>
      </c>
      <c r="M91" s="2">
        <v>2.59</v>
      </c>
    </row>
    <row r="92" spans="1:13" x14ac:dyDescent="0.3">
      <c r="A92" s="2">
        <v>185</v>
      </c>
      <c r="B92" s="2" t="s">
        <v>238</v>
      </c>
      <c r="C92" s="2" t="s">
        <v>239</v>
      </c>
      <c r="D92" s="2">
        <f>LEN(Table2[[#This Row],[NAME1]])</f>
        <v>5</v>
      </c>
      <c r="E92" s="2"/>
      <c r="F92" s="2"/>
      <c r="G92" s="2">
        <v>0.194391858</v>
      </c>
      <c r="H92" s="2">
        <v>97</v>
      </c>
      <c r="I92" s="2">
        <v>100</v>
      </c>
      <c r="J92" s="2">
        <v>2</v>
      </c>
      <c r="K92" s="2">
        <v>0</v>
      </c>
      <c r="L92" s="2">
        <v>0</v>
      </c>
      <c r="M92" s="2">
        <v>1.7</v>
      </c>
    </row>
    <row r="93" spans="1:13" x14ac:dyDescent="0.3">
      <c r="A93" s="2">
        <v>449</v>
      </c>
      <c r="B93" s="2" t="s">
        <v>553</v>
      </c>
      <c r="C93" s="2" t="s">
        <v>554</v>
      </c>
      <c r="D93" s="2">
        <f>LEN(Table2[[#This Row],[NAME1]])</f>
        <v>5</v>
      </c>
      <c r="E93" s="2"/>
      <c r="F93" s="2"/>
      <c r="G93" s="2">
        <v>0</v>
      </c>
      <c r="H93" s="2">
        <v>100</v>
      </c>
      <c r="I93" s="2">
        <v>100</v>
      </c>
      <c r="J93" s="2">
        <v>1</v>
      </c>
      <c r="K93" s="2">
        <v>0</v>
      </c>
      <c r="L93" s="2">
        <v>0</v>
      </c>
      <c r="M93" s="2">
        <v>1.919191919</v>
      </c>
    </row>
    <row r="94" spans="1:13" x14ac:dyDescent="0.3">
      <c r="A94" s="2">
        <v>159</v>
      </c>
      <c r="B94" s="2" t="s">
        <v>208</v>
      </c>
      <c r="C94" s="2" t="s">
        <v>209</v>
      </c>
      <c r="D94" s="2">
        <f>LEN(Table2[[#This Row],[NAME1]])</f>
        <v>5</v>
      </c>
      <c r="E94" s="2"/>
      <c r="F94" s="2"/>
      <c r="G94" s="2">
        <v>0</v>
      </c>
      <c r="H94" s="2">
        <v>100</v>
      </c>
      <c r="I94" s="2">
        <v>100</v>
      </c>
      <c r="J94" s="2">
        <v>1</v>
      </c>
      <c r="K94" s="2">
        <v>0</v>
      </c>
      <c r="L94" s="2">
        <v>0</v>
      </c>
      <c r="M94" s="2">
        <v>2.58</v>
      </c>
    </row>
    <row r="95" spans="1:13" x14ac:dyDescent="0.3">
      <c r="A95" s="2">
        <v>583</v>
      </c>
      <c r="B95" s="2" t="s">
        <v>728</v>
      </c>
      <c r="C95" s="2" t="s">
        <v>729</v>
      </c>
      <c r="D95" s="2">
        <f>LEN(Table2[[#This Row],[NAME1]])</f>
        <v>5</v>
      </c>
      <c r="E95" s="2"/>
      <c r="F95" s="2"/>
      <c r="G95" s="2">
        <v>0.24229218899999999</v>
      </c>
      <c r="H95" s="2">
        <v>96</v>
      </c>
      <c r="I95" s="2">
        <v>100</v>
      </c>
      <c r="J95" s="2">
        <v>2</v>
      </c>
      <c r="K95" s="2">
        <v>0</v>
      </c>
      <c r="L95" s="2">
        <v>0</v>
      </c>
      <c r="M95" s="2">
        <v>2.89</v>
      </c>
    </row>
    <row r="96" spans="1:13" x14ac:dyDescent="0.3">
      <c r="A96" s="2">
        <v>53</v>
      </c>
      <c r="B96" s="2" t="s">
        <v>61</v>
      </c>
      <c r="C96" s="2" t="s">
        <v>62</v>
      </c>
      <c r="D96" s="2">
        <f>LEN(Table2[[#This Row],[NAME1]])</f>
        <v>5</v>
      </c>
      <c r="E96" s="2"/>
      <c r="F96" s="2"/>
      <c r="G96" s="2">
        <v>0</v>
      </c>
      <c r="H96" s="2">
        <v>100</v>
      </c>
      <c r="I96" s="2">
        <v>100</v>
      </c>
      <c r="J96" s="2">
        <v>1</v>
      </c>
      <c r="K96" s="2">
        <v>0</v>
      </c>
      <c r="L96" s="2">
        <v>0</v>
      </c>
      <c r="M96" s="2">
        <v>1.63</v>
      </c>
    </row>
    <row r="97" spans="1:13" x14ac:dyDescent="0.3">
      <c r="A97" s="2">
        <v>388</v>
      </c>
      <c r="B97" s="2" t="s">
        <v>484</v>
      </c>
      <c r="C97" s="2" t="s">
        <v>485</v>
      </c>
      <c r="D97" s="2">
        <f>LEN(Table2[[#This Row],[NAME1]])</f>
        <v>5</v>
      </c>
      <c r="E97" s="2"/>
      <c r="F97" s="2"/>
      <c r="G97" s="2">
        <v>0.194391858</v>
      </c>
      <c r="H97" s="2">
        <v>97</v>
      </c>
      <c r="I97" s="2">
        <v>100</v>
      </c>
      <c r="J97" s="2">
        <v>2</v>
      </c>
      <c r="K97" s="2">
        <v>0</v>
      </c>
      <c r="L97" s="2">
        <v>0</v>
      </c>
      <c r="M97" s="2">
        <v>2.09</v>
      </c>
    </row>
    <row r="98" spans="1:13" x14ac:dyDescent="0.3">
      <c r="A98" s="2">
        <v>386</v>
      </c>
      <c r="B98" s="2" t="s">
        <v>480</v>
      </c>
      <c r="C98" s="2" t="s">
        <v>481</v>
      </c>
      <c r="D98" s="2">
        <f>LEN(Table2[[#This Row],[NAME1]])</f>
        <v>5</v>
      </c>
      <c r="E98" s="2"/>
      <c r="F98" s="2"/>
      <c r="G98" s="2">
        <v>0</v>
      </c>
      <c r="H98" s="2">
        <v>100</v>
      </c>
      <c r="I98" s="2">
        <v>100</v>
      </c>
      <c r="J98" s="2">
        <v>1</v>
      </c>
      <c r="K98" s="2">
        <v>0</v>
      </c>
      <c r="L98" s="2">
        <v>0</v>
      </c>
      <c r="M98" s="2">
        <v>1.65</v>
      </c>
    </row>
    <row r="99" spans="1:13" x14ac:dyDescent="0.3">
      <c r="A99" s="2">
        <v>64</v>
      </c>
      <c r="B99" s="2" t="s">
        <v>80</v>
      </c>
      <c r="C99" s="2" t="s">
        <v>81</v>
      </c>
      <c r="D99" s="2">
        <f>LEN(Table2[[#This Row],[NAME1]])</f>
        <v>5</v>
      </c>
      <c r="E99" s="2"/>
      <c r="F99" s="2"/>
      <c r="G99" s="2">
        <v>0</v>
      </c>
      <c r="H99" s="2">
        <v>100</v>
      </c>
      <c r="I99" s="2">
        <v>98</v>
      </c>
      <c r="J99" s="2">
        <v>1</v>
      </c>
      <c r="K99" s="2">
        <v>1</v>
      </c>
      <c r="L99" s="2">
        <v>1</v>
      </c>
      <c r="M99" s="2">
        <v>1.6</v>
      </c>
    </row>
    <row r="100" spans="1:13" x14ac:dyDescent="0.3">
      <c r="A100" s="2">
        <v>545</v>
      </c>
      <c r="B100" s="2" t="s">
        <v>685</v>
      </c>
      <c r="C100" s="2" t="s">
        <v>686</v>
      </c>
      <c r="D100" s="2">
        <f>LEN(Table2[[#This Row],[NAME1]])</f>
        <v>5</v>
      </c>
      <c r="E100" s="2"/>
      <c r="F100" s="2"/>
      <c r="G100" s="2">
        <v>0</v>
      </c>
      <c r="H100" s="2">
        <v>100</v>
      </c>
      <c r="I100" s="2">
        <v>99</v>
      </c>
      <c r="J100" s="2">
        <v>1</v>
      </c>
      <c r="K100" s="2">
        <v>0</v>
      </c>
      <c r="L100" s="2">
        <v>1</v>
      </c>
      <c r="M100" s="2">
        <v>2.1800000000000002</v>
      </c>
    </row>
    <row r="101" spans="1:13" x14ac:dyDescent="0.3">
      <c r="A101" s="2">
        <v>473</v>
      </c>
      <c r="B101" s="2" t="s">
        <v>585</v>
      </c>
      <c r="C101" s="2" t="s">
        <v>586</v>
      </c>
      <c r="D101" s="2">
        <f>LEN(Table2[[#This Row],[NAME1]])</f>
        <v>5</v>
      </c>
      <c r="E101" s="2"/>
      <c r="F101" s="2"/>
      <c r="G101" s="2">
        <v>0</v>
      </c>
      <c r="H101" s="2">
        <v>100</v>
      </c>
      <c r="I101" s="2">
        <v>99</v>
      </c>
      <c r="J101" s="2">
        <v>1</v>
      </c>
      <c r="K101" s="2">
        <v>0</v>
      </c>
      <c r="L101" s="2">
        <v>1</v>
      </c>
      <c r="M101" s="2">
        <v>1.63</v>
      </c>
    </row>
    <row r="102" spans="1:13" x14ac:dyDescent="0.3">
      <c r="A102" s="2">
        <v>184</v>
      </c>
      <c r="B102" s="2" t="s">
        <v>236</v>
      </c>
      <c r="C102" s="2" t="s">
        <v>237</v>
      </c>
      <c r="D102" s="2">
        <f>LEN(Table2[[#This Row],[NAME1]])</f>
        <v>5</v>
      </c>
      <c r="E102" s="2"/>
      <c r="F102" s="2"/>
      <c r="G102" s="2">
        <v>0</v>
      </c>
      <c r="H102" s="2">
        <v>100</v>
      </c>
      <c r="I102" s="2">
        <v>99</v>
      </c>
      <c r="J102" s="2">
        <v>1</v>
      </c>
      <c r="K102" s="2">
        <v>0</v>
      </c>
      <c r="L102" s="2">
        <v>1</v>
      </c>
      <c r="M102" s="2">
        <v>2.88</v>
      </c>
    </row>
    <row r="103" spans="1:13" x14ac:dyDescent="0.3">
      <c r="A103" s="2">
        <v>305</v>
      </c>
      <c r="B103" s="2" t="s">
        <v>391</v>
      </c>
      <c r="C103" s="2" t="s">
        <v>392</v>
      </c>
      <c r="D103" s="2">
        <f>LEN(Table2[[#This Row],[NAME1]])</f>
        <v>5</v>
      </c>
      <c r="E103" s="2"/>
      <c r="F103" s="2"/>
      <c r="G103" s="2">
        <v>0</v>
      </c>
      <c r="H103" s="2">
        <v>100</v>
      </c>
      <c r="I103" s="2">
        <v>100</v>
      </c>
      <c r="J103" s="2">
        <v>1</v>
      </c>
      <c r="K103" s="2">
        <v>0</v>
      </c>
      <c r="L103" s="2">
        <v>0</v>
      </c>
      <c r="M103" s="2">
        <v>2.0808080809999998</v>
      </c>
    </row>
    <row r="104" spans="1:13" x14ac:dyDescent="0.3">
      <c r="A104" s="2">
        <v>523</v>
      </c>
      <c r="B104" s="2" t="s">
        <v>659</v>
      </c>
      <c r="C104" s="2" t="s">
        <v>660</v>
      </c>
      <c r="D104" s="2">
        <f>LEN(Table2[[#This Row],[NAME1]])</f>
        <v>5</v>
      </c>
      <c r="E104" s="2"/>
      <c r="F104" s="2"/>
      <c r="G104" s="2">
        <v>0</v>
      </c>
      <c r="H104" s="2">
        <v>100</v>
      </c>
      <c r="I104" s="2">
        <v>100</v>
      </c>
      <c r="J104" s="2">
        <v>1</v>
      </c>
      <c r="K104" s="2">
        <v>0</v>
      </c>
      <c r="L104" s="2">
        <v>0</v>
      </c>
      <c r="M104" s="2">
        <v>2.02</v>
      </c>
    </row>
    <row r="105" spans="1:13" x14ac:dyDescent="0.3">
      <c r="A105" s="2">
        <v>354</v>
      </c>
      <c r="B105" s="2" t="s">
        <v>448</v>
      </c>
      <c r="C105" s="2" t="s">
        <v>449</v>
      </c>
      <c r="D105" s="2">
        <f>LEN(Table2[[#This Row],[NAME1]])</f>
        <v>5</v>
      </c>
      <c r="E105" s="2"/>
      <c r="F105" s="2"/>
      <c r="G105" s="2">
        <v>0.291548959</v>
      </c>
      <c r="H105" s="2">
        <v>95.833333330000002</v>
      </c>
      <c r="I105" s="2">
        <v>96</v>
      </c>
      <c r="J105" s="2">
        <v>3</v>
      </c>
      <c r="K105" s="2">
        <v>1</v>
      </c>
      <c r="L105" s="2">
        <v>3</v>
      </c>
      <c r="M105" s="2">
        <v>2.62</v>
      </c>
    </row>
    <row r="106" spans="1:13" x14ac:dyDescent="0.3">
      <c r="A106" s="2">
        <v>661</v>
      </c>
      <c r="B106" s="2" t="s">
        <v>818</v>
      </c>
      <c r="C106" s="2" t="s">
        <v>819</v>
      </c>
      <c r="D106" s="2">
        <f>LEN(Table2[[#This Row],[NAME1]])</f>
        <v>5</v>
      </c>
      <c r="E106" s="2"/>
      <c r="F106" s="2"/>
      <c r="G106" s="2">
        <v>0</v>
      </c>
      <c r="H106" s="2">
        <v>100</v>
      </c>
      <c r="I106" s="2">
        <v>99</v>
      </c>
      <c r="J106" s="2">
        <v>1</v>
      </c>
      <c r="K106" s="2">
        <v>0</v>
      </c>
      <c r="L106" s="2">
        <v>1</v>
      </c>
      <c r="M106" s="2">
        <v>2.11</v>
      </c>
    </row>
    <row r="107" spans="1:13" x14ac:dyDescent="0.3">
      <c r="A107" s="2">
        <v>437</v>
      </c>
      <c r="B107" s="2" t="s">
        <v>535</v>
      </c>
      <c r="C107" s="2" t="s">
        <v>536</v>
      </c>
      <c r="D107" s="2">
        <f>LEN(Table2[[#This Row],[NAME1]])</f>
        <v>5</v>
      </c>
      <c r="E107" s="2"/>
      <c r="F107" s="2"/>
      <c r="G107" s="2">
        <v>0</v>
      </c>
      <c r="H107" s="2">
        <v>100</v>
      </c>
      <c r="I107" s="2">
        <v>94</v>
      </c>
      <c r="J107" s="2">
        <v>1</v>
      </c>
      <c r="K107" s="2">
        <v>5</v>
      </c>
      <c r="L107" s="2">
        <v>1</v>
      </c>
      <c r="M107" s="2">
        <v>2.48</v>
      </c>
    </row>
    <row r="108" spans="1:13" x14ac:dyDescent="0.3">
      <c r="A108" s="2">
        <v>327</v>
      </c>
      <c r="B108" s="2" t="s">
        <v>411</v>
      </c>
      <c r="C108" s="2" t="s">
        <v>412</v>
      </c>
      <c r="D108" s="2">
        <f>LEN(Table2[[#This Row],[NAME1]])</f>
        <v>5</v>
      </c>
      <c r="E108" s="2"/>
      <c r="F108" s="2"/>
      <c r="G108" s="2">
        <v>0</v>
      </c>
      <c r="H108" s="2">
        <v>100</v>
      </c>
      <c r="I108" s="2">
        <v>100</v>
      </c>
      <c r="J108" s="2">
        <v>1</v>
      </c>
      <c r="K108" s="2">
        <v>0</v>
      </c>
      <c r="L108" s="2">
        <v>0</v>
      </c>
      <c r="M108" s="2">
        <v>2.33</v>
      </c>
    </row>
    <row r="109" spans="1:13" x14ac:dyDescent="0.3">
      <c r="A109" s="2">
        <v>379</v>
      </c>
      <c r="B109" s="2" t="s">
        <v>474</v>
      </c>
      <c r="C109" s="2" t="s">
        <v>475</v>
      </c>
      <c r="D109" s="2">
        <f>LEN(Table2[[#This Row],[NAME1]])</f>
        <v>5</v>
      </c>
      <c r="E109" s="2"/>
      <c r="F109" s="2"/>
      <c r="G109" s="2">
        <v>0</v>
      </c>
      <c r="H109" s="2">
        <v>100</v>
      </c>
      <c r="I109" s="2">
        <v>99</v>
      </c>
      <c r="J109" s="2">
        <v>1</v>
      </c>
      <c r="K109" s="2">
        <v>1</v>
      </c>
      <c r="L109" s="2">
        <v>0</v>
      </c>
      <c r="M109" s="2">
        <v>2.6464646460000001</v>
      </c>
    </row>
    <row r="110" spans="1:13" x14ac:dyDescent="0.3">
      <c r="A110" s="2">
        <v>446</v>
      </c>
      <c r="B110" s="2" t="s">
        <v>549</v>
      </c>
      <c r="C110" s="2" t="s">
        <v>550</v>
      </c>
      <c r="D110" s="2">
        <f>LEN(Table2[[#This Row],[NAME1]])</f>
        <v>5</v>
      </c>
      <c r="E110" s="2"/>
      <c r="F110" s="2"/>
      <c r="G110" s="2">
        <v>0</v>
      </c>
      <c r="H110" s="2">
        <v>100</v>
      </c>
      <c r="I110" s="2">
        <v>98</v>
      </c>
      <c r="J110" s="2">
        <v>1</v>
      </c>
      <c r="K110" s="2">
        <v>0</v>
      </c>
      <c r="L110" s="2">
        <v>2</v>
      </c>
      <c r="M110" s="2">
        <v>2.57</v>
      </c>
    </row>
    <row r="111" spans="1:13" x14ac:dyDescent="0.3">
      <c r="A111" s="2">
        <v>487</v>
      </c>
      <c r="B111" s="2" t="s">
        <v>601</v>
      </c>
      <c r="C111" s="2" t="s">
        <v>602</v>
      </c>
      <c r="D111" s="2">
        <f>LEN(Table2[[#This Row],[NAME1]])</f>
        <v>5</v>
      </c>
      <c r="E111" s="2"/>
      <c r="F111" s="2"/>
      <c r="G111" s="2">
        <v>0</v>
      </c>
      <c r="H111" s="2">
        <v>100</v>
      </c>
      <c r="I111" s="2">
        <v>98</v>
      </c>
      <c r="J111" s="2">
        <v>1</v>
      </c>
      <c r="K111" s="2">
        <v>1</v>
      </c>
      <c r="L111" s="2">
        <v>1</v>
      </c>
      <c r="M111" s="2">
        <v>2.5299999999999998</v>
      </c>
    </row>
    <row r="112" spans="1:13" x14ac:dyDescent="0.3">
      <c r="A112" s="2">
        <v>528</v>
      </c>
      <c r="B112" s="2" t="s">
        <v>665</v>
      </c>
      <c r="C112" s="2" t="s">
        <v>666</v>
      </c>
      <c r="D112" s="2">
        <f>LEN(Table2[[#This Row],[NAME1]])</f>
        <v>5</v>
      </c>
      <c r="E112" s="2"/>
      <c r="F112" s="2"/>
      <c r="G112" s="2">
        <v>0</v>
      </c>
      <c r="H112" s="2">
        <v>100</v>
      </c>
      <c r="I112" s="2">
        <v>99</v>
      </c>
      <c r="J112" s="2">
        <v>1</v>
      </c>
      <c r="K112" s="2">
        <v>0</v>
      </c>
      <c r="L112" s="2">
        <v>1</v>
      </c>
      <c r="M112" s="2">
        <v>2.63</v>
      </c>
    </row>
    <row r="113" spans="1:13" x14ac:dyDescent="0.3">
      <c r="A113" s="2">
        <v>485</v>
      </c>
      <c r="B113" s="2" t="s">
        <v>599</v>
      </c>
      <c r="C113" s="2" t="s">
        <v>600</v>
      </c>
      <c r="D113" s="2">
        <f>LEN(Table2[[#This Row],[NAME1]])</f>
        <v>5</v>
      </c>
      <c r="E113" s="2"/>
      <c r="F113" s="2"/>
      <c r="G113" s="2">
        <v>0.48582821300000001</v>
      </c>
      <c r="H113" s="2">
        <v>91.919191920000003</v>
      </c>
      <c r="I113" s="2">
        <v>99</v>
      </c>
      <c r="J113" s="2">
        <v>3</v>
      </c>
      <c r="K113" s="2">
        <v>1</v>
      </c>
      <c r="L113" s="2">
        <v>0</v>
      </c>
      <c r="M113" s="2">
        <v>1.57</v>
      </c>
    </row>
    <row r="114" spans="1:13" x14ac:dyDescent="0.3">
      <c r="A114" s="2">
        <v>358</v>
      </c>
      <c r="B114" s="2" t="s">
        <v>452</v>
      </c>
      <c r="C114" s="2" t="s">
        <v>453</v>
      </c>
      <c r="D114" s="2">
        <f>LEN(Table2[[#This Row],[NAME1]])</f>
        <v>5</v>
      </c>
      <c r="E114" s="2"/>
      <c r="F114" s="2"/>
      <c r="G114" s="2">
        <v>0</v>
      </c>
      <c r="H114" s="2">
        <v>100</v>
      </c>
      <c r="I114" s="2">
        <v>99</v>
      </c>
      <c r="J114" s="2">
        <v>1</v>
      </c>
      <c r="K114" s="2">
        <v>0</v>
      </c>
      <c r="L114" s="2">
        <v>1</v>
      </c>
      <c r="M114" s="2">
        <v>2.44</v>
      </c>
    </row>
    <row r="115" spans="1:13" x14ac:dyDescent="0.3">
      <c r="A115" s="2">
        <v>123</v>
      </c>
      <c r="B115" s="2" t="s">
        <v>156</v>
      </c>
      <c r="C115" s="2" t="s">
        <v>157</v>
      </c>
      <c r="D115" s="2">
        <f>LEN(Table2[[#This Row],[NAME1]])</f>
        <v>5</v>
      </c>
      <c r="E115" s="2"/>
      <c r="F115" s="2"/>
      <c r="G115" s="2">
        <v>0.20995735800000001</v>
      </c>
      <c r="H115" s="2">
        <v>95.959595960000001</v>
      </c>
      <c r="I115" s="2">
        <v>99</v>
      </c>
      <c r="J115" s="2">
        <v>3</v>
      </c>
      <c r="K115" s="2">
        <v>0</v>
      </c>
      <c r="L115" s="2">
        <v>1</v>
      </c>
      <c r="M115" s="2">
        <v>1.81</v>
      </c>
    </row>
    <row r="116" spans="1:13" x14ac:dyDescent="0.3">
      <c r="A116" s="2">
        <v>598</v>
      </c>
      <c r="B116" s="2" t="s">
        <v>744</v>
      </c>
      <c r="C116" s="2" t="s">
        <v>745</v>
      </c>
      <c r="D116" s="2">
        <f>LEN(Table2[[#This Row],[NAME1]])</f>
        <v>5</v>
      </c>
      <c r="E116" s="2"/>
      <c r="F116" s="2"/>
      <c r="G116" s="2">
        <v>0</v>
      </c>
      <c r="H116" s="2">
        <v>100</v>
      </c>
      <c r="I116" s="2">
        <v>99</v>
      </c>
      <c r="J116" s="2">
        <v>1</v>
      </c>
      <c r="K116" s="2">
        <v>0</v>
      </c>
      <c r="L116" s="2">
        <v>1</v>
      </c>
      <c r="M116" s="2">
        <v>2.0909090909999999</v>
      </c>
    </row>
    <row r="117" spans="1:13" x14ac:dyDescent="0.3">
      <c r="A117" s="2">
        <v>9</v>
      </c>
      <c r="B117" s="2" t="s">
        <v>15</v>
      </c>
      <c r="C117" s="2" t="s">
        <v>16</v>
      </c>
      <c r="D117" s="2">
        <f>LEN(Table2[[#This Row],[NAME1]])</f>
        <v>5</v>
      </c>
      <c r="E117" s="2"/>
      <c r="F117" s="2"/>
      <c r="G117" s="2">
        <v>0</v>
      </c>
      <c r="H117" s="2">
        <v>100</v>
      </c>
      <c r="I117" s="2">
        <v>100</v>
      </c>
      <c r="J117" s="2">
        <v>1</v>
      </c>
      <c r="K117" s="2">
        <v>0</v>
      </c>
      <c r="L117" s="2">
        <v>0</v>
      </c>
      <c r="M117" s="2">
        <v>2.6</v>
      </c>
    </row>
    <row r="118" spans="1:13" x14ac:dyDescent="0.3">
      <c r="A118" s="2">
        <v>365</v>
      </c>
      <c r="B118" s="2" t="s">
        <v>462</v>
      </c>
      <c r="C118" s="2" t="s">
        <v>463</v>
      </c>
      <c r="D118" s="2">
        <f>LEN(Table2[[#This Row],[NAME1]])</f>
        <v>5</v>
      </c>
      <c r="E118" s="2"/>
      <c r="F118" s="2"/>
      <c r="G118" s="2">
        <v>0.14731066700000001</v>
      </c>
      <c r="H118" s="2">
        <v>97.894736839999993</v>
      </c>
      <c r="I118" s="2">
        <v>95</v>
      </c>
      <c r="J118" s="2">
        <v>2</v>
      </c>
      <c r="K118" s="2">
        <v>5</v>
      </c>
      <c r="L118" s="2">
        <v>0</v>
      </c>
      <c r="M118" s="2">
        <v>3.09</v>
      </c>
    </row>
    <row r="119" spans="1:13" x14ac:dyDescent="0.3">
      <c r="A119" s="2">
        <v>199</v>
      </c>
      <c r="B119" s="2" t="s">
        <v>257</v>
      </c>
      <c r="C119" s="2" t="s">
        <v>258</v>
      </c>
      <c r="D119" s="2">
        <f>LEN(Table2[[#This Row],[NAME1]])</f>
        <v>5</v>
      </c>
      <c r="E119" s="2"/>
      <c r="F119" s="2"/>
      <c r="G119" s="2">
        <v>0</v>
      </c>
      <c r="H119" s="2">
        <v>100</v>
      </c>
      <c r="I119" s="2">
        <v>100</v>
      </c>
      <c r="J119" s="2">
        <v>1</v>
      </c>
      <c r="K119" s="2">
        <v>0</v>
      </c>
      <c r="L119" s="2">
        <v>0</v>
      </c>
      <c r="M119" s="2">
        <v>2.3199999999999998</v>
      </c>
    </row>
    <row r="120" spans="1:13" x14ac:dyDescent="0.3">
      <c r="A120" s="2">
        <v>381</v>
      </c>
      <c r="B120" s="2" t="s">
        <v>476</v>
      </c>
      <c r="C120" s="2" t="s">
        <v>477</v>
      </c>
      <c r="D120" s="2">
        <f>LEN(Table2[[#This Row],[NAME1]])</f>
        <v>5</v>
      </c>
      <c r="E120" s="2"/>
      <c r="F120" s="2"/>
      <c r="G120" s="2">
        <v>0</v>
      </c>
      <c r="H120" s="2">
        <v>100</v>
      </c>
      <c r="I120" s="2">
        <v>100</v>
      </c>
      <c r="J120" s="2">
        <v>1</v>
      </c>
      <c r="K120" s="2">
        <v>0</v>
      </c>
      <c r="L120" s="2">
        <v>0</v>
      </c>
      <c r="M120" s="2">
        <v>2.17</v>
      </c>
    </row>
    <row r="121" spans="1:13" x14ac:dyDescent="0.3">
      <c r="A121" s="2">
        <v>114</v>
      </c>
      <c r="B121" s="2" t="s">
        <v>146</v>
      </c>
      <c r="C121" s="2" t="s">
        <v>147</v>
      </c>
      <c r="D121" s="2">
        <f>LEN(Table2[[#This Row],[NAME1]])</f>
        <v>5</v>
      </c>
      <c r="E121" s="2"/>
      <c r="F121" s="2"/>
      <c r="G121" s="2">
        <v>0.141440543</v>
      </c>
      <c r="H121" s="2">
        <v>98</v>
      </c>
      <c r="I121" s="2">
        <v>100</v>
      </c>
      <c r="J121" s="2">
        <v>2</v>
      </c>
      <c r="K121" s="2">
        <v>0</v>
      </c>
      <c r="L121" s="2">
        <v>0</v>
      </c>
      <c r="M121" s="2">
        <v>2.91</v>
      </c>
    </row>
    <row r="122" spans="1:13" x14ac:dyDescent="0.3">
      <c r="A122" s="2">
        <v>733</v>
      </c>
      <c r="B122" s="2" t="s">
        <v>899</v>
      </c>
      <c r="C122" s="2" t="s">
        <v>900</v>
      </c>
      <c r="D122" s="2">
        <f>LEN(Table2[[#This Row],[NAME1]])</f>
        <v>5</v>
      </c>
      <c r="E122" s="2"/>
      <c r="F122" s="2"/>
      <c r="G122" s="2">
        <v>0</v>
      </c>
      <c r="H122" s="2">
        <v>100</v>
      </c>
      <c r="I122" s="2">
        <v>100</v>
      </c>
      <c r="J122" s="2">
        <v>1</v>
      </c>
      <c r="K122" s="2">
        <v>0</v>
      </c>
      <c r="L122" s="2">
        <v>0</v>
      </c>
      <c r="M122" s="2">
        <v>1.96</v>
      </c>
    </row>
    <row r="123" spans="1:13" x14ac:dyDescent="0.3">
      <c r="A123" s="2">
        <v>425</v>
      </c>
      <c r="B123" s="2" t="s">
        <v>522</v>
      </c>
      <c r="C123" s="2" t="s">
        <v>523</v>
      </c>
      <c r="D123" s="2">
        <f>LEN(Table2[[#This Row],[NAME1]])</f>
        <v>5</v>
      </c>
      <c r="E123" s="2"/>
      <c r="F123" s="2"/>
      <c r="G123" s="2">
        <v>0</v>
      </c>
      <c r="H123" s="2">
        <v>100</v>
      </c>
      <c r="I123" s="2">
        <v>93</v>
      </c>
      <c r="J123" s="2">
        <v>1</v>
      </c>
      <c r="K123" s="2">
        <v>5</v>
      </c>
      <c r="L123" s="2">
        <v>2</v>
      </c>
      <c r="M123" s="2">
        <v>2.68</v>
      </c>
    </row>
    <row r="124" spans="1:13" x14ac:dyDescent="0.3">
      <c r="A124" s="2">
        <v>406</v>
      </c>
      <c r="B124" s="2" t="s">
        <v>506</v>
      </c>
      <c r="C124" s="2" t="s">
        <v>507</v>
      </c>
      <c r="D124" s="2">
        <f>LEN(Table2[[#This Row],[NAME1]])</f>
        <v>5</v>
      </c>
      <c r="E124" s="2"/>
      <c r="F124" s="2"/>
      <c r="G124" s="2">
        <v>0.24229218899999999</v>
      </c>
      <c r="H124" s="2">
        <v>96</v>
      </c>
      <c r="I124" s="2">
        <v>100</v>
      </c>
      <c r="J124" s="2">
        <v>2</v>
      </c>
      <c r="K124" s="2">
        <v>0</v>
      </c>
      <c r="L124" s="2">
        <v>0</v>
      </c>
      <c r="M124" s="2">
        <v>3.09</v>
      </c>
    </row>
    <row r="125" spans="1:13" x14ac:dyDescent="0.3">
      <c r="A125" s="2">
        <v>75</v>
      </c>
      <c r="B125" s="2" t="s">
        <v>96</v>
      </c>
      <c r="C125" s="2" t="s">
        <v>97</v>
      </c>
      <c r="D125" s="2">
        <f>LEN(Table2[[#This Row],[NAME1]])</f>
        <v>5</v>
      </c>
      <c r="E125" s="2"/>
      <c r="F125" s="2"/>
      <c r="G125" s="2">
        <v>0</v>
      </c>
      <c r="H125" s="2">
        <v>100</v>
      </c>
      <c r="I125" s="2">
        <v>100</v>
      </c>
      <c r="J125" s="2">
        <v>1</v>
      </c>
      <c r="K125" s="2">
        <v>0</v>
      </c>
      <c r="L125" s="2">
        <v>0</v>
      </c>
      <c r="M125" s="2">
        <v>1.43</v>
      </c>
    </row>
    <row r="126" spans="1:13" x14ac:dyDescent="0.3">
      <c r="A126" s="2">
        <v>140</v>
      </c>
      <c r="B126" s="2" t="s">
        <v>178</v>
      </c>
      <c r="C126" s="2" t="s">
        <v>179</v>
      </c>
      <c r="D126" s="2">
        <f>LEN(Table2[[#This Row],[NAME1]])</f>
        <v>5</v>
      </c>
      <c r="E126" s="2"/>
      <c r="F126" s="2"/>
      <c r="G126" s="2">
        <v>0</v>
      </c>
      <c r="H126" s="2">
        <v>100</v>
      </c>
      <c r="I126" s="2">
        <v>100</v>
      </c>
      <c r="J126" s="2">
        <v>1</v>
      </c>
      <c r="K126" s="2">
        <v>0</v>
      </c>
      <c r="L126" s="2">
        <v>0</v>
      </c>
      <c r="M126" s="2">
        <v>2.15</v>
      </c>
    </row>
    <row r="127" spans="1:13" x14ac:dyDescent="0.3">
      <c r="A127" s="2">
        <v>524</v>
      </c>
      <c r="B127" s="2" t="s">
        <v>661</v>
      </c>
      <c r="C127" s="2" t="s">
        <v>662</v>
      </c>
      <c r="D127" s="2">
        <f>LEN(Table2[[#This Row],[NAME1]])</f>
        <v>5</v>
      </c>
      <c r="E127" s="2"/>
      <c r="F127" s="2"/>
      <c r="G127" s="2">
        <v>0.14489961800000001</v>
      </c>
      <c r="H127" s="2">
        <v>97.93814433</v>
      </c>
      <c r="I127" s="2">
        <v>97</v>
      </c>
      <c r="J127" s="2">
        <v>2</v>
      </c>
      <c r="K127" s="2">
        <v>1</v>
      </c>
      <c r="L127" s="2">
        <v>2</v>
      </c>
      <c r="M127" s="2">
        <v>3.42</v>
      </c>
    </row>
    <row r="128" spans="1:13" x14ac:dyDescent="0.3">
      <c r="A128" s="2">
        <v>619</v>
      </c>
      <c r="B128" s="2" t="s">
        <v>774</v>
      </c>
      <c r="C128" s="2" t="s">
        <v>775</v>
      </c>
      <c r="D128" s="2">
        <f>LEN(Table2[[#This Row],[NAME1]])</f>
        <v>5</v>
      </c>
      <c r="E128" s="2"/>
      <c r="F128" s="2"/>
      <c r="G128" s="2">
        <v>0.31468260399999998</v>
      </c>
      <c r="H128" s="2">
        <v>94.318181820000007</v>
      </c>
      <c r="I128" s="2">
        <v>88</v>
      </c>
      <c r="J128" s="2">
        <v>2</v>
      </c>
      <c r="K128" s="2">
        <v>9</v>
      </c>
      <c r="L128" s="2">
        <v>3</v>
      </c>
      <c r="M128" s="2">
        <v>2.2929292929999998</v>
      </c>
    </row>
    <row r="129" spans="1:13" x14ac:dyDescent="0.3">
      <c r="A129" s="2">
        <v>511</v>
      </c>
      <c r="B129" s="2" t="s">
        <v>639</v>
      </c>
      <c r="C129" s="2" t="s">
        <v>640</v>
      </c>
      <c r="D129" s="2">
        <f>LEN(Table2[[#This Row],[NAME1]])</f>
        <v>5</v>
      </c>
      <c r="E129" s="2"/>
      <c r="F129" s="2"/>
      <c r="G129" s="2">
        <v>0.14257333</v>
      </c>
      <c r="H129" s="2">
        <v>97.979797980000001</v>
      </c>
      <c r="I129" s="2">
        <v>99</v>
      </c>
      <c r="J129" s="2">
        <v>2</v>
      </c>
      <c r="K129" s="2">
        <v>0</v>
      </c>
      <c r="L129" s="2">
        <v>1</v>
      </c>
      <c r="M129" s="2">
        <v>2.4900000000000002</v>
      </c>
    </row>
    <row r="130" spans="1:13" x14ac:dyDescent="0.3">
      <c r="A130" s="2">
        <v>290</v>
      </c>
      <c r="B130" s="2" t="s">
        <v>365</v>
      </c>
      <c r="C130" s="2" t="s">
        <v>366</v>
      </c>
      <c r="D130" s="2">
        <f>LEN(Table2[[#This Row],[NAME1]])</f>
        <v>5</v>
      </c>
      <c r="E130" s="2"/>
      <c r="F130" s="2"/>
      <c r="G130" s="2">
        <v>0</v>
      </c>
      <c r="H130" s="2">
        <v>100</v>
      </c>
      <c r="I130" s="2">
        <v>98</v>
      </c>
      <c r="J130" s="2">
        <v>1</v>
      </c>
      <c r="K130" s="2">
        <v>0</v>
      </c>
      <c r="L130" s="2">
        <v>2</v>
      </c>
      <c r="M130" s="2">
        <v>2.57</v>
      </c>
    </row>
    <row r="131" spans="1:13" x14ac:dyDescent="0.3">
      <c r="A131" s="2">
        <v>601</v>
      </c>
      <c r="B131" s="2" t="s">
        <v>748</v>
      </c>
      <c r="C131" s="2" t="s">
        <v>749</v>
      </c>
      <c r="D131" s="2">
        <f>LEN(Table2[[#This Row],[NAME1]])</f>
        <v>5</v>
      </c>
      <c r="E131" s="2"/>
      <c r="F131" s="2"/>
      <c r="G131" s="2">
        <v>0</v>
      </c>
      <c r="H131" s="2">
        <v>100</v>
      </c>
      <c r="I131" s="2">
        <v>90</v>
      </c>
      <c r="J131" s="2">
        <v>1</v>
      </c>
      <c r="K131" s="2">
        <v>5</v>
      </c>
      <c r="L131" s="2">
        <v>5</v>
      </c>
      <c r="M131" s="2">
        <v>3.07</v>
      </c>
    </row>
    <row r="132" spans="1:13" x14ac:dyDescent="0.3">
      <c r="A132" s="2">
        <v>654</v>
      </c>
      <c r="B132" s="2" t="s">
        <v>812</v>
      </c>
      <c r="C132" s="2" t="s">
        <v>813</v>
      </c>
      <c r="D132" s="2">
        <f>LEN(Table2[[#This Row],[NAME1]])</f>
        <v>5</v>
      </c>
      <c r="E132" s="2"/>
      <c r="F132" s="2"/>
      <c r="G132" s="2">
        <v>0.194391858</v>
      </c>
      <c r="H132" s="2">
        <v>97</v>
      </c>
      <c r="I132" s="2">
        <v>100</v>
      </c>
      <c r="J132" s="2">
        <v>2</v>
      </c>
      <c r="K132" s="2">
        <v>0</v>
      </c>
      <c r="L132" s="2">
        <v>0</v>
      </c>
      <c r="M132" s="2">
        <v>1.83</v>
      </c>
    </row>
    <row r="133" spans="1:13" x14ac:dyDescent="0.3">
      <c r="A133" s="2">
        <v>505</v>
      </c>
      <c r="B133" s="2" t="s">
        <v>631</v>
      </c>
      <c r="C133" s="2" t="s">
        <v>632</v>
      </c>
      <c r="D133" s="2">
        <f>LEN(Table2[[#This Row],[NAME1]])</f>
        <v>5</v>
      </c>
      <c r="E133" s="2"/>
      <c r="F133" s="2"/>
      <c r="G133" s="2">
        <v>0.28853851400000002</v>
      </c>
      <c r="H133" s="2">
        <v>94.949494950000002</v>
      </c>
      <c r="I133" s="2">
        <v>99</v>
      </c>
      <c r="J133" s="2">
        <v>2</v>
      </c>
      <c r="K133" s="2">
        <v>0</v>
      </c>
      <c r="L133" s="2">
        <v>1</v>
      </c>
      <c r="M133" s="2">
        <v>2</v>
      </c>
    </row>
    <row r="134" spans="1:13" x14ac:dyDescent="0.3">
      <c r="A134" s="2">
        <v>129</v>
      </c>
      <c r="B134" s="2" t="s">
        <v>166</v>
      </c>
      <c r="C134" s="2" t="s">
        <v>167</v>
      </c>
      <c r="D134" s="2">
        <f>LEN(Table2[[#This Row],[NAME1]])</f>
        <v>5</v>
      </c>
      <c r="E134" s="2"/>
      <c r="F134" s="2"/>
      <c r="G134" s="2">
        <v>0</v>
      </c>
      <c r="H134" s="2">
        <v>100</v>
      </c>
      <c r="I134" s="2">
        <v>100</v>
      </c>
      <c r="J134" s="2">
        <v>1</v>
      </c>
      <c r="K134" s="2">
        <v>0</v>
      </c>
      <c r="L134" s="2">
        <v>0</v>
      </c>
      <c r="M134" s="2">
        <v>2.19</v>
      </c>
    </row>
    <row r="135" spans="1:13" x14ac:dyDescent="0.3">
      <c r="A135" s="2">
        <v>78</v>
      </c>
      <c r="B135" s="2" t="s">
        <v>98</v>
      </c>
      <c r="C135" s="2" t="s">
        <v>99</v>
      </c>
      <c r="D135" s="2">
        <f>LEN(Table2[[#This Row],[NAME1]])</f>
        <v>5</v>
      </c>
      <c r="E135" s="2"/>
      <c r="F135" s="2"/>
      <c r="G135" s="2">
        <v>0</v>
      </c>
      <c r="H135" s="2">
        <v>100</v>
      </c>
      <c r="I135" s="2">
        <v>100</v>
      </c>
      <c r="J135" s="2">
        <v>1</v>
      </c>
      <c r="K135" s="2">
        <v>0</v>
      </c>
      <c r="L135" s="2">
        <v>0</v>
      </c>
      <c r="M135" s="2">
        <v>1.7979797980000001</v>
      </c>
    </row>
    <row r="136" spans="1:13" x14ac:dyDescent="0.3">
      <c r="A136" s="2">
        <v>158</v>
      </c>
      <c r="B136" s="2" t="s">
        <v>206</v>
      </c>
      <c r="C136" s="2" t="s">
        <v>207</v>
      </c>
      <c r="D136" s="2">
        <f>LEN(Table2[[#This Row],[NAME1]])</f>
        <v>5</v>
      </c>
      <c r="E136" s="2"/>
      <c r="F136" s="2"/>
      <c r="G136" s="2">
        <v>0.19902377500000001</v>
      </c>
      <c r="H136" s="2">
        <v>96.907216489999996</v>
      </c>
      <c r="I136" s="2">
        <v>97</v>
      </c>
      <c r="J136" s="2">
        <v>2</v>
      </c>
      <c r="K136" s="2">
        <v>0</v>
      </c>
      <c r="L136" s="2">
        <v>3</v>
      </c>
      <c r="M136" s="2">
        <v>2.5099999999999998</v>
      </c>
    </row>
    <row r="137" spans="1:13" x14ac:dyDescent="0.3">
      <c r="A137" s="2">
        <v>136</v>
      </c>
      <c r="B137" s="2" t="s">
        <v>174</v>
      </c>
      <c r="C137" s="2" t="s">
        <v>175</v>
      </c>
      <c r="D137" s="2">
        <f>LEN(Table2[[#This Row],[NAME1]])</f>
        <v>5</v>
      </c>
      <c r="E137" s="2"/>
      <c r="F137" s="2"/>
      <c r="G137" s="2">
        <v>0</v>
      </c>
      <c r="H137" s="2">
        <v>100</v>
      </c>
      <c r="I137" s="2">
        <v>100</v>
      </c>
      <c r="J137" s="2">
        <v>1</v>
      </c>
      <c r="K137" s="2">
        <v>0</v>
      </c>
      <c r="L137" s="2">
        <v>0</v>
      </c>
      <c r="M137" s="2">
        <v>2.5499999999999998</v>
      </c>
    </row>
    <row r="138" spans="1:13" x14ac:dyDescent="0.3">
      <c r="A138" s="2">
        <v>462</v>
      </c>
      <c r="B138" s="2" t="s">
        <v>573</v>
      </c>
      <c r="C138" s="2" t="s">
        <v>574</v>
      </c>
      <c r="D138" s="2">
        <f>LEN(Table2[[#This Row],[NAME1]])</f>
        <v>5</v>
      </c>
      <c r="E138" s="2"/>
      <c r="F138" s="2"/>
      <c r="G138" s="2">
        <v>0.195909271</v>
      </c>
      <c r="H138" s="2">
        <v>96.969696970000001</v>
      </c>
      <c r="I138" s="2">
        <v>99</v>
      </c>
      <c r="J138" s="2">
        <v>2</v>
      </c>
      <c r="K138" s="2">
        <v>0</v>
      </c>
      <c r="L138" s="2">
        <v>1</v>
      </c>
      <c r="M138" s="2">
        <v>3.05</v>
      </c>
    </row>
    <row r="139" spans="1:13" x14ac:dyDescent="0.3">
      <c r="A139" s="2">
        <v>186</v>
      </c>
      <c r="B139" s="2" t="s">
        <v>240</v>
      </c>
      <c r="C139" s="2" t="s">
        <v>241</v>
      </c>
      <c r="D139" s="2">
        <f>LEN(Table2[[#This Row],[NAME1]])</f>
        <v>5</v>
      </c>
      <c r="E139" s="2"/>
      <c r="F139" s="2"/>
      <c r="G139" s="2">
        <v>0</v>
      </c>
      <c r="H139" s="2">
        <v>100</v>
      </c>
      <c r="I139" s="2">
        <v>84</v>
      </c>
      <c r="J139" s="2">
        <v>1</v>
      </c>
      <c r="K139" s="2">
        <v>13</v>
      </c>
      <c r="L139" s="2">
        <v>3</v>
      </c>
      <c r="M139" s="2">
        <v>3.78</v>
      </c>
    </row>
    <row r="140" spans="1:13" x14ac:dyDescent="0.3">
      <c r="A140" s="2">
        <v>100</v>
      </c>
      <c r="B140" s="2" t="s">
        <v>128</v>
      </c>
      <c r="C140" s="2" t="s">
        <v>129</v>
      </c>
      <c r="D140" s="2">
        <f>LEN(Table2[[#This Row],[NAME1]])</f>
        <v>5</v>
      </c>
      <c r="E140" s="2"/>
      <c r="F140" s="2"/>
      <c r="G140" s="2">
        <v>0</v>
      </c>
      <c r="H140" s="2">
        <v>100</v>
      </c>
      <c r="I140" s="2">
        <v>100</v>
      </c>
      <c r="J140" s="2">
        <v>1</v>
      </c>
      <c r="K140" s="2">
        <v>0</v>
      </c>
      <c r="L140" s="2">
        <v>0</v>
      </c>
      <c r="M140" s="2">
        <v>1.61</v>
      </c>
    </row>
    <row r="141" spans="1:13" x14ac:dyDescent="0.3">
      <c r="A141" s="2">
        <v>652</v>
      </c>
      <c r="B141" s="2" t="s">
        <v>808</v>
      </c>
      <c r="C141" s="2" t="s">
        <v>809</v>
      </c>
      <c r="D141" s="2">
        <f>LEN(Table2[[#This Row],[NAME1]])</f>
        <v>5</v>
      </c>
      <c r="E141" s="2"/>
      <c r="F141" s="2"/>
      <c r="G141" s="2">
        <v>0.14372616999999999</v>
      </c>
      <c r="H141" s="2">
        <v>97.959183670000002</v>
      </c>
      <c r="I141" s="2">
        <v>98</v>
      </c>
      <c r="J141" s="2">
        <v>2</v>
      </c>
      <c r="K141" s="2">
        <v>0</v>
      </c>
      <c r="L141" s="2">
        <v>2</v>
      </c>
      <c r="M141" s="2">
        <v>3</v>
      </c>
    </row>
    <row r="142" spans="1:13" x14ac:dyDescent="0.3">
      <c r="A142" s="2">
        <v>35</v>
      </c>
      <c r="B142" s="2" t="s">
        <v>41</v>
      </c>
      <c r="C142" s="2" t="s">
        <v>42</v>
      </c>
      <c r="D142" s="2">
        <f>LEN(Table2[[#This Row],[NAME1]])</f>
        <v>5</v>
      </c>
      <c r="E142" s="2"/>
      <c r="F142" s="2"/>
      <c r="G142" s="2">
        <v>0</v>
      </c>
      <c r="H142" s="2">
        <v>100</v>
      </c>
      <c r="I142" s="2">
        <v>99</v>
      </c>
      <c r="J142" s="2">
        <v>1</v>
      </c>
      <c r="K142" s="2">
        <v>0</v>
      </c>
      <c r="L142" s="2">
        <v>1</v>
      </c>
      <c r="M142" s="2">
        <v>2.0707070710000002</v>
      </c>
    </row>
    <row r="143" spans="1:13" x14ac:dyDescent="0.3">
      <c r="A143" s="2">
        <v>636</v>
      </c>
      <c r="B143" s="2" t="s">
        <v>792</v>
      </c>
      <c r="C143" s="2" t="s">
        <v>793</v>
      </c>
      <c r="D143" s="2">
        <f>LEN(Table2[[#This Row],[NAME1]])</f>
        <v>5</v>
      </c>
      <c r="E143" s="2"/>
      <c r="F143" s="2"/>
      <c r="G143" s="2">
        <v>0</v>
      </c>
      <c r="H143" s="2">
        <v>100</v>
      </c>
      <c r="I143" s="2">
        <v>99</v>
      </c>
      <c r="J143" s="2">
        <v>1</v>
      </c>
      <c r="K143" s="2">
        <v>0</v>
      </c>
      <c r="L143" s="2">
        <v>1</v>
      </c>
      <c r="M143" s="2">
        <v>2.7777777779999999</v>
      </c>
    </row>
    <row r="144" spans="1:13" x14ac:dyDescent="0.3">
      <c r="A144" s="2">
        <v>218</v>
      </c>
      <c r="B144" s="2" t="s">
        <v>279</v>
      </c>
      <c r="C144" s="2" t="s">
        <v>280</v>
      </c>
      <c r="D144" s="2">
        <f>LEN(Table2[[#This Row],[NAME1]])</f>
        <v>5</v>
      </c>
      <c r="E144" s="2"/>
      <c r="F144" s="2"/>
      <c r="G144" s="2">
        <v>0.42958550499999998</v>
      </c>
      <c r="H144" s="2">
        <v>92.929292930000003</v>
      </c>
      <c r="I144" s="2">
        <v>99</v>
      </c>
      <c r="J144" s="2">
        <v>3</v>
      </c>
      <c r="K144" s="2">
        <v>0</v>
      </c>
      <c r="L144" s="2">
        <v>1</v>
      </c>
      <c r="M144" s="2">
        <v>2.48</v>
      </c>
    </row>
    <row r="145" spans="1:13" x14ac:dyDescent="0.3">
      <c r="A145" s="2">
        <v>426</v>
      </c>
      <c r="B145" s="2" t="s">
        <v>524</v>
      </c>
      <c r="C145" s="2" t="s">
        <v>525</v>
      </c>
      <c r="D145" s="2">
        <f>LEN(Table2[[#This Row],[NAME1]])</f>
        <v>5</v>
      </c>
      <c r="E145" s="2"/>
      <c r="F145" s="2"/>
      <c r="G145" s="2">
        <v>0.14372616999999999</v>
      </c>
      <c r="H145" s="2">
        <v>97.959183670000002</v>
      </c>
      <c r="I145" s="2">
        <v>98</v>
      </c>
      <c r="J145" s="2">
        <v>2</v>
      </c>
      <c r="K145" s="2">
        <v>0</v>
      </c>
      <c r="L145" s="2">
        <v>2</v>
      </c>
      <c r="M145" s="2">
        <v>1.69</v>
      </c>
    </row>
    <row r="146" spans="1:13" x14ac:dyDescent="0.3">
      <c r="A146" s="2">
        <v>707</v>
      </c>
      <c r="B146" s="2" t="s">
        <v>873</v>
      </c>
      <c r="C146" s="2" t="s">
        <v>874</v>
      </c>
      <c r="D146" s="2">
        <f>LEN(Table2[[#This Row],[NAME1]])</f>
        <v>5</v>
      </c>
      <c r="E146" s="2"/>
      <c r="F146" s="2"/>
      <c r="G146" s="2">
        <v>0</v>
      </c>
      <c r="H146" s="2">
        <v>100</v>
      </c>
      <c r="I146" s="2">
        <v>100</v>
      </c>
      <c r="J146" s="2">
        <v>1</v>
      </c>
      <c r="K146" s="2">
        <v>0</v>
      </c>
      <c r="L146" s="2">
        <v>0</v>
      </c>
      <c r="M146" s="2">
        <v>2.71</v>
      </c>
    </row>
    <row r="147" spans="1:13" x14ac:dyDescent="0.3">
      <c r="A147" s="2">
        <v>626</v>
      </c>
      <c r="B147" s="2" t="s">
        <v>782</v>
      </c>
      <c r="C147" s="2" t="s">
        <v>783</v>
      </c>
      <c r="D147" s="2">
        <f>LEN(Table2[[#This Row],[NAME1]])</f>
        <v>5</v>
      </c>
      <c r="E147" s="2"/>
      <c r="F147" s="2"/>
      <c r="G147" s="2">
        <v>0</v>
      </c>
      <c r="H147" s="2">
        <v>100</v>
      </c>
      <c r="I147" s="2">
        <v>100</v>
      </c>
      <c r="J147" s="2">
        <v>1</v>
      </c>
      <c r="K147" s="2">
        <v>0</v>
      </c>
      <c r="L147" s="2">
        <v>0</v>
      </c>
      <c r="M147" s="2">
        <v>2.85</v>
      </c>
    </row>
    <row r="148" spans="1:13" x14ac:dyDescent="0.3">
      <c r="A148" s="2">
        <v>467</v>
      </c>
      <c r="B148" s="2" t="s">
        <v>581</v>
      </c>
      <c r="C148" s="2" t="s">
        <v>582</v>
      </c>
      <c r="D148" s="2">
        <f>LEN(Table2[[#This Row],[NAME1]])</f>
        <v>5</v>
      </c>
      <c r="E148" s="2"/>
      <c r="F148" s="2"/>
      <c r="G148" s="2">
        <v>0</v>
      </c>
      <c r="H148" s="2">
        <v>100</v>
      </c>
      <c r="I148" s="2">
        <v>100</v>
      </c>
      <c r="J148" s="2">
        <v>1</v>
      </c>
      <c r="K148" s="2">
        <v>0</v>
      </c>
      <c r="L148" s="2">
        <v>0</v>
      </c>
      <c r="M148" s="2">
        <v>1.7</v>
      </c>
    </row>
    <row r="149" spans="1:13" x14ac:dyDescent="0.3">
      <c r="A149" s="2">
        <v>489</v>
      </c>
      <c r="B149" s="2" t="s">
        <v>605</v>
      </c>
      <c r="C149" s="2" t="s">
        <v>606</v>
      </c>
      <c r="D149" s="2">
        <f>LEN(Table2[[#This Row],[NAME1]])</f>
        <v>5</v>
      </c>
      <c r="E149" s="2"/>
      <c r="F149" s="2"/>
      <c r="G149" s="2">
        <v>0</v>
      </c>
      <c r="H149" s="2">
        <v>100</v>
      </c>
      <c r="I149" s="2">
        <v>100</v>
      </c>
      <c r="J149" s="2">
        <v>1</v>
      </c>
      <c r="K149" s="2">
        <v>0</v>
      </c>
      <c r="L149" s="2">
        <v>0</v>
      </c>
      <c r="M149" s="2">
        <v>2.4300000000000002</v>
      </c>
    </row>
    <row r="150" spans="1:13" x14ac:dyDescent="0.3">
      <c r="A150" s="2">
        <v>234</v>
      </c>
      <c r="B150" s="2" t="s">
        <v>293</v>
      </c>
      <c r="C150" s="2" t="s">
        <v>294</v>
      </c>
      <c r="D150" s="2">
        <f>LEN(Table2[[#This Row],[NAME1]])</f>
        <v>5</v>
      </c>
      <c r="E150" s="2"/>
      <c r="F150" s="2"/>
      <c r="G150" s="2">
        <v>0.51755896599999995</v>
      </c>
      <c r="H150" s="2">
        <v>90.804597700000002</v>
      </c>
      <c r="I150" s="2">
        <v>87</v>
      </c>
      <c r="J150" s="2">
        <v>3</v>
      </c>
      <c r="K150" s="2">
        <v>4</v>
      </c>
      <c r="L150" s="2">
        <v>9</v>
      </c>
      <c r="M150" s="2">
        <v>2.04</v>
      </c>
    </row>
    <row r="151" spans="1:13" x14ac:dyDescent="0.3">
      <c r="A151" s="2">
        <v>97</v>
      </c>
      <c r="B151" s="2" t="s">
        <v>122</v>
      </c>
      <c r="C151" s="2" t="s">
        <v>123</v>
      </c>
      <c r="D151" s="2">
        <f>LEN(Table2[[#This Row],[NAME1]])</f>
        <v>5</v>
      </c>
      <c r="E151" s="2"/>
      <c r="F151" s="2"/>
      <c r="G151" s="2">
        <v>0.141440543</v>
      </c>
      <c r="H151" s="2">
        <v>98</v>
      </c>
      <c r="I151" s="2">
        <v>100</v>
      </c>
      <c r="J151" s="2">
        <v>2</v>
      </c>
      <c r="K151" s="2">
        <v>0</v>
      </c>
      <c r="L151" s="2">
        <v>0</v>
      </c>
      <c r="M151" s="2">
        <v>1.82</v>
      </c>
    </row>
    <row r="152" spans="1:13" x14ac:dyDescent="0.3">
      <c r="A152" s="2">
        <v>668</v>
      </c>
      <c r="B152" s="2" t="s">
        <v>826</v>
      </c>
      <c r="C152" s="2" t="s">
        <v>827</v>
      </c>
      <c r="D152" s="2">
        <f>LEN(Table2[[#This Row],[NAME1]])</f>
        <v>5</v>
      </c>
      <c r="E152" s="2"/>
      <c r="F152" s="2"/>
      <c r="G152" s="2">
        <v>0.40217919000000002</v>
      </c>
      <c r="H152" s="2">
        <v>92</v>
      </c>
      <c r="I152" s="2">
        <v>100</v>
      </c>
      <c r="J152" s="2">
        <v>2</v>
      </c>
      <c r="K152" s="2">
        <v>0</v>
      </c>
      <c r="L152" s="2">
        <v>0</v>
      </c>
      <c r="M152" s="2">
        <v>2.34</v>
      </c>
    </row>
    <row r="153" spans="1:13" x14ac:dyDescent="0.3">
      <c r="A153" s="2">
        <v>728</v>
      </c>
      <c r="B153" s="2" t="s">
        <v>895</v>
      </c>
      <c r="C153" s="2" t="s">
        <v>896</v>
      </c>
      <c r="D153" s="2">
        <f>LEN(Table2[[#This Row],[NAME1]])</f>
        <v>5</v>
      </c>
      <c r="E153" s="2"/>
      <c r="F153" s="2"/>
      <c r="G153" s="2">
        <v>0.32984606999999999</v>
      </c>
      <c r="H153" s="2">
        <v>93.939393940000002</v>
      </c>
      <c r="I153" s="2">
        <v>99</v>
      </c>
      <c r="J153" s="2">
        <v>2</v>
      </c>
      <c r="K153" s="2">
        <v>1</v>
      </c>
      <c r="L153" s="2">
        <v>0</v>
      </c>
      <c r="M153" s="2">
        <v>2.71</v>
      </c>
    </row>
    <row r="154" spans="1:13" x14ac:dyDescent="0.3">
      <c r="A154" s="2">
        <v>238</v>
      </c>
      <c r="B154" s="2" t="s">
        <v>299</v>
      </c>
      <c r="C154" s="2" t="s">
        <v>300</v>
      </c>
      <c r="D154" s="2">
        <f>LEN(Table2[[#This Row],[NAME1]])</f>
        <v>5</v>
      </c>
      <c r="E154" s="2"/>
      <c r="F154" s="2"/>
      <c r="G154" s="2">
        <v>0</v>
      </c>
      <c r="H154" s="2">
        <v>100</v>
      </c>
      <c r="I154" s="2">
        <v>100</v>
      </c>
      <c r="J154" s="2">
        <v>1</v>
      </c>
      <c r="K154" s="2">
        <v>0</v>
      </c>
      <c r="L154" s="2">
        <v>0</v>
      </c>
      <c r="M154" s="2">
        <v>1.92</v>
      </c>
    </row>
    <row r="155" spans="1:13" x14ac:dyDescent="0.3">
      <c r="A155" s="2">
        <v>72</v>
      </c>
      <c r="B155" s="2" t="s">
        <v>90</v>
      </c>
      <c r="C155" s="2" t="s">
        <v>91</v>
      </c>
      <c r="D155" s="2">
        <f>LEN(Table2[[#This Row],[NAME1]])</f>
        <v>5</v>
      </c>
      <c r="E155" s="2"/>
      <c r="F155" s="2"/>
      <c r="G155" s="2">
        <v>0</v>
      </c>
      <c r="H155" s="2">
        <v>100</v>
      </c>
      <c r="I155" s="2">
        <v>100</v>
      </c>
      <c r="J155" s="2">
        <v>1</v>
      </c>
      <c r="K155" s="2">
        <v>0</v>
      </c>
      <c r="L155" s="2">
        <v>0</v>
      </c>
      <c r="M155" s="2">
        <v>2.02</v>
      </c>
    </row>
    <row r="156" spans="1:13" x14ac:dyDescent="0.3">
      <c r="A156" s="2">
        <v>1</v>
      </c>
      <c r="B156" s="2" t="s">
        <v>11</v>
      </c>
      <c r="C156" s="2" t="s">
        <v>12</v>
      </c>
      <c r="D156" s="2">
        <f>LEN(Table2[[#This Row],[NAME1]])</f>
        <v>5</v>
      </c>
      <c r="E156" s="2"/>
      <c r="F156" s="2"/>
      <c r="G156" s="2">
        <v>0.28853851400000002</v>
      </c>
      <c r="H156" s="2">
        <v>94.949494950000002</v>
      </c>
      <c r="I156" s="2">
        <v>99</v>
      </c>
      <c r="J156" s="2">
        <v>2</v>
      </c>
      <c r="K156" s="2">
        <v>0</v>
      </c>
      <c r="L156" s="2">
        <v>1</v>
      </c>
      <c r="M156" s="2">
        <v>2.74</v>
      </c>
    </row>
    <row r="157" spans="1:13" x14ac:dyDescent="0.3">
      <c r="A157" s="2">
        <v>336</v>
      </c>
      <c r="B157" s="2" t="s">
        <v>422</v>
      </c>
      <c r="C157" s="2" t="s">
        <v>423</v>
      </c>
      <c r="D157" s="2">
        <f>LEN(Table2[[#This Row],[NAME1]])</f>
        <v>5</v>
      </c>
      <c r="E157" s="2"/>
      <c r="F157" s="2"/>
      <c r="G157" s="2">
        <v>0</v>
      </c>
      <c r="H157" s="2">
        <v>100</v>
      </c>
      <c r="I157" s="2">
        <v>100</v>
      </c>
      <c r="J157" s="2">
        <v>1</v>
      </c>
      <c r="K157" s="2">
        <v>0</v>
      </c>
      <c r="L157" s="2">
        <v>0</v>
      </c>
      <c r="M157" s="2">
        <v>1.6</v>
      </c>
    </row>
    <row r="158" spans="1:13" x14ac:dyDescent="0.3">
      <c r="A158" s="2">
        <v>614</v>
      </c>
      <c r="B158" s="2" t="s">
        <v>768</v>
      </c>
      <c r="C158" s="2" t="s">
        <v>769</v>
      </c>
      <c r="D158" s="2">
        <f>LEN(Table2[[#This Row],[NAME1]])</f>
        <v>5</v>
      </c>
      <c r="E158" s="2"/>
      <c r="F158" s="2"/>
      <c r="G158" s="2">
        <v>0</v>
      </c>
      <c r="H158" s="2">
        <v>100</v>
      </c>
      <c r="I158" s="2">
        <v>100</v>
      </c>
      <c r="J158" s="2">
        <v>1</v>
      </c>
      <c r="K158" s="2">
        <v>0</v>
      </c>
      <c r="L158" s="2">
        <v>0</v>
      </c>
      <c r="M158" s="2">
        <v>3.05</v>
      </c>
    </row>
    <row r="159" spans="1:13" x14ac:dyDescent="0.3">
      <c r="A159" s="2">
        <v>452</v>
      </c>
      <c r="B159" s="2" t="s">
        <v>557</v>
      </c>
      <c r="C159" s="2" t="s">
        <v>558</v>
      </c>
      <c r="D159" s="2">
        <f>LEN(Table2[[#This Row],[NAME1]])</f>
        <v>5</v>
      </c>
      <c r="E159" s="2"/>
      <c r="F159" s="2"/>
      <c r="G159" s="2">
        <v>0</v>
      </c>
      <c r="H159" s="2">
        <v>100</v>
      </c>
      <c r="I159" s="2">
        <v>100</v>
      </c>
      <c r="J159" s="2">
        <v>1</v>
      </c>
      <c r="K159" s="2">
        <v>0</v>
      </c>
      <c r="L159" s="2">
        <v>0</v>
      </c>
      <c r="M159" s="2">
        <v>2</v>
      </c>
    </row>
    <row r="160" spans="1:13" x14ac:dyDescent="0.3">
      <c r="A160" s="2">
        <v>87</v>
      </c>
      <c r="B160" s="2" t="s">
        <v>108</v>
      </c>
      <c r="C160" s="2" t="s">
        <v>109</v>
      </c>
      <c r="D160" s="2">
        <f>LEN(Table2[[#This Row],[NAME1]])</f>
        <v>5</v>
      </c>
      <c r="E160" s="2"/>
      <c r="F160" s="2"/>
      <c r="G160" s="2">
        <v>0</v>
      </c>
      <c r="H160" s="2">
        <v>100</v>
      </c>
      <c r="I160" s="2">
        <v>99</v>
      </c>
      <c r="J160" s="2">
        <v>1</v>
      </c>
      <c r="K160" s="2">
        <v>0</v>
      </c>
      <c r="L160" s="2">
        <v>1</v>
      </c>
      <c r="M160" s="2">
        <v>2.54</v>
      </c>
    </row>
    <row r="161" spans="1:13" x14ac:dyDescent="0.3">
      <c r="A161" s="2">
        <v>57</v>
      </c>
      <c r="B161" s="2" t="s">
        <v>69</v>
      </c>
      <c r="C161" s="2" t="s">
        <v>70</v>
      </c>
      <c r="D161" s="2">
        <f>LEN(Table2[[#This Row],[NAME1]])</f>
        <v>5</v>
      </c>
      <c r="E161" s="2"/>
      <c r="F161" s="2"/>
      <c r="G161" s="2">
        <v>0.24414164199999999</v>
      </c>
      <c r="H161" s="2">
        <v>95.959595960000001</v>
      </c>
      <c r="I161" s="2">
        <v>99</v>
      </c>
      <c r="J161" s="2">
        <v>2</v>
      </c>
      <c r="K161" s="2">
        <v>0</v>
      </c>
      <c r="L161" s="2">
        <v>1</v>
      </c>
      <c r="M161" s="2">
        <v>2.35</v>
      </c>
    </row>
    <row r="162" spans="1:13" x14ac:dyDescent="0.3">
      <c r="A162" s="2">
        <v>122</v>
      </c>
      <c r="B162" s="2" t="s">
        <v>154</v>
      </c>
      <c r="C162" s="2" t="s">
        <v>155</v>
      </c>
      <c r="D162" s="2">
        <f>LEN(Table2[[#This Row],[NAME1]])</f>
        <v>5</v>
      </c>
      <c r="E162" s="2"/>
      <c r="F162" s="2"/>
      <c r="G162" s="2">
        <v>0</v>
      </c>
      <c r="H162" s="2">
        <v>100</v>
      </c>
      <c r="I162" s="2">
        <v>100</v>
      </c>
      <c r="J162" s="2">
        <v>1</v>
      </c>
      <c r="K162" s="2">
        <v>0</v>
      </c>
      <c r="L162" s="2">
        <v>0</v>
      </c>
      <c r="M162" s="2">
        <v>2.0299999999999998</v>
      </c>
    </row>
    <row r="163" spans="1:13" x14ac:dyDescent="0.3">
      <c r="A163" s="2">
        <v>266</v>
      </c>
      <c r="B163" s="2" t="s">
        <v>333</v>
      </c>
      <c r="C163" s="2" t="s">
        <v>334</v>
      </c>
      <c r="D163" s="2">
        <f>LEN(Table2[[#This Row],[NAME1]])</f>
        <v>5</v>
      </c>
      <c r="E163" s="2"/>
      <c r="F163" s="2"/>
      <c r="G163" s="2">
        <v>0</v>
      </c>
      <c r="H163" s="2">
        <v>100</v>
      </c>
      <c r="I163" s="2">
        <v>100</v>
      </c>
      <c r="J163" s="2">
        <v>1</v>
      </c>
      <c r="K163" s="2">
        <v>0</v>
      </c>
      <c r="L163" s="2">
        <v>0</v>
      </c>
      <c r="M163" s="2">
        <v>1.67</v>
      </c>
    </row>
    <row r="164" spans="1:13" x14ac:dyDescent="0.3">
      <c r="A164" s="2">
        <v>98</v>
      </c>
      <c r="B164" s="2" t="s">
        <v>124</v>
      </c>
      <c r="C164" s="2" t="s">
        <v>125</v>
      </c>
      <c r="D164" s="2">
        <f>LEN(Table2[[#This Row],[NAME1]])</f>
        <v>5</v>
      </c>
      <c r="E164" s="2"/>
      <c r="F164" s="2"/>
      <c r="G164" s="2">
        <v>0.327444919</v>
      </c>
      <c r="H164" s="2">
        <v>94</v>
      </c>
      <c r="I164" s="2">
        <v>100</v>
      </c>
      <c r="J164" s="2">
        <v>2</v>
      </c>
      <c r="K164" s="2">
        <v>0</v>
      </c>
      <c r="L164" s="2">
        <v>0</v>
      </c>
      <c r="M164" s="2">
        <v>3.03</v>
      </c>
    </row>
    <row r="165" spans="1:13" x14ac:dyDescent="0.3">
      <c r="A165" s="2">
        <v>504</v>
      </c>
      <c r="B165" s="2" t="s">
        <v>629</v>
      </c>
      <c r="C165" s="2" t="s">
        <v>630</v>
      </c>
      <c r="D165" s="2">
        <f>LEN(Table2[[#This Row],[NAME1]])</f>
        <v>5</v>
      </c>
      <c r="E165" s="2"/>
      <c r="F165" s="2"/>
      <c r="G165" s="2">
        <v>0.30217361799999998</v>
      </c>
      <c r="H165" s="2">
        <v>94.623655909999997</v>
      </c>
      <c r="I165" s="2">
        <v>93</v>
      </c>
      <c r="J165" s="2">
        <v>2</v>
      </c>
      <c r="K165" s="2">
        <v>5</v>
      </c>
      <c r="L165" s="2">
        <v>2</v>
      </c>
      <c r="M165" s="2">
        <v>1.99</v>
      </c>
    </row>
    <row r="166" spans="1:13" x14ac:dyDescent="0.3">
      <c r="A166" s="2">
        <v>135</v>
      </c>
      <c r="B166" s="2" t="s">
        <v>172</v>
      </c>
      <c r="C166" s="2" t="s">
        <v>173</v>
      </c>
      <c r="D166" s="2">
        <f>LEN(Table2[[#This Row],[NAME1]])</f>
        <v>5</v>
      </c>
      <c r="E166" s="2"/>
      <c r="F166" s="2"/>
      <c r="G166" s="2">
        <v>0</v>
      </c>
      <c r="H166" s="2">
        <v>100</v>
      </c>
      <c r="I166" s="2">
        <v>99</v>
      </c>
      <c r="J166" s="2">
        <v>1</v>
      </c>
      <c r="K166" s="2">
        <v>0</v>
      </c>
      <c r="L166" s="2">
        <v>1</v>
      </c>
      <c r="M166" s="2">
        <v>2.4</v>
      </c>
    </row>
    <row r="167" spans="1:13" x14ac:dyDescent="0.3">
      <c r="A167" s="2">
        <v>286</v>
      </c>
      <c r="B167" s="2" t="s">
        <v>359</v>
      </c>
      <c r="C167" s="2" t="s">
        <v>360</v>
      </c>
      <c r="D167" s="2">
        <f>LEN(Table2[[#This Row],[NAME1]])</f>
        <v>5</v>
      </c>
      <c r="E167" s="2"/>
      <c r="F167" s="2"/>
      <c r="G167" s="2">
        <v>0</v>
      </c>
      <c r="H167" s="2">
        <v>100</v>
      </c>
      <c r="I167" s="2">
        <v>99</v>
      </c>
      <c r="J167" s="2">
        <v>1</v>
      </c>
      <c r="K167" s="2">
        <v>0</v>
      </c>
      <c r="L167" s="2">
        <v>1</v>
      </c>
      <c r="M167" s="2">
        <v>2.29</v>
      </c>
    </row>
    <row r="168" spans="1:13" x14ac:dyDescent="0.3">
      <c r="A168" s="2">
        <v>521</v>
      </c>
      <c r="B168" s="2" t="s">
        <v>657</v>
      </c>
      <c r="C168" s="2" t="s">
        <v>658</v>
      </c>
      <c r="D168" s="2">
        <f>LEN(Table2[[#This Row],[NAME1]])</f>
        <v>5</v>
      </c>
      <c r="E168" s="2"/>
      <c r="F168" s="2"/>
      <c r="G168" s="2">
        <v>0.24414164199999999</v>
      </c>
      <c r="H168" s="2">
        <v>95.959595960000001</v>
      </c>
      <c r="I168" s="2">
        <v>99</v>
      </c>
      <c r="J168" s="2">
        <v>2</v>
      </c>
      <c r="K168" s="2">
        <v>1</v>
      </c>
      <c r="L168" s="2">
        <v>0</v>
      </c>
      <c r="M168" s="2">
        <v>2.71</v>
      </c>
    </row>
    <row r="169" spans="1:13" x14ac:dyDescent="0.3">
      <c r="A169" s="2">
        <v>694</v>
      </c>
      <c r="B169" s="2" t="s">
        <v>859</v>
      </c>
      <c r="C169" s="2" t="s">
        <v>860</v>
      </c>
      <c r="D169" s="2">
        <f>LEN(Table2[[#This Row],[NAME1]])</f>
        <v>6</v>
      </c>
      <c r="E169" s="2"/>
      <c r="F169" s="2"/>
      <c r="G169" s="2">
        <v>0</v>
      </c>
      <c r="H169" s="2">
        <v>100</v>
      </c>
      <c r="I169" s="2">
        <v>97</v>
      </c>
      <c r="J169" s="2">
        <v>1</v>
      </c>
      <c r="K169" s="2">
        <v>0</v>
      </c>
      <c r="L169" s="2">
        <v>3</v>
      </c>
      <c r="M169" s="2">
        <v>2.52</v>
      </c>
    </row>
    <row r="170" spans="1:13" x14ac:dyDescent="0.3">
      <c r="A170" s="2">
        <v>456</v>
      </c>
      <c r="B170" s="2" t="s">
        <v>565</v>
      </c>
      <c r="C170" s="2" t="s">
        <v>566</v>
      </c>
      <c r="D170" s="2">
        <f>LEN(Table2[[#This Row],[NAME1]])</f>
        <v>6</v>
      </c>
      <c r="E170" s="2"/>
      <c r="F170" s="2"/>
      <c r="G170" s="2">
        <v>0.47413276599999998</v>
      </c>
      <c r="H170" s="2">
        <v>91.83673469</v>
      </c>
      <c r="I170" s="2">
        <v>98</v>
      </c>
      <c r="J170" s="2">
        <v>3</v>
      </c>
      <c r="K170" s="2">
        <v>1</v>
      </c>
      <c r="L170" s="2">
        <v>1</v>
      </c>
      <c r="M170" s="2">
        <v>2.4300000000000002</v>
      </c>
    </row>
    <row r="171" spans="1:13" x14ac:dyDescent="0.3">
      <c r="A171" s="2">
        <v>744</v>
      </c>
      <c r="B171" s="2" t="s">
        <v>911</v>
      </c>
      <c r="C171" s="2" t="s">
        <v>912</v>
      </c>
      <c r="D171" s="2">
        <f>LEN(Table2[[#This Row],[NAME1]])</f>
        <v>6</v>
      </c>
      <c r="E171" s="2"/>
      <c r="F171" s="2"/>
      <c r="G171" s="2">
        <v>0.194391858</v>
      </c>
      <c r="H171" s="2">
        <v>97</v>
      </c>
      <c r="I171" s="2">
        <v>100</v>
      </c>
      <c r="J171" s="2">
        <v>2</v>
      </c>
      <c r="K171" s="2">
        <v>0</v>
      </c>
      <c r="L171" s="2">
        <v>0</v>
      </c>
      <c r="M171" s="2">
        <v>1.949494949</v>
      </c>
    </row>
    <row r="172" spans="1:13" x14ac:dyDescent="0.3">
      <c r="A172" s="2">
        <v>389</v>
      </c>
      <c r="B172" s="2" t="s">
        <v>486</v>
      </c>
      <c r="C172" s="2" t="s">
        <v>487</v>
      </c>
      <c r="D172" s="2">
        <f>LEN(Table2[[#This Row],[NAME1]])</f>
        <v>6</v>
      </c>
      <c r="E172" s="2"/>
      <c r="F172" s="2"/>
      <c r="G172" s="2">
        <v>0</v>
      </c>
      <c r="H172" s="2">
        <v>100</v>
      </c>
      <c r="I172" s="2">
        <v>98</v>
      </c>
      <c r="J172" s="2">
        <v>1</v>
      </c>
      <c r="K172" s="2">
        <v>0</v>
      </c>
      <c r="L172" s="2">
        <v>2</v>
      </c>
      <c r="M172" s="2">
        <v>2.56</v>
      </c>
    </row>
    <row r="173" spans="1:13" x14ac:dyDescent="0.3">
      <c r="A173" s="2">
        <v>377</v>
      </c>
      <c r="B173" s="2" t="s">
        <v>472</v>
      </c>
      <c r="C173" s="2" t="s">
        <v>473</v>
      </c>
      <c r="D173" s="2">
        <f>LEN(Table2[[#This Row],[NAME1]])</f>
        <v>6</v>
      </c>
      <c r="E173" s="2"/>
      <c r="F173" s="2"/>
      <c r="G173" s="2">
        <v>0</v>
      </c>
      <c r="H173" s="2">
        <v>100</v>
      </c>
      <c r="I173" s="2">
        <v>99</v>
      </c>
      <c r="J173" s="2">
        <v>1</v>
      </c>
      <c r="K173" s="2">
        <v>1</v>
      </c>
      <c r="L173" s="2">
        <v>0</v>
      </c>
      <c r="M173" s="2">
        <v>2.5</v>
      </c>
    </row>
    <row r="174" spans="1:13" x14ac:dyDescent="0.3">
      <c r="A174" s="2">
        <v>63</v>
      </c>
      <c r="B174" s="2" t="s">
        <v>78</v>
      </c>
      <c r="C174" s="2" t="s">
        <v>79</v>
      </c>
      <c r="D174" s="2">
        <f>LEN(Table2[[#This Row],[NAME1]])</f>
        <v>6</v>
      </c>
      <c r="E174" s="2"/>
      <c r="F174" s="2"/>
      <c r="G174" s="2">
        <v>0.40790598</v>
      </c>
      <c r="H174" s="2">
        <v>91.83673469</v>
      </c>
      <c r="I174" s="2">
        <v>98</v>
      </c>
      <c r="J174" s="2">
        <v>2</v>
      </c>
      <c r="K174" s="2">
        <v>0</v>
      </c>
      <c r="L174" s="2">
        <v>2</v>
      </c>
      <c r="M174" s="2">
        <v>2.58</v>
      </c>
    </row>
    <row r="175" spans="1:13" x14ac:dyDescent="0.3">
      <c r="A175" s="2">
        <v>747</v>
      </c>
      <c r="B175" s="2" t="s">
        <v>917</v>
      </c>
      <c r="C175" s="2" t="s">
        <v>918</v>
      </c>
      <c r="D175" s="2">
        <f>LEN(Table2[[#This Row],[NAME1]])</f>
        <v>6</v>
      </c>
      <c r="E175" s="2"/>
      <c r="F175" s="2"/>
      <c r="G175" s="2">
        <v>0</v>
      </c>
      <c r="H175" s="2">
        <v>100</v>
      </c>
      <c r="I175" s="2">
        <v>100</v>
      </c>
      <c r="J175" s="2">
        <v>1</v>
      </c>
      <c r="K175" s="2">
        <v>0</v>
      </c>
      <c r="L175" s="2">
        <v>0</v>
      </c>
      <c r="M175" s="2">
        <v>2.29</v>
      </c>
    </row>
    <row r="176" spans="1:13" x14ac:dyDescent="0.3">
      <c r="A176" s="2">
        <v>676</v>
      </c>
      <c r="B176" s="2" t="s">
        <v>836</v>
      </c>
      <c r="C176" s="2" t="s">
        <v>837</v>
      </c>
      <c r="D176" s="2">
        <f>LEN(Table2[[#This Row],[NAME1]])</f>
        <v>6</v>
      </c>
      <c r="E176" s="2"/>
      <c r="F176" s="2"/>
      <c r="G176" s="2">
        <v>0.327444919</v>
      </c>
      <c r="H176" s="2">
        <v>94</v>
      </c>
      <c r="I176" s="2">
        <v>100</v>
      </c>
      <c r="J176" s="2">
        <v>2</v>
      </c>
      <c r="K176" s="2">
        <v>0</v>
      </c>
      <c r="L176" s="2">
        <v>0</v>
      </c>
      <c r="M176" s="2">
        <v>1.66</v>
      </c>
    </row>
    <row r="177" spans="1:13" x14ac:dyDescent="0.3">
      <c r="A177" s="2">
        <v>749</v>
      </c>
      <c r="B177" s="2" t="s">
        <v>919</v>
      </c>
      <c r="C177" s="2" t="s">
        <v>920</v>
      </c>
      <c r="D177" s="2">
        <f>LEN(Table2[[#This Row],[NAME1]])</f>
        <v>6</v>
      </c>
      <c r="E177" s="2"/>
      <c r="F177" s="2"/>
      <c r="G177" s="2">
        <v>0.24229218899999999</v>
      </c>
      <c r="H177" s="2">
        <v>96</v>
      </c>
      <c r="I177" s="2">
        <v>100</v>
      </c>
      <c r="J177" s="2">
        <v>2</v>
      </c>
      <c r="K177" s="2">
        <v>0</v>
      </c>
      <c r="L177" s="2">
        <v>0</v>
      </c>
      <c r="M177" s="2">
        <v>2.71</v>
      </c>
    </row>
    <row r="178" spans="1:13" x14ac:dyDescent="0.3">
      <c r="A178" s="2">
        <v>350</v>
      </c>
      <c r="B178" s="2" t="s">
        <v>442</v>
      </c>
      <c r="C178" s="2" t="s">
        <v>443</v>
      </c>
      <c r="D178" s="2">
        <f>LEN(Table2[[#This Row],[NAME1]])</f>
        <v>6</v>
      </c>
      <c r="E178" s="2"/>
      <c r="F178" s="2"/>
      <c r="G178" s="2">
        <v>0</v>
      </c>
      <c r="H178" s="2">
        <v>100</v>
      </c>
      <c r="I178" s="2">
        <v>100</v>
      </c>
      <c r="J178" s="2">
        <v>1</v>
      </c>
      <c r="K178" s="2">
        <v>0</v>
      </c>
      <c r="L178" s="2">
        <v>0</v>
      </c>
      <c r="M178" s="2">
        <v>1.76</v>
      </c>
    </row>
    <row r="179" spans="1:13" x14ac:dyDescent="0.3">
      <c r="A179" s="2">
        <v>494</v>
      </c>
      <c r="B179" s="2" t="s">
        <v>609</v>
      </c>
      <c r="C179" s="2" t="s">
        <v>610</v>
      </c>
      <c r="D179" s="2">
        <f>LEN(Table2[[#This Row],[NAME1]])</f>
        <v>6</v>
      </c>
      <c r="E179" s="2"/>
      <c r="F179" s="2"/>
      <c r="G179" s="2">
        <v>0</v>
      </c>
      <c r="H179" s="2">
        <v>100</v>
      </c>
      <c r="I179" s="2">
        <v>99</v>
      </c>
      <c r="J179" s="2">
        <v>1</v>
      </c>
      <c r="K179" s="2">
        <v>0</v>
      </c>
      <c r="L179" s="2">
        <v>1</v>
      </c>
      <c r="M179" s="2">
        <v>2.41</v>
      </c>
    </row>
    <row r="180" spans="1:13" x14ac:dyDescent="0.3">
      <c r="A180" s="2">
        <v>715</v>
      </c>
      <c r="B180" s="2" t="s">
        <v>879</v>
      </c>
      <c r="C180" s="2" t="s">
        <v>880</v>
      </c>
      <c r="D180" s="2">
        <f>LEN(Table2[[#This Row],[NAME1]])</f>
        <v>6</v>
      </c>
      <c r="E180" s="2"/>
      <c r="F180" s="2"/>
      <c r="G180" s="2">
        <v>0</v>
      </c>
      <c r="H180" s="2">
        <v>100</v>
      </c>
      <c r="I180" s="2">
        <v>100</v>
      </c>
      <c r="J180" s="2">
        <v>1</v>
      </c>
      <c r="K180" s="2">
        <v>0</v>
      </c>
      <c r="L180" s="2">
        <v>0</v>
      </c>
      <c r="M180" s="2">
        <v>2.59</v>
      </c>
    </row>
    <row r="181" spans="1:13" x14ac:dyDescent="0.3">
      <c r="A181" s="2">
        <v>288</v>
      </c>
      <c r="B181" s="2" t="s">
        <v>363</v>
      </c>
      <c r="C181" s="2" t="s">
        <v>364</v>
      </c>
      <c r="D181" s="2">
        <f>LEN(Table2[[#This Row],[NAME1]])</f>
        <v>6</v>
      </c>
      <c r="E181" s="2"/>
      <c r="F181" s="2"/>
      <c r="G181" s="2">
        <v>0.32984606999999999</v>
      </c>
      <c r="H181" s="2">
        <v>93.939393940000002</v>
      </c>
      <c r="I181" s="2">
        <v>99</v>
      </c>
      <c r="J181" s="2">
        <v>2</v>
      </c>
      <c r="K181" s="2">
        <v>0</v>
      </c>
      <c r="L181" s="2">
        <v>1</v>
      </c>
      <c r="M181" s="2">
        <v>3.1</v>
      </c>
    </row>
    <row r="182" spans="1:13" x14ac:dyDescent="0.3">
      <c r="A182" s="2">
        <v>640</v>
      </c>
      <c r="B182" s="2" t="s">
        <v>796</v>
      </c>
      <c r="C182" s="2" t="s">
        <v>797</v>
      </c>
      <c r="D182" s="2">
        <f>LEN(Table2[[#This Row],[NAME1]])</f>
        <v>6</v>
      </c>
      <c r="E182" s="2"/>
      <c r="F182" s="2"/>
      <c r="G182" s="2">
        <v>0</v>
      </c>
      <c r="H182" s="2">
        <v>100</v>
      </c>
      <c r="I182" s="2">
        <v>97</v>
      </c>
      <c r="J182" s="2">
        <v>1</v>
      </c>
      <c r="K182" s="2">
        <v>3</v>
      </c>
      <c r="L182" s="2">
        <v>0</v>
      </c>
      <c r="M182" s="2">
        <v>2.676767677</v>
      </c>
    </row>
    <row r="183" spans="1:13" x14ac:dyDescent="0.3">
      <c r="A183" s="2">
        <v>391</v>
      </c>
      <c r="B183" s="2" t="s">
        <v>488</v>
      </c>
      <c r="C183" s="2" t="s">
        <v>489</v>
      </c>
      <c r="D183" s="2">
        <f>LEN(Table2[[#This Row],[NAME1]])</f>
        <v>6</v>
      </c>
      <c r="E183" s="2"/>
      <c r="F183" s="2"/>
      <c r="G183" s="2">
        <v>0</v>
      </c>
      <c r="H183" s="2">
        <v>100</v>
      </c>
      <c r="I183" s="2">
        <v>97</v>
      </c>
      <c r="J183" s="2">
        <v>1</v>
      </c>
      <c r="K183" s="2">
        <v>1</v>
      </c>
      <c r="L183" s="2">
        <v>2</v>
      </c>
      <c r="M183" s="2">
        <v>2.08</v>
      </c>
    </row>
    <row r="184" spans="1:13" x14ac:dyDescent="0.3">
      <c r="A184" s="2">
        <v>396</v>
      </c>
      <c r="B184" s="2" t="s">
        <v>492</v>
      </c>
      <c r="C184" s="2" t="s">
        <v>493</v>
      </c>
      <c r="D184" s="2">
        <f>LEN(Table2[[#This Row],[NAME1]])</f>
        <v>6</v>
      </c>
      <c r="E184" s="2"/>
      <c r="F184" s="2"/>
      <c r="G184" s="2">
        <v>0.14372616999999999</v>
      </c>
      <c r="H184" s="2">
        <v>97.959183670000002</v>
      </c>
      <c r="I184" s="2">
        <v>98</v>
      </c>
      <c r="J184" s="2">
        <v>2</v>
      </c>
      <c r="K184" s="2">
        <v>0</v>
      </c>
      <c r="L184" s="2">
        <v>2</v>
      </c>
      <c r="M184" s="2">
        <v>2.7</v>
      </c>
    </row>
    <row r="185" spans="1:13" x14ac:dyDescent="0.3">
      <c r="A185" s="2">
        <v>721</v>
      </c>
      <c r="B185" s="2" t="s">
        <v>889</v>
      </c>
      <c r="C185" s="2" t="s">
        <v>890</v>
      </c>
      <c r="D185" s="2">
        <f>LEN(Table2[[#This Row],[NAME1]])</f>
        <v>6</v>
      </c>
      <c r="E185" s="2"/>
      <c r="F185" s="2"/>
      <c r="G185" s="2">
        <v>0</v>
      </c>
      <c r="H185" s="2">
        <v>100</v>
      </c>
      <c r="I185" s="2">
        <v>99</v>
      </c>
      <c r="J185" s="2">
        <v>1</v>
      </c>
      <c r="K185" s="2">
        <v>0</v>
      </c>
      <c r="L185" s="2">
        <v>1</v>
      </c>
      <c r="M185" s="2">
        <v>2.37</v>
      </c>
    </row>
    <row r="186" spans="1:13" x14ac:dyDescent="0.3">
      <c r="A186" s="2">
        <v>535</v>
      </c>
      <c r="B186" s="2" t="s">
        <v>673</v>
      </c>
      <c r="C186" s="2" t="s">
        <v>674</v>
      </c>
      <c r="D186" s="2">
        <f>LEN(Table2[[#This Row],[NAME1]])</f>
        <v>6</v>
      </c>
      <c r="E186" s="2"/>
      <c r="F186" s="2"/>
      <c r="G186" s="2">
        <v>0.14257333</v>
      </c>
      <c r="H186" s="2">
        <v>97.979797980000001</v>
      </c>
      <c r="I186" s="2">
        <v>99</v>
      </c>
      <c r="J186" s="2">
        <v>2</v>
      </c>
      <c r="K186" s="2">
        <v>0</v>
      </c>
      <c r="L186" s="2">
        <v>1</v>
      </c>
      <c r="M186" s="2">
        <v>2.75</v>
      </c>
    </row>
    <row r="187" spans="1:13" x14ac:dyDescent="0.3">
      <c r="A187" s="2">
        <v>687</v>
      </c>
      <c r="B187" s="2" t="s">
        <v>852</v>
      </c>
      <c r="C187" s="2" t="s">
        <v>73</v>
      </c>
      <c r="D187" s="2">
        <f>LEN(Table2[[#This Row],[NAME1]])</f>
        <v>6</v>
      </c>
      <c r="E187" s="2"/>
      <c r="F187" s="2"/>
      <c r="G187" s="2">
        <v>0</v>
      </c>
      <c r="H187" s="2">
        <v>100</v>
      </c>
      <c r="I187" s="2">
        <v>99</v>
      </c>
      <c r="J187" s="2">
        <v>1</v>
      </c>
      <c r="K187" s="2">
        <v>0</v>
      </c>
      <c r="L187" s="2">
        <v>1</v>
      </c>
      <c r="M187" s="2">
        <v>1.86</v>
      </c>
    </row>
    <row r="188" spans="1:13" x14ac:dyDescent="0.3">
      <c r="A188" s="2">
        <v>692</v>
      </c>
      <c r="B188" s="2" t="s">
        <v>855</v>
      </c>
      <c r="C188" s="2" t="s">
        <v>856</v>
      </c>
      <c r="D188" s="2">
        <f>LEN(Table2[[#This Row],[NAME1]])</f>
        <v>6</v>
      </c>
      <c r="E188" s="2"/>
      <c r="F188" s="2"/>
      <c r="G188" s="2">
        <v>0</v>
      </c>
      <c r="H188" s="2">
        <v>100</v>
      </c>
      <c r="I188" s="2">
        <v>97</v>
      </c>
      <c r="J188" s="2">
        <v>1</v>
      </c>
      <c r="K188" s="2">
        <v>0</v>
      </c>
      <c r="L188" s="2">
        <v>3</v>
      </c>
      <c r="M188" s="2">
        <v>1.65</v>
      </c>
    </row>
    <row r="189" spans="1:13" x14ac:dyDescent="0.3">
      <c r="A189" s="2">
        <v>187</v>
      </c>
      <c r="B189" s="2" t="s">
        <v>242</v>
      </c>
      <c r="C189" s="2" t="s">
        <v>243</v>
      </c>
      <c r="D189" s="2">
        <f>LEN(Table2[[#This Row],[NAME1]])</f>
        <v>6</v>
      </c>
      <c r="E189" s="2"/>
      <c r="F189" s="2"/>
      <c r="G189" s="2">
        <v>0.44569317800000002</v>
      </c>
      <c r="H189" s="2">
        <v>90.721649479999996</v>
      </c>
      <c r="I189" s="2">
        <v>97</v>
      </c>
      <c r="J189" s="2">
        <v>2</v>
      </c>
      <c r="K189" s="2">
        <v>0</v>
      </c>
      <c r="L189" s="2">
        <v>3</v>
      </c>
      <c r="M189" s="2">
        <v>3.23</v>
      </c>
    </row>
    <row r="190" spans="1:13" x14ac:dyDescent="0.3">
      <c r="A190" s="2">
        <v>730</v>
      </c>
      <c r="B190" s="2" t="s">
        <v>897</v>
      </c>
      <c r="C190" s="2" t="s">
        <v>898</v>
      </c>
      <c r="D190" s="2">
        <f>LEN(Table2[[#This Row],[NAME1]])</f>
        <v>6</v>
      </c>
      <c r="E190" s="2"/>
      <c r="F190" s="2"/>
      <c r="G190" s="2">
        <v>0</v>
      </c>
      <c r="H190" s="2">
        <v>100</v>
      </c>
      <c r="I190" s="2">
        <v>100</v>
      </c>
      <c r="J190" s="2">
        <v>1</v>
      </c>
      <c r="K190" s="2">
        <v>0</v>
      </c>
      <c r="L190" s="2">
        <v>0</v>
      </c>
      <c r="M190" s="2">
        <v>3.12</v>
      </c>
    </row>
    <row r="191" spans="1:13" x14ac:dyDescent="0.3">
      <c r="A191" s="2">
        <v>681</v>
      </c>
      <c r="B191" s="2" t="s">
        <v>842</v>
      </c>
      <c r="C191" s="2" t="s">
        <v>843</v>
      </c>
      <c r="D191" s="2">
        <f>LEN(Table2[[#This Row],[NAME1]])</f>
        <v>6</v>
      </c>
      <c r="E191" s="2"/>
      <c r="F191" s="2"/>
      <c r="G191" s="2">
        <v>0.14257333</v>
      </c>
      <c r="H191" s="2">
        <v>97.979797980000001</v>
      </c>
      <c r="I191" s="2">
        <v>99</v>
      </c>
      <c r="J191" s="2">
        <v>2</v>
      </c>
      <c r="K191" s="2">
        <v>0</v>
      </c>
      <c r="L191" s="2">
        <v>1</v>
      </c>
      <c r="M191" s="2">
        <v>2.52</v>
      </c>
    </row>
    <row r="192" spans="1:13" x14ac:dyDescent="0.3">
      <c r="A192" s="2">
        <v>54</v>
      </c>
      <c r="B192" s="2" t="s">
        <v>63</v>
      </c>
      <c r="C192" s="2" t="s">
        <v>64</v>
      </c>
      <c r="D192" s="2">
        <f>LEN(Table2[[#This Row],[NAME1]])</f>
        <v>6</v>
      </c>
      <c r="E192" s="2"/>
      <c r="F192" s="2"/>
      <c r="G192" s="2">
        <v>0.43488961999999998</v>
      </c>
      <c r="H192" s="2">
        <v>93</v>
      </c>
      <c r="I192" s="2">
        <v>100</v>
      </c>
      <c r="J192" s="2">
        <v>3</v>
      </c>
      <c r="K192" s="2">
        <v>0</v>
      </c>
      <c r="L192" s="2">
        <v>0</v>
      </c>
      <c r="M192" s="2">
        <v>1.77</v>
      </c>
    </row>
    <row r="193" spans="1:13" x14ac:dyDescent="0.3">
      <c r="A193" s="2">
        <v>720</v>
      </c>
      <c r="B193" s="2" t="s">
        <v>887</v>
      </c>
      <c r="C193" s="2" t="s">
        <v>888</v>
      </c>
      <c r="D193" s="2">
        <f>LEN(Table2[[#This Row],[NAME1]])</f>
        <v>6</v>
      </c>
      <c r="E193" s="2"/>
      <c r="F193" s="2"/>
      <c r="G193" s="2">
        <v>0</v>
      </c>
      <c r="H193" s="2">
        <v>100</v>
      </c>
      <c r="I193" s="2">
        <v>98</v>
      </c>
      <c r="J193" s="2">
        <v>1</v>
      </c>
      <c r="K193" s="2">
        <v>2</v>
      </c>
      <c r="L193" s="2">
        <v>0</v>
      </c>
      <c r="M193" s="2">
        <v>2.65</v>
      </c>
    </row>
    <row r="194" spans="1:13" x14ac:dyDescent="0.3">
      <c r="A194" s="2">
        <v>197</v>
      </c>
      <c r="B194" s="2" t="s">
        <v>255</v>
      </c>
      <c r="C194" s="2" t="s">
        <v>256</v>
      </c>
      <c r="D194" s="2">
        <f>LEN(Table2[[#This Row],[NAME1]])</f>
        <v>6</v>
      </c>
      <c r="E194" s="2"/>
      <c r="F194" s="2"/>
      <c r="G194" s="2">
        <v>0</v>
      </c>
      <c r="H194" s="2">
        <v>100</v>
      </c>
      <c r="I194" s="2">
        <v>99</v>
      </c>
      <c r="J194" s="2">
        <v>1</v>
      </c>
      <c r="K194" s="2">
        <v>1</v>
      </c>
      <c r="L194" s="2">
        <v>0</v>
      </c>
      <c r="M194" s="2">
        <v>2.5299999999999998</v>
      </c>
    </row>
    <row r="195" spans="1:13" x14ac:dyDescent="0.3">
      <c r="A195" s="2">
        <v>271</v>
      </c>
      <c r="B195" s="2" t="s">
        <v>341</v>
      </c>
      <c r="C195" s="2" t="s">
        <v>342</v>
      </c>
      <c r="D195" s="2">
        <f>LEN(Table2[[#This Row],[NAME1]])</f>
        <v>6</v>
      </c>
      <c r="E195" s="2"/>
      <c r="F195" s="2"/>
      <c r="G195" s="2">
        <v>0</v>
      </c>
      <c r="H195" s="2">
        <v>100</v>
      </c>
      <c r="I195" s="2">
        <v>100</v>
      </c>
      <c r="J195" s="2">
        <v>1</v>
      </c>
      <c r="K195" s="2">
        <v>0</v>
      </c>
      <c r="L195" s="2">
        <v>0</v>
      </c>
      <c r="M195" s="2">
        <v>2.82</v>
      </c>
    </row>
    <row r="196" spans="1:13" x14ac:dyDescent="0.3">
      <c r="A196" s="2">
        <v>409</v>
      </c>
      <c r="B196" s="2" t="s">
        <v>508</v>
      </c>
      <c r="C196" s="2" t="s">
        <v>509</v>
      </c>
      <c r="D196" s="2">
        <f>LEN(Table2[[#This Row],[NAME1]])</f>
        <v>6</v>
      </c>
      <c r="E196" s="2"/>
      <c r="F196" s="2"/>
      <c r="G196" s="2">
        <v>0.24988229300000001</v>
      </c>
      <c r="H196" s="2">
        <v>95.833333330000002</v>
      </c>
      <c r="I196" s="2">
        <v>96</v>
      </c>
      <c r="J196" s="2">
        <v>2</v>
      </c>
      <c r="K196" s="2">
        <v>2</v>
      </c>
      <c r="L196" s="2">
        <v>2</v>
      </c>
      <c r="M196" s="2">
        <v>3.08</v>
      </c>
    </row>
    <row r="197" spans="1:13" x14ac:dyDescent="0.3">
      <c r="A197" s="2">
        <v>32</v>
      </c>
      <c r="B197" s="2" t="s">
        <v>39</v>
      </c>
      <c r="C197" s="2" t="s">
        <v>40</v>
      </c>
      <c r="D197" s="2">
        <f>LEN(Table2[[#This Row],[NAME1]])</f>
        <v>6</v>
      </c>
      <c r="E197" s="2"/>
      <c r="F197" s="2"/>
      <c r="G197" s="2">
        <v>0</v>
      </c>
      <c r="H197" s="2">
        <v>100</v>
      </c>
      <c r="I197" s="2">
        <v>100</v>
      </c>
      <c r="J197" s="2">
        <v>1</v>
      </c>
      <c r="K197" s="2">
        <v>0</v>
      </c>
      <c r="L197" s="2">
        <v>0</v>
      </c>
      <c r="M197" s="2">
        <v>3.04</v>
      </c>
    </row>
    <row r="198" spans="1:13" x14ac:dyDescent="0.3">
      <c r="A198" s="2">
        <v>99</v>
      </c>
      <c r="B198" s="2" t="s">
        <v>126</v>
      </c>
      <c r="C198" s="2" t="s">
        <v>127</v>
      </c>
      <c r="D198" s="2">
        <f>LEN(Table2[[#This Row],[NAME1]])</f>
        <v>6</v>
      </c>
      <c r="E198" s="2"/>
      <c r="F198" s="2"/>
      <c r="G198" s="2">
        <v>0.14372616999999999</v>
      </c>
      <c r="H198" s="2">
        <v>97.959183670000002</v>
      </c>
      <c r="I198" s="2">
        <v>98</v>
      </c>
      <c r="J198" s="2">
        <v>2</v>
      </c>
      <c r="K198" s="2">
        <v>0</v>
      </c>
      <c r="L198" s="2">
        <v>2</v>
      </c>
      <c r="M198" s="2">
        <v>2.74</v>
      </c>
    </row>
    <row r="199" spans="1:13" x14ac:dyDescent="0.3">
      <c r="A199" s="2">
        <v>517</v>
      </c>
      <c r="B199" s="2" t="s">
        <v>649</v>
      </c>
      <c r="C199" s="2" t="s">
        <v>650</v>
      </c>
      <c r="D199" s="2">
        <f>LEN(Table2[[#This Row],[NAME1]])</f>
        <v>6</v>
      </c>
      <c r="E199" s="2"/>
      <c r="F199" s="2"/>
      <c r="G199" s="2">
        <v>0.57421419200000001</v>
      </c>
      <c r="H199" s="2">
        <v>91</v>
      </c>
      <c r="I199" s="2">
        <v>100</v>
      </c>
      <c r="J199" s="2">
        <v>4</v>
      </c>
      <c r="K199" s="2">
        <v>0</v>
      </c>
      <c r="L199" s="2">
        <v>0</v>
      </c>
      <c r="M199" s="2">
        <v>1.94</v>
      </c>
    </row>
    <row r="200" spans="1:13" x14ac:dyDescent="0.3">
      <c r="A200" s="2">
        <v>678</v>
      </c>
      <c r="B200" s="2" t="s">
        <v>838</v>
      </c>
      <c r="C200" s="2" t="s">
        <v>839</v>
      </c>
      <c r="D200" s="2">
        <f>LEN(Table2[[#This Row],[NAME1]])</f>
        <v>6</v>
      </c>
      <c r="E200" s="2"/>
      <c r="F200" s="2"/>
      <c r="G200" s="2">
        <v>0.19745300399999999</v>
      </c>
      <c r="H200" s="2">
        <v>96.938775509999999</v>
      </c>
      <c r="I200" s="2">
        <v>98</v>
      </c>
      <c r="J200" s="2">
        <v>2</v>
      </c>
      <c r="K200" s="2">
        <v>0</v>
      </c>
      <c r="L200" s="2">
        <v>2</v>
      </c>
      <c r="M200" s="2">
        <v>2.1818181820000002</v>
      </c>
    </row>
    <row r="201" spans="1:13" x14ac:dyDescent="0.3">
      <c r="A201" s="2">
        <v>361</v>
      </c>
      <c r="B201" s="2" t="s">
        <v>456</v>
      </c>
      <c r="C201" s="2" t="s">
        <v>457</v>
      </c>
      <c r="D201" s="2">
        <f>LEN(Table2[[#This Row],[NAME1]])</f>
        <v>6</v>
      </c>
      <c r="E201" s="2"/>
      <c r="F201" s="2"/>
      <c r="G201" s="2">
        <v>0</v>
      </c>
      <c r="H201" s="2">
        <v>100</v>
      </c>
      <c r="I201" s="2">
        <v>99</v>
      </c>
      <c r="J201" s="2">
        <v>1</v>
      </c>
      <c r="K201" s="2">
        <v>0</v>
      </c>
      <c r="L201" s="2">
        <v>1</v>
      </c>
      <c r="M201" s="2">
        <v>2.4500000000000002</v>
      </c>
    </row>
    <row r="202" spans="1:13" x14ac:dyDescent="0.3">
      <c r="A202" s="2">
        <v>154</v>
      </c>
      <c r="B202" s="2" t="s">
        <v>200</v>
      </c>
      <c r="C202" s="2" t="s">
        <v>201</v>
      </c>
      <c r="D202" s="2">
        <f>LEN(Table2[[#This Row],[NAME1]])</f>
        <v>6</v>
      </c>
      <c r="E202" s="2"/>
      <c r="F202" s="2"/>
      <c r="G202" s="2">
        <v>0</v>
      </c>
      <c r="H202" s="2">
        <v>100</v>
      </c>
      <c r="I202" s="2">
        <v>98</v>
      </c>
      <c r="J202" s="2">
        <v>1</v>
      </c>
      <c r="K202" s="2">
        <v>1</v>
      </c>
      <c r="L202" s="2">
        <v>1</v>
      </c>
      <c r="M202" s="2">
        <v>2.27</v>
      </c>
    </row>
    <row r="203" spans="1:13" x14ac:dyDescent="0.3">
      <c r="A203" s="2">
        <v>37</v>
      </c>
      <c r="B203" s="2" t="s">
        <v>43</v>
      </c>
      <c r="C203" s="2" t="s">
        <v>44</v>
      </c>
      <c r="D203" s="2">
        <f>LEN(Table2[[#This Row],[NAME1]])</f>
        <v>6</v>
      </c>
      <c r="E203" s="2"/>
      <c r="F203" s="2"/>
      <c r="G203" s="2">
        <v>0.46708144000000001</v>
      </c>
      <c r="H203" s="2">
        <v>92</v>
      </c>
      <c r="I203" s="2">
        <v>100</v>
      </c>
      <c r="J203" s="2">
        <v>3</v>
      </c>
      <c r="K203" s="2">
        <v>0</v>
      </c>
      <c r="L203" s="2">
        <v>0</v>
      </c>
      <c r="M203" s="2">
        <v>2.0699999999999998</v>
      </c>
    </row>
    <row r="204" spans="1:13" x14ac:dyDescent="0.3">
      <c r="A204" s="2">
        <v>111</v>
      </c>
      <c r="B204" s="2" t="s">
        <v>142</v>
      </c>
      <c r="C204" s="2" t="s">
        <v>143</v>
      </c>
      <c r="D204" s="2">
        <f>LEN(Table2[[#This Row],[NAME1]])</f>
        <v>6</v>
      </c>
      <c r="E204" s="2"/>
      <c r="F204" s="2"/>
      <c r="G204" s="2">
        <v>0.14257333</v>
      </c>
      <c r="H204" s="2">
        <v>97.979797980000001</v>
      </c>
      <c r="I204" s="2">
        <v>99</v>
      </c>
      <c r="J204" s="2">
        <v>2</v>
      </c>
      <c r="K204" s="2">
        <v>1</v>
      </c>
      <c r="L204" s="2">
        <v>0</v>
      </c>
      <c r="M204" s="2">
        <v>3.02</v>
      </c>
    </row>
    <row r="205" spans="1:13" x14ac:dyDescent="0.3">
      <c r="A205" s="2">
        <v>633</v>
      </c>
      <c r="B205" s="2" t="s">
        <v>788</v>
      </c>
      <c r="C205" s="2" t="s">
        <v>789</v>
      </c>
      <c r="D205" s="2">
        <f>LEN(Table2[[#This Row],[NAME1]])</f>
        <v>6</v>
      </c>
      <c r="E205" s="2"/>
      <c r="F205" s="2"/>
      <c r="G205" s="2">
        <v>0.33729006700000003</v>
      </c>
      <c r="H205" s="2">
        <v>93.75</v>
      </c>
      <c r="I205" s="2">
        <v>96</v>
      </c>
      <c r="J205" s="2">
        <v>2</v>
      </c>
      <c r="K205" s="2">
        <v>2</v>
      </c>
      <c r="L205" s="2">
        <v>2</v>
      </c>
      <c r="M205" s="2">
        <v>2</v>
      </c>
    </row>
    <row r="206" spans="1:13" x14ac:dyDescent="0.3">
      <c r="A206" s="2">
        <v>590</v>
      </c>
      <c r="B206" s="2" t="s">
        <v>734</v>
      </c>
      <c r="C206" s="2" t="s">
        <v>735</v>
      </c>
      <c r="D206" s="2">
        <f>LEN(Table2[[#This Row],[NAME1]])</f>
        <v>6</v>
      </c>
      <c r="E206" s="2"/>
      <c r="F206" s="2"/>
      <c r="G206" s="2">
        <v>0</v>
      </c>
      <c r="H206" s="2">
        <v>100</v>
      </c>
      <c r="I206" s="2">
        <v>100</v>
      </c>
      <c r="J206" s="2">
        <v>1</v>
      </c>
      <c r="K206" s="2">
        <v>0</v>
      </c>
      <c r="L206" s="2">
        <v>0</v>
      </c>
      <c r="M206" s="2">
        <v>2.1800000000000002</v>
      </c>
    </row>
    <row r="207" spans="1:13" x14ac:dyDescent="0.3">
      <c r="A207" s="2">
        <v>501</v>
      </c>
      <c r="B207" s="2" t="s">
        <v>623</v>
      </c>
      <c r="C207" s="2" t="s">
        <v>624</v>
      </c>
      <c r="D207" s="2">
        <f>LEN(Table2[[#This Row],[NAME1]])</f>
        <v>6</v>
      </c>
      <c r="E207" s="2"/>
      <c r="F207" s="2"/>
      <c r="G207" s="2">
        <v>0.141440543</v>
      </c>
      <c r="H207" s="2">
        <v>98</v>
      </c>
      <c r="I207" s="2">
        <v>100</v>
      </c>
      <c r="J207" s="2">
        <v>2</v>
      </c>
      <c r="K207" s="2">
        <v>0</v>
      </c>
      <c r="L207" s="2">
        <v>0</v>
      </c>
      <c r="M207" s="2">
        <v>2.29</v>
      </c>
    </row>
    <row r="208" spans="1:13" x14ac:dyDescent="0.3">
      <c r="A208" s="2">
        <v>301</v>
      </c>
      <c r="B208" s="2" t="s">
        <v>383</v>
      </c>
      <c r="C208" s="2" t="s">
        <v>384</v>
      </c>
      <c r="D208" s="2">
        <f>LEN(Table2[[#This Row],[NAME1]])</f>
        <v>6</v>
      </c>
      <c r="E208" s="2"/>
      <c r="F208" s="2"/>
      <c r="G208" s="2">
        <v>0</v>
      </c>
      <c r="H208" s="2">
        <v>100</v>
      </c>
      <c r="I208" s="2">
        <v>100</v>
      </c>
      <c r="J208" s="2">
        <v>1</v>
      </c>
      <c r="K208" s="2">
        <v>0</v>
      </c>
      <c r="L208" s="2">
        <v>0</v>
      </c>
      <c r="M208" s="2">
        <v>1.9898989899999999</v>
      </c>
    </row>
    <row r="209" spans="1:13" x14ac:dyDescent="0.3">
      <c r="A209" s="2">
        <v>340</v>
      </c>
      <c r="B209" s="2" t="s">
        <v>428</v>
      </c>
      <c r="C209" s="2" t="s">
        <v>429</v>
      </c>
      <c r="D209" s="2">
        <f>LEN(Table2[[#This Row],[NAME1]])</f>
        <v>6</v>
      </c>
      <c r="E209" s="2"/>
      <c r="F209" s="2"/>
      <c r="G209" s="2">
        <v>0</v>
      </c>
      <c r="H209" s="2">
        <v>100</v>
      </c>
      <c r="I209" s="2">
        <v>100</v>
      </c>
      <c r="J209" s="2">
        <v>1</v>
      </c>
      <c r="K209" s="2">
        <v>0</v>
      </c>
      <c r="L209" s="2">
        <v>0</v>
      </c>
      <c r="M209" s="2">
        <v>2.0299999999999998</v>
      </c>
    </row>
    <row r="210" spans="1:13" x14ac:dyDescent="0.3">
      <c r="A210" s="2">
        <v>261</v>
      </c>
      <c r="B210" s="2" t="s">
        <v>325</v>
      </c>
      <c r="C210" s="2" t="s">
        <v>326</v>
      </c>
      <c r="D210" s="2">
        <f>LEN(Table2[[#This Row],[NAME1]])</f>
        <v>6</v>
      </c>
      <c r="E210" s="2"/>
      <c r="F210" s="2"/>
      <c r="G210" s="2">
        <v>0</v>
      </c>
      <c r="H210" s="2">
        <v>100</v>
      </c>
      <c r="I210" s="2">
        <v>98</v>
      </c>
      <c r="J210" s="2">
        <v>1</v>
      </c>
      <c r="K210" s="2">
        <v>0</v>
      </c>
      <c r="L210" s="2">
        <v>2</v>
      </c>
      <c r="M210" s="2">
        <v>1.94</v>
      </c>
    </row>
    <row r="211" spans="1:13" x14ac:dyDescent="0.3">
      <c r="A211" s="2">
        <v>156</v>
      </c>
      <c r="B211" s="2" t="s">
        <v>204</v>
      </c>
      <c r="C211" s="2" t="s">
        <v>205</v>
      </c>
      <c r="D211" s="2">
        <f>LEN(Table2[[#This Row],[NAME1]])</f>
        <v>6</v>
      </c>
      <c r="E211" s="2"/>
      <c r="F211" s="2"/>
      <c r="G211" s="2">
        <v>0</v>
      </c>
      <c r="H211" s="2">
        <v>100</v>
      </c>
      <c r="I211" s="2">
        <v>99</v>
      </c>
      <c r="J211" s="2">
        <v>1</v>
      </c>
      <c r="K211" s="2">
        <v>0</v>
      </c>
      <c r="L211" s="2">
        <v>1</v>
      </c>
      <c r="M211" s="2">
        <v>1.72</v>
      </c>
    </row>
    <row r="212" spans="1:13" x14ac:dyDescent="0.3">
      <c r="A212" s="2">
        <v>270</v>
      </c>
      <c r="B212" s="2" t="s">
        <v>339</v>
      </c>
      <c r="C212" s="2" t="s">
        <v>340</v>
      </c>
      <c r="D212" s="2">
        <f>LEN(Table2[[#This Row],[NAME1]])</f>
        <v>6</v>
      </c>
      <c r="E212" s="2"/>
      <c r="F212" s="2"/>
      <c r="G212" s="2">
        <v>0</v>
      </c>
      <c r="H212" s="2">
        <v>100</v>
      </c>
      <c r="I212" s="2">
        <v>99</v>
      </c>
      <c r="J212" s="2">
        <v>1</v>
      </c>
      <c r="K212" s="2">
        <v>0</v>
      </c>
      <c r="L212" s="2">
        <v>1</v>
      </c>
      <c r="M212" s="2">
        <v>1.26</v>
      </c>
    </row>
    <row r="213" spans="1:13" x14ac:dyDescent="0.3">
      <c r="A213" s="2">
        <v>344</v>
      </c>
      <c r="B213" s="2" t="s">
        <v>434</v>
      </c>
      <c r="C213" s="2" t="s">
        <v>435</v>
      </c>
      <c r="D213" s="2">
        <f>LEN(Table2[[#This Row],[NAME1]])</f>
        <v>6</v>
      </c>
      <c r="E213" s="2"/>
      <c r="F213" s="2"/>
      <c r="G213" s="2">
        <v>0</v>
      </c>
      <c r="H213" s="2">
        <v>100</v>
      </c>
      <c r="I213" s="2">
        <v>99</v>
      </c>
      <c r="J213" s="2">
        <v>1</v>
      </c>
      <c r="K213" s="2">
        <v>0</v>
      </c>
      <c r="L213" s="2">
        <v>1</v>
      </c>
      <c r="M213" s="2">
        <v>2.42</v>
      </c>
    </row>
    <row r="214" spans="1:13" x14ac:dyDescent="0.3">
      <c r="A214" s="2">
        <v>30</v>
      </c>
      <c r="B214" s="2" t="s">
        <v>35</v>
      </c>
      <c r="C214" s="2" t="s">
        <v>36</v>
      </c>
      <c r="D214" s="2">
        <f>LEN(Table2[[#This Row],[NAME1]])</f>
        <v>6</v>
      </c>
      <c r="E214" s="2"/>
      <c r="F214" s="2"/>
      <c r="G214" s="2">
        <v>0.39156941699999998</v>
      </c>
      <c r="H214" s="2">
        <v>93.81443299</v>
      </c>
      <c r="I214" s="2">
        <v>97</v>
      </c>
      <c r="J214" s="2">
        <v>3</v>
      </c>
      <c r="K214" s="2">
        <v>0</v>
      </c>
      <c r="L214" s="2">
        <v>3</v>
      </c>
      <c r="M214" s="2">
        <v>3.56</v>
      </c>
    </row>
    <row r="215" spans="1:13" x14ac:dyDescent="0.3">
      <c r="A215" s="2">
        <v>576</v>
      </c>
      <c r="B215" s="2" t="s">
        <v>719</v>
      </c>
      <c r="C215" s="2" t="s">
        <v>528</v>
      </c>
      <c r="D215" s="2">
        <f>LEN(Table2[[#This Row],[NAME1]])</f>
        <v>6</v>
      </c>
      <c r="E215" s="2"/>
      <c r="F215" s="2"/>
      <c r="G215" s="2">
        <v>0</v>
      </c>
      <c r="H215" s="2">
        <v>100</v>
      </c>
      <c r="I215" s="2">
        <v>100</v>
      </c>
      <c r="J215" s="2">
        <v>1</v>
      </c>
      <c r="K215" s="2">
        <v>0</v>
      </c>
      <c r="L215" s="2">
        <v>0</v>
      </c>
      <c r="M215" s="2">
        <v>1.92</v>
      </c>
    </row>
    <row r="216" spans="1:13" x14ac:dyDescent="0.3">
      <c r="A216" s="2">
        <v>635</v>
      </c>
      <c r="B216" s="2" t="s">
        <v>790</v>
      </c>
      <c r="C216" s="2" t="s">
        <v>791</v>
      </c>
      <c r="D216" s="2">
        <f>LEN(Table2[[#This Row],[NAME1]])</f>
        <v>6</v>
      </c>
      <c r="E216" s="2"/>
      <c r="F216" s="2"/>
      <c r="G216" s="2">
        <v>0.416844196</v>
      </c>
      <c r="H216" s="2">
        <v>91.578947369999995</v>
      </c>
      <c r="I216" s="2">
        <v>95</v>
      </c>
      <c r="J216" s="2">
        <v>2</v>
      </c>
      <c r="K216" s="2">
        <v>5</v>
      </c>
      <c r="L216" s="2">
        <v>0</v>
      </c>
      <c r="M216" s="2">
        <v>3.08</v>
      </c>
    </row>
    <row r="217" spans="1:13" x14ac:dyDescent="0.3">
      <c r="A217" s="2">
        <v>607</v>
      </c>
      <c r="B217" s="2" t="s">
        <v>756</v>
      </c>
      <c r="C217" s="2" t="s">
        <v>757</v>
      </c>
      <c r="D217" s="2">
        <f>LEN(Table2[[#This Row],[NAME1]])</f>
        <v>6</v>
      </c>
      <c r="E217" s="2"/>
      <c r="F217" s="2"/>
      <c r="G217" s="2">
        <v>0.44505030400000001</v>
      </c>
      <c r="H217" s="2">
        <v>92.783505149999996</v>
      </c>
      <c r="I217" s="2">
        <v>97</v>
      </c>
      <c r="J217" s="2">
        <v>3</v>
      </c>
      <c r="K217" s="2">
        <v>0</v>
      </c>
      <c r="L217" s="2">
        <v>3</v>
      </c>
      <c r="M217" s="2">
        <v>2.34</v>
      </c>
    </row>
    <row r="218" spans="1:13" x14ac:dyDescent="0.3">
      <c r="A218" s="2">
        <v>236</v>
      </c>
      <c r="B218" s="2" t="s">
        <v>297</v>
      </c>
      <c r="C218" s="2" t="s">
        <v>298</v>
      </c>
      <c r="D218" s="2">
        <f>LEN(Table2[[#This Row],[NAME1]])</f>
        <v>6</v>
      </c>
      <c r="E218" s="2"/>
      <c r="F218" s="2"/>
      <c r="G218" s="2">
        <v>0</v>
      </c>
      <c r="H218" s="2">
        <v>100</v>
      </c>
      <c r="I218" s="2">
        <v>100</v>
      </c>
      <c r="J218" s="2">
        <v>1</v>
      </c>
      <c r="K218" s="2">
        <v>0</v>
      </c>
      <c r="L218" s="2">
        <v>0</v>
      </c>
      <c r="M218" s="2">
        <v>3.02</v>
      </c>
    </row>
    <row r="219" spans="1:13" x14ac:dyDescent="0.3">
      <c r="A219" s="2">
        <v>513</v>
      </c>
      <c r="B219" s="2" t="s">
        <v>643</v>
      </c>
      <c r="C219" s="2" t="s">
        <v>644</v>
      </c>
      <c r="D219" s="2">
        <f>LEN(Table2[[#This Row],[NAME1]])</f>
        <v>6</v>
      </c>
      <c r="E219" s="2"/>
      <c r="F219" s="2"/>
      <c r="G219" s="2">
        <v>0.40217919000000002</v>
      </c>
      <c r="H219" s="2">
        <v>92</v>
      </c>
      <c r="I219" s="2">
        <v>100</v>
      </c>
      <c r="J219" s="2">
        <v>2</v>
      </c>
      <c r="K219" s="2">
        <v>0</v>
      </c>
      <c r="L219" s="2">
        <v>0</v>
      </c>
      <c r="M219" s="2">
        <v>2.04</v>
      </c>
    </row>
    <row r="220" spans="1:13" x14ac:dyDescent="0.3">
      <c r="A220" s="2">
        <v>631</v>
      </c>
      <c r="B220" s="2" t="s">
        <v>786</v>
      </c>
      <c r="C220" s="2" t="s">
        <v>787</v>
      </c>
      <c r="D220" s="2">
        <f>LEN(Table2[[#This Row],[NAME1]])</f>
        <v>6</v>
      </c>
      <c r="E220" s="2"/>
      <c r="F220" s="2"/>
      <c r="G220" s="2">
        <v>0.141440543</v>
      </c>
      <c r="H220" s="2">
        <v>98</v>
      </c>
      <c r="I220" s="2">
        <v>100</v>
      </c>
      <c r="J220" s="2">
        <v>2</v>
      </c>
      <c r="K220" s="2">
        <v>0</v>
      </c>
      <c r="L220" s="2">
        <v>0</v>
      </c>
      <c r="M220" s="2">
        <v>2.52</v>
      </c>
    </row>
    <row r="221" spans="1:13" x14ac:dyDescent="0.3">
      <c r="A221" s="2">
        <v>503</v>
      </c>
      <c r="B221" s="2" t="s">
        <v>627</v>
      </c>
      <c r="C221" s="2" t="s">
        <v>628</v>
      </c>
      <c r="D221" s="2">
        <f>LEN(Table2[[#This Row],[NAME1]])</f>
        <v>6</v>
      </c>
      <c r="E221" s="2"/>
      <c r="F221" s="2"/>
      <c r="G221" s="2">
        <v>0</v>
      </c>
      <c r="H221" s="2">
        <v>100</v>
      </c>
      <c r="I221" s="2">
        <v>99</v>
      </c>
      <c r="J221" s="2">
        <v>1</v>
      </c>
      <c r="K221" s="2">
        <v>0</v>
      </c>
      <c r="L221" s="2">
        <v>1</v>
      </c>
      <c r="M221" s="2">
        <v>1.59</v>
      </c>
    </row>
    <row r="222" spans="1:13" x14ac:dyDescent="0.3">
      <c r="A222" s="2">
        <v>190</v>
      </c>
      <c r="B222" s="2" t="s">
        <v>245</v>
      </c>
      <c r="C222" s="2" t="s">
        <v>246</v>
      </c>
      <c r="D222" s="2">
        <f>LEN(Table2[[#This Row],[NAME1]])</f>
        <v>6</v>
      </c>
      <c r="E222" s="2"/>
      <c r="F222" s="2"/>
      <c r="G222" s="2">
        <v>0.405020133</v>
      </c>
      <c r="H222" s="2">
        <v>91.919191920000003</v>
      </c>
      <c r="I222" s="2">
        <v>99</v>
      </c>
      <c r="J222" s="2">
        <v>2</v>
      </c>
      <c r="K222" s="2">
        <v>0</v>
      </c>
      <c r="L222" s="2">
        <v>1</v>
      </c>
      <c r="M222" s="2">
        <v>1.42</v>
      </c>
    </row>
    <row r="223" spans="1:13" x14ac:dyDescent="0.3">
      <c r="A223" s="2">
        <v>95</v>
      </c>
      <c r="B223" s="2" t="s">
        <v>120</v>
      </c>
      <c r="C223" s="2" t="s">
        <v>121</v>
      </c>
      <c r="D223" s="2">
        <f>LEN(Table2[[#This Row],[NAME1]])</f>
        <v>6</v>
      </c>
      <c r="E223" s="2"/>
      <c r="F223" s="2"/>
      <c r="G223" s="2">
        <v>0</v>
      </c>
      <c r="H223" s="2">
        <v>100</v>
      </c>
      <c r="I223" s="2">
        <v>99</v>
      </c>
      <c r="J223" s="2">
        <v>1</v>
      </c>
      <c r="K223" s="2">
        <v>0</v>
      </c>
      <c r="L223" s="2">
        <v>1</v>
      </c>
      <c r="M223" s="2">
        <v>2.1</v>
      </c>
    </row>
    <row r="224" spans="1:13" x14ac:dyDescent="0.3">
      <c r="A224" s="2">
        <v>193</v>
      </c>
      <c r="B224" s="2" t="s">
        <v>251</v>
      </c>
      <c r="C224" s="2" t="s">
        <v>252</v>
      </c>
      <c r="D224" s="2">
        <f>LEN(Table2[[#This Row],[NAME1]])</f>
        <v>6</v>
      </c>
      <c r="E224" s="2"/>
      <c r="F224" s="2"/>
      <c r="G224" s="2">
        <v>0</v>
      </c>
      <c r="H224" s="2">
        <v>100</v>
      </c>
      <c r="I224" s="2">
        <v>95</v>
      </c>
      <c r="J224" s="2">
        <v>1</v>
      </c>
      <c r="K224" s="2">
        <v>3</v>
      </c>
      <c r="L224" s="2">
        <v>2</v>
      </c>
      <c r="M224" s="2">
        <v>2.61</v>
      </c>
    </row>
    <row r="225" spans="1:13" x14ac:dyDescent="0.3">
      <c r="A225" s="2">
        <v>31</v>
      </c>
      <c r="B225" s="2" t="s">
        <v>37</v>
      </c>
      <c r="C225" s="2" t="s">
        <v>38</v>
      </c>
      <c r="D225" s="2">
        <f>LEN(Table2[[#This Row],[NAME1]])</f>
        <v>6</v>
      </c>
      <c r="E225" s="2"/>
      <c r="F225" s="2"/>
      <c r="G225" s="2">
        <v>0</v>
      </c>
      <c r="H225" s="2">
        <v>100</v>
      </c>
      <c r="I225" s="2">
        <v>94</v>
      </c>
      <c r="J225" s="2">
        <v>1</v>
      </c>
      <c r="K225" s="2">
        <v>2</v>
      </c>
      <c r="L225" s="2">
        <v>4</v>
      </c>
      <c r="M225" s="2">
        <v>3.32</v>
      </c>
    </row>
    <row r="226" spans="1:13" x14ac:dyDescent="0.3">
      <c r="A226" s="2">
        <v>675</v>
      </c>
      <c r="B226" s="2" t="s">
        <v>834</v>
      </c>
      <c r="C226" s="2" t="s">
        <v>835</v>
      </c>
      <c r="D226" s="2">
        <f>LEN(Table2[[#This Row],[NAME1]])</f>
        <v>6</v>
      </c>
      <c r="E226" s="2"/>
      <c r="F226" s="2"/>
      <c r="G226" s="2">
        <v>0</v>
      </c>
      <c r="H226" s="2">
        <v>100</v>
      </c>
      <c r="I226" s="2">
        <v>100</v>
      </c>
      <c r="J226" s="2">
        <v>1</v>
      </c>
      <c r="K226" s="2">
        <v>0</v>
      </c>
      <c r="L226" s="2">
        <v>0</v>
      </c>
      <c r="M226" s="2">
        <v>2.64</v>
      </c>
    </row>
    <row r="227" spans="1:13" x14ac:dyDescent="0.3">
      <c r="A227" s="2">
        <v>383</v>
      </c>
      <c r="B227" s="2" t="s">
        <v>478</v>
      </c>
      <c r="C227" s="2" t="s">
        <v>479</v>
      </c>
      <c r="D227" s="2">
        <f>LEN(Table2[[#This Row],[NAME1]])</f>
        <v>6</v>
      </c>
      <c r="E227" s="2"/>
      <c r="F227" s="2"/>
      <c r="G227" s="2">
        <v>0</v>
      </c>
      <c r="H227" s="2">
        <v>100</v>
      </c>
      <c r="I227" s="2">
        <v>100</v>
      </c>
      <c r="J227" s="2">
        <v>1</v>
      </c>
      <c r="K227" s="2">
        <v>0</v>
      </c>
      <c r="L227" s="2">
        <v>0</v>
      </c>
      <c r="M227" s="2">
        <v>2.2599999999999998</v>
      </c>
    </row>
    <row r="228" spans="1:13" x14ac:dyDescent="0.3">
      <c r="A228" s="2">
        <v>88</v>
      </c>
      <c r="B228" s="2" t="s">
        <v>110</v>
      </c>
      <c r="C228" s="2" t="s">
        <v>111</v>
      </c>
      <c r="D228" s="2">
        <f>LEN(Table2[[#This Row],[NAME1]])</f>
        <v>6</v>
      </c>
      <c r="E228" s="2"/>
      <c r="F228" s="2"/>
      <c r="G228" s="2">
        <v>0</v>
      </c>
      <c r="H228" s="2">
        <v>100</v>
      </c>
      <c r="I228" s="2">
        <v>100</v>
      </c>
      <c r="J228" s="2">
        <v>1</v>
      </c>
      <c r="K228" s="2">
        <v>0</v>
      </c>
      <c r="L228" s="2">
        <v>0</v>
      </c>
      <c r="M228" s="2">
        <v>1.65</v>
      </c>
    </row>
    <row r="229" spans="1:13" x14ac:dyDescent="0.3">
      <c r="A229" s="2">
        <v>128</v>
      </c>
      <c r="B229" s="2" t="s">
        <v>164</v>
      </c>
      <c r="C229" s="2" t="s">
        <v>165</v>
      </c>
      <c r="D229" s="2">
        <f>LEN(Table2[[#This Row],[NAME1]])</f>
        <v>6</v>
      </c>
      <c r="E229" s="2"/>
      <c r="F229" s="2"/>
      <c r="G229" s="2">
        <v>0.46899559400000002</v>
      </c>
      <c r="H229" s="2">
        <v>90</v>
      </c>
      <c r="I229" s="2">
        <v>100</v>
      </c>
      <c r="J229" s="2">
        <v>2</v>
      </c>
      <c r="K229" s="2">
        <v>0</v>
      </c>
      <c r="L229" s="2">
        <v>0</v>
      </c>
      <c r="M229" s="2">
        <v>2.59</v>
      </c>
    </row>
    <row r="230" spans="1:13" x14ac:dyDescent="0.3">
      <c r="A230" s="2">
        <v>465</v>
      </c>
      <c r="B230" s="2" t="s">
        <v>577</v>
      </c>
      <c r="C230" s="2" t="s">
        <v>578</v>
      </c>
      <c r="D230" s="2">
        <f>LEN(Table2[[#This Row],[NAME1]])</f>
        <v>6</v>
      </c>
      <c r="E230" s="2"/>
      <c r="F230" s="2"/>
      <c r="G230" s="2">
        <v>0.405020133</v>
      </c>
      <c r="H230" s="2">
        <v>91.919191920000003</v>
      </c>
      <c r="I230" s="2">
        <v>99</v>
      </c>
      <c r="J230" s="2">
        <v>2</v>
      </c>
      <c r="K230" s="2">
        <v>1</v>
      </c>
      <c r="L230" s="2">
        <v>0</v>
      </c>
      <c r="M230" s="2">
        <v>2.02</v>
      </c>
    </row>
    <row r="231" spans="1:13" x14ac:dyDescent="0.3">
      <c r="A231" s="2">
        <v>298</v>
      </c>
      <c r="B231" s="2" t="s">
        <v>379</v>
      </c>
      <c r="C231" s="2" t="s">
        <v>380</v>
      </c>
      <c r="D231" s="2">
        <f>LEN(Table2[[#This Row],[NAME1]])</f>
        <v>6</v>
      </c>
      <c r="E231" s="2"/>
      <c r="F231" s="2"/>
      <c r="G231" s="2">
        <v>0</v>
      </c>
      <c r="H231" s="2">
        <v>100</v>
      </c>
      <c r="I231" s="2">
        <v>100</v>
      </c>
      <c r="J231" s="2">
        <v>1</v>
      </c>
      <c r="K231" s="2">
        <v>0</v>
      </c>
      <c r="L231" s="2">
        <v>0</v>
      </c>
      <c r="M231" s="2">
        <v>2.6262626259999999</v>
      </c>
    </row>
    <row r="232" spans="1:13" x14ac:dyDescent="0.3">
      <c r="A232" s="2">
        <v>512</v>
      </c>
      <c r="B232" s="2" t="s">
        <v>641</v>
      </c>
      <c r="C232" s="2" t="s">
        <v>642</v>
      </c>
      <c r="D232" s="2">
        <f>LEN(Table2[[#This Row],[NAME1]])</f>
        <v>6</v>
      </c>
      <c r="E232" s="2"/>
      <c r="F232" s="2"/>
      <c r="G232" s="2">
        <v>0.29980251299999999</v>
      </c>
      <c r="H232" s="2">
        <v>94.680851059999995</v>
      </c>
      <c r="I232" s="2">
        <v>94</v>
      </c>
      <c r="J232" s="2">
        <v>2</v>
      </c>
      <c r="K232" s="2">
        <v>3</v>
      </c>
      <c r="L232" s="2">
        <v>3</v>
      </c>
      <c r="M232" s="2">
        <v>2.09</v>
      </c>
    </row>
    <row r="233" spans="1:13" x14ac:dyDescent="0.3">
      <c r="A233" s="2">
        <v>502</v>
      </c>
      <c r="B233" s="2" t="s">
        <v>625</v>
      </c>
      <c r="C233" s="2" t="s">
        <v>626</v>
      </c>
      <c r="D233" s="2">
        <f>LEN(Table2[[#This Row],[NAME1]])</f>
        <v>6</v>
      </c>
      <c r="E233" s="2"/>
      <c r="F233" s="2"/>
      <c r="G233" s="2">
        <v>0.14372616999999999</v>
      </c>
      <c r="H233" s="2">
        <v>97.959183670000002</v>
      </c>
      <c r="I233" s="2">
        <v>98</v>
      </c>
      <c r="J233" s="2">
        <v>2</v>
      </c>
      <c r="K233" s="2">
        <v>1</v>
      </c>
      <c r="L233" s="2">
        <v>1</v>
      </c>
      <c r="M233" s="2">
        <v>2.99</v>
      </c>
    </row>
    <row r="234" spans="1:13" x14ac:dyDescent="0.3">
      <c r="A234" s="2">
        <v>249</v>
      </c>
      <c r="B234" s="2" t="s">
        <v>313</v>
      </c>
      <c r="C234" s="2" t="s">
        <v>314</v>
      </c>
      <c r="D234" s="2">
        <f>LEN(Table2[[#This Row],[NAME1]])</f>
        <v>6</v>
      </c>
      <c r="E234" s="2"/>
      <c r="F234" s="2"/>
      <c r="G234" s="2">
        <v>0</v>
      </c>
      <c r="H234" s="2">
        <v>100</v>
      </c>
      <c r="I234" s="2">
        <v>99</v>
      </c>
      <c r="J234" s="2">
        <v>1</v>
      </c>
      <c r="K234" s="2">
        <v>1</v>
      </c>
      <c r="L234" s="2">
        <v>0</v>
      </c>
      <c r="M234" s="2">
        <v>2.0499999999999998</v>
      </c>
    </row>
    <row r="235" spans="1:13" x14ac:dyDescent="0.3">
      <c r="A235" s="2">
        <v>532</v>
      </c>
      <c r="B235" s="2" t="s">
        <v>669</v>
      </c>
      <c r="C235" s="2" t="s">
        <v>670</v>
      </c>
      <c r="D235" s="2">
        <f>LEN(Table2[[#This Row],[NAME1]])</f>
        <v>6</v>
      </c>
      <c r="E235" s="2"/>
      <c r="F235" s="2"/>
      <c r="G235" s="2">
        <v>0</v>
      </c>
      <c r="H235" s="2">
        <v>100</v>
      </c>
      <c r="I235" s="2">
        <v>100</v>
      </c>
      <c r="J235" s="2">
        <v>1</v>
      </c>
      <c r="K235" s="2">
        <v>0</v>
      </c>
      <c r="L235" s="2">
        <v>0</v>
      </c>
      <c r="M235" s="2">
        <v>2.94</v>
      </c>
    </row>
    <row r="236" spans="1:13" x14ac:dyDescent="0.3">
      <c r="A236" s="2">
        <v>277</v>
      </c>
      <c r="B236" s="2" t="s">
        <v>347</v>
      </c>
      <c r="C236" s="2" t="s">
        <v>348</v>
      </c>
      <c r="D236" s="2">
        <f>LEN(Table2[[#This Row],[NAME1]])</f>
        <v>6</v>
      </c>
      <c r="E236" s="2"/>
      <c r="F236" s="2"/>
      <c r="G236" s="2">
        <v>0.24602257799999999</v>
      </c>
      <c r="H236" s="2">
        <v>95.918367349999997</v>
      </c>
      <c r="I236" s="2">
        <v>98</v>
      </c>
      <c r="J236" s="2">
        <v>2</v>
      </c>
      <c r="K236" s="2">
        <v>1</v>
      </c>
      <c r="L236" s="2">
        <v>1</v>
      </c>
      <c r="M236" s="2">
        <v>2.2599999999999998</v>
      </c>
    </row>
    <row r="237" spans="1:13" x14ac:dyDescent="0.3">
      <c r="A237" s="2">
        <v>147</v>
      </c>
      <c r="B237" s="2" t="s">
        <v>190</v>
      </c>
      <c r="C237" s="2" t="s">
        <v>191</v>
      </c>
      <c r="D237" s="2">
        <f>LEN(Table2[[#This Row],[NAME1]])</f>
        <v>6</v>
      </c>
      <c r="E237" s="2"/>
      <c r="F237" s="2"/>
      <c r="G237" s="2">
        <v>0</v>
      </c>
      <c r="H237" s="2">
        <v>100</v>
      </c>
      <c r="I237" s="2">
        <v>98</v>
      </c>
      <c r="J237" s="2">
        <v>1</v>
      </c>
      <c r="K237" s="2">
        <v>0</v>
      </c>
      <c r="L237" s="2">
        <v>2</v>
      </c>
      <c r="M237" s="2">
        <v>1.61</v>
      </c>
    </row>
    <row r="238" spans="1:13" x14ac:dyDescent="0.3">
      <c r="A238" s="2">
        <v>279</v>
      </c>
      <c r="B238" s="2" t="s">
        <v>351</v>
      </c>
      <c r="C238" s="2" t="s">
        <v>352</v>
      </c>
      <c r="D238" s="2">
        <f>LEN(Table2[[#This Row],[NAME1]])</f>
        <v>6</v>
      </c>
      <c r="E238" s="2"/>
      <c r="F238" s="2"/>
      <c r="G238" s="2">
        <v>0.48726979399999998</v>
      </c>
      <c r="H238" s="2">
        <v>91.860465120000001</v>
      </c>
      <c r="I238" s="2">
        <v>86</v>
      </c>
      <c r="J238" s="2">
        <v>3</v>
      </c>
      <c r="K238" s="2">
        <v>12</v>
      </c>
      <c r="L238" s="2">
        <v>2</v>
      </c>
      <c r="M238" s="2">
        <v>2.5499999999999998</v>
      </c>
    </row>
    <row r="239" spans="1:13" x14ac:dyDescent="0.3">
      <c r="A239" s="2">
        <v>8</v>
      </c>
      <c r="B239" s="2" t="s">
        <v>13</v>
      </c>
      <c r="C239" s="2" t="s">
        <v>14</v>
      </c>
      <c r="D239" s="2">
        <f>LEN(Table2[[#This Row],[NAME1]])</f>
        <v>6</v>
      </c>
      <c r="E239" s="2"/>
      <c r="F239" s="2"/>
      <c r="G239" s="2">
        <v>0.327444919</v>
      </c>
      <c r="H239" s="2">
        <v>94</v>
      </c>
      <c r="I239" s="2">
        <v>100</v>
      </c>
      <c r="J239" s="2">
        <v>2</v>
      </c>
      <c r="K239" s="2">
        <v>0</v>
      </c>
      <c r="L239" s="2">
        <v>0</v>
      </c>
      <c r="M239" s="2">
        <v>1.99</v>
      </c>
    </row>
    <row r="240" spans="1:13" x14ac:dyDescent="0.3">
      <c r="A240" s="2">
        <v>669</v>
      </c>
      <c r="B240" s="2" t="s">
        <v>828</v>
      </c>
      <c r="C240" s="2" t="s">
        <v>829</v>
      </c>
      <c r="D240" s="2">
        <f>LEN(Table2[[#This Row],[NAME1]])</f>
        <v>6</v>
      </c>
      <c r="E240" s="2"/>
      <c r="F240" s="2"/>
      <c r="G240" s="2">
        <v>0.14489961800000001</v>
      </c>
      <c r="H240" s="2">
        <v>97.93814433</v>
      </c>
      <c r="I240" s="2">
        <v>97</v>
      </c>
      <c r="J240" s="2">
        <v>2</v>
      </c>
      <c r="K240" s="2">
        <v>1</v>
      </c>
      <c r="L240" s="2">
        <v>2</v>
      </c>
      <c r="M240" s="2">
        <v>3.24</v>
      </c>
    </row>
    <row r="241" spans="1:13" x14ac:dyDescent="0.3">
      <c r="A241" s="2">
        <v>224</v>
      </c>
      <c r="B241" s="2" t="s">
        <v>287</v>
      </c>
      <c r="C241" s="2" t="s">
        <v>288</v>
      </c>
      <c r="D241" s="2">
        <f>LEN(Table2[[#This Row],[NAME1]])</f>
        <v>6</v>
      </c>
      <c r="E241" s="2"/>
      <c r="F241" s="2"/>
      <c r="G241" s="2">
        <v>0</v>
      </c>
      <c r="H241" s="2">
        <v>100</v>
      </c>
      <c r="I241" s="2">
        <v>100</v>
      </c>
      <c r="J241" s="2">
        <v>1</v>
      </c>
      <c r="K241" s="2">
        <v>0</v>
      </c>
      <c r="L241" s="2">
        <v>0</v>
      </c>
      <c r="M241" s="2">
        <v>1.96</v>
      </c>
    </row>
    <row r="242" spans="1:13" x14ac:dyDescent="0.3">
      <c r="A242" s="2">
        <v>175</v>
      </c>
      <c r="B242" s="2" t="s">
        <v>230</v>
      </c>
      <c r="C242" s="2" t="s">
        <v>231</v>
      </c>
      <c r="D242" s="2">
        <f>LEN(Table2[[#This Row],[NAME1]])</f>
        <v>6</v>
      </c>
      <c r="E242" s="2"/>
      <c r="F242" s="2"/>
      <c r="G242" s="2">
        <v>0.194391858</v>
      </c>
      <c r="H242" s="2">
        <v>97</v>
      </c>
      <c r="I242" s="2">
        <v>100</v>
      </c>
      <c r="J242" s="2">
        <v>2</v>
      </c>
      <c r="K242" s="2">
        <v>0</v>
      </c>
      <c r="L242" s="2">
        <v>0</v>
      </c>
      <c r="M242" s="2">
        <v>2.93</v>
      </c>
    </row>
    <row r="243" spans="1:13" x14ac:dyDescent="0.3">
      <c r="A243" s="2">
        <v>265</v>
      </c>
      <c r="B243" s="2" t="s">
        <v>331</v>
      </c>
      <c r="C243" s="2" t="s">
        <v>332</v>
      </c>
      <c r="D243" s="2">
        <f>LEN(Table2[[#This Row],[NAME1]])</f>
        <v>6</v>
      </c>
      <c r="E243" s="2"/>
      <c r="F243" s="2"/>
      <c r="G243" s="2">
        <v>0.14489961800000001</v>
      </c>
      <c r="H243" s="2">
        <v>97.93814433</v>
      </c>
      <c r="I243" s="2">
        <v>97</v>
      </c>
      <c r="J243" s="2">
        <v>2</v>
      </c>
      <c r="K243" s="2">
        <v>0</v>
      </c>
      <c r="L243" s="2">
        <v>3</v>
      </c>
      <c r="M243" s="2">
        <v>3.02</v>
      </c>
    </row>
    <row r="244" spans="1:13" x14ac:dyDescent="0.3">
      <c r="A244" s="2">
        <v>611</v>
      </c>
      <c r="B244" s="2" t="s">
        <v>762</v>
      </c>
      <c r="C244" s="2" t="s">
        <v>763</v>
      </c>
      <c r="D244" s="2">
        <f>LEN(Table2[[#This Row],[NAME1]])</f>
        <v>6</v>
      </c>
      <c r="E244" s="2"/>
      <c r="F244" s="2"/>
      <c r="G244" s="2">
        <v>0.626090653</v>
      </c>
      <c r="H244" s="2">
        <v>90</v>
      </c>
      <c r="I244" s="2">
        <v>100</v>
      </c>
      <c r="J244" s="2">
        <v>4</v>
      </c>
      <c r="K244" s="2">
        <v>0</v>
      </c>
      <c r="L244" s="2">
        <v>0</v>
      </c>
      <c r="M244" s="2">
        <v>2.5299999999999998</v>
      </c>
    </row>
    <row r="245" spans="1:13" x14ac:dyDescent="0.3">
      <c r="A245" s="2">
        <v>178</v>
      </c>
      <c r="B245" s="2" t="s">
        <v>232</v>
      </c>
      <c r="C245" s="2" t="s">
        <v>233</v>
      </c>
      <c r="D245" s="2">
        <f>LEN(Table2[[#This Row],[NAME1]])</f>
        <v>6</v>
      </c>
      <c r="E245" s="2"/>
      <c r="F245" s="2"/>
      <c r="G245" s="2">
        <v>0.14257333</v>
      </c>
      <c r="H245" s="2">
        <v>97.979797980000001</v>
      </c>
      <c r="I245" s="2">
        <v>99</v>
      </c>
      <c r="J245" s="2">
        <v>2</v>
      </c>
      <c r="K245" s="2">
        <v>0</v>
      </c>
      <c r="L245" s="2">
        <v>1</v>
      </c>
      <c r="M245" s="2">
        <v>2.5858585860000001</v>
      </c>
    </row>
    <row r="246" spans="1:13" x14ac:dyDescent="0.3">
      <c r="A246" s="2">
        <v>546</v>
      </c>
      <c r="B246" s="2" t="s">
        <v>687</v>
      </c>
      <c r="C246" s="2" t="s">
        <v>688</v>
      </c>
      <c r="D246" s="2">
        <f>LEN(Table2[[#This Row],[NAME1]])</f>
        <v>6</v>
      </c>
      <c r="E246" s="2"/>
      <c r="F246" s="2"/>
      <c r="G246" s="2">
        <v>0</v>
      </c>
      <c r="H246" s="2">
        <v>100</v>
      </c>
      <c r="I246" s="2">
        <v>100</v>
      </c>
      <c r="J246" s="2">
        <v>1</v>
      </c>
      <c r="K246" s="2">
        <v>0</v>
      </c>
      <c r="L246" s="2">
        <v>0</v>
      </c>
      <c r="M246" s="2">
        <v>1.66</v>
      </c>
    </row>
    <row r="247" spans="1:13" x14ac:dyDescent="0.3">
      <c r="A247" s="2">
        <v>495</v>
      </c>
      <c r="B247" s="2" t="s">
        <v>611</v>
      </c>
      <c r="C247" s="2" t="s">
        <v>612</v>
      </c>
      <c r="D247" s="2">
        <f>LEN(Table2[[#This Row],[NAME1]])</f>
        <v>6</v>
      </c>
      <c r="E247" s="2"/>
      <c r="F247" s="2"/>
      <c r="G247" s="2">
        <v>0.195909271</v>
      </c>
      <c r="H247" s="2">
        <v>96.969696970000001</v>
      </c>
      <c r="I247" s="2">
        <v>99</v>
      </c>
      <c r="J247" s="2">
        <v>2</v>
      </c>
      <c r="K247" s="2">
        <v>0</v>
      </c>
      <c r="L247" s="2">
        <v>1</v>
      </c>
      <c r="M247" s="2">
        <v>3.59</v>
      </c>
    </row>
    <row r="248" spans="1:13" x14ac:dyDescent="0.3">
      <c r="A248" s="2">
        <v>112</v>
      </c>
      <c r="B248" s="2" t="s">
        <v>144</v>
      </c>
      <c r="C248" s="2" t="s">
        <v>145</v>
      </c>
      <c r="D248" s="2">
        <f>LEN(Table2[[#This Row],[NAME1]])</f>
        <v>6</v>
      </c>
      <c r="E248" s="2"/>
      <c r="F248" s="2"/>
      <c r="G248" s="2">
        <v>0</v>
      </c>
      <c r="H248" s="2">
        <v>100</v>
      </c>
      <c r="I248" s="2">
        <v>98</v>
      </c>
      <c r="J248" s="2">
        <v>1</v>
      </c>
      <c r="K248" s="2">
        <v>1</v>
      </c>
      <c r="L248" s="2">
        <v>1</v>
      </c>
      <c r="M248" s="2">
        <v>2.58</v>
      </c>
    </row>
    <row r="249" spans="1:13" x14ac:dyDescent="0.3">
      <c r="A249" s="2">
        <v>338</v>
      </c>
      <c r="B249" s="2" t="s">
        <v>424</v>
      </c>
      <c r="C249" s="2" t="s">
        <v>425</v>
      </c>
      <c r="D249" s="2">
        <f>LEN(Table2[[#This Row],[NAME1]])</f>
        <v>6</v>
      </c>
      <c r="E249" s="2"/>
      <c r="F249" s="2"/>
      <c r="G249" s="2">
        <v>0</v>
      </c>
      <c r="H249" s="2">
        <v>100</v>
      </c>
      <c r="I249" s="2">
        <v>98</v>
      </c>
      <c r="J249" s="2">
        <v>1</v>
      </c>
      <c r="K249" s="2">
        <v>0</v>
      </c>
      <c r="L249" s="2">
        <v>2</v>
      </c>
      <c r="M249" s="2">
        <v>1.85</v>
      </c>
    </row>
    <row r="250" spans="1:13" x14ac:dyDescent="0.3">
      <c r="A250" s="2">
        <v>560</v>
      </c>
      <c r="B250" s="2" t="s">
        <v>703</v>
      </c>
      <c r="C250" s="2" t="s">
        <v>704</v>
      </c>
      <c r="D250" s="2">
        <f>LEN(Table2[[#This Row],[NAME1]])</f>
        <v>6</v>
      </c>
      <c r="E250" s="2"/>
      <c r="F250" s="2"/>
      <c r="G250" s="2">
        <v>0.327444919</v>
      </c>
      <c r="H250" s="2">
        <v>94</v>
      </c>
      <c r="I250" s="2">
        <v>100</v>
      </c>
      <c r="J250" s="2">
        <v>2</v>
      </c>
      <c r="K250" s="2">
        <v>0</v>
      </c>
      <c r="L250" s="2">
        <v>0</v>
      </c>
      <c r="M250" s="2">
        <v>2.323232323</v>
      </c>
    </row>
    <row r="251" spans="1:13" x14ac:dyDescent="0.3">
      <c r="A251" s="2">
        <v>12</v>
      </c>
      <c r="B251" s="2" t="s">
        <v>17</v>
      </c>
      <c r="C251" s="2" t="s">
        <v>18</v>
      </c>
      <c r="D251" s="2">
        <f>LEN(Table2[[#This Row],[NAME1]])</f>
        <v>6</v>
      </c>
      <c r="E251" s="2"/>
      <c r="F251" s="2"/>
      <c r="G251" s="2">
        <v>0</v>
      </c>
      <c r="H251" s="2">
        <v>100</v>
      </c>
      <c r="I251" s="2">
        <v>100</v>
      </c>
      <c r="J251" s="2">
        <v>1</v>
      </c>
      <c r="K251" s="2">
        <v>0</v>
      </c>
      <c r="L251" s="2">
        <v>0</v>
      </c>
      <c r="M251" s="2">
        <v>2.48</v>
      </c>
    </row>
    <row r="252" spans="1:13" x14ac:dyDescent="0.3">
      <c r="A252" s="2">
        <v>55</v>
      </c>
      <c r="B252" s="2" t="s">
        <v>65</v>
      </c>
      <c r="C252" s="2" t="s">
        <v>66</v>
      </c>
      <c r="D252" s="2">
        <f>LEN(Table2[[#This Row],[NAME1]])</f>
        <v>6</v>
      </c>
      <c r="E252" s="2"/>
      <c r="F252" s="2"/>
      <c r="G252" s="2">
        <v>0</v>
      </c>
      <c r="H252" s="2">
        <v>100</v>
      </c>
      <c r="I252" s="2">
        <v>100</v>
      </c>
      <c r="J252" s="2">
        <v>1</v>
      </c>
      <c r="K252" s="2">
        <v>0</v>
      </c>
      <c r="L252" s="2">
        <v>0</v>
      </c>
      <c r="M252" s="2">
        <v>1.97</v>
      </c>
    </row>
    <row r="253" spans="1:13" x14ac:dyDescent="0.3">
      <c r="A253" s="2">
        <v>278</v>
      </c>
      <c r="B253" s="2" t="s">
        <v>349</v>
      </c>
      <c r="C253" s="2" t="s">
        <v>350</v>
      </c>
      <c r="D253" s="2">
        <f>LEN(Table2[[#This Row],[NAME1]])</f>
        <v>6</v>
      </c>
      <c r="E253" s="2"/>
      <c r="F253" s="2"/>
      <c r="G253" s="2">
        <v>0</v>
      </c>
      <c r="H253" s="2">
        <v>100</v>
      </c>
      <c r="I253" s="2">
        <v>98</v>
      </c>
      <c r="J253" s="2">
        <v>1</v>
      </c>
      <c r="K253" s="2">
        <v>0</v>
      </c>
      <c r="L253" s="2">
        <v>2</v>
      </c>
      <c r="M253" s="2">
        <v>2.4</v>
      </c>
    </row>
    <row r="254" spans="1:13" x14ac:dyDescent="0.3">
      <c r="A254" s="2">
        <v>621</v>
      </c>
      <c r="B254" s="2" t="s">
        <v>776</v>
      </c>
      <c r="C254" s="2" t="s">
        <v>777</v>
      </c>
      <c r="D254" s="2">
        <f>LEN(Table2[[#This Row],[NAME1]])</f>
        <v>6</v>
      </c>
      <c r="E254" s="2"/>
      <c r="F254" s="2"/>
      <c r="G254" s="2">
        <v>0</v>
      </c>
      <c r="H254" s="2">
        <v>100</v>
      </c>
      <c r="I254" s="2">
        <v>92</v>
      </c>
      <c r="J254" s="2">
        <v>1</v>
      </c>
      <c r="K254" s="2">
        <v>6</v>
      </c>
      <c r="L254" s="2">
        <v>2</v>
      </c>
      <c r="M254" s="2">
        <v>2.78</v>
      </c>
    </row>
    <row r="255" spans="1:13" x14ac:dyDescent="0.3">
      <c r="A255" s="2">
        <v>66</v>
      </c>
      <c r="B255" s="2" t="s">
        <v>82</v>
      </c>
      <c r="C255" s="2" t="s">
        <v>83</v>
      </c>
      <c r="D255" s="2">
        <f>LEN(Table2[[#This Row],[NAME1]])</f>
        <v>6</v>
      </c>
      <c r="E255" s="2"/>
      <c r="F255" s="2"/>
      <c r="G255" s="2">
        <v>0</v>
      </c>
      <c r="H255" s="2">
        <v>100</v>
      </c>
      <c r="I255" s="2">
        <v>98</v>
      </c>
      <c r="J255" s="2">
        <v>1</v>
      </c>
      <c r="K255" s="2">
        <v>0</v>
      </c>
      <c r="L255" s="2">
        <v>2</v>
      </c>
      <c r="M255" s="2">
        <v>2.41</v>
      </c>
    </row>
    <row r="256" spans="1:13" x14ac:dyDescent="0.3">
      <c r="A256" s="2">
        <v>392</v>
      </c>
      <c r="B256" s="2" t="s">
        <v>490</v>
      </c>
      <c r="C256" s="2" t="s">
        <v>491</v>
      </c>
      <c r="D256" s="2">
        <f>LEN(Table2[[#This Row],[NAME1]])</f>
        <v>6</v>
      </c>
      <c r="E256" s="2"/>
      <c r="F256" s="2"/>
      <c r="G256" s="2">
        <v>0.195909271</v>
      </c>
      <c r="H256" s="2">
        <v>96.969696970000001</v>
      </c>
      <c r="I256" s="2">
        <v>99</v>
      </c>
      <c r="J256" s="2">
        <v>2</v>
      </c>
      <c r="K256" s="2">
        <v>0</v>
      </c>
      <c r="L256" s="2">
        <v>1</v>
      </c>
      <c r="M256" s="2">
        <v>1.82</v>
      </c>
    </row>
    <row r="257" spans="1:13" x14ac:dyDescent="0.3">
      <c r="A257" s="2">
        <v>433</v>
      </c>
      <c r="B257" s="2" t="s">
        <v>529</v>
      </c>
      <c r="C257" s="2" t="s">
        <v>530</v>
      </c>
      <c r="D257" s="2">
        <f>LEN(Table2[[#This Row],[NAME1]])</f>
        <v>6</v>
      </c>
      <c r="E257" s="2"/>
      <c r="F257" s="2"/>
      <c r="G257" s="2">
        <v>0.28454568299999999</v>
      </c>
      <c r="H257" s="2">
        <v>95.959595960000001</v>
      </c>
      <c r="I257" s="2">
        <v>99</v>
      </c>
      <c r="J257" s="2">
        <v>3</v>
      </c>
      <c r="K257" s="2">
        <v>0</v>
      </c>
      <c r="L257" s="2">
        <v>1</v>
      </c>
      <c r="M257" s="2">
        <v>2.0099999999999998</v>
      </c>
    </row>
    <row r="258" spans="1:13" x14ac:dyDescent="0.3">
      <c r="A258" s="2">
        <v>326</v>
      </c>
      <c r="B258" s="2" t="s">
        <v>409</v>
      </c>
      <c r="C258" s="2" t="s">
        <v>410</v>
      </c>
      <c r="D258" s="2">
        <f>LEN(Table2[[#This Row],[NAME1]])</f>
        <v>6</v>
      </c>
      <c r="E258" s="2"/>
      <c r="F258" s="2"/>
      <c r="G258" s="2">
        <v>0</v>
      </c>
      <c r="H258" s="2">
        <v>100</v>
      </c>
      <c r="I258" s="2">
        <v>100</v>
      </c>
      <c r="J258" s="2">
        <v>1</v>
      </c>
      <c r="K258" s="2">
        <v>0</v>
      </c>
      <c r="L258" s="2">
        <v>0</v>
      </c>
      <c r="M258" s="2">
        <v>1.71</v>
      </c>
    </row>
    <row r="259" spans="1:13" x14ac:dyDescent="0.3">
      <c r="A259" s="2">
        <v>144</v>
      </c>
      <c r="B259" s="2" t="s">
        <v>186</v>
      </c>
      <c r="C259" s="2" t="s">
        <v>187</v>
      </c>
      <c r="D259" s="2">
        <f>LEN(Table2[[#This Row],[NAME1]])</f>
        <v>6</v>
      </c>
      <c r="E259" s="2"/>
      <c r="F259" s="2"/>
      <c r="G259" s="2">
        <v>0</v>
      </c>
      <c r="H259" s="2">
        <v>100</v>
      </c>
      <c r="I259" s="2">
        <v>100</v>
      </c>
      <c r="J259" s="2">
        <v>1</v>
      </c>
      <c r="K259" s="2">
        <v>0</v>
      </c>
      <c r="L259" s="2">
        <v>0</v>
      </c>
      <c r="M259" s="2">
        <v>2.74</v>
      </c>
    </row>
    <row r="260" spans="1:13" x14ac:dyDescent="0.3">
      <c r="A260" s="2">
        <v>40</v>
      </c>
      <c r="B260" s="2" t="s">
        <v>49</v>
      </c>
      <c r="C260" s="2" t="s">
        <v>50</v>
      </c>
      <c r="D260" s="2">
        <f>LEN(Table2[[#This Row],[NAME1]])</f>
        <v>6</v>
      </c>
      <c r="E260" s="2"/>
      <c r="F260" s="2"/>
      <c r="G260" s="2">
        <v>0</v>
      </c>
      <c r="H260" s="2">
        <v>100</v>
      </c>
      <c r="I260" s="2">
        <v>99</v>
      </c>
      <c r="J260" s="2">
        <v>1</v>
      </c>
      <c r="K260" s="2">
        <v>0</v>
      </c>
      <c r="L260" s="2">
        <v>1</v>
      </c>
      <c r="M260" s="2">
        <v>1.79</v>
      </c>
    </row>
    <row r="261" spans="1:13" x14ac:dyDescent="0.3">
      <c r="A261" s="2">
        <v>625</v>
      </c>
      <c r="B261" s="2" t="s">
        <v>780</v>
      </c>
      <c r="C261" s="2" t="s">
        <v>781</v>
      </c>
      <c r="D261" s="2">
        <f>LEN(Table2[[#This Row],[NAME1]])</f>
        <v>6</v>
      </c>
      <c r="E261" s="2"/>
      <c r="F261" s="2"/>
      <c r="G261" s="2">
        <v>0.14489961800000001</v>
      </c>
      <c r="H261" s="2">
        <v>97.93814433</v>
      </c>
      <c r="I261" s="2">
        <v>97</v>
      </c>
      <c r="J261" s="2">
        <v>2</v>
      </c>
      <c r="K261" s="2">
        <v>2</v>
      </c>
      <c r="L261" s="2">
        <v>1</v>
      </c>
      <c r="M261" s="2">
        <v>2.15</v>
      </c>
    </row>
    <row r="262" spans="1:13" x14ac:dyDescent="0.3">
      <c r="A262" s="2">
        <v>646</v>
      </c>
      <c r="B262" s="2" t="s">
        <v>802</v>
      </c>
      <c r="C262" s="2" t="s">
        <v>803</v>
      </c>
      <c r="D262" s="2">
        <f>LEN(Table2[[#This Row],[NAME1]])</f>
        <v>6</v>
      </c>
      <c r="E262" s="2"/>
      <c r="F262" s="2"/>
      <c r="G262" s="2">
        <v>0.28639695700000001</v>
      </c>
      <c r="H262" s="2">
        <v>95</v>
      </c>
      <c r="I262" s="2">
        <v>100</v>
      </c>
      <c r="J262" s="2">
        <v>2</v>
      </c>
      <c r="K262" s="2">
        <v>0</v>
      </c>
      <c r="L262" s="2">
        <v>0</v>
      </c>
      <c r="M262" s="2">
        <v>2.86</v>
      </c>
    </row>
    <row r="263" spans="1:13" x14ac:dyDescent="0.3">
      <c r="A263" s="2">
        <v>566</v>
      </c>
      <c r="B263" s="2" t="s">
        <v>707</v>
      </c>
      <c r="C263" s="2" t="s">
        <v>708</v>
      </c>
      <c r="D263" s="2">
        <f>LEN(Table2[[#This Row],[NAME1]])</f>
        <v>6</v>
      </c>
      <c r="E263" s="2"/>
      <c r="F263" s="2"/>
      <c r="G263" s="2">
        <v>0.38850882399999997</v>
      </c>
      <c r="H263" s="2">
        <v>93.877551019999999</v>
      </c>
      <c r="I263" s="2">
        <v>98</v>
      </c>
      <c r="J263" s="2">
        <v>3</v>
      </c>
      <c r="K263" s="2">
        <v>0</v>
      </c>
      <c r="L263" s="2">
        <v>2</v>
      </c>
      <c r="M263" s="2">
        <v>2.58</v>
      </c>
    </row>
    <row r="264" spans="1:13" x14ac:dyDescent="0.3">
      <c r="A264" s="2">
        <v>439</v>
      </c>
      <c r="B264" s="2" t="s">
        <v>537</v>
      </c>
      <c r="C264" s="2" t="s">
        <v>538</v>
      </c>
      <c r="D264" s="2">
        <f>LEN(Table2[[#This Row],[NAME1]])</f>
        <v>6</v>
      </c>
      <c r="E264" s="2"/>
      <c r="F264" s="2"/>
      <c r="G264" s="2">
        <v>0</v>
      </c>
      <c r="H264" s="2">
        <v>100</v>
      </c>
      <c r="I264" s="2">
        <v>97</v>
      </c>
      <c r="J264" s="2">
        <v>1</v>
      </c>
      <c r="K264" s="2">
        <v>1</v>
      </c>
      <c r="L264" s="2">
        <v>2</v>
      </c>
      <c r="M264" s="2">
        <v>2.74</v>
      </c>
    </row>
    <row r="265" spans="1:13" x14ac:dyDescent="0.3">
      <c r="A265" s="2">
        <v>541</v>
      </c>
      <c r="B265" s="2" t="s">
        <v>681</v>
      </c>
      <c r="C265" s="2" t="s">
        <v>682</v>
      </c>
      <c r="D265" s="2">
        <f>LEN(Table2[[#This Row],[NAME1]])</f>
        <v>6</v>
      </c>
      <c r="E265" s="2"/>
      <c r="F265" s="2"/>
      <c r="G265" s="2">
        <v>0</v>
      </c>
      <c r="H265" s="2">
        <v>100</v>
      </c>
      <c r="I265" s="2">
        <v>100</v>
      </c>
      <c r="J265" s="2">
        <v>1</v>
      </c>
      <c r="K265" s="2">
        <v>0</v>
      </c>
      <c r="L265" s="2">
        <v>0</v>
      </c>
      <c r="M265" s="2">
        <v>2.48</v>
      </c>
    </row>
    <row r="266" spans="1:13" x14ac:dyDescent="0.3">
      <c r="A266" s="2">
        <v>368</v>
      </c>
      <c r="B266" s="2" t="s">
        <v>464</v>
      </c>
      <c r="C266" s="2" t="s">
        <v>465</v>
      </c>
      <c r="D266" s="2">
        <f>LEN(Table2[[#This Row],[NAME1]])</f>
        <v>7</v>
      </c>
      <c r="E266" s="2"/>
      <c r="F266" s="2"/>
      <c r="G266" s="2">
        <v>0</v>
      </c>
      <c r="H266" s="2">
        <v>100</v>
      </c>
      <c r="I266" s="2">
        <v>100</v>
      </c>
      <c r="J266" s="2">
        <v>1</v>
      </c>
      <c r="K266" s="2">
        <v>0</v>
      </c>
      <c r="L266" s="2">
        <v>0</v>
      </c>
      <c r="M266" s="2">
        <v>1.97</v>
      </c>
    </row>
    <row r="267" spans="1:13" x14ac:dyDescent="0.3">
      <c r="A267" s="2">
        <v>484</v>
      </c>
      <c r="B267" s="2" t="s">
        <v>597</v>
      </c>
      <c r="C267" s="2" t="s">
        <v>598</v>
      </c>
      <c r="D267" s="2">
        <f>LEN(Table2[[#This Row],[NAME1]])</f>
        <v>7</v>
      </c>
      <c r="E267" s="2"/>
      <c r="F267" s="2"/>
      <c r="G267" s="2">
        <v>0</v>
      </c>
      <c r="H267" s="2">
        <v>100</v>
      </c>
      <c r="I267" s="2">
        <v>100</v>
      </c>
      <c r="J267" s="2">
        <v>1</v>
      </c>
      <c r="K267" s="2">
        <v>0</v>
      </c>
      <c r="L267" s="2">
        <v>0</v>
      </c>
      <c r="M267" s="2">
        <v>2.73</v>
      </c>
    </row>
    <row r="268" spans="1:13" x14ac:dyDescent="0.3">
      <c r="A268" s="2">
        <v>458</v>
      </c>
      <c r="B268" s="2" t="s">
        <v>569</v>
      </c>
      <c r="C268" s="2" t="s">
        <v>570</v>
      </c>
      <c r="D268" s="2">
        <f>LEN(Table2[[#This Row],[NAME1]])</f>
        <v>7</v>
      </c>
      <c r="E268" s="2"/>
      <c r="F268" s="2"/>
      <c r="G268" s="2">
        <v>0.33494448700000001</v>
      </c>
      <c r="H268" s="2">
        <v>95</v>
      </c>
      <c r="I268" s="2">
        <v>100</v>
      </c>
      <c r="J268" s="2">
        <v>3</v>
      </c>
      <c r="K268" s="2">
        <v>0</v>
      </c>
      <c r="L268" s="2">
        <v>0</v>
      </c>
      <c r="M268" s="2">
        <v>1.96</v>
      </c>
    </row>
    <row r="269" spans="1:13" x14ac:dyDescent="0.3">
      <c r="A269" s="2">
        <v>273</v>
      </c>
      <c r="B269" s="2" t="s">
        <v>343</v>
      </c>
      <c r="C269" s="2" t="s">
        <v>344</v>
      </c>
      <c r="D269" s="2">
        <f>LEN(Table2[[#This Row],[NAME1]])</f>
        <v>7</v>
      </c>
      <c r="E269" s="2"/>
      <c r="F269" s="2"/>
      <c r="G269" s="2">
        <v>0</v>
      </c>
      <c r="H269" s="2">
        <v>100</v>
      </c>
      <c r="I269" s="2">
        <v>100</v>
      </c>
      <c r="J269" s="2">
        <v>1</v>
      </c>
      <c r="K269" s="2">
        <v>0</v>
      </c>
      <c r="L269" s="2">
        <v>0</v>
      </c>
      <c r="M269" s="2">
        <v>2.9</v>
      </c>
    </row>
    <row r="270" spans="1:13" x14ac:dyDescent="0.3">
      <c r="A270" s="2">
        <v>212</v>
      </c>
      <c r="B270" s="2" t="s">
        <v>271</v>
      </c>
      <c r="C270" s="2" t="s">
        <v>272</v>
      </c>
      <c r="D270" s="2">
        <f>LEN(Table2[[#This Row],[NAME1]])</f>
        <v>7</v>
      </c>
      <c r="E270" s="2"/>
      <c r="F270" s="2"/>
      <c r="G270" s="2">
        <v>0.39156941699999998</v>
      </c>
      <c r="H270" s="2">
        <v>93.81443299</v>
      </c>
      <c r="I270" s="2">
        <v>97</v>
      </c>
      <c r="J270" s="2">
        <v>3</v>
      </c>
      <c r="K270" s="2">
        <v>0</v>
      </c>
      <c r="L270" s="2">
        <v>3</v>
      </c>
      <c r="M270" s="2">
        <v>2.0202020200000002</v>
      </c>
    </row>
    <row r="271" spans="1:13" x14ac:dyDescent="0.3">
      <c r="A271" s="2">
        <v>151</v>
      </c>
      <c r="B271" s="2" t="s">
        <v>196</v>
      </c>
      <c r="C271" s="2" t="s">
        <v>197</v>
      </c>
      <c r="D271" s="2">
        <f>LEN(Table2[[#This Row],[NAME1]])</f>
        <v>7</v>
      </c>
      <c r="E271" s="2"/>
      <c r="F271" s="2"/>
      <c r="G271" s="2">
        <v>0</v>
      </c>
      <c r="H271" s="2">
        <v>100</v>
      </c>
      <c r="I271" s="2">
        <v>99</v>
      </c>
      <c r="J271" s="2">
        <v>1</v>
      </c>
      <c r="K271" s="2">
        <v>0</v>
      </c>
      <c r="L271" s="2">
        <v>1</v>
      </c>
      <c r="M271" s="2">
        <v>1.61</v>
      </c>
    </row>
    <row r="272" spans="1:13" x14ac:dyDescent="0.3">
      <c r="A272" s="2">
        <v>295</v>
      </c>
      <c r="B272" s="2" t="s">
        <v>375</v>
      </c>
      <c r="C272" s="2" t="s">
        <v>376</v>
      </c>
      <c r="D272" s="2">
        <f>LEN(Table2[[#This Row],[NAME1]])</f>
        <v>7</v>
      </c>
      <c r="E272" s="2"/>
      <c r="F272" s="2"/>
      <c r="G272" s="2">
        <v>0</v>
      </c>
      <c r="H272" s="2">
        <v>100</v>
      </c>
      <c r="I272" s="2">
        <v>100</v>
      </c>
      <c r="J272" s="2">
        <v>1</v>
      </c>
      <c r="K272" s="2">
        <v>0</v>
      </c>
      <c r="L272" s="2">
        <v>0</v>
      </c>
      <c r="M272" s="2">
        <v>1.43</v>
      </c>
    </row>
    <row r="273" spans="1:13" x14ac:dyDescent="0.3">
      <c r="A273" s="2">
        <v>101</v>
      </c>
      <c r="B273" s="2" t="s">
        <v>130</v>
      </c>
      <c r="C273" s="2" t="s">
        <v>131</v>
      </c>
      <c r="D273" s="2">
        <f>LEN(Table2[[#This Row],[NAME1]])</f>
        <v>7</v>
      </c>
      <c r="E273" s="2"/>
      <c r="F273" s="2"/>
      <c r="G273" s="2">
        <v>0</v>
      </c>
      <c r="H273" s="2">
        <v>100</v>
      </c>
      <c r="I273" s="2">
        <v>98</v>
      </c>
      <c r="J273" s="2">
        <v>1</v>
      </c>
      <c r="K273" s="2">
        <v>1</v>
      </c>
      <c r="L273" s="2">
        <v>1</v>
      </c>
      <c r="M273" s="2">
        <v>2.38</v>
      </c>
    </row>
    <row r="274" spans="1:13" x14ac:dyDescent="0.3">
      <c r="A274" s="2">
        <v>474</v>
      </c>
      <c r="B274" s="2" t="s">
        <v>587</v>
      </c>
      <c r="C274" s="2" t="s">
        <v>588</v>
      </c>
      <c r="D274" s="2">
        <f>LEN(Table2[[#This Row],[NAME1]])</f>
        <v>7</v>
      </c>
      <c r="E274" s="2"/>
      <c r="F274" s="2"/>
      <c r="G274" s="2">
        <v>0</v>
      </c>
      <c r="H274" s="2">
        <v>100</v>
      </c>
      <c r="I274" s="2">
        <v>98</v>
      </c>
      <c r="J274" s="2">
        <v>1</v>
      </c>
      <c r="K274" s="2">
        <v>0</v>
      </c>
      <c r="L274" s="2">
        <v>2</v>
      </c>
      <c r="M274" s="2">
        <v>2.54</v>
      </c>
    </row>
    <row r="275" spans="1:13" x14ac:dyDescent="0.3">
      <c r="A275" s="2">
        <v>48</v>
      </c>
      <c r="B275" s="2" t="s">
        <v>59</v>
      </c>
      <c r="C275" s="2" t="s">
        <v>60</v>
      </c>
      <c r="D275" s="2">
        <f>LEN(Table2[[#This Row],[NAME1]])</f>
        <v>7</v>
      </c>
      <c r="E275" s="2"/>
      <c r="F275" s="2"/>
      <c r="G275" s="2">
        <v>0</v>
      </c>
      <c r="H275" s="2">
        <v>100</v>
      </c>
      <c r="I275" s="2">
        <v>100</v>
      </c>
      <c r="J275" s="2">
        <v>1</v>
      </c>
      <c r="K275" s="2">
        <v>0</v>
      </c>
      <c r="L275" s="2">
        <v>0</v>
      </c>
      <c r="M275" s="2">
        <v>2.73</v>
      </c>
    </row>
    <row r="276" spans="1:13" x14ac:dyDescent="0.3">
      <c r="A276" s="2">
        <v>343</v>
      </c>
      <c r="B276" s="2" t="s">
        <v>432</v>
      </c>
      <c r="C276" s="2" t="s">
        <v>433</v>
      </c>
      <c r="D276" s="2">
        <f>LEN(Table2[[#This Row],[NAME1]])</f>
        <v>7</v>
      </c>
      <c r="E276" s="2"/>
      <c r="F276" s="2"/>
      <c r="G276" s="2">
        <v>0</v>
      </c>
      <c r="H276" s="2">
        <v>100</v>
      </c>
      <c r="I276" s="2">
        <v>100</v>
      </c>
      <c r="J276" s="2">
        <v>1</v>
      </c>
      <c r="K276" s="2">
        <v>0</v>
      </c>
      <c r="L276" s="2">
        <v>0</v>
      </c>
      <c r="M276" s="2">
        <v>1.4</v>
      </c>
    </row>
    <row r="277" spans="1:13" x14ac:dyDescent="0.3">
      <c r="A277" s="2">
        <v>292</v>
      </c>
      <c r="B277" s="2" t="s">
        <v>369</v>
      </c>
      <c r="C277" s="2" t="s">
        <v>370</v>
      </c>
      <c r="D277" s="2">
        <f>LEN(Table2[[#This Row],[NAME1]])</f>
        <v>7</v>
      </c>
      <c r="E277" s="2"/>
      <c r="F277" s="2"/>
      <c r="G277" s="2">
        <v>0</v>
      </c>
      <c r="H277" s="2">
        <v>100</v>
      </c>
      <c r="I277" s="2">
        <v>98</v>
      </c>
      <c r="J277" s="2">
        <v>1</v>
      </c>
      <c r="K277" s="2">
        <v>1</v>
      </c>
      <c r="L277" s="2">
        <v>1</v>
      </c>
      <c r="M277" s="2">
        <v>2.34</v>
      </c>
    </row>
    <row r="278" spans="1:13" x14ac:dyDescent="0.3">
      <c r="A278" s="2">
        <v>565</v>
      </c>
      <c r="B278" s="2" t="s">
        <v>705</v>
      </c>
      <c r="C278" s="2" t="s">
        <v>706</v>
      </c>
      <c r="D278" s="2">
        <f>LEN(Table2[[#This Row],[NAME1]])</f>
        <v>7</v>
      </c>
      <c r="E278" s="2"/>
      <c r="F278" s="2"/>
      <c r="G278" s="2">
        <v>0</v>
      </c>
      <c r="H278" s="2">
        <v>100</v>
      </c>
      <c r="I278" s="2">
        <v>100</v>
      </c>
      <c r="J278" s="2">
        <v>1</v>
      </c>
      <c r="K278" s="2">
        <v>0</v>
      </c>
      <c r="L278" s="2">
        <v>0</v>
      </c>
      <c r="M278" s="2">
        <v>2.06</v>
      </c>
    </row>
    <row r="279" spans="1:13" x14ac:dyDescent="0.3">
      <c r="A279" s="2">
        <v>349</v>
      </c>
      <c r="B279" s="2" t="s">
        <v>440</v>
      </c>
      <c r="C279" s="2" t="s">
        <v>441</v>
      </c>
      <c r="D279" s="2">
        <f>LEN(Table2[[#This Row],[NAME1]])</f>
        <v>7</v>
      </c>
      <c r="E279" s="2"/>
      <c r="F279" s="2"/>
      <c r="G279" s="2">
        <v>0.19902377500000001</v>
      </c>
      <c r="H279" s="2">
        <v>96.907216489999996</v>
      </c>
      <c r="I279" s="2">
        <v>97</v>
      </c>
      <c r="J279" s="2">
        <v>2</v>
      </c>
      <c r="K279" s="2">
        <v>1</v>
      </c>
      <c r="L279" s="2">
        <v>2</v>
      </c>
      <c r="M279" s="2">
        <v>1.7</v>
      </c>
    </row>
    <row r="280" spans="1:13" x14ac:dyDescent="0.3">
      <c r="A280" s="2">
        <v>479</v>
      </c>
      <c r="B280" s="2" t="s">
        <v>591</v>
      </c>
      <c r="C280" s="2" t="s">
        <v>592</v>
      </c>
      <c r="D280" s="2">
        <f>LEN(Table2[[#This Row],[NAME1]])</f>
        <v>7</v>
      </c>
      <c r="E280" s="2"/>
      <c r="F280" s="2"/>
      <c r="G280" s="2">
        <v>0</v>
      </c>
      <c r="H280" s="2">
        <v>100</v>
      </c>
      <c r="I280" s="2">
        <v>99</v>
      </c>
      <c r="J280" s="2">
        <v>1</v>
      </c>
      <c r="K280" s="2">
        <v>1</v>
      </c>
      <c r="L280" s="2">
        <v>0</v>
      </c>
      <c r="M280" s="2">
        <v>2.5299999999999998</v>
      </c>
    </row>
    <row r="281" spans="1:13" x14ac:dyDescent="0.3">
      <c r="A281" s="2">
        <v>152</v>
      </c>
      <c r="B281" s="2" t="s">
        <v>198</v>
      </c>
      <c r="C281" s="2" t="s">
        <v>199</v>
      </c>
      <c r="D281" s="2">
        <f>LEN(Table2[[#This Row],[NAME1]])</f>
        <v>7</v>
      </c>
      <c r="E281" s="2"/>
      <c r="F281" s="2"/>
      <c r="G281" s="2">
        <v>0</v>
      </c>
      <c r="H281" s="2">
        <v>100</v>
      </c>
      <c r="I281" s="2">
        <v>100</v>
      </c>
      <c r="J281" s="2">
        <v>1</v>
      </c>
      <c r="K281" s="2">
        <v>0</v>
      </c>
      <c r="L281" s="2">
        <v>0</v>
      </c>
      <c r="M281" s="2">
        <v>2.9191919190000002</v>
      </c>
    </row>
    <row r="282" spans="1:13" x14ac:dyDescent="0.3">
      <c r="A282" s="2">
        <v>596</v>
      </c>
      <c r="B282" s="2" t="s">
        <v>740</v>
      </c>
      <c r="C282" s="2" t="s">
        <v>741</v>
      </c>
      <c r="D282" s="2">
        <f>LEN(Table2[[#This Row],[NAME1]])</f>
        <v>7</v>
      </c>
      <c r="E282" s="2"/>
      <c r="F282" s="2"/>
      <c r="G282" s="2">
        <v>0.194391858</v>
      </c>
      <c r="H282" s="2">
        <v>97</v>
      </c>
      <c r="I282" s="2">
        <v>100</v>
      </c>
      <c r="J282" s="2">
        <v>2</v>
      </c>
      <c r="K282" s="2">
        <v>0</v>
      </c>
      <c r="L282" s="2">
        <v>0</v>
      </c>
      <c r="M282" s="2">
        <v>1.63</v>
      </c>
    </row>
    <row r="283" spans="1:13" x14ac:dyDescent="0.3">
      <c r="A283" s="2">
        <v>242</v>
      </c>
      <c r="B283" s="2" t="s">
        <v>303</v>
      </c>
      <c r="C283" s="2" t="s">
        <v>304</v>
      </c>
      <c r="D283" s="2">
        <f>LEN(Table2[[#This Row],[NAME1]])</f>
        <v>7</v>
      </c>
      <c r="E283" s="2"/>
      <c r="F283" s="2"/>
      <c r="G283" s="2">
        <v>0.14372616999999999</v>
      </c>
      <c r="H283" s="2">
        <v>97.959183670000002</v>
      </c>
      <c r="I283" s="2">
        <v>98</v>
      </c>
      <c r="J283" s="2">
        <v>2</v>
      </c>
      <c r="K283" s="2">
        <v>0</v>
      </c>
      <c r="L283" s="2">
        <v>2</v>
      </c>
      <c r="M283" s="2">
        <v>2.92</v>
      </c>
    </row>
    <row r="284" spans="1:13" x14ac:dyDescent="0.3">
      <c r="A284" s="2">
        <v>16</v>
      </c>
      <c r="B284" s="2" t="s">
        <v>21</v>
      </c>
      <c r="C284" s="2" t="s">
        <v>22</v>
      </c>
      <c r="D284" s="2">
        <f>LEN(Table2[[#This Row],[NAME1]])</f>
        <v>7</v>
      </c>
      <c r="E284" s="2"/>
      <c r="F284" s="2"/>
      <c r="G284" s="2">
        <v>0</v>
      </c>
      <c r="H284" s="2">
        <v>100</v>
      </c>
      <c r="I284" s="2">
        <v>99</v>
      </c>
      <c r="J284" s="2">
        <v>1</v>
      </c>
      <c r="K284" s="2">
        <v>0</v>
      </c>
      <c r="L284" s="2">
        <v>1</v>
      </c>
      <c r="M284" s="2">
        <v>3.17</v>
      </c>
    </row>
    <row r="285" spans="1:13" x14ac:dyDescent="0.3">
      <c r="A285" s="2">
        <v>26</v>
      </c>
      <c r="B285" s="2" t="s">
        <v>31</v>
      </c>
      <c r="C285" s="2" t="s">
        <v>32</v>
      </c>
      <c r="D285" s="2">
        <f>LEN(Table2[[#This Row],[NAME1]])</f>
        <v>7</v>
      </c>
      <c r="E285" s="2"/>
      <c r="F285" s="2"/>
      <c r="G285" s="2">
        <v>0</v>
      </c>
      <c r="H285" s="2">
        <v>100</v>
      </c>
      <c r="I285" s="2">
        <v>99</v>
      </c>
      <c r="J285" s="2">
        <v>1</v>
      </c>
      <c r="K285" s="2">
        <v>0</v>
      </c>
      <c r="L285" s="2">
        <v>1</v>
      </c>
      <c r="M285" s="2">
        <v>2.58</v>
      </c>
    </row>
    <row r="286" spans="1:13" x14ac:dyDescent="0.3">
      <c r="A286" s="2">
        <v>247</v>
      </c>
      <c r="B286" s="2" t="s">
        <v>311</v>
      </c>
      <c r="C286" s="2" t="s">
        <v>312</v>
      </c>
      <c r="D286" s="2">
        <f>LEN(Table2[[#This Row],[NAME1]])</f>
        <v>7</v>
      </c>
      <c r="E286" s="2"/>
      <c r="F286" s="2"/>
      <c r="G286" s="2">
        <v>0</v>
      </c>
      <c r="H286" s="2">
        <v>100</v>
      </c>
      <c r="I286" s="2">
        <v>100</v>
      </c>
      <c r="J286" s="2">
        <v>1</v>
      </c>
      <c r="K286" s="2">
        <v>0</v>
      </c>
      <c r="L286" s="2">
        <v>0</v>
      </c>
      <c r="M286" s="2">
        <v>2.75</v>
      </c>
    </row>
    <row r="287" spans="1:13" x14ac:dyDescent="0.3">
      <c r="A287" s="2">
        <v>130</v>
      </c>
      <c r="B287" s="2" t="s">
        <v>168</v>
      </c>
      <c r="C287" s="2" t="s">
        <v>169</v>
      </c>
      <c r="D287" s="2">
        <f>LEN(Table2[[#This Row],[NAME1]])</f>
        <v>7</v>
      </c>
      <c r="E287" s="2"/>
      <c r="F287" s="2"/>
      <c r="G287" s="2">
        <v>0</v>
      </c>
      <c r="H287" s="2">
        <v>100</v>
      </c>
      <c r="I287" s="2">
        <v>99</v>
      </c>
      <c r="J287" s="2">
        <v>1</v>
      </c>
      <c r="K287" s="2">
        <v>0</v>
      </c>
      <c r="L287" s="2">
        <v>1</v>
      </c>
      <c r="M287" s="2">
        <v>1.98</v>
      </c>
    </row>
    <row r="288" spans="1:13" x14ac:dyDescent="0.3">
      <c r="A288" s="2">
        <v>441</v>
      </c>
      <c r="B288" s="2" t="s">
        <v>539</v>
      </c>
      <c r="C288" s="2" t="s">
        <v>540</v>
      </c>
      <c r="D288" s="2">
        <f>LEN(Table2[[#This Row],[NAME1]])</f>
        <v>7</v>
      </c>
      <c r="E288" s="2"/>
      <c r="F288" s="2"/>
      <c r="G288" s="2">
        <v>0.62394287599999998</v>
      </c>
      <c r="H288" s="2">
        <v>90.816326529999998</v>
      </c>
      <c r="I288" s="2">
        <v>98</v>
      </c>
      <c r="J288" s="2">
        <v>5</v>
      </c>
      <c r="K288" s="2">
        <v>0</v>
      </c>
      <c r="L288" s="2">
        <v>2</v>
      </c>
      <c r="M288" s="2">
        <v>2.34</v>
      </c>
    </row>
    <row r="289" spans="1:13" x14ac:dyDescent="0.3">
      <c r="A289" s="2">
        <v>221</v>
      </c>
      <c r="B289" s="2" t="s">
        <v>281</v>
      </c>
      <c r="C289" s="2" t="s">
        <v>282</v>
      </c>
      <c r="D289" s="2">
        <f>LEN(Table2[[#This Row],[NAME1]])</f>
        <v>7</v>
      </c>
      <c r="E289" s="2"/>
      <c r="F289" s="2"/>
      <c r="G289" s="2">
        <v>0</v>
      </c>
      <c r="H289" s="2">
        <v>100</v>
      </c>
      <c r="I289" s="2">
        <v>99</v>
      </c>
      <c r="J289" s="2">
        <v>1</v>
      </c>
      <c r="K289" s="2">
        <v>0</v>
      </c>
      <c r="L289" s="2">
        <v>1</v>
      </c>
      <c r="M289" s="2">
        <v>1.92</v>
      </c>
    </row>
    <row r="290" spans="1:13" x14ac:dyDescent="0.3">
      <c r="A290" s="2">
        <v>332</v>
      </c>
      <c r="B290" s="2" t="s">
        <v>418</v>
      </c>
      <c r="C290" s="2" t="s">
        <v>419</v>
      </c>
      <c r="D290" s="2">
        <f>LEN(Table2[[#This Row],[NAME1]])</f>
        <v>7</v>
      </c>
      <c r="E290" s="2"/>
      <c r="F290" s="2"/>
      <c r="G290" s="2">
        <v>0.40770577200000002</v>
      </c>
      <c r="H290" s="2">
        <v>93.47826087</v>
      </c>
      <c r="I290" s="2">
        <v>92</v>
      </c>
      <c r="J290" s="2">
        <v>3</v>
      </c>
      <c r="K290" s="2">
        <v>5</v>
      </c>
      <c r="L290" s="2">
        <v>3</v>
      </c>
      <c r="M290" s="2">
        <v>2.87</v>
      </c>
    </row>
    <row r="291" spans="1:13" x14ac:dyDescent="0.3">
      <c r="A291" s="2">
        <v>496</v>
      </c>
      <c r="B291" s="2" t="s">
        <v>613</v>
      </c>
      <c r="C291" s="2" t="s">
        <v>614</v>
      </c>
      <c r="D291" s="2">
        <f>LEN(Table2[[#This Row],[NAME1]])</f>
        <v>7</v>
      </c>
      <c r="E291" s="2"/>
      <c r="F291" s="2"/>
      <c r="G291" s="2">
        <v>0.33476761300000002</v>
      </c>
      <c r="H291" s="2">
        <v>93.81443299</v>
      </c>
      <c r="I291" s="2">
        <v>97</v>
      </c>
      <c r="J291" s="2">
        <v>2</v>
      </c>
      <c r="K291" s="2">
        <v>0</v>
      </c>
      <c r="L291" s="2">
        <v>3</v>
      </c>
      <c r="M291" s="2">
        <v>1.1200000000000001</v>
      </c>
    </row>
    <row r="292" spans="1:13" x14ac:dyDescent="0.3">
      <c r="A292" s="2">
        <v>663</v>
      </c>
      <c r="B292" s="2" t="s">
        <v>820</v>
      </c>
      <c r="C292" s="2" t="s">
        <v>821</v>
      </c>
      <c r="D292" s="2">
        <f>LEN(Table2[[#This Row],[NAME1]])</f>
        <v>7</v>
      </c>
      <c r="E292" s="2"/>
      <c r="F292" s="2"/>
      <c r="G292" s="2">
        <v>0.46206632800000003</v>
      </c>
      <c r="H292" s="2">
        <v>90.217391300000003</v>
      </c>
      <c r="I292" s="2">
        <v>92</v>
      </c>
      <c r="J292" s="2">
        <v>2</v>
      </c>
      <c r="K292" s="2">
        <v>4</v>
      </c>
      <c r="L292" s="2">
        <v>4</v>
      </c>
      <c r="M292" s="2">
        <v>2.1</v>
      </c>
    </row>
    <row r="293" spans="1:13" x14ac:dyDescent="0.3">
      <c r="A293" s="2">
        <v>83</v>
      </c>
      <c r="B293" s="2" t="s">
        <v>102</v>
      </c>
      <c r="C293" s="2" t="s">
        <v>103</v>
      </c>
      <c r="D293" s="2">
        <f>LEN(Table2[[#This Row],[NAME1]])</f>
        <v>7</v>
      </c>
      <c r="E293" s="2"/>
      <c r="F293" s="2"/>
      <c r="G293" s="2">
        <v>0</v>
      </c>
      <c r="H293" s="2">
        <v>100</v>
      </c>
      <c r="I293" s="2">
        <v>99</v>
      </c>
      <c r="J293" s="2">
        <v>1</v>
      </c>
      <c r="K293" s="2">
        <v>0</v>
      </c>
      <c r="L293" s="2">
        <v>1</v>
      </c>
      <c r="M293" s="2">
        <v>1.21</v>
      </c>
    </row>
    <row r="294" spans="1:13" x14ac:dyDescent="0.3">
      <c r="A294" s="2">
        <v>161</v>
      </c>
      <c r="B294" s="2" t="s">
        <v>212</v>
      </c>
      <c r="C294" s="2" t="s">
        <v>213</v>
      </c>
      <c r="D294" s="2">
        <f>LEN(Table2[[#This Row],[NAME1]])</f>
        <v>7</v>
      </c>
      <c r="E294" s="2"/>
      <c r="F294" s="2"/>
      <c r="G294" s="2">
        <v>0</v>
      </c>
      <c r="H294" s="2">
        <v>100</v>
      </c>
      <c r="I294" s="2">
        <v>100</v>
      </c>
      <c r="J294" s="2">
        <v>1</v>
      </c>
      <c r="K294" s="2">
        <v>0</v>
      </c>
      <c r="L294" s="2">
        <v>0</v>
      </c>
      <c r="M294" s="2">
        <v>2.0499999999999998</v>
      </c>
    </row>
    <row r="295" spans="1:13" x14ac:dyDescent="0.3">
      <c r="A295" s="2">
        <v>418</v>
      </c>
      <c r="B295" s="2" t="s">
        <v>520</v>
      </c>
      <c r="C295" s="2" t="s">
        <v>521</v>
      </c>
      <c r="D295" s="2">
        <f>LEN(Table2[[#This Row],[NAME1]])</f>
        <v>7</v>
      </c>
      <c r="E295" s="2"/>
      <c r="F295" s="2"/>
      <c r="G295" s="2">
        <v>0</v>
      </c>
      <c r="H295" s="2">
        <v>100</v>
      </c>
      <c r="I295" s="2">
        <v>99</v>
      </c>
      <c r="J295" s="2">
        <v>1</v>
      </c>
      <c r="K295" s="2">
        <v>1</v>
      </c>
      <c r="L295" s="2">
        <v>0</v>
      </c>
      <c r="M295" s="2">
        <v>2.2200000000000002</v>
      </c>
    </row>
    <row r="296" spans="1:13" x14ac:dyDescent="0.3">
      <c r="A296" s="2">
        <v>89</v>
      </c>
      <c r="B296" s="2" t="s">
        <v>112</v>
      </c>
      <c r="C296" s="2" t="s">
        <v>113</v>
      </c>
      <c r="D296" s="2">
        <f>LEN(Table2[[#This Row],[NAME1]])</f>
        <v>7</v>
      </c>
      <c r="E296" s="2"/>
      <c r="F296" s="2"/>
      <c r="G296" s="2">
        <v>0</v>
      </c>
      <c r="H296" s="2">
        <v>100</v>
      </c>
      <c r="I296" s="2">
        <v>97</v>
      </c>
      <c r="J296" s="2">
        <v>1</v>
      </c>
      <c r="K296" s="2">
        <v>0</v>
      </c>
      <c r="L296" s="2">
        <v>3</v>
      </c>
      <c r="M296" s="2">
        <v>2.2999999999999998</v>
      </c>
    </row>
    <row r="297" spans="1:13" x14ac:dyDescent="0.3">
      <c r="A297" s="2">
        <v>169</v>
      </c>
      <c r="B297" s="2" t="s">
        <v>220</v>
      </c>
      <c r="C297" s="2" t="s">
        <v>221</v>
      </c>
      <c r="D297" s="2">
        <f>LEN(Table2[[#This Row],[NAME1]])</f>
        <v>7</v>
      </c>
      <c r="E297" s="2"/>
      <c r="F297" s="2"/>
      <c r="G297" s="2">
        <v>0</v>
      </c>
      <c r="H297" s="2">
        <v>100</v>
      </c>
      <c r="I297" s="2">
        <v>100</v>
      </c>
      <c r="J297" s="2">
        <v>1</v>
      </c>
      <c r="K297" s="2">
        <v>0</v>
      </c>
      <c r="L297" s="2">
        <v>0</v>
      </c>
      <c r="M297" s="2">
        <v>2.0099999999999998</v>
      </c>
    </row>
    <row r="298" spans="1:13" x14ac:dyDescent="0.3">
      <c r="A298" s="2">
        <v>650</v>
      </c>
      <c r="B298" s="2" t="s">
        <v>806</v>
      </c>
      <c r="C298" s="2" t="s">
        <v>807</v>
      </c>
      <c r="D298" s="2">
        <f>LEN(Table2[[#This Row],[NAME1]])</f>
        <v>7</v>
      </c>
      <c r="E298" s="2"/>
      <c r="F298" s="2"/>
      <c r="G298" s="2">
        <v>0.43587529699999999</v>
      </c>
      <c r="H298" s="2">
        <v>92.957746479999997</v>
      </c>
      <c r="I298" s="2">
        <v>71</v>
      </c>
      <c r="J298" s="2">
        <v>3</v>
      </c>
      <c r="K298" s="2">
        <v>28</v>
      </c>
      <c r="L298" s="2">
        <v>1</v>
      </c>
      <c r="M298" s="2">
        <v>3.13</v>
      </c>
    </row>
    <row r="299" spans="1:13" x14ac:dyDescent="0.3">
      <c r="A299" s="2">
        <v>124</v>
      </c>
      <c r="B299" s="2" t="s">
        <v>158</v>
      </c>
      <c r="C299" s="2" t="s">
        <v>159</v>
      </c>
      <c r="D299" s="2">
        <f>LEN(Table2[[#This Row],[NAME1]])</f>
        <v>7</v>
      </c>
      <c r="E299" s="2"/>
      <c r="F299" s="2"/>
      <c r="G299" s="2">
        <v>0.52959481100000005</v>
      </c>
      <c r="H299" s="2">
        <v>90.909090910000003</v>
      </c>
      <c r="I299" s="2">
        <v>99</v>
      </c>
      <c r="J299" s="2">
        <v>3</v>
      </c>
      <c r="K299" s="2">
        <v>0</v>
      </c>
      <c r="L299" s="2">
        <v>1</v>
      </c>
      <c r="M299" s="2">
        <v>1.81</v>
      </c>
    </row>
    <row r="300" spans="1:13" x14ac:dyDescent="0.3">
      <c r="A300" s="2">
        <v>609</v>
      </c>
      <c r="B300" s="2" t="s">
        <v>758</v>
      </c>
      <c r="C300" s="2" t="s">
        <v>759</v>
      </c>
      <c r="D300" s="2">
        <f>LEN(Table2[[#This Row],[NAME1]])</f>
        <v>7</v>
      </c>
      <c r="E300" s="2"/>
      <c r="F300" s="2"/>
      <c r="G300" s="2">
        <v>0</v>
      </c>
      <c r="H300" s="2">
        <v>100</v>
      </c>
      <c r="I300" s="2">
        <v>99</v>
      </c>
      <c r="J300" s="2">
        <v>1</v>
      </c>
      <c r="K300" s="2">
        <v>0</v>
      </c>
      <c r="L300" s="2">
        <v>1</v>
      </c>
      <c r="M300" s="2">
        <v>2.19</v>
      </c>
    </row>
    <row r="301" spans="1:13" x14ac:dyDescent="0.3">
      <c r="A301" s="2">
        <v>412</v>
      </c>
      <c r="B301" s="2" t="s">
        <v>514</v>
      </c>
      <c r="C301" s="2" t="s">
        <v>515</v>
      </c>
      <c r="D301" s="2">
        <f>LEN(Table2[[#This Row],[NAME1]])</f>
        <v>7</v>
      </c>
      <c r="E301" s="2"/>
      <c r="F301" s="2"/>
      <c r="G301" s="2">
        <v>0.195909271</v>
      </c>
      <c r="H301" s="2">
        <v>96.969696970000001</v>
      </c>
      <c r="I301" s="2">
        <v>99</v>
      </c>
      <c r="J301" s="2">
        <v>2</v>
      </c>
      <c r="K301" s="2">
        <v>0</v>
      </c>
      <c r="L301" s="2">
        <v>1</v>
      </c>
      <c r="M301" s="2">
        <v>2.85</v>
      </c>
    </row>
    <row r="302" spans="1:13" x14ac:dyDescent="0.3">
      <c r="A302" s="2">
        <v>230</v>
      </c>
      <c r="B302" s="2" t="s">
        <v>291</v>
      </c>
      <c r="C302" s="2" t="s">
        <v>292</v>
      </c>
      <c r="D302" s="2">
        <f>LEN(Table2[[#This Row],[NAME1]])</f>
        <v>7</v>
      </c>
      <c r="E302" s="2"/>
      <c r="F302" s="2"/>
      <c r="G302" s="2">
        <v>0.34857491200000001</v>
      </c>
      <c r="H302" s="2">
        <v>94.736842109999998</v>
      </c>
      <c r="I302" s="2">
        <v>95</v>
      </c>
      <c r="J302" s="2">
        <v>3</v>
      </c>
      <c r="K302" s="2">
        <v>0</v>
      </c>
      <c r="L302" s="2">
        <v>5</v>
      </c>
      <c r="M302" s="2">
        <v>2.67</v>
      </c>
    </row>
    <row r="303" spans="1:13" x14ac:dyDescent="0.3">
      <c r="A303" s="2">
        <v>616</v>
      </c>
      <c r="B303" s="2" t="s">
        <v>770</v>
      </c>
      <c r="C303" s="2" t="s">
        <v>771</v>
      </c>
      <c r="D303" s="2">
        <f>LEN(Table2[[#This Row],[NAME1]])</f>
        <v>7</v>
      </c>
      <c r="E303" s="2"/>
      <c r="F303" s="2"/>
      <c r="G303" s="2">
        <v>0</v>
      </c>
      <c r="H303" s="2">
        <v>100</v>
      </c>
      <c r="I303" s="2">
        <v>96</v>
      </c>
      <c r="J303" s="2">
        <v>1</v>
      </c>
      <c r="K303" s="2">
        <v>2</v>
      </c>
      <c r="L303" s="2">
        <v>2</v>
      </c>
      <c r="M303" s="2">
        <v>2.21</v>
      </c>
    </row>
    <row r="304" spans="1:13" x14ac:dyDescent="0.3">
      <c r="A304" s="2">
        <v>454</v>
      </c>
      <c r="B304" s="2" t="s">
        <v>561</v>
      </c>
      <c r="C304" s="2" t="s">
        <v>562</v>
      </c>
      <c r="D304" s="2">
        <f>LEN(Table2[[#This Row],[NAME1]])</f>
        <v>7</v>
      </c>
      <c r="E304" s="2"/>
      <c r="F304" s="2"/>
      <c r="G304" s="2">
        <v>0.46899559400000002</v>
      </c>
      <c r="H304" s="2">
        <v>90</v>
      </c>
      <c r="I304" s="2">
        <v>100</v>
      </c>
      <c r="J304" s="2">
        <v>2</v>
      </c>
      <c r="K304" s="2">
        <v>0</v>
      </c>
      <c r="L304" s="2">
        <v>0</v>
      </c>
      <c r="M304" s="2">
        <v>2.86</v>
      </c>
    </row>
    <row r="305" spans="1:13" x14ac:dyDescent="0.3">
      <c r="A305" s="2">
        <v>291</v>
      </c>
      <c r="B305" s="2" t="s">
        <v>367</v>
      </c>
      <c r="C305" s="2" t="s">
        <v>368</v>
      </c>
      <c r="D305" s="2">
        <f>LEN(Table2[[#This Row],[NAME1]])</f>
        <v>7</v>
      </c>
      <c r="E305" s="2"/>
      <c r="F305" s="2"/>
      <c r="G305" s="2">
        <v>0.47413276599999998</v>
      </c>
      <c r="H305" s="2">
        <v>91.83673469</v>
      </c>
      <c r="I305" s="2">
        <v>98</v>
      </c>
      <c r="J305" s="2">
        <v>3</v>
      </c>
      <c r="K305" s="2">
        <v>0</v>
      </c>
      <c r="L305" s="2">
        <v>2</v>
      </c>
      <c r="M305" s="2">
        <v>2.58</v>
      </c>
    </row>
    <row r="306" spans="1:13" x14ac:dyDescent="0.3">
      <c r="A306" s="2">
        <v>141</v>
      </c>
      <c r="B306" s="2" t="s">
        <v>180</v>
      </c>
      <c r="C306" s="2" t="s">
        <v>181</v>
      </c>
      <c r="D306" s="2">
        <f>LEN(Table2[[#This Row],[NAME1]])</f>
        <v>7</v>
      </c>
      <c r="E306" s="2"/>
      <c r="F306" s="2"/>
      <c r="G306" s="2">
        <v>0</v>
      </c>
      <c r="H306" s="2">
        <v>100</v>
      </c>
      <c r="I306" s="2">
        <v>97</v>
      </c>
      <c r="J306" s="2">
        <v>1</v>
      </c>
      <c r="K306" s="2">
        <v>1</v>
      </c>
      <c r="L306" s="2">
        <v>2</v>
      </c>
      <c r="M306" s="2">
        <v>2.83</v>
      </c>
    </row>
    <row r="307" spans="1:13" x14ac:dyDescent="0.3">
      <c r="A307" s="2">
        <v>320</v>
      </c>
      <c r="B307" s="2" t="s">
        <v>403</v>
      </c>
      <c r="C307" s="2" t="s">
        <v>404</v>
      </c>
      <c r="D307" s="2">
        <f>LEN(Table2[[#This Row],[NAME1]])</f>
        <v>7</v>
      </c>
      <c r="E307" s="2"/>
      <c r="F307" s="2"/>
      <c r="G307" s="2">
        <v>0.24793583799999999</v>
      </c>
      <c r="H307" s="2">
        <v>95.87628866</v>
      </c>
      <c r="I307" s="2">
        <v>97</v>
      </c>
      <c r="J307" s="2">
        <v>2</v>
      </c>
      <c r="K307" s="2">
        <v>0</v>
      </c>
      <c r="L307" s="2">
        <v>3</v>
      </c>
      <c r="M307" s="2">
        <v>2.88</v>
      </c>
    </row>
    <row r="308" spans="1:13" x14ac:dyDescent="0.3">
      <c r="A308" s="2">
        <v>414</v>
      </c>
      <c r="B308" s="2" t="s">
        <v>516</v>
      </c>
      <c r="C308" s="2" t="s">
        <v>517</v>
      </c>
      <c r="D308" s="2">
        <f>LEN(Table2[[#This Row],[NAME1]])</f>
        <v>7</v>
      </c>
      <c r="E308" s="2"/>
      <c r="F308" s="2"/>
      <c r="G308" s="2">
        <v>0</v>
      </c>
      <c r="H308" s="2">
        <v>100</v>
      </c>
      <c r="I308" s="2">
        <v>99</v>
      </c>
      <c r="J308" s="2">
        <v>1</v>
      </c>
      <c r="K308" s="2">
        <v>0</v>
      </c>
      <c r="L308" s="2">
        <v>1</v>
      </c>
      <c r="M308" s="2">
        <v>1.91</v>
      </c>
    </row>
    <row r="309" spans="1:13" x14ac:dyDescent="0.3">
      <c r="A309" s="2">
        <v>592</v>
      </c>
      <c r="B309" s="2" t="s">
        <v>736</v>
      </c>
      <c r="C309" s="2" t="s">
        <v>737</v>
      </c>
      <c r="D309" s="2">
        <f>LEN(Table2[[#This Row],[NAME1]])</f>
        <v>7</v>
      </c>
      <c r="E309" s="2"/>
      <c r="F309" s="2"/>
      <c r="G309" s="2">
        <v>0</v>
      </c>
      <c r="H309" s="2">
        <v>100</v>
      </c>
      <c r="I309" s="2">
        <v>96</v>
      </c>
      <c r="J309" s="2">
        <v>1</v>
      </c>
      <c r="K309" s="2">
        <v>1</v>
      </c>
      <c r="L309" s="2">
        <v>3</v>
      </c>
      <c r="M309" s="2">
        <v>2.54</v>
      </c>
    </row>
    <row r="310" spans="1:13" x14ac:dyDescent="0.3">
      <c r="A310" s="2">
        <v>60</v>
      </c>
      <c r="B310" s="2" t="s">
        <v>74</v>
      </c>
      <c r="C310" s="2" t="s">
        <v>75</v>
      </c>
      <c r="D310" s="2">
        <f>LEN(Table2[[#This Row],[NAME1]])</f>
        <v>7</v>
      </c>
      <c r="E310" s="2"/>
      <c r="F310" s="2"/>
      <c r="G310" s="2">
        <v>0.36663735200000003</v>
      </c>
      <c r="H310" s="2">
        <v>94.382022469999995</v>
      </c>
      <c r="I310" s="2">
        <v>89</v>
      </c>
      <c r="J310" s="2">
        <v>3</v>
      </c>
      <c r="K310" s="2">
        <v>4</v>
      </c>
      <c r="L310" s="2">
        <v>7</v>
      </c>
      <c r="M310" s="2">
        <v>3.16</v>
      </c>
    </row>
    <row r="311" spans="1:13" x14ac:dyDescent="0.3">
      <c r="A311" s="2">
        <v>552</v>
      </c>
      <c r="B311" s="2" t="s">
        <v>695</v>
      </c>
      <c r="C311" s="2" t="s">
        <v>696</v>
      </c>
      <c r="D311" s="2">
        <f>LEN(Table2[[#This Row],[NAME1]])</f>
        <v>7</v>
      </c>
      <c r="E311" s="2"/>
      <c r="F311" s="2"/>
      <c r="G311" s="2">
        <v>0</v>
      </c>
      <c r="H311" s="2">
        <v>100</v>
      </c>
      <c r="I311" s="2">
        <v>100</v>
      </c>
      <c r="J311" s="2">
        <v>1</v>
      </c>
      <c r="K311" s="2">
        <v>0</v>
      </c>
      <c r="L311" s="2">
        <v>0</v>
      </c>
      <c r="M311" s="2">
        <v>2.13</v>
      </c>
    </row>
    <row r="312" spans="1:13" x14ac:dyDescent="0.3">
      <c r="A312" s="2">
        <v>558</v>
      </c>
      <c r="B312" s="2" t="s">
        <v>701</v>
      </c>
      <c r="C312" s="2" t="s">
        <v>702</v>
      </c>
      <c r="D312" s="2">
        <f>LEN(Table2[[#This Row],[NAME1]])</f>
        <v>7</v>
      </c>
      <c r="E312" s="2"/>
      <c r="F312" s="2"/>
      <c r="G312" s="2">
        <v>0</v>
      </c>
      <c r="H312" s="2">
        <v>100</v>
      </c>
      <c r="I312" s="2">
        <v>98</v>
      </c>
      <c r="J312" s="2">
        <v>1</v>
      </c>
      <c r="K312" s="2">
        <v>0</v>
      </c>
      <c r="L312" s="2">
        <v>2</v>
      </c>
      <c r="M312" s="2">
        <v>2.04</v>
      </c>
    </row>
    <row r="313" spans="1:13" x14ac:dyDescent="0.3">
      <c r="A313" s="2">
        <v>657</v>
      </c>
      <c r="B313" s="2" t="s">
        <v>816</v>
      </c>
      <c r="C313" s="2" t="s">
        <v>817</v>
      </c>
      <c r="D313" s="2">
        <f>LEN(Table2[[#This Row],[NAME1]])</f>
        <v>7</v>
      </c>
      <c r="E313" s="2"/>
      <c r="F313" s="2"/>
      <c r="G313" s="2">
        <v>0</v>
      </c>
      <c r="H313" s="2">
        <v>100</v>
      </c>
      <c r="I313" s="2">
        <v>100</v>
      </c>
      <c r="J313" s="2">
        <v>1</v>
      </c>
      <c r="K313" s="2">
        <v>0</v>
      </c>
      <c r="L313" s="2">
        <v>0</v>
      </c>
      <c r="M313" s="2">
        <v>2.2799999999999998</v>
      </c>
    </row>
    <row r="314" spans="1:13" x14ac:dyDescent="0.3">
      <c r="A314" s="2">
        <v>444</v>
      </c>
      <c r="B314" s="2" t="s">
        <v>545</v>
      </c>
      <c r="C314" s="2" t="s">
        <v>546</v>
      </c>
      <c r="D314" s="2">
        <f>LEN(Table2[[#This Row],[NAME1]])</f>
        <v>7</v>
      </c>
      <c r="E314" s="2"/>
      <c r="F314" s="2"/>
      <c r="G314" s="2">
        <v>0.19902377500000001</v>
      </c>
      <c r="H314" s="2">
        <v>96.907216489999996</v>
      </c>
      <c r="I314" s="2">
        <v>97</v>
      </c>
      <c r="J314" s="2">
        <v>2</v>
      </c>
      <c r="K314" s="2">
        <v>0</v>
      </c>
      <c r="L314" s="2">
        <v>3</v>
      </c>
      <c r="M314" s="2">
        <v>2.4500000000000002</v>
      </c>
    </row>
    <row r="315" spans="1:13" x14ac:dyDescent="0.3">
      <c r="A315" s="2">
        <v>339</v>
      </c>
      <c r="B315" s="2" t="s">
        <v>426</v>
      </c>
      <c r="C315" s="2" t="s">
        <v>427</v>
      </c>
      <c r="D315" s="2">
        <f>LEN(Table2[[#This Row],[NAME1]])</f>
        <v>7</v>
      </c>
      <c r="E315" s="2"/>
      <c r="F315" s="2"/>
      <c r="G315" s="2">
        <v>0</v>
      </c>
      <c r="H315" s="2">
        <v>100</v>
      </c>
      <c r="I315" s="2">
        <v>100</v>
      </c>
      <c r="J315" s="2">
        <v>1</v>
      </c>
      <c r="K315" s="2">
        <v>0</v>
      </c>
      <c r="L315" s="2">
        <v>0</v>
      </c>
      <c r="M315" s="2">
        <v>2.21</v>
      </c>
    </row>
    <row r="316" spans="1:13" x14ac:dyDescent="0.3">
      <c r="A316" s="2">
        <v>686</v>
      </c>
      <c r="B316" s="2" t="s">
        <v>850</v>
      </c>
      <c r="C316" s="2" t="s">
        <v>851</v>
      </c>
      <c r="D316" s="2">
        <f>LEN(Table2[[#This Row],[NAME1]])</f>
        <v>7</v>
      </c>
      <c r="E316" s="2"/>
      <c r="F316" s="2"/>
      <c r="G316" s="2">
        <v>0.20224942500000001</v>
      </c>
      <c r="H316" s="2">
        <v>96.842105259999997</v>
      </c>
      <c r="I316" s="2">
        <v>95</v>
      </c>
      <c r="J316" s="2">
        <v>2</v>
      </c>
      <c r="K316" s="2">
        <v>1</v>
      </c>
      <c r="L316" s="2">
        <v>4</v>
      </c>
      <c r="M316" s="2">
        <v>3.51</v>
      </c>
    </row>
    <row r="317" spans="1:13" x14ac:dyDescent="0.3">
      <c r="A317" s="2">
        <v>709</v>
      </c>
      <c r="B317" s="2" t="s">
        <v>875</v>
      </c>
      <c r="C317" s="2" t="s">
        <v>876</v>
      </c>
      <c r="D317" s="2">
        <f>LEN(Table2[[#This Row],[NAME1]])</f>
        <v>7</v>
      </c>
      <c r="E317" s="2"/>
      <c r="F317" s="2"/>
      <c r="G317" s="2">
        <v>0</v>
      </c>
      <c r="H317" s="2">
        <v>100</v>
      </c>
      <c r="I317" s="2">
        <v>99</v>
      </c>
      <c r="J317" s="2">
        <v>1</v>
      </c>
      <c r="K317" s="2">
        <v>0</v>
      </c>
      <c r="L317" s="2">
        <v>1</v>
      </c>
      <c r="M317" s="2">
        <v>2.8080808080000002</v>
      </c>
    </row>
    <row r="318" spans="1:13" x14ac:dyDescent="0.3">
      <c r="A318" s="2">
        <v>695</v>
      </c>
      <c r="B318" s="2" t="s">
        <v>861</v>
      </c>
      <c r="C318" s="2" t="s">
        <v>862</v>
      </c>
      <c r="D318" s="2">
        <f>LEN(Table2[[#This Row],[NAME1]])</f>
        <v>7</v>
      </c>
      <c r="E318" s="2"/>
      <c r="F318" s="2"/>
      <c r="G318" s="2">
        <v>0</v>
      </c>
      <c r="H318" s="2">
        <v>100</v>
      </c>
      <c r="I318" s="2">
        <v>100</v>
      </c>
      <c r="J318" s="2">
        <v>1</v>
      </c>
      <c r="K318" s="2">
        <v>0</v>
      </c>
      <c r="L318" s="2">
        <v>0</v>
      </c>
      <c r="M318" s="2">
        <v>2.17</v>
      </c>
    </row>
    <row r="319" spans="1:13" x14ac:dyDescent="0.3">
      <c r="A319" s="2">
        <v>483</v>
      </c>
      <c r="B319" s="2" t="s">
        <v>595</v>
      </c>
      <c r="C319" s="2" t="s">
        <v>596</v>
      </c>
      <c r="D319" s="2">
        <f>LEN(Table2[[#This Row],[NAME1]])</f>
        <v>7</v>
      </c>
      <c r="E319" s="2"/>
      <c r="F319" s="2"/>
      <c r="G319" s="2">
        <v>0</v>
      </c>
      <c r="H319" s="2">
        <v>100</v>
      </c>
      <c r="I319" s="2">
        <v>100</v>
      </c>
      <c r="J319" s="2">
        <v>1</v>
      </c>
      <c r="K319" s="2">
        <v>0</v>
      </c>
      <c r="L319" s="2">
        <v>0</v>
      </c>
      <c r="M319" s="2">
        <v>2.39</v>
      </c>
    </row>
    <row r="320" spans="1:13" x14ac:dyDescent="0.3">
      <c r="A320" s="2">
        <v>362</v>
      </c>
      <c r="B320" s="2" t="s">
        <v>458</v>
      </c>
      <c r="C320" s="2" t="s">
        <v>459</v>
      </c>
      <c r="D320" s="2">
        <f>LEN(Table2[[#This Row],[NAME1]])</f>
        <v>7</v>
      </c>
      <c r="E320" s="2"/>
      <c r="F320" s="2"/>
      <c r="G320" s="2">
        <v>0</v>
      </c>
      <c r="H320" s="2">
        <v>100</v>
      </c>
      <c r="I320" s="2">
        <v>100</v>
      </c>
      <c r="J320" s="2">
        <v>1</v>
      </c>
      <c r="K320" s="2">
        <v>0</v>
      </c>
      <c r="L320" s="2">
        <v>0</v>
      </c>
      <c r="M320" s="2">
        <v>2.1</v>
      </c>
    </row>
    <row r="321" spans="1:13" x14ac:dyDescent="0.3">
      <c r="A321" s="2">
        <v>461</v>
      </c>
      <c r="B321" s="2" t="s">
        <v>571</v>
      </c>
      <c r="C321" s="2" t="s">
        <v>572</v>
      </c>
      <c r="D321" s="2">
        <f>LEN(Table2[[#This Row],[NAME1]])</f>
        <v>7</v>
      </c>
      <c r="E321" s="2"/>
      <c r="F321" s="2"/>
      <c r="G321" s="2">
        <v>0.14257333</v>
      </c>
      <c r="H321" s="2">
        <v>97.979797980000001</v>
      </c>
      <c r="I321" s="2">
        <v>99</v>
      </c>
      <c r="J321" s="2">
        <v>2</v>
      </c>
      <c r="K321" s="2">
        <v>0</v>
      </c>
      <c r="L321" s="2">
        <v>1</v>
      </c>
      <c r="M321" s="2">
        <v>2.06</v>
      </c>
    </row>
    <row r="322" spans="1:13" x14ac:dyDescent="0.3">
      <c r="A322" s="2">
        <v>402</v>
      </c>
      <c r="B322" s="2" t="s">
        <v>500</v>
      </c>
      <c r="C322" s="2" t="s">
        <v>501</v>
      </c>
      <c r="D322" s="2">
        <f>LEN(Table2[[#This Row],[NAME1]])</f>
        <v>7</v>
      </c>
      <c r="E322" s="2"/>
      <c r="F322" s="2"/>
      <c r="G322" s="2">
        <v>0.33494448700000001</v>
      </c>
      <c r="H322" s="2">
        <v>95</v>
      </c>
      <c r="I322" s="2">
        <v>100</v>
      </c>
      <c r="J322" s="2">
        <v>3</v>
      </c>
      <c r="K322" s="2">
        <v>0</v>
      </c>
      <c r="L322" s="2">
        <v>0</v>
      </c>
      <c r="M322" s="2">
        <v>2</v>
      </c>
    </row>
    <row r="323" spans="1:13" x14ac:dyDescent="0.3">
      <c r="A323" s="2">
        <v>586</v>
      </c>
      <c r="B323" s="2" t="s">
        <v>730</v>
      </c>
      <c r="C323" s="2" t="s">
        <v>731</v>
      </c>
      <c r="D323" s="2">
        <f>LEN(Table2[[#This Row],[NAME1]])</f>
        <v>7</v>
      </c>
      <c r="E323" s="2"/>
      <c r="F323" s="2"/>
      <c r="G323" s="2">
        <v>0</v>
      </c>
      <c r="H323" s="2">
        <v>100</v>
      </c>
      <c r="I323" s="2">
        <v>100</v>
      </c>
      <c r="J323" s="2">
        <v>1</v>
      </c>
      <c r="K323" s="2">
        <v>0</v>
      </c>
      <c r="L323" s="2">
        <v>0</v>
      </c>
      <c r="M323" s="2">
        <v>2.2400000000000002</v>
      </c>
    </row>
    <row r="324" spans="1:13" x14ac:dyDescent="0.3">
      <c r="A324" s="2">
        <v>69</v>
      </c>
      <c r="B324" s="2" t="s">
        <v>88</v>
      </c>
      <c r="C324" s="2" t="s">
        <v>89</v>
      </c>
      <c r="D324" s="2">
        <f>LEN(Table2[[#This Row],[NAME1]])</f>
        <v>7</v>
      </c>
      <c r="E324" s="2"/>
      <c r="F324" s="2"/>
      <c r="G324" s="2">
        <v>0.141440543</v>
      </c>
      <c r="H324" s="2">
        <v>98</v>
      </c>
      <c r="I324" s="2">
        <v>100</v>
      </c>
      <c r="J324" s="2">
        <v>2</v>
      </c>
      <c r="K324" s="2">
        <v>0</v>
      </c>
      <c r="L324" s="2">
        <v>0</v>
      </c>
      <c r="M324" s="2">
        <v>1.89</v>
      </c>
    </row>
    <row r="325" spans="1:13" x14ac:dyDescent="0.3">
      <c r="A325" s="2">
        <v>213</v>
      </c>
      <c r="B325" s="2" t="s">
        <v>273</v>
      </c>
      <c r="C325" s="2" t="s">
        <v>274</v>
      </c>
      <c r="D325" s="2">
        <f>LEN(Table2[[#This Row],[NAME1]])</f>
        <v>7</v>
      </c>
      <c r="E325" s="2"/>
      <c r="F325" s="2"/>
      <c r="G325" s="2">
        <v>0.28917295100000001</v>
      </c>
      <c r="H325" s="2">
        <v>95.87628866</v>
      </c>
      <c r="I325" s="2">
        <v>97</v>
      </c>
      <c r="J325" s="2">
        <v>3</v>
      </c>
      <c r="K325" s="2">
        <v>0</v>
      </c>
      <c r="L325" s="2">
        <v>3</v>
      </c>
      <c r="M325" s="2">
        <v>3.06</v>
      </c>
    </row>
    <row r="326" spans="1:13" x14ac:dyDescent="0.3">
      <c r="A326" s="2">
        <v>171</v>
      </c>
      <c r="B326" s="2" t="s">
        <v>224</v>
      </c>
      <c r="C326" s="2" t="s">
        <v>225</v>
      </c>
      <c r="D326" s="2">
        <f>LEN(Table2[[#This Row],[NAME1]])</f>
        <v>7</v>
      </c>
      <c r="E326" s="2"/>
      <c r="F326" s="2"/>
      <c r="G326" s="2">
        <v>0</v>
      </c>
      <c r="H326" s="2">
        <v>100</v>
      </c>
      <c r="I326" s="2">
        <v>96</v>
      </c>
      <c r="J326" s="2">
        <v>1</v>
      </c>
      <c r="K326" s="2">
        <v>0</v>
      </c>
      <c r="L326" s="2">
        <v>4</v>
      </c>
      <c r="M326" s="2">
        <v>2.71</v>
      </c>
    </row>
    <row r="327" spans="1:13" x14ac:dyDescent="0.3">
      <c r="A327" s="2">
        <v>588</v>
      </c>
      <c r="B327" s="2" t="s">
        <v>732</v>
      </c>
      <c r="C327" s="2" t="s">
        <v>733</v>
      </c>
      <c r="D327" s="2">
        <f>LEN(Table2[[#This Row],[NAME1]])</f>
        <v>7</v>
      </c>
      <c r="E327" s="2"/>
      <c r="F327" s="2"/>
      <c r="G327" s="2">
        <v>0.43646981699999998</v>
      </c>
      <c r="H327" s="2">
        <v>91</v>
      </c>
      <c r="I327" s="2">
        <v>100</v>
      </c>
      <c r="J327" s="2">
        <v>2</v>
      </c>
      <c r="K327" s="2">
        <v>0</v>
      </c>
      <c r="L327" s="2">
        <v>0</v>
      </c>
      <c r="M327" s="2">
        <v>2.31</v>
      </c>
    </row>
    <row r="328" spans="1:13" x14ac:dyDescent="0.3">
      <c r="A328" s="2">
        <v>222</v>
      </c>
      <c r="B328" s="2" t="s">
        <v>283</v>
      </c>
      <c r="C328" s="2" t="s">
        <v>284</v>
      </c>
      <c r="D328" s="2">
        <f>LEN(Table2[[#This Row],[NAME1]])</f>
        <v>7</v>
      </c>
      <c r="E328" s="2"/>
      <c r="F328" s="2"/>
      <c r="G328" s="2">
        <v>0</v>
      </c>
      <c r="H328" s="2">
        <v>100</v>
      </c>
      <c r="I328" s="2">
        <v>99</v>
      </c>
      <c r="J328" s="2">
        <v>1</v>
      </c>
      <c r="K328" s="2">
        <v>0</v>
      </c>
      <c r="L328" s="2">
        <v>1</v>
      </c>
      <c r="M328" s="2">
        <v>1.97</v>
      </c>
    </row>
    <row r="329" spans="1:13" x14ac:dyDescent="0.3">
      <c r="A329" s="2">
        <v>79</v>
      </c>
      <c r="B329" s="2" t="s">
        <v>100</v>
      </c>
      <c r="C329" s="2" t="s">
        <v>101</v>
      </c>
      <c r="D329" s="2">
        <f>LEN(Table2[[#This Row],[NAME1]])</f>
        <v>7</v>
      </c>
      <c r="E329" s="2"/>
      <c r="F329" s="2"/>
      <c r="G329" s="2">
        <v>0</v>
      </c>
      <c r="H329" s="2">
        <v>100</v>
      </c>
      <c r="I329" s="2">
        <v>98</v>
      </c>
      <c r="J329" s="2">
        <v>1</v>
      </c>
      <c r="K329" s="2">
        <v>0</v>
      </c>
      <c r="L329" s="2">
        <v>2</v>
      </c>
      <c r="M329" s="2">
        <v>1.87</v>
      </c>
    </row>
    <row r="330" spans="1:13" x14ac:dyDescent="0.3">
      <c r="A330" s="2">
        <v>673</v>
      </c>
      <c r="B330" s="2" t="s">
        <v>832</v>
      </c>
      <c r="C330" s="2" t="s">
        <v>833</v>
      </c>
      <c r="D330" s="2">
        <f>LEN(Table2[[#This Row],[NAME1]])</f>
        <v>7</v>
      </c>
      <c r="E330" s="2"/>
      <c r="F330" s="2"/>
      <c r="G330" s="2">
        <v>0</v>
      </c>
      <c r="H330" s="2">
        <v>100</v>
      </c>
      <c r="I330" s="2">
        <v>100</v>
      </c>
      <c r="J330" s="2">
        <v>1</v>
      </c>
      <c r="K330" s="2">
        <v>0</v>
      </c>
      <c r="L330" s="2">
        <v>0</v>
      </c>
      <c r="M330" s="2">
        <v>1.35</v>
      </c>
    </row>
    <row r="331" spans="1:13" x14ac:dyDescent="0.3">
      <c r="A331" s="2">
        <v>533</v>
      </c>
      <c r="B331" s="2" t="s">
        <v>671</v>
      </c>
      <c r="C331" s="2" t="s">
        <v>672</v>
      </c>
      <c r="D331" s="2">
        <f>LEN(Table2[[#This Row],[NAME1]])</f>
        <v>7</v>
      </c>
      <c r="E331" s="2"/>
      <c r="F331" s="2"/>
      <c r="G331" s="2">
        <v>0</v>
      </c>
      <c r="H331" s="2">
        <v>100</v>
      </c>
      <c r="I331" s="2">
        <v>100</v>
      </c>
      <c r="J331" s="2">
        <v>1</v>
      </c>
      <c r="K331" s="2">
        <v>0</v>
      </c>
      <c r="L331" s="2">
        <v>0</v>
      </c>
      <c r="M331" s="2">
        <v>2.63</v>
      </c>
    </row>
    <row r="332" spans="1:13" x14ac:dyDescent="0.3">
      <c r="A332" s="2">
        <v>453</v>
      </c>
      <c r="B332" s="2" t="s">
        <v>559</v>
      </c>
      <c r="C332" s="2" t="s">
        <v>560</v>
      </c>
      <c r="D332" s="2">
        <f>LEN(Table2[[#This Row],[NAME1]])</f>
        <v>7</v>
      </c>
      <c r="E332" s="2"/>
      <c r="F332" s="2"/>
      <c r="G332" s="2">
        <v>0</v>
      </c>
      <c r="H332" s="2">
        <v>100</v>
      </c>
      <c r="I332" s="2">
        <v>100</v>
      </c>
      <c r="J332" s="2">
        <v>1</v>
      </c>
      <c r="K332" s="2">
        <v>0</v>
      </c>
      <c r="L332" s="2">
        <v>0</v>
      </c>
      <c r="M332" s="2">
        <v>1.6</v>
      </c>
    </row>
    <row r="333" spans="1:13" x14ac:dyDescent="0.3">
      <c r="A333" s="2">
        <v>205</v>
      </c>
      <c r="B333" s="2" t="s">
        <v>265</v>
      </c>
      <c r="C333" s="2" t="s">
        <v>266</v>
      </c>
      <c r="D333" s="2">
        <f>LEN(Table2[[#This Row],[NAME1]])</f>
        <v>7</v>
      </c>
      <c r="E333" s="2"/>
      <c r="F333" s="2"/>
      <c r="G333" s="2">
        <v>0.29071586500000002</v>
      </c>
      <c r="H333" s="2">
        <v>94.897959180000001</v>
      </c>
      <c r="I333" s="2">
        <v>98</v>
      </c>
      <c r="J333" s="2">
        <v>2</v>
      </c>
      <c r="K333" s="2">
        <v>0</v>
      </c>
      <c r="L333" s="2">
        <v>2</v>
      </c>
      <c r="M333" s="2">
        <v>2.13</v>
      </c>
    </row>
    <row r="334" spans="1:13" x14ac:dyDescent="0.3">
      <c r="A334" s="2">
        <v>531</v>
      </c>
      <c r="B334" s="2" t="s">
        <v>667</v>
      </c>
      <c r="C334" s="2" t="s">
        <v>668</v>
      </c>
      <c r="D334" s="2">
        <f>LEN(Table2[[#This Row],[NAME1]])</f>
        <v>7</v>
      </c>
      <c r="E334" s="2"/>
      <c r="F334" s="2"/>
      <c r="G334" s="2">
        <v>0</v>
      </c>
      <c r="H334" s="2">
        <v>100</v>
      </c>
      <c r="I334" s="2">
        <v>99</v>
      </c>
      <c r="J334" s="2">
        <v>1</v>
      </c>
      <c r="K334" s="2">
        <v>0</v>
      </c>
      <c r="L334" s="2">
        <v>1</v>
      </c>
      <c r="M334" s="2">
        <v>3</v>
      </c>
    </row>
    <row r="335" spans="1:13" x14ac:dyDescent="0.3">
      <c r="A335" s="2">
        <v>74</v>
      </c>
      <c r="B335" s="2" t="s">
        <v>94</v>
      </c>
      <c r="C335" s="2" t="s">
        <v>95</v>
      </c>
      <c r="D335" s="2">
        <f>LEN(Table2[[#This Row],[NAME1]])</f>
        <v>7</v>
      </c>
      <c r="E335" s="2"/>
      <c r="F335" s="2"/>
      <c r="G335" s="2">
        <v>0</v>
      </c>
      <c r="H335" s="2">
        <v>100</v>
      </c>
      <c r="I335" s="2">
        <v>100</v>
      </c>
      <c r="J335" s="2">
        <v>1</v>
      </c>
      <c r="K335" s="2">
        <v>0</v>
      </c>
      <c r="L335" s="2">
        <v>0</v>
      </c>
      <c r="M335" s="2">
        <v>2.91</v>
      </c>
    </row>
    <row r="336" spans="1:13" x14ac:dyDescent="0.3">
      <c r="A336" s="2">
        <v>597</v>
      </c>
      <c r="B336" s="2" t="s">
        <v>742</v>
      </c>
      <c r="C336" s="2" t="s">
        <v>743</v>
      </c>
      <c r="D336" s="2">
        <f>LEN(Table2[[#This Row],[NAME1]])</f>
        <v>7</v>
      </c>
      <c r="E336" s="2"/>
      <c r="F336" s="2"/>
      <c r="G336" s="2">
        <v>0.14372616999999999</v>
      </c>
      <c r="H336" s="2">
        <v>97.959183670000002</v>
      </c>
      <c r="I336" s="2">
        <v>98</v>
      </c>
      <c r="J336" s="2">
        <v>2</v>
      </c>
      <c r="K336" s="2">
        <v>0</v>
      </c>
      <c r="L336" s="2">
        <v>2</v>
      </c>
      <c r="M336" s="2">
        <v>2.5299999999999998</v>
      </c>
    </row>
    <row r="337" spans="1:13" x14ac:dyDescent="0.3">
      <c r="A337" s="2">
        <v>664</v>
      </c>
      <c r="B337" s="2" t="s">
        <v>822</v>
      </c>
      <c r="C337" s="2" t="s">
        <v>823</v>
      </c>
      <c r="D337" s="2">
        <f>LEN(Table2[[#This Row],[NAME1]])</f>
        <v>7</v>
      </c>
      <c r="E337" s="2"/>
      <c r="F337" s="2"/>
      <c r="G337" s="2">
        <v>0</v>
      </c>
      <c r="H337" s="2">
        <v>100</v>
      </c>
      <c r="I337" s="2">
        <v>98</v>
      </c>
      <c r="J337" s="2">
        <v>1</v>
      </c>
      <c r="K337" s="2">
        <v>0</v>
      </c>
      <c r="L337" s="2">
        <v>2</v>
      </c>
      <c r="M337" s="2">
        <v>2.17</v>
      </c>
    </row>
    <row r="338" spans="1:13" x14ac:dyDescent="0.3">
      <c r="A338" s="2">
        <v>398</v>
      </c>
      <c r="B338" s="2" t="s">
        <v>494</v>
      </c>
      <c r="C338" s="2" t="s">
        <v>495</v>
      </c>
      <c r="D338" s="2">
        <f>LEN(Table2[[#This Row],[NAME1]])</f>
        <v>7</v>
      </c>
      <c r="E338" s="2"/>
      <c r="F338" s="2"/>
      <c r="G338" s="2">
        <v>0</v>
      </c>
      <c r="H338" s="2">
        <v>100</v>
      </c>
      <c r="I338" s="2">
        <v>99</v>
      </c>
      <c r="J338" s="2">
        <v>1</v>
      </c>
      <c r="K338" s="2">
        <v>0</v>
      </c>
      <c r="L338" s="2">
        <v>1</v>
      </c>
      <c r="M338" s="2">
        <v>1.89</v>
      </c>
    </row>
    <row r="339" spans="1:13" x14ac:dyDescent="0.3">
      <c r="A339" s="2">
        <v>146</v>
      </c>
      <c r="B339" s="2" t="s">
        <v>188</v>
      </c>
      <c r="C339" s="2" t="s">
        <v>189</v>
      </c>
      <c r="D339" s="2">
        <f>LEN(Table2[[#This Row],[NAME1]])</f>
        <v>8</v>
      </c>
      <c r="E339" s="2"/>
      <c r="F339" s="2"/>
      <c r="G339" s="2">
        <v>0</v>
      </c>
      <c r="H339" s="2">
        <v>100</v>
      </c>
      <c r="I339" s="2">
        <v>89</v>
      </c>
      <c r="J339" s="2">
        <v>1</v>
      </c>
      <c r="K339" s="2">
        <v>9</v>
      </c>
      <c r="L339" s="2">
        <v>2</v>
      </c>
      <c r="M339" s="2">
        <v>1.67</v>
      </c>
    </row>
    <row r="340" spans="1:13" x14ac:dyDescent="0.3">
      <c r="A340" s="2">
        <v>717</v>
      </c>
      <c r="B340" s="2" t="s">
        <v>881</v>
      </c>
      <c r="C340" s="2" t="s">
        <v>882</v>
      </c>
      <c r="D340" s="2">
        <f>LEN(Table2[[#This Row],[NAME1]])</f>
        <v>8</v>
      </c>
      <c r="E340" s="2"/>
      <c r="F340" s="2"/>
      <c r="G340" s="2">
        <v>0.14731066700000001</v>
      </c>
      <c r="H340" s="2">
        <v>97.894736839999993</v>
      </c>
      <c r="I340" s="2">
        <v>95</v>
      </c>
      <c r="J340" s="2">
        <v>2</v>
      </c>
      <c r="K340" s="2">
        <v>2</v>
      </c>
      <c r="L340" s="2">
        <v>3</v>
      </c>
      <c r="M340" s="2">
        <v>2.8</v>
      </c>
    </row>
    <row r="341" spans="1:13" x14ac:dyDescent="0.3">
      <c r="A341" s="2">
        <v>491</v>
      </c>
      <c r="B341" s="2" t="s">
        <v>607</v>
      </c>
      <c r="C341" s="2" t="s">
        <v>608</v>
      </c>
      <c r="D341" s="2">
        <f>LEN(Table2[[#This Row],[NAME1]])</f>
        <v>8</v>
      </c>
      <c r="E341" s="2"/>
      <c r="F341" s="2"/>
      <c r="G341" s="2">
        <v>0.38550036300000001</v>
      </c>
      <c r="H341" s="2">
        <v>93.939393940000002</v>
      </c>
      <c r="I341" s="2">
        <v>99</v>
      </c>
      <c r="J341" s="2">
        <v>3</v>
      </c>
      <c r="K341" s="2">
        <v>0</v>
      </c>
      <c r="L341" s="2">
        <v>1</v>
      </c>
      <c r="M341" s="2">
        <v>2.0699999999999998</v>
      </c>
    </row>
    <row r="342" spans="1:13" x14ac:dyDescent="0.3">
      <c r="A342" s="2">
        <v>104</v>
      </c>
      <c r="B342" s="2" t="s">
        <v>132</v>
      </c>
      <c r="C342" s="2" t="s">
        <v>133</v>
      </c>
      <c r="D342" s="2">
        <f>LEN(Table2[[#This Row],[NAME1]])</f>
        <v>8</v>
      </c>
      <c r="E342" s="2"/>
      <c r="F342" s="2"/>
      <c r="G342" s="2">
        <v>0</v>
      </c>
      <c r="H342" s="2">
        <v>100</v>
      </c>
      <c r="I342" s="2">
        <v>100</v>
      </c>
      <c r="J342" s="2">
        <v>1</v>
      </c>
      <c r="K342" s="2">
        <v>0</v>
      </c>
      <c r="L342" s="2">
        <v>0</v>
      </c>
      <c r="M342" s="2">
        <v>2.1800000000000002</v>
      </c>
    </row>
    <row r="343" spans="1:13" x14ac:dyDescent="0.3">
      <c r="A343" s="2">
        <v>299</v>
      </c>
      <c r="B343" s="2" t="s">
        <v>381</v>
      </c>
      <c r="C343" s="2" t="s">
        <v>382</v>
      </c>
      <c r="D343" s="2">
        <f>LEN(Table2[[#This Row],[NAME1]])</f>
        <v>8</v>
      </c>
      <c r="E343" s="2"/>
      <c r="F343" s="2"/>
      <c r="G343" s="2">
        <v>0.20390587600000001</v>
      </c>
      <c r="H343" s="2">
        <v>96.808510639999994</v>
      </c>
      <c r="I343" s="2">
        <v>94</v>
      </c>
      <c r="J343" s="2">
        <v>2</v>
      </c>
      <c r="K343" s="2">
        <v>4</v>
      </c>
      <c r="L343" s="2">
        <v>2</v>
      </c>
      <c r="M343" s="2">
        <v>2.59</v>
      </c>
    </row>
    <row r="344" spans="1:13" x14ac:dyDescent="0.3">
      <c r="A344" s="2">
        <v>519</v>
      </c>
      <c r="B344" s="2" t="s">
        <v>653</v>
      </c>
      <c r="C344" s="2" t="s">
        <v>654</v>
      </c>
      <c r="D344" s="2">
        <f>LEN(Table2[[#This Row],[NAME1]])</f>
        <v>8</v>
      </c>
      <c r="E344" s="2"/>
      <c r="F344" s="2"/>
      <c r="G344" s="2">
        <v>0.14489961800000001</v>
      </c>
      <c r="H344" s="2">
        <v>97.93814433</v>
      </c>
      <c r="I344" s="2">
        <v>97</v>
      </c>
      <c r="J344" s="2">
        <v>2</v>
      </c>
      <c r="K344" s="2">
        <v>0</v>
      </c>
      <c r="L344" s="2">
        <v>3</v>
      </c>
      <c r="M344" s="2">
        <v>2.59</v>
      </c>
    </row>
    <row r="345" spans="1:13" x14ac:dyDescent="0.3">
      <c r="A345" s="2">
        <v>39</v>
      </c>
      <c r="B345" s="2" t="s">
        <v>47</v>
      </c>
      <c r="C345" s="2" t="s">
        <v>48</v>
      </c>
      <c r="D345" s="2">
        <f>LEN(Table2[[#This Row],[NAME1]])</f>
        <v>8</v>
      </c>
      <c r="E345" s="2"/>
      <c r="F345" s="2"/>
      <c r="G345" s="2">
        <v>0</v>
      </c>
      <c r="H345" s="2">
        <v>100</v>
      </c>
      <c r="I345" s="2">
        <v>96</v>
      </c>
      <c r="J345" s="2">
        <v>1</v>
      </c>
      <c r="K345" s="2">
        <v>3</v>
      </c>
      <c r="L345" s="2">
        <v>1</v>
      </c>
      <c r="M345" s="2">
        <v>2.17</v>
      </c>
    </row>
    <row r="346" spans="1:13" x14ac:dyDescent="0.3">
      <c r="A346" s="2">
        <v>244</v>
      </c>
      <c r="B346" s="2" t="s">
        <v>305</v>
      </c>
      <c r="C346" s="2" t="s">
        <v>306</v>
      </c>
      <c r="D346" s="2">
        <f>LEN(Table2[[#This Row],[NAME1]])</f>
        <v>8</v>
      </c>
      <c r="E346" s="2"/>
      <c r="F346" s="2"/>
      <c r="G346" s="2">
        <v>0</v>
      </c>
      <c r="H346" s="2">
        <v>100</v>
      </c>
      <c r="I346" s="2">
        <v>100</v>
      </c>
      <c r="J346" s="2">
        <v>1</v>
      </c>
      <c r="K346" s="2">
        <v>0</v>
      </c>
      <c r="L346" s="2">
        <v>0</v>
      </c>
      <c r="M346" s="2">
        <v>2.15</v>
      </c>
    </row>
    <row r="347" spans="1:13" x14ac:dyDescent="0.3">
      <c r="A347" s="2">
        <v>21</v>
      </c>
      <c r="B347" s="2" t="s">
        <v>27</v>
      </c>
      <c r="C347" s="2" t="s">
        <v>28</v>
      </c>
      <c r="D347" s="2">
        <f>LEN(Table2[[#This Row],[NAME1]])</f>
        <v>8</v>
      </c>
      <c r="E347" s="2"/>
      <c r="F347" s="2"/>
      <c r="G347" s="2">
        <v>0</v>
      </c>
      <c r="H347" s="2">
        <v>100</v>
      </c>
      <c r="I347" s="2">
        <v>98</v>
      </c>
      <c r="J347" s="2">
        <v>1</v>
      </c>
      <c r="K347" s="2">
        <v>1</v>
      </c>
      <c r="L347" s="2">
        <v>1</v>
      </c>
      <c r="M347" s="2">
        <v>2.78</v>
      </c>
    </row>
    <row r="348" spans="1:13" x14ac:dyDescent="0.3">
      <c r="A348" s="2">
        <v>750</v>
      </c>
      <c r="B348" s="2" t="s">
        <v>921</v>
      </c>
      <c r="C348" s="2" t="s">
        <v>922</v>
      </c>
      <c r="D348" s="2">
        <f>LEN(Table2[[#This Row],[NAME1]])</f>
        <v>8</v>
      </c>
      <c r="E348" s="2"/>
      <c r="F348" s="2"/>
      <c r="G348" s="2">
        <v>0.28853851400000002</v>
      </c>
      <c r="H348" s="2">
        <v>94.949494950000002</v>
      </c>
      <c r="I348" s="2">
        <v>99</v>
      </c>
      <c r="J348" s="2">
        <v>2</v>
      </c>
      <c r="K348" s="2">
        <v>1</v>
      </c>
      <c r="L348" s="2">
        <v>0</v>
      </c>
      <c r="M348" s="2">
        <v>2.25</v>
      </c>
    </row>
    <row r="349" spans="1:13" x14ac:dyDescent="0.3">
      <c r="A349" s="2">
        <v>551</v>
      </c>
      <c r="B349" s="2" t="s">
        <v>693</v>
      </c>
      <c r="C349" s="2" t="s">
        <v>694</v>
      </c>
      <c r="D349" s="2">
        <f>LEN(Table2[[#This Row],[NAME1]])</f>
        <v>8</v>
      </c>
      <c r="E349" s="2"/>
      <c r="F349" s="2"/>
      <c r="G349" s="2">
        <v>0</v>
      </c>
      <c r="H349" s="2">
        <v>100</v>
      </c>
      <c r="I349" s="2">
        <v>99</v>
      </c>
      <c r="J349" s="2">
        <v>1</v>
      </c>
      <c r="K349" s="2">
        <v>1</v>
      </c>
      <c r="L349" s="2">
        <v>0</v>
      </c>
      <c r="M349" s="2">
        <v>2.16</v>
      </c>
    </row>
    <row r="350" spans="1:13" x14ac:dyDescent="0.3">
      <c r="A350" s="2">
        <v>712</v>
      </c>
      <c r="B350" s="2" t="s">
        <v>877</v>
      </c>
      <c r="C350" s="2" t="s">
        <v>878</v>
      </c>
      <c r="D350" s="2">
        <f>LEN(Table2[[#This Row],[NAME1]])</f>
        <v>8</v>
      </c>
      <c r="E350" s="2"/>
      <c r="F350" s="2"/>
      <c r="G350" s="2">
        <v>0.47057796099999999</v>
      </c>
      <c r="H350" s="2">
        <v>91.919191920000003</v>
      </c>
      <c r="I350" s="2">
        <v>99</v>
      </c>
      <c r="J350" s="2">
        <v>3</v>
      </c>
      <c r="K350" s="2">
        <v>0</v>
      </c>
      <c r="L350" s="2">
        <v>1</v>
      </c>
      <c r="M350" s="2">
        <v>2.08</v>
      </c>
    </row>
    <row r="351" spans="1:13" x14ac:dyDescent="0.3">
      <c r="A351" s="2">
        <v>416</v>
      </c>
      <c r="B351" s="2" t="s">
        <v>518</v>
      </c>
      <c r="C351" s="2" t="s">
        <v>519</v>
      </c>
      <c r="D351" s="2">
        <f>LEN(Table2[[#This Row],[NAME1]])</f>
        <v>8</v>
      </c>
      <c r="E351" s="2"/>
      <c r="F351" s="2"/>
      <c r="G351" s="2">
        <v>0</v>
      </c>
      <c r="H351" s="2">
        <v>100</v>
      </c>
      <c r="I351" s="2">
        <v>100</v>
      </c>
      <c r="J351" s="2">
        <v>1</v>
      </c>
      <c r="K351" s="2">
        <v>0</v>
      </c>
      <c r="L351" s="2">
        <v>0</v>
      </c>
      <c r="M351" s="2">
        <v>2.2400000000000002</v>
      </c>
    </row>
    <row r="352" spans="1:13" x14ac:dyDescent="0.3">
      <c r="A352" s="2">
        <v>726</v>
      </c>
      <c r="B352" s="2" t="s">
        <v>891</v>
      </c>
      <c r="C352" s="2" t="s">
        <v>892</v>
      </c>
      <c r="D352" s="2">
        <f>LEN(Table2[[#This Row],[NAME1]])</f>
        <v>8</v>
      </c>
      <c r="E352" s="2"/>
      <c r="F352" s="2"/>
      <c r="G352" s="2">
        <v>0</v>
      </c>
      <c r="H352" s="2">
        <v>100</v>
      </c>
      <c r="I352" s="2">
        <v>100</v>
      </c>
      <c r="J352" s="2">
        <v>1</v>
      </c>
      <c r="K352" s="2">
        <v>0</v>
      </c>
      <c r="L352" s="2">
        <v>0</v>
      </c>
      <c r="M352" s="2">
        <v>2.82</v>
      </c>
    </row>
    <row r="353" spans="1:13" x14ac:dyDescent="0.3">
      <c r="A353" s="2">
        <v>353</v>
      </c>
      <c r="B353" s="2" t="s">
        <v>446</v>
      </c>
      <c r="C353" s="2" t="s">
        <v>447</v>
      </c>
      <c r="D353" s="2">
        <f>LEN(Table2[[#This Row],[NAME1]])</f>
        <v>8</v>
      </c>
      <c r="E353" s="2"/>
      <c r="F353" s="2"/>
      <c r="G353" s="2">
        <v>0.194391858</v>
      </c>
      <c r="H353" s="2">
        <v>97</v>
      </c>
      <c r="I353" s="2">
        <v>100</v>
      </c>
      <c r="J353" s="2">
        <v>2</v>
      </c>
      <c r="K353" s="2">
        <v>0</v>
      </c>
      <c r="L353" s="2">
        <v>0</v>
      </c>
      <c r="M353" s="2">
        <v>1.8282828280000001</v>
      </c>
    </row>
    <row r="354" spans="1:13" x14ac:dyDescent="0.3">
      <c r="A354" s="2">
        <v>428</v>
      </c>
      <c r="B354" s="2" t="s">
        <v>526</v>
      </c>
      <c r="C354" s="2" t="s">
        <v>527</v>
      </c>
      <c r="D354" s="2">
        <f>LEN(Table2[[#This Row],[NAME1]])</f>
        <v>8</v>
      </c>
      <c r="E354" s="2"/>
      <c r="F354" s="2"/>
      <c r="G354" s="2">
        <v>0.44160576499999998</v>
      </c>
      <c r="H354" s="2">
        <v>92.857142859999996</v>
      </c>
      <c r="I354" s="2">
        <v>98</v>
      </c>
      <c r="J354" s="2">
        <v>3</v>
      </c>
      <c r="K354" s="2">
        <v>1</v>
      </c>
      <c r="L354" s="2">
        <v>1</v>
      </c>
      <c r="M354" s="2">
        <v>2.56</v>
      </c>
    </row>
    <row r="355" spans="1:13" x14ac:dyDescent="0.3">
      <c r="A355" s="2">
        <v>741</v>
      </c>
      <c r="B355" s="2" t="s">
        <v>907</v>
      </c>
      <c r="C355" s="2" t="s">
        <v>908</v>
      </c>
      <c r="D355" s="2">
        <f>LEN(Table2[[#This Row],[NAME1]])</f>
        <v>8</v>
      </c>
      <c r="E355" s="2"/>
      <c r="F355" s="2"/>
      <c r="G355" s="2">
        <v>0</v>
      </c>
      <c r="H355" s="2">
        <v>100</v>
      </c>
      <c r="I355" s="2">
        <v>100</v>
      </c>
      <c r="J355" s="2">
        <v>1</v>
      </c>
      <c r="K355" s="2">
        <v>0</v>
      </c>
      <c r="L355" s="2">
        <v>0</v>
      </c>
      <c r="M355" s="2">
        <v>2.23</v>
      </c>
    </row>
    <row r="356" spans="1:13" x14ac:dyDescent="0.3">
      <c r="A356" s="2">
        <v>683</v>
      </c>
      <c r="B356" s="2" t="s">
        <v>846</v>
      </c>
      <c r="C356" s="2" t="s">
        <v>847</v>
      </c>
      <c r="D356" s="2">
        <f>LEN(Table2[[#This Row],[NAME1]])</f>
        <v>8</v>
      </c>
      <c r="E356" s="2"/>
      <c r="F356" s="2"/>
      <c r="G356" s="2">
        <v>0.43635022299999998</v>
      </c>
      <c r="H356" s="2">
        <v>93.75</v>
      </c>
      <c r="I356" s="2">
        <v>96</v>
      </c>
      <c r="J356" s="2">
        <v>4</v>
      </c>
      <c r="K356" s="2">
        <v>2</v>
      </c>
      <c r="L356" s="2">
        <v>2</v>
      </c>
      <c r="M356" s="2">
        <v>2.35</v>
      </c>
    </row>
    <row r="357" spans="1:13" x14ac:dyDescent="0.3">
      <c r="A357" s="2">
        <v>568</v>
      </c>
      <c r="B357" s="2" t="s">
        <v>709</v>
      </c>
      <c r="C357" s="2" t="s">
        <v>710</v>
      </c>
      <c r="D357" s="2">
        <f>LEN(Table2[[#This Row],[NAME1]])</f>
        <v>8</v>
      </c>
      <c r="E357" s="2"/>
      <c r="F357" s="2"/>
      <c r="G357" s="2">
        <v>0</v>
      </c>
      <c r="H357" s="2">
        <v>100</v>
      </c>
      <c r="I357" s="2">
        <v>100</v>
      </c>
      <c r="J357" s="2">
        <v>1</v>
      </c>
      <c r="K357" s="2">
        <v>0</v>
      </c>
      <c r="L357" s="2">
        <v>0</v>
      </c>
      <c r="M357" s="2">
        <v>2.7653061220000001</v>
      </c>
    </row>
    <row r="358" spans="1:13" x14ac:dyDescent="0.3">
      <c r="A358" s="2">
        <v>542</v>
      </c>
      <c r="B358" s="2" t="s">
        <v>683</v>
      </c>
      <c r="C358" s="2" t="s">
        <v>684</v>
      </c>
      <c r="D358" s="2">
        <f>LEN(Table2[[#This Row],[NAME1]])</f>
        <v>8</v>
      </c>
      <c r="E358" s="2"/>
      <c r="F358" s="2"/>
      <c r="G358" s="2">
        <v>0.58312655000000002</v>
      </c>
      <c r="H358" s="2">
        <v>90.816326529999998</v>
      </c>
      <c r="I358" s="2">
        <v>98</v>
      </c>
      <c r="J358" s="2">
        <v>4</v>
      </c>
      <c r="K358" s="2">
        <v>2</v>
      </c>
      <c r="L358" s="2">
        <v>0</v>
      </c>
      <c r="M358" s="2">
        <v>2.2799999999999998</v>
      </c>
    </row>
    <row r="359" spans="1:13" x14ac:dyDescent="0.3">
      <c r="A359" s="2">
        <v>207</v>
      </c>
      <c r="B359" s="2" t="s">
        <v>267</v>
      </c>
      <c r="C359" s="2" t="s">
        <v>268</v>
      </c>
      <c r="D359" s="2">
        <f>LEN(Table2[[#This Row],[NAME1]])</f>
        <v>8</v>
      </c>
      <c r="E359" s="2"/>
      <c r="F359" s="2"/>
      <c r="G359" s="2">
        <v>0.29292995100000002</v>
      </c>
      <c r="H359" s="2">
        <v>94.845360819999996</v>
      </c>
      <c r="I359" s="2">
        <v>97</v>
      </c>
      <c r="J359" s="2">
        <v>2</v>
      </c>
      <c r="K359" s="2">
        <v>0</v>
      </c>
      <c r="L359" s="2">
        <v>3</v>
      </c>
      <c r="M359" s="2">
        <v>2.04</v>
      </c>
    </row>
    <row r="360" spans="1:13" x14ac:dyDescent="0.3">
      <c r="A360" s="2">
        <v>165</v>
      </c>
      <c r="B360" s="2" t="s">
        <v>218</v>
      </c>
      <c r="C360" s="2" t="s">
        <v>219</v>
      </c>
      <c r="D360" s="2">
        <f>LEN(Table2[[#This Row],[NAME1]])</f>
        <v>8</v>
      </c>
      <c r="E360" s="2"/>
      <c r="F360" s="2"/>
      <c r="G360" s="2">
        <v>0</v>
      </c>
      <c r="H360" s="2">
        <v>100</v>
      </c>
      <c r="I360" s="2">
        <v>99</v>
      </c>
      <c r="J360" s="2">
        <v>1</v>
      </c>
      <c r="K360" s="2">
        <v>0</v>
      </c>
      <c r="L360" s="2">
        <v>1</v>
      </c>
      <c r="M360" s="2">
        <v>2.1800000000000002</v>
      </c>
    </row>
    <row r="361" spans="1:13" x14ac:dyDescent="0.3">
      <c r="A361" s="2">
        <v>642</v>
      </c>
      <c r="B361" s="2" t="s">
        <v>798</v>
      </c>
      <c r="C361" s="2" t="s">
        <v>799</v>
      </c>
      <c r="D361" s="2">
        <f>LEN(Table2[[#This Row],[NAME1]])</f>
        <v>8</v>
      </c>
      <c r="E361" s="2"/>
      <c r="F361" s="2"/>
      <c r="G361" s="2">
        <v>0.44569317800000002</v>
      </c>
      <c r="H361" s="2">
        <v>90.721649479999996</v>
      </c>
      <c r="I361" s="2">
        <v>97</v>
      </c>
      <c r="J361" s="2">
        <v>2</v>
      </c>
      <c r="K361" s="2">
        <v>0</v>
      </c>
      <c r="L361" s="2">
        <v>3</v>
      </c>
      <c r="M361" s="2">
        <v>1.74</v>
      </c>
    </row>
    <row r="362" spans="1:13" x14ac:dyDescent="0.3">
      <c r="A362" s="2">
        <v>472</v>
      </c>
      <c r="B362" s="2" t="s">
        <v>583</v>
      </c>
      <c r="C362" s="2" t="s">
        <v>584</v>
      </c>
      <c r="D362" s="2">
        <f>LEN(Table2[[#This Row],[NAME1]])</f>
        <v>8</v>
      </c>
      <c r="E362" s="2"/>
      <c r="F362" s="2"/>
      <c r="G362" s="2">
        <v>0.34297895099999998</v>
      </c>
      <c r="H362" s="2">
        <v>94.845360819999996</v>
      </c>
      <c r="I362" s="2">
        <v>97</v>
      </c>
      <c r="J362" s="2">
        <v>3</v>
      </c>
      <c r="K362" s="2">
        <v>1</v>
      </c>
      <c r="L362" s="2">
        <v>2</v>
      </c>
      <c r="M362" s="2">
        <v>1.18</v>
      </c>
    </row>
    <row r="363" spans="1:13" x14ac:dyDescent="0.3">
      <c r="A363" s="2">
        <v>359</v>
      </c>
      <c r="B363" s="2" t="s">
        <v>454</v>
      </c>
      <c r="C363" s="2" t="s">
        <v>455</v>
      </c>
      <c r="D363" s="2">
        <f>LEN(Table2[[#This Row],[NAME1]])</f>
        <v>8</v>
      </c>
      <c r="E363" s="2"/>
      <c r="F363" s="2"/>
      <c r="G363" s="2">
        <v>0</v>
      </c>
      <c r="H363" s="2">
        <v>100</v>
      </c>
      <c r="I363" s="2">
        <v>100</v>
      </c>
      <c r="J363" s="2">
        <v>1</v>
      </c>
      <c r="K363" s="2">
        <v>0</v>
      </c>
      <c r="L363" s="2">
        <v>0</v>
      </c>
      <c r="M363" s="2">
        <v>1.65</v>
      </c>
    </row>
    <row r="364" spans="1:13" x14ac:dyDescent="0.3">
      <c r="A364" s="2">
        <v>476</v>
      </c>
      <c r="B364" s="2" t="s">
        <v>589</v>
      </c>
      <c r="C364" s="2" t="s">
        <v>590</v>
      </c>
      <c r="D364" s="2">
        <f>LEN(Table2[[#This Row],[NAME1]])</f>
        <v>8</v>
      </c>
      <c r="E364" s="2"/>
      <c r="F364" s="2"/>
      <c r="G364" s="2">
        <v>0.24793583799999999</v>
      </c>
      <c r="H364" s="2">
        <v>95.87628866</v>
      </c>
      <c r="I364" s="2">
        <v>97</v>
      </c>
      <c r="J364" s="2">
        <v>2</v>
      </c>
      <c r="K364" s="2">
        <v>2</v>
      </c>
      <c r="L364" s="2">
        <v>1</v>
      </c>
      <c r="M364" s="2">
        <v>2.21</v>
      </c>
    </row>
    <row r="365" spans="1:13" x14ac:dyDescent="0.3">
      <c r="A365" s="2">
        <v>246</v>
      </c>
      <c r="B365" s="2" t="s">
        <v>309</v>
      </c>
      <c r="C365" s="2" t="s">
        <v>310</v>
      </c>
      <c r="D365" s="2">
        <f>LEN(Table2[[#This Row],[NAME1]])</f>
        <v>8</v>
      </c>
      <c r="E365" s="2"/>
      <c r="F365" s="2"/>
      <c r="G365" s="2">
        <v>0</v>
      </c>
      <c r="H365" s="2">
        <v>100</v>
      </c>
      <c r="I365" s="2">
        <v>99</v>
      </c>
      <c r="J365" s="2">
        <v>1</v>
      </c>
      <c r="K365" s="2">
        <v>0</v>
      </c>
      <c r="L365" s="2">
        <v>1</v>
      </c>
      <c r="M365" s="2">
        <v>3.28</v>
      </c>
    </row>
    <row r="366" spans="1:13" x14ac:dyDescent="0.3">
      <c r="A366" s="2">
        <v>555</v>
      </c>
      <c r="B366" s="2" t="s">
        <v>697</v>
      </c>
      <c r="C366" s="2" t="s">
        <v>698</v>
      </c>
      <c r="D366" s="2">
        <f>LEN(Table2[[#This Row],[NAME1]])</f>
        <v>8</v>
      </c>
      <c r="E366" s="2"/>
      <c r="F366" s="2"/>
      <c r="G366" s="2">
        <v>0.382542669</v>
      </c>
      <c r="H366" s="2">
        <v>94</v>
      </c>
      <c r="I366" s="2">
        <v>100</v>
      </c>
      <c r="J366" s="2">
        <v>3</v>
      </c>
      <c r="K366" s="2">
        <v>0</v>
      </c>
      <c r="L366" s="2">
        <v>0</v>
      </c>
      <c r="M366" s="2">
        <v>3.04</v>
      </c>
    </row>
    <row r="367" spans="1:13" x14ac:dyDescent="0.3">
      <c r="A367" s="2">
        <v>47</v>
      </c>
      <c r="B367" s="2" t="s">
        <v>57</v>
      </c>
      <c r="C367" s="2" t="s">
        <v>58</v>
      </c>
      <c r="D367" s="2">
        <f>LEN(Table2[[#This Row],[NAME1]])</f>
        <v>8</v>
      </c>
      <c r="E367" s="2"/>
      <c r="F367" s="2"/>
      <c r="G367" s="2">
        <v>0.24602257799999999</v>
      </c>
      <c r="H367" s="2">
        <v>95.918367349999997</v>
      </c>
      <c r="I367" s="2">
        <v>98</v>
      </c>
      <c r="J367" s="2">
        <v>2</v>
      </c>
      <c r="K367" s="2">
        <v>0</v>
      </c>
      <c r="L367" s="2">
        <v>2</v>
      </c>
      <c r="M367" s="2">
        <v>3.12</v>
      </c>
    </row>
    <row r="368" spans="1:13" x14ac:dyDescent="0.3">
      <c r="A368" s="2">
        <v>85</v>
      </c>
      <c r="B368" s="2" t="s">
        <v>104</v>
      </c>
      <c r="C368" s="2" t="s">
        <v>105</v>
      </c>
      <c r="D368" s="2">
        <f>LEN(Table2[[#This Row],[NAME1]])</f>
        <v>8</v>
      </c>
      <c r="E368" s="2"/>
      <c r="F368" s="2"/>
      <c r="G368" s="2">
        <v>0</v>
      </c>
      <c r="H368" s="2">
        <v>100</v>
      </c>
      <c r="I368" s="2">
        <v>99</v>
      </c>
      <c r="J368" s="2">
        <v>1</v>
      </c>
      <c r="K368" s="2">
        <v>0</v>
      </c>
      <c r="L368" s="2">
        <v>1</v>
      </c>
      <c r="M368" s="2">
        <v>2.1800000000000002</v>
      </c>
    </row>
    <row r="369" spans="1:13" x14ac:dyDescent="0.3">
      <c r="A369" s="2">
        <v>579</v>
      </c>
      <c r="B369" s="2" t="s">
        <v>720</v>
      </c>
      <c r="C369" s="2" t="s">
        <v>721</v>
      </c>
      <c r="D369" s="2">
        <f>LEN(Table2[[#This Row],[NAME1]])</f>
        <v>8</v>
      </c>
      <c r="E369" s="2"/>
      <c r="F369" s="2"/>
      <c r="G369" s="2">
        <v>0</v>
      </c>
      <c r="H369" s="2">
        <v>100</v>
      </c>
      <c r="I369" s="2">
        <v>100</v>
      </c>
      <c r="J369" s="2">
        <v>1</v>
      </c>
      <c r="K369" s="2">
        <v>0</v>
      </c>
      <c r="L369" s="2">
        <v>0</v>
      </c>
      <c r="M369" s="2">
        <v>2.46</v>
      </c>
    </row>
    <row r="370" spans="1:13" x14ac:dyDescent="0.3">
      <c r="A370" s="2">
        <v>191</v>
      </c>
      <c r="B370" s="2" t="s">
        <v>247</v>
      </c>
      <c r="C370" s="2" t="s">
        <v>248</v>
      </c>
      <c r="D370" s="2">
        <f>LEN(Table2[[#This Row],[NAME1]])</f>
        <v>8</v>
      </c>
      <c r="E370" s="2"/>
      <c r="F370" s="2"/>
      <c r="G370" s="2">
        <v>0.19745300399999999</v>
      </c>
      <c r="H370" s="2">
        <v>96.938775509999999</v>
      </c>
      <c r="I370" s="2">
        <v>98</v>
      </c>
      <c r="J370" s="2">
        <v>2</v>
      </c>
      <c r="K370" s="2">
        <v>0</v>
      </c>
      <c r="L370" s="2">
        <v>2</v>
      </c>
      <c r="M370" s="2">
        <v>2.92</v>
      </c>
    </row>
    <row r="371" spans="1:13" x14ac:dyDescent="0.3">
      <c r="A371" s="2">
        <v>500</v>
      </c>
      <c r="B371" s="2" t="s">
        <v>621</v>
      </c>
      <c r="C371" s="2" t="s">
        <v>622</v>
      </c>
      <c r="D371" s="2">
        <f>LEN(Table2[[#This Row],[NAME1]])</f>
        <v>8</v>
      </c>
      <c r="E371" s="2"/>
      <c r="F371" s="2"/>
      <c r="G371" s="2">
        <v>0</v>
      </c>
      <c r="H371" s="2">
        <v>100</v>
      </c>
      <c r="I371" s="2">
        <v>100</v>
      </c>
      <c r="J371" s="2">
        <v>1</v>
      </c>
      <c r="K371" s="2">
        <v>0</v>
      </c>
      <c r="L371" s="2">
        <v>0</v>
      </c>
      <c r="M371" s="2">
        <v>2.29</v>
      </c>
    </row>
    <row r="372" spans="1:13" x14ac:dyDescent="0.3">
      <c r="A372" s="2">
        <v>645</v>
      </c>
      <c r="B372" s="2" t="s">
        <v>800</v>
      </c>
      <c r="C372" s="2" t="s">
        <v>801</v>
      </c>
      <c r="D372" s="2">
        <f>LEN(Table2[[#This Row],[NAME1]])</f>
        <v>8</v>
      </c>
      <c r="E372" s="2"/>
      <c r="F372" s="2"/>
      <c r="G372" s="2">
        <v>0.32984606999999999</v>
      </c>
      <c r="H372" s="2">
        <v>93.939393940000002</v>
      </c>
      <c r="I372" s="2">
        <v>99</v>
      </c>
      <c r="J372" s="2">
        <v>2</v>
      </c>
      <c r="K372" s="2">
        <v>0</v>
      </c>
      <c r="L372" s="2">
        <v>1</v>
      </c>
      <c r="M372" s="2">
        <v>1.97</v>
      </c>
    </row>
    <row r="373" spans="1:13" x14ac:dyDescent="0.3">
      <c r="A373" s="2">
        <v>376</v>
      </c>
      <c r="B373" s="2" t="s">
        <v>470</v>
      </c>
      <c r="C373" s="2" t="s">
        <v>471</v>
      </c>
      <c r="D373" s="2">
        <f>LEN(Table2[[#This Row],[NAME1]])</f>
        <v>8</v>
      </c>
      <c r="E373" s="2"/>
      <c r="F373" s="2"/>
      <c r="G373" s="2">
        <v>0</v>
      </c>
      <c r="H373" s="2">
        <v>100</v>
      </c>
      <c r="I373" s="2">
        <v>90</v>
      </c>
      <c r="J373" s="2">
        <v>1</v>
      </c>
      <c r="K373" s="2">
        <v>3</v>
      </c>
      <c r="L373" s="2">
        <v>7</v>
      </c>
      <c r="M373" s="2">
        <v>3.12</v>
      </c>
    </row>
    <row r="374" spans="1:13" x14ac:dyDescent="0.3">
      <c r="A374" s="2">
        <v>447</v>
      </c>
      <c r="B374" s="2" t="s">
        <v>551</v>
      </c>
      <c r="C374" s="2" t="s">
        <v>552</v>
      </c>
      <c r="D374" s="2">
        <f>LEN(Table2[[#This Row],[NAME1]])</f>
        <v>8</v>
      </c>
      <c r="E374" s="2"/>
      <c r="F374" s="2"/>
      <c r="G374" s="2">
        <v>0</v>
      </c>
      <c r="H374" s="2">
        <v>100</v>
      </c>
      <c r="I374" s="2">
        <v>100</v>
      </c>
      <c r="J374" s="2">
        <v>1</v>
      </c>
      <c r="K374" s="2">
        <v>0</v>
      </c>
      <c r="L374" s="2">
        <v>0</v>
      </c>
      <c r="M374" s="2">
        <v>1.07</v>
      </c>
    </row>
    <row r="375" spans="1:13" x14ac:dyDescent="0.3">
      <c r="A375" s="2">
        <v>132</v>
      </c>
      <c r="B375" s="2" t="s">
        <v>170</v>
      </c>
      <c r="C375" s="2" t="s">
        <v>171</v>
      </c>
      <c r="D375" s="2">
        <f>LEN(Table2[[#This Row],[NAME1]])</f>
        <v>8</v>
      </c>
      <c r="E375" s="2"/>
      <c r="F375" s="2"/>
      <c r="G375" s="2">
        <v>0.19902377500000001</v>
      </c>
      <c r="H375" s="2">
        <v>96.907216489999996</v>
      </c>
      <c r="I375" s="2">
        <v>97</v>
      </c>
      <c r="J375" s="2">
        <v>2</v>
      </c>
      <c r="K375" s="2">
        <v>2</v>
      </c>
      <c r="L375" s="2">
        <v>1</v>
      </c>
      <c r="M375" s="2">
        <v>2.06</v>
      </c>
    </row>
    <row r="376" spans="1:13" x14ac:dyDescent="0.3">
      <c r="A376" s="2">
        <v>702</v>
      </c>
      <c r="B376" s="2" t="s">
        <v>869</v>
      </c>
      <c r="C376" s="2" t="s">
        <v>870</v>
      </c>
      <c r="D376" s="2">
        <f>LEN(Table2[[#This Row],[NAME1]])</f>
        <v>8</v>
      </c>
      <c r="E376" s="2"/>
      <c r="F376" s="2"/>
      <c r="G376" s="2">
        <v>0.14372616999999999</v>
      </c>
      <c r="H376" s="2">
        <v>97.959183670000002</v>
      </c>
      <c r="I376" s="2">
        <v>98</v>
      </c>
      <c r="J376" s="2">
        <v>2</v>
      </c>
      <c r="K376" s="2">
        <v>2</v>
      </c>
      <c r="L376" s="2">
        <v>0</v>
      </c>
      <c r="M376" s="2">
        <v>2.1800000000000002</v>
      </c>
    </row>
    <row r="377" spans="1:13" x14ac:dyDescent="0.3">
      <c r="A377" s="2">
        <v>139</v>
      </c>
      <c r="B377" s="2" t="s">
        <v>176</v>
      </c>
      <c r="C377" s="2" t="s">
        <v>177</v>
      </c>
      <c r="D377" s="2">
        <f>LEN(Table2[[#This Row],[NAME1]])</f>
        <v>8</v>
      </c>
      <c r="E377" s="2"/>
      <c r="F377" s="2"/>
      <c r="G377" s="2">
        <v>0</v>
      </c>
      <c r="H377" s="2">
        <v>100</v>
      </c>
      <c r="I377" s="2">
        <v>100</v>
      </c>
      <c r="J377" s="2">
        <v>1</v>
      </c>
      <c r="K377" s="2">
        <v>0</v>
      </c>
      <c r="L377" s="2">
        <v>0</v>
      </c>
      <c r="M377" s="2">
        <v>1.22</v>
      </c>
    </row>
    <row r="378" spans="1:13" x14ac:dyDescent="0.3">
      <c r="A378" s="2">
        <v>173</v>
      </c>
      <c r="B378" s="2" t="s">
        <v>228</v>
      </c>
      <c r="C378" s="2" t="s">
        <v>229</v>
      </c>
      <c r="D378" s="2">
        <f>LEN(Table2[[#This Row],[NAME1]])</f>
        <v>8</v>
      </c>
      <c r="E378" s="2"/>
      <c r="F378" s="2"/>
      <c r="G378" s="2">
        <v>0</v>
      </c>
      <c r="H378" s="2">
        <v>100</v>
      </c>
      <c r="I378" s="2">
        <v>98</v>
      </c>
      <c r="J378" s="2">
        <v>1</v>
      </c>
      <c r="K378" s="2">
        <v>0</v>
      </c>
      <c r="L378" s="2">
        <v>2</v>
      </c>
      <c r="M378" s="2">
        <v>3.12</v>
      </c>
    </row>
    <row r="379" spans="1:13" x14ac:dyDescent="0.3">
      <c r="A379" s="2">
        <v>109</v>
      </c>
      <c r="B379" s="2" t="s">
        <v>138</v>
      </c>
      <c r="C379" s="2" t="s">
        <v>139</v>
      </c>
      <c r="D379" s="2">
        <f>LEN(Table2[[#This Row],[NAME1]])</f>
        <v>8</v>
      </c>
      <c r="E379" s="2"/>
      <c r="F379" s="2"/>
      <c r="G379" s="2">
        <v>0</v>
      </c>
      <c r="H379" s="2">
        <v>100</v>
      </c>
      <c r="I379" s="2">
        <v>100</v>
      </c>
      <c r="J379" s="2">
        <v>1</v>
      </c>
      <c r="K379" s="2">
        <v>0</v>
      </c>
      <c r="L379" s="2">
        <v>0</v>
      </c>
      <c r="M379" s="2">
        <v>3.1</v>
      </c>
    </row>
    <row r="380" spans="1:13" x14ac:dyDescent="0.3">
      <c r="A380" s="2">
        <v>357</v>
      </c>
      <c r="B380" s="2" t="s">
        <v>450</v>
      </c>
      <c r="C380" s="2" t="s">
        <v>451</v>
      </c>
      <c r="D380" s="2">
        <f>LEN(Table2[[#This Row],[NAME1]])</f>
        <v>8</v>
      </c>
      <c r="E380" s="2"/>
      <c r="F380" s="2"/>
      <c r="G380" s="2">
        <v>0</v>
      </c>
      <c r="H380" s="2">
        <v>100</v>
      </c>
      <c r="I380" s="2">
        <v>100</v>
      </c>
      <c r="J380" s="2">
        <v>1</v>
      </c>
      <c r="K380" s="2">
        <v>0</v>
      </c>
      <c r="L380" s="2">
        <v>0</v>
      </c>
      <c r="M380" s="2">
        <v>2.29</v>
      </c>
    </row>
    <row r="381" spans="1:13" x14ac:dyDescent="0.3">
      <c r="A381" s="2">
        <v>520</v>
      </c>
      <c r="B381" s="2" t="s">
        <v>655</v>
      </c>
      <c r="C381" s="2" t="s">
        <v>656</v>
      </c>
      <c r="D381" s="2">
        <f>LEN(Table2[[#This Row],[NAME1]])</f>
        <v>8</v>
      </c>
      <c r="E381" s="2"/>
      <c r="F381" s="2"/>
      <c r="G381" s="2">
        <v>0</v>
      </c>
      <c r="H381" s="2">
        <v>100</v>
      </c>
      <c r="I381" s="2">
        <v>99</v>
      </c>
      <c r="J381" s="2">
        <v>1</v>
      </c>
      <c r="K381" s="2">
        <v>0</v>
      </c>
      <c r="L381" s="2">
        <v>1</v>
      </c>
      <c r="M381" s="2">
        <v>2.14</v>
      </c>
    </row>
    <row r="382" spans="1:13" x14ac:dyDescent="0.3">
      <c r="A382" s="2">
        <v>734</v>
      </c>
      <c r="B382" s="2" t="s">
        <v>901</v>
      </c>
      <c r="C382" s="2" t="s">
        <v>902</v>
      </c>
      <c r="D382" s="2">
        <f>LEN(Table2[[#This Row],[NAME1]])</f>
        <v>8</v>
      </c>
      <c r="E382" s="2"/>
      <c r="F382" s="2"/>
      <c r="G382" s="2">
        <v>0</v>
      </c>
      <c r="H382" s="2">
        <v>100</v>
      </c>
      <c r="I382" s="2">
        <v>100</v>
      </c>
      <c r="J382" s="2">
        <v>1</v>
      </c>
      <c r="K382" s="2">
        <v>0</v>
      </c>
      <c r="L382" s="2">
        <v>0</v>
      </c>
      <c r="M382" s="2">
        <v>2.5499999999999998</v>
      </c>
    </row>
    <row r="383" spans="1:13" x14ac:dyDescent="0.3">
      <c r="A383" s="2">
        <v>404</v>
      </c>
      <c r="B383" s="2" t="s">
        <v>502</v>
      </c>
      <c r="C383" s="2" t="s">
        <v>503</v>
      </c>
      <c r="D383" s="2">
        <f>LEN(Table2[[#This Row],[NAME1]])</f>
        <v>8</v>
      </c>
      <c r="E383" s="2"/>
      <c r="F383" s="2"/>
      <c r="G383" s="2">
        <v>0.450251183</v>
      </c>
      <c r="H383" s="2">
        <v>92.473118279999994</v>
      </c>
      <c r="I383" s="2">
        <v>93</v>
      </c>
      <c r="J383" s="2">
        <v>3</v>
      </c>
      <c r="K383" s="2">
        <v>5</v>
      </c>
      <c r="L383" s="2">
        <v>2</v>
      </c>
      <c r="M383" s="2">
        <v>3.33</v>
      </c>
    </row>
    <row r="384" spans="1:13" x14ac:dyDescent="0.3">
      <c r="A384" s="2">
        <v>283</v>
      </c>
      <c r="B384" s="2" t="s">
        <v>355</v>
      </c>
      <c r="C384" s="2" t="s">
        <v>356</v>
      </c>
      <c r="D384" s="2">
        <f>LEN(Table2[[#This Row],[NAME1]])</f>
        <v>8</v>
      </c>
      <c r="E384" s="2"/>
      <c r="F384" s="2"/>
      <c r="G384" s="2">
        <v>0</v>
      </c>
      <c r="H384" s="2">
        <v>100</v>
      </c>
      <c r="I384" s="2">
        <v>100</v>
      </c>
      <c r="J384" s="2">
        <v>1</v>
      </c>
      <c r="K384" s="2">
        <v>0</v>
      </c>
      <c r="L384" s="2">
        <v>0</v>
      </c>
      <c r="M384" s="2">
        <v>2.4</v>
      </c>
    </row>
    <row r="385" spans="1:13" x14ac:dyDescent="0.3">
      <c r="A385" s="2">
        <v>262</v>
      </c>
      <c r="B385" s="2" t="s">
        <v>327</v>
      </c>
      <c r="C385" s="2" t="s">
        <v>328</v>
      </c>
      <c r="D385" s="2">
        <f>LEN(Table2[[#This Row],[NAME1]])</f>
        <v>8</v>
      </c>
      <c r="E385" s="2"/>
      <c r="F385" s="2"/>
      <c r="G385" s="2">
        <v>0</v>
      </c>
      <c r="H385" s="2">
        <v>100</v>
      </c>
      <c r="I385" s="2">
        <v>98</v>
      </c>
      <c r="J385" s="2">
        <v>1</v>
      </c>
      <c r="K385" s="2">
        <v>0</v>
      </c>
      <c r="L385" s="2">
        <v>2</v>
      </c>
      <c r="M385" s="2">
        <v>2.14</v>
      </c>
    </row>
    <row r="386" spans="1:13" x14ac:dyDescent="0.3">
      <c r="A386" s="2">
        <v>727</v>
      </c>
      <c r="B386" s="2" t="s">
        <v>893</v>
      </c>
      <c r="C386" s="2" t="s">
        <v>894</v>
      </c>
      <c r="D386" s="2">
        <f>LEN(Table2[[#This Row],[NAME1]])</f>
        <v>8</v>
      </c>
      <c r="E386" s="2"/>
      <c r="F386" s="2"/>
      <c r="G386" s="2">
        <v>0</v>
      </c>
      <c r="H386" s="2">
        <v>100</v>
      </c>
      <c r="I386" s="2">
        <v>100</v>
      </c>
      <c r="J386" s="2">
        <v>1</v>
      </c>
      <c r="K386" s="2">
        <v>0</v>
      </c>
      <c r="L386" s="2">
        <v>0</v>
      </c>
      <c r="M386" s="2">
        <v>1.95</v>
      </c>
    </row>
    <row r="387" spans="1:13" x14ac:dyDescent="0.3">
      <c r="A387" s="2">
        <v>351</v>
      </c>
      <c r="B387" s="2" t="s">
        <v>444</v>
      </c>
      <c r="C387" s="2" t="s">
        <v>445</v>
      </c>
      <c r="D387" s="2">
        <f>LEN(Table2[[#This Row],[NAME1]])</f>
        <v>8</v>
      </c>
      <c r="E387" s="2"/>
      <c r="F387" s="2"/>
      <c r="G387" s="2">
        <v>0</v>
      </c>
      <c r="H387" s="2">
        <v>100</v>
      </c>
      <c r="I387" s="2">
        <v>99</v>
      </c>
      <c r="J387" s="2">
        <v>1</v>
      </c>
      <c r="K387" s="2">
        <v>1</v>
      </c>
      <c r="L387" s="2">
        <v>0</v>
      </c>
      <c r="M387" s="2">
        <v>2.78</v>
      </c>
    </row>
    <row r="388" spans="1:13" x14ac:dyDescent="0.3">
      <c r="A388" s="2">
        <v>216</v>
      </c>
      <c r="B388" s="2" t="s">
        <v>277</v>
      </c>
      <c r="C388" s="2" t="s">
        <v>278</v>
      </c>
      <c r="D388" s="2">
        <f>LEN(Table2[[#This Row],[NAME1]])</f>
        <v>8</v>
      </c>
      <c r="E388" s="2"/>
      <c r="F388" s="2"/>
      <c r="G388" s="2">
        <v>0</v>
      </c>
      <c r="H388" s="2">
        <v>100</v>
      </c>
      <c r="I388" s="2">
        <v>99</v>
      </c>
      <c r="J388" s="2">
        <v>1</v>
      </c>
      <c r="K388" s="2">
        <v>1</v>
      </c>
      <c r="L388" s="2">
        <v>0</v>
      </c>
      <c r="M388" s="2">
        <v>1.5</v>
      </c>
    </row>
    <row r="389" spans="1:13" x14ac:dyDescent="0.3">
      <c r="A389" s="2">
        <v>718</v>
      </c>
      <c r="B389" s="2" t="s">
        <v>883</v>
      </c>
      <c r="C389" s="2" t="s">
        <v>884</v>
      </c>
      <c r="D389" s="2">
        <f>LEN(Table2[[#This Row],[NAME1]])</f>
        <v>8</v>
      </c>
      <c r="E389" s="2"/>
      <c r="F389" s="2"/>
      <c r="G389" s="2">
        <v>0</v>
      </c>
      <c r="H389" s="2">
        <v>100</v>
      </c>
      <c r="I389" s="2">
        <v>100</v>
      </c>
      <c r="J389" s="2">
        <v>1</v>
      </c>
      <c r="K389" s="2">
        <v>0</v>
      </c>
      <c r="L389" s="2">
        <v>0</v>
      </c>
      <c r="M389" s="2">
        <v>2.02</v>
      </c>
    </row>
    <row r="390" spans="1:13" x14ac:dyDescent="0.3">
      <c r="A390" s="2">
        <v>653</v>
      </c>
      <c r="B390" s="2" t="s">
        <v>810</v>
      </c>
      <c r="C390" s="2" t="s">
        <v>811</v>
      </c>
      <c r="D390" s="2">
        <f>LEN(Table2[[#This Row],[NAME1]])</f>
        <v>8</v>
      </c>
      <c r="E390" s="2"/>
      <c r="F390" s="2"/>
      <c r="G390" s="2">
        <v>0</v>
      </c>
      <c r="H390" s="2">
        <v>100</v>
      </c>
      <c r="I390" s="2">
        <v>100</v>
      </c>
      <c r="J390" s="2">
        <v>1</v>
      </c>
      <c r="K390" s="2">
        <v>0</v>
      </c>
      <c r="L390" s="2">
        <v>0</v>
      </c>
      <c r="M390" s="2">
        <v>2.08</v>
      </c>
    </row>
    <row r="391" spans="1:13" x14ac:dyDescent="0.3">
      <c r="A391" s="2">
        <v>740</v>
      </c>
      <c r="B391" s="2" t="s">
        <v>905</v>
      </c>
      <c r="C391" s="2" t="s">
        <v>906</v>
      </c>
      <c r="D391" s="2">
        <f>LEN(Table2[[#This Row],[NAME1]])</f>
        <v>8</v>
      </c>
      <c r="E391" s="2"/>
      <c r="F391" s="2"/>
      <c r="G391" s="2">
        <v>0.53118402099999995</v>
      </c>
      <c r="H391" s="2">
        <v>91.919191920000003</v>
      </c>
      <c r="I391" s="2">
        <v>99</v>
      </c>
      <c r="J391" s="2">
        <v>4</v>
      </c>
      <c r="K391" s="2">
        <v>1</v>
      </c>
      <c r="L391" s="2">
        <v>0</v>
      </c>
      <c r="M391" s="2">
        <v>3.06</v>
      </c>
    </row>
    <row r="392" spans="1:13" x14ac:dyDescent="0.3">
      <c r="A392" s="2">
        <v>348</v>
      </c>
      <c r="B392" s="2" t="s">
        <v>438</v>
      </c>
      <c r="C392" s="2" t="s">
        <v>439</v>
      </c>
      <c r="D392" s="2">
        <f>LEN(Table2[[#This Row],[NAME1]])</f>
        <v>8</v>
      </c>
      <c r="E392" s="2"/>
      <c r="F392" s="2"/>
      <c r="G392" s="2">
        <v>0.33494448700000001</v>
      </c>
      <c r="H392" s="2">
        <v>95</v>
      </c>
      <c r="I392" s="2">
        <v>100</v>
      </c>
      <c r="J392" s="2">
        <v>3</v>
      </c>
      <c r="K392" s="2">
        <v>0</v>
      </c>
      <c r="L392" s="2">
        <v>0</v>
      </c>
      <c r="M392" s="2">
        <v>1.89</v>
      </c>
    </row>
    <row r="393" spans="1:13" x14ac:dyDescent="0.3">
      <c r="A393" s="2">
        <v>682</v>
      </c>
      <c r="B393" s="2" t="s">
        <v>844</v>
      </c>
      <c r="C393" s="2" t="s">
        <v>845</v>
      </c>
      <c r="D393" s="2">
        <f>LEN(Table2[[#This Row],[NAME1]])</f>
        <v>8</v>
      </c>
      <c r="E393" s="2"/>
      <c r="F393" s="2"/>
      <c r="G393" s="2">
        <v>0</v>
      </c>
      <c r="H393" s="2">
        <v>100</v>
      </c>
      <c r="I393" s="2">
        <v>100</v>
      </c>
      <c r="J393" s="2">
        <v>1</v>
      </c>
      <c r="K393" s="2">
        <v>0</v>
      </c>
      <c r="L393" s="2">
        <v>0</v>
      </c>
      <c r="M393" s="2">
        <v>2.38</v>
      </c>
    </row>
    <row r="394" spans="1:13" x14ac:dyDescent="0.3">
      <c r="A394" s="2">
        <v>457</v>
      </c>
      <c r="B394" s="2" t="s">
        <v>567</v>
      </c>
      <c r="C394" s="2" t="s">
        <v>568</v>
      </c>
      <c r="D394" s="2">
        <f>LEN(Table2[[#This Row],[NAME1]])</f>
        <v>8</v>
      </c>
      <c r="E394" s="2"/>
      <c r="F394" s="2"/>
      <c r="G394" s="2">
        <v>0.379524378</v>
      </c>
      <c r="H394" s="2">
        <v>92.631578950000005</v>
      </c>
      <c r="I394" s="2">
        <v>95</v>
      </c>
      <c r="J394" s="2">
        <v>2</v>
      </c>
      <c r="K394" s="2">
        <v>3</v>
      </c>
      <c r="L394" s="2">
        <v>2</v>
      </c>
      <c r="M394" s="2">
        <v>2.4300000000000002</v>
      </c>
    </row>
    <row r="395" spans="1:13" x14ac:dyDescent="0.3">
      <c r="A395" s="2">
        <v>410</v>
      </c>
      <c r="B395" s="2" t="s">
        <v>510</v>
      </c>
      <c r="C395" s="2" t="s">
        <v>511</v>
      </c>
      <c r="D395" s="2">
        <f>LEN(Table2[[#This Row],[NAME1]])</f>
        <v>8</v>
      </c>
      <c r="E395" s="2"/>
      <c r="F395" s="2"/>
      <c r="G395" s="2">
        <v>0.28376897000000001</v>
      </c>
      <c r="H395" s="2">
        <v>95.061728400000007</v>
      </c>
      <c r="I395" s="2">
        <v>81</v>
      </c>
      <c r="J395" s="2">
        <v>2</v>
      </c>
      <c r="K395" s="2">
        <v>12</v>
      </c>
      <c r="L395" s="2">
        <v>7</v>
      </c>
      <c r="M395" s="2">
        <v>2.89</v>
      </c>
    </row>
    <row r="396" spans="1:13" x14ac:dyDescent="0.3">
      <c r="A396" s="2">
        <v>170</v>
      </c>
      <c r="B396" s="2" t="s">
        <v>222</v>
      </c>
      <c r="C396" s="2" t="s">
        <v>223</v>
      </c>
      <c r="D396" s="2">
        <f>LEN(Table2[[#This Row],[NAME1]])</f>
        <v>8</v>
      </c>
      <c r="E396" s="2"/>
      <c r="F396" s="2"/>
      <c r="G396" s="2">
        <v>0</v>
      </c>
      <c r="H396" s="2">
        <v>100</v>
      </c>
      <c r="I396" s="2">
        <v>100</v>
      </c>
      <c r="J396" s="2">
        <v>1</v>
      </c>
      <c r="K396" s="2">
        <v>0</v>
      </c>
      <c r="L396" s="2">
        <v>0</v>
      </c>
      <c r="M396" s="2">
        <v>2.25</v>
      </c>
    </row>
    <row r="397" spans="1:13" x14ac:dyDescent="0.3">
      <c r="A397" s="2">
        <v>434</v>
      </c>
      <c r="B397" s="2" t="s">
        <v>531</v>
      </c>
      <c r="C397" s="2" t="s">
        <v>532</v>
      </c>
      <c r="D397" s="2">
        <f>LEN(Table2[[#This Row],[NAME1]])</f>
        <v>8</v>
      </c>
      <c r="E397" s="2"/>
      <c r="F397" s="2"/>
      <c r="G397" s="2">
        <v>0.37395136699999998</v>
      </c>
      <c r="H397" s="2">
        <v>92.783505149999996</v>
      </c>
      <c r="I397" s="2">
        <v>97</v>
      </c>
      <c r="J397" s="2">
        <v>2</v>
      </c>
      <c r="K397" s="2">
        <v>0</v>
      </c>
      <c r="L397" s="2">
        <v>3</v>
      </c>
      <c r="M397" s="2">
        <v>2.91</v>
      </c>
    </row>
    <row r="398" spans="1:13" x14ac:dyDescent="0.3">
      <c r="A398" s="2">
        <v>690</v>
      </c>
      <c r="B398" s="2" t="s">
        <v>853</v>
      </c>
      <c r="C398" s="2" t="s">
        <v>854</v>
      </c>
      <c r="D398" s="2">
        <f>LEN(Table2[[#This Row],[NAME1]])</f>
        <v>8</v>
      </c>
      <c r="E398" s="2"/>
      <c r="F398" s="2"/>
      <c r="G398" s="2">
        <v>0.327444919</v>
      </c>
      <c r="H398" s="2">
        <v>94</v>
      </c>
      <c r="I398" s="2">
        <v>100</v>
      </c>
      <c r="J398" s="2">
        <v>2</v>
      </c>
      <c r="K398" s="2">
        <v>0</v>
      </c>
      <c r="L398" s="2">
        <v>0</v>
      </c>
      <c r="M398" s="2">
        <v>1.818181818</v>
      </c>
    </row>
    <row r="399" spans="1:13" x14ac:dyDescent="0.3">
      <c r="A399" s="2">
        <v>613</v>
      </c>
      <c r="B399" s="2" t="s">
        <v>766</v>
      </c>
      <c r="C399" s="2" t="s">
        <v>767</v>
      </c>
      <c r="D399" s="2">
        <f>LEN(Table2[[#This Row],[NAME1]])</f>
        <v>8</v>
      </c>
      <c r="E399" s="2"/>
      <c r="F399" s="2"/>
      <c r="G399" s="2">
        <v>0.41083783899999998</v>
      </c>
      <c r="H399" s="2">
        <v>91.75257732</v>
      </c>
      <c r="I399" s="2">
        <v>97</v>
      </c>
      <c r="J399" s="2">
        <v>2</v>
      </c>
      <c r="K399" s="2">
        <v>1</v>
      </c>
      <c r="L399" s="2">
        <v>2</v>
      </c>
      <c r="M399" s="2">
        <v>2.35</v>
      </c>
    </row>
    <row r="400" spans="1:13" x14ac:dyDescent="0.3">
      <c r="A400" s="2">
        <v>509</v>
      </c>
      <c r="B400" s="2" t="s">
        <v>637</v>
      </c>
      <c r="C400" s="2" t="s">
        <v>638</v>
      </c>
      <c r="D400" s="2">
        <f>LEN(Table2[[#This Row],[NAME1]])</f>
        <v>8</v>
      </c>
      <c r="E400" s="2"/>
      <c r="F400" s="2"/>
      <c r="G400" s="2">
        <v>0</v>
      </c>
      <c r="H400" s="2">
        <v>100</v>
      </c>
      <c r="I400" s="2">
        <v>100</v>
      </c>
      <c r="J400" s="2">
        <v>1</v>
      </c>
      <c r="K400" s="2">
        <v>0</v>
      </c>
      <c r="L400" s="2">
        <v>0</v>
      </c>
      <c r="M400" s="2">
        <v>2.14</v>
      </c>
    </row>
    <row r="401" spans="1:13" x14ac:dyDescent="0.3">
      <c r="A401" s="2">
        <v>671</v>
      </c>
      <c r="B401" s="2" t="s">
        <v>830</v>
      </c>
      <c r="C401" s="2" t="s">
        <v>831</v>
      </c>
      <c r="D401" s="2">
        <f>LEN(Table2[[#This Row],[NAME1]])</f>
        <v>8</v>
      </c>
      <c r="E401" s="2"/>
      <c r="F401" s="2"/>
      <c r="G401" s="2">
        <v>0</v>
      </c>
      <c r="H401" s="2">
        <v>100</v>
      </c>
      <c r="I401" s="2">
        <v>98</v>
      </c>
      <c r="J401" s="2">
        <v>1</v>
      </c>
      <c r="K401" s="2">
        <v>2</v>
      </c>
      <c r="L401" s="2">
        <v>0</v>
      </c>
      <c r="M401" s="2">
        <v>1.88</v>
      </c>
    </row>
    <row r="402" spans="1:13" x14ac:dyDescent="0.3">
      <c r="A402" s="2">
        <v>200</v>
      </c>
      <c r="B402" s="2" t="s">
        <v>259</v>
      </c>
      <c r="C402" s="2" t="s">
        <v>260</v>
      </c>
      <c r="D402" s="2">
        <f>LEN(Table2[[#This Row],[NAME1]])</f>
        <v>8</v>
      </c>
      <c r="E402" s="2"/>
      <c r="F402" s="2"/>
      <c r="G402" s="2">
        <v>0</v>
      </c>
      <c r="H402" s="2">
        <v>100</v>
      </c>
      <c r="I402" s="2">
        <v>97</v>
      </c>
      <c r="J402" s="2">
        <v>1</v>
      </c>
      <c r="K402" s="2">
        <v>1</v>
      </c>
      <c r="L402" s="2">
        <v>2</v>
      </c>
      <c r="M402" s="2">
        <v>2.44</v>
      </c>
    </row>
    <row r="403" spans="1:13" x14ac:dyDescent="0.3">
      <c r="A403" s="2">
        <v>399</v>
      </c>
      <c r="B403" s="2" t="s">
        <v>496</v>
      </c>
      <c r="C403" s="2" t="s">
        <v>497</v>
      </c>
      <c r="D403" s="2">
        <f>LEN(Table2[[#This Row],[NAME1]])</f>
        <v>9</v>
      </c>
      <c r="E403" s="2"/>
      <c r="F403" s="2"/>
      <c r="G403" s="2">
        <v>0.194391858</v>
      </c>
      <c r="H403" s="2">
        <v>97</v>
      </c>
      <c r="I403" s="2">
        <v>100</v>
      </c>
      <c r="J403" s="2">
        <v>2</v>
      </c>
      <c r="K403" s="2">
        <v>0</v>
      </c>
      <c r="L403" s="2">
        <v>0</v>
      </c>
      <c r="M403" s="2">
        <v>2.56</v>
      </c>
    </row>
    <row r="404" spans="1:13" x14ac:dyDescent="0.3">
      <c r="A404" s="2">
        <v>573</v>
      </c>
      <c r="B404" s="2" t="s">
        <v>715</v>
      </c>
      <c r="C404" s="2" t="s">
        <v>716</v>
      </c>
      <c r="D404" s="2">
        <f>LEN(Table2[[#This Row],[NAME1]])</f>
        <v>9</v>
      </c>
      <c r="E404" s="2"/>
      <c r="F404" s="2"/>
      <c r="G404" s="2">
        <v>0.29894079699999998</v>
      </c>
      <c r="H404" s="2">
        <v>95.698924730000002</v>
      </c>
      <c r="I404" s="2">
        <v>93</v>
      </c>
      <c r="J404" s="2">
        <v>3</v>
      </c>
      <c r="K404" s="2">
        <v>6</v>
      </c>
      <c r="L404" s="2">
        <v>1</v>
      </c>
      <c r="M404" s="2">
        <v>2.06</v>
      </c>
    </row>
    <row r="405" spans="1:13" x14ac:dyDescent="0.3">
      <c r="A405" s="2">
        <v>23</v>
      </c>
      <c r="B405" s="2" t="s">
        <v>29</v>
      </c>
      <c r="C405" s="2" t="s">
        <v>30</v>
      </c>
      <c r="D405" s="2">
        <f>LEN(Table2[[#This Row],[NAME1]])</f>
        <v>9</v>
      </c>
      <c r="E405" s="2"/>
      <c r="F405" s="2"/>
      <c r="G405" s="2">
        <v>0</v>
      </c>
      <c r="H405" s="2">
        <v>100</v>
      </c>
      <c r="I405" s="2">
        <v>100</v>
      </c>
      <c r="J405" s="2">
        <v>1</v>
      </c>
      <c r="K405" s="2">
        <v>0</v>
      </c>
      <c r="L405" s="2">
        <v>0</v>
      </c>
      <c r="M405" s="2">
        <v>2.78</v>
      </c>
    </row>
    <row r="406" spans="1:13" x14ac:dyDescent="0.3">
      <c r="A406" s="2">
        <v>684</v>
      </c>
      <c r="B406" s="2" t="s">
        <v>848</v>
      </c>
      <c r="C406" s="2" t="s">
        <v>849</v>
      </c>
      <c r="D406" s="2">
        <f>LEN(Table2[[#This Row],[NAME1]])</f>
        <v>9</v>
      </c>
      <c r="E406" s="2"/>
      <c r="F406" s="2"/>
      <c r="G406" s="2">
        <v>0.14257333</v>
      </c>
      <c r="H406" s="2">
        <v>97.979797980000001</v>
      </c>
      <c r="I406" s="2">
        <v>99</v>
      </c>
      <c r="J406" s="2">
        <v>2</v>
      </c>
      <c r="K406" s="2">
        <v>1</v>
      </c>
      <c r="L406" s="2">
        <v>0</v>
      </c>
      <c r="M406" s="2">
        <v>2.85</v>
      </c>
    </row>
    <row r="407" spans="1:13" x14ac:dyDescent="0.3">
      <c r="A407" s="2">
        <v>164</v>
      </c>
      <c r="B407" s="2" t="s">
        <v>216</v>
      </c>
      <c r="C407" s="2" t="s">
        <v>217</v>
      </c>
      <c r="D407" s="2">
        <f>LEN(Table2[[#This Row],[NAME1]])</f>
        <v>9</v>
      </c>
      <c r="E407" s="2"/>
      <c r="F407" s="2"/>
      <c r="G407" s="2">
        <v>0</v>
      </c>
      <c r="H407" s="2">
        <v>100</v>
      </c>
      <c r="I407" s="2">
        <v>100</v>
      </c>
      <c r="J407" s="2">
        <v>1</v>
      </c>
      <c r="K407" s="2">
        <v>0</v>
      </c>
      <c r="L407" s="2">
        <v>0</v>
      </c>
      <c r="M407" s="2">
        <v>2.13</v>
      </c>
    </row>
    <row r="408" spans="1:13" x14ac:dyDescent="0.3">
      <c r="A408" s="2">
        <v>149</v>
      </c>
      <c r="B408" s="2" t="s">
        <v>194</v>
      </c>
      <c r="C408" s="2" t="s">
        <v>195</v>
      </c>
      <c r="D408" s="2">
        <f>LEN(Table2[[#This Row],[NAME1]])</f>
        <v>9</v>
      </c>
      <c r="E408" s="2"/>
      <c r="F408" s="2"/>
      <c r="G408" s="2">
        <v>0.15935006299999999</v>
      </c>
      <c r="H408" s="2">
        <v>97.674418599999996</v>
      </c>
      <c r="I408" s="2">
        <v>86</v>
      </c>
      <c r="J408" s="2">
        <v>2</v>
      </c>
      <c r="K408" s="2">
        <v>7</v>
      </c>
      <c r="L408" s="2">
        <v>7</v>
      </c>
      <c r="M408" s="2">
        <v>1.94</v>
      </c>
    </row>
    <row r="409" spans="1:13" x14ac:dyDescent="0.3">
      <c r="A409" s="2">
        <v>330</v>
      </c>
      <c r="B409" s="2" t="s">
        <v>415</v>
      </c>
      <c r="C409" s="2" t="s">
        <v>244</v>
      </c>
      <c r="D409" s="2">
        <f>LEN(Table2[[#This Row],[NAME1]])</f>
        <v>9</v>
      </c>
      <c r="E409" s="2"/>
      <c r="F409" s="2"/>
      <c r="G409" s="2">
        <v>0.51659875</v>
      </c>
      <c r="H409" s="2">
        <v>90.721649479999996</v>
      </c>
      <c r="I409" s="2">
        <v>97</v>
      </c>
      <c r="J409" s="2">
        <v>3</v>
      </c>
      <c r="K409" s="2">
        <v>1</v>
      </c>
      <c r="L409" s="2">
        <v>2</v>
      </c>
      <c r="M409" s="2">
        <v>3.36</v>
      </c>
    </row>
    <row r="410" spans="1:13" x14ac:dyDescent="0.3">
      <c r="A410" s="2">
        <v>580</v>
      </c>
      <c r="B410" s="2" t="s">
        <v>722</v>
      </c>
      <c r="C410" s="2" t="s">
        <v>723</v>
      </c>
      <c r="D410" s="2">
        <f>LEN(Table2[[#This Row],[NAME1]])</f>
        <v>9</v>
      </c>
      <c r="E410" s="2"/>
      <c r="F410" s="2"/>
      <c r="G410" s="2">
        <v>0</v>
      </c>
      <c r="H410" s="2">
        <v>100</v>
      </c>
      <c r="I410" s="2">
        <v>99</v>
      </c>
      <c r="J410" s="2">
        <v>1</v>
      </c>
      <c r="K410" s="2">
        <v>0</v>
      </c>
      <c r="L410" s="2">
        <v>1</v>
      </c>
      <c r="M410" s="2">
        <v>2.9393939389999999</v>
      </c>
    </row>
    <row r="411" spans="1:13" x14ac:dyDescent="0.3">
      <c r="A411" s="2">
        <v>370</v>
      </c>
      <c r="B411" s="2" t="s">
        <v>466</v>
      </c>
      <c r="C411" s="2" t="s">
        <v>467</v>
      </c>
      <c r="D411" s="2">
        <f>LEN(Table2[[#This Row],[NAME1]])</f>
        <v>9</v>
      </c>
      <c r="E411" s="2"/>
      <c r="F411" s="2"/>
      <c r="G411" s="2">
        <v>0.44855455399999999</v>
      </c>
      <c r="H411" s="2">
        <v>92.708333330000002</v>
      </c>
      <c r="I411" s="2">
        <v>96</v>
      </c>
      <c r="J411" s="2">
        <v>3</v>
      </c>
      <c r="K411" s="2">
        <v>2</v>
      </c>
      <c r="L411" s="2">
        <v>2</v>
      </c>
      <c r="M411" s="2">
        <v>2.58</v>
      </c>
    </row>
    <row r="412" spans="1:13" x14ac:dyDescent="0.3">
      <c r="A412" s="2">
        <v>581</v>
      </c>
      <c r="B412" s="2" t="s">
        <v>724</v>
      </c>
      <c r="C412" s="2" t="s">
        <v>725</v>
      </c>
      <c r="D412" s="2">
        <f>LEN(Table2[[#This Row],[NAME1]])</f>
        <v>9</v>
      </c>
      <c r="E412" s="2"/>
      <c r="F412" s="2"/>
      <c r="G412" s="2">
        <v>0</v>
      </c>
      <c r="H412" s="2">
        <v>100</v>
      </c>
      <c r="I412" s="2">
        <v>84</v>
      </c>
      <c r="J412" s="2">
        <v>1</v>
      </c>
      <c r="K412" s="2">
        <v>11</v>
      </c>
      <c r="L412" s="2">
        <v>5</v>
      </c>
      <c r="M412" s="2">
        <v>2.39</v>
      </c>
    </row>
    <row r="413" spans="1:13" x14ac:dyDescent="0.3">
      <c r="A413" s="2">
        <v>20</v>
      </c>
      <c r="B413" s="2" t="s">
        <v>25</v>
      </c>
      <c r="C413" s="2" t="s">
        <v>26</v>
      </c>
      <c r="D413" s="2">
        <f>LEN(Table2[[#This Row],[NAME1]])</f>
        <v>9</v>
      </c>
      <c r="E413" s="2"/>
      <c r="F413" s="2"/>
      <c r="G413" s="2">
        <v>0</v>
      </c>
      <c r="H413" s="2">
        <v>100</v>
      </c>
      <c r="I413" s="2">
        <v>99</v>
      </c>
      <c r="J413" s="2">
        <v>1</v>
      </c>
      <c r="K413" s="2">
        <v>0</v>
      </c>
      <c r="L413" s="2">
        <v>1</v>
      </c>
      <c r="M413" s="2">
        <v>2.71</v>
      </c>
    </row>
    <row r="414" spans="1:13" x14ac:dyDescent="0.3">
      <c r="A414" s="2">
        <v>294</v>
      </c>
      <c r="B414" s="2" t="s">
        <v>373</v>
      </c>
      <c r="C414" s="2" t="s">
        <v>374</v>
      </c>
      <c r="D414" s="2">
        <f>LEN(Table2[[#This Row],[NAME1]])</f>
        <v>9</v>
      </c>
      <c r="E414" s="2"/>
      <c r="F414" s="2"/>
      <c r="G414" s="2">
        <v>0.48628741800000003</v>
      </c>
      <c r="H414" s="2">
        <v>92.783505149999996</v>
      </c>
      <c r="I414" s="2">
        <v>97</v>
      </c>
      <c r="J414" s="2">
        <v>4</v>
      </c>
      <c r="K414" s="2">
        <v>0</v>
      </c>
      <c r="L414" s="2">
        <v>3</v>
      </c>
      <c r="M414" s="2">
        <v>3</v>
      </c>
    </row>
    <row r="415" spans="1:13" x14ac:dyDescent="0.3">
      <c r="A415" s="2">
        <v>387</v>
      </c>
      <c r="B415" s="2" t="s">
        <v>482</v>
      </c>
      <c r="C415" s="2" t="s">
        <v>483</v>
      </c>
      <c r="D415" s="2">
        <f>LEN(Table2[[#This Row],[NAME1]])</f>
        <v>9</v>
      </c>
      <c r="E415" s="2"/>
      <c r="F415" s="2"/>
      <c r="G415" s="2">
        <v>0</v>
      </c>
      <c r="H415" s="2">
        <v>100</v>
      </c>
      <c r="I415" s="2">
        <v>100</v>
      </c>
      <c r="J415" s="2">
        <v>1</v>
      </c>
      <c r="K415" s="2">
        <v>0</v>
      </c>
      <c r="L415" s="2">
        <v>0</v>
      </c>
      <c r="M415" s="2">
        <v>2.17</v>
      </c>
    </row>
    <row r="416" spans="1:13" x14ac:dyDescent="0.3">
      <c r="A416" s="2">
        <v>204</v>
      </c>
      <c r="B416" s="2" t="s">
        <v>263</v>
      </c>
      <c r="C416" s="2" t="s">
        <v>264</v>
      </c>
      <c r="D416" s="2">
        <f>LEN(Table2[[#This Row],[NAME1]])</f>
        <v>9</v>
      </c>
      <c r="E416" s="2"/>
      <c r="F416" s="2"/>
      <c r="G416" s="2">
        <v>0</v>
      </c>
      <c r="H416" s="2">
        <v>100</v>
      </c>
      <c r="I416" s="2">
        <v>98</v>
      </c>
      <c r="J416" s="2">
        <v>1</v>
      </c>
      <c r="K416" s="2">
        <v>1</v>
      </c>
      <c r="L416" s="2">
        <v>1</v>
      </c>
      <c r="M416" s="2">
        <v>2.68</v>
      </c>
    </row>
    <row r="417" spans="1:13" x14ac:dyDescent="0.3">
      <c r="A417" s="2">
        <v>58</v>
      </c>
      <c r="B417" s="2" t="s">
        <v>71</v>
      </c>
      <c r="C417" s="2" t="s">
        <v>72</v>
      </c>
      <c r="D417" s="2">
        <f>LEN(Table2[[#This Row],[NAME1]])</f>
        <v>9</v>
      </c>
      <c r="E417" s="2"/>
      <c r="F417" s="2"/>
      <c r="G417" s="2">
        <v>0.33985507799999998</v>
      </c>
      <c r="H417" s="2">
        <v>93.684210530000001</v>
      </c>
      <c r="I417" s="2">
        <v>95</v>
      </c>
      <c r="J417" s="2">
        <v>2</v>
      </c>
      <c r="K417" s="2">
        <v>1</v>
      </c>
      <c r="L417" s="2">
        <v>4</v>
      </c>
      <c r="M417" s="2">
        <v>3.27</v>
      </c>
    </row>
    <row r="418" spans="1:13" x14ac:dyDescent="0.3">
      <c r="A418" s="2">
        <v>121</v>
      </c>
      <c r="B418" s="2" t="s">
        <v>152</v>
      </c>
      <c r="C418" s="2" t="s">
        <v>153</v>
      </c>
      <c r="D418" s="2">
        <f>LEN(Table2[[#This Row],[NAME1]])</f>
        <v>9</v>
      </c>
      <c r="E418" s="2"/>
      <c r="F418" s="2"/>
      <c r="G418" s="2">
        <v>0</v>
      </c>
      <c r="H418" s="2">
        <v>100</v>
      </c>
      <c r="I418" s="2">
        <v>100</v>
      </c>
      <c r="J418" s="2">
        <v>1</v>
      </c>
      <c r="K418" s="2">
        <v>0</v>
      </c>
      <c r="L418" s="2">
        <v>0</v>
      </c>
      <c r="M418" s="2">
        <v>2.36</v>
      </c>
    </row>
    <row r="419" spans="1:13" x14ac:dyDescent="0.3">
      <c r="A419" s="2">
        <v>697</v>
      </c>
      <c r="B419" s="2" t="s">
        <v>863</v>
      </c>
      <c r="C419" s="2" t="s">
        <v>864</v>
      </c>
      <c r="D419" s="2">
        <f>LEN(Table2[[#This Row],[NAME1]])</f>
        <v>9</v>
      </c>
      <c r="E419" s="2"/>
      <c r="F419" s="2"/>
      <c r="G419" s="2">
        <v>0.20062232399999999</v>
      </c>
      <c r="H419" s="2">
        <v>96.875</v>
      </c>
      <c r="I419" s="2">
        <v>96</v>
      </c>
      <c r="J419" s="2">
        <v>2</v>
      </c>
      <c r="K419" s="2">
        <v>0</v>
      </c>
      <c r="L419" s="2">
        <v>4</v>
      </c>
      <c r="M419" s="2">
        <v>2.38</v>
      </c>
    </row>
    <row r="420" spans="1:13" x14ac:dyDescent="0.3">
      <c r="A420" s="2">
        <v>208</v>
      </c>
      <c r="B420" s="2" t="s">
        <v>269</v>
      </c>
      <c r="C420" s="2" t="s">
        <v>270</v>
      </c>
      <c r="D420" s="2">
        <f>LEN(Table2[[#This Row],[NAME1]])</f>
        <v>9</v>
      </c>
      <c r="E420" s="2"/>
      <c r="F420" s="2"/>
      <c r="G420" s="2">
        <v>0</v>
      </c>
      <c r="H420" s="2">
        <v>100</v>
      </c>
      <c r="I420" s="2">
        <v>100</v>
      </c>
      <c r="J420" s="2">
        <v>1</v>
      </c>
      <c r="K420" s="2">
        <v>0</v>
      </c>
      <c r="L420" s="2">
        <v>0</v>
      </c>
      <c r="M420" s="2">
        <v>2.2727272730000001</v>
      </c>
    </row>
    <row r="421" spans="1:13" x14ac:dyDescent="0.3">
      <c r="A421" s="2">
        <v>196</v>
      </c>
      <c r="B421" s="2" t="s">
        <v>253</v>
      </c>
      <c r="C421" s="2" t="s">
        <v>254</v>
      </c>
      <c r="D421" s="2">
        <f>LEN(Table2[[#This Row],[NAME1]])</f>
        <v>9</v>
      </c>
      <c r="E421" s="2"/>
      <c r="F421" s="2"/>
      <c r="G421" s="2">
        <v>0</v>
      </c>
      <c r="H421" s="2">
        <v>100</v>
      </c>
      <c r="I421" s="2">
        <v>100</v>
      </c>
      <c r="J421" s="2">
        <v>1</v>
      </c>
      <c r="K421" s="2">
        <v>0</v>
      </c>
      <c r="L421" s="2">
        <v>0</v>
      </c>
      <c r="M421" s="2">
        <v>2.38</v>
      </c>
    </row>
    <row r="422" spans="1:13" x14ac:dyDescent="0.3">
      <c r="A422" s="2">
        <v>45</v>
      </c>
      <c r="B422" s="2" t="s">
        <v>53</v>
      </c>
      <c r="C422" s="2" t="s">
        <v>54</v>
      </c>
      <c r="D422" s="2">
        <f>LEN(Table2[[#This Row],[NAME1]])</f>
        <v>9</v>
      </c>
      <c r="E422" s="2"/>
      <c r="F422" s="2"/>
      <c r="G422" s="2">
        <v>0.14372616999999999</v>
      </c>
      <c r="H422" s="2">
        <v>97.959183670000002</v>
      </c>
      <c r="I422" s="2">
        <v>98</v>
      </c>
      <c r="J422" s="2">
        <v>2</v>
      </c>
      <c r="K422" s="2">
        <v>1</v>
      </c>
      <c r="L422" s="2">
        <v>1</v>
      </c>
      <c r="M422" s="2">
        <v>2.33</v>
      </c>
    </row>
    <row r="423" spans="1:13" x14ac:dyDescent="0.3">
      <c r="A423" s="2">
        <v>313</v>
      </c>
      <c r="B423" s="2" t="s">
        <v>399</v>
      </c>
      <c r="C423" s="2" t="s">
        <v>400</v>
      </c>
      <c r="D423" s="2">
        <f>LEN(Table2[[#This Row],[NAME1]])</f>
        <v>9</v>
      </c>
      <c r="E423" s="2"/>
      <c r="F423" s="2"/>
      <c r="G423" s="2">
        <v>0.55712468400000004</v>
      </c>
      <c r="H423" s="2">
        <v>90</v>
      </c>
      <c r="I423" s="2">
        <v>100</v>
      </c>
      <c r="J423" s="2">
        <v>3</v>
      </c>
      <c r="K423" s="2">
        <v>0</v>
      </c>
      <c r="L423" s="2">
        <v>0</v>
      </c>
      <c r="M423" s="2">
        <v>3</v>
      </c>
    </row>
    <row r="424" spans="1:13" x14ac:dyDescent="0.3">
      <c r="A424" s="2">
        <v>698</v>
      </c>
      <c r="B424" s="2" t="s">
        <v>865</v>
      </c>
      <c r="C424" s="2" t="s">
        <v>866</v>
      </c>
      <c r="D424" s="2">
        <f>LEN(Table2[[#This Row],[NAME1]])</f>
        <v>9</v>
      </c>
      <c r="E424" s="2"/>
      <c r="F424" s="2"/>
      <c r="G424" s="2">
        <v>0</v>
      </c>
      <c r="H424" s="2">
        <v>100</v>
      </c>
      <c r="I424" s="2">
        <v>99</v>
      </c>
      <c r="J424" s="2">
        <v>1</v>
      </c>
      <c r="K424" s="2">
        <v>1</v>
      </c>
      <c r="L424" s="2">
        <v>0</v>
      </c>
      <c r="M424" s="2">
        <v>2.34</v>
      </c>
    </row>
    <row r="425" spans="1:13" x14ac:dyDescent="0.3">
      <c r="A425" s="2">
        <v>61</v>
      </c>
      <c r="B425" s="2" t="s">
        <v>76</v>
      </c>
      <c r="C425" s="2" t="s">
        <v>77</v>
      </c>
      <c r="D425" s="2">
        <f>LEN(Table2[[#This Row],[NAME1]])</f>
        <v>9</v>
      </c>
      <c r="E425" s="2"/>
      <c r="F425" s="2"/>
      <c r="G425" s="2">
        <v>0.50078312599999997</v>
      </c>
      <c r="H425" s="2">
        <v>91.208791210000001</v>
      </c>
      <c r="I425" s="2">
        <v>91</v>
      </c>
      <c r="J425" s="2">
        <v>3</v>
      </c>
      <c r="K425" s="2">
        <v>4</v>
      </c>
      <c r="L425" s="2">
        <v>5</v>
      </c>
      <c r="M425" s="2">
        <v>2.5</v>
      </c>
    </row>
    <row r="426" spans="1:13" x14ac:dyDescent="0.3">
      <c r="A426" s="2">
        <v>443</v>
      </c>
      <c r="B426" s="2" t="s">
        <v>543</v>
      </c>
      <c r="C426" s="2" t="s">
        <v>544</v>
      </c>
      <c r="D426" s="2">
        <f>LEN(Table2[[#This Row],[NAME1]])</f>
        <v>9</v>
      </c>
      <c r="E426" s="2"/>
      <c r="F426" s="2"/>
      <c r="G426" s="2">
        <v>0.405020133</v>
      </c>
      <c r="H426" s="2">
        <v>91.919191920000003</v>
      </c>
      <c r="I426" s="2">
        <v>99</v>
      </c>
      <c r="J426" s="2">
        <v>2</v>
      </c>
      <c r="K426" s="2">
        <v>0</v>
      </c>
      <c r="L426" s="2">
        <v>1</v>
      </c>
      <c r="M426" s="2">
        <v>2.89</v>
      </c>
    </row>
    <row r="427" spans="1:13" x14ac:dyDescent="0.3">
      <c r="A427" s="2">
        <v>627</v>
      </c>
      <c r="B427" s="2" t="s">
        <v>784</v>
      </c>
      <c r="C427" s="2" t="s">
        <v>785</v>
      </c>
      <c r="D427" s="2">
        <f>LEN(Table2[[#This Row],[NAME1]])</f>
        <v>9</v>
      </c>
      <c r="E427" s="2"/>
      <c r="F427" s="2"/>
      <c r="G427" s="2">
        <v>0</v>
      </c>
      <c r="H427" s="2">
        <v>100</v>
      </c>
      <c r="I427" s="2">
        <v>100</v>
      </c>
      <c r="J427" s="2">
        <v>1</v>
      </c>
      <c r="K427" s="2">
        <v>0</v>
      </c>
      <c r="L427" s="2">
        <v>0</v>
      </c>
      <c r="M427" s="2">
        <v>1.82</v>
      </c>
    </row>
    <row r="428" spans="1:13" x14ac:dyDescent="0.3">
      <c r="A428" s="2">
        <v>549</v>
      </c>
      <c r="B428" s="2" t="s">
        <v>691</v>
      </c>
      <c r="C428" s="2" t="s">
        <v>692</v>
      </c>
      <c r="D428" s="2">
        <f>LEN(Table2[[#This Row],[NAME1]])</f>
        <v>9</v>
      </c>
      <c r="E428" s="2"/>
      <c r="F428" s="2"/>
      <c r="G428" s="2">
        <v>0.195909271</v>
      </c>
      <c r="H428" s="2">
        <v>96.969696970000001</v>
      </c>
      <c r="I428" s="2">
        <v>99</v>
      </c>
      <c r="J428" s="2">
        <v>2</v>
      </c>
      <c r="K428" s="2">
        <v>0</v>
      </c>
      <c r="L428" s="2">
        <v>1</v>
      </c>
      <c r="M428" s="2">
        <v>2.2599999999999998</v>
      </c>
    </row>
    <row r="429" spans="1:13" x14ac:dyDescent="0.3">
      <c r="A429" s="2">
        <v>514</v>
      </c>
      <c r="B429" s="2" t="s">
        <v>645</v>
      </c>
      <c r="C429" s="2" t="s">
        <v>646</v>
      </c>
      <c r="D429" s="2">
        <f>LEN(Table2[[#This Row],[NAME1]])</f>
        <v>9</v>
      </c>
      <c r="E429" s="2"/>
      <c r="F429" s="2"/>
      <c r="G429" s="2">
        <v>0.14854949000000001</v>
      </c>
      <c r="H429" s="2">
        <v>97.872340429999994</v>
      </c>
      <c r="I429" s="2">
        <v>94</v>
      </c>
      <c r="J429" s="2">
        <v>2</v>
      </c>
      <c r="K429" s="2">
        <v>4</v>
      </c>
      <c r="L429" s="2">
        <v>2</v>
      </c>
      <c r="M429" s="2">
        <v>2.4900000000000002</v>
      </c>
    </row>
    <row r="430" spans="1:13" x14ac:dyDescent="0.3">
      <c r="A430" s="2">
        <v>331</v>
      </c>
      <c r="B430" s="2" t="s">
        <v>416</v>
      </c>
      <c r="C430" s="2" t="s">
        <v>417</v>
      </c>
      <c r="D430" s="2">
        <f>LEN(Table2[[#This Row],[NAME1]])</f>
        <v>9</v>
      </c>
      <c r="E430" s="2"/>
      <c r="F430" s="2"/>
      <c r="G430" s="2">
        <v>0.36592365100000002</v>
      </c>
      <c r="H430" s="2">
        <v>93</v>
      </c>
      <c r="I430" s="2">
        <v>100</v>
      </c>
      <c r="J430" s="2">
        <v>2</v>
      </c>
      <c r="K430" s="2">
        <v>0</v>
      </c>
      <c r="L430" s="2">
        <v>0</v>
      </c>
      <c r="M430" s="2">
        <v>2.16</v>
      </c>
    </row>
    <row r="431" spans="1:13" x14ac:dyDescent="0.3">
      <c r="A431" s="2">
        <v>181</v>
      </c>
      <c r="B431" s="2" t="s">
        <v>234</v>
      </c>
      <c r="C431" s="2" t="s">
        <v>235</v>
      </c>
      <c r="D431" s="2">
        <f>LEN(Table2[[#This Row],[NAME1]])</f>
        <v>9</v>
      </c>
      <c r="E431" s="2"/>
      <c r="F431" s="2"/>
      <c r="G431" s="2">
        <v>0</v>
      </c>
      <c r="H431" s="2">
        <v>100</v>
      </c>
      <c r="I431" s="2">
        <v>99</v>
      </c>
      <c r="J431" s="2">
        <v>1</v>
      </c>
      <c r="K431" s="2">
        <v>0</v>
      </c>
      <c r="L431" s="2">
        <v>1</v>
      </c>
      <c r="M431" s="2">
        <v>1.1100000000000001</v>
      </c>
    </row>
    <row r="432" spans="1:13" x14ac:dyDescent="0.3">
      <c r="A432" s="2">
        <v>285</v>
      </c>
      <c r="B432" s="2" t="s">
        <v>357</v>
      </c>
      <c r="C432" s="2" t="s">
        <v>358</v>
      </c>
      <c r="D432" s="2">
        <f>LEN(Table2[[#This Row],[NAME1]])</f>
        <v>9</v>
      </c>
      <c r="E432" s="2"/>
      <c r="F432" s="2"/>
      <c r="G432" s="2">
        <v>0</v>
      </c>
      <c r="H432" s="2">
        <v>100</v>
      </c>
      <c r="I432" s="2">
        <v>100</v>
      </c>
      <c r="J432" s="2">
        <v>1</v>
      </c>
      <c r="K432" s="2">
        <v>0</v>
      </c>
      <c r="L432" s="2">
        <v>0</v>
      </c>
      <c r="M432" s="2">
        <v>2.0099999999999998</v>
      </c>
    </row>
    <row r="433" spans="1:13" x14ac:dyDescent="0.3">
      <c r="A433" s="2">
        <v>617</v>
      </c>
      <c r="B433" s="2" t="s">
        <v>772</v>
      </c>
      <c r="C433" s="2" t="s">
        <v>773</v>
      </c>
      <c r="D433" s="2">
        <f>LEN(Table2[[#This Row],[NAME1]])</f>
        <v>10</v>
      </c>
      <c r="E433" s="2"/>
      <c r="F433" s="2"/>
      <c r="G433" s="2">
        <v>0</v>
      </c>
      <c r="H433" s="2">
        <v>100</v>
      </c>
      <c r="I433" s="2">
        <v>99</v>
      </c>
      <c r="J433" s="2">
        <v>1</v>
      </c>
      <c r="K433" s="2">
        <v>0</v>
      </c>
      <c r="L433" s="2">
        <v>1</v>
      </c>
      <c r="M433" s="2">
        <v>2.97</v>
      </c>
    </row>
    <row r="434" spans="1:13" x14ac:dyDescent="0.3">
      <c r="A434" s="2">
        <v>649</v>
      </c>
      <c r="B434" s="2" t="s">
        <v>804</v>
      </c>
      <c r="C434" s="2" t="s">
        <v>805</v>
      </c>
      <c r="D434" s="2">
        <f>LEN(Table2[[#This Row],[NAME1]])</f>
        <v>10</v>
      </c>
      <c r="E434" s="2"/>
      <c r="F434" s="2"/>
      <c r="G434" s="2">
        <v>0</v>
      </c>
      <c r="H434" s="2">
        <v>100</v>
      </c>
      <c r="I434" s="2">
        <v>100</v>
      </c>
      <c r="J434" s="2">
        <v>1</v>
      </c>
      <c r="K434" s="2">
        <v>0</v>
      </c>
      <c r="L434" s="2">
        <v>0</v>
      </c>
      <c r="M434" s="2">
        <v>2.42</v>
      </c>
    </row>
    <row r="435" spans="1:13" x14ac:dyDescent="0.3">
      <c r="A435" s="2">
        <v>539</v>
      </c>
      <c r="B435" s="2" t="s">
        <v>677</v>
      </c>
      <c r="C435" s="2" t="s">
        <v>678</v>
      </c>
      <c r="D435" s="2">
        <f>LEN(Table2[[#This Row],[NAME1]])</f>
        <v>10</v>
      </c>
      <c r="E435" s="2"/>
      <c r="F435" s="2"/>
      <c r="G435" s="2">
        <v>0</v>
      </c>
      <c r="H435" s="2">
        <v>100</v>
      </c>
      <c r="I435" s="2">
        <v>100</v>
      </c>
      <c r="J435" s="2">
        <v>1</v>
      </c>
      <c r="K435" s="2">
        <v>0</v>
      </c>
      <c r="L435" s="2">
        <v>0</v>
      </c>
      <c r="M435" s="2">
        <v>2.95</v>
      </c>
    </row>
    <row r="436" spans="1:13" x14ac:dyDescent="0.3">
      <c r="A436" s="2">
        <v>108</v>
      </c>
      <c r="B436" s="2" t="s">
        <v>136</v>
      </c>
      <c r="C436" s="2" t="s">
        <v>137</v>
      </c>
      <c r="D436" s="2">
        <f>LEN(Table2[[#This Row],[NAME1]])</f>
        <v>10</v>
      </c>
      <c r="E436" s="2"/>
      <c r="F436" s="2"/>
      <c r="G436" s="2">
        <v>0</v>
      </c>
      <c r="H436" s="2">
        <v>100</v>
      </c>
      <c r="I436" s="2">
        <v>100</v>
      </c>
      <c r="J436" s="2">
        <v>1</v>
      </c>
      <c r="K436" s="2">
        <v>0</v>
      </c>
      <c r="L436" s="2">
        <v>0</v>
      </c>
      <c r="M436" s="2">
        <v>2.09</v>
      </c>
    </row>
    <row r="437" spans="1:13" x14ac:dyDescent="0.3">
      <c r="A437" s="2">
        <v>160</v>
      </c>
      <c r="B437" s="2" t="s">
        <v>210</v>
      </c>
      <c r="C437" s="2" t="s">
        <v>211</v>
      </c>
      <c r="D437" s="2">
        <f>LEN(Table2[[#This Row],[NAME1]])</f>
        <v>10</v>
      </c>
      <c r="E437" s="2"/>
      <c r="F437" s="2"/>
      <c r="G437" s="2">
        <v>0.34857491200000001</v>
      </c>
      <c r="H437" s="2">
        <v>94.736842109999998</v>
      </c>
      <c r="I437" s="2">
        <v>95</v>
      </c>
      <c r="J437" s="2">
        <v>3</v>
      </c>
      <c r="K437" s="2">
        <v>5</v>
      </c>
      <c r="L437" s="2">
        <v>0</v>
      </c>
      <c r="M437" s="2">
        <v>2.4900000000000002</v>
      </c>
    </row>
    <row r="438" spans="1:13" x14ac:dyDescent="0.3">
      <c r="A438" s="2">
        <v>603</v>
      </c>
      <c r="B438" s="2" t="s">
        <v>750</v>
      </c>
      <c r="C438" s="2" t="s">
        <v>751</v>
      </c>
      <c r="D438" s="2">
        <f>LEN(Table2[[#This Row],[NAME1]])</f>
        <v>10</v>
      </c>
      <c r="E438" s="2"/>
      <c r="F438" s="2"/>
      <c r="G438" s="2">
        <v>0</v>
      </c>
      <c r="H438" s="2">
        <v>100</v>
      </c>
      <c r="I438" s="2">
        <v>98</v>
      </c>
      <c r="J438" s="2">
        <v>1</v>
      </c>
      <c r="K438" s="2">
        <v>0</v>
      </c>
      <c r="L438" s="2">
        <v>2</v>
      </c>
      <c r="M438" s="2">
        <v>3.03</v>
      </c>
    </row>
    <row r="439" spans="1:13" x14ac:dyDescent="0.3">
      <c r="A439" s="2">
        <v>223</v>
      </c>
      <c r="B439" s="2" t="s">
        <v>285</v>
      </c>
      <c r="C439" s="2" t="s">
        <v>286</v>
      </c>
      <c r="D439" s="2">
        <f>LEN(Table2[[#This Row],[NAME1]])</f>
        <v>10</v>
      </c>
      <c r="E439" s="2"/>
      <c r="F439" s="2"/>
      <c r="G439" s="2">
        <v>0</v>
      </c>
      <c r="H439" s="2">
        <v>100</v>
      </c>
      <c r="I439" s="2">
        <v>100</v>
      </c>
      <c r="J439" s="2">
        <v>1</v>
      </c>
      <c r="K439" s="2">
        <v>0</v>
      </c>
      <c r="L439" s="2">
        <v>0</v>
      </c>
      <c r="M439" s="2">
        <v>2.1800000000000002</v>
      </c>
    </row>
    <row r="440" spans="1:13" x14ac:dyDescent="0.3">
      <c r="A440" s="2">
        <v>293</v>
      </c>
      <c r="B440" s="2" t="s">
        <v>371</v>
      </c>
      <c r="C440" s="2" t="s">
        <v>372</v>
      </c>
      <c r="D440" s="2">
        <f>LEN(Table2[[#This Row],[NAME1]])</f>
        <v>10</v>
      </c>
      <c r="E440" s="2"/>
      <c r="F440" s="2"/>
      <c r="G440" s="2">
        <v>0</v>
      </c>
      <c r="H440" s="2">
        <v>100</v>
      </c>
      <c r="I440" s="2">
        <v>98</v>
      </c>
      <c r="J440" s="2">
        <v>1</v>
      </c>
      <c r="K440" s="2">
        <v>0</v>
      </c>
      <c r="L440" s="2">
        <v>2</v>
      </c>
      <c r="M440" s="2">
        <v>2.65</v>
      </c>
    </row>
    <row r="441" spans="1:13" x14ac:dyDescent="0.3">
      <c r="A441" s="2">
        <v>329</v>
      </c>
      <c r="B441" s="2" t="s">
        <v>413</v>
      </c>
      <c r="C441" s="2" t="s">
        <v>414</v>
      </c>
      <c r="D441" s="2">
        <f>LEN(Table2[[#This Row],[NAME1]])</f>
        <v>10</v>
      </c>
      <c r="E441" s="2"/>
      <c r="F441" s="2"/>
      <c r="G441" s="2">
        <v>0.36855677799999997</v>
      </c>
      <c r="H441" s="2">
        <v>92.929292930000003</v>
      </c>
      <c r="I441" s="2">
        <v>99</v>
      </c>
      <c r="J441" s="2">
        <v>2</v>
      </c>
      <c r="K441" s="2">
        <v>0</v>
      </c>
      <c r="L441" s="2">
        <v>1</v>
      </c>
      <c r="M441" s="2">
        <v>2.65</v>
      </c>
    </row>
    <row r="442" spans="1:13" x14ac:dyDescent="0.3">
      <c r="A442" s="2">
        <v>527</v>
      </c>
      <c r="B442" s="2" t="s">
        <v>663</v>
      </c>
      <c r="C442" s="2" t="s">
        <v>664</v>
      </c>
      <c r="D442" s="2">
        <f>LEN(Table2[[#This Row],[NAME1]])</f>
        <v>10</v>
      </c>
      <c r="E442" s="2"/>
      <c r="F442" s="2"/>
      <c r="G442" s="2">
        <v>0</v>
      </c>
      <c r="H442" s="2">
        <v>100</v>
      </c>
      <c r="I442" s="2">
        <v>96</v>
      </c>
      <c r="J442" s="2">
        <v>1</v>
      </c>
      <c r="K442" s="2">
        <v>0</v>
      </c>
      <c r="L442" s="2">
        <v>4</v>
      </c>
      <c r="M442" s="2">
        <v>2.78</v>
      </c>
    </row>
    <row r="443" spans="1:13" x14ac:dyDescent="0.3">
      <c r="A443" s="2">
        <v>547</v>
      </c>
      <c r="B443" s="2" t="s">
        <v>689</v>
      </c>
      <c r="C443" s="2" t="s">
        <v>690</v>
      </c>
      <c r="D443" s="2">
        <f>LEN(Table2[[#This Row],[NAME1]])</f>
        <v>10</v>
      </c>
      <c r="E443" s="2"/>
      <c r="F443" s="2"/>
      <c r="G443" s="2">
        <v>0</v>
      </c>
      <c r="H443" s="2">
        <v>100</v>
      </c>
      <c r="I443" s="2">
        <v>100</v>
      </c>
      <c r="J443" s="2">
        <v>1</v>
      </c>
      <c r="K443" s="2">
        <v>0</v>
      </c>
      <c r="L443" s="2">
        <v>0</v>
      </c>
      <c r="M443" s="2">
        <v>3.09</v>
      </c>
    </row>
    <row r="444" spans="1:13" x14ac:dyDescent="0.3">
      <c r="A444" s="2">
        <v>699</v>
      </c>
      <c r="B444" s="2" t="s">
        <v>867</v>
      </c>
      <c r="C444" s="2" t="s">
        <v>868</v>
      </c>
      <c r="D444" s="2">
        <f>LEN(Table2[[#This Row],[NAME1]])</f>
        <v>10</v>
      </c>
      <c r="E444" s="2"/>
      <c r="F444" s="2"/>
      <c r="G444" s="2">
        <v>0.55024980899999998</v>
      </c>
      <c r="H444" s="2">
        <v>90.425531910000004</v>
      </c>
      <c r="I444" s="2">
        <v>94</v>
      </c>
      <c r="J444" s="2">
        <v>3</v>
      </c>
      <c r="K444" s="2">
        <v>1</v>
      </c>
      <c r="L444" s="2">
        <v>5</v>
      </c>
      <c r="M444" s="2">
        <v>2.4700000000000002</v>
      </c>
    </row>
    <row r="445" spans="1:13" x14ac:dyDescent="0.3">
      <c r="A445" s="2">
        <v>192</v>
      </c>
      <c r="B445" s="2" t="s">
        <v>249</v>
      </c>
      <c r="C445" s="2" t="s">
        <v>250</v>
      </c>
      <c r="D445" s="2">
        <f>LEN(Table2[[#This Row],[NAME1]])</f>
        <v>10</v>
      </c>
      <c r="E445" s="2"/>
      <c r="F445" s="2"/>
      <c r="G445" s="2">
        <v>0</v>
      </c>
      <c r="H445" s="2">
        <v>100</v>
      </c>
      <c r="I445" s="2">
        <v>96</v>
      </c>
      <c r="J445" s="2">
        <v>1</v>
      </c>
      <c r="K445" s="2">
        <v>4</v>
      </c>
      <c r="L445" s="2">
        <v>0</v>
      </c>
      <c r="M445" s="2">
        <v>1.91</v>
      </c>
    </row>
    <row r="446" spans="1:13" x14ac:dyDescent="0.3">
      <c r="A446" s="2">
        <v>363</v>
      </c>
      <c r="B446" s="2" t="s">
        <v>460</v>
      </c>
      <c r="C446" s="2" t="s">
        <v>461</v>
      </c>
      <c r="D446" s="2">
        <f>LEN(Table2[[#This Row],[NAME1]])</f>
        <v>10</v>
      </c>
      <c r="E446" s="2"/>
      <c r="F446" s="2"/>
      <c r="G446" s="2">
        <v>0</v>
      </c>
      <c r="H446" s="2">
        <v>100</v>
      </c>
      <c r="I446" s="2">
        <v>97</v>
      </c>
      <c r="J446" s="2">
        <v>1</v>
      </c>
      <c r="K446" s="2">
        <v>3</v>
      </c>
      <c r="L446" s="2">
        <v>0</v>
      </c>
      <c r="M446" s="2">
        <v>2.48</v>
      </c>
    </row>
    <row r="447" spans="1:13" x14ac:dyDescent="0.3">
      <c r="A447" s="2">
        <v>516</v>
      </c>
      <c r="B447" s="2" t="s">
        <v>647</v>
      </c>
      <c r="C447" s="2" t="s">
        <v>648</v>
      </c>
      <c r="D447" s="2">
        <f>LEN(Table2[[#This Row],[NAME1]])</f>
        <v>11</v>
      </c>
      <c r="E447" s="2"/>
      <c r="F447" s="2"/>
      <c r="G447" s="2">
        <v>0</v>
      </c>
      <c r="H447" s="2">
        <v>100</v>
      </c>
      <c r="I447" s="2">
        <v>100</v>
      </c>
      <c r="J447" s="2">
        <v>1</v>
      </c>
      <c r="K447" s="2">
        <v>0</v>
      </c>
      <c r="L447" s="2">
        <v>0</v>
      </c>
      <c r="M447" s="2">
        <v>1.85</v>
      </c>
    </row>
    <row r="448" spans="1:13" x14ac:dyDescent="0.3">
      <c r="A448" s="2">
        <v>106</v>
      </c>
      <c r="B448" s="2" t="s">
        <v>134</v>
      </c>
      <c r="C448" s="2" t="s">
        <v>135</v>
      </c>
      <c r="D448" s="2">
        <f>LEN(Table2[[#This Row],[NAME1]])</f>
        <v>11</v>
      </c>
      <c r="E448" s="2"/>
      <c r="F448" s="2"/>
      <c r="G448" s="2">
        <v>0</v>
      </c>
      <c r="H448" s="2">
        <v>100</v>
      </c>
      <c r="I448" s="2">
        <v>93</v>
      </c>
      <c r="J448" s="2">
        <v>1</v>
      </c>
      <c r="K448" s="2">
        <v>4</v>
      </c>
      <c r="L448" s="2">
        <v>3</v>
      </c>
      <c r="M448" s="2">
        <v>2.95</v>
      </c>
    </row>
    <row r="449" spans="1:13" x14ac:dyDescent="0.3">
      <c r="A449" s="2">
        <v>582</v>
      </c>
      <c r="B449" s="2" t="s">
        <v>726</v>
      </c>
      <c r="C449" s="2" t="s">
        <v>727</v>
      </c>
      <c r="D449" s="2">
        <f>LEN(Table2[[#This Row],[NAME1]])</f>
        <v>11</v>
      </c>
      <c r="E449" s="2"/>
      <c r="F449" s="2"/>
      <c r="G449" s="2">
        <v>0</v>
      </c>
      <c r="H449" s="2">
        <v>100</v>
      </c>
      <c r="I449" s="2">
        <v>98</v>
      </c>
      <c r="J449" s="2">
        <v>1</v>
      </c>
      <c r="K449" s="2">
        <v>0</v>
      </c>
      <c r="L449" s="2">
        <v>2</v>
      </c>
      <c r="M449" s="2">
        <v>3.47</v>
      </c>
    </row>
    <row r="450" spans="1:13" x14ac:dyDescent="0.3">
      <c r="A450" s="2">
        <v>572</v>
      </c>
      <c r="B450" s="2" t="s">
        <v>713</v>
      </c>
      <c r="C450" s="2" t="s">
        <v>714</v>
      </c>
      <c r="D450" s="2">
        <f>LEN(Table2[[#This Row],[NAME1]])</f>
        <v>11</v>
      </c>
      <c r="E450" s="2"/>
      <c r="F450" s="2"/>
      <c r="G450" s="2">
        <v>0</v>
      </c>
      <c r="H450" s="2">
        <v>100</v>
      </c>
      <c r="I450" s="2">
        <v>97</v>
      </c>
      <c r="J450" s="2">
        <v>1</v>
      </c>
      <c r="K450" s="2">
        <v>1</v>
      </c>
      <c r="L450" s="2">
        <v>2</v>
      </c>
      <c r="M450" s="2">
        <v>2.96</v>
      </c>
    </row>
    <row r="451" spans="1:13" x14ac:dyDescent="0.3">
      <c r="A451" s="2">
        <v>335</v>
      </c>
      <c r="B451" s="2" t="s">
        <v>420</v>
      </c>
      <c r="C451" s="2" t="s">
        <v>421</v>
      </c>
      <c r="D451" s="2">
        <f>LEN(Table2[[#This Row],[NAME1]])</f>
        <v>11</v>
      </c>
      <c r="E451" s="2"/>
      <c r="F451" s="2"/>
      <c r="G451" s="2">
        <v>0</v>
      </c>
      <c r="H451" s="2">
        <v>100</v>
      </c>
      <c r="I451" s="2">
        <v>92</v>
      </c>
      <c r="J451" s="2">
        <v>1</v>
      </c>
      <c r="K451" s="2">
        <v>5</v>
      </c>
      <c r="L451" s="2">
        <v>3</v>
      </c>
      <c r="M451" s="2">
        <v>2.5099999999999998</v>
      </c>
    </row>
    <row r="452" spans="1:13" x14ac:dyDescent="0.3">
      <c r="A452" s="2">
        <v>28</v>
      </c>
      <c r="B452" s="2" t="s">
        <v>33</v>
      </c>
      <c r="C452" s="2" t="s">
        <v>34</v>
      </c>
      <c r="D452" s="2">
        <f>LEN(Table2[[#This Row],[NAME1]])</f>
        <v>11</v>
      </c>
      <c r="E452" s="2"/>
      <c r="F452" s="2"/>
      <c r="G452" s="2">
        <v>0.14489961800000001</v>
      </c>
      <c r="H452" s="2">
        <v>97.93814433</v>
      </c>
      <c r="I452" s="2">
        <v>97</v>
      </c>
      <c r="J452" s="2">
        <v>2</v>
      </c>
      <c r="K452" s="2">
        <v>3</v>
      </c>
      <c r="L452" s="2">
        <v>0</v>
      </c>
      <c r="M452" s="2">
        <v>3.17</v>
      </c>
    </row>
    <row r="453" spans="1:13" x14ac:dyDescent="0.3">
      <c r="A453" s="2">
        <v>282</v>
      </c>
      <c r="B453" s="2" t="s">
        <v>353</v>
      </c>
      <c r="C453" s="2" t="s">
        <v>354</v>
      </c>
      <c r="D453" s="2">
        <f>LEN(Table2[[#This Row],[NAME1]])</f>
        <v>11</v>
      </c>
      <c r="E453" s="2"/>
      <c r="F453" s="2"/>
      <c r="G453" s="2">
        <v>0</v>
      </c>
      <c r="H453" s="2">
        <v>100</v>
      </c>
      <c r="I453" s="2">
        <v>99</v>
      </c>
      <c r="J453" s="2">
        <v>1</v>
      </c>
      <c r="K453" s="2">
        <v>1</v>
      </c>
      <c r="L453" s="2">
        <v>0</v>
      </c>
      <c r="M453" s="2">
        <v>2.74</v>
      </c>
    </row>
    <row r="454" spans="1:13" x14ac:dyDescent="0.3">
      <c r="A454" s="2">
        <v>371</v>
      </c>
      <c r="B454" s="2" t="s">
        <v>468</v>
      </c>
      <c r="C454" s="2" t="s">
        <v>469</v>
      </c>
      <c r="D454" s="2">
        <f>LEN(Table2[[#This Row],[NAME1]])</f>
        <v>11</v>
      </c>
      <c r="E454" s="2"/>
      <c r="F454" s="2"/>
      <c r="G454" s="2">
        <v>0.34511731499999998</v>
      </c>
      <c r="H454" s="2">
        <v>93.548387099999999</v>
      </c>
      <c r="I454" s="2">
        <v>93</v>
      </c>
      <c r="J454" s="2">
        <v>2</v>
      </c>
      <c r="K454" s="2">
        <v>3</v>
      </c>
      <c r="L454" s="2">
        <v>4</v>
      </c>
      <c r="M454" s="2">
        <v>2.95</v>
      </c>
    </row>
    <row r="455" spans="1:13" x14ac:dyDescent="0.3">
      <c r="A455" s="2">
        <v>737</v>
      </c>
      <c r="B455" s="2" t="s">
        <v>903</v>
      </c>
      <c r="C455" s="2" t="s">
        <v>904</v>
      </c>
      <c r="D455" s="2">
        <f>LEN(Table2[[#This Row],[NAME1]])</f>
        <v>12</v>
      </c>
      <c r="E455" s="2"/>
      <c r="F455" s="2"/>
      <c r="G455" s="2">
        <v>0.34297895099999998</v>
      </c>
      <c r="H455" s="2">
        <v>94.845360819999996</v>
      </c>
      <c r="I455" s="2">
        <v>97</v>
      </c>
      <c r="J455" s="2">
        <v>3</v>
      </c>
      <c r="K455" s="2">
        <v>1</v>
      </c>
      <c r="L455" s="2">
        <v>2</v>
      </c>
      <c r="M455" s="2">
        <v>2.46</v>
      </c>
    </row>
    <row r="456" spans="1:13" x14ac:dyDescent="0.3">
      <c r="A456" s="2">
        <v>46</v>
      </c>
      <c r="B456" s="2" t="s">
        <v>55</v>
      </c>
      <c r="C456" s="2" t="s">
        <v>56</v>
      </c>
      <c r="D456" s="2">
        <f>LEN(Table2[[#This Row],[NAME1]])</f>
        <v>14</v>
      </c>
      <c r="E456" s="2"/>
      <c r="F456" s="2"/>
      <c r="G456" s="2">
        <v>0</v>
      </c>
      <c r="H456" s="2">
        <v>100</v>
      </c>
      <c r="I456" s="2">
        <v>97</v>
      </c>
      <c r="J456" s="2">
        <v>1</v>
      </c>
      <c r="K456" s="2">
        <v>2</v>
      </c>
      <c r="L456" s="2">
        <v>1</v>
      </c>
      <c r="M456" s="2">
        <v>2.0299999999999998</v>
      </c>
    </row>
    <row r="457" spans="1:13" x14ac:dyDescent="0.3">
      <c r="A457" s="3">
        <v>743</v>
      </c>
      <c r="B457" s="3" t="s">
        <v>909</v>
      </c>
      <c r="C457" s="3" t="s">
        <v>910</v>
      </c>
      <c r="D457" s="3">
        <f>LEN(Table2[[#This Row],[NAME1]])</f>
        <v>14</v>
      </c>
      <c r="E457" s="3"/>
      <c r="F457" s="3"/>
      <c r="G457" s="3">
        <v>0</v>
      </c>
      <c r="H457" s="3">
        <v>100</v>
      </c>
      <c r="I457" s="3">
        <v>98</v>
      </c>
      <c r="J457" s="3">
        <v>1</v>
      </c>
      <c r="K457" s="3">
        <v>0</v>
      </c>
      <c r="L457" s="3">
        <v>2</v>
      </c>
      <c r="M457" s="3">
        <v>2.85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7"/>
  <sheetViews>
    <sheetView workbookViewId="0">
      <selection activeCell="K268" sqref="K268"/>
    </sheetView>
  </sheetViews>
  <sheetFormatPr defaultRowHeight="15.6" x14ac:dyDescent="0.3"/>
  <cols>
    <col min="1" max="1" width="9" style="7"/>
    <col min="2" max="2" width="11.8984375" bestFit="1" customWidth="1"/>
    <col min="3" max="3" width="11" style="7" bestFit="1" customWidth="1"/>
    <col min="4" max="4" width="21.09765625" style="7" customWidth="1"/>
    <col min="5" max="5" width="20.19921875" customWidth="1"/>
    <col min="6" max="6" width="20.59765625" style="7" bestFit="1" customWidth="1"/>
    <col min="7" max="7" width="20.59765625" style="7" customWidth="1"/>
    <col min="8" max="9" width="20.59765625" style="11" customWidth="1"/>
    <col min="10" max="10" width="12.09765625" style="11" bestFit="1" customWidth="1"/>
    <col min="11" max="11" width="30.69921875" customWidth="1"/>
    <col min="12" max="12" width="31.19921875" style="7" customWidth="1"/>
    <col min="13" max="13" width="33.8984375" style="7" bestFit="1" customWidth="1"/>
    <col min="14" max="14" width="38.19921875" style="7" bestFit="1" customWidth="1"/>
    <col min="15" max="15" width="20.3984375" style="7" customWidth="1"/>
    <col min="16" max="16" width="9" style="11"/>
  </cols>
  <sheetData>
    <row r="1" spans="1:16" x14ac:dyDescent="0.3">
      <c r="A1" s="15" t="s">
        <v>925</v>
      </c>
      <c r="B1" s="4" t="s">
        <v>0</v>
      </c>
      <c r="C1" s="1" t="s">
        <v>1</v>
      </c>
      <c r="D1" s="4" t="s">
        <v>2</v>
      </c>
      <c r="E1" s="4" t="s">
        <v>923</v>
      </c>
      <c r="F1" s="4" t="s">
        <v>924</v>
      </c>
      <c r="G1" s="4" t="s">
        <v>926</v>
      </c>
      <c r="H1" s="8" t="s">
        <v>927</v>
      </c>
      <c r="I1" s="8" t="s">
        <v>928</v>
      </c>
      <c r="J1" s="8" t="s">
        <v>4</v>
      </c>
      <c r="K1" s="8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8" t="s">
        <v>10</v>
      </c>
    </row>
    <row r="2" spans="1:16" x14ac:dyDescent="0.3">
      <c r="A2" s="14">
        <v>149</v>
      </c>
      <c r="B2" s="5">
        <v>368</v>
      </c>
      <c r="C2" s="2" t="s">
        <v>464</v>
      </c>
      <c r="D2" s="5" t="s">
        <v>465</v>
      </c>
      <c r="E2" s="5">
        <f>LEN(Table3[[#This Row],[NAME1]])</f>
        <v>7</v>
      </c>
      <c r="F2" s="5">
        <f>VLOOKUP(Table3[[#This Row],[NAME1]], [1]Sheet1!$1:$1048576, 4, 0)</f>
        <v>7</v>
      </c>
      <c r="G2" s="19">
        <v>4</v>
      </c>
      <c r="H2" s="9">
        <f>VLOOKUP(Table3[[#This Row],[NAME1]], [2]Sheet1!$1:$1048576, 2, 0)</f>
        <v>7.1058969999999997</v>
      </c>
      <c r="I2" s="9" t="str">
        <f>VLOOKUP(Table3[[#This Row],[NAME1]], [2]Sheet1!$1:$1048576, 3, 0)</f>
        <v>0.908801</v>
      </c>
      <c r="J2" s="12">
        <v>0</v>
      </c>
      <c r="K2" s="12">
        <v>100</v>
      </c>
      <c r="L2" s="5">
        <v>100</v>
      </c>
      <c r="M2" s="5">
        <v>1</v>
      </c>
      <c r="N2" s="5">
        <v>0</v>
      </c>
      <c r="O2" s="5">
        <v>0</v>
      </c>
      <c r="P2" s="9">
        <v>1.97</v>
      </c>
    </row>
    <row r="3" spans="1:16" x14ac:dyDescent="0.3">
      <c r="A3" s="14">
        <v>309</v>
      </c>
      <c r="B3" s="5">
        <v>456</v>
      </c>
      <c r="C3" s="2" t="s">
        <v>565</v>
      </c>
      <c r="D3" s="5" t="s">
        <v>566</v>
      </c>
      <c r="E3" s="5">
        <f>LEN(Table3[[#This Row],[NAME1]])</f>
        <v>6</v>
      </c>
      <c r="F3" s="5">
        <f>VLOOKUP(Table3[[#This Row],[NAME1]], [1]Sheet1!$1:$1048576, 4, 0)</f>
        <v>6</v>
      </c>
      <c r="G3" s="19">
        <v>4</v>
      </c>
      <c r="H3" s="9">
        <f>VLOOKUP(Table3[[#This Row],[NAME1]], [2]Sheet1!$1:$1048576, 2, 0)</f>
        <v>25.427869000000001</v>
      </c>
      <c r="I3" s="9">
        <f>VLOOKUP(Table3[[#This Row],[NAME1]], [2]Sheet1!$1:$1048576, 3, 0)</f>
        <v>1.4220619999999999</v>
      </c>
      <c r="J3" s="9">
        <v>0.47413276599999998</v>
      </c>
      <c r="K3" s="9">
        <v>91.83673469</v>
      </c>
      <c r="L3" s="5">
        <v>98</v>
      </c>
      <c r="M3" s="5">
        <v>3</v>
      </c>
      <c r="N3" s="5">
        <v>1</v>
      </c>
      <c r="O3" s="5">
        <v>1</v>
      </c>
      <c r="P3" s="9">
        <v>2.4300000000000002</v>
      </c>
    </row>
    <row r="4" spans="1:16" x14ac:dyDescent="0.3">
      <c r="A4" s="14">
        <v>262</v>
      </c>
      <c r="B4" s="5">
        <v>458</v>
      </c>
      <c r="C4" s="2" t="s">
        <v>569</v>
      </c>
      <c r="D4" s="5" t="s">
        <v>570</v>
      </c>
      <c r="E4" s="5">
        <f>LEN(Table3[[#This Row],[NAME1]])</f>
        <v>7</v>
      </c>
      <c r="F4" s="5">
        <f>VLOOKUP(Table3[[#This Row],[NAME1]], [1]Sheet1!$1:$1048576, 4, 0)</f>
        <v>7</v>
      </c>
      <c r="G4" s="19">
        <v>4</v>
      </c>
      <c r="H4" s="9">
        <f>VLOOKUP(Table3[[#This Row],[NAME1]], [2]Sheet1!$1:$1048576, 2, 0)</f>
        <v>5.3221119999999997</v>
      </c>
      <c r="I4" s="9" t="str">
        <f>VLOOKUP(Table3[[#This Row],[NAME1]], [2]Sheet1!$1:$1048576, 3, 0)</f>
        <v>0.800862</v>
      </c>
      <c r="J4" s="9">
        <v>0.33494448700000001</v>
      </c>
      <c r="K4" s="12">
        <v>95</v>
      </c>
      <c r="L4" s="5">
        <v>100</v>
      </c>
      <c r="M4" s="5">
        <v>3</v>
      </c>
      <c r="N4" s="5">
        <v>0</v>
      </c>
      <c r="O4" s="5">
        <v>0</v>
      </c>
      <c r="P4" s="9">
        <v>1.96</v>
      </c>
    </row>
    <row r="5" spans="1:16" x14ac:dyDescent="0.3">
      <c r="A5" s="14">
        <v>256</v>
      </c>
      <c r="B5" s="5">
        <v>213</v>
      </c>
      <c r="C5" s="2" t="s">
        <v>273</v>
      </c>
      <c r="D5" s="5" t="s">
        <v>274</v>
      </c>
      <c r="E5" s="5">
        <f>LEN(Table3[[#This Row],[NAME1]])</f>
        <v>7</v>
      </c>
      <c r="F5" s="5">
        <f>VLOOKUP(Table3[[#This Row],[NAME1]], [1]Sheet1!$1:$1048576, 4, 0)</f>
        <v>7</v>
      </c>
      <c r="G5" s="5">
        <f>VLOOKUP(Table3[[#This Row],[NAME1]], [1]Sheet1!$1:$1048576, 5, 9)</f>
        <v>4</v>
      </c>
      <c r="H5" s="9">
        <f>VLOOKUP(Table3[[#This Row],[NAME1]], [2]Sheet1!$1:$1048576, 2, 0)</f>
        <v>153.08707799999999</v>
      </c>
      <c r="I5" s="9">
        <f>VLOOKUP(Table3[[#This Row],[NAME1]], [2]Sheet1!$1:$1048576, 3, 0)</f>
        <v>2.1877659999999999</v>
      </c>
      <c r="J5" s="9">
        <v>0.28917295100000001</v>
      </c>
      <c r="K5" s="9">
        <v>95.87628866</v>
      </c>
      <c r="L5" s="5">
        <v>97</v>
      </c>
      <c r="M5" s="5">
        <v>3</v>
      </c>
      <c r="N5" s="5">
        <v>0</v>
      </c>
      <c r="O5" s="5">
        <v>3</v>
      </c>
      <c r="P5" s="9">
        <v>3.06</v>
      </c>
    </row>
    <row r="6" spans="1:16" x14ac:dyDescent="0.3">
      <c r="A6" s="14">
        <v>96</v>
      </c>
      <c r="B6" s="5">
        <v>694</v>
      </c>
      <c r="C6" s="2" t="s">
        <v>859</v>
      </c>
      <c r="D6" s="5" t="s">
        <v>860</v>
      </c>
      <c r="E6" s="5">
        <f>LEN(Table3[[#This Row],[NAME1]])</f>
        <v>6</v>
      </c>
      <c r="F6" s="5">
        <f>VLOOKUP(Table3[[#This Row],[NAME1]], [1]Sheet1!$1:$1048576, 4, 0)</f>
        <v>6</v>
      </c>
      <c r="G6" s="19">
        <v>3</v>
      </c>
      <c r="H6" s="9">
        <f>VLOOKUP(Table3[[#This Row],[NAME1]], [2]Sheet1!$1:$1048576, 2, 0)</f>
        <v>6.0011850000000004</v>
      </c>
      <c r="I6" s="9" t="str">
        <f>VLOOKUP(Table3[[#This Row],[NAME1]], [2]Sheet1!$1:$1048576, 3, 0)</f>
        <v>0.845172</v>
      </c>
      <c r="J6" s="12">
        <v>0</v>
      </c>
      <c r="K6" s="12">
        <v>100</v>
      </c>
      <c r="L6" s="5">
        <v>97</v>
      </c>
      <c r="M6" s="5">
        <v>1</v>
      </c>
      <c r="N6" s="5">
        <v>0</v>
      </c>
      <c r="O6" s="5">
        <v>3</v>
      </c>
      <c r="P6" s="9">
        <v>2.52</v>
      </c>
    </row>
    <row r="7" spans="1:16" x14ac:dyDescent="0.3">
      <c r="A7" s="14">
        <v>289</v>
      </c>
      <c r="B7" s="5">
        <v>235</v>
      </c>
      <c r="C7" s="2" t="s">
        <v>295</v>
      </c>
      <c r="D7" s="5" t="s">
        <v>296</v>
      </c>
      <c r="E7" s="5">
        <f>LEN(Table3[[#This Row],[NAME1]])</f>
        <v>5</v>
      </c>
      <c r="F7" s="5">
        <f>VLOOKUP(Table3[[#This Row],[NAME1]], [1]Sheet1!$1:$1048576, 4, 0)</f>
        <v>5</v>
      </c>
      <c r="G7" s="19">
        <v>3</v>
      </c>
      <c r="H7" s="9">
        <f>VLOOKUP(Table3[[#This Row],[NAME1]], [2]Sheet1!$1:$1048576, 2, 0)</f>
        <v>6.3390969999999998</v>
      </c>
      <c r="I7" s="9" t="str">
        <f>VLOOKUP(Table3[[#This Row],[NAME1]], [2]Sheet1!$1:$1048576, 3, 0)</f>
        <v>0.865643</v>
      </c>
      <c r="J7" s="9">
        <v>0.33228663000000003</v>
      </c>
      <c r="K7" s="9">
        <v>93.877551019999999</v>
      </c>
      <c r="L7" s="5">
        <v>98</v>
      </c>
      <c r="M7" s="5">
        <v>2</v>
      </c>
      <c r="N7" s="5">
        <v>1</v>
      </c>
      <c r="O7" s="5">
        <v>1</v>
      </c>
      <c r="P7" s="9">
        <v>1.81</v>
      </c>
    </row>
    <row r="8" spans="1:16" x14ac:dyDescent="0.3">
      <c r="A8" s="14">
        <v>42</v>
      </c>
      <c r="B8" s="5">
        <v>341</v>
      </c>
      <c r="C8" s="2" t="s">
        <v>430</v>
      </c>
      <c r="D8" s="5" t="s">
        <v>431</v>
      </c>
      <c r="E8" s="5">
        <f>LEN(Table3[[#This Row],[NAME1]])</f>
        <v>5</v>
      </c>
      <c r="F8" s="5">
        <f>VLOOKUP(Table3[[#This Row],[NAME1]], [1]Sheet1!$1:$1048576, 4, 0)</f>
        <v>5</v>
      </c>
      <c r="G8" s="19">
        <v>3</v>
      </c>
      <c r="H8" s="9">
        <f>VLOOKUP(Table3[[#This Row],[NAME1]], [2]Sheet1!$1:$1048576, 2, 0)</f>
        <v>1.640822</v>
      </c>
      <c r="I8" s="9">
        <f>VLOOKUP(Table3[[#This Row],[NAME1]], [2]Sheet1!$1:$1048576, 3, 0)</f>
        <v>0.42173899999999998</v>
      </c>
      <c r="J8" s="12">
        <v>0</v>
      </c>
      <c r="K8" s="12">
        <v>100</v>
      </c>
      <c r="L8" s="5">
        <v>98</v>
      </c>
      <c r="M8" s="5">
        <v>1</v>
      </c>
      <c r="N8" s="5">
        <v>2</v>
      </c>
      <c r="O8" s="5">
        <v>0</v>
      </c>
      <c r="P8" s="9">
        <v>2.73</v>
      </c>
    </row>
    <row r="9" spans="1:16" x14ac:dyDescent="0.3">
      <c r="A9" s="14">
        <v>97</v>
      </c>
      <c r="B9" s="5">
        <v>389</v>
      </c>
      <c r="C9" s="2" t="s">
        <v>486</v>
      </c>
      <c r="D9" s="5" t="s">
        <v>487</v>
      </c>
      <c r="E9" s="5">
        <f>LEN(Table3[[#This Row],[NAME1]])</f>
        <v>6</v>
      </c>
      <c r="F9" s="5">
        <f>VLOOKUP(Table3[[#This Row],[NAME1]], [1]Sheet1!$1:$1048576, 4, 0)</f>
        <v>6</v>
      </c>
      <c r="G9" s="19">
        <v>3</v>
      </c>
      <c r="H9" s="9">
        <f>VLOOKUP(Table3[[#This Row],[NAME1]], [2]Sheet1!$1:$1048576, 2, 0)</f>
        <v>19.144007999999999</v>
      </c>
      <c r="I9" s="9">
        <f>VLOOKUP(Table3[[#This Row],[NAME1]], [2]Sheet1!$1:$1048576, 3, 0)</f>
        <v>1.304146</v>
      </c>
      <c r="J9" s="12">
        <v>0</v>
      </c>
      <c r="K9" s="12">
        <v>100</v>
      </c>
      <c r="L9" s="5">
        <v>98</v>
      </c>
      <c r="M9" s="5">
        <v>1</v>
      </c>
      <c r="N9" s="5">
        <v>0</v>
      </c>
      <c r="O9" s="5">
        <v>2</v>
      </c>
      <c r="P9" s="9">
        <v>2.56</v>
      </c>
    </row>
    <row r="10" spans="1:16" x14ac:dyDescent="0.3">
      <c r="A10" s="14">
        <v>44</v>
      </c>
      <c r="B10" s="5">
        <v>38</v>
      </c>
      <c r="C10" s="2" t="s">
        <v>45</v>
      </c>
      <c r="D10" s="5" t="s">
        <v>46</v>
      </c>
      <c r="E10" s="5">
        <f>LEN(Table3[[#This Row],[NAME1]])</f>
        <v>5</v>
      </c>
      <c r="F10" s="5">
        <f>VLOOKUP(Table3[[#This Row],[NAME1]], [1]Sheet1!$1:$1048576, 4, 0)</f>
        <v>5</v>
      </c>
      <c r="G10" s="19">
        <v>3</v>
      </c>
      <c r="H10" s="9">
        <f>VLOOKUP(Table3[[#This Row],[NAME1]], [2]Sheet1!$1:$1048576, 2, 0)</f>
        <v>12.125838</v>
      </c>
      <c r="I10" s="9">
        <f>VLOOKUP(Table3[[#This Row],[NAME1]], [2]Sheet1!$1:$1048576, 3, 0)</f>
        <v>1.1181270000000001</v>
      </c>
      <c r="J10" s="12">
        <v>0</v>
      </c>
      <c r="K10" s="12">
        <v>100</v>
      </c>
      <c r="L10" s="5">
        <v>98</v>
      </c>
      <c r="M10" s="5">
        <v>1</v>
      </c>
      <c r="N10" s="5">
        <v>0</v>
      </c>
      <c r="O10" s="5">
        <v>2</v>
      </c>
      <c r="P10" s="9">
        <v>2.21</v>
      </c>
    </row>
    <row r="11" spans="1:16" x14ac:dyDescent="0.3">
      <c r="A11" s="14">
        <v>321</v>
      </c>
      <c r="B11" s="5">
        <v>187</v>
      </c>
      <c r="C11" s="2" t="s">
        <v>242</v>
      </c>
      <c r="D11" s="5" t="s">
        <v>243</v>
      </c>
      <c r="E11" s="5">
        <f>LEN(Table3[[#This Row],[NAME1]])</f>
        <v>6</v>
      </c>
      <c r="F11" s="5">
        <f>VLOOKUP(Table3[[#This Row],[NAME1]], [1]Sheet1!$1:$1048576, 4, 0)</f>
        <v>6</v>
      </c>
      <c r="G11" s="5">
        <f>VLOOKUP(Table3[[#This Row],[NAME1]], [1]Sheet1!$1:$1048576, 5, 9)</f>
        <v>3</v>
      </c>
      <c r="H11" s="9">
        <f>VLOOKUP(Table3[[#This Row],[NAME1]], [2]Sheet1!$1:$1048576, 2, 0)</f>
        <v>657.55377499999997</v>
      </c>
      <c r="I11" s="9">
        <f>VLOOKUP(Table3[[#This Row],[NAME1]], [2]Sheet1!$1:$1048576, 3, 0)</f>
        <v>2.8185910000000001</v>
      </c>
      <c r="J11" s="9">
        <v>0.44569317800000002</v>
      </c>
      <c r="K11" s="9">
        <v>90.721649479999996</v>
      </c>
      <c r="L11" s="5">
        <v>97</v>
      </c>
      <c r="M11" s="5">
        <v>2</v>
      </c>
      <c r="N11" s="5">
        <v>0</v>
      </c>
      <c r="O11" s="5">
        <v>3</v>
      </c>
      <c r="P11" s="9">
        <v>3.23</v>
      </c>
    </row>
    <row r="12" spans="1:16" x14ac:dyDescent="0.3">
      <c r="A12" s="14">
        <v>305</v>
      </c>
      <c r="B12" s="5">
        <v>485</v>
      </c>
      <c r="C12" s="2" t="s">
        <v>599</v>
      </c>
      <c r="D12" s="5" t="s">
        <v>600</v>
      </c>
      <c r="E12" s="5">
        <f>LEN(Table3[[#This Row],[NAME1]])</f>
        <v>5</v>
      </c>
      <c r="F12" s="5">
        <f>VLOOKUP(Table3[[#This Row],[NAME1]], [1]Sheet1!$1:$1048576, 4, 0)</f>
        <v>5</v>
      </c>
      <c r="G12" s="5">
        <f>VLOOKUP(Table3[[#This Row],[NAME1]], [1]Sheet1!$1:$1048576, 5, 9)</f>
        <v>3</v>
      </c>
      <c r="H12" s="9">
        <f>VLOOKUP(Table3[[#This Row],[NAME1]], [2]Sheet1!$1:$1048576, 2, 0)</f>
        <v>6.2351239999999999</v>
      </c>
      <c r="I12" s="9" t="str">
        <f>VLOOKUP(Table3[[#This Row],[NAME1]], [2]Sheet1!$1:$1048576, 3, 0)</f>
        <v>0.859446</v>
      </c>
      <c r="J12" s="9">
        <v>0.48582821300000001</v>
      </c>
      <c r="K12" s="9">
        <v>91.919191920000003</v>
      </c>
      <c r="L12" s="5">
        <v>99</v>
      </c>
      <c r="M12" s="5">
        <v>3</v>
      </c>
      <c r="N12" s="5">
        <v>1</v>
      </c>
      <c r="O12" s="5">
        <v>0</v>
      </c>
      <c r="P12" s="9">
        <v>1.57</v>
      </c>
    </row>
    <row r="13" spans="1:16" x14ac:dyDescent="0.3">
      <c r="A13" s="14">
        <v>108</v>
      </c>
      <c r="B13" s="5">
        <v>730</v>
      </c>
      <c r="C13" s="2" t="s">
        <v>897</v>
      </c>
      <c r="D13" s="5" t="s">
        <v>898</v>
      </c>
      <c r="E13" s="5">
        <f>LEN(Table3[[#This Row],[NAME1]])</f>
        <v>6</v>
      </c>
      <c r="F13" s="5">
        <f>VLOOKUP(Table3[[#This Row],[NAME1]], [1]Sheet1!$1:$1048576, 4, 0)</f>
        <v>6</v>
      </c>
      <c r="G13" s="5">
        <f>VLOOKUP(Table3[[#This Row],[NAME1]], [1]Sheet1!$1:$1048576, 5, 9)</f>
        <v>3</v>
      </c>
      <c r="H13" s="9">
        <f>VLOOKUP(Table3[[#This Row],[NAME1]], [2]Sheet1!$1:$1048576, 2, 0)</f>
        <v>38.593435999999997</v>
      </c>
      <c r="I13" s="9">
        <f>VLOOKUP(Table3[[#This Row],[NAME1]], [2]Sheet1!$1:$1048576, 3, 0)</f>
        <v>1.597623</v>
      </c>
      <c r="J13" s="12">
        <v>0</v>
      </c>
      <c r="K13" s="12">
        <v>100</v>
      </c>
      <c r="L13" s="5">
        <v>100</v>
      </c>
      <c r="M13" s="5">
        <v>1</v>
      </c>
      <c r="N13" s="5">
        <v>0</v>
      </c>
      <c r="O13" s="5">
        <v>0</v>
      </c>
      <c r="P13" s="9">
        <v>3.12</v>
      </c>
    </row>
    <row r="14" spans="1:16" x14ac:dyDescent="0.3">
      <c r="A14" s="14">
        <v>7</v>
      </c>
      <c r="B14" s="5">
        <v>163</v>
      </c>
      <c r="C14" s="2" t="s">
        <v>214</v>
      </c>
      <c r="D14" s="5" t="s">
        <v>215</v>
      </c>
      <c r="E14" s="5">
        <f>LEN(Table3[[#This Row],[NAME1]])</f>
        <v>4</v>
      </c>
      <c r="F14" s="5">
        <f>VLOOKUP(Table3[[#This Row],[NAME1]], [1]Sheet1!$1:$1048576, 4, 0)</f>
        <v>4</v>
      </c>
      <c r="G14" s="5">
        <f>VLOOKUP(Table3[[#This Row],[NAME1]], [1]Sheet1!$1:$1048576, 5, 9)</f>
        <v>3</v>
      </c>
      <c r="H14" s="9">
        <f>VLOOKUP(Table3[[#This Row],[NAME1]], [2]Sheet1!$1:$1048576, 2, 0)</f>
        <v>6.2643659999999999</v>
      </c>
      <c r="I14" s="9">
        <f>VLOOKUP(Table3[[#This Row],[NAME1]], [2]Sheet1!$1:$1048576, 3, 0)</f>
        <v>0.86119800000000002</v>
      </c>
      <c r="J14" s="12">
        <v>0</v>
      </c>
      <c r="K14" s="12">
        <v>100</v>
      </c>
      <c r="L14" s="5">
        <v>99</v>
      </c>
      <c r="M14" s="5">
        <v>1</v>
      </c>
      <c r="N14" s="5">
        <v>0</v>
      </c>
      <c r="O14" s="5">
        <v>1</v>
      </c>
      <c r="P14" s="9">
        <v>2.29</v>
      </c>
    </row>
    <row r="15" spans="1:16" x14ac:dyDescent="0.3">
      <c r="A15" s="14">
        <v>8</v>
      </c>
      <c r="B15" s="5">
        <v>56</v>
      </c>
      <c r="C15" s="2" t="s">
        <v>67</v>
      </c>
      <c r="D15" s="5" t="s">
        <v>68</v>
      </c>
      <c r="E15" s="5">
        <f>LEN(Table3[[#This Row],[NAME1]])</f>
        <v>4</v>
      </c>
      <c r="F15" s="5">
        <f>VLOOKUP(Table3[[#This Row],[NAME1]], [1]Sheet1!$1:$1048576, 4, 0)</f>
        <v>4</v>
      </c>
      <c r="G15" s="5">
        <f>VLOOKUP(Table3[[#This Row],[NAME1]], [1]Sheet1!$1:$1048576, 5, 9)</f>
        <v>3</v>
      </c>
      <c r="H15" s="9">
        <f>VLOOKUP(Table3[[#This Row],[NAME1]], [2]Sheet1!$1:$1048576, 2, 0)</f>
        <v>6.6282709999999998</v>
      </c>
      <c r="I15" s="9">
        <f>VLOOKUP(Table3[[#This Row],[NAME1]], [2]Sheet1!$1:$1048576, 3, 0)</f>
        <v>0.88242600000000004</v>
      </c>
      <c r="J15" s="12">
        <v>0</v>
      </c>
      <c r="K15" s="12">
        <v>100</v>
      </c>
      <c r="L15" s="5">
        <v>99</v>
      </c>
      <c r="M15" s="5">
        <v>1</v>
      </c>
      <c r="N15" s="5">
        <v>0</v>
      </c>
      <c r="O15" s="5">
        <v>1</v>
      </c>
      <c r="P15" s="9">
        <v>1.91</v>
      </c>
    </row>
    <row r="16" spans="1:16" x14ac:dyDescent="0.3">
      <c r="A16" s="14">
        <v>322</v>
      </c>
      <c r="B16" s="5">
        <v>663</v>
      </c>
      <c r="C16" s="2" t="s">
        <v>820</v>
      </c>
      <c r="D16" s="5" t="s">
        <v>821</v>
      </c>
      <c r="E16" s="5">
        <f>LEN(Table3[[#This Row],[NAME1]])</f>
        <v>7</v>
      </c>
      <c r="F16" s="5">
        <f>VLOOKUP(Table3[[#This Row],[NAME1]], [1]Sheet1!$1:$1048576, 4, 0)</f>
        <v>7</v>
      </c>
      <c r="G16" s="5">
        <f>VLOOKUP(Table3[[#This Row],[NAME1]], [1]Sheet1!$1:$1048576, 5, 9)</f>
        <v>3</v>
      </c>
      <c r="H16" s="9">
        <f>VLOOKUP(Table3[[#This Row],[NAME1]], [2]Sheet1!$1:$1048576, 2, 0)</f>
        <v>26.948471999999999</v>
      </c>
      <c r="I16" s="9">
        <f>VLOOKUP(Table3[[#This Row],[NAME1]], [2]Sheet1!$1:$1048576, 3, 0)</f>
        <v>1.446358</v>
      </c>
      <c r="J16" s="9">
        <v>0.46206632800000003</v>
      </c>
      <c r="K16" s="9">
        <v>90.217391300000003</v>
      </c>
      <c r="L16" s="5">
        <v>92</v>
      </c>
      <c r="M16" s="5">
        <v>2</v>
      </c>
      <c r="N16" s="5">
        <v>4</v>
      </c>
      <c r="O16" s="5">
        <v>4</v>
      </c>
      <c r="P16" s="9">
        <v>2.1</v>
      </c>
    </row>
    <row r="17" spans="1:16" x14ac:dyDescent="0.3">
      <c r="A17" s="14">
        <v>109</v>
      </c>
      <c r="B17" s="5">
        <v>720</v>
      </c>
      <c r="C17" s="2" t="s">
        <v>887</v>
      </c>
      <c r="D17" s="5" t="s">
        <v>888</v>
      </c>
      <c r="E17" s="5">
        <f>LEN(Table3[[#This Row],[NAME1]])</f>
        <v>6</v>
      </c>
      <c r="F17" s="5">
        <f>VLOOKUP(Table3[[#This Row],[NAME1]], [1]Sheet1!$1:$1048576, 4, 0)</f>
        <v>6</v>
      </c>
      <c r="G17" s="5">
        <f>VLOOKUP(Table3[[#This Row],[NAME1]], [1]Sheet1!$1:$1048576, 5, 9)</f>
        <v>3</v>
      </c>
      <c r="H17" s="9">
        <f>VLOOKUP(Table3[[#This Row],[NAME1]], [2]Sheet1!$1:$1048576, 2, 0)</f>
        <v>6.0434239999999999</v>
      </c>
      <c r="I17" s="9" t="str">
        <f>VLOOKUP(Table3[[#This Row],[NAME1]], [2]Sheet1!$1:$1048576, 3, 0)</f>
        <v>0.847784</v>
      </c>
      <c r="J17" s="12">
        <v>0</v>
      </c>
      <c r="K17" s="12">
        <v>100</v>
      </c>
      <c r="L17" s="5">
        <v>98</v>
      </c>
      <c r="M17" s="5">
        <v>1</v>
      </c>
      <c r="N17" s="5">
        <v>2</v>
      </c>
      <c r="O17" s="5">
        <v>0</v>
      </c>
      <c r="P17" s="9">
        <v>2.65</v>
      </c>
    </row>
    <row r="18" spans="1:16" x14ac:dyDescent="0.3">
      <c r="A18" s="14">
        <v>111</v>
      </c>
      <c r="B18" s="5">
        <v>271</v>
      </c>
      <c r="C18" s="2" t="s">
        <v>341</v>
      </c>
      <c r="D18" s="5" t="s">
        <v>342</v>
      </c>
      <c r="E18" s="5">
        <f>LEN(Table3[[#This Row],[NAME1]])</f>
        <v>6</v>
      </c>
      <c r="F18" s="5">
        <f>VLOOKUP(Table3[[#This Row],[NAME1]], [1]Sheet1!$1:$1048576, 4, 0)</f>
        <v>6</v>
      </c>
      <c r="G18" s="5">
        <f>VLOOKUP(Table3[[#This Row],[NAME1]], [1]Sheet1!$1:$1048576, 5, 9)</f>
        <v>3</v>
      </c>
      <c r="H18" s="9">
        <f>VLOOKUP(Table3[[#This Row],[NAME1]], [2]Sheet1!$1:$1048576, 2, 0)</f>
        <v>8.5485209999999991</v>
      </c>
      <c r="I18" s="9" t="str">
        <f>VLOOKUP(Table3[[#This Row],[NAME1]], [2]Sheet1!$1:$1048576, 3, 0)</f>
        <v>0.979936</v>
      </c>
      <c r="J18" s="12">
        <v>0</v>
      </c>
      <c r="K18" s="12">
        <v>100</v>
      </c>
      <c r="L18" s="5">
        <v>100</v>
      </c>
      <c r="M18" s="5">
        <v>1</v>
      </c>
      <c r="N18" s="5">
        <v>0</v>
      </c>
      <c r="O18" s="5">
        <v>0</v>
      </c>
      <c r="P18" s="9">
        <v>2.82</v>
      </c>
    </row>
    <row r="19" spans="1:16" x14ac:dyDescent="0.3">
      <c r="A19" s="14">
        <v>287</v>
      </c>
      <c r="B19" s="5">
        <v>259</v>
      </c>
      <c r="C19" s="2" t="s">
        <v>321</v>
      </c>
      <c r="D19" s="5" t="s">
        <v>322</v>
      </c>
      <c r="E19" s="5">
        <f>LEN(Table3[[#This Row],[NAME1]])</f>
        <v>4</v>
      </c>
      <c r="F19" s="5">
        <f>VLOOKUP(Table3[[#This Row],[NAME1]], [1]Sheet1!$1:$1048576, 4, 0)</f>
        <v>4</v>
      </c>
      <c r="G19" s="5">
        <f>VLOOKUP(Table3[[#This Row],[NAME1]], [1]Sheet1!$1:$1048576, 5, 9)</f>
        <v>3</v>
      </c>
      <c r="H19" s="9">
        <f>VLOOKUP(Table3[[#This Row],[NAME1]], [2]Sheet1!$1:$1048576, 2, 0)</f>
        <v>5.5495530000000004</v>
      </c>
      <c r="I19" s="9" t="str">
        <f>VLOOKUP(Table3[[#This Row],[NAME1]], [2]Sheet1!$1:$1048576, 3, 0)</f>
        <v>0.816212</v>
      </c>
      <c r="J19" s="9">
        <v>0.33228663000000003</v>
      </c>
      <c r="K19" s="9">
        <v>93.877551019999999</v>
      </c>
      <c r="L19" s="5">
        <v>98</v>
      </c>
      <c r="M19" s="5">
        <v>2</v>
      </c>
      <c r="N19" s="5">
        <v>2</v>
      </c>
      <c r="O19" s="5">
        <v>0</v>
      </c>
      <c r="P19" s="9">
        <v>1.64</v>
      </c>
    </row>
    <row r="20" spans="1:16" x14ac:dyDescent="0.3">
      <c r="A20" s="14">
        <v>196</v>
      </c>
      <c r="B20" s="5">
        <v>518</v>
      </c>
      <c r="C20" s="2" t="s">
        <v>651</v>
      </c>
      <c r="D20" s="5" t="s">
        <v>652</v>
      </c>
      <c r="E20" s="5">
        <f>LEN(Table3[[#This Row],[NAME1]])</f>
        <v>4</v>
      </c>
      <c r="F20" s="5">
        <f>VLOOKUP(Table3[[#This Row],[NAME1]], [1]Sheet1!$1:$1048576, 4, 0)</f>
        <v>4</v>
      </c>
      <c r="G20" s="5">
        <f>VLOOKUP(Table3[[#This Row],[NAME1]], [1]Sheet1!$1:$1048576, 5, 9)</f>
        <v>3</v>
      </c>
      <c r="H20" s="9">
        <f>VLOOKUP(Table3[[#This Row],[NAME1]], [2]Sheet1!$1:$1048576, 2, 0)</f>
        <v>117.71030399999999</v>
      </c>
      <c r="I20" s="9">
        <f>VLOOKUP(Table3[[#This Row],[NAME1]], [2]Sheet1!$1:$1048576, 3, 0)</f>
        <v>2.0744880000000001</v>
      </c>
      <c r="J20" s="9">
        <v>0.141440543</v>
      </c>
      <c r="K20" s="12">
        <v>98</v>
      </c>
      <c r="L20" s="5">
        <v>100</v>
      </c>
      <c r="M20" s="5">
        <v>2</v>
      </c>
      <c r="N20" s="5">
        <v>0</v>
      </c>
      <c r="O20" s="5">
        <v>0</v>
      </c>
      <c r="P20" s="9">
        <v>1.64</v>
      </c>
    </row>
    <row r="21" spans="1:16" x14ac:dyDescent="0.3">
      <c r="A21" s="14">
        <v>167</v>
      </c>
      <c r="B21" s="5">
        <v>83</v>
      </c>
      <c r="C21" s="2" t="s">
        <v>102</v>
      </c>
      <c r="D21" s="5" t="s">
        <v>103</v>
      </c>
      <c r="E21" s="5">
        <f>LEN(Table3[[#This Row],[NAME1]])</f>
        <v>7</v>
      </c>
      <c r="F21" s="5">
        <f>VLOOKUP(Table3[[#This Row],[NAME1]], [1]Sheet1!$1:$1048576, 4, 0)</f>
        <v>7</v>
      </c>
      <c r="G21" s="5">
        <f>VLOOKUP(Table3[[#This Row],[NAME1]], [1]Sheet1!$1:$1048576, 5, 9)</f>
        <v>3</v>
      </c>
      <c r="H21" s="9">
        <f>VLOOKUP(Table3[[#This Row],[NAME1]], [2]Sheet1!$1:$1048576, 2, 0)</f>
        <v>148.45703599999999</v>
      </c>
      <c r="I21" s="9">
        <f>VLOOKUP(Table3[[#This Row],[NAME1]], [2]Sheet1!$1:$1048576, 3, 0)</f>
        <v>2.1745160000000001</v>
      </c>
      <c r="J21" s="12">
        <v>0</v>
      </c>
      <c r="K21" s="12">
        <v>100</v>
      </c>
      <c r="L21" s="5">
        <v>99</v>
      </c>
      <c r="M21" s="5">
        <v>1</v>
      </c>
      <c r="N21" s="5">
        <v>0</v>
      </c>
      <c r="O21" s="5">
        <v>1</v>
      </c>
      <c r="P21" s="9">
        <v>1.21</v>
      </c>
    </row>
    <row r="22" spans="1:16" x14ac:dyDescent="0.3">
      <c r="A22" s="14">
        <v>168</v>
      </c>
      <c r="B22" s="5">
        <v>161</v>
      </c>
      <c r="C22" s="2" t="s">
        <v>212</v>
      </c>
      <c r="D22" s="5" t="s">
        <v>213</v>
      </c>
      <c r="E22" s="5">
        <f>LEN(Table3[[#This Row],[NAME1]])</f>
        <v>7</v>
      </c>
      <c r="F22" s="5">
        <f>VLOOKUP(Table3[[#This Row],[NAME1]], [1]Sheet1!$1:$1048576, 4, 0)</f>
        <v>7</v>
      </c>
      <c r="G22" s="5">
        <f>VLOOKUP(Table3[[#This Row],[NAME1]], [1]Sheet1!$1:$1048576, 5, 9)</f>
        <v>3</v>
      </c>
      <c r="H22" s="9">
        <f>VLOOKUP(Table3[[#This Row],[NAME1]], [2]Sheet1!$1:$1048576, 2, 0)</f>
        <v>5.2018930000000001</v>
      </c>
      <c r="I22" s="9" t="str">
        <f>VLOOKUP(Table3[[#This Row],[NAME1]], [2]Sheet1!$1:$1048576, 3, 0)</f>
        <v>0.792524</v>
      </c>
      <c r="J22" s="12">
        <v>0</v>
      </c>
      <c r="K22" s="12">
        <v>100</v>
      </c>
      <c r="L22" s="5">
        <v>100</v>
      </c>
      <c r="M22" s="5">
        <v>1</v>
      </c>
      <c r="N22" s="5">
        <v>0</v>
      </c>
      <c r="O22" s="5">
        <v>0</v>
      </c>
      <c r="P22" s="9">
        <v>2.0499999999999998</v>
      </c>
    </row>
    <row r="23" spans="1:16" x14ac:dyDescent="0.3">
      <c r="A23" s="14">
        <v>249</v>
      </c>
      <c r="B23" s="5">
        <v>253</v>
      </c>
      <c r="C23" s="2" t="s">
        <v>315</v>
      </c>
      <c r="D23" s="5" t="s">
        <v>316</v>
      </c>
      <c r="E23" s="5">
        <f>LEN(Table3[[#This Row],[NAME1]])</f>
        <v>4</v>
      </c>
      <c r="F23" s="5">
        <f>VLOOKUP(Table3[[#This Row],[NAME1]], [1]Sheet1!$1:$1048576, 4, 0)</f>
        <v>4</v>
      </c>
      <c r="G23" s="5">
        <f>VLOOKUP(Table3[[#This Row],[NAME1]], [1]Sheet1!$1:$1048576, 5, 9)</f>
        <v>3</v>
      </c>
      <c r="H23" s="9">
        <f>VLOOKUP(Table3[[#This Row],[NAME1]], [2]Sheet1!$1:$1048576, 2, 0)</f>
        <v>25.895747</v>
      </c>
      <c r="I23" s="9">
        <f>VLOOKUP(Table3[[#This Row],[NAME1]], [2]Sheet1!$1:$1048576, 3, 0)</f>
        <v>1.429684</v>
      </c>
      <c r="J23" s="9">
        <v>0.28454568299999999</v>
      </c>
      <c r="K23" s="9">
        <v>95.959595960000001</v>
      </c>
      <c r="L23" s="5">
        <v>99</v>
      </c>
      <c r="M23" s="5">
        <v>3</v>
      </c>
      <c r="N23" s="5">
        <v>0</v>
      </c>
      <c r="O23" s="5">
        <v>1</v>
      </c>
      <c r="P23" s="9">
        <v>3.151515152</v>
      </c>
    </row>
    <row r="24" spans="1:16" x14ac:dyDescent="0.3">
      <c r="A24" s="14">
        <v>112</v>
      </c>
      <c r="B24" s="5">
        <v>32</v>
      </c>
      <c r="C24" s="2" t="s">
        <v>39</v>
      </c>
      <c r="D24" s="5" t="s">
        <v>40</v>
      </c>
      <c r="E24" s="5">
        <f>LEN(Table3[[#This Row],[NAME1]])</f>
        <v>6</v>
      </c>
      <c r="F24" s="5">
        <f>VLOOKUP(Table3[[#This Row],[NAME1]], [1]Sheet1!$1:$1048576, 4, 0)</f>
        <v>6</v>
      </c>
      <c r="G24" s="5">
        <f>VLOOKUP(Table3[[#This Row],[NAME1]], [1]Sheet1!$1:$1048576, 5, 9)</f>
        <v>3</v>
      </c>
      <c r="H24" s="9">
        <f>VLOOKUP(Table3[[#This Row],[NAME1]], [2]Sheet1!$1:$1048576, 2, 0)</f>
        <v>52.204135999999998</v>
      </c>
      <c r="I24" s="9">
        <f>VLOOKUP(Table3[[#This Row],[NAME1]], [2]Sheet1!$1:$1048576, 3, 0)</f>
        <v>1.7259450000000001</v>
      </c>
      <c r="J24" s="12">
        <v>0</v>
      </c>
      <c r="K24" s="12">
        <v>100</v>
      </c>
      <c r="L24" s="5">
        <v>100</v>
      </c>
      <c r="M24" s="5">
        <v>1</v>
      </c>
      <c r="N24" s="5">
        <v>0</v>
      </c>
      <c r="O24" s="5">
        <v>0</v>
      </c>
      <c r="P24" s="9">
        <v>3.04</v>
      </c>
    </row>
    <row r="25" spans="1:16" x14ac:dyDescent="0.3">
      <c r="A25" s="14">
        <v>169</v>
      </c>
      <c r="B25" s="5">
        <v>418</v>
      </c>
      <c r="C25" s="2" t="s">
        <v>520</v>
      </c>
      <c r="D25" s="5" t="s">
        <v>521</v>
      </c>
      <c r="E25" s="5">
        <f>LEN(Table3[[#This Row],[NAME1]])</f>
        <v>7</v>
      </c>
      <c r="F25" s="5">
        <f>VLOOKUP(Table3[[#This Row],[NAME1]], [1]Sheet1!$1:$1048576, 4, 0)</f>
        <v>7</v>
      </c>
      <c r="G25" s="5">
        <f>VLOOKUP(Table3[[#This Row],[NAME1]], [1]Sheet1!$1:$1048576, 5, 9)</f>
        <v>3</v>
      </c>
      <c r="H25" s="9">
        <f>VLOOKUP(Table3[[#This Row],[NAME1]], [2]Sheet1!$1:$1048576, 2, 0)</f>
        <v>6.868709</v>
      </c>
      <c r="I25" s="9" t="str">
        <f>VLOOKUP(Table3[[#This Row],[NAME1]], [2]Sheet1!$1:$1048576, 3, 0)</f>
        <v>0.895903</v>
      </c>
      <c r="J25" s="12">
        <v>0</v>
      </c>
      <c r="K25" s="12">
        <v>100</v>
      </c>
      <c r="L25" s="5">
        <v>99</v>
      </c>
      <c r="M25" s="5">
        <v>1</v>
      </c>
      <c r="N25" s="5">
        <v>1</v>
      </c>
      <c r="O25" s="5">
        <v>0</v>
      </c>
      <c r="P25" s="9">
        <v>2.2200000000000002</v>
      </c>
    </row>
    <row r="26" spans="1:16" x14ac:dyDescent="0.3">
      <c r="A26" s="14">
        <v>215</v>
      </c>
      <c r="B26" s="5">
        <v>99</v>
      </c>
      <c r="C26" s="2" t="s">
        <v>126</v>
      </c>
      <c r="D26" s="5" t="s">
        <v>127</v>
      </c>
      <c r="E26" s="5">
        <f>LEN(Table3[[#This Row],[NAME1]])</f>
        <v>6</v>
      </c>
      <c r="F26" s="5">
        <f>VLOOKUP(Table3[[#This Row],[NAME1]], [1]Sheet1!$1:$1048576, 4, 0)</f>
        <v>6</v>
      </c>
      <c r="G26" s="5">
        <f>VLOOKUP(Table3[[#This Row],[NAME1]], [1]Sheet1!$1:$1048576, 5, 9)</f>
        <v>3</v>
      </c>
      <c r="H26" s="9">
        <f>VLOOKUP(Table3[[#This Row],[NAME1]], [2]Sheet1!$1:$1048576, 2, 0)</f>
        <v>44.607616999999998</v>
      </c>
      <c r="I26" s="9">
        <f>VLOOKUP(Table3[[#This Row],[NAME1]], [2]Sheet1!$1:$1048576, 3, 0)</f>
        <v>1.6590370000000001</v>
      </c>
      <c r="J26" s="9">
        <v>0.14372616999999999</v>
      </c>
      <c r="K26" s="9">
        <v>97.959183670000002</v>
      </c>
      <c r="L26" s="5">
        <v>98</v>
      </c>
      <c r="M26" s="5">
        <v>2</v>
      </c>
      <c r="N26" s="5">
        <v>0</v>
      </c>
      <c r="O26" s="5">
        <v>2</v>
      </c>
      <c r="P26" s="9">
        <v>2.74</v>
      </c>
    </row>
    <row r="27" spans="1:16" x14ac:dyDescent="0.3">
      <c r="A27" s="14">
        <v>211</v>
      </c>
      <c r="B27" s="5">
        <v>595</v>
      </c>
      <c r="C27" s="2" t="s">
        <v>738</v>
      </c>
      <c r="D27" s="5" t="s">
        <v>739</v>
      </c>
      <c r="E27" s="5">
        <f>LEN(Table3[[#This Row],[NAME1]])</f>
        <v>4</v>
      </c>
      <c r="F27" s="5">
        <f>VLOOKUP(Table3[[#This Row],[NAME1]], [1]Sheet1!$1:$1048576, 4, 0)</f>
        <v>4</v>
      </c>
      <c r="G27" s="5">
        <f>VLOOKUP(Table3[[#This Row],[NAME1]], [1]Sheet1!$1:$1048576, 5, 9)</f>
        <v>3</v>
      </c>
      <c r="H27" s="9">
        <f>VLOOKUP(Table3[[#This Row],[NAME1]], [2]Sheet1!$1:$1048576, 2, 0)</f>
        <v>5.7445019999999998</v>
      </c>
      <c r="I27" s="9" t="str">
        <f>VLOOKUP(Table3[[#This Row],[NAME1]], [2]Sheet1!$1:$1048576, 3, 0)</f>
        <v>0.828950</v>
      </c>
      <c r="J27" s="9">
        <v>0.14372616999999999</v>
      </c>
      <c r="K27" s="9">
        <v>97.959183670000002</v>
      </c>
      <c r="L27" s="5">
        <v>98</v>
      </c>
      <c r="M27" s="5">
        <v>2</v>
      </c>
      <c r="N27" s="5">
        <v>1</v>
      </c>
      <c r="O27" s="5">
        <v>1</v>
      </c>
      <c r="P27" s="9">
        <v>1.33</v>
      </c>
    </row>
    <row r="28" spans="1:16" x14ac:dyDescent="0.3">
      <c r="A28" s="14">
        <v>315</v>
      </c>
      <c r="B28" s="5">
        <v>517</v>
      </c>
      <c r="C28" s="2" t="s">
        <v>649</v>
      </c>
      <c r="D28" s="5" t="s">
        <v>650</v>
      </c>
      <c r="E28" s="5">
        <f>LEN(Table3[[#This Row],[NAME1]])</f>
        <v>6</v>
      </c>
      <c r="F28" s="5">
        <f>VLOOKUP(Table3[[#This Row],[NAME1]], [1]Sheet1!$1:$1048576, 4, 0)</f>
        <v>6</v>
      </c>
      <c r="G28" s="5">
        <f>VLOOKUP(Table3[[#This Row],[NAME1]], [1]Sheet1!$1:$1048576, 5, 9)</f>
        <v>3</v>
      </c>
      <c r="H28" s="9">
        <f>VLOOKUP(Table3[[#This Row],[NAME1]], [2]Sheet1!$1:$1048576, 2, 0)</f>
        <v>21.879794</v>
      </c>
      <c r="I28" s="9">
        <f>VLOOKUP(Table3[[#This Row],[NAME1]], [2]Sheet1!$1:$1048576, 3, 0)</f>
        <v>1.3594520000000001</v>
      </c>
      <c r="J28" s="9">
        <v>0.57421419200000001</v>
      </c>
      <c r="K28" s="12">
        <v>91</v>
      </c>
      <c r="L28" s="5">
        <v>100</v>
      </c>
      <c r="M28" s="5">
        <v>4</v>
      </c>
      <c r="N28" s="5">
        <v>0</v>
      </c>
      <c r="O28" s="5">
        <v>0</v>
      </c>
      <c r="P28" s="9">
        <v>1.94</v>
      </c>
    </row>
    <row r="29" spans="1:16" x14ac:dyDescent="0.3">
      <c r="A29" s="14">
        <v>236</v>
      </c>
      <c r="B29" s="5">
        <v>678</v>
      </c>
      <c r="C29" s="2" t="s">
        <v>838</v>
      </c>
      <c r="D29" s="5" t="s">
        <v>839</v>
      </c>
      <c r="E29" s="5">
        <f>LEN(Table3[[#This Row],[NAME1]])</f>
        <v>6</v>
      </c>
      <c r="F29" s="5">
        <f>VLOOKUP(Table3[[#This Row],[NAME1]], [1]Sheet1!$1:$1048576, 4, 0)</f>
        <v>6</v>
      </c>
      <c r="G29" s="5">
        <f>VLOOKUP(Table3[[#This Row],[NAME1]], [1]Sheet1!$1:$1048576, 5, 9)</f>
        <v>3</v>
      </c>
      <c r="H29" s="9">
        <f>VLOOKUP(Table3[[#This Row],[NAME1]], [2]Sheet1!$1:$1048576, 2, 0)</f>
        <v>5.1921460000000002</v>
      </c>
      <c r="I29" s="9" t="str">
        <f>VLOOKUP(Table3[[#This Row],[NAME1]], [2]Sheet1!$1:$1048576, 3, 0)</f>
        <v>0.791841</v>
      </c>
      <c r="J29" s="9">
        <v>0.19745300399999999</v>
      </c>
      <c r="K29" s="9">
        <v>96.938775509999999</v>
      </c>
      <c r="L29" s="5">
        <v>98</v>
      </c>
      <c r="M29" s="5">
        <v>2</v>
      </c>
      <c r="N29" s="5">
        <v>0</v>
      </c>
      <c r="O29" s="5">
        <v>2</v>
      </c>
      <c r="P29" s="9">
        <v>2.1818181820000002</v>
      </c>
    </row>
    <row r="30" spans="1:16" x14ac:dyDescent="0.3">
      <c r="A30" s="14">
        <v>9</v>
      </c>
      <c r="B30" s="5">
        <v>304</v>
      </c>
      <c r="C30" s="2" t="s">
        <v>389</v>
      </c>
      <c r="D30" s="5" t="s">
        <v>390</v>
      </c>
      <c r="E30" s="5">
        <f>LEN(Table3[[#This Row],[NAME1]])</f>
        <v>4</v>
      </c>
      <c r="F30" s="5">
        <f>VLOOKUP(Table3[[#This Row],[NAME1]], [1]Sheet1!$1:$1048576, 4, 0)</f>
        <v>4</v>
      </c>
      <c r="G30" s="5">
        <f>VLOOKUP(Table3[[#This Row],[NAME1]], [1]Sheet1!$1:$1048576, 5, 9)</f>
        <v>3</v>
      </c>
      <c r="H30" s="9">
        <f>VLOOKUP(Table3[[#This Row],[NAME1]], [2]Sheet1!$1:$1048576, 2, 0)</f>
        <v>10.644223999999999</v>
      </c>
      <c r="I30" s="9">
        <f>VLOOKUP(Table3[[#This Row],[NAME1]], [2]Sheet1!$1:$1048576, 3, 0)</f>
        <v>1.066111</v>
      </c>
      <c r="J30" s="12">
        <v>0</v>
      </c>
      <c r="K30" s="12">
        <v>100</v>
      </c>
      <c r="L30" s="5">
        <v>100</v>
      </c>
      <c r="M30" s="5">
        <v>1</v>
      </c>
      <c r="N30" s="5">
        <v>0</v>
      </c>
      <c r="O30" s="5">
        <v>0</v>
      </c>
      <c r="P30" s="9">
        <v>2.5299999999999998</v>
      </c>
    </row>
    <row r="31" spans="1:16" x14ac:dyDescent="0.3">
      <c r="A31" s="14">
        <v>10</v>
      </c>
      <c r="B31" s="5">
        <v>308</v>
      </c>
      <c r="C31" s="2" t="s">
        <v>395</v>
      </c>
      <c r="D31" s="5" t="s">
        <v>396</v>
      </c>
      <c r="E31" s="5">
        <f>LEN(Table3[[#This Row],[NAME1]])</f>
        <v>4</v>
      </c>
      <c r="F31" s="5">
        <f>VLOOKUP(Table3[[#This Row],[NAME1]], [1]Sheet1!$1:$1048576, 4, 0)</f>
        <v>4</v>
      </c>
      <c r="G31" s="5">
        <f>VLOOKUP(Table3[[#This Row],[NAME1]], [1]Sheet1!$1:$1048576, 5, 9)</f>
        <v>3</v>
      </c>
      <c r="H31" s="9">
        <f>VLOOKUP(Table3[[#This Row],[NAME1]], [2]Sheet1!$1:$1048576, 2, 0)</f>
        <v>206.73058900000001</v>
      </c>
      <c r="I31" s="9">
        <f>VLOOKUP(Table3[[#This Row],[NAME1]], [2]Sheet1!$1:$1048576, 3, 0)</f>
        <v>2.3174999999999999</v>
      </c>
      <c r="J31" s="12">
        <v>0</v>
      </c>
      <c r="K31" s="12">
        <v>100</v>
      </c>
      <c r="L31" s="5">
        <v>99</v>
      </c>
      <c r="M31" s="5">
        <v>1</v>
      </c>
      <c r="N31" s="5">
        <v>0</v>
      </c>
      <c r="O31" s="5">
        <v>1</v>
      </c>
      <c r="P31" s="9">
        <v>1.54</v>
      </c>
    </row>
    <row r="32" spans="1:16" x14ac:dyDescent="0.3">
      <c r="A32" s="14">
        <v>250</v>
      </c>
      <c r="B32" s="5">
        <v>123</v>
      </c>
      <c r="C32" s="2" t="s">
        <v>156</v>
      </c>
      <c r="D32" s="5" t="s">
        <v>157</v>
      </c>
      <c r="E32" s="5">
        <f>LEN(Table3[[#This Row],[NAME1]])</f>
        <v>5</v>
      </c>
      <c r="F32" s="5">
        <f>VLOOKUP(Table3[[#This Row],[NAME1]], [1]Sheet1!$1:$1048576, 4, 0)</f>
        <v>5</v>
      </c>
      <c r="G32" s="5">
        <f>VLOOKUP(Table3[[#This Row],[NAME1]], [1]Sheet1!$1:$1048576, 5, 9)</f>
        <v>3</v>
      </c>
      <c r="H32" s="9">
        <f>VLOOKUP(Table3[[#This Row],[NAME1]], [2]Sheet1!$1:$1048576, 2, 0)</f>
        <v>1.9105019999999999</v>
      </c>
      <c r="I32" s="9" t="str">
        <f>VLOOKUP(Table3[[#This Row],[NAME1]], [2]Sheet1!$1:$1048576, 3, 0)</f>
        <v>0.463968</v>
      </c>
      <c r="J32" s="9">
        <v>0.20995735800000001</v>
      </c>
      <c r="K32" s="9">
        <v>95.959595960000001</v>
      </c>
      <c r="L32" s="5">
        <v>99</v>
      </c>
      <c r="M32" s="5">
        <v>3</v>
      </c>
      <c r="N32" s="5">
        <v>0</v>
      </c>
      <c r="O32" s="5">
        <v>1</v>
      </c>
      <c r="P32" s="9">
        <v>1.81</v>
      </c>
    </row>
    <row r="33" spans="1:16" x14ac:dyDescent="0.3">
      <c r="A33" s="14">
        <v>114</v>
      </c>
      <c r="B33" s="5">
        <v>154</v>
      </c>
      <c r="C33" s="2" t="s">
        <v>200</v>
      </c>
      <c r="D33" s="5" t="s">
        <v>201</v>
      </c>
      <c r="E33" s="5">
        <f>LEN(Table3[[#This Row],[NAME1]])</f>
        <v>6</v>
      </c>
      <c r="F33" s="5">
        <f>VLOOKUP(Table3[[#This Row],[NAME1]], [1]Sheet1!$1:$1048576, 4, 0)</f>
        <v>6</v>
      </c>
      <c r="G33" s="5">
        <f>VLOOKUP(Table3[[#This Row],[NAME1]], [1]Sheet1!$1:$1048576, 5, 9)</f>
        <v>3</v>
      </c>
      <c r="H33" s="9">
        <f>VLOOKUP(Table3[[#This Row],[NAME1]], [2]Sheet1!$1:$1048576, 2, 0)</f>
        <v>5.517061</v>
      </c>
      <c r="I33" s="9" t="str">
        <f>VLOOKUP(Table3[[#This Row],[NAME1]], [2]Sheet1!$1:$1048576, 3, 0)</f>
        <v>0.814052</v>
      </c>
      <c r="J33" s="12">
        <v>0</v>
      </c>
      <c r="K33" s="12">
        <v>100</v>
      </c>
      <c r="L33" s="5">
        <v>98</v>
      </c>
      <c r="M33" s="5">
        <v>1</v>
      </c>
      <c r="N33" s="5">
        <v>1</v>
      </c>
      <c r="O33" s="5">
        <v>1</v>
      </c>
      <c r="P33" s="9">
        <v>2.27</v>
      </c>
    </row>
    <row r="34" spans="1:16" x14ac:dyDescent="0.3">
      <c r="A34" s="14">
        <v>303</v>
      </c>
      <c r="B34" s="5">
        <v>37</v>
      </c>
      <c r="C34" s="2" t="s">
        <v>43</v>
      </c>
      <c r="D34" s="5" t="s">
        <v>44</v>
      </c>
      <c r="E34" s="5">
        <f>LEN(Table3[[#This Row],[NAME1]])</f>
        <v>6</v>
      </c>
      <c r="F34" s="5">
        <f>VLOOKUP(Table3[[#This Row],[NAME1]], [1]Sheet1!$1:$1048576, 4, 0)</f>
        <v>6</v>
      </c>
      <c r="G34" s="5">
        <f>VLOOKUP(Table3[[#This Row],[NAME1]], [1]Sheet1!$1:$1048576, 5, 9)</f>
        <v>3</v>
      </c>
      <c r="H34" s="9">
        <f>VLOOKUP(Table3[[#This Row],[NAME1]], [2]Sheet1!$1:$1048576, 2, 0)</f>
        <v>0.27292899999999998</v>
      </c>
      <c r="I34" s="9" t="str">
        <f>VLOOKUP(Table3[[#This Row],[NAME1]], [2]Sheet1!$1:$1048576, 3, 0)</f>
        <v>0.104804</v>
      </c>
      <c r="J34" s="9">
        <v>0.46708144000000001</v>
      </c>
      <c r="K34" s="12">
        <v>92</v>
      </c>
      <c r="L34" s="5">
        <v>100</v>
      </c>
      <c r="M34" s="5">
        <v>3</v>
      </c>
      <c r="N34" s="5">
        <v>0</v>
      </c>
      <c r="O34" s="5">
        <v>0</v>
      </c>
      <c r="P34" s="9">
        <v>2.0699999999999998</v>
      </c>
    </row>
    <row r="35" spans="1:16" x14ac:dyDescent="0.3">
      <c r="A35" s="14">
        <v>208</v>
      </c>
      <c r="B35" s="5">
        <v>111</v>
      </c>
      <c r="C35" s="2" t="s">
        <v>142</v>
      </c>
      <c r="D35" s="5" t="s">
        <v>143</v>
      </c>
      <c r="E35" s="5">
        <f>LEN(Table3[[#This Row],[NAME1]])</f>
        <v>6</v>
      </c>
      <c r="F35" s="5">
        <f>VLOOKUP(Table3[[#This Row],[NAME1]], [1]Sheet1!$1:$1048576, 4, 0)</f>
        <v>6</v>
      </c>
      <c r="G35" s="5">
        <f>VLOOKUP(Table3[[#This Row],[NAME1]], [1]Sheet1!$1:$1048576, 5, 9)</f>
        <v>3</v>
      </c>
      <c r="H35" s="9">
        <f>VLOOKUP(Table3[[#This Row],[NAME1]], [2]Sheet1!$1:$1048576, 2, 0)</f>
        <v>14.793392000000001</v>
      </c>
      <c r="I35" s="9">
        <f>VLOOKUP(Table3[[#This Row],[NAME1]], [2]Sheet1!$1:$1048576, 3, 0)</f>
        <v>1.198475</v>
      </c>
      <c r="J35" s="9">
        <v>0.14257333</v>
      </c>
      <c r="K35" s="9">
        <v>97.979797980000001</v>
      </c>
      <c r="L35" s="5">
        <v>99</v>
      </c>
      <c r="M35" s="5">
        <v>2</v>
      </c>
      <c r="N35" s="5">
        <v>1</v>
      </c>
      <c r="O35" s="5">
        <v>0</v>
      </c>
      <c r="P35" s="9">
        <v>3.02</v>
      </c>
    </row>
    <row r="36" spans="1:16" x14ac:dyDescent="0.3">
      <c r="A36" s="14">
        <v>294</v>
      </c>
      <c r="B36" s="5">
        <v>633</v>
      </c>
      <c r="C36" s="2" t="s">
        <v>788</v>
      </c>
      <c r="D36" s="5" t="s">
        <v>789</v>
      </c>
      <c r="E36" s="5">
        <f>LEN(Table3[[#This Row],[NAME1]])</f>
        <v>6</v>
      </c>
      <c r="F36" s="5">
        <f>VLOOKUP(Table3[[#This Row],[NAME1]], [1]Sheet1!$1:$1048576, 4, 0)</f>
        <v>6</v>
      </c>
      <c r="G36" s="5">
        <f>VLOOKUP(Table3[[#This Row],[NAME1]], [1]Sheet1!$1:$1048576, 5, 9)</f>
        <v>3</v>
      </c>
      <c r="H36" s="9">
        <f>VLOOKUP(Table3[[#This Row],[NAME1]], [2]Sheet1!$1:$1048576, 2, 0)</f>
        <v>1.3743920000000001</v>
      </c>
      <c r="I36" s="9" t="str">
        <f>VLOOKUP(Table3[[#This Row],[NAME1]], [2]Sheet1!$1:$1048576, 3, 0)</f>
        <v>0.375552</v>
      </c>
      <c r="J36" s="9">
        <v>0.33729006700000003</v>
      </c>
      <c r="K36" s="9">
        <v>93.75</v>
      </c>
      <c r="L36" s="5">
        <v>96</v>
      </c>
      <c r="M36" s="5">
        <v>2</v>
      </c>
      <c r="N36" s="5">
        <v>2</v>
      </c>
      <c r="O36" s="5">
        <v>2</v>
      </c>
      <c r="P36" s="9">
        <v>2</v>
      </c>
    </row>
    <row r="37" spans="1:16" x14ac:dyDescent="0.3">
      <c r="A37" s="14">
        <v>223</v>
      </c>
      <c r="B37" s="5">
        <v>365</v>
      </c>
      <c r="C37" s="2" t="s">
        <v>462</v>
      </c>
      <c r="D37" s="5" t="s">
        <v>463</v>
      </c>
      <c r="E37" s="5">
        <f>LEN(Table3[[#This Row],[NAME1]])</f>
        <v>5</v>
      </c>
      <c r="F37" s="5">
        <f>VLOOKUP(Table3[[#This Row],[NAME1]], [1]Sheet1!$1:$1048576, 4, 0)</f>
        <v>5</v>
      </c>
      <c r="G37" s="5">
        <f>VLOOKUP(Table3[[#This Row],[NAME1]], [1]Sheet1!$1:$1048576, 5, 9)</f>
        <v>3</v>
      </c>
      <c r="H37" s="9">
        <f>VLOOKUP(Table3[[#This Row],[NAME1]], [2]Sheet1!$1:$1048576, 2, 0)</f>
        <v>1.621327</v>
      </c>
      <c r="I37" s="9" t="str">
        <f>VLOOKUP(Table3[[#This Row],[NAME1]], [2]Sheet1!$1:$1048576, 3, 0)</f>
        <v>0.418521</v>
      </c>
      <c r="J37" s="9">
        <v>0.14731066700000001</v>
      </c>
      <c r="K37" s="9">
        <v>97.894736839999993</v>
      </c>
      <c r="L37" s="5">
        <v>95</v>
      </c>
      <c r="M37" s="5">
        <v>2</v>
      </c>
      <c r="N37" s="5">
        <v>5</v>
      </c>
      <c r="O37" s="5">
        <v>0</v>
      </c>
      <c r="P37" s="9">
        <v>3.09</v>
      </c>
    </row>
    <row r="38" spans="1:16" x14ac:dyDescent="0.3">
      <c r="A38" s="14">
        <v>115</v>
      </c>
      <c r="B38" s="5">
        <v>590</v>
      </c>
      <c r="C38" s="2" t="s">
        <v>734</v>
      </c>
      <c r="D38" s="5" t="s">
        <v>735</v>
      </c>
      <c r="E38" s="5">
        <f>LEN(Table3[[#This Row],[NAME1]])</f>
        <v>6</v>
      </c>
      <c r="F38" s="5">
        <f>VLOOKUP(Table3[[#This Row],[NAME1]], [1]Sheet1!$1:$1048576, 4, 0)</f>
        <v>6</v>
      </c>
      <c r="G38" s="5">
        <f>VLOOKUP(Table3[[#This Row],[NAME1]], [1]Sheet1!$1:$1048576, 5, 9)</f>
        <v>3</v>
      </c>
      <c r="H38" s="9">
        <f>VLOOKUP(Table3[[#This Row],[NAME1]], [2]Sheet1!$1:$1048576, 2, 0)</f>
        <v>2.2159219999999999</v>
      </c>
      <c r="I38" s="9" t="str">
        <f>VLOOKUP(Table3[[#This Row],[NAME1]], [2]Sheet1!$1:$1048576, 3, 0)</f>
        <v>0.507306</v>
      </c>
      <c r="J38" s="12">
        <v>0</v>
      </c>
      <c r="K38" s="12">
        <v>100</v>
      </c>
      <c r="L38" s="5">
        <v>100</v>
      </c>
      <c r="M38" s="5">
        <v>1</v>
      </c>
      <c r="N38" s="5">
        <v>0</v>
      </c>
      <c r="O38" s="5">
        <v>0</v>
      </c>
      <c r="P38" s="9">
        <v>2.1800000000000002</v>
      </c>
    </row>
    <row r="39" spans="1:16" x14ac:dyDescent="0.3">
      <c r="A39" s="14">
        <v>202</v>
      </c>
      <c r="B39" s="5">
        <v>501</v>
      </c>
      <c r="C39" s="2" t="s">
        <v>623</v>
      </c>
      <c r="D39" s="5" t="s">
        <v>624</v>
      </c>
      <c r="E39" s="5">
        <f>LEN(Table3[[#This Row],[NAME1]])</f>
        <v>6</v>
      </c>
      <c r="F39" s="5">
        <f>VLOOKUP(Table3[[#This Row],[NAME1]], [1]Sheet1!$1:$1048576, 4, 0)</f>
        <v>6</v>
      </c>
      <c r="G39" s="5">
        <f>VLOOKUP(Table3[[#This Row],[NAME1]], [1]Sheet1!$1:$1048576, 5, 9)</f>
        <v>3</v>
      </c>
      <c r="H39" s="9">
        <f>VLOOKUP(Table3[[#This Row],[NAME1]], [2]Sheet1!$1:$1048576, 2, 0)</f>
        <v>43.769336000000003</v>
      </c>
      <c r="I39" s="9">
        <f>VLOOKUP(Table3[[#This Row],[NAME1]], [2]Sheet1!$1:$1048576, 3, 0)</f>
        <v>1.650981</v>
      </c>
      <c r="J39" s="9">
        <v>0.141440543</v>
      </c>
      <c r="K39" s="12">
        <v>98</v>
      </c>
      <c r="L39" s="5">
        <v>100</v>
      </c>
      <c r="M39" s="5">
        <v>2</v>
      </c>
      <c r="N39" s="5">
        <v>0</v>
      </c>
      <c r="O39" s="5">
        <v>0</v>
      </c>
      <c r="P39" s="9">
        <v>2.29</v>
      </c>
    </row>
    <row r="40" spans="1:16" x14ac:dyDescent="0.3">
      <c r="A40" s="14">
        <v>116</v>
      </c>
      <c r="B40" s="5">
        <v>301</v>
      </c>
      <c r="C40" s="2" t="s">
        <v>383</v>
      </c>
      <c r="D40" s="5" t="s">
        <v>384</v>
      </c>
      <c r="E40" s="5">
        <f>LEN(Table3[[#This Row],[NAME1]])</f>
        <v>6</v>
      </c>
      <c r="F40" s="5">
        <f>VLOOKUP(Table3[[#This Row],[NAME1]], [1]Sheet1!$1:$1048576, 4, 0)</f>
        <v>6</v>
      </c>
      <c r="G40" s="5">
        <f>VLOOKUP(Table3[[#This Row],[NAME1]], [1]Sheet1!$1:$1048576, 5, 9)</f>
        <v>3</v>
      </c>
      <c r="H40" s="9">
        <f>VLOOKUP(Table3[[#This Row],[NAME1]], [2]Sheet1!$1:$1048576, 2, 0)</f>
        <v>39.308249000000004</v>
      </c>
      <c r="I40" s="9">
        <f>VLOOKUP(Table3[[#This Row],[NAME1]], [2]Sheet1!$1:$1048576, 3, 0)</f>
        <v>1.605394</v>
      </c>
      <c r="J40" s="12">
        <v>0</v>
      </c>
      <c r="K40" s="12">
        <v>100</v>
      </c>
      <c r="L40" s="5">
        <v>100</v>
      </c>
      <c r="M40" s="5">
        <v>1</v>
      </c>
      <c r="N40" s="5">
        <v>0</v>
      </c>
      <c r="O40" s="5">
        <v>0</v>
      </c>
      <c r="P40" s="9">
        <v>1.9898989899999999</v>
      </c>
    </row>
    <row r="41" spans="1:16" x14ac:dyDescent="0.3">
      <c r="A41" s="14">
        <v>171</v>
      </c>
      <c r="B41" s="5">
        <v>169</v>
      </c>
      <c r="C41" s="2" t="s">
        <v>220</v>
      </c>
      <c r="D41" s="5" t="s">
        <v>221</v>
      </c>
      <c r="E41" s="5">
        <f>LEN(Table3[[#This Row],[NAME1]])</f>
        <v>7</v>
      </c>
      <c r="F41" s="5">
        <f>VLOOKUP(Table3[[#This Row],[NAME1]], [1]Sheet1!$1:$1048576, 4, 0)</f>
        <v>7</v>
      </c>
      <c r="G41" s="5">
        <f>VLOOKUP(Table3[[#This Row],[NAME1]], [1]Sheet1!$1:$1048576, 5, 9)</f>
        <v>3</v>
      </c>
      <c r="H41" s="9">
        <f>VLOOKUP(Table3[[#This Row],[NAME1]], [2]Sheet1!$1:$1048576, 2, 0)</f>
        <v>32.439540000000001</v>
      </c>
      <c r="I41" s="9">
        <f>VLOOKUP(Table3[[#This Row],[NAME1]], [2]Sheet1!$1:$1048576, 3, 0)</f>
        <v>1.5242599999999999</v>
      </c>
      <c r="J41" s="12">
        <v>0</v>
      </c>
      <c r="K41" s="12">
        <v>100</v>
      </c>
      <c r="L41" s="5">
        <v>100</v>
      </c>
      <c r="M41" s="5">
        <v>1</v>
      </c>
      <c r="N41" s="5">
        <v>0</v>
      </c>
      <c r="O41" s="5">
        <v>0</v>
      </c>
      <c r="P41" s="9">
        <v>2.0099999999999998</v>
      </c>
    </row>
    <row r="42" spans="1:16" x14ac:dyDescent="0.3">
      <c r="A42" s="14">
        <v>117</v>
      </c>
      <c r="B42" s="5">
        <v>340</v>
      </c>
      <c r="C42" s="2" t="s">
        <v>428</v>
      </c>
      <c r="D42" s="5" t="s">
        <v>429</v>
      </c>
      <c r="E42" s="5">
        <f>LEN(Table3[[#This Row],[NAME1]])</f>
        <v>6</v>
      </c>
      <c r="F42" s="5">
        <f>VLOOKUP(Table3[[#This Row],[NAME1]], [1]Sheet1!$1:$1048576, 4, 0)</f>
        <v>6</v>
      </c>
      <c r="G42" s="5">
        <f>VLOOKUP(Table3[[#This Row],[NAME1]], [1]Sheet1!$1:$1048576, 5, 9)</f>
        <v>3</v>
      </c>
      <c r="H42" s="9">
        <f>VLOOKUP(Table3[[#This Row],[NAME1]], [2]Sheet1!$1:$1048576, 2, 0)</f>
        <v>26.272649000000001</v>
      </c>
      <c r="I42" s="9">
        <f>VLOOKUP(Table3[[#This Row],[NAME1]], [2]Sheet1!$1:$1048576, 3, 0)</f>
        <v>1.435727</v>
      </c>
      <c r="J42" s="12">
        <v>0</v>
      </c>
      <c r="K42" s="12">
        <v>100</v>
      </c>
      <c r="L42" s="5">
        <v>100</v>
      </c>
      <c r="M42" s="5">
        <v>1</v>
      </c>
      <c r="N42" s="5">
        <v>0</v>
      </c>
      <c r="O42" s="5">
        <v>0</v>
      </c>
      <c r="P42" s="9">
        <v>2.0299999999999998</v>
      </c>
    </row>
    <row r="43" spans="1:16" x14ac:dyDescent="0.3">
      <c r="A43" s="14">
        <v>299</v>
      </c>
      <c r="B43" s="5">
        <v>650</v>
      </c>
      <c r="C43" s="2" t="s">
        <v>806</v>
      </c>
      <c r="D43" s="5" t="s">
        <v>807</v>
      </c>
      <c r="E43" s="5">
        <f>LEN(Table3[[#This Row],[NAME1]])</f>
        <v>7</v>
      </c>
      <c r="F43" s="5">
        <f>VLOOKUP(Table3[[#This Row],[NAME1]], [1]Sheet1!$1:$1048576, 4, 0)</f>
        <v>7</v>
      </c>
      <c r="G43" s="5">
        <f>VLOOKUP(Table3[[#This Row],[NAME1]], [1]Sheet1!$1:$1048576, 5, 9)</f>
        <v>3</v>
      </c>
      <c r="H43" s="9">
        <f>VLOOKUP(Table3[[#This Row],[NAME1]], [2]Sheet1!$1:$1048576, 2, 0)</f>
        <v>1.9040029999999999</v>
      </c>
      <c r="I43" s="9" t="str">
        <f>VLOOKUP(Table3[[#This Row],[NAME1]], [2]Sheet1!$1:$1048576, 3, 0)</f>
        <v>0.462997</v>
      </c>
      <c r="J43" s="9">
        <v>0.43587529699999999</v>
      </c>
      <c r="K43" s="9">
        <v>92.957746479999997</v>
      </c>
      <c r="L43" s="5">
        <v>71</v>
      </c>
      <c r="M43" s="5">
        <v>3</v>
      </c>
      <c r="N43" s="5">
        <v>28</v>
      </c>
      <c r="O43" s="5">
        <v>1</v>
      </c>
      <c r="P43" s="9">
        <v>3.13</v>
      </c>
    </row>
    <row r="44" spans="1:16" x14ac:dyDescent="0.3">
      <c r="A44" s="14">
        <v>235</v>
      </c>
      <c r="B44" s="5">
        <v>412</v>
      </c>
      <c r="C44" s="2" t="s">
        <v>514</v>
      </c>
      <c r="D44" s="5" t="s">
        <v>515</v>
      </c>
      <c r="E44" s="5">
        <f>LEN(Table3[[#This Row],[NAME1]])</f>
        <v>7</v>
      </c>
      <c r="F44" s="5">
        <f>VLOOKUP(Table3[[#This Row],[NAME1]], [1]Sheet1!$1:$1048576, 4, 0)</f>
        <v>7</v>
      </c>
      <c r="G44" s="5">
        <f>VLOOKUP(Table3[[#This Row],[NAME1]], [1]Sheet1!$1:$1048576, 5, 9)</f>
        <v>3</v>
      </c>
      <c r="H44" s="9">
        <f>VLOOKUP(Table3[[#This Row],[NAME1]], [2]Sheet1!$1:$1048576, 2, 0)</f>
        <v>31.624002999999998</v>
      </c>
      <c r="I44" s="9">
        <f>VLOOKUP(Table3[[#This Row],[NAME1]], [2]Sheet1!$1:$1048576, 3, 0)</f>
        <v>1.5135369999999999</v>
      </c>
      <c r="J44" s="9">
        <v>0.195909271</v>
      </c>
      <c r="K44" s="9">
        <v>96.969696970000001</v>
      </c>
      <c r="L44" s="5">
        <v>99</v>
      </c>
      <c r="M44" s="5">
        <v>2</v>
      </c>
      <c r="N44" s="5">
        <v>0</v>
      </c>
      <c r="O44" s="5">
        <v>1</v>
      </c>
      <c r="P44" s="9">
        <v>2.85</v>
      </c>
    </row>
    <row r="45" spans="1:16" x14ac:dyDescent="0.3">
      <c r="A45" s="14">
        <v>67</v>
      </c>
      <c r="B45" s="5">
        <v>199</v>
      </c>
      <c r="C45" s="2" t="s">
        <v>257</v>
      </c>
      <c r="D45" s="5" t="s">
        <v>258</v>
      </c>
      <c r="E45" s="5">
        <f>LEN(Table3[[#This Row],[NAME1]])</f>
        <v>5</v>
      </c>
      <c r="F45" s="5">
        <f>VLOOKUP(Table3[[#This Row],[NAME1]], [1]Sheet1!$1:$1048576, 4, 0)</f>
        <v>5</v>
      </c>
      <c r="G45" s="5">
        <f>VLOOKUP(Table3[[#This Row],[NAME1]], [1]Sheet1!$1:$1048576, 5, 9)</f>
        <v>3</v>
      </c>
      <c r="H45" s="9">
        <f>VLOOKUP(Table3[[#This Row],[NAME1]], [2]Sheet1!$1:$1048576, 2, 0)</f>
        <v>8.3373259999999991</v>
      </c>
      <c r="I45" s="9">
        <f>VLOOKUP(Table3[[#This Row],[NAME1]], [2]Sheet1!$1:$1048576, 3, 0)</f>
        <v>0.97022299999999995</v>
      </c>
      <c r="J45" s="12">
        <v>0</v>
      </c>
      <c r="K45" s="12">
        <v>100</v>
      </c>
      <c r="L45" s="5">
        <v>100</v>
      </c>
      <c r="M45" s="5">
        <v>1</v>
      </c>
      <c r="N45" s="5">
        <v>0</v>
      </c>
      <c r="O45" s="5">
        <v>0</v>
      </c>
      <c r="P45" s="9">
        <v>2.3199999999999998</v>
      </c>
    </row>
    <row r="46" spans="1:16" x14ac:dyDescent="0.3">
      <c r="A46" s="14">
        <v>197</v>
      </c>
      <c r="B46" s="5">
        <v>540</v>
      </c>
      <c r="C46" s="2" t="s">
        <v>679</v>
      </c>
      <c r="D46" s="5" t="s">
        <v>680</v>
      </c>
      <c r="E46" s="5">
        <f>LEN(Table3[[#This Row],[NAME1]])</f>
        <v>4</v>
      </c>
      <c r="F46" s="5">
        <f>VLOOKUP(Table3[[#This Row],[NAME1]], [1]Sheet1!$1:$1048576, 4, 0)</f>
        <v>4</v>
      </c>
      <c r="G46" s="5">
        <f>VLOOKUP(Table3[[#This Row],[NAME1]], [1]Sheet1!$1:$1048576, 5, 9)</f>
        <v>3</v>
      </c>
      <c r="H46" s="9">
        <f>VLOOKUP(Table3[[#This Row],[NAME1]], [2]Sheet1!$1:$1048576, 2, 0)</f>
        <v>7.8921919999999997</v>
      </c>
      <c r="I46" s="9" t="str">
        <f>VLOOKUP(Table3[[#This Row],[NAME1]], [2]Sheet1!$1:$1048576, 3, 0)</f>
        <v>0.949009</v>
      </c>
      <c r="J46" s="9">
        <v>0.141440543</v>
      </c>
      <c r="K46" s="12">
        <v>98</v>
      </c>
      <c r="L46" s="5">
        <v>100</v>
      </c>
      <c r="M46" s="5">
        <v>2</v>
      </c>
      <c r="N46" s="5">
        <v>0</v>
      </c>
      <c r="O46" s="5">
        <v>0</v>
      </c>
      <c r="P46" s="9">
        <v>2.3199999999999998</v>
      </c>
    </row>
    <row r="47" spans="1:16" x14ac:dyDescent="0.3">
      <c r="A47" s="14">
        <v>118</v>
      </c>
      <c r="B47" s="5">
        <v>261</v>
      </c>
      <c r="C47" s="2" t="s">
        <v>325</v>
      </c>
      <c r="D47" s="5" t="s">
        <v>326</v>
      </c>
      <c r="E47" s="5">
        <f>LEN(Table3[[#This Row],[NAME1]])</f>
        <v>6</v>
      </c>
      <c r="F47" s="5">
        <f>VLOOKUP(Table3[[#This Row],[NAME1]], [1]Sheet1!$1:$1048576, 4, 0)</f>
        <v>6</v>
      </c>
      <c r="G47" s="5">
        <f>VLOOKUP(Table3[[#This Row],[NAME1]], [1]Sheet1!$1:$1048576, 5, 9)</f>
        <v>3</v>
      </c>
      <c r="H47" s="9">
        <f>VLOOKUP(Table3[[#This Row],[NAME1]], [2]Sheet1!$1:$1048576, 2, 0)</f>
        <v>0.51336599999999999</v>
      </c>
      <c r="I47" s="9" t="str">
        <f>VLOOKUP(Table3[[#This Row],[NAME1]], [2]Sheet1!$1:$1048576, 3, 0)</f>
        <v>0.179944</v>
      </c>
      <c r="J47" s="12">
        <v>0</v>
      </c>
      <c r="K47" s="12">
        <v>100</v>
      </c>
      <c r="L47" s="5">
        <v>98</v>
      </c>
      <c r="M47" s="5">
        <v>1</v>
      </c>
      <c r="N47" s="5">
        <v>0</v>
      </c>
      <c r="O47" s="5">
        <v>2</v>
      </c>
      <c r="P47" s="9">
        <v>1.94</v>
      </c>
    </row>
    <row r="48" spans="1:16" x14ac:dyDescent="0.3">
      <c r="A48" s="14">
        <v>123</v>
      </c>
      <c r="B48" s="5">
        <v>236</v>
      </c>
      <c r="C48" s="2" t="s">
        <v>297</v>
      </c>
      <c r="D48" s="5" t="s">
        <v>298</v>
      </c>
      <c r="E48" s="5">
        <f>LEN(Table3[[#This Row],[NAME1]])</f>
        <v>6</v>
      </c>
      <c r="F48" s="5">
        <f>VLOOKUP(Table3[[#This Row],[NAME1]], [1]Sheet1!$1:$1048576, 4, 0)</f>
        <v>6</v>
      </c>
      <c r="G48" s="5">
        <f>VLOOKUP(Table3[[#This Row],[NAME1]], [1]Sheet1!$1:$1048576, 5, 9)</f>
        <v>3</v>
      </c>
      <c r="H48" s="9">
        <f>VLOOKUP(Table3[[#This Row],[NAME1]], [2]Sheet1!$1:$1048576, 2, 0)</f>
        <v>0.659578</v>
      </c>
      <c r="I48" s="9" t="str">
        <f>VLOOKUP(Table3[[#This Row],[NAME1]], [2]Sheet1!$1:$1048576, 3, 0)</f>
        <v>0.219998</v>
      </c>
      <c r="J48" s="12">
        <v>0</v>
      </c>
      <c r="K48" s="12">
        <v>100</v>
      </c>
      <c r="L48" s="5">
        <v>100</v>
      </c>
      <c r="M48" s="5">
        <v>1</v>
      </c>
      <c r="N48" s="5">
        <v>0</v>
      </c>
      <c r="O48" s="5">
        <v>0</v>
      </c>
      <c r="P48" s="9">
        <v>3.02</v>
      </c>
    </row>
    <row r="49" spans="1:16" x14ac:dyDescent="0.3">
      <c r="A49" s="14">
        <v>15</v>
      </c>
      <c r="B49" s="5">
        <v>466</v>
      </c>
      <c r="C49" s="2" t="s">
        <v>579</v>
      </c>
      <c r="D49" s="5" t="s">
        <v>580</v>
      </c>
      <c r="E49" s="5">
        <f>LEN(Table3[[#This Row],[NAME1]])</f>
        <v>4</v>
      </c>
      <c r="F49" s="5">
        <f>VLOOKUP(Table3[[#This Row],[NAME1]], [1]Sheet1!$1:$1048576, 4, 0)</f>
        <v>4</v>
      </c>
      <c r="G49" s="5">
        <f>VLOOKUP(Table3[[#This Row],[NAME1]], [1]Sheet1!$1:$1048576, 5, 9)</f>
        <v>3</v>
      </c>
      <c r="H49" s="9">
        <f>VLOOKUP(Table3[[#This Row],[NAME1]], [2]Sheet1!$1:$1048576, 2, 0)</f>
        <v>82.119084999999998</v>
      </c>
      <c r="I49" s="9">
        <f>VLOOKUP(Table3[[#This Row],[NAME1]], [2]Sheet1!$1:$1048576, 3, 0)</f>
        <v>1.9197010000000001</v>
      </c>
      <c r="J49" s="12">
        <v>0</v>
      </c>
      <c r="K49" s="12">
        <v>100</v>
      </c>
      <c r="L49" s="5">
        <v>99</v>
      </c>
      <c r="M49" s="5">
        <v>1</v>
      </c>
      <c r="N49" s="5">
        <v>0</v>
      </c>
      <c r="O49" s="5">
        <v>1</v>
      </c>
      <c r="P49" s="9">
        <v>2.93</v>
      </c>
    </row>
    <row r="50" spans="1:16" x14ac:dyDescent="0.3">
      <c r="A50" s="14">
        <v>16</v>
      </c>
      <c r="B50" s="5">
        <v>125</v>
      </c>
      <c r="C50" s="2" t="s">
        <v>160</v>
      </c>
      <c r="D50" s="5" t="s">
        <v>161</v>
      </c>
      <c r="E50" s="5">
        <f>LEN(Table3[[#This Row],[NAME1]])</f>
        <v>4</v>
      </c>
      <c r="F50" s="5">
        <f>VLOOKUP(Table3[[#This Row],[NAME1]], [1]Sheet1!$1:$1048576, 4, 0)</f>
        <v>4</v>
      </c>
      <c r="G50" s="5">
        <f>VLOOKUP(Table3[[#This Row],[NAME1]], [1]Sheet1!$1:$1048576, 5, 9)</f>
        <v>3</v>
      </c>
      <c r="H50" s="9">
        <f>VLOOKUP(Table3[[#This Row],[NAME1]], [2]Sheet1!$1:$1048576, 2, 0)</f>
        <v>0.47112700000000002</v>
      </c>
      <c r="I50" s="9">
        <f>VLOOKUP(Table3[[#This Row],[NAME1]], [2]Sheet1!$1:$1048576, 3, 0)</f>
        <v>0.16764999999999999</v>
      </c>
      <c r="J50" s="12">
        <v>0</v>
      </c>
      <c r="K50" s="12">
        <v>100</v>
      </c>
      <c r="L50" s="5">
        <v>99</v>
      </c>
      <c r="M50" s="5">
        <v>1</v>
      </c>
      <c r="N50" s="5">
        <v>0</v>
      </c>
      <c r="O50" s="5">
        <v>1</v>
      </c>
      <c r="P50" s="9">
        <v>2.31</v>
      </c>
    </row>
    <row r="51" spans="1:16" x14ac:dyDescent="0.3">
      <c r="A51" s="14">
        <v>74</v>
      </c>
      <c r="B51" s="5">
        <v>601</v>
      </c>
      <c r="C51" s="2" t="s">
        <v>748</v>
      </c>
      <c r="D51" s="5" t="s">
        <v>749</v>
      </c>
      <c r="E51" s="5">
        <f>LEN(Table3[[#This Row],[NAME1]])</f>
        <v>5</v>
      </c>
      <c r="F51" s="5">
        <f>VLOOKUP(Table3[[#This Row],[NAME1]], [1]Sheet1!$1:$1048576, 4, 0)</f>
        <v>5</v>
      </c>
      <c r="G51" s="5">
        <f>VLOOKUP(Table3[[#This Row],[NAME1]], [1]Sheet1!$1:$1048576, 5, 9)</f>
        <v>3</v>
      </c>
      <c r="H51" s="9">
        <f>VLOOKUP(Table3[[#This Row],[NAME1]], [2]Sheet1!$1:$1048576, 2, 0)</f>
        <v>0.58159799999999995</v>
      </c>
      <c r="I51" s="9" t="str">
        <f>VLOOKUP(Table3[[#This Row],[NAME1]], [2]Sheet1!$1:$1048576, 3, 0)</f>
        <v>0.199096</v>
      </c>
      <c r="J51" s="12">
        <v>0</v>
      </c>
      <c r="K51" s="12">
        <v>100</v>
      </c>
      <c r="L51" s="5">
        <v>90</v>
      </c>
      <c r="M51" s="5">
        <v>1</v>
      </c>
      <c r="N51" s="5">
        <v>5</v>
      </c>
      <c r="O51" s="5">
        <v>5</v>
      </c>
      <c r="P51" s="9">
        <v>3.07</v>
      </c>
    </row>
    <row r="52" spans="1:16" x14ac:dyDescent="0.3">
      <c r="A52" s="14">
        <v>304</v>
      </c>
      <c r="B52" s="5">
        <v>513</v>
      </c>
      <c r="C52" s="2" t="s">
        <v>643</v>
      </c>
      <c r="D52" s="5" t="s">
        <v>644</v>
      </c>
      <c r="E52" s="5">
        <f>LEN(Table3[[#This Row],[NAME1]])</f>
        <v>6</v>
      </c>
      <c r="F52" s="5">
        <f>VLOOKUP(Table3[[#This Row],[NAME1]], [1]Sheet1!$1:$1048576, 4, 0)</f>
        <v>6</v>
      </c>
      <c r="G52" s="5">
        <f>VLOOKUP(Table3[[#This Row],[NAME1]], [1]Sheet1!$1:$1048576, 5, 9)</f>
        <v>3</v>
      </c>
      <c r="H52" s="9">
        <f>VLOOKUP(Table3[[#This Row],[NAME1]], [2]Sheet1!$1:$1048576, 2, 0)</f>
        <v>36.650441999999998</v>
      </c>
      <c r="I52" s="9">
        <f>VLOOKUP(Table3[[#This Row],[NAME1]], [2]Sheet1!$1:$1048576, 3, 0)</f>
        <v>1.5757699999999999</v>
      </c>
      <c r="J52" s="9">
        <v>0.40217919000000002</v>
      </c>
      <c r="K52" s="12">
        <v>92</v>
      </c>
      <c r="L52" s="5">
        <v>100</v>
      </c>
      <c r="M52" s="5">
        <v>2</v>
      </c>
      <c r="N52" s="5">
        <v>0</v>
      </c>
      <c r="O52" s="5">
        <v>0</v>
      </c>
      <c r="P52" s="9">
        <v>2.04</v>
      </c>
    </row>
    <row r="53" spans="1:16" x14ac:dyDescent="0.3">
      <c r="A53" s="14">
        <v>203</v>
      </c>
      <c r="B53" s="5">
        <v>631</v>
      </c>
      <c r="C53" s="2" t="s">
        <v>786</v>
      </c>
      <c r="D53" s="5" t="s">
        <v>787</v>
      </c>
      <c r="E53" s="5">
        <f>LEN(Table3[[#This Row],[NAME1]])</f>
        <v>6</v>
      </c>
      <c r="F53" s="5">
        <f>VLOOKUP(Table3[[#This Row],[NAME1]], [1]Sheet1!$1:$1048576, 4, 0)</f>
        <v>6</v>
      </c>
      <c r="G53" s="5">
        <f>VLOOKUP(Table3[[#This Row],[NAME1]], [1]Sheet1!$1:$1048576, 5, 9)</f>
        <v>3</v>
      </c>
      <c r="H53" s="9">
        <f>VLOOKUP(Table3[[#This Row],[NAME1]], [2]Sheet1!$1:$1048576, 2, 0)</f>
        <v>14.416491000000001</v>
      </c>
      <c r="I53" s="9">
        <f>VLOOKUP(Table3[[#This Row],[NAME1]], [2]Sheet1!$1:$1048576, 3, 0)</f>
        <v>1.187986</v>
      </c>
      <c r="J53" s="9">
        <v>0.141440543</v>
      </c>
      <c r="K53" s="12">
        <v>98</v>
      </c>
      <c r="L53" s="5">
        <v>100</v>
      </c>
      <c r="M53" s="5">
        <v>2</v>
      </c>
      <c r="N53" s="5">
        <v>0</v>
      </c>
      <c r="O53" s="5">
        <v>0</v>
      </c>
      <c r="P53" s="9">
        <v>2.52</v>
      </c>
    </row>
    <row r="54" spans="1:16" x14ac:dyDescent="0.3">
      <c r="A54" s="14">
        <v>175</v>
      </c>
      <c r="B54" s="5">
        <v>414</v>
      </c>
      <c r="C54" s="2" t="s">
        <v>516</v>
      </c>
      <c r="D54" s="5" t="s">
        <v>517</v>
      </c>
      <c r="E54" s="5">
        <f>LEN(Table3[[#This Row],[NAME1]])</f>
        <v>7</v>
      </c>
      <c r="F54" s="5">
        <f>VLOOKUP(Table3[[#This Row],[NAME1]], [1]Sheet1!$1:$1048576, 4, 0)</f>
        <v>7</v>
      </c>
      <c r="G54" s="5">
        <f>VLOOKUP(Table3[[#This Row],[NAME1]], [1]Sheet1!$1:$1048576, 5, 9)</f>
        <v>3</v>
      </c>
      <c r="H54" s="9">
        <f>VLOOKUP(Table3[[#This Row],[NAME1]], [2]Sheet1!$1:$1048576, 2, 0)</f>
        <v>9.1756069999999994</v>
      </c>
      <c r="I54" s="9">
        <f>VLOOKUP(Table3[[#This Row],[NAME1]], [2]Sheet1!$1:$1048576, 3, 0)</f>
        <v>1.00756</v>
      </c>
      <c r="J54" s="12">
        <v>0</v>
      </c>
      <c r="K54" s="12">
        <v>100</v>
      </c>
      <c r="L54" s="5">
        <v>99</v>
      </c>
      <c r="M54" s="5">
        <v>1</v>
      </c>
      <c r="N54" s="5">
        <v>0</v>
      </c>
      <c r="O54" s="5">
        <v>1</v>
      </c>
      <c r="P54" s="9">
        <v>1.91</v>
      </c>
    </row>
    <row r="55" spans="1:16" x14ac:dyDescent="0.3">
      <c r="A55" s="14">
        <v>227</v>
      </c>
      <c r="B55" s="5">
        <v>654</v>
      </c>
      <c r="C55" s="2" t="s">
        <v>812</v>
      </c>
      <c r="D55" s="5" t="s">
        <v>813</v>
      </c>
      <c r="E55" s="5">
        <f>LEN(Table3[[#This Row],[NAME1]])</f>
        <v>5</v>
      </c>
      <c r="F55" s="5">
        <f>VLOOKUP(Table3[[#This Row],[NAME1]], [1]Sheet1!$1:$1048576, 4, 0)</f>
        <v>5</v>
      </c>
      <c r="G55" s="5">
        <f>VLOOKUP(Table3[[#This Row],[NAME1]], [1]Sheet1!$1:$1048576, 5, 9)</f>
        <v>3</v>
      </c>
      <c r="H55" s="9">
        <f>VLOOKUP(Table3[[#This Row],[NAME1]], [2]Sheet1!$1:$1048576, 2, 0)</f>
        <v>5.4455799999999996</v>
      </c>
      <c r="I55" s="9" t="str">
        <f>VLOOKUP(Table3[[#This Row],[NAME1]], [2]Sheet1!$1:$1048576, 3, 0)</f>
        <v>0.809262</v>
      </c>
      <c r="J55" s="9">
        <v>0.194391858</v>
      </c>
      <c r="K55" s="12">
        <v>97</v>
      </c>
      <c r="L55" s="5">
        <v>100</v>
      </c>
      <c r="M55" s="5">
        <v>2</v>
      </c>
      <c r="N55" s="5">
        <v>0</v>
      </c>
      <c r="O55" s="5">
        <v>0</v>
      </c>
      <c r="P55" s="9">
        <v>1.83</v>
      </c>
    </row>
    <row r="56" spans="1:16" x14ac:dyDescent="0.3">
      <c r="A56" s="14">
        <v>278</v>
      </c>
      <c r="B56" s="5">
        <v>60</v>
      </c>
      <c r="C56" s="2" t="s">
        <v>74</v>
      </c>
      <c r="D56" s="5" t="s">
        <v>75</v>
      </c>
      <c r="E56" s="5">
        <f>LEN(Table3[[#This Row],[NAME1]])</f>
        <v>7</v>
      </c>
      <c r="F56" s="5">
        <f>VLOOKUP(Table3[[#This Row],[NAME1]], [1]Sheet1!$1:$1048576, 4, 0)</f>
        <v>7</v>
      </c>
      <c r="G56" s="5">
        <f>VLOOKUP(Table3[[#This Row],[NAME1]], [1]Sheet1!$1:$1048576, 5, 9)</f>
        <v>3</v>
      </c>
      <c r="H56" s="9">
        <f>VLOOKUP(Table3[[#This Row],[NAME1]], [2]Sheet1!$1:$1048576, 2, 0)</f>
        <v>0.87727100000000002</v>
      </c>
      <c r="I56" s="9" t="str">
        <f>VLOOKUP(Table3[[#This Row],[NAME1]], [2]Sheet1!$1:$1048576, 3, 0)</f>
        <v>0.273527</v>
      </c>
      <c r="J56" s="9">
        <v>0.36663735200000003</v>
      </c>
      <c r="K56" s="9">
        <v>94.382022469999995</v>
      </c>
      <c r="L56" s="5">
        <v>89</v>
      </c>
      <c r="M56" s="5">
        <v>3</v>
      </c>
      <c r="N56" s="5">
        <v>4</v>
      </c>
      <c r="O56" s="5">
        <v>7</v>
      </c>
      <c r="P56" s="9">
        <v>3.16</v>
      </c>
    </row>
    <row r="57" spans="1:16" x14ac:dyDescent="0.3">
      <c r="A57" s="14">
        <v>125</v>
      </c>
      <c r="B57" s="5">
        <v>95</v>
      </c>
      <c r="C57" s="2" t="s">
        <v>120</v>
      </c>
      <c r="D57" s="5" t="s">
        <v>121</v>
      </c>
      <c r="E57" s="5">
        <f>LEN(Table3[[#This Row],[NAME1]])</f>
        <v>6</v>
      </c>
      <c r="F57" s="5">
        <f>VLOOKUP(Table3[[#This Row],[NAME1]], [1]Sheet1!$1:$1048576, 4, 0)</f>
        <v>6</v>
      </c>
      <c r="G57" s="5">
        <f>VLOOKUP(Table3[[#This Row],[NAME1]], [1]Sheet1!$1:$1048576, 5, 9)</f>
        <v>3</v>
      </c>
      <c r="H57" s="9">
        <f>VLOOKUP(Table3[[#This Row],[NAME1]], [2]Sheet1!$1:$1048576, 2, 0)</f>
        <v>4.4220969999999999</v>
      </c>
      <c r="I57" s="9" t="str">
        <f>VLOOKUP(Table3[[#This Row],[NAME1]], [2]Sheet1!$1:$1048576, 3, 0)</f>
        <v>0.734167</v>
      </c>
      <c r="J57" s="12">
        <v>0</v>
      </c>
      <c r="K57" s="12">
        <v>100</v>
      </c>
      <c r="L57" s="5">
        <v>99</v>
      </c>
      <c r="M57" s="5">
        <v>1</v>
      </c>
      <c r="N57" s="5">
        <v>0</v>
      </c>
      <c r="O57" s="5">
        <v>1</v>
      </c>
      <c r="P57" s="9">
        <v>2.1</v>
      </c>
    </row>
    <row r="58" spans="1:16" x14ac:dyDescent="0.3">
      <c r="A58" s="14">
        <v>237</v>
      </c>
      <c r="B58" s="5">
        <v>158</v>
      </c>
      <c r="C58" s="2" t="s">
        <v>206</v>
      </c>
      <c r="D58" s="5" t="s">
        <v>207</v>
      </c>
      <c r="E58" s="5">
        <f>LEN(Table3[[#This Row],[NAME1]])</f>
        <v>5</v>
      </c>
      <c r="F58" s="5">
        <f>VLOOKUP(Table3[[#This Row],[NAME1]], [1]Sheet1!$1:$1048576, 4, 0)</f>
        <v>5</v>
      </c>
      <c r="G58" s="5">
        <f>VLOOKUP(Table3[[#This Row],[NAME1]], [1]Sheet1!$1:$1048576, 5, 9)</f>
        <v>3</v>
      </c>
      <c r="H58" s="9">
        <f>VLOOKUP(Table3[[#This Row],[NAME1]], [2]Sheet1!$1:$1048576, 2, 0)</f>
        <v>65.970796000000007</v>
      </c>
      <c r="I58" s="9">
        <f>VLOOKUP(Table3[[#This Row],[NAME1]], [2]Sheet1!$1:$1048576, 3, 0)</f>
        <v>1.825885</v>
      </c>
      <c r="J58" s="9">
        <v>0.19902377500000001</v>
      </c>
      <c r="K58" s="9">
        <v>96.907216489999996</v>
      </c>
      <c r="L58" s="5">
        <v>97</v>
      </c>
      <c r="M58" s="5">
        <v>2</v>
      </c>
      <c r="N58" s="5">
        <v>0</v>
      </c>
      <c r="O58" s="5">
        <v>3</v>
      </c>
      <c r="P58" s="9">
        <v>2.5099999999999998</v>
      </c>
    </row>
    <row r="59" spans="1:16" x14ac:dyDescent="0.3">
      <c r="A59" s="14">
        <v>243</v>
      </c>
      <c r="B59" s="5">
        <v>264</v>
      </c>
      <c r="C59" s="2" t="s">
        <v>329</v>
      </c>
      <c r="D59" s="5" t="s">
        <v>330</v>
      </c>
      <c r="E59" s="5">
        <f>LEN(Table3[[#This Row],[NAME1]])</f>
        <v>4</v>
      </c>
      <c r="F59" s="5">
        <f>VLOOKUP(Table3[[#This Row],[NAME1]], [1]Sheet1!$1:$1048576, 4, 0)</f>
        <v>4</v>
      </c>
      <c r="G59" s="5">
        <f>VLOOKUP(Table3[[#This Row],[NAME1]], [1]Sheet1!$1:$1048576, 5, 9)</f>
        <v>3</v>
      </c>
      <c r="H59" s="9">
        <f>VLOOKUP(Table3[[#This Row],[NAME1]], [2]Sheet1!$1:$1048576, 2, 0)</f>
        <v>234.31914499999999</v>
      </c>
      <c r="I59" s="9">
        <f>VLOOKUP(Table3[[#This Row],[NAME1]], [2]Sheet1!$1:$1048576, 3, 0)</f>
        <v>2.3716569999999999</v>
      </c>
      <c r="J59" s="9">
        <v>0.24229218899999999</v>
      </c>
      <c r="K59" s="12">
        <v>96</v>
      </c>
      <c r="L59" s="5">
        <v>100</v>
      </c>
      <c r="M59" s="5">
        <v>2</v>
      </c>
      <c r="N59" s="5">
        <v>0</v>
      </c>
      <c r="O59" s="5">
        <v>0</v>
      </c>
      <c r="P59" s="9">
        <v>2.17</v>
      </c>
    </row>
    <row r="60" spans="1:16" x14ac:dyDescent="0.3">
      <c r="A60" s="14">
        <v>177</v>
      </c>
      <c r="B60" s="5">
        <v>552</v>
      </c>
      <c r="C60" s="2" t="s">
        <v>695</v>
      </c>
      <c r="D60" s="5" t="s">
        <v>696</v>
      </c>
      <c r="E60" s="5">
        <f>LEN(Table3[[#This Row],[NAME1]])</f>
        <v>7</v>
      </c>
      <c r="F60" s="5">
        <f>VLOOKUP(Table3[[#This Row],[NAME1]], [1]Sheet1!$1:$1048576, 4, 0)</f>
        <v>7</v>
      </c>
      <c r="G60" s="5">
        <f>VLOOKUP(Table3[[#This Row],[NAME1]], [1]Sheet1!$1:$1048576, 5, 9)</f>
        <v>3</v>
      </c>
      <c r="H60" s="9">
        <f>VLOOKUP(Table3[[#This Row],[NAME1]], [2]Sheet1!$1:$1048576, 2, 0)</f>
        <v>8.1261310000000009</v>
      </c>
      <c r="I60" s="9" t="str">
        <f>VLOOKUP(Table3[[#This Row],[NAME1]], [2]Sheet1!$1:$1048576, 3, 0)</f>
        <v>0.960287</v>
      </c>
      <c r="J60" s="12">
        <v>0</v>
      </c>
      <c r="K60" s="12">
        <v>100</v>
      </c>
      <c r="L60" s="5">
        <v>100</v>
      </c>
      <c r="M60" s="5">
        <v>1</v>
      </c>
      <c r="N60" s="5">
        <v>0</v>
      </c>
      <c r="O60" s="5">
        <v>0</v>
      </c>
      <c r="P60" s="9">
        <v>2.13</v>
      </c>
    </row>
    <row r="61" spans="1:16" x14ac:dyDescent="0.3">
      <c r="A61" s="14">
        <v>126</v>
      </c>
      <c r="B61" s="5">
        <v>193</v>
      </c>
      <c r="C61" s="2" t="s">
        <v>251</v>
      </c>
      <c r="D61" s="5" t="s">
        <v>252</v>
      </c>
      <c r="E61" s="5">
        <f>LEN(Table3[[#This Row],[NAME1]])</f>
        <v>6</v>
      </c>
      <c r="F61" s="5">
        <f>VLOOKUP(Table3[[#This Row],[NAME1]], [1]Sheet1!$1:$1048576, 4, 0)</f>
        <v>6</v>
      </c>
      <c r="G61" s="5">
        <f>VLOOKUP(Table3[[#This Row],[NAME1]], [1]Sheet1!$1:$1048576, 5, 9)</f>
        <v>3</v>
      </c>
      <c r="H61" s="9">
        <f>VLOOKUP(Table3[[#This Row],[NAME1]], [2]Sheet1!$1:$1048576, 2, 0)</f>
        <v>1.822775</v>
      </c>
      <c r="I61" s="9" t="str">
        <f>VLOOKUP(Table3[[#This Row],[NAME1]], [2]Sheet1!$1:$1048576, 3, 0)</f>
        <v>0.450676</v>
      </c>
      <c r="J61" s="12">
        <v>0</v>
      </c>
      <c r="K61" s="12">
        <v>100</v>
      </c>
      <c r="L61" s="5">
        <v>95</v>
      </c>
      <c r="M61" s="5">
        <v>1</v>
      </c>
      <c r="N61" s="5">
        <v>3</v>
      </c>
      <c r="O61" s="5">
        <v>2</v>
      </c>
      <c r="P61" s="9">
        <v>2.61</v>
      </c>
    </row>
    <row r="62" spans="1:16" x14ac:dyDescent="0.3">
      <c r="A62" s="14">
        <v>77</v>
      </c>
      <c r="B62" s="5">
        <v>136</v>
      </c>
      <c r="C62" s="2" t="s">
        <v>174</v>
      </c>
      <c r="D62" s="5" t="s">
        <v>175</v>
      </c>
      <c r="E62" s="5">
        <f>LEN(Table3[[#This Row],[NAME1]])</f>
        <v>5</v>
      </c>
      <c r="F62" s="5">
        <f>VLOOKUP(Table3[[#This Row],[NAME1]], [1]Sheet1!$1:$1048576, 4, 0)</f>
        <v>5</v>
      </c>
      <c r="G62" s="5">
        <f>VLOOKUP(Table3[[#This Row],[NAME1]], [1]Sheet1!$1:$1048576, 5, 9)</f>
        <v>3</v>
      </c>
      <c r="H62" s="9">
        <f>VLOOKUP(Table3[[#This Row],[NAME1]], [2]Sheet1!$1:$1048576, 2, 0)</f>
        <v>1.6343240000000001</v>
      </c>
      <c r="I62" s="9" t="str">
        <f>VLOOKUP(Table3[[#This Row],[NAME1]], [2]Sheet1!$1:$1048576, 3, 0)</f>
        <v>0.420669</v>
      </c>
      <c r="J62" s="12">
        <v>0</v>
      </c>
      <c r="K62" s="12">
        <v>100</v>
      </c>
      <c r="L62" s="5">
        <v>100</v>
      </c>
      <c r="M62" s="5">
        <v>1</v>
      </c>
      <c r="N62" s="5">
        <v>0</v>
      </c>
      <c r="O62" s="5">
        <v>0</v>
      </c>
      <c r="P62" s="9">
        <v>2.5499999999999998</v>
      </c>
    </row>
    <row r="63" spans="1:16" x14ac:dyDescent="0.3">
      <c r="A63" s="14">
        <v>266</v>
      </c>
      <c r="B63" s="5">
        <v>110</v>
      </c>
      <c r="C63" s="2" t="s">
        <v>140</v>
      </c>
      <c r="D63" s="5" t="s">
        <v>141</v>
      </c>
      <c r="E63" s="5">
        <f>LEN(Table3[[#This Row],[NAME1]])</f>
        <v>4</v>
      </c>
      <c r="F63" s="5">
        <f>VLOOKUP(Table3[[#This Row],[NAME1]], [1]Sheet1!$1:$1048576, 4, 0)</f>
        <v>4</v>
      </c>
      <c r="G63" s="5">
        <f>VLOOKUP(Table3[[#This Row],[NAME1]], [1]Sheet1!$1:$1048576, 5, 9)</f>
        <v>3</v>
      </c>
      <c r="H63" s="9">
        <f>VLOOKUP(Table3[[#This Row],[NAME1]], [2]Sheet1!$1:$1048576, 2, 0)</f>
        <v>100.24610800000001</v>
      </c>
      <c r="I63" s="9">
        <f>VLOOKUP(Table3[[#This Row],[NAME1]], [2]Sheet1!$1:$1048576, 3, 0)</f>
        <v>2.0053779999999999</v>
      </c>
      <c r="J63" s="9">
        <v>0.28853851400000002</v>
      </c>
      <c r="K63" s="9">
        <v>94.949494950000002</v>
      </c>
      <c r="L63" s="5">
        <v>99</v>
      </c>
      <c r="M63" s="5">
        <v>2</v>
      </c>
      <c r="N63" s="5">
        <v>0</v>
      </c>
      <c r="O63" s="5">
        <v>1</v>
      </c>
      <c r="P63" s="9">
        <v>1.79</v>
      </c>
    </row>
    <row r="64" spans="1:16" x14ac:dyDescent="0.3">
      <c r="A64" s="14">
        <v>20</v>
      </c>
      <c r="B64" s="5">
        <v>610</v>
      </c>
      <c r="C64" s="2" t="s">
        <v>760</v>
      </c>
      <c r="D64" s="5" t="s">
        <v>761</v>
      </c>
      <c r="E64" s="5">
        <f>LEN(Table3[[#This Row],[NAME1]])</f>
        <v>4</v>
      </c>
      <c r="F64" s="5">
        <f>VLOOKUP(Table3[[#This Row],[NAME1]], [1]Sheet1!$1:$1048576, 4, 0)</f>
        <v>4</v>
      </c>
      <c r="G64" s="5">
        <f>VLOOKUP(Table3[[#This Row],[NAME1]], [1]Sheet1!$1:$1048576, 5, 9)</f>
        <v>3</v>
      </c>
      <c r="H64" s="9">
        <f>VLOOKUP(Table3[[#This Row],[NAME1]], [2]Sheet1!$1:$1048576, 2, 0)</f>
        <v>16.629162999999998</v>
      </c>
      <c r="I64" s="9">
        <f>VLOOKUP(Table3[[#This Row],[NAME1]], [2]Sheet1!$1:$1048576, 3, 0)</f>
        <v>1.246232</v>
      </c>
      <c r="J64" s="12">
        <v>0</v>
      </c>
      <c r="K64" s="12">
        <v>100</v>
      </c>
      <c r="L64" s="5">
        <v>100</v>
      </c>
      <c r="M64" s="5">
        <v>1</v>
      </c>
      <c r="N64" s="5">
        <v>0</v>
      </c>
      <c r="O64" s="5">
        <v>0</v>
      </c>
      <c r="P64" s="9">
        <v>2.3838383840000001</v>
      </c>
    </row>
    <row r="65" spans="1:16" x14ac:dyDescent="0.3">
      <c r="A65" s="14">
        <v>271</v>
      </c>
      <c r="B65" s="5">
        <v>303</v>
      </c>
      <c r="C65" s="2" t="s">
        <v>387</v>
      </c>
      <c r="D65" s="5" t="s">
        <v>388</v>
      </c>
      <c r="E65" s="5">
        <f>LEN(Table3[[#This Row],[NAME1]])</f>
        <v>4</v>
      </c>
      <c r="F65" s="5">
        <f>VLOOKUP(Table3[[#This Row],[NAME1]], [1]Sheet1!$1:$1048576, 4, 0)</f>
        <v>4</v>
      </c>
      <c r="G65" s="5">
        <f>VLOOKUP(Table3[[#This Row],[NAME1]], [1]Sheet1!$1:$1048576, 5, 9)</f>
        <v>3</v>
      </c>
      <c r="H65" s="9">
        <f>VLOOKUP(Table3[[#This Row],[NAME1]], [2]Sheet1!$1:$1048576, 2, 0)</f>
        <v>1.929997</v>
      </c>
      <c r="I65" s="9" t="str">
        <f>VLOOKUP(Table3[[#This Row],[NAME1]], [2]Sheet1!$1:$1048576, 3, 0)</f>
        <v>0.466867</v>
      </c>
      <c r="J65" s="9">
        <v>0.29292995100000002</v>
      </c>
      <c r="K65" s="9">
        <v>94.845360819999996</v>
      </c>
      <c r="L65" s="5">
        <v>97</v>
      </c>
      <c r="M65" s="5">
        <v>2</v>
      </c>
      <c r="N65" s="5">
        <v>1</v>
      </c>
      <c r="O65" s="5">
        <v>2</v>
      </c>
      <c r="P65" s="9">
        <v>2.96</v>
      </c>
    </row>
    <row r="66" spans="1:16" x14ac:dyDescent="0.3">
      <c r="A66" s="14">
        <v>127</v>
      </c>
      <c r="B66" s="5">
        <v>31</v>
      </c>
      <c r="C66" s="2" t="s">
        <v>37</v>
      </c>
      <c r="D66" s="5" t="s">
        <v>38</v>
      </c>
      <c r="E66" s="5">
        <f>LEN(Table3[[#This Row],[NAME1]])</f>
        <v>6</v>
      </c>
      <c r="F66" s="5">
        <f>VLOOKUP(Table3[[#This Row],[NAME1]], [1]Sheet1!$1:$1048576, 4, 0)</f>
        <v>6</v>
      </c>
      <c r="G66" s="5">
        <f>VLOOKUP(Table3[[#This Row],[NAME1]], [1]Sheet1!$1:$1048576, 5, 9)</f>
        <v>3</v>
      </c>
      <c r="H66" s="9">
        <f>VLOOKUP(Table3[[#This Row],[NAME1]], [2]Sheet1!$1:$1048576, 2, 0)</f>
        <v>5.8094849999999996</v>
      </c>
      <c r="I66" s="9" t="str">
        <f>VLOOKUP(Table3[[#This Row],[NAME1]], [2]Sheet1!$1:$1048576, 3, 0)</f>
        <v>0.833114</v>
      </c>
      <c r="J66" s="12">
        <v>0</v>
      </c>
      <c r="K66" s="12">
        <v>100</v>
      </c>
      <c r="L66" s="5">
        <v>94</v>
      </c>
      <c r="M66" s="5">
        <v>1</v>
      </c>
      <c r="N66" s="5">
        <v>2</v>
      </c>
      <c r="O66" s="5">
        <v>4</v>
      </c>
      <c r="P66" s="9">
        <v>3.32</v>
      </c>
    </row>
    <row r="67" spans="1:16" x14ac:dyDescent="0.3">
      <c r="A67" s="14">
        <v>128</v>
      </c>
      <c r="B67" s="5">
        <v>675</v>
      </c>
      <c r="C67" s="2" t="s">
        <v>834</v>
      </c>
      <c r="D67" s="5" t="s">
        <v>835</v>
      </c>
      <c r="E67" s="5">
        <f>LEN(Table3[[#This Row],[NAME1]])</f>
        <v>6</v>
      </c>
      <c r="F67" s="5">
        <f>VLOOKUP(Table3[[#This Row],[NAME1]], [1]Sheet1!$1:$1048576, 4, 0)</f>
        <v>6</v>
      </c>
      <c r="G67" s="5">
        <f>VLOOKUP(Table3[[#This Row],[NAME1]], [1]Sheet1!$1:$1048576, 5, 9)</f>
        <v>3</v>
      </c>
      <c r="H67" s="9">
        <f>VLOOKUP(Table3[[#This Row],[NAME1]], [2]Sheet1!$1:$1048576, 2, 0)</f>
        <v>9.6109939999999998</v>
      </c>
      <c r="I67" s="9">
        <f>VLOOKUP(Table3[[#This Row],[NAME1]], [2]Sheet1!$1:$1048576, 3, 0)</f>
        <v>1.0257559999999999</v>
      </c>
      <c r="J67" s="12">
        <v>0</v>
      </c>
      <c r="K67" s="12">
        <v>100</v>
      </c>
      <c r="L67" s="5">
        <v>100</v>
      </c>
      <c r="M67" s="5">
        <v>1</v>
      </c>
      <c r="N67" s="5">
        <v>0</v>
      </c>
      <c r="O67" s="5">
        <v>0</v>
      </c>
      <c r="P67" s="9">
        <v>2.64</v>
      </c>
    </row>
    <row r="68" spans="1:16" x14ac:dyDescent="0.3">
      <c r="A68" s="14">
        <v>129</v>
      </c>
      <c r="B68" s="5">
        <v>383</v>
      </c>
      <c r="C68" s="2" t="s">
        <v>478</v>
      </c>
      <c r="D68" s="5" t="s">
        <v>479</v>
      </c>
      <c r="E68" s="5">
        <f>LEN(Table3[[#This Row],[NAME1]])</f>
        <v>6</v>
      </c>
      <c r="F68" s="5">
        <f>VLOOKUP(Table3[[#This Row],[NAME1]], [1]Sheet1!$1:$1048576, 4, 0)</f>
        <v>6</v>
      </c>
      <c r="G68" s="5">
        <f>VLOOKUP(Table3[[#This Row],[NAME1]], [1]Sheet1!$1:$1048576, 5, 9)</f>
        <v>3</v>
      </c>
      <c r="H68" s="9">
        <f>VLOOKUP(Table3[[#This Row],[NAME1]], [2]Sheet1!$1:$1048576, 2, 0)</f>
        <v>46.768304000000001</v>
      </c>
      <c r="I68" s="9">
        <f>VLOOKUP(Table3[[#This Row],[NAME1]], [2]Sheet1!$1:$1048576, 3, 0)</f>
        <v>1.6791400000000001</v>
      </c>
      <c r="J68" s="12">
        <v>0</v>
      </c>
      <c r="K68" s="12">
        <v>100</v>
      </c>
      <c r="L68" s="5">
        <v>100</v>
      </c>
      <c r="M68" s="5">
        <v>1</v>
      </c>
      <c r="N68" s="5">
        <v>0</v>
      </c>
      <c r="O68" s="5">
        <v>0</v>
      </c>
      <c r="P68" s="9">
        <v>2.2599999999999998</v>
      </c>
    </row>
    <row r="69" spans="1:16" x14ac:dyDescent="0.3">
      <c r="A69" s="14">
        <v>232</v>
      </c>
      <c r="B69" s="5">
        <v>462</v>
      </c>
      <c r="C69" s="2" t="s">
        <v>573</v>
      </c>
      <c r="D69" s="5" t="s">
        <v>574</v>
      </c>
      <c r="E69" s="5">
        <f>LEN(Table3[[#This Row],[NAME1]])</f>
        <v>5</v>
      </c>
      <c r="F69" s="5">
        <f>VLOOKUP(Table3[[#This Row],[NAME1]], [1]Sheet1!$1:$1048576, 4, 0)</f>
        <v>5</v>
      </c>
      <c r="G69" s="5">
        <f>VLOOKUP(Table3[[#This Row],[NAME1]], [1]Sheet1!$1:$1048576, 5, 9)</f>
        <v>3</v>
      </c>
      <c r="H69" s="9">
        <f>VLOOKUP(Table3[[#This Row],[NAME1]], [2]Sheet1!$1:$1048576, 2, 0)</f>
        <v>8.4867869999999996</v>
      </c>
      <c r="I69" s="9" t="str">
        <f>VLOOKUP(Table3[[#This Row],[NAME1]], [2]Sheet1!$1:$1048576, 3, 0)</f>
        <v>0.977119</v>
      </c>
      <c r="J69" s="9">
        <v>0.195909271</v>
      </c>
      <c r="K69" s="9">
        <v>96.969696970000001</v>
      </c>
      <c r="L69" s="5">
        <v>99</v>
      </c>
      <c r="M69" s="5">
        <v>2</v>
      </c>
      <c r="N69" s="5">
        <v>0</v>
      </c>
      <c r="O69" s="5">
        <v>1</v>
      </c>
      <c r="P69" s="9">
        <v>3.05</v>
      </c>
    </row>
    <row r="70" spans="1:16" x14ac:dyDescent="0.3">
      <c r="A70" s="14">
        <v>78</v>
      </c>
      <c r="B70" s="5">
        <v>186</v>
      </c>
      <c r="C70" s="2" t="s">
        <v>240</v>
      </c>
      <c r="D70" s="5" t="s">
        <v>241</v>
      </c>
      <c r="E70" s="5">
        <f>LEN(Table3[[#This Row],[NAME1]])</f>
        <v>5</v>
      </c>
      <c r="F70" s="5">
        <f>VLOOKUP(Table3[[#This Row],[NAME1]], [1]Sheet1!$1:$1048576, 4, 0)</f>
        <v>5</v>
      </c>
      <c r="G70" s="5">
        <f>VLOOKUP(Table3[[#This Row],[NAME1]], [1]Sheet1!$1:$1048576, 5, 9)</f>
        <v>3</v>
      </c>
      <c r="H70" s="9">
        <f>VLOOKUP(Table3[[#This Row],[NAME1]], [2]Sheet1!$1:$1048576, 2, 0)</f>
        <v>49.299393999999999</v>
      </c>
      <c r="I70" s="9">
        <f>VLOOKUP(Table3[[#This Row],[NAME1]], [2]Sheet1!$1:$1048576, 3, 0)</f>
        <v>1.7015629999999999</v>
      </c>
      <c r="J70" s="12">
        <v>0</v>
      </c>
      <c r="K70" s="12">
        <v>100</v>
      </c>
      <c r="L70" s="5">
        <v>84</v>
      </c>
      <c r="M70" s="5">
        <v>1</v>
      </c>
      <c r="N70" s="5">
        <v>13</v>
      </c>
      <c r="O70" s="5">
        <v>3</v>
      </c>
      <c r="P70" s="9">
        <v>3.78</v>
      </c>
    </row>
    <row r="71" spans="1:16" x14ac:dyDescent="0.3">
      <c r="A71" s="14">
        <v>130</v>
      </c>
      <c r="B71" s="5">
        <v>88</v>
      </c>
      <c r="C71" s="2" t="s">
        <v>110</v>
      </c>
      <c r="D71" s="5" t="s">
        <v>111</v>
      </c>
      <c r="E71" s="5">
        <f>LEN(Table3[[#This Row],[NAME1]])</f>
        <v>6</v>
      </c>
      <c r="F71" s="5">
        <f>VLOOKUP(Table3[[#This Row],[NAME1]], [1]Sheet1!$1:$1048576, 4, 0)</f>
        <v>6</v>
      </c>
      <c r="G71" s="5">
        <f>VLOOKUP(Table3[[#This Row],[NAME1]], [1]Sheet1!$1:$1048576, 5, 9)</f>
        <v>3</v>
      </c>
      <c r="H71" s="9">
        <f>VLOOKUP(Table3[[#This Row],[NAME1]], [2]Sheet1!$1:$1048576, 2, 0)</f>
        <v>3.3043879999999999</v>
      </c>
      <c r="I71" s="9" t="str">
        <f>VLOOKUP(Table3[[#This Row],[NAME1]], [2]Sheet1!$1:$1048576, 3, 0)</f>
        <v>0.633911</v>
      </c>
      <c r="J71" s="12">
        <v>0</v>
      </c>
      <c r="K71" s="12">
        <v>100</v>
      </c>
      <c r="L71" s="5">
        <v>100</v>
      </c>
      <c r="M71" s="5">
        <v>1</v>
      </c>
      <c r="N71" s="5">
        <v>0</v>
      </c>
      <c r="O71" s="5">
        <v>0</v>
      </c>
      <c r="P71" s="9">
        <v>1.65</v>
      </c>
    </row>
    <row r="72" spans="1:16" x14ac:dyDescent="0.3">
      <c r="A72" s="14">
        <v>324</v>
      </c>
      <c r="B72" s="5">
        <v>128</v>
      </c>
      <c r="C72" s="2" t="s">
        <v>164</v>
      </c>
      <c r="D72" s="5" t="s">
        <v>165</v>
      </c>
      <c r="E72" s="5">
        <f>LEN(Table3[[#This Row],[NAME1]])</f>
        <v>6</v>
      </c>
      <c r="F72" s="5">
        <f>VLOOKUP(Table3[[#This Row],[NAME1]], [1]Sheet1!$1:$1048576, 4, 0)</f>
        <v>6</v>
      </c>
      <c r="G72" s="5">
        <f>VLOOKUP(Table3[[#This Row],[NAME1]], [1]Sheet1!$1:$1048576, 5, 9)</f>
        <v>3</v>
      </c>
      <c r="H72" s="9">
        <f>VLOOKUP(Table3[[#This Row],[NAME1]], [2]Sheet1!$1:$1048576, 2, 0)</f>
        <v>7.0961489999999996</v>
      </c>
      <c r="I72" s="9" t="str">
        <f>VLOOKUP(Table3[[#This Row],[NAME1]], [2]Sheet1!$1:$1048576, 3, 0)</f>
        <v>0.908279</v>
      </c>
      <c r="J72" s="9">
        <v>0.46899559400000002</v>
      </c>
      <c r="K72" s="12">
        <v>90</v>
      </c>
      <c r="L72" s="5">
        <v>100</v>
      </c>
      <c r="M72" s="5">
        <v>2</v>
      </c>
      <c r="N72" s="5">
        <v>0</v>
      </c>
      <c r="O72" s="5">
        <v>0</v>
      </c>
      <c r="P72" s="9">
        <v>2.59</v>
      </c>
    </row>
    <row r="73" spans="1:16" x14ac:dyDescent="0.3">
      <c r="A73" s="14">
        <v>181</v>
      </c>
      <c r="B73" s="5">
        <v>709</v>
      </c>
      <c r="C73" s="2" t="s">
        <v>875</v>
      </c>
      <c r="D73" s="5" t="s">
        <v>876</v>
      </c>
      <c r="E73" s="5">
        <f>LEN(Table3[[#This Row],[NAME1]])</f>
        <v>7</v>
      </c>
      <c r="F73" s="5">
        <f>VLOOKUP(Table3[[#This Row],[NAME1]], [1]Sheet1!$1:$1048576, 4, 0)</f>
        <v>7</v>
      </c>
      <c r="G73" s="5">
        <f>VLOOKUP(Table3[[#This Row],[NAME1]], [1]Sheet1!$1:$1048576, 5, 9)</f>
        <v>3</v>
      </c>
      <c r="H73" s="9">
        <f>VLOOKUP(Table3[[#This Row],[NAME1]], [2]Sheet1!$1:$1048576, 2, 0)</f>
        <v>1.6960580000000001</v>
      </c>
      <c r="I73" s="9" t="str">
        <f>VLOOKUP(Table3[[#This Row],[NAME1]], [2]Sheet1!$1:$1048576, 3, 0)</f>
        <v>0.430729</v>
      </c>
      <c r="J73" s="12">
        <v>0</v>
      </c>
      <c r="K73" s="12">
        <v>100</v>
      </c>
      <c r="L73" s="5">
        <v>99</v>
      </c>
      <c r="M73" s="5">
        <v>1</v>
      </c>
      <c r="N73" s="5">
        <v>0</v>
      </c>
      <c r="O73" s="5">
        <v>1</v>
      </c>
      <c r="P73" s="9">
        <v>2.8080808080000002</v>
      </c>
    </row>
    <row r="74" spans="1:16" x14ac:dyDescent="0.3">
      <c r="A74" s="14">
        <v>182</v>
      </c>
      <c r="B74" s="5">
        <v>695</v>
      </c>
      <c r="C74" s="2" t="s">
        <v>861</v>
      </c>
      <c r="D74" s="5" t="s">
        <v>862</v>
      </c>
      <c r="E74" s="5">
        <f>LEN(Table3[[#This Row],[NAME1]])</f>
        <v>7</v>
      </c>
      <c r="F74" s="5">
        <f>VLOOKUP(Table3[[#This Row],[NAME1]], [1]Sheet1!$1:$1048576, 4, 0)</f>
        <v>7</v>
      </c>
      <c r="G74" s="5">
        <f>VLOOKUP(Table3[[#This Row],[NAME1]], [1]Sheet1!$1:$1048576, 5, 9)</f>
        <v>3</v>
      </c>
      <c r="H74" s="9">
        <f>VLOOKUP(Table3[[#This Row],[NAME1]], [2]Sheet1!$1:$1048576, 2, 0)</f>
        <v>14.959099</v>
      </c>
      <c r="I74" s="9">
        <f>VLOOKUP(Table3[[#This Row],[NAME1]], [2]Sheet1!$1:$1048576, 3, 0)</f>
        <v>1.2030080000000001</v>
      </c>
      <c r="J74" s="12">
        <v>0</v>
      </c>
      <c r="K74" s="12">
        <v>100</v>
      </c>
      <c r="L74" s="5">
        <v>100</v>
      </c>
      <c r="M74" s="5">
        <v>1</v>
      </c>
      <c r="N74" s="5">
        <v>0</v>
      </c>
      <c r="O74" s="5">
        <v>0</v>
      </c>
      <c r="P74" s="9">
        <v>2.17</v>
      </c>
    </row>
    <row r="75" spans="1:16" x14ac:dyDescent="0.3">
      <c r="A75" s="14">
        <v>79</v>
      </c>
      <c r="B75" s="5">
        <v>100</v>
      </c>
      <c r="C75" s="2" t="s">
        <v>128</v>
      </c>
      <c r="D75" s="5" t="s">
        <v>129</v>
      </c>
      <c r="E75" s="5">
        <f>LEN(Table3[[#This Row],[NAME1]])</f>
        <v>5</v>
      </c>
      <c r="F75" s="5">
        <f>VLOOKUP(Table3[[#This Row],[NAME1]], [1]Sheet1!$1:$1048576, 4, 0)</f>
        <v>5</v>
      </c>
      <c r="G75" s="5">
        <f>VLOOKUP(Table3[[#This Row],[NAME1]], [1]Sheet1!$1:$1048576, 5, 9)</f>
        <v>3</v>
      </c>
      <c r="H75" s="9">
        <f>VLOOKUP(Table3[[#This Row],[NAME1]], [2]Sheet1!$1:$1048576, 2, 0)</f>
        <v>20.281210999999999</v>
      </c>
      <c r="I75" s="9">
        <f>VLOOKUP(Table3[[#This Row],[NAME1]], [2]Sheet1!$1:$1048576, 3, 0)</f>
        <v>1.327996</v>
      </c>
      <c r="J75" s="12">
        <v>0</v>
      </c>
      <c r="K75" s="12">
        <v>100</v>
      </c>
      <c r="L75" s="5">
        <v>100</v>
      </c>
      <c r="M75" s="5">
        <v>1</v>
      </c>
      <c r="N75" s="5">
        <v>0</v>
      </c>
      <c r="O75" s="5">
        <v>0</v>
      </c>
      <c r="P75" s="9">
        <v>1.61</v>
      </c>
    </row>
    <row r="76" spans="1:16" x14ac:dyDescent="0.3">
      <c r="A76" s="14">
        <v>307</v>
      </c>
      <c r="B76" s="5">
        <v>465</v>
      </c>
      <c r="C76" s="2" t="s">
        <v>577</v>
      </c>
      <c r="D76" s="5" t="s">
        <v>578</v>
      </c>
      <c r="E76" s="5">
        <f>LEN(Table3[[#This Row],[NAME1]])</f>
        <v>6</v>
      </c>
      <c r="F76" s="5">
        <f>VLOOKUP(Table3[[#This Row],[NAME1]], [1]Sheet1!$1:$1048576, 4, 0)</f>
        <v>6</v>
      </c>
      <c r="G76" s="5">
        <f>VLOOKUP(Table3[[#This Row],[NAME1]], [1]Sheet1!$1:$1048576, 5, 9)</f>
        <v>3</v>
      </c>
      <c r="H76" s="9">
        <f>VLOOKUP(Table3[[#This Row],[NAME1]], [2]Sheet1!$1:$1048576, 2, 0)</f>
        <v>4.0192019999999999</v>
      </c>
      <c r="I76" s="9" t="str">
        <f>VLOOKUP(Table3[[#This Row],[NAME1]], [2]Sheet1!$1:$1048576, 3, 0)</f>
        <v>0.700635</v>
      </c>
      <c r="J76" s="9">
        <v>0.405020133</v>
      </c>
      <c r="K76" s="9">
        <v>91.919191920000003</v>
      </c>
      <c r="L76" s="5">
        <v>99</v>
      </c>
      <c r="M76" s="5">
        <v>2</v>
      </c>
      <c r="N76" s="5">
        <v>1</v>
      </c>
      <c r="O76" s="5">
        <v>0</v>
      </c>
      <c r="P76" s="9">
        <v>2.02</v>
      </c>
    </row>
    <row r="77" spans="1:16" x14ac:dyDescent="0.3">
      <c r="A77" s="14">
        <v>21</v>
      </c>
      <c r="B77" s="5">
        <v>445</v>
      </c>
      <c r="C77" s="2" t="s">
        <v>547</v>
      </c>
      <c r="D77" s="5" t="s">
        <v>548</v>
      </c>
      <c r="E77" s="5">
        <f>LEN(Table3[[#This Row],[NAME1]])</f>
        <v>4</v>
      </c>
      <c r="F77" s="5">
        <f>VLOOKUP(Table3[[#This Row],[NAME1]], [1]Sheet1!$1:$1048576, 4, 0)</f>
        <v>4</v>
      </c>
      <c r="G77" s="5">
        <f>VLOOKUP(Table3[[#This Row],[NAME1]], [1]Sheet1!$1:$1048576, 5, 9)</f>
        <v>3</v>
      </c>
      <c r="H77" s="9">
        <f>VLOOKUP(Table3[[#This Row],[NAME1]], [2]Sheet1!$1:$1048576, 2, 0)</f>
        <v>18.253740000000001</v>
      </c>
      <c r="I77" s="9">
        <f>VLOOKUP(Table3[[#This Row],[NAME1]], [2]Sheet1!$1:$1048576, 3, 0)</f>
        <v>1.2845150000000001</v>
      </c>
      <c r="J77" s="12">
        <v>0</v>
      </c>
      <c r="K77" s="12">
        <v>100</v>
      </c>
      <c r="L77" s="5">
        <v>99</v>
      </c>
      <c r="M77" s="5">
        <v>1</v>
      </c>
      <c r="N77" s="5">
        <v>1</v>
      </c>
      <c r="O77" s="5">
        <v>0</v>
      </c>
      <c r="P77" s="9">
        <v>2.63</v>
      </c>
    </row>
    <row r="78" spans="1:16" x14ac:dyDescent="0.3">
      <c r="A78" s="14">
        <v>22</v>
      </c>
      <c r="B78" s="5">
        <v>436</v>
      </c>
      <c r="C78" s="2" t="s">
        <v>533</v>
      </c>
      <c r="D78" s="5" t="s">
        <v>534</v>
      </c>
      <c r="E78" s="5">
        <f>LEN(Table3[[#This Row],[NAME1]])</f>
        <v>4</v>
      </c>
      <c r="F78" s="5">
        <f>VLOOKUP(Table3[[#This Row],[NAME1]], [1]Sheet1!$1:$1048576, 4, 0)</f>
        <v>4</v>
      </c>
      <c r="G78" s="5">
        <f>VLOOKUP(Table3[[#This Row],[NAME1]], [1]Sheet1!$1:$1048576, 5, 9)</f>
        <v>3</v>
      </c>
      <c r="H78" s="9">
        <f>VLOOKUP(Table3[[#This Row],[NAME1]], [2]Sheet1!$1:$1048576, 2, 0)</f>
        <v>38.005338999999999</v>
      </c>
      <c r="I78" s="9">
        <f>VLOOKUP(Table3[[#This Row],[NAME1]], [2]Sheet1!$1:$1048576, 3, 0)</f>
        <v>1.591124</v>
      </c>
      <c r="J78" s="12">
        <v>0</v>
      </c>
      <c r="K78" s="12">
        <v>100</v>
      </c>
      <c r="L78" s="5">
        <v>98</v>
      </c>
      <c r="M78" s="5">
        <v>1</v>
      </c>
      <c r="N78" s="5">
        <v>0</v>
      </c>
      <c r="O78" s="5">
        <v>2</v>
      </c>
      <c r="P78" s="9">
        <v>2.54</v>
      </c>
    </row>
    <row r="79" spans="1:16" x14ac:dyDescent="0.3">
      <c r="A79" s="14">
        <v>23</v>
      </c>
      <c r="B79" s="5">
        <v>499</v>
      </c>
      <c r="C79" s="2" t="s">
        <v>619</v>
      </c>
      <c r="D79" s="5" t="s">
        <v>620</v>
      </c>
      <c r="E79" s="5">
        <f>LEN(Table3[[#This Row],[NAME1]])</f>
        <v>4</v>
      </c>
      <c r="F79" s="5">
        <f>VLOOKUP(Table3[[#This Row],[NAME1]], [1]Sheet1!$1:$1048576, 4, 0)</f>
        <v>4</v>
      </c>
      <c r="G79" s="5">
        <f>VLOOKUP(Table3[[#This Row],[NAME1]], [1]Sheet1!$1:$1048576, 5, 9)</f>
        <v>3</v>
      </c>
      <c r="H79" s="9">
        <f>VLOOKUP(Table3[[#This Row],[NAME1]], [2]Sheet1!$1:$1048576, 2, 0)</f>
        <v>100.070654</v>
      </c>
      <c r="I79" s="9">
        <f>VLOOKUP(Table3[[#This Row],[NAME1]], [2]Sheet1!$1:$1048576, 3, 0)</f>
        <v>2.0046249999999999</v>
      </c>
      <c r="J79" s="12">
        <v>0</v>
      </c>
      <c r="K79" s="12">
        <v>100</v>
      </c>
      <c r="L79" s="5">
        <v>100</v>
      </c>
      <c r="M79" s="5">
        <v>1</v>
      </c>
      <c r="N79" s="5">
        <v>0</v>
      </c>
      <c r="O79" s="5">
        <v>0</v>
      </c>
      <c r="P79" s="9">
        <v>2.4700000000000002</v>
      </c>
    </row>
    <row r="80" spans="1:16" x14ac:dyDescent="0.3">
      <c r="A80" s="14">
        <v>212</v>
      </c>
      <c r="B80" s="5">
        <v>652</v>
      </c>
      <c r="C80" s="2" t="s">
        <v>808</v>
      </c>
      <c r="D80" s="5" t="s">
        <v>809</v>
      </c>
      <c r="E80" s="5">
        <f>LEN(Table3[[#This Row],[NAME1]])</f>
        <v>5</v>
      </c>
      <c r="F80" s="5">
        <f>VLOOKUP(Table3[[#This Row],[NAME1]], [1]Sheet1!$1:$1048576, 4, 0)</f>
        <v>5</v>
      </c>
      <c r="G80" s="5">
        <f>VLOOKUP(Table3[[#This Row],[NAME1]], [1]Sheet1!$1:$1048576, 5, 9)</f>
        <v>3</v>
      </c>
      <c r="H80" s="9">
        <f>VLOOKUP(Table3[[#This Row],[NAME1]], [2]Sheet1!$1:$1048576, 2, 0)</f>
        <v>1.514105</v>
      </c>
      <c r="I80" s="9" t="str">
        <f>VLOOKUP(Table3[[#This Row],[NAME1]], [2]Sheet1!$1:$1048576, 3, 0)</f>
        <v>0.400383</v>
      </c>
      <c r="J80" s="9">
        <v>0.14372616999999999</v>
      </c>
      <c r="K80" s="9">
        <v>97.959183670000002</v>
      </c>
      <c r="L80" s="5">
        <v>98</v>
      </c>
      <c r="M80" s="5">
        <v>2</v>
      </c>
      <c r="N80" s="5">
        <v>0</v>
      </c>
      <c r="O80" s="5">
        <v>2</v>
      </c>
      <c r="P80" s="9">
        <v>3</v>
      </c>
    </row>
    <row r="81" spans="1:16" x14ac:dyDescent="0.3">
      <c r="A81" s="14">
        <v>24</v>
      </c>
      <c r="B81" s="5">
        <v>599</v>
      </c>
      <c r="C81" s="2" t="s">
        <v>746</v>
      </c>
      <c r="D81" s="5" t="s">
        <v>747</v>
      </c>
      <c r="E81" s="5">
        <f>LEN(Table3[[#This Row],[NAME1]])</f>
        <v>4</v>
      </c>
      <c r="F81" s="5">
        <f>VLOOKUP(Table3[[#This Row],[NAME1]], [1]Sheet1!$1:$1048576, 4, 0)</f>
        <v>4</v>
      </c>
      <c r="G81" s="5">
        <f>VLOOKUP(Table3[[#This Row],[NAME1]], [1]Sheet1!$1:$1048576, 5, 9)</f>
        <v>3</v>
      </c>
      <c r="H81" s="9">
        <f>VLOOKUP(Table3[[#This Row],[NAME1]], [2]Sheet1!$1:$1048576, 2, 0)</f>
        <v>15.043577000000001</v>
      </c>
      <c r="I81" s="9">
        <f>VLOOKUP(Table3[[#This Row],[NAME1]], [2]Sheet1!$1:$1048576, 3, 0)</f>
        <v>1.205301</v>
      </c>
      <c r="J81" s="12">
        <v>0</v>
      </c>
      <c r="K81" s="12">
        <v>100</v>
      </c>
      <c r="L81" s="5">
        <v>100</v>
      </c>
      <c r="M81" s="5">
        <v>1</v>
      </c>
      <c r="N81" s="5">
        <v>0</v>
      </c>
      <c r="O81" s="5">
        <v>0</v>
      </c>
      <c r="P81" s="9">
        <v>1.37</v>
      </c>
    </row>
    <row r="82" spans="1:16" x14ac:dyDescent="0.3">
      <c r="A82" s="14">
        <v>314</v>
      </c>
      <c r="B82" s="5">
        <v>267</v>
      </c>
      <c r="C82" s="2" t="s">
        <v>335</v>
      </c>
      <c r="D82" s="5" t="s">
        <v>336</v>
      </c>
      <c r="E82" s="5">
        <f>LEN(Table3[[#This Row],[NAME1]])</f>
        <v>4</v>
      </c>
      <c r="F82" s="5">
        <f>VLOOKUP(Table3[[#This Row],[NAME1]], [1]Sheet1!$1:$1048576, 4, 0)</f>
        <v>4</v>
      </c>
      <c r="G82" s="5">
        <f>VLOOKUP(Table3[[#This Row],[NAME1]], [1]Sheet1!$1:$1048576, 5, 9)</f>
        <v>3</v>
      </c>
      <c r="H82" s="9">
        <f>VLOOKUP(Table3[[#This Row],[NAME1]], [2]Sheet1!$1:$1048576, 2, 0)</f>
        <v>7.2001220000000004</v>
      </c>
      <c r="I82" s="9" t="str">
        <f>VLOOKUP(Table3[[#This Row],[NAME1]], [2]Sheet1!$1:$1048576, 3, 0)</f>
        <v>0.913820</v>
      </c>
      <c r="J82" s="9">
        <v>0.57421419200000001</v>
      </c>
      <c r="K82" s="12">
        <v>91</v>
      </c>
      <c r="L82" s="5">
        <v>100</v>
      </c>
      <c r="M82" s="5">
        <v>4</v>
      </c>
      <c r="N82" s="5">
        <v>0</v>
      </c>
      <c r="O82" s="5">
        <v>0</v>
      </c>
      <c r="P82" s="9">
        <v>1.63</v>
      </c>
    </row>
    <row r="83" spans="1:16" x14ac:dyDescent="0.3">
      <c r="A83" s="14">
        <v>25</v>
      </c>
      <c r="B83" s="5">
        <v>119</v>
      </c>
      <c r="C83" s="2" t="s">
        <v>148</v>
      </c>
      <c r="D83" s="5" t="s">
        <v>149</v>
      </c>
      <c r="E83" s="5">
        <f>LEN(Table3[[#This Row],[NAME1]])</f>
        <v>4</v>
      </c>
      <c r="F83" s="5">
        <f>VLOOKUP(Table3[[#This Row],[NAME1]], [1]Sheet1!$1:$1048576, 4, 0)</f>
        <v>4</v>
      </c>
      <c r="G83" s="5">
        <f>VLOOKUP(Table3[[#This Row],[NAME1]], [1]Sheet1!$1:$1048576, 5, 9)</f>
        <v>3</v>
      </c>
      <c r="H83" s="9">
        <f>VLOOKUP(Table3[[#This Row],[NAME1]], [2]Sheet1!$1:$1048576, 2, 0)</f>
        <v>2.9632269999999998</v>
      </c>
      <c r="I83" s="9">
        <f>VLOOKUP(Table3[[#This Row],[NAME1]], [2]Sheet1!$1:$1048576, 3, 0)</f>
        <v>0.59804900000000005</v>
      </c>
      <c r="J83" s="12">
        <v>0</v>
      </c>
      <c r="K83" s="12">
        <v>100</v>
      </c>
      <c r="L83" s="5">
        <v>98</v>
      </c>
      <c r="M83" s="5">
        <v>1</v>
      </c>
      <c r="N83" s="5">
        <v>0</v>
      </c>
      <c r="O83" s="5">
        <v>2</v>
      </c>
      <c r="P83" s="9">
        <v>3.03</v>
      </c>
    </row>
    <row r="84" spans="1:16" x14ac:dyDescent="0.3">
      <c r="A84" s="14">
        <v>80</v>
      </c>
      <c r="B84" s="5">
        <v>35</v>
      </c>
      <c r="C84" s="2" t="s">
        <v>41</v>
      </c>
      <c r="D84" s="5" t="s">
        <v>42</v>
      </c>
      <c r="E84" s="5">
        <f>LEN(Table3[[#This Row],[NAME1]])</f>
        <v>5</v>
      </c>
      <c r="F84" s="5">
        <f>VLOOKUP(Table3[[#This Row],[NAME1]], [1]Sheet1!$1:$1048576, 4, 0)</f>
        <v>5</v>
      </c>
      <c r="G84" s="5">
        <f>VLOOKUP(Table3[[#This Row],[NAME1]], [1]Sheet1!$1:$1048576, 5, 9)</f>
        <v>3</v>
      </c>
      <c r="H84" s="9">
        <f>VLOOKUP(Table3[[#This Row],[NAME1]], [2]Sheet1!$1:$1048576, 2, 0)</f>
        <v>21.012270000000001</v>
      </c>
      <c r="I84" s="9">
        <f>VLOOKUP(Table3[[#This Row],[NAME1]], [2]Sheet1!$1:$1048576, 3, 0)</f>
        <v>1.342665</v>
      </c>
      <c r="J84" s="12">
        <v>0</v>
      </c>
      <c r="K84" s="12">
        <v>100</v>
      </c>
      <c r="L84" s="5">
        <v>99</v>
      </c>
      <c r="M84" s="5">
        <v>1</v>
      </c>
      <c r="N84" s="5">
        <v>0</v>
      </c>
      <c r="O84" s="5">
        <v>1</v>
      </c>
      <c r="P84" s="9">
        <v>2.0707070710000002</v>
      </c>
    </row>
    <row r="85" spans="1:16" x14ac:dyDescent="0.3">
      <c r="A85" s="14">
        <v>81</v>
      </c>
      <c r="B85" s="5">
        <v>636</v>
      </c>
      <c r="C85" s="2" t="s">
        <v>792</v>
      </c>
      <c r="D85" s="5" t="s">
        <v>793</v>
      </c>
      <c r="E85" s="5">
        <f>LEN(Table3[[#This Row],[NAME1]])</f>
        <v>5</v>
      </c>
      <c r="F85" s="5">
        <f>VLOOKUP(Table3[[#This Row],[NAME1]], [1]Sheet1!$1:$1048576, 4, 0)</f>
        <v>5</v>
      </c>
      <c r="G85" s="5">
        <f>VLOOKUP(Table3[[#This Row],[NAME1]], [1]Sheet1!$1:$1048576, 5, 9)</f>
        <v>3</v>
      </c>
      <c r="H85" s="9">
        <f>VLOOKUP(Table3[[#This Row],[NAME1]], [2]Sheet1!$1:$1048576, 2, 0)</f>
        <v>20.924543</v>
      </c>
      <c r="I85" s="9">
        <f>VLOOKUP(Table3[[#This Row],[NAME1]], [2]Sheet1!$1:$1048576, 3, 0)</f>
        <v>1.3409310000000001</v>
      </c>
      <c r="J85" s="12">
        <v>0</v>
      </c>
      <c r="K85" s="12">
        <v>100</v>
      </c>
      <c r="L85" s="5">
        <v>99</v>
      </c>
      <c r="M85" s="5">
        <v>1</v>
      </c>
      <c r="N85" s="5">
        <v>0</v>
      </c>
      <c r="O85" s="5">
        <v>1</v>
      </c>
      <c r="P85" s="9">
        <v>2.7777777779999999</v>
      </c>
    </row>
    <row r="86" spans="1:16" x14ac:dyDescent="0.3">
      <c r="A86" s="14">
        <v>26</v>
      </c>
      <c r="B86" s="5">
        <v>255</v>
      </c>
      <c r="C86" s="2" t="s">
        <v>317</v>
      </c>
      <c r="D86" s="5" t="s">
        <v>318</v>
      </c>
      <c r="E86" s="5">
        <f>LEN(Table3[[#This Row],[NAME1]])</f>
        <v>4</v>
      </c>
      <c r="F86" s="5">
        <f>VLOOKUP(Table3[[#This Row],[NAME1]], [1]Sheet1!$1:$1048576, 4, 0)</f>
        <v>4</v>
      </c>
      <c r="G86" s="5">
        <f>VLOOKUP(Table3[[#This Row],[NAME1]], [1]Sheet1!$1:$1048576, 5, 9)</f>
        <v>3</v>
      </c>
      <c r="H86" s="9">
        <f>VLOOKUP(Table3[[#This Row],[NAME1]], [2]Sheet1!$1:$1048576, 2, 0)</f>
        <v>4.116676</v>
      </c>
      <c r="I86" s="9">
        <f>VLOOKUP(Table3[[#This Row],[NAME1]], [2]Sheet1!$1:$1048576, 3, 0)</f>
        <v>0.70898799999999995</v>
      </c>
      <c r="J86" s="12">
        <v>0</v>
      </c>
      <c r="K86" s="12">
        <v>100</v>
      </c>
      <c r="L86" s="5">
        <v>100</v>
      </c>
      <c r="M86" s="5">
        <v>1</v>
      </c>
      <c r="N86" s="5">
        <v>0</v>
      </c>
      <c r="O86" s="5">
        <v>0</v>
      </c>
      <c r="P86" s="9">
        <v>1.76</v>
      </c>
    </row>
    <row r="87" spans="1:16" x14ac:dyDescent="0.3">
      <c r="A87" s="14">
        <v>300</v>
      </c>
      <c r="B87" s="5">
        <v>218</v>
      </c>
      <c r="C87" s="2" t="s">
        <v>279</v>
      </c>
      <c r="D87" s="5" t="s">
        <v>280</v>
      </c>
      <c r="E87" s="5">
        <f>LEN(Table3[[#This Row],[NAME1]])</f>
        <v>5</v>
      </c>
      <c r="F87" s="5">
        <f>VLOOKUP(Table3[[#This Row],[NAME1]], [1]Sheet1!$1:$1048576, 4, 0)</f>
        <v>5</v>
      </c>
      <c r="G87" s="5">
        <f>VLOOKUP(Table3[[#This Row],[NAME1]], [1]Sheet1!$1:$1048576, 5, 9)</f>
        <v>3</v>
      </c>
      <c r="H87" s="9">
        <f>VLOOKUP(Table3[[#This Row],[NAME1]], [2]Sheet1!$1:$1048576, 2, 0)</f>
        <v>0.40614400000000001</v>
      </c>
      <c r="I87" s="9" t="str">
        <f>VLOOKUP(Table3[[#This Row],[NAME1]], [2]Sheet1!$1:$1048576, 3, 0)</f>
        <v>0.148030</v>
      </c>
      <c r="J87" s="9">
        <v>0.42958550499999998</v>
      </c>
      <c r="K87" s="9">
        <v>92.929292930000003</v>
      </c>
      <c r="L87" s="5">
        <v>99</v>
      </c>
      <c r="M87" s="5">
        <v>3</v>
      </c>
      <c r="N87" s="5">
        <v>0</v>
      </c>
      <c r="O87" s="5">
        <v>1</v>
      </c>
      <c r="P87" s="9">
        <v>2.48</v>
      </c>
    </row>
    <row r="88" spans="1:16" x14ac:dyDescent="0.3">
      <c r="A88" s="14">
        <v>216</v>
      </c>
      <c r="B88" s="5">
        <v>502</v>
      </c>
      <c r="C88" s="2" t="s">
        <v>625</v>
      </c>
      <c r="D88" s="5" t="s">
        <v>626</v>
      </c>
      <c r="E88" s="5">
        <f>LEN(Table3[[#This Row],[NAME1]])</f>
        <v>6</v>
      </c>
      <c r="F88" s="5">
        <f>VLOOKUP(Table3[[#This Row],[NAME1]], [1]Sheet1!$1:$1048576, 4, 0)</f>
        <v>6</v>
      </c>
      <c r="G88" s="5">
        <f>VLOOKUP(Table3[[#This Row],[NAME1]], [1]Sheet1!$1:$1048576, 5, 9)</f>
        <v>3</v>
      </c>
      <c r="H88" s="9">
        <f>VLOOKUP(Table3[[#This Row],[NAME1]], [2]Sheet1!$1:$1048576, 2, 0)</f>
        <v>23.286677000000001</v>
      </c>
      <c r="I88" s="9">
        <f>VLOOKUP(Table3[[#This Row],[NAME1]], [2]Sheet1!$1:$1048576, 3, 0)</f>
        <v>1.3853679999999999</v>
      </c>
      <c r="J88" s="9">
        <v>0.14372616999999999</v>
      </c>
      <c r="K88" s="9">
        <v>97.959183670000002</v>
      </c>
      <c r="L88" s="5">
        <v>98</v>
      </c>
      <c r="M88" s="5">
        <v>2</v>
      </c>
      <c r="N88" s="5">
        <v>1</v>
      </c>
      <c r="O88" s="5">
        <v>1</v>
      </c>
      <c r="P88" s="9">
        <v>2.99</v>
      </c>
    </row>
    <row r="89" spans="1:16" x14ac:dyDescent="0.3">
      <c r="A89" s="14">
        <v>132</v>
      </c>
      <c r="B89" s="5">
        <v>249</v>
      </c>
      <c r="C89" s="2" t="s">
        <v>313</v>
      </c>
      <c r="D89" s="5" t="s">
        <v>314</v>
      </c>
      <c r="E89" s="5">
        <f>LEN(Table3[[#This Row],[NAME1]])</f>
        <v>6</v>
      </c>
      <c r="F89" s="5">
        <f>VLOOKUP(Table3[[#This Row],[NAME1]], [1]Sheet1!$1:$1048576, 4, 0)</f>
        <v>6</v>
      </c>
      <c r="G89" s="5">
        <f>VLOOKUP(Table3[[#This Row],[NAME1]], [1]Sheet1!$1:$1048576, 5, 9)</f>
        <v>3</v>
      </c>
      <c r="H89" s="9">
        <f>VLOOKUP(Table3[[#This Row],[NAME1]], [2]Sheet1!$1:$1048576, 2, 0)</f>
        <v>3.4570979999999998</v>
      </c>
      <c r="I89" s="9" t="str">
        <f>VLOOKUP(Table3[[#This Row],[NAME1]], [2]Sheet1!$1:$1048576, 3, 0)</f>
        <v>0.649052</v>
      </c>
      <c r="J89" s="12">
        <v>0</v>
      </c>
      <c r="K89" s="12">
        <v>100</v>
      </c>
      <c r="L89" s="5">
        <v>99</v>
      </c>
      <c r="M89" s="5">
        <v>1</v>
      </c>
      <c r="N89" s="5">
        <v>1</v>
      </c>
      <c r="O89" s="5">
        <v>0</v>
      </c>
      <c r="P89" s="9">
        <v>2.0499999999999998</v>
      </c>
    </row>
    <row r="90" spans="1:16" x14ac:dyDescent="0.3">
      <c r="A90" s="14">
        <v>27</v>
      </c>
      <c r="B90" s="5">
        <v>400</v>
      </c>
      <c r="C90" s="2" t="s">
        <v>498</v>
      </c>
      <c r="D90" s="5" t="s">
        <v>499</v>
      </c>
      <c r="E90" s="5">
        <f>LEN(Table3[[#This Row],[NAME1]])</f>
        <v>4</v>
      </c>
      <c r="F90" s="5">
        <f>VLOOKUP(Table3[[#This Row],[NAME1]], [1]Sheet1!$1:$1048576, 4, 0)</f>
        <v>4</v>
      </c>
      <c r="G90" s="5">
        <f>VLOOKUP(Table3[[#This Row],[NAME1]], [1]Sheet1!$1:$1048576, 5, 9)</f>
        <v>3</v>
      </c>
      <c r="H90" s="9">
        <f>VLOOKUP(Table3[[#This Row],[NAME1]], [2]Sheet1!$1:$1048576, 2, 0)</f>
        <v>14.452230999999999</v>
      </c>
      <c r="I90" s="9">
        <f>VLOOKUP(Table3[[#This Row],[NAME1]], [2]Sheet1!$1:$1048576, 3, 0)</f>
        <v>1.1889909999999999</v>
      </c>
      <c r="J90" s="12">
        <v>0</v>
      </c>
      <c r="K90" s="12">
        <v>100</v>
      </c>
      <c r="L90" s="5">
        <v>99</v>
      </c>
      <c r="M90" s="5">
        <v>1</v>
      </c>
      <c r="N90" s="5">
        <v>0</v>
      </c>
      <c r="O90" s="5">
        <v>1</v>
      </c>
      <c r="P90" s="9">
        <v>3.22</v>
      </c>
    </row>
    <row r="91" spans="1:16" x14ac:dyDescent="0.3">
      <c r="A91" s="14">
        <v>272</v>
      </c>
      <c r="B91" s="5">
        <v>19</v>
      </c>
      <c r="C91" s="2" t="s">
        <v>23</v>
      </c>
      <c r="D91" s="5" t="s">
        <v>24</v>
      </c>
      <c r="E91" s="5">
        <f>LEN(Table3[[#This Row],[NAME1]])</f>
        <v>4</v>
      </c>
      <c r="F91" s="5">
        <f>VLOOKUP(Table3[[#This Row],[NAME1]], [1]Sheet1!$1:$1048576, 4, 0)</f>
        <v>4</v>
      </c>
      <c r="G91" s="5">
        <f>VLOOKUP(Table3[[#This Row],[NAME1]], [1]Sheet1!$1:$1048576, 5, 9)</f>
        <v>3</v>
      </c>
      <c r="H91" s="9">
        <f>VLOOKUP(Table3[[#This Row],[NAME1]], [2]Sheet1!$1:$1048576, 2, 0)</f>
        <v>14.192299</v>
      </c>
      <c r="I91" s="9">
        <f>VLOOKUP(Table3[[#This Row],[NAME1]], [2]Sheet1!$1:$1048576, 3, 0)</f>
        <v>1.1816230000000001</v>
      </c>
      <c r="J91" s="9">
        <v>0.34297895099999998</v>
      </c>
      <c r="K91" s="9">
        <v>94.845360819999996</v>
      </c>
      <c r="L91" s="5">
        <v>97</v>
      </c>
      <c r="M91" s="5">
        <v>3</v>
      </c>
      <c r="N91" s="5">
        <v>2</v>
      </c>
      <c r="O91" s="5">
        <v>1</v>
      </c>
      <c r="P91" s="9">
        <v>3.51</v>
      </c>
    </row>
    <row r="92" spans="1:16" x14ac:dyDescent="0.3">
      <c r="A92" s="14">
        <v>133</v>
      </c>
      <c r="B92" s="5">
        <v>532</v>
      </c>
      <c r="C92" s="2" t="s">
        <v>669</v>
      </c>
      <c r="D92" s="5" t="s">
        <v>670</v>
      </c>
      <c r="E92" s="5">
        <f>LEN(Table3[[#This Row],[NAME1]])</f>
        <v>6</v>
      </c>
      <c r="F92" s="5">
        <f>VLOOKUP(Table3[[#This Row],[NAME1]], [1]Sheet1!$1:$1048576, 4, 0)</f>
        <v>6</v>
      </c>
      <c r="G92" s="5">
        <f>VLOOKUP(Table3[[#This Row],[NAME1]], [1]Sheet1!$1:$1048576, 5, 9)</f>
        <v>3</v>
      </c>
      <c r="H92" s="9">
        <f>VLOOKUP(Table3[[#This Row],[NAME1]], [2]Sheet1!$1:$1048576, 2, 0)</f>
        <v>3.814505</v>
      </c>
      <c r="I92" s="9" t="str">
        <f>VLOOKUP(Table3[[#This Row],[NAME1]], [2]Sheet1!$1:$1048576, 3, 0)</f>
        <v>0.682552</v>
      </c>
      <c r="J92" s="12">
        <v>0</v>
      </c>
      <c r="K92" s="12">
        <v>100</v>
      </c>
      <c r="L92" s="5">
        <v>100</v>
      </c>
      <c r="M92" s="5">
        <v>1</v>
      </c>
      <c r="N92" s="5">
        <v>0</v>
      </c>
      <c r="O92" s="5">
        <v>0</v>
      </c>
      <c r="P92" s="9">
        <v>2.94</v>
      </c>
    </row>
    <row r="93" spans="1:16" x14ac:dyDescent="0.3">
      <c r="A93" s="14">
        <v>213</v>
      </c>
      <c r="B93" s="5">
        <v>426</v>
      </c>
      <c r="C93" s="2" t="s">
        <v>524</v>
      </c>
      <c r="D93" s="5" t="s">
        <v>525</v>
      </c>
      <c r="E93" s="5">
        <f>LEN(Table3[[#This Row],[NAME1]])</f>
        <v>5</v>
      </c>
      <c r="F93" s="5">
        <f>VLOOKUP(Table3[[#This Row],[NAME1]], [1]Sheet1!$1:$1048576, 4, 0)</f>
        <v>5</v>
      </c>
      <c r="G93" s="5">
        <f>VLOOKUP(Table3[[#This Row],[NAME1]], [1]Sheet1!$1:$1048576, 5, 9)</f>
        <v>3</v>
      </c>
      <c r="H93" s="9">
        <f>VLOOKUP(Table3[[#This Row],[NAME1]], [2]Sheet1!$1:$1048576, 2, 0)</f>
        <v>1.692809</v>
      </c>
      <c r="I93" s="9" t="str">
        <f>VLOOKUP(Table3[[#This Row],[NAME1]], [2]Sheet1!$1:$1048576, 3, 0)</f>
        <v>0.430205</v>
      </c>
      <c r="J93" s="9">
        <v>0.14372616999999999</v>
      </c>
      <c r="K93" s="9">
        <v>97.959183670000002</v>
      </c>
      <c r="L93" s="5">
        <v>98</v>
      </c>
      <c r="M93" s="5">
        <v>2</v>
      </c>
      <c r="N93" s="5">
        <v>0</v>
      </c>
      <c r="O93" s="5">
        <v>2</v>
      </c>
      <c r="P93" s="9">
        <v>1.69</v>
      </c>
    </row>
    <row r="94" spans="1:16" x14ac:dyDescent="0.3">
      <c r="A94" s="14">
        <v>254</v>
      </c>
      <c r="B94" s="5">
        <v>277</v>
      </c>
      <c r="C94" s="2" t="s">
        <v>347</v>
      </c>
      <c r="D94" s="5" t="s">
        <v>348</v>
      </c>
      <c r="E94" s="5">
        <f>LEN(Table3[[#This Row],[NAME1]])</f>
        <v>6</v>
      </c>
      <c r="F94" s="5">
        <f>VLOOKUP(Table3[[#This Row],[NAME1]], [1]Sheet1!$1:$1048576, 4, 0)</f>
        <v>6</v>
      </c>
      <c r="G94" s="5">
        <f>VLOOKUP(Table3[[#This Row],[NAME1]], [1]Sheet1!$1:$1048576, 5, 9)</f>
        <v>3</v>
      </c>
      <c r="H94" s="9">
        <f>VLOOKUP(Table3[[#This Row],[NAME1]], [2]Sheet1!$1:$1048576, 2, 0)</f>
        <v>1.9364950000000001</v>
      </c>
      <c r="I94" s="9" t="str">
        <f>VLOOKUP(Table3[[#This Row],[NAME1]], [2]Sheet1!$1:$1048576, 3, 0)</f>
        <v>0.467829</v>
      </c>
      <c r="J94" s="9">
        <v>0.24602257799999999</v>
      </c>
      <c r="K94" s="9">
        <v>95.918367349999997</v>
      </c>
      <c r="L94" s="5">
        <v>98</v>
      </c>
      <c r="M94" s="5">
        <v>2</v>
      </c>
      <c r="N94" s="5">
        <v>1</v>
      </c>
      <c r="O94" s="5">
        <v>1</v>
      </c>
      <c r="P94" s="9">
        <v>2.2599999999999998</v>
      </c>
    </row>
    <row r="95" spans="1:16" x14ac:dyDescent="0.3">
      <c r="A95" s="14">
        <v>28</v>
      </c>
      <c r="B95" s="5">
        <v>42</v>
      </c>
      <c r="C95" s="2" t="s">
        <v>51</v>
      </c>
      <c r="D95" s="5" t="s">
        <v>52</v>
      </c>
      <c r="E95" s="5">
        <f>LEN(Table3[[#This Row],[NAME1]])</f>
        <v>4</v>
      </c>
      <c r="F95" s="5">
        <f>VLOOKUP(Table3[[#This Row],[NAME1]], [1]Sheet1!$1:$1048576, 4, 0)</f>
        <v>4</v>
      </c>
      <c r="G95" s="5">
        <f>VLOOKUP(Table3[[#This Row],[NAME1]], [1]Sheet1!$1:$1048576, 5, 9)</f>
        <v>3</v>
      </c>
      <c r="H95" s="9">
        <f>VLOOKUP(Table3[[#This Row],[NAME1]], [2]Sheet1!$1:$1048576, 2, 0)</f>
        <v>3.5415760000000001</v>
      </c>
      <c r="I95" s="9">
        <f>VLOOKUP(Table3[[#This Row],[NAME1]], [2]Sheet1!$1:$1048576, 3, 0)</f>
        <v>0.65720699999999999</v>
      </c>
      <c r="J95" s="12">
        <v>0</v>
      </c>
      <c r="K95" s="12">
        <v>100</v>
      </c>
      <c r="L95" s="5">
        <v>100</v>
      </c>
      <c r="M95" s="5">
        <v>1</v>
      </c>
      <c r="N95" s="5">
        <v>0</v>
      </c>
      <c r="O95" s="5">
        <v>0</v>
      </c>
      <c r="P95" s="9">
        <v>1.88</v>
      </c>
    </row>
    <row r="96" spans="1:16" x14ac:dyDescent="0.3">
      <c r="A96" s="14">
        <v>83</v>
      </c>
      <c r="B96" s="5">
        <v>626</v>
      </c>
      <c r="C96" s="2" t="s">
        <v>782</v>
      </c>
      <c r="D96" s="5" t="s">
        <v>783</v>
      </c>
      <c r="E96" s="5">
        <f>LEN(Table3[[#This Row],[NAME1]])</f>
        <v>5</v>
      </c>
      <c r="F96" s="5">
        <f>VLOOKUP(Table3[[#This Row],[NAME1]], [1]Sheet1!$1:$1048576, 4, 0)</f>
        <v>5</v>
      </c>
      <c r="G96" s="5">
        <f>VLOOKUP(Table3[[#This Row],[NAME1]], [1]Sheet1!$1:$1048576, 5, 9)</f>
        <v>3</v>
      </c>
      <c r="H96" s="9">
        <f>VLOOKUP(Table3[[#This Row],[NAME1]], [2]Sheet1!$1:$1048576, 2, 0)</f>
        <v>35.406016999999999</v>
      </c>
      <c r="I96" s="9">
        <f>VLOOKUP(Table3[[#This Row],[NAME1]], [2]Sheet1!$1:$1048576, 3, 0)</f>
        <v>1.5611729999999999</v>
      </c>
      <c r="J96" s="12">
        <v>0</v>
      </c>
      <c r="K96" s="12">
        <v>100</v>
      </c>
      <c r="L96" s="5">
        <v>100</v>
      </c>
      <c r="M96" s="5">
        <v>1</v>
      </c>
      <c r="N96" s="5">
        <v>0</v>
      </c>
      <c r="O96" s="5">
        <v>0</v>
      </c>
      <c r="P96" s="9">
        <v>2.85</v>
      </c>
    </row>
    <row r="97" spans="1:16" x14ac:dyDescent="0.3">
      <c r="A97" s="14">
        <v>198</v>
      </c>
      <c r="B97" s="5">
        <v>575</v>
      </c>
      <c r="C97" s="2" t="s">
        <v>717</v>
      </c>
      <c r="D97" s="5" t="s">
        <v>718</v>
      </c>
      <c r="E97" s="5">
        <f>LEN(Table3[[#This Row],[NAME1]])</f>
        <v>4</v>
      </c>
      <c r="F97" s="5">
        <f>VLOOKUP(Table3[[#This Row],[NAME1]], [1]Sheet1!$1:$1048576, 4, 0)</f>
        <v>4</v>
      </c>
      <c r="G97" s="5">
        <f>VLOOKUP(Table3[[#This Row],[NAME1]], [1]Sheet1!$1:$1048576, 5, 9)</f>
        <v>3</v>
      </c>
      <c r="H97" s="9">
        <f>VLOOKUP(Table3[[#This Row],[NAME1]], [2]Sheet1!$1:$1048576, 2, 0)</f>
        <v>29.9117</v>
      </c>
      <c r="I97" s="9">
        <f>VLOOKUP(Table3[[#This Row],[NAME1]], [2]Sheet1!$1:$1048576, 3, 0)</f>
        <v>1.4901230000000001</v>
      </c>
      <c r="J97" s="9">
        <v>0.141440543</v>
      </c>
      <c r="K97" s="12">
        <v>98</v>
      </c>
      <c r="L97" s="5">
        <v>100</v>
      </c>
      <c r="M97" s="5">
        <v>2</v>
      </c>
      <c r="N97" s="5">
        <v>0</v>
      </c>
      <c r="O97" s="5">
        <v>0</v>
      </c>
      <c r="P97" s="9">
        <v>2.11</v>
      </c>
    </row>
    <row r="98" spans="1:16" x14ac:dyDescent="0.3">
      <c r="A98" s="14">
        <v>308</v>
      </c>
      <c r="B98" s="5">
        <v>279</v>
      </c>
      <c r="C98" s="2" t="s">
        <v>351</v>
      </c>
      <c r="D98" s="5" t="s">
        <v>352</v>
      </c>
      <c r="E98" s="5">
        <f>LEN(Table3[[#This Row],[NAME1]])</f>
        <v>6</v>
      </c>
      <c r="F98" s="5">
        <f>VLOOKUP(Table3[[#This Row],[NAME1]], [1]Sheet1!$1:$1048576, 4, 0)</f>
        <v>6</v>
      </c>
      <c r="G98" s="5">
        <f>VLOOKUP(Table3[[#This Row],[NAME1]], [1]Sheet1!$1:$1048576, 5, 9)</f>
        <v>3</v>
      </c>
      <c r="H98" s="9">
        <f>VLOOKUP(Table3[[#This Row],[NAME1]], [2]Sheet1!$1:$1048576, 2, 0)</f>
        <v>79.510015999999993</v>
      </c>
      <c r="I98" s="9">
        <f>VLOOKUP(Table3[[#This Row],[NAME1]], [2]Sheet1!$1:$1048576, 3, 0)</f>
        <v>1.90585</v>
      </c>
      <c r="J98" s="9">
        <v>0.48726979399999998</v>
      </c>
      <c r="K98" s="9">
        <v>91.860465120000001</v>
      </c>
      <c r="L98" s="5">
        <v>86</v>
      </c>
      <c r="M98" s="5">
        <v>3</v>
      </c>
      <c r="N98" s="5">
        <v>12</v>
      </c>
      <c r="O98" s="5">
        <v>2</v>
      </c>
      <c r="P98" s="9">
        <v>2.5499999999999998</v>
      </c>
    </row>
    <row r="99" spans="1:16" x14ac:dyDescent="0.3">
      <c r="A99" s="14">
        <v>282</v>
      </c>
      <c r="B99" s="5">
        <v>8</v>
      </c>
      <c r="C99" s="2" t="s">
        <v>13</v>
      </c>
      <c r="D99" s="5" t="s">
        <v>14</v>
      </c>
      <c r="E99" s="5">
        <f>LEN(Table3[[#This Row],[NAME1]])</f>
        <v>6</v>
      </c>
      <c r="F99" s="5">
        <f>VLOOKUP(Table3[[#This Row],[NAME1]], [1]Sheet1!$1:$1048576, 4, 0)</f>
        <v>6</v>
      </c>
      <c r="G99" s="5">
        <f>VLOOKUP(Table3[[#This Row],[NAME1]], [1]Sheet1!$1:$1048576, 5, 9)</f>
        <v>3</v>
      </c>
      <c r="H99" s="9">
        <f>VLOOKUP(Table3[[#This Row],[NAME1]], [2]Sheet1!$1:$1048576, 2, 0)</f>
        <v>15.72265</v>
      </c>
      <c r="I99" s="9">
        <f>VLOOKUP(Table3[[#This Row],[NAME1]], [2]Sheet1!$1:$1048576, 3, 0)</f>
        <v>1.2233050000000001</v>
      </c>
      <c r="J99" s="9">
        <v>0.327444919</v>
      </c>
      <c r="K99" s="12">
        <v>94</v>
      </c>
      <c r="L99" s="5">
        <v>100</v>
      </c>
      <c r="M99" s="5">
        <v>2</v>
      </c>
      <c r="N99" s="5">
        <v>0</v>
      </c>
      <c r="O99" s="5">
        <v>0</v>
      </c>
      <c r="P99" s="9">
        <v>1.99</v>
      </c>
    </row>
    <row r="100" spans="1:16" x14ac:dyDescent="0.3">
      <c r="A100" s="14">
        <v>29</v>
      </c>
      <c r="B100" s="5">
        <v>656</v>
      </c>
      <c r="C100" s="2" t="s">
        <v>814</v>
      </c>
      <c r="D100" s="5" t="s">
        <v>815</v>
      </c>
      <c r="E100" s="5">
        <f>LEN(Table3[[#This Row],[NAME1]])</f>
        <v>4</v>
      </c>
      <c r="F100" s="5">
        <f>VLOOKUP(Table3[[#This Row],[NAME1]], [1]Sheet1!$1:$1048576, 4, 0)</f>
        <v>4</v>
      </c>
      <c r="G100" s="5">
        <f>VLOOKUP(Table3[[#This Row],[NAME1]], [1]Sheet1!$1:$1048576, 5, 9)</f>
        <v>3</v>
      </c>
      <c r="H100" s="9">
        <f>VLOOKUP(Table3[[#This Row],[NAME1]], [2]Sheet1!$1:$1048576, 2, 0)</f>
        <v>8.8506920000000004</v>
      </c>
      <c r="I100" s="9">
        <f>VLOOKUP(Table3[[#This Row],[NAME1]], [2]Sheet1!$1:$1048576, 3, 0)</f>
        <v>0.99346699999999999</v>
      </c>
      <c r="J100" s="12">
        <v>0</v>
      </c>
      <c r="K100" s="12">
        <v>100</v>
      </c>
      <c r="L100" s="5">
        <v>100</v>
      </c>
      <c r="M100" s="5">
        <v>1</v>
      </c>
      <c r="N100" s="5">
        <v>0</v>
      </c>
      <c r="O100" s="5">
        <v>0</v>
      </c>
      <c r="P100" s="9">
        <v>1.91</v>
      </c>
    </row>
    <row r="101" spans="1:16" x14ac:dyDescent="0.3">
      <c r="A101" s="14">
        <v>220</v>
      </c>
      <c r="B101" s="5">
        <v>669</v>
      </c>
      <c r="C101" s="2" t="s">
        <v>828</v>
      </c>
      <c r="D101" s="5" t="s">
        <v>829</v>
      </c>
      <c r="E101" s="5">
        <f>LEN(Table3[[#This Row],[NAME1]])</f>
        <v>6</v>
      </c>
      <c r="F101" s="5">
        <f>VLOOKUP(Table3[[#This Row],[NAME1]], [1]Sheet1!$1:$1048576, 4, 0)</f>
        <v>6</v>
      </c>
      <c r="G101" s="5">
        <f>VLOOKUP(Table3[[#This Row],[NAME1]], [1]Sheet1!$1:$1048576, 5, 9)</f>
        <v>3</v>
      </c>
      <c r="H101" s="9">
        <f>VLOOKUP(Table3[[#This Row],[NAME1]], [2]Sheet1!$1:$1048576, 2, 0)</f>
        <v>34.502752000000001</v>
      </c>
      <c r="I101" s="9">
        <f>VLOOKUP(Table3[[#This Row],[NAME1]], [2]Sheet1!$1:$1048576, 3, 0)</f>
        <v>1.550262</v>
      </c>
      <c r="J101" s="9">
        <v>0.14489961800000001</v>
      </c>
      <c r="K101" s="9">
        <v>97.93814433</v>
      </c>
      <c r="L101" s="5">
        <v>97</v>
      </c>
      <c r="M101" s="5">
        <v>2</v>
      </c>
      <c r="N101" s="5">
        <v>1</v>
      </c>
      <c r="O101" s="5">
        <v>2</v>
      </c>
      <c r="P101" s="9">
        <v>3.24</v>
      </c>
    </row>
    <row r="102" spans="1:16" x14ac:dyDescent="0.3">
      <c r="A102" s="14">
        <v>30</v>
      </c>
      <c r="B102" s="5">
        <v>442</v>
      </c>
      <c r="C102" s="2" t="s">
        <v>541</v>
      </c>
      <c r="D102" s="5" t="s">
        <v>542</v>
      </c>
      <c r="E102" s="5">
        <f>LEN(Table3[[#This Row],[NAME1]])</f>
        <v>4</v>
      </c>
      <c r="F102" s="5">
        <f>VLOOKUP(Table3[[#This Row],[NAME1]], [1]Sheet1!$1:$1048576, 4, 0)</f>
        <v>4</v>
      </c>
      <c r="G102" s="5">
        <f>VLOOKUP(Table3[[#This Row],[NAME1]], [1]Sheet1!$1:$1048576, 5, 9)</f>
        <v>3</v>
      </c>
      <c r="H102" s="9">
        <f>VLOOKUP(Table3[[#This Row],[NAME1]], [2]Sheet1!$1:$1048576, 2, 0)</f>
        <v>2.4888509999999999</v>
      </c>
      <c r="I102" s="9">
        <f>VLOOKUP(Table3[[#This Row],[NAME1]], [2]Sheet1!$1:$1048576, 3, 0)</f>
        <v>0.542682</v>
      </c>
      <c r="J102" s="12">
        <v>0</v>
      </c>
      <c r="K102" s="12">
        <v>100</v>
      </c>
      <c r="L102" s="5">
        <v>100</v>
      </c>
      <c r="M102" s="5">
        <v>1</v>
      </c>
      <c r="N102" s="5">
        <v>0</v>
      </c>
      <c r="O102" s="5">
        <v>0</v>
      </c>
      <c r="P102" s="9">
        <v>2.36</v>
      </c>
    </row>
    <row r="103" spans="1:16" x14ac:dyDescent="0.3">
      <c r="A103" s="14">
        <v>135</v>
      </c>
      <c r="B103" s="5">
        <v>224</v>
      </c>
      <c r="C103" s="2" t="s">
        <v>287</v>
      </c>
      <c r="D103" s="5" t="s">
        <v>288</v>
      </c>
      <c r="E103" s="5">
        <f>LEN(Table3[[#This Row],[NAME1]])</f>
        <v>6</v>
      </c>
      <c r="F103" s="5">
        <f>VLOOKUP(Table3[[#This Row],[NAME1]], [1]Sheet1!$1:$1048576, 4, 0)</f>
        <v>6</v>
      </c>
      <c r="G103" s="5">
        <f>VLOOKUP(Table3[[#This Row],[NAME1]], [1]Sheet1!$1:$1048576, 5, 9)</f>
        <v>3</v>
      </c>
      <c r="H103" s="9">
        <f>VLOOKUP(Table3[[#This Row],[NAME1]], [2]Sheet1!$1:$1048576, 2, 0)</f>
        <v>2.3783799999999999</v>
      </c>
      <c r="I103" s="9" t="str">
        <f>VLOOKUP(Table3[[#This Row],[NAME1]], [2]Sheet1!$1:$1048576, 3, 0)</f>
        <v>0.528708</v>
      </c>
      <c r="J103" s="12">
        <v>0</v>
      </c>
      <c r="K103" s="12">
        <v>100</v>
      </c>
      <c r="L103" s="5">
        <v>100</v>
      </c>
      <c r="M103" s="5">
        <v>1</v>
      </c>
      <c r="N103" s="5">
        <v>0</v>
      </c>
      <c r="O103" s="5">
        <v>0</v>
      </c>
      <c r="P103" s="9">
        <v>1.96</v>
      </c>
    </row>
    <row r="104" spans="1:16" x14ac:dyDescent="0.3">
      <c r="A104" s="14">
        <v>229</v>
      </c>
      <c r="B104" s="5">
        <v>175</v>
      </c>
      <c r="C104" s="2" t="s">
        <v>230</v>
      </c>
      <c r="D104" s="5" t="s">
        <v>231</v>
      </c>
      <c r="E104" s="5">
        <f>LEN(Table3[[#This Row],[NAME1]])</f>
        <v>6</v>
      </c>
      <c r="F104" s="5">
        <f>VLOOKUP(Table3[[#This Row],[NAME1]], [1]Sheet1!$1:$1048576, 4, 0)</f>
        <v>6</v>
      </c>
      <c r="G104" s="5">
        <f>VLOOKUP(Table3[[#This Row],[NAME1]], [1]Sheet1!$1:$1048576, 5, 9)</f>
        <v>3</v>
      </c>
      <c r="H104" s="9">
        <f>VLOOKUP(Table3[[#This Row],[NAME1]], [2]Sheet1!$1:$1048576, 2, 0)</f>
        <v>38.180793000000001</v>
      </c>
      <c r="I104" s="9">
        <f>VLOOKUP(Table3[[#This Row],[NAME1]], [2]Sheet1!$1:$1048576, 3, 0)</f>
        <v>1.593073</v>
      </c>
      <c r="J104" s="9">
        <v>0.194391858</v>
      </c>
      <c r="K104" s="12">
        <v>97</v>
      </c>
      <c r="L104" s="5">
        <v>100</v>
      </c>
      <c r="M104" s="5">
        <v>2</v>
      </c>
      <c r="N104" s="5">
        <v>0</v>
      </c>
      <c r="O104" s="5">
        <v>0</v>
      </c>
      <c r="P104" s="9">
        <v>2.93</v>
      </c>
    </row>
    <row r="105" spans="1:16" x14ac:dyDescent="0.3">
      <c r="A105" s="14">
        <v>84</v>
      </c>
      <c r="B105" s="5">
        <v>467</v>
      </c>
      <c r="C105" s="2" t="s">
        <v>581</v>
      </c>
      <c r="D105" s="5" t="s">
        <v>582</v>
      </c>
      <c r="E105" s="5">
        <f>LEN(Table3[[#This Row],[NAME1]])</f>
        <v>5</v>
      </c>
      <c r="F105" s="5">
        <f>VLOOKUP(Table3[[#This Row],[NAME1]], [1]Sheet1!$1:$1048576, 4, 0)</f>
        <v>5</v>
      </c>
      <c r="G105" s="5">
        <f>VLOOKUP(Table3[[#This Row],[NAME1]], [1]Sheet1!$1:$1048576, 5, 9)</f>
        <v>3</v>
      </c>
      <c r="H105" s="9">
        <f>VLOOKUP(Table3[[#This Row],[NAME1]], [2]Sheet1!$1:$1048576, 2, 0)</f>
        <v>1.0234829999999999</v>
      </c>
      <c r="I105" s="9" t="str">
        <f>VLOOKUP(Table3[[#This Row],[NAME1]], [2]Sheet1!$1:$1048576, 3, 0)</f>
        <v>0.306100</v>
      </c>
      <c r="J105" s="12">
        <v>0</v>
      </c>
      <c r="K105" s="12">
        <v>100</v>
      </c>
      <c r="L105" s="5">
        <v>100</v>
      </c>
      <c r="M105" s="5">
        <v>1</v>
      </c>
      <c r="N105" s="5">
        <v>0</v>
      </c>
      <c r="O105" s="5">
        <v>0</v>
      </c>
      <c r="P105" s="9">
        <v>1.7</v>
      </c>
    </row>
    <row r="106" spans="1:16" x14ac:dyDescent="0.3">
      <c r="A106" s="14">
        <v>31</v>
      </c>
      <c r="B106" s="5">
        <v>148</v>
      </c>
      <c r="C106" s="2" t="s">
        <v>192</v>
      </c>
      <c r="D106" s="5" t="s">
        <v>193</v>
      </c>
      <c r="E106" s="5">
        <f>LEN(Table3[[#This Row],[NAME1]])</f>
        <v>4</v>
      </c>
      <c r="F106" s="5">
        <f>VLOOKUP(Table3[[#This Row],[NAME1]], [1]Sheet1!$1:$1048576, 4, 0)</f>
        <v>4</v>
      </c>
      <c r="G106" s="5">
        <f>VLOOKUP(Table3[[#This Row],[NAME1]], [1]Sheet1!$1:$1048576, 5, 9)</f>
        <v>3</v>
      </c>
      <c r="H106" s="9">
        <f>VLOOKUP(Table3[[#This Row],[NAME1]], [2]Sheet1!$1:$1048576, 2, 0)</f>
        <v>4.3798579999999996</v>
      </c>
      <c r="I106" s="9">
        <f>VLOOKUP(Table3[[#This Row],[NAME1]], [2]Sheet1!$1:$1048576, 3, 0)</f>
        <v>0.73077099999999995</v>
      </c>
      <c r="J106" s="12">
        <v>0</v>
      </c>
      <c r="K106" s="12">
        <v>100</v>
      </c>
      <c r="L106" s="5">
        <v>100</v>
      </c>
      <c r="M106" s="5">
        <v>1</v>
      </c>
      <c r="N106" s="5">
        <v>0</v>
      </c>
      <c r="O106" s="5">
        <v>0</v>
      </c>
      <c r="P106" s="9">
        <v>1.79</v>
      </c>
    </row>
    <row r="107" spans="1:16" x14ac:dyDescent="0.3">
      <c r="A107" s="14">
        <v>221</v>
      </c>
      <c r="B107" s="5">
        <v>265</v>
      </c>
      <c r="C107" s="2" t="s">
        <v>331</v>
      </c>
      <c r="D107" s="5" t="s">
        <v>332</v>
      </c>
      <c r="E107" s="5">
        <f>LEN(Table3[[#This Row],[NAME1]])</f>
        <v>6</v>
      </c>
      <c r="F107" s="5">
        <f>VLOOKUP(Table3[[#This Row],[NAME1]], [1]Sheet1!$1:$1048576, 4, 0)</f>
        <v>6</v>
      </c>
      <c r="G107" s="5">
        <f>VLOOKUP(Table3[[#This Row],[NAME1]], [1]Sheet1!$1:$1048576, 5, 9)</f>
        <v>3</v>
      </c>
      <c r="H107" s="9">
        <f>VLOOKUP(Table3[[#This Row],[NAME1]], [2]Sheet1!$1:$1048576, 2, 0)</f>
        <v>6.6932549999999997</v>
      </c>
      <c r="I107" s="9" t="str">
        <f>VLOOKUP(Table3[[#This Row],[NAME1]], [2]Sheet1!$1:$1048576, 3, 0)</f>
        <v>0.886110</v>
      </c>
      <c r="J107" s="9">
        <v>0.14489961800000001</v>
      </c>
      <c r="K107" s="9">
        <v>97.93814433</v>
      </c>
      <c r="L107" s="5">
        <v>97</v>
      </c>
      <c r="M107" s="5">
        <v>2</v>
      </c>
      <c r="N107" s="5">
        <v>0</v>
      </c>
      <c r="O107" s="5">
        <v>3</v>
      </c>
      <c r="P107" s="9">
        <v>3.02</v>
      </c>
    </row>
    <row r="108" spans="1:16" x14ac:dyDescent="0.3">
      <c r="A108" s="14">
        <v>184</v>
      </c>
      <c r="B108" s="5">
        <v>362</v>
      </c>
      <c r="C108" s="2" t="s">
        <v>458</v>
      </c>
      <c r="D108" s="5" t="s">
        <v>459</v>
      </c>
      <c r="E108" s="5">
        <f>LEN(Table3[[#This Row],[NAME1]])</f>
        <v>7</v>
      </c>
      <c r="F108" s="5">
        <f>VLOOKUP(Table3[[#This Row],[NAME1]], [1]Sheet1!$1:$1048576, 4, 0)</f>
        <v>7</v>
      </c>
      <c r="G108" s="5">
        <f>VLOOKUP(Table3[[#This Row],[NAME1]], [1]Sheet1!$1:$1048576, 5, 9)</f>
        <v>3</v>
      </c>
      <c r="H108" s="9">
        <f>VLOOKUP(Table3[[#This Row],[NAME1]], [2]Sheet1!$1:$1048576, 2, 0)</f>
        <v>10.387541000000001</v>
      </c>
      <c r="I108" s="9">
        <f>VLOOKUP(Table3[[#This Row],[NAME1]], [2]Sheet1!$1:$1048576, 3, 0)</f>
        <v>1.05643</v>
      </c>
      <c r="J108" s="12">
        <v>0</v>
      </c>
      <c r="K108" s="12">
        <v>100</v>
      </c>
      <c r="L108" s="5">
        <v>100</v>
      </c>
      <c r="M108" s="5">
        <v>1</v>
      </c>
      <c r="N108" s="5">
        <v>0</v>
      </c>
      <c r="O108" s="5">
        <v>0</v>
      </c>
      <c r="P108" s="9">
        <v>2.1</v>
      </c>
    </row>
    <row r="109" spans="1:16" x14ac:dyDescent="0.3">
      <c r="A109" s="14">
        <v>210</v>
      </c>
      <c r="B109" s="5">
        <v>461</v>
      </c>
      <c r="C109" s="2" t="s">
        <v>571</v>
      </c>
      <c r="D109" s="5" t="s">
        <v>572</v>
      </c>
      <c r="E109" s="5">
        <f>LEN(Table3[[#This Row],[NAME1]])</f>
        <v>7</v>
      </c>
      <c r="F109" s="5">
        <f>VLOOKUP(Table3[[#This Row],[NAME1]], [1]Sheet1!$1:$1048576, 4, 0)</f>
        <v>7</v>
      </c>
      <c r="G109" s="5">
        <f>VLOOKUP(Table3[[#This Row],[NAME1]], [1]Sheet1!$1:$1048576, 5, 9)</f>
        <v>3</v>
      </c>
      <c r="H109" s="9">
        <f>VLOOKUP(Table3[[#This Row],[NAME1]], [2]Sheet1!$1:$1048576, 2, 0)</f>
        <v>13.217553000000001</v>
      </c>
      <c r="I109" s="9">
        <f>VLOOKUP(Table3[[#This Row],[NAME1]], [2]Sheet1!$1:$1048576, 3, 0)</f>
        <v>1.152825</v>
      </c>
      <c r="J109" s="9">
        <v>0.14257333</v>
      </c>
      <c r="K109" s="9">
        <v>97.979797980000001</v>
      </c>
      <c r="L109" s="5">
        <v>99</v>
      </c>
      <c r="M109" s="5">
        <v>2</v>
      </c>
      <c r="N109" s="5">
        <v>0</v>
      </c>
      <c r="O109" s="5">
        <v>1</v>
      </c>
      <c r="P109" s="9">
        <v>2.06</v>
      </c>
    </row>
    <row r="110" spans="1:16" x14ac:dyDescent="0.3">
      <c r="A110" s="14">
        <v>85</v>
      </c>
      <c r="B110" s="5">
        <v>489</v>
      </c>
      <c r="C110" s="2" t="s">
        <v>605</v>
      </c>
      <c r="D110" s="5" t="s">
        <v>606</v>
      </c>
      <c r="E110" s="5">
        <f>LEN(Table3[[#This Row],[NAME1]])</f>
        <v>5</v>
      </c>
      <c r="F110" s="5">
        <f>VLOOKUP(Table3[[#This Row],[NAME1]], [1]Sheet1!$1:$1048576, 4, 0)</f>
        <v>5</v>
      </c>
      <c r="G110" s="5">
        <f>VLOOKUP(Table3[[#This Row],[NAME1]], [1]Sheet1!$1:$1048576, 5, 9)</f>
        <v>3</v>
      </c>
      <c r="H110" s="9">
        <f>VLOOKUP(Table3[[#This Row],[NAME1]], [2]Sheet1!$1:$1048576, 2, 0)</f>
        <v>2.1931780000000001</v>
      </c>
      <c r="I110" s="9" t="str">
        <f>VLOOKUP(Table3[[#This Row],[NAME1]], [2]Sheet1!$1:$1048576, 3, 0)</f>
        <v>0.504223</v>
      </c>
      <c r="J110" s="12">
        <v>0</v>
      </c>
      <c r="K110" s="12">
        <v>100</v>
      </c>
      <c r="L110" s="5">
        <v>100</v>
      </c>
      <c r="M110" s="5">
        <v>1</v>
      </c>
      <c r="N110" s="5">
        <v>0</v>
      </c>
      <c r="O110" s="5">
        <v>0</v>
      </c>
      <c r="P110" s="9">
        <v>2.4300000000000002</v>
      </c>
    </row>
    <row r="111" spans="1:16" x14ac:dyDescent="0.3">
      <c r="A111" s="14">
        <v>186</v>
      </c>
      <c r="B111" s="5">
        <v>171</v>
      </c>
      <c r="C111" s="2" t="s">
        <v>224</v>
      </c>
      <c r="D111" s="5" t="s">
        <v>225</v>
      </c>
      <c r="E111" s="5">
        <f>LEN(Table3[[#This Row],[NAME1]])</f>
        <v>7</v>
      </c>
      <c r="F111" s="5">
        <f>VLOOKUP(Table3[[#This Row],[NAME1]], [1]Sheet1!$1:$1048576, 4, 0)</f>
        <v>7</v>
      </c>
      <c r="G111" s="5">
        <f>VLOOKUP(Table3[[#This Row],[NAME1]], [1]Sheet1!$1:$1048576, 5, 9)</f>
        <v>3</v>
      </c>
      <c r="H111" s="9">
        <f>VLOOKUP(Table3[[#This Row],[NAME1]], [2]Sheet1!$1:$1048576, 2, 0)</f>
        <v>18.026299000000002</v>
      </c>
      <c r="I111" s="9">
        <f>VLOOKUP(Table3[[#This Row],[NAME1]], [2]Sheet1!$1:$1048576, 3, 0)</f>
        <v>1.2793540000000001</v>
      </c>
      <c r="J111" s="12">
        <v>0</v>
      </c>
      <c r="K111" s="12">
        <v>100</v>
      </c>
      <c r="L111" s="5">
        <v>96</v>
      </c>
      <c r="M111" s="5">
        <v>1</v>
      </c>
      <c r="N111" s="5">
        <v>0</v>
      </c>
      <c r="O111" s="5">
        <v>4</v>
      </c>
      <c r="P111" s="9">
        <v>2.71</v>
      </c>
    </row>
    <row r="112" spans="1:16" x14ac:dyDescent="0.3">
      <c r="A112" s="14">
        <v>32</v>
      </c>
      <c r="B112" s="5">
        <v>745</v>
      </c>
      <c r="C112" s="2" t="s">
        <v>913</v>
      </c>
      <c r="D112" s="5" t="s">
        <v>914</v>
      </c>
      <c r="E112" s="5">
        <f>LEN(Table3[[#This Row],[NAME1]])</f>
        <v>4</v>
      </c>
      <c r="F112" s="5">
        <f>VLOOKUP(Table3[[#This Row],[NAME1]], [1]Sheet1!$1:$1048576, 4, 0)</f>
        <v>4</v>
      </c>
      <c r="G112" s="5">
        <f>VLOOKUP(Table3[[#This Row],[NAME1]], [1]Sheet1!$1:$1048576, 5, 9)</f>
        <v>3</v>
      </c>
      <c r="H112" s="9">
        <f>VLOOKUP(Table3[[#This Row],[NAME1]], [2]Sheet1!$1:$1048576, 2, 0)</f>
        <v>16.996317999999999</v>
      </c>
      <c r="I112" s="9">
        <f>VLOOKUP(Table3[[#This Row],[NAME1]], [2]Sheet1!$1:$1048576, 3, 0)</f>
        <v>1.2551840000000001</v>
      </c>
      <c r="J112" s="12">
        <v>0</v>
      </c>
      <c r="K112" s="12">
        <v>100</v>
      </c>
      <c r="L112" s="5">
        <v>99</v>
      </c>
      <c r="M112" s="5">
        <v>1</v>
      </c>
      <c r="N112" s="5">
        <v>1</v>
      </c>
      <c r="O112" s="5">
        <v>0</v>
      </c>
      <c r="P112" s="9">
        <v>2.87</v>
      </c>
    </row>
    <row r="113" spans="1:16" x14ac:dyDescent="0.3">
      <c r="A113" s="14">
        <v>209</v>
      </c>
      <c r="B113" s="5">
        <v>178</v>
      </c>
      <c r="C113" s="2" t="s">
        <v>232</v>
      </c>
      <c r="D113" s="5" t="s">
        <v>233</v>
      </c>
      <c r="E113" s="5">
        <f>LEN(Table3[[#This Row],[NAME1]])</f>
        <v>6</v>
      </c>
      <c r="F113" s="5">
        <f>VLOOKUP(Table3[[#This Row],[NAME1]], [1]Sheet1!$1:$1048576, 4, 0)</f>
        <v>6</v>
      </c>
      <c r="G113" s="5">
        <f>VLOOKUP(Table3[[#This Row],[NAME1]], [1]Sheet1!$1:$1048576, 5, 9)</f>
        <v>3</v>
      </c>
      <c r="H113" s="9">
        <f>VLOOKUP(Table3[[#This Row],[NAME1]], [2]Sheet1!$1:$1048576, 2, 0)</f>
        <v>63.377972</v>
      </c>
      <c r="I113" s="9">
        <f>VLOOKUP(Table3[[#This Row],[NAME1]], [2]Sheet1!$1:$1048576, 3, 0)</f>
        <v>1.808737</v>
      </c>
      <c r="J113" s="9">
        <v>0.14257333</v>
      </c>
      <c r="K113" s="9">
        <v>97.979797980000001</v>
      </c>
      <c r="L113" s="5">
        <v>99</v>
      </c>
      <c r="M113" s="5">
        <v>2</v>
      </c>
      <c r="N113" s="5">
        <v>0</v>
      </c>
      <c r="O113" s="5">
        <v>1</v>
      </c>
      <c r="P113" s="9">
        <v>2.5858585860000001</v>
      </c>
    </row>
    <row r="114" spans="1:16" x14ac:dyDescent="0.3">
      <c r="A114" s="14">
        <v>136</v>
      </c>
      <c r="B114" s="5">
        <v>546</v>
      </c>
      <c r="C114" s="2" t="s">
        <v>687</v>
      </c>
      <c r="D114" s="5" t="s">
        <v>688</v>
      </c>
      <c r="E114" s="5">
        <f>LEN(Table3[[#This Row],[NAME1]])</f>
        <v>6</v>
      </c>
      <c r="F114" s="5">
        <f>VLOOKUP(Table3[[#This Row],[NAME1]], [1]Sheet1!$1:$1048576, 4, 0)</f>
        <v>6</v>
      </c>
      <c r="G114" s="5">
        <f>VLOOKUP(Table3[[#This Row],[NAME1]], [1]Sheet1!$1:$1048576, 5, 9)</f>
        <v>3</v>
      </c>
      <c r="H114" s="9">
        <f>VLOOKUP(Table3[[#This Row],[NAME1]], [2]Sheet1!$1:$1048576, 2, 0)</f>
        <v>158.97779199999999</v>
      </c>
      <c r="I114" s="9">
        <f>VLOOKUP(Table3[[#This Row],[NAME1]], [2]Sheet1!$1:$1048576, 3, 0)</f>
        <v>2.2040600000000001</v>
      </c>
      <c r="J114" s="12">
        <v>0</v>
      </c>
      <c r="K114" s="12">
        <v>100</v>
      </c>
      <c r="L114" s="5">
        <v>100</v>
      </c>
      <c r="M114" s="5">
        <v>1</v>
      </c>
      <c r="N114" s="5">
        <v>0</v>
      </c>
      <c r="O114" s="5">
        <v>0</v>
      </c>
      <c r="P114" s="9">
        <v>1.66</v>
      </c>
    </row>
    <row r="115" spans="1:16" x14ac:dyDescent="0.3">
      <c r="A115" s="14">
        <v>233</v>
      </c>
      <c r="B115" s="5">
        <v>495</v>
      </c>
      <c r="C115" s="2" t="s">
        <v>611</v>
      </c>
      <c r="D115" s="5" t="s">
        <v>612</v>
      </c>
      <c r="E115" s="5">
        <f>LEN(Table3[[#This Row],[NAME1]])</f>
        <v>6</v>
      </c>
      <c r="F115" s="5">
        <f>VLOOKUP(Table3[[#This Row],[NAME1]], [1]Sheet1!$1:$1048576, 4, 0)</f>
        <v>6</v>
      </c>
      <c r="G115" s="5">
        <f>VLOOKUP(Table3[[#This Row],[NAME1]], [1]Sheet1!$1:$1048576, 5, 9)</f>
        <v>3</v>
      </c>
      <c r="H115" s="9">
        <f>VLOOKUP(Table3[[#This Row],[NAME1]], [2]Sheet1!$1:$1048576, 2, 0)</f>
        <v>115.299432</v>
      </c>
      <c r="I115" s="9">
        <f>VLOOKUP(Table3[[#This Row],[NAME1]], [2]Sheet1!$1:$1048576, 3, 0)</f>
        <v>2.0655779999999999</v>
      </c>
      <c r="J115" s="9">
        <v>0.195909271</v>
      </c>
      <c r="K115" s="9">
        <v>96.969696970000001</v>
      </c>
      <c r="L115" s="5">
        <v>99</v>
      </c>
      <c r="M115" s="5">
        <v>2</v>
      </c>
      <c r="N115" s="5">
        <v>0</v>
      </c>
      <c r="O115" s="5">
        <v>1</v>
      </c>
      <c r="P115" s="9">
        <v>3.59</v>
      </c>
    </row>
    <row r="116" spans="1:16" x14ac:dyDescent="0.3">
      <c r="A116" s="14">
        <v>137</v>
      </c>
      <c r="B116" s="5">
        <v>112</v>
      </c>
      <c r="C116" s="2" t="s">
        <v>144</v>
      </c>
      <c r="D116" s="5" t="s">
        <v>145</v>
      </c>
      <c r="E116" s="5">
        <f>LEN(Table3[[#This Row],[NAME1]])</f>
        <v>6</v>
      </c>
      <c r="F116" s="5">
        <f>VLOOKUP(Table3[[#This Row],[NAME1]], [1]Sheet1!$1:$1048576, 4, 0)</f>
        <v>6</v>
      </c>
      <c r="G116" s="5">
        <f>VLOOKUP(Table3[[#This Row],[NAME1]], [1]Sheet1!$1:$1048576, 5, 9)</f>
        <v>3</v>
      </c>
      <c r="H116" s="9">
        <f>VLOOKUP(Table3[[#This Row],[NAME1]], [2]Sheet1!$1:$1048576, 2, 0)</f>
        <v>6.0174310000000002</v>
      </c>
      <c r="I116" s="9" t="str">
        <f>VLOOKUP(Table3[[#This Row],[NAME1]], [2]Sheet1!$1:$1048576, 3, 0)</f>
        <v>0.846178</v>
      </c>
      <c r="J116" s="12">
        <v>0</v>
      </c>
      <c r="K116" s="12">
        <v>100</v>
      </c>
      <c r="L116" s="5">
        <v>98</v>
      </c>
      <c r="M116" s="5">
        <v>1</v>
      </c>
      <c r="N116" s="5">
        <v>1</v>
      </c>
      <c r="O116" s="5">
        <v>1</v>
      </c>
      <c r="P116" s="9">
        <v>2.58</v>
      </c>
    </row>
    <row r="117" spans="1:16" x14ac:dyDescent="0.3">
      <c r="A117" s="14">
        <v>285</v>
      </c>
      <c r="B117" s="5">
        <v>728</v>
      </c>
      <c r="C117" s="2" t="s">
        <v>895</v>
      </c>
      <c r="D117" s="5" t="s">
        <v>896</v>
      </c>
      <c r="E117" s="5">
        <f>LEN(Table3[[#This Row],[NAME1]])</f>
        <v>5</v>
      </c>
      <c r="F117" s="5">
        <f>VLOOKUP(Table3[[#This Row],[NAME1]], [1]Sheet1!$1:$1048576, 4, 0)</f>
        <v>5</v>
      </c>
      <c r="G117" s="5">
        <f>VLOOKUP(Table3[[#This Row],[NAME1]], [1]Sheet1!$1:$1048576, 5, 9)</f>
        <v>3</v>
      </c>
      <c r="H117" s="9">
        <f>VLOOKUP(Table3[[#This Row],[NAME1]], [2]Sheet1!$1:$1048576, 2, 0)</f>
        <v>1.445873</v>
      </c>
      <c r="I117" s="9" t="str">
        <f>VLOOKUP(Table3[[#This Row],[NAME1]], [2]Sheet1!$1:$1048576, 3, 0)</f>
        <v>0.388434</v>
      </c>
      <c r="J117" s="9">
        <v>0.32984606999999999</v>
      </c>
      <c r="K117" s="9">
        <v>93.939393940000002</v>
      </c>
      <c r="L117" s="5">
        <v>99</v>
      </c>
      <c r="M117" s="5">
        <v>2</v>
      </c>
      <c r="N117" s="5">
        <v>1</v>
      </c>
      <c r="O117" s="5">
        <v>0</v>
      </c>
      <c r="P117" s="9">
        <v>2.71</v>
      </c>
    </row>
    <row r="118" spans="1:16" x14ac:dyDescent="0.3">
      <c r="A118" s="14">
        <v>316</v>
      </c>
      <c r="B118" s="5">
        <v>588</v>
      </c>
      <c r="C118" s="2" t="s">
        <v>732</v>
      </c>
      <c r="D118" s="5" t="s">
        <v>733</v>
      </c>
      <c r="E118" s="5">
        <f>LEN(Table3[[#This Row],[NAME1]])</f>
        <v>7</v>
      </c>
      <c r="F118" s="5">
        <f>VLOOKUP(Table3[[#This Row],[NAME1]], [1]Sheet1!$1:$1048576, 4, 0)</f>
        <v>7</v>
      </c>
      <c r="G118" s="5">
        <f>VLOOKUP(Table3[[#This Row],[NAME1]], [1]Sheet1!$1:$1048576, 5, 9)</f>
        <v>3</v>
      </c>
      <c r="H118" s="9">
        <f>VLOOKUP(Table3[[#This Row],[NAME1]], [2]Sheet1!$1:$1048576, 2, 0)</f>
        <v>1.2346779999999999</v>
      </c>
      <c r="I118" s="9" t="str">
        <f>VLOOKUP(Table3[[#This Row],[NAME1]], [2]Sheet1!$1:$1048576, 3, 0)</f>
        <v>0.349215</v>
      </c>
      <c r="J118" s="9">
        <v>0.43646981699999998</v>
      </c>
      <c r="K118" s="12">
        <v>91</v>
      </c>
      <c r="L118" s="5">
        <v>100</v>
      </c>
      <c r="M118" s="5">
        <v>2</v>
      </c>
      <c r="N118" s="5">
        <v>0</v>
      </c>
      <c r="O118" s="5">
        <v>0</v>
      </c>
      <c r="P118" s="9">
        <v>2.31</v>
      </c>
    </row>
    <row r="119" spans="1:16" x14ac:dyDescent="0.3">
      <c r="A119" s="14">
        <v>199</v>
      </c>
      <c r="B119" s="5">
        <v>411</v>
      </c>
      <c r="C119" s="2" t="s">
        <v>512</v>
      </c>
      <c r="D119" s="5" t="s">
        <v>513</v>
      </c>
      <c r="E119" s="5">
        <f>LEN(Table3[[#This Row],[NAME1]])</f>
        <v>4</v>
      </c>
      <c r="F119" s="5">
        <f>VLOOKUP(Table3[[#This Row],[NAME1]], [1]Sheet1!$1:$1048576, 4, 0)</f>
        <v>4</v>
      </c>
      <c r="G119" s="5">
        <f>VLOOKUP(Table3[[#This Row],[NAME1]], [1]Sheet1!$1:$1048576, 5, 9)</f>
        <v>3</v>
      </c>
      <c r="H119" s="9">
        <f>VLOOKUP(Table3[[#This Row],[NAME1]], [2]Sheet1!$1:$1048576, 2, 0)</f>
        <v>5.9816900000000004</v>
      </c>
      <c r="I119" s="9" t="str">
        <f>VLOOKUP(Table3[[#This Row],[NAME1]], [2]Sheet1!$1:$1048576, 3, 0)</f>
        <v>0.843961</v>
      </c>
      <c r="J119" s="9">
        <v>0.141440543</v>
      </c>
      <c r="K119" s="12">
        <v>98</v>
      </c>
      <c r="L119" s="5">
        <v>100</v>
      </c>
      <c r="M119" s="5">
        <v>2</v>
      </c>
      <c r="N119" s="5">
        <v>0</v>
      </c>
      <c r="O119" s="5">
        <v>0</v>
      </c>
      <c r="P119" s="9">
        <v>2.31</v>
      </c>
    </row>
    <row r="120" spans="1:16" x14ac:dyDescent="0.3">
      <c r="A120" s="14">
        <v>138</v>
      </c>
      <c r="B120" s="5">
        <v>338</v>
      </c>
      <c r="C120" s="2" t="s">
        <v>424</v>
      </c>
      <c r="D120" s="5" t="s">
        <v>425</v>
      </c>
      <c r="E120" s="5">
        <f>LEN(Table3[[#This Row],[NAME1]])</f>
        <v>6</v>
      </c>
      <c r="F120" s="5">
        <f>VLOOKUP(Table3[[#This Row],[NAME1]], [1]Sheet1!$1:$1048576, 4, 0)</f>
        <v>6</v>
      </c>
      <c r="G120" s="19">
        <v>3</v>
      </c>
      <c r="H120" s="9">
        <f>VLOOKUP(Table3[[#This Row],[NAME1]], [2]Sheet1!$1:$1048576, 2, 0)</f>
        <v>15.066321</v>
      </c>
      <c r="I120" s="9">
        <f>VLOOKUP(Table3[[#This Row],[NAME1]], [2]Sheet1!$1:$1048576, 3, 0)</f>
        <v>1.205916</v>
      </c>
      <c r="J120" s="12">
        <v>0</v>
      </c>
      <c r="K120" s="12">
        <v>100</v>
      </c>
      <c r="L120" s="5">
        <v>98</v>
      </c>
      <c r="M120" s="5">
        <v>1</v>
      </c>
      <c r="N120" s="5">
        <v>0</v>
      </c>
      <c r="O120" s="5">
        <v>2</v>
      </c>
      <c r="P120" s="9">
        <v>1.85</v>
      </c>
    </row>
    <row r="121" spans="1:16" x14ac:dyDescent="0.3">
      <c r="A121" s="14">
        <v>283</v>
      </c>
      <c r="B121" s="5">
        <v>560</v>
      </c>
      <c r="C121" s="2" t="s">
        <v>703</v>
      </c>
      <c r="D121" s="5" t="s">
        <v>704</v>
      </c>
      <c r="E121" s="5">
        <f>LEN(Table3[[#This Row],[NAME1]])</f>
        <v>6</v>
      </c>
      <c r="F121" s="5">
        <f>VLOOKUP(Table3[[#This Row],[NAME1]], [1]Sheet1!$1:$1048576, 4, 0)</f>
        <v>6</v>
      </c>
      <c r="G121" s="19">
        <v>3</v>
      </c>
      <c r="H121" s="9">
        <f>VLOOKUP(Table3[[#This Row],[NAME1]], [2]Sheet1!$1:$1048576, 2, 0)</f>
        <v>1.172944</v>
      </c>
      <c r="I121" s="9" t="str">
        <f>VLOOKUP(Table3[[#This Row],[NAME1]], [2]Sheet1!$1:$1048576, 3, 0)</f>
        <v>0.337049</v>
      </c>
      <c r="J121" s="9">
        <v>0.327444919</v>
      </c>
      <c r="K121" s="12">
        <v>94</v>
      </c>
      <c r="L121" s="5">
        <v>100</v>
      </c>
      <c r="M121" s="5">
        <v>2</v>
      </c>
      <c r="N121" s="5">
        <v>0</v>
      </c>
      <c r="O121" s="5">
        <v>0</v>
      </c>
      <c r="P121" s="9">
        <v>2.323232323</v>
      </c>
    </row>
    <row r="122" spans="1:16" x14ac:dyDescent="0.3">
      <c r="A122" s="14">
        <v>139</v>
      </c>
      <c r="B122" s="5">
        <v>12</v>
      </c>
      <c r="C122" s="2" t="s">
        <v>17</v>
      </c>
      <c r="D122" s="5" t="s">
        <v>18</v>
      </c>
      <c r="E122" s="5">
        <f>LEN(Table3[[#This Row],[NAME1]])</f>
        <v>6</v>
      </c>
      <c r="F122" s="5">
        <f>VLOOKUP(Table3[[#This Row],[NAME1]], [1]Sheet1!$1:$1048576, 4, 0)</f>
        <v>6</v>
      </c>
      <c r="G122" s="19">
        <v>3</v>
      </c>
      <c r="H122" s="9">
        <f>VLOOKUP(Table3[[#This Row],[NAME1]], [2]Sheet1!$1:$1048576, 2, 0)</f>
        <v>3.7917610000000002</v>
      </c>
      <c r="I122" s="9" t="str">
        <f>VLOOKUP(Table3[[#This Row],[NAME1]], [2]Sheet1!$1:$1048576, 3, 0)</f>
        <v>0.680495</v>
      </c>
      <c r="J122" s="12">
        <v>0</v>
      </c>
      <c r="K122" s="12">
        <v>100</v>
      </c>
      <c r="L122" s="5">
        <v>100</v>
      </c>
      <c r="M122" s="5">
        <v>1</v>
      </c>
      <c r="N122" s="5">
        <v>0</v>
      </c>
      <c r="O122" s="5">
        <v>0</v>
      </c>
      <c r="P122" s="9">
        <v>2.48</v>
      </c>
    </row>
    <row r="123" spans="1:16" x14ac:dyDescent="0.3">
      <c r="A123" s="14">
        <v>188</v>
      </c>
      <c r="B123" s="5">
        <v>79</v>
      </c>
      <c r="C123" s="2" t="s">
        <v>100</v>
      </c>
      <c r="D123" s="5" t="s">
        <v>101</v>
      </c>
      <c r="E123" s="5">
        <f>LEN(Table3[[#This Row],[NAME1]])</f>
        <v>7</v>
      </c>
      <c r="F123" s="5">
        <f>VLOOKUP(Table3[[#This Row],[NAME1]], [1]Sheet1!$1:$1048576, 4, 0)</f>
        <v>7</v>
      </c>
      <c r="G123" s="19">
        <v>3</v>
      </c>
      <c r="H123" s="9">
        <f>VLOOKUP(Table3[[#This Row],[NAME1]], [2]Sheet1!$1:$1048576, 2, 0)</f>
        <v>8.8117020000000004</v>
      </c>
      <c r="I123" s="9" t="str">
        <f>VLOOKUP(Table3[[#This Row],[NAME1]], [2]Sheet1!$1:$1048576, 3, 0)</f>
        <v>0.991744</v>
      </c>
      <c r="J123" s="12">
        <v>0</v>
      </c>
      <c r="K123" s="12">
        <v>100</v>
      </c>
      <c r="L123" s="5">
        <v>98</v>
      </c>
      <c r="M123" s="5">
        <v>1</v>
      </c>
      <c r="N123" s="5">
        <v>0</v>
      </c>
      <c r="O123" s="5">
        <v>2</v>
      </c>
      <c r="P123" s="9">
        <v>1.87</v>
      </c>
    </row>
    <row r="124" spans="1:16" x14ac:dyDescent="0.3">
      <c r="A124" s="14">
        <v>143</v>
      </c>
      <c r="B124" s="5">
        <v>66</v>
      </c>
      <c r="C124" s="2" t="s">
        <v>82</v>
      </c>
      <c r="D124" s="5" t="s">
        <v>83</v>
      </c>
      <c r="E124" s="5">
        <f>LEN(Table3[[#This Row],[NAME1]])</f>
        <v>6</v>
      </c>
      <c r="F124" s="5">
        <f>VLOOKUP(Table3[[#This Row],[NAME1]], [1]Sheet1!$1:$1048576, 4, 0)</f>
        <v>6</v>
      </c>
      <c r="G124" s="19">
        <v>3</v>
      </c>
      <c r="H124" s="9">
        <f>VLOOKUP(Table3[[#This Row],[NAME1]], [2]Sheet1!$1:$1048576, 2, 0)</f>
        <v>6.2383730000000002</v>
      </c>
      <c r="I124" s="9" t="str">
        <f>VLOOKUP(Table3[[#This Row],[NAME1]], [2]Sheet1!$1:$1048576, 3, 0)</f>
        <v>0.859641</v>
      </c>
      <c r="J124" s="12">
        <v>0</v>
      </c>
      <c r="K124" s="12">
        <v>100</v>
      </c>
      <c r="L124" s="5">
        <v>98</v>
      </c>
      <c r="M124" s="5">
        <v>1</v>
      </c>
      <c r="N124" s="5">
        <v>0</v>
      </c>
      <c r="O124" s="5">
        <v>2</v>
      </c>
      <c r="P124" s="9">
        <v>2.41</v>
      </c>
    </row>
    <row r="125" spans="1:16" x14ac:dyDescent="0.3">
      <c r="A125" s="14">
        <v>189</v>
      </c>
      <c r="B125" s="5">
        <v>673</v>
      </c>
      <c r="C125" s="2" t="s">
        <v>832</v>
      </c>
      <c r="D125" s="5" t="s">
        <v>833</v>
      </c>
      <c r="E125" s="5">
        <f>LEN(Table3[[#This Row],[NAME1]])</f>
        <v>7</v>
      </c>
      <c r="F125" s="5">
        <f>VLOOKUP(Table3[[#This Row],[NAME1]], [1]Sheet1!$1:$1048576, 4, 0)</f>
        <v>7</v>
      </c>
      <c r="G125" s="19">
        <v>3</v>
      </c>
      <c r="H125" s="9">
        <f>VLOOKUP(Table3[[#This Row],[NAME1]], [2]Sheet1!$1:$1048576, 2, 0)</f>
        <v>1.9040029999999999</v>
      </c>
      <c r="I125" s="9" t="str">
        <f>VLOOKUP(Table3[[#This Row],[NAME1]], [2]Sheet1!$1:$1048576, 3, 0)</f>
        <v>0.462997</v>
      </c>
      <c r="J125" s="12">
        <v>0</v>
      </c>
      <c r="K125" s="12">
        <v>100</v>
      </c>
      <c r="L125" s="5">
        <v>100</v>
      </c>
      <c r="M125" s="5">
        <v>1</v>
      </c>
      <c r="N125" s="5">
        <v>0</v>
      </c>
      <c r="O125" s="5">
        <v>0</v>
      </c>
      <c r="P125" s="9">
        <v>1.35</v>
      </c>
    </row>
    <row r="126" spans="1:16" x14ac:dyDescent="0.3">
      <c r="A126" s="14">
        <v>234</v>
      </c>
      <c r="B126" s="5">
        <v>392</v>
      </c>
      <c r="C126" s="2" t="s">
        <v>490</v>
      </c>
      <c r="D126" s="5" t="s">
        <v>491</v>
      </c>
      <c r="E126" s="5">
        <f>LEN(Table3[[#This Row],[NAME1]])</f>
        <v>6</v>
      </c>
      <c r="F126" s="5">
        <f>VLOOKUP(Table3[[#This Row],[NAME1]], [1]Sheet1!$1:$1048576, 4, 0)</f>
        <v>6</v>
      </c>
      <c r="G126" s="19">
        <v>3</v>
      </c>
      <c r="H126" s="9">
        <f>VLOOKUP(Table3[[#This Row],[NAME1]], [2]Sheet1!$1:$1048576, 2, 0)</f>
        <v>0.71156399999999997</v>
      </c>
      <c r="I126" s="9" t="str">
        <f>VLOOKUP(Table3[[#This Row],[NAME1]], [2]Sheet1!$1:$1048576, 3, 0)</f>
        <v>0.233393</v>
      </c>
      <c r="J126" s="9">
        <v>0.195909271</v>
      </c>
      <c r="K126" s="9">
        <v>96.969696970000001</v>
      </c>
      <c r="L126" s="5">
        <v>99</v>
      </c>
      <c r="M126" s="5">
        <v>2</v>
      </c>
      <c r="N126" s="5">
        <v>0</v>
      </c>
      <c r="O126" s="5">
        <v>1</v>
      </c>
      <c r="P126" s="9">
        <v>1.82</v>
      </c>
    </row>
    <row r="127" spans="1:16" x14ac:dyDescent="0.3">
      <c r="A127" s="14">
        <v>190</v>
      </c>
      <c r="B127" s="5">
        <v>533</v>
      </c>
      <c r="C127" s="2" t="s">
        <v>671</v>
      </c>
      <c r="D127" s="5" t="s">
        <v>672</v>
      </c>
      <c r="E127" s="5">
        <f>LEN(Table3[[#This Row],[NAME1]])</f>
        <v>7</v>
      </c>
      <c r="F127" s="5">
        <f>VLOOKUP(Table3[[#This Row],[NAME1]], [1]Sheet1!$1:$1048576, 4, 0)</f>
        <v>7</v>
      </c>
      <c r="G127" s="19">
        <v>3</v>
      </c>
      <c r="H127" s="9">
        <f>VLOOKUP(Table3[[#This Row],[NAME1]], [2]Sheet1!$1:$1048576, 2, 0)</f>
        <v>3.4083610000000002</v>
      </c>
      <c r="I127" s="9" t="str">
        <f>VLOOKUP(Table3[[#This Row],[NAME1]], [2]Sheet1!$1:$1048576, 3, 0)</f>
        <v>0.644277</v>
      </c>
      <c r="J127" s="12">
        <v>0</v>
      </c>
      <c r="K127" s="12">
        <v>100</v>
      </c>
      <c r="L127" s="5">
        <v>100</v>
      </c>
      <c r="M127" s="5">
        <v>1</v>
      </c>
      <c r="N127" s="5">
        <v>0</v>
      </c>
      <c r="O127" s="5">
        <v>0</v>
      </c>
      <c r="P127" s="9">
        <v>2.63</v>
      </c>
    </row>
    <row r="128" spans="1:16" x14ac:dyDescent="0.3">
      <c r="A128" s="14">
        <v>191</v>
      </c>
      <c r="B128" s="5">
        <v>453</v>
      </c>
      <c r="C128" s="2" t="s">
        <v>559</v>
      </c>
      <c r="D128" s="5" t="s">
        <v>560</v>
      </c>
      <c r="E128" s="5">
        <f>LEN(Table3[[#This Row],[NAME1]])</f>
        <v>7</v>
      </c>
      <c r="F128" s="5">
        <f>VLOOKUP(Table3[[#This Row],[NAME1]], [1]Sheet1!$1:$1048576, 4, 0)</f>
        <v>7</v>
      </c>
      <c r="G128" s="19">
        <v>3</v>
      </c>
      <c r="H128" s="9">
        <f>VLOOKUP(Table3[[#This Row],[NAME1]], [2]Sheet1!$1:$1048576, 2, 0)</f>
        <v>2.41412</v>
      </c>
      <c r="I128" s="9" t="str">
        <f>VLOOKUP(Table3[[#This Row],[NAME1]], [2]Sheet1!$1:$1048576, 3, 0)</f>
        <v>0.533279</v>
      </c>
      <c r="J128" s="12">
        <v>0</v>
      </c>
      <c r="K128" s="12">
        <v>100</v>
      </c>
      <c r="L128" s="5">
        <v>100</v>
      </c>
      <c r="M128" s="5">
        <v>1</v>
      </c>
      <c r="N128" s="5">
        <v>0</v>
      </c>
      <c r="O128" s="5">
        <v>0</v>
      </c>
      <c r="P128" s="9">
        <v>1.6</v>
      </c>
    </row>
    <row r="129" spans="1:16" x14ac:dyDescent="0.3">
      <c r="A129" s="14">
        <v>144</v>
      </c>
      <c r="B129" s="5">
        <v>326</v>
      </c>
      <c r="C129" s="2" t="s">
        <v>409</v>
      </c>
      <c r="D129" s="5" t="s">
        <v>410</v>
      </c>
      <c r="E129" s="5">
        <f>LEN(Table3[[#This Row],[NAME1]])</f>
        <v>6</v>
      </c>
      <c r="F129" s="5">
        <f>VLOOKUP(Table3[[#This Row],[NAME1]], [1]Sheet1!$1:$1048576, 4, 0)</f>
        <v>6</v>
      </c>
      <c r="G129" s="19">
        <v>3</v>
      </c>
      <c r="H129" s="9">
        <f>VLOOKUP(Table3[[#This Row],[NAME1]], [2]Sheet1!$1:$1048576, 2, 0)</f>
        <v>6.9629339999999997</v>
      </c>
      <c r="I129" s="9" t="str">
        <f>VLOOKUP(Table3[[#This Row],[NAME1]], [2]Sheet1!$1:$1048576, 3, 0)</f>
        <v>0.901073</v>
      </c>
      <c r="J129" s="12">
        <v>0</v>
      </c>
      <c r="K129" s="12">
        <v>100</v>
      </c>
      <c r="L129" s="5">
        <v>100</v>
      </c>
      <c r="M129" s="5">
        <v>1</v>
      </c>
      <c r="N129" s="5">
        <v>0</v>
      </c>
      <c r="O129" s="5">
        <v>0</v>
      </c>
      <c r="P129" s="9">
        <v>1.71</v>
      </c>
    </row>
    <row r="130" spans="1:16" x14ac:dyDescent="0.3">
      <c r="A130" s="14">
        <v>145</v>
      </c>
      <c r="B130" s="5">
        <v>144</v>
      </c>
      <c r="C130" s="2" t="s">
        <v>186</v>
      </c>
      <c r="D130" s="5" t="s">
        <v>187</v>
      </c>
      <c r="E130" s="5">
        <f>LEN(Table3[[#This Row],[NAME1]])</f>
        <v>6</v>
      </c>
      <c r="F130" s="5">
        <f>VLOOKUP(Table3[[#This Row],[NAME1]], [1]Sheet1!$1:$1048576, 4, 0)</f>
        <v>6</v>
      </c>
      <c r="G130" s="19">
        <v>3</v>
      </c>
      <c r="H130" s="9">
        <f>VLOOKUP(Table3[[#This Row],[NAME1]], [2]Sheet1!$1:$1048576, 2, 0)</f>
        <v>8.3275780000000008</v>
      </c>
      <c r="I130" s="9" t="str">
        <f>VLOOKUP(Table3[[#This Row],[NAME1]], [2]Sheet1!$1:$1048576, 3, 0)</f>
        <v>0.969769</v>
      </c>
      <c r="J130" s="12">
        <v>0</v>
      </c>
      <c r="K130" s="12">
        <v>100</v>
      </c>
      <c r="L130" s="5">
        <v>100</v>
      </c>
      <c r="M130" s="5">
        <v>1</v>
      </c>
      <c r="N130" s="5">
        <v>0</v>
      </c>
      <c r="O130" s="5">
        <v>0</v>
      </c>
      <c r="P130" s="9">
        <v>2.74</v>
      </c>
    </row>
    <row r="131" spans="1:16" x14ac:dyDescent="0.3">
      <c r="A131" s="14">
        <v>192</v>
      </c>
      <c r="B131" s="5">
        <v>531</v>
      </c>
      <c r="C131" s="2" t="s">
        <v>667</v>
      </c>
      <c r="D131" s="5" t="s">
        <v>668</v>
      </c>
      <c r="E131" s="5">
        <f>LEN(Table3[[#This Row],[NAME1]])</f>
        <v>7</v>
      </c>
      <c r="F131" s="5">
        <f>VLOOKUP(Table3[[#This Row],[NAME1]], [1]Sheet1!$1:$1048576, 4, 0)</f>
        <v>7</v>
      </c>
      <c r="G131" s="19">
        <v>3</v>
      </c>
      <c r="H131" s="9">
        <f>VLOOKUP(Table3[[#This Row],[NAME1]], [2]Sheet1!$1:$1048576, 2, 0)</f>
        <v>5.6340310000000002</v>
      </c>
      <c r="I131" s="9" t="str">
        <f>VLOOKUP(Table3[[#This Row],[NAME1]], [2]Sheet1!$1:$1048576, 3, 0)</f>
        <v>0.821777</v>
      </c>
      <c r="J131" s="12">
        <v>0</v>
      </c>
      <c r="K131" s="12">
        <v>100</v>
      </c>
      <c r="L131" s="5">
        <v>99</v>
      </c>
      <c r="M131" s="5">
        <v>1</v>
      </c>
      <c r="N131" s="5">
        <v>0</v>
      </c>
      <c r="O131" s="5">
        <v>1</v>
      </c>
      <c r="P131" s="9">
        <v>3</v>
      </c>
    </row>
    <row r="132" spans="1:16" x14ac:dyDescent="0.3">
      <c r="A132" s="14">
        <v>222</v>
      </c>
      <c r="B132" s="5">
        <v>625</v>
      </c>
      <c r="C132" s="2" t="s">
        <v>780</v>
      </c>
      <c r="D132" s="5" t="s">
        <v>781</v>
      </c>
      <c r="E132" s="5">
        <f>LEN(Table3[[#This Row],[NAME1]])</f>
        <v>6</v>
      </c>
      <c r="F132" s="5">
        <f>VLOOKUP(Table3[[#This Row],[NAME1]], [1]Sheet1!$1:$1048576, 4, 0)</f>
        <v>6</v>
      </c>
      <c r="G132" s="19">
        <v>3</v>
      </c>
      <c r="H132" s="9">
        <f>VLOOKUP(Table3[[#This Row],[NAME1]], [2]Sheet1!$1:$1048576, 2, 0)</f>
        <v>1.80328</v>
      </c>
      <c r="I132" s="9" t="str">
        <f>VLOOKUP(Table3[[#This Row],[NAME1]], [2]Sheet1!$1:$1048576, 3, 0)</f>
        <v>0.447666</v>
      </c>
      <c r="J132" s="9">
        <v>0.14489961800000001</v>
      </c>
      <c r="K132" s="9">
        <v>97.93814433</v>
      </c>
      <c r="L132" s="5">
        <v>97</v>
      </c>
      <c r="M132" s="5">
        <v>2</v>
      </c>
      <c r="N132" s="5">
        <v>2</v>
      </c>
      <c r="O132" s="5">
        <v>1</v>
      </c>
      <c r="P132" s="9">
        <v>2.15</v>
      </c>
    </row>
    <row r="133" spans="1:16" x14ac:dyDescent="0.3">
      <c r="A133" s="14">
        <v>218</v>
      </c>
      <c r="B133" s="5">
        <v>597</v>
      </c>
      <c r="C133" s="2" t="s">
        <v>742</v>
      </c>
      <c r="D133" s="5" t="s">
        <v>743</v>
      </c>
      <c r="E133" s="5">
        <f>LEN(Table3[[#This Row],[NAME1]])</f>
        <v>7</v>
      </c>
      <c r="F133" s="5">
        <f>VLOOKUP(Table3[[#This Row],[NAME1]], [1]Sheet1!$1:$1048576, 4, 0)</f>
        <v>7</v>
      </c>
      <c r="G133" s="19">
        <v>3</v>
      </c>
      <c r="H133" s="9">
        <f>VLOOKUP(Table3[[#This Row],[NAME1]], [2]Sheet1!$1:$1048576, 2, 0)</f>
        <v>41.566409999999998</v>
      </c>
      <c r="I133" s="9">
        <f>VLOOKUP(Table3[[#This Row],[NAME1]], [2]Sheet1!$1:$1048576, 3, 0)</f>
        <v>1.629067</v>
      </c>
      <c r="J133" s="9">
        <v>0.14372616999999999</v>
      </c>
      <c r="K133" s="9">
        <v>97.959183670000002</v>
      </c>
      <c r="L133" s="5">
        <v>98</v>
      </c>
      <c r="M133" s="5">
        <v>2</v>
      </c>
      <c r="N133" s="5">
        <v>0</v>
      </c>
      <c r="O133" s="5">
        <v>2</v>
      </c>
      <c r="P133" s="9">
        <v>2.5299999999999998</v>
      </c>
    </row>
    <row r="134" spans="1:16" x14ac:dyDescent="0.3">
      <c r="A134" s="14">
        <v>194</v>
      </c>
      <c r="B134" s="5">
        <v>664</v>
      </c>
      <c r="C134" s="2" t="s">
        <v>822</v>
      </c>
      <c r="D134" s="5" t="s">
        <v>823</v>
      </c>
      <c r="E134" s="5">
        <f>LEN(Table3[[#This Row],[NAME1]])</f>
        <v>7</v>
      </c>
      <c r="F134" s="5">
        <f>VLOOKUP(Table3[[#This Row],[NAME1]], [1]Sheet1!$1:$1048576, 4, 0)</f>
        <v>7</v>
      </c>
      <c r="G134" s="19">
        <v>3</v>
      </c>
      <c r="H134" s="9">
        <f>VLOOKUP(Table3[[#This Row],[NAME1]], [2]Sheet1!$1:$1048576, 2, 0)</f>
        <v>31.224357000000001</v>
      </c>
      <c r="I134" s="9">
        <f>VLOOKUP(Table3[[#This Row],[NAME1]], [2]Sheet1!$1:$1048576, 3, 0)</f>
        <v>1.508184</v>
      </c>
      <c r="J134" s="12">
        <v>0</v>
      </c>
      <c r="K134" s="12">
        <v>100</v>
      </c>
      <c r="L134" s="5">
        <v>98</v>
      </c>
      <c r="M134" s="5">
        <v>1</v>
      </c>
      <c r="N134" s="5">
        <v>0</v>
      </c>
      <c r="O134" s="5">
        <v>2</v>
      </c>
      <c r="P134" s="9">
        <v>2.17</v>
      </c>
    </row>
    <row r="135" spans="1:16" x14ac:dyDescent="0.3">
      <c r="A135" s="14">
        <v>290</v>
      </c>
      <c r="B135" s="5">
        <v>566</v>
      </c>
      <c r="C135" s="2" t="s">
        <v>707</v>
      </c>
      <c r="D135" s="5" t="s">
        <v>708</v>
      </c>
      <c r="E135" s="5">
        <f>LEN(Table3[[#This Row],[NAME1]])</f>
        <v>6</v>
      </c>
      <c r="F135" s="5">
        <f>VLOOKUP(Table3[[#This Row],[NAME1]], [1]Sheet1!$1:$1048576, 4, 0)</f>
        <v>6</v>
      </c>
      <c r="G135" s="19">
        <v>3</v>
      </c>
      <c r="H135" s="9">
        <f>VLOOKUP(Table3[[#This Row],[NAME1]], [2]Sheet1!$1:$1048576, 2, 0)</f>
        <v>11.540990000000001</v>
      </c>
      <c r="I135" s="9">
        <f>VLOOKUP(Table3[[#This Row],[NAME1]], [2]Sheet1!$1:$1048576, 3, 0)</f>
        <v>1.0983320000000001</v>
      </c>
      <c r="J135" s="9">
        <v>0.38850882399999997</v>
      </c>
      <c r="K135" s="9">
        <v>93.877551019999999</v>
      </c>
      <c r="L135" s="5">
        <v>98</v>
      </c>
      <c r="M135" s="5">
        <v>3</v>
      </c>
      <c r="N135" s="5">
        <v>0</v>
      </c>
      <c r="O135" s="5">
        <v>2</v>
      </c>
      <c r="P135" s="9">
        <v>2.58</v>
      </c>
    </row>
    <row r="136" spans="1:16" x14ac:dyDescent="0.3">
      <c r="A136" s="14">
        <v>195</v>
      </c>
      <c r="B136" s="5">
        <v>398</v>
      </c>
      <c r="C136" s="2" t="s">
        <v>494</v>
      </c>
      <c r="D136" s="5" t="s">
        <v>495</v>
      </c>
      <c r="E136" s="5">
        <f>LEN(Table3[[#This Row],[NAME1]])</f>
        <v>7</v>
      </c>
      <c r="F136" s="5">
        <f>VLOOKUP(Table3[[#This Row],[NAME1]], [1]Sheet1!$1:$1048576, 4, 0)</f>
        <v>7</v>
      </c>
      <c r="G136" s="19">
        <v>3</v>
      </c>
      <c r="H136" s="9">
        <f>VLOOKUP(Table3[[#This Row],[NAME1]], [2]Sheet1!$1:$1048576, 2, 0)</f>
        <v>7.6647509999999999</v>
      </c>
      <c r="I136" s="9" t="str">
        <f>VLOOKUP(Table3[[#This Row],[NAME1]], [2]Sheet1!$1:$1048576, 3, 0)</f>
        <v>0.937756</v>
      </c>
      <c r="J136" s="12">
        <v>0</v>
      </c>
      <c r="K136" s="12">
        <v>100</v>
      </c>
      <c r="L136" s="5">
        <v>99</v>
      </c>
      <c r="M136" s="5">
        <v>1</v>
      </c>
      <c r="N136" s="5">
        <v>0</v>
      </c>
      <c r="O136" s="5">
        <v>1</v>
      </c>
      <c r="P136" s="9">
        <v>1.89</v>
      </c>
    </row>
    <row r="137" spans="1:16" x14ac:dyDescent="0.3">
      <c r="A137" s="14">
        <v>148</v>
      </c>
      <c r="B137" s="5">
        <v>541</v>
      </c>
      <c r="C137" s="2" t="s">
        <v>681</v>
      </c>
      <c r="D137" s="5" t="s">
        <v>682</v>
      </c>
      <c r="E137" s="5">
        <f>LEN(Table3[[#This Row],[NAME1]])</f>
        <v>6</v>
      </c>
      <c r="F137" s="5">
        <f>VLOOKUP(Table3[[#This Row],[NAME1]], [1]Sheet1!$1:$1048576, 4, 0)</f>
        <v>6</v>
      </c>
      <c r="G137" s="19">
        <v>3</v>
      </c>
      <c r="H137" s="9">
        <f>VLOOKUP(Table3[[#This Row],[NAME1]], [2]Sheet1!$1:$1048576, 2, 0)</f>
        <v>3.4181089999999998</v>
      </c>
      <c r="I137" s="9" t="str">
        <f>VLOOKUP(Table3[[#This Row],[NAME1]], [2]Sheet1!$1:$1048576, 3, 0)</f>
        <v>0.645236</v>
      </c>
      <c r="J137" s="12">
        <v>0</v>
      </c>
      <c r="K137" s="12">
        <v>100</v>
      </c>
      <c r="L137" s="5">
        <v>100</v>
      </c>
      <c r="M137" s="5">
        <v>1</v>
      </c>
      <c r="N137" s="5">
        <v>0</v>
      </c>
      <c r="O137" s="5">
        <v>0</v>
      </c>
      <c r="P137" s="9">
        <v>2.48</v>
      </c>
    </row>
    <row r="138" spans="1:16" x14ac:dyDescent="0.3">
      <c r="A138" s="14">
        <v>43</v>
      </c>
      <c r="B138" s="5">
        <v>405</v>
      </c>
      <c r="C138" s="2" t="s">
        <v>504</v>
      </c>
      <c r="D138" s="5" t="s">
        <v>505</v>
      </c>
      <c r="E138" s="5">
        <f>LEN(Table3[[#This Row],[NAME1]])</f>
        <v>5</v>
      </c>
      <c r="F138" s="5">
        <f>VLOOKUP(Table3[[#This Row],[NAME1]], [1]Sheet1!$1:$1048576, 4, 0)</f>
        <v>5</v>
      </c>
      <c r="G138" s="19">
        <v>2</v>
      </c>
      <c r="H138" s="9">
        <f>VLOOKUP(Table3[[#This Row],[NAME1]], [2]Sheet1!$1:$1048576, 2, 0)</f>
        <v>2.3068979999999999</v>
      </c>
      <c r="I138" s="9">
        <f>VLOOKUP(Table3[[#This Row],[NAME1]], [2]Sheet1!$1:$1048576, 3, 0)</f>
        <v>0.51942100000000002</v>
      </c>
      <c r="J138" s="12">
        <v>0</v>
      </c>
      <c r="K138" s="12">
        <v>100</v>
      </c>
      <c r="L138" s="5">
        <v>100</v>
      </c>
      <c r="M138" s="5">
        <v>1</v>
      </c>
      <c r="N138" s="5">
        <v>0</v>
      </c>
      <c r="O138" s="5">
        <v>0</v>
      </c>
      <c r="P138" s="9">
        <v>2</v>
      </c>
    </row>
    <row r="139" spans="1:16" x14ac:dyDescent="0.3">
      <c r="A139" s="14">
        <v>297</v>
      </c>
      <c r="B139" s="5">
        <v>143</v>
      </c>
      <c r="C139" s="2" t="s">
        <v>184</v>
      </c>
      <c r="D139" s="5" t="s">
        <v>185</v>
      </c>
      <c r="E139" s="5">
        <f>LEN(Table3[[#This Row],[NAME1]])</f>
        <v>5</v>
      </c>
      <c r="F139" s="5">
        <f>VLOOKUP(Table3[[#This Row],[NAME1]], [1]Sheet1!$1:$1048576, 4, 0)</f>
        <v>5</v>
      </c>
      <c r="G139" s="19">
        <v>2</v>
      </c>
      <c r="H139" s="9">
        <f>VLOOKUP(Table3[[#This Row],[NAME1]], [2]Sheet1!$1:$1048576, 2, 0)</f>
        <v>59.284039999999997</v>
      </c>
      <c r="I139" s="9">
        <f>VLOOKUP(Table3[[#This Row],[NAME1]], [2]Sheet1!$1:$1048576, 3, 0)</f>
        <v>1.7802020000000001</v>
      </c>
      <c r="J139" s="9">
        <v>0.36592365100000002</v>
      </c>
      <c r="K139" s="12">
        <v>93</v>
      </c>
      <c r="L139" s="5">
        <v>100</v>
      </c>
      <c r="M139" s="5">
        <v>2</v>
      </c>
      <c r="N139" s="5">
        <v>0</v>
      </c>
      <c r="O139" s="5">
        <v>0</v>
      </c>
      <c r="P139" s="9">
        <v>2.67</v>
      </c>
    </row>
    <row r="140" spans="1:16" x14ac:dyDescent="0.3">
      <c r="A140" s="14">
        <v>45</v>
      </c>
      <c r="B140" s="5">
        <v>693</v>
      </c>
      <c r="C140" s="2" t="s">
        <v>857</v>
      </c>
      <c r="D140" s="5" t="s">
        <v>858</v>
      </c>
      <c r="E140" s="5">
        <f>LEN(Table3[[#This Row],[NAME1]])</f>
        <v>5</v>
      </c>
      <c r="F140" s="5">
        <f>VLOOKUP(Table3[[#This Row],[NAME1]], [1]Sheet1!$1:$1048576, 4, 0)</f>
        <v>5</v>
      </c>
      <c r="G140" s="19">
        <v>2</v>
      </c>
      <c r="H140" s="9">
        <f>VLOOKUP(Table3[[#This Row],[NAME1]], [2]Sheet1!$1:$1048576, 2, 0)</f>
        <v>49.104444999999998</v>
      </c>
      <c r="I140" s="9">
        <f>VLOOKUP(Table3[[#This Row],[NAME1]], [2]Sheet1!$1:$1048576, 3, 0)</f>
        <v>1.6998759999999999</v>
      </c>
      <c r="J140" s="12">
        <v>0</v>
      </c>
      <c r="K140" s="12">
        <v>100</v>
      </c>
      <c r="L140" s="5">
        <v>100</v>
      </c>
      <c r="M140" s="5">
        <v>1</v>
      </c>
      <c r="N140" s="5">
        <v>0</v>
      </c>
      <c r="O140" s="5">
        <v>0</v>
      </c>
      <c r="P140" s="9">
        <v>1.79</v>
      </c>
    </row>
    <row r="141" spans="1:16" x14ac:dyDescent="0.3">
      <c r="A141" s="14">
        <v>242</v>
      </c>
      <c r="B141" s="5">
        <v>680</v>
      </c>
      <c r="C141" s="2" t="s">
        <v>840</v>
      </c>
      <c r="D141" s="5" t="s">
        <v>841</v>
      </c>
      <c r="E141" s="5">
        <f>LEN(Table3[[#This Row],[NAME1]])</f>
        <v>4</v>
      </c>
      <c r="F141" s="5">
        <f>VLOOKUP(Table3[[#This Row],[NAME1]], [1]Sheet1!$1:$1048576, 4, 0)</f>
        <v>4</v>
      </c>
      <c r="G141" s="19">
        <v>2</v>
      </c>
      <c r="H141" s="9">
        <f>VLOOKUP(Table3[[#This Row],[NAME1]], [2]Sheet1!$1:$1048576, 2, 0)</f>
        <v>35.373525000000001</v>
      </c>
      <c r="I141" s="9">
        <f>VLOOKUP(Table3[[#This Row],[NAME1]], [2]Sheet1!$1:$1048576, 3, 0)</f>
        <v>1.5607850000000001</v>
      </c>
      <c r="J141" s="9">
        <v>0.20390587600000001</v>
      </c>
      <c r="K141" s="9">
        <v>96.808510639999994</v>
      </c>
      <c r="L141" s="5">
        <v>94</v>
      </c>
      <c r="M141" s="5">
        <v>2</v>
      </c>
      <c r="N141" s="5">
        <v>4</v>
      </c>
      <c r="O141" s="5">
        <v>2</v>
      </c>
      <c r="P141" s="9">
        <v>2.2000000000000002</v>
      </c>
    </row>
    <row r="142" spans="1:16" x14ac:dyDescent="0.3">
      <c r="A142" s="14">
        <v>1</v>
      </c>
      <c r="B142" s="5">
        <v>605</v>
      </c>
      <c r="C142" s="2" t="s">
        <v>752</v>
      </c>
      <c r="D142" s="5" t="s">
        <v>753</v>
      </c>
      <c r="E142" s="5">
        <f>LEN(Table3[[#This Row],[NAME1]])</f>
        <v>4</v>
      </c>
      <c r="F142" s="5">
        <f>VLOOKUP(Table3[[#This Row],[NAME1]], [1]Sheet1!$1:$1048576, 4, 0)</f>
        <v>4</v>
      </c>
      <c r="G142" s="5">
        <f>VLOOKUP(Table3[[#This Row],[NAME1]], [1]Sheet1!$1:$1048576, 5, 9)</f>
        <v>2</v>
      </c>
      <c r="H142" s="9">
        <f>VLOOKUP(Table3[[#This Row],[NAME1]], [2]Sheet1!$1:$1048576, 2, 0)</f>
        <v>4.3148749999999998</v>
      </c>
      <c r="I142" s="9">
        <f>VLOOKUP(Table3[[#This Row],[NAME1]], [2]Sheet1!$1:$1048576, 3, 0)</f>
        <v>0.72549300000000005</v>
      </c>
      <c r="J142" s="12">
        <v>0</v>
      </c>
      <c r="K142" s="12">
        <v>100</v>
      </c>
      <c r="L142" s="5">
        <v>97</v>
      </c>
      <c r="M142" s="5">
        <v>1</v>
      </c>
      <c r="N142" s="5">
        <v>2</v>
      </c>
      <c r="O142" s="5">
        <v>1</v>
      </c>
      <c r="P142" s="9">
        <v>2.41</v>
      </c>
    </row>
    <row r="143" spans="1:16" x14ac:dyDescent="0.3">
      <c r="A143" s="14">
        <v>318</v>
      </c>
      <c r="B143" s="5">
        <v>497</v>
      </c>
      <c r="C143" s="2" t="s">
        <v>615</v>
      </c>
      <c r="D143" s="5" t="s">
        <v>616</v>
      </c>
      <c r="E143" s="5">
        <f>LEN(Table3[[#This Row],[NAME1]])</f>
        <v>5</v>
      </c>
      <c r="F143" s="5">
        <f>VLOOKUP(Table3[[#This Row],[NAME1]], [1]Sheet1!$1:$1048576, 4, 0)</f>
        <v>5</v>
      </c>
      <c r="G143" s="5">
        <f>VLOOKUP(Table3[[#This Row],[NAME1]], [1]Sheet1!$1:$1048576, 5, 9)</f>
        <v>2</v>
      </c>
      <c r="H143" s="9">
        <f>VLOOKUP(Table3[[#This Row],[NAME1]], [2]Sheet1!$1:$1048576, 2, 0)</f>
        <v>3.6942870000000001</v>
      </c>
      <c r="I143" s="9" t="str">
        <f>VLOOKUP(Table3[[#This Row],[NAME1]], [2]Sheet1!$1:$1048576, 3, 0)</f>
        <v>0.671570</v>
      </c>
      <c r="J143" s="9">
        <v>0.51275311099999998</v>
      </c>
      <c r="K143" s="9">
        <v>90.816326529999998</v>
      </c>
      <c r="L143" s="5">
        <v>98</v>
      </c>
      <c r="M143" s="5">
        <v>3</v>
      </c>
      <c r="N143" s="5">
        <v>1</v>
      </c>
      <c r="O143" s="5">
        <v>1</v>
      </c>
      <c r="P143" s="9">
        <v>2.0099999999999998</v>
      </c>
    </row>
    <row r="144" spans="1:16" x14ac:dyDescent="0.3">
      <c r="A144" s="14">
        <v>151</v>
      </c>
      <c r="B144" s="5">
        <v>273</v>
      </c>
      <c r="C144" s="2" t="s">
        <v>343</v>
      </c>
      <c r="D144" s="5" t="s">
        <v>344</v>
      </c>
      <c r="E144" s="5">
        <f>LEN(Table3[[#This Row],[NAME1]])</f>
        <v>7</v>
      </c>
      <c r="F144" s="5">
        <f>VLOOKUP(Table3[[#This Row],[NAME1]], [1]Sheet1!$1:$1048576, 4, 0)</f>
        <v>7</v>
      </c>
      <c r="G144" s="5">
        <f>VLOOKUP(Table3[[#This Row],[NAME1]], [1]Sheet1!$1:$1048576, 5, 9)</f>
        <v>2</v>
      </c>
      <c r="H144" s="9">
        <f>VLOOKUP(Table3[[#This Row],[NAME1]], [2]Sheet1!$1:$1048576, 2, 0)</f>
        <v>13.26629</v>
      </c>
      <c r="I144" s="9">
        <f>VLOOKUP(Table3[[#This Row],[NAME1]], [2]Sheet1!$1:$1048576, 3, 0)</f>
        <v>1.1543110000000001</v>
      </c>
      <c r="J144" s="12">
        <v>0</v>
      </c>
      <c r="K144" s="12">
        <v>100</v>
      </c>
      <c r="L144" s="5">
        <v>100</v>
      </c>
      <c r="M144" s="5">
        <v>1</v>
      </c>
      <c r="N144" s="5">
        <v>0</v>
      </c>
      <c r="O144" s="5">
        <v>0</v>
      </c>
      <c r="P144" s="9">
        <v>2.9</v>
      </c>
    </row>
    <row r="145" spans="1:16" x14ac:dyDescent="0.3">
      <c r="A145" s="14">
        <v>46</v>
      </c>
      <c r="B145" s="5">
        <v>297</v>
      </c>
      <c r="C145" s="2" t="s">
        <v>377</v>
      </c>
      <c r="D145" s="5" t="s">
        <v>378</v>
      </c>
      <c r="E145" s="5">
        <f>LEN(Table3[[#This Row],[NAME1]])</f>
        <v>5</v>
      </c>
      <c r="F145" s="5">
        <f>VLOOKUP(Table3[[#This Row],[NAME1]], [1]Sheet1!$1:$1048576, 4, 0)</f>
        <v>5</v>
      </c>
      <c r="G145" s="5">
        <f>VLOOKUP(Table3[[#This Row],[NAME1]], [1]Sheet1!$1:$1048576, 5, 9)</f>
        <v>2</v>
      </c>
      <c r="H145" s="9">
        <f>VLOOKUP(Table3[[#This Row],[NAME1]], [2]Sheet1!$1:$1048576, 2, 0)</f>
        <v>48.100456000000001</v>
      </c>
      <c r="I145" s="9">
        <f>VLOOKUP(Table3[[#This Row],[NAME1]], [2]Sheet1!$1:$1048576, 3, 0)</f>
        <v>1.6910860000000001</v>
      </c>
      <c r="J145" s="12">
        <v>0</v>
      </c>
      <c r="K145" s="12">
        <v>100</v>
      </c>
      <c r="L145" s="5">
        <v>100</v>
      </c>
      <c r="M145" s="5">
        <v>1</v>
      </c>
      <c r="N145" s="5">
        <v>0</v>
      </c>
      <c r="O145" s="5">
        <v>0</v>
      </c>
      <c r="P145" s="9">
        <v>2.59</v>
      </c>
    </row>
    <row r="146" spans="1:16" x14ac:dyDescent="0.3">
      <c r="A146" s="14">
        <v>98</v>
      </c>
      <c r="B146" s="5">
        <v>377</v>
      </c>
      <c r="C146" s="2" t="s">
        <v>472</v>
      </c>
      <c r="D146" s="5" t="s">
        <v>473</v>
      </c>
      <c r="E146" s="5">
        <f>LEN(Table3[[#This Row],[NAME1]])</f>
        <v>6</v>
      </c>
      <c r="F146" s="5">
        <f>VLOOKUP(Table3[[#This Row],[NAME1]], [1]Sheet1!$1:$1048576, 4, 0)</f>
        <v>6</v>
      </c>
      <c r="G146" s="5">
        <f>VLOOKUP(Table3[[#This Row],[NAME1]], [1]Sheet1!$1:$1048576, 5, 9)</f>
        <v>2</v>
      </c>
      <c r="H146" s="9">
        <f>VLOOKUP(Table3[[#This Row],[NAME1]], [2]Sheet1!$1:$1048576, 2, 0)</f>
        <v>0.12346799999999999</v>
      </c>
      <c r="I146" s="9" t="str">
        <f>VLOOKUP(Table3[[#This Row],[NAME1]], [2]Sheet1!$1:$1048576, 3, 0)</f>
        <v>0.050561</v>
      </c>
      <c r="J146" s="12">
        <v>0</v>
      </c>
      <c r="K146" s="12">
        <v>100</v>
      </c>
      <c r="L146" s="5">
        <v>99</v>
      </c>
      <c r="M146" s="5">
        <v>1</v>
      </c>
      <c r="N146" s="5">
        <v>1</v>
      </c>
      <c r="O146" s="5">
        <v>0</v>
      </c>
      <c r="P146" s="9">
        <v>2.5</v>
      </c>
    </row>
    <row r="147" spans="1:16" x14ac:dyDescent="0.3">
      <c r="A147" s="14">
        <v>224</v>
      </c>
      <c r="B147" s="5">
        <v>155</v>
      </c>
      <c r="C147" s="2" t="s">
        <v>202</v>
      </c>
      <c r="D147" s="5" t="s">
        <v>203</v>
      </c>
      <c r="E147" s="5">
        <f>LEN(Table3[[#This Row],[NAME1]])</f>
        <v>4</v>
      </c>
      <c r="F147" s="5">
        <f>VLOOKUP(Table3[[#This Row],[NAME1]], [1]Sheet1!$1:$1048576, 4, 0)</f>
        <v>4</v>
      </c>
      <c r="G147" s="5">
        <f>VLOOKUP(Table3[[#This Row],[NAME1]], [1]Sheet1!$1:$1048576, 5, 9)</f>
        <v>2</v>
      </c>
      <c r="H147" s="9">
        <f>VLOOKUP(Table3[[#This Row],[NAME1]], [2]Sheet1!$1:$1048576, 2, 0)</f>
        <v>9.786448</v>
      </c>
      <c r="I147" s="9">
        <f>VLOOKUP(Table3[[#This Row],[NAME1]], [2]Sheet1!$1:$1048576, 3, 0)</f>
        <v>1.032878</v>
      </c>
      <c r="J147" s="9">
        <v>0.151096971</v>
      </c>
      <c r="K147" s="9">
        <v>97.826086959999998</v>
      </c>
      <c r="L147" s="5">
        <v>92</v>
      </c>
      <c r="M147" s="5">
        <v>2</v>
      </c>
      <c r="N147" s="5">
        <v>3</v>
      </c>
      <c r="O147" s="5">
        <v>5</v>
      </c>
      <c r="P147" s="9">
        <v>1.96</v>
      </c>
    </row>
    <row r="148" spans="1:16" x14ac:dyDescent="0.3">
      <c r="A148" s="14">
        <v>292</v>
      </c>
      <c r="B148" s="5">
        <v>212</v>
      </c>
      <c r="C148" s="2" t="s">
        <v>271</v>
      </c>
      <c r="D148" s="5" t="s">
        <v>272</v>
      </c>
      <c r="E148" s="5">
        <f>LEN(Table3[[#This Row],[NAME1]])</f>
        <v>7</v>
      </c>
      <c r="F148" s="5">
        <f>VLOOKUP(Table3[[#This Row],[NAME1]], [1]Sheet1!$1:$1048576, 4, 0)</f>
        <v>7</v>
      </c>
      <c r="G148" s="5">
        <f>VLOOKUP(Table3[[#This Row],[NAME1]], [1]Sheet1!$1:$1048576, 5, 9)</f>
        <v>2</v>
      </c>
      <c r="H148" s="9">
        <f>VLOOKUP(Table3[[#This Row],[NAME1]], [2]Sheet1!$1:$1048576, 2, 0)</f>
        <v>8.3698169999999994</v>
      </c>
      <c r="I148" s="9" t="str">
        <f>VLOOKUP(Table3[[#This Row],[NAME1]], [2]Sheet1!$1:$1048576, 3, 0)</f>
        <v>0.971731</v>
      </c>
      <c r="J148" s="9">
        <v>0.39156941699999998</v>
      </c>
      <c r="K148" s="9">
        <v>93.81443299</v>
      </c>
      <c r="L148" s="5">
        <v>97</v>
      </c>
      <c r="M148" s="5">
        <v>3</v>
      </c>
      <c r="N148" s="5">
        <v>0</v>
      </c>
      <c r="O148" s="5">
        <v>3</v>
      </c>
      <c r="P148" s="9">
        <v>2.0202020200000002</v>
      </c>
    </row>
    <row r="149" spans="1:16" x14ac:dyDescent="0.3">
      <c r="A149" s="14">
        <v>310</v>
      </c>
      <c r="B149" s="5">
        <v>63</v>
      </c>
      <c r="C149" s="2" t="s">
        <v>78</v>
      </c>
      <c r="D149" s="5" t="s">
        <v>79</v>
      </c>
      <c r="E149" s="5">
        <f>LEN(Table3[[#This Row],[NAME1]])</f>
        <v>6</v>
      </c>
      <c r="F149" s="5">
        <f>VLOOKUP(Table3[[#This Row],[NAME1]], [1]Sheet1!$1:$1048576, 4, 0)</f>
        <v>6</v>
      </c>
      <c r="G149" s="5">
        <f>VLOOKUP(Table3[[#This Row],[NAME1]], [1]Sheet1!$1:$1048576, 5, 9)</f>
        <v>2</v>
      </c>
      <c r="H149" s="9">
        <f>VLOOKUP(Table3[[#This Row],[NAME1]], [2]Sheet1!$1:$1048576, 2, 0)</f>
        <v>9.1918530000000001</v>
      </c>
      <c r="I149" s="9">
        <f>VLOOKUP(Table3[[#This Row],[NAME1]], [2]Sheet1!$1:$1048576, 3, 0)</f>
        <v>1.0082530000000001</v>
      </c>
      <c r="J149" s="9">
        <v>0.40790598</v>
      </c>
      <c r="K149" s="9">
        <v>91.83673469</v>
      </c>
      <c r="L149" s="5">
        <v>98</v>
      </c>
      <c r="M149" s="5">
        <v>2</v>
      </c>
      <c r="N149" s="5">
        <v>0</v>
      </c>
      <c r="O149" s="5">
        <v>2</v>
      </c>
      <c r="P149" s="9">
        <v>2.58</v>
      </c>
    </row>
    <row r="150" spans="1:16" x14ac:dyDescent="0.3">
      <c r="A150" s="14">
        <v>225</v>
      </c>
      <c r="B150" s="5">
        <v>185</v>
      </c>
      <c r="C150" s="2" t="s">
        <v>238</v>
      </c>
      <c r="D150" s="5" t="s">
        <v>239</v>
      </c>
      <c r="E150" s="5">
        <f>LEN(Table3[[#This Row],[NAME1]])</f>
        <v>5</v>
      </c>
      <c r="F150" s="5">
        <f>VLOOKUP(Table3[[#This Row],[NAME1]], [1]Sheet1!$1:$1048576, 4, 0)</f>
        <v>5</v>
      </c>
      <c r="G150" s="5">
        <f>VLOOKUP(Table3[[#This Row],[NAME1]], [1]Sheet1!$1:$1048576, 5, 9)</f>
        <v>2</v>
      </c>
      <c r="H150" s="9">
        <f>VLOOKUP(Table3[[#This Row],[NAME1]], [2]Sheet1!$1:$1048576, 2, 0)</f>
        <v>21.935030000000001</v>
      </c>
      <c r="I150" s="9">
        <f>VLOOKUP(Table3[[#This Row],[NAME1]], [2]Sheet1!$1:$1048576, 3, 0)</f>
        <v>1.3604989999999999</v>
      </c>
      <c r="J150" s="9">
        <v>0.194391858</v>
      </c>
      <c r="K150" s="12">
        <v>97</v>
      </c>
      <c r="L150" s="5">
        <v>100</v>
      </c>
      <c r="M150" s="5">
        <v>2</v>
      </c>
      <c r="N150" s="5">
        <v>0</v>
      </c>
      <c r="O150" s="5">
        <v>0</v>
      </c>
      <c r="P150" s="9">
        <v>1.7</v>
      </c>
    </row>
    <row r="151" spans="1:16" x14ac:dyDescent="0.3">
      <c r="A151" s="14">
        <v>47</v>
      </c>
      <c r="B151" s="5">
        <v>449</v>
      </c>
      <c r="C151" s="2" t="s">
        <v>553</v>
      </c>
      <c r="D151" s="5" t="s">
        <v>554</v>
      </c>
      <c r="E151" s="5">
        <f>LEN(Table3[[#This Row],[NAME1]])</f>
        <v>5</v>
      </c>
      <c r="F151" s="5">
        <f>VLOOKUP(Table3[[#This Row],[NAME1]], [1]Sheet1!$1:$1048576, 4, 0)</f>
        <v>5</v>
      </c>
      <c r="G151" s="5">
        <f>VLOOKUP(Table3[[#This Row],[NAME1]], [1]Sheet1!$1:$1048576, 5, 9)</f>
        <v>2</v>
      </c>
      <c r="H151" s="9">
        <f>VLOOKUP(Table3[[#This Row],[NAME1]], [2]Sheet1!$1:$1048576, 2, 0)</f>
        <v>118.626565</v>
      </c>
      <c r="I151" s="9">
        <f>VLOOKUP(Table3[[#This Row],[NAME1]], [2]Sheet1!$1:$1048576, 3, 0)</f>
        <v>2.0778279999999998</v>
      </c>
      <c r="J151" s="12">
        <v>0</v>
      </c>
      <c r="K151" s="12">
        <v>100</v>
      </c>
      <c r="L151" s="5">
        <v>100</v>
      </c>
      <c r="M151" s="5">
        <v>1</v>
      </c>
      <c r="N151" s="5">
        <v>0</v>
      </c>
      <c r="O151" s="5">
        <v>0</v>
      </c>
      <c r="P151" s="9">
        <v>1.919191919</v>
      </c>
    </row>
    <row r="152" spans="1:16" x14ac:dyDescent="0.3">
      <c r="A152" s="14">
        <v>152</v>
      </c>
      <c r="B152" s="5">
        <v>151</v>
      </c>
      <c r="C152" s="2" t="s">
        <v>196</v>
      </c>
      <c r="D152" s="5" t="s">
        <v>197</v>
      </c>
      <c r="E152" s="5">
        <f>LEN(Table3[[#This Row],[NAME1]])</f>
        <v>7</v>
      </c>
      <c r="F152" s="5">
        <f>VLOOKUP(Table3[[#This Row],[NAME1]], [1]Sheet1!$1:$1048576, 4, 0)</f>
        <v>7</v>
      </c>
      <c r="G152" s="5">
        <f>VLOOKUP(Table3[[#This Row],[NAME1]], [1]Sheet1!$1:$1048576, 5, 9)</f>
        <v>2</v>
      </c>
      <c r="H152" s="9">
        <f>VLOOKUP(Table3[[#This Row],[NAME1]], [2]Sheet1!$1:$1048576, 2, 0)</f>
        <v>3.79501</v>
      </c>
      <c r="I152" s="9" t="str">
        <f>VLOOKUP(Table3[[#This Row],[NAME1]], [2]Sheet1!$1:$1048576, 3, 0)</f>
        <v>0.680790</v>
      </c>
      <c r="J152" s="12">
        <v>0</v>
      </c>
      <c r="K152" s="12">
        <v>100</v>
      </c>
      <c r="L152" s="5">
        <v>99</v>
      </c>
      <c r="M152" s="5">
        <v>1</v>
      </c>
      <c r="N152" s="5">
        <v>0</v>
      </c>
      <c r="O152" s="5">
        <v>1</v>
      </c>
      <c r="P152" s="9">
        <v>1.61</v>
      </c>
    </row>
    <row r="153" spans="1:16" x14ac:dyDescent="0.3">
      <c r="A153" s="14">
        <v>153</v>
      </c>
      <c r="B153" s="5">
        <v>295</v>
      </c>
      <c r="C153" s="2" t="s">
        <v>375</v>
      </c>
      <c r="D153" s="5" t="s">
        <v>376</v>
      </c>
      <c r="E153" s="5">
        <f>LEN(Table3[[#This Row],[NAME1]])</f>
        <v>7</v>
      </c>
      <c r="F153" s="5">
        <f>VLOOKUP(Table3[[#This Row],[NAME1]], [1]Sheet1!$1:$1048576, 4, 0)</f>
        <v>7</v>
      </c>
      <c r="G153" s="5">
        <f>VLOOKUP(Table3[[#This Row],[NAME1]], [1]Sheet1!$1:$1048576, 5, 9)</f>
        <v>2</v>
      </c>
      <c r="H153" s="9">
        <f>VLOOKUP(Table3[[#This Row],[NAME1]], [2]Sheet1!$1:$1048576, 2, 0)</f>
        <v>48.090708999999997</v>
      </c>
      <c r="I153" s="9">
        <f>VLOOKUP(Table3[[#This Row],[NAME1]], [2]Sheet1!$1:$1048576, 3, 0)</f>
        <v>1.6909989999999999</v>
      </c>
      <c r="J153" s="12">
        <v>0</v>
      </c>
      <c r="K153" s="12">
        <v>100</v>
      </c>
      <c r="L153" s="5">
        <v>100</v>
      </c>
      <c r="M153" s="5">
        <v>1</v>
      </c>
      <c r="N153" s="5">
        <v>0</v>
      </c>
      <c r="O153" s="5">
        <v>0</v>
      </c>
      <c r="P153" s="9">
        <v>1.43</v>
      </c>
    </row>
    <row r="154" spans="1:16" x14ac:dyDescent="0.3">
      <c r="A154" s="14">
        <v>99</v>
      </c>
      <c r="B154" s="5">
        <v>747</v>
      </c>
      <c r="C154" s="2" t="s">
        <v>917</v>
      </c>
      <c r="D154" s="5" t="s">
        <v>918</v>
      </c>
      <c r="E154" s="5">
        <f>LEN(Table3[[#This Row],[NAME1]])</f>
        <v>6</v>
      </c>
      <c r="F154" s="5">
        <f>VLOOKUP(Table3[[#This Row],[NAME1]], [1]Sheet1!$1:$1048576, 4, 0)</f>
        <v>6</v>
      </c>
      <c r="G154" s="5">
        <f>VLOOKUP(Table3[[#This Row],[NAME1]], [1]Sheet1!$1:$1048576, 5, 9)</f>
        <v>2</v>
      </c>
      <c r="H154" s="9">
        <f>VLOOKUP(Table3[[#This Row],[NAME1]], [2]Sheet1!$1:$1048576, 2, 0)</f>
        <v>1.8065290000000001</v>
      </c>
      <c r="I154" s="9" t="str">
        <f>VLOOKUP(Table3[[#This Row],[NAME1]], [2]Sheet1!$1:$1048576, 3, 0)</f>
        <v>0.448170</v>
      </c>
      <c r="J154" s="12">
        <v>0</v>
      </c>
      <c r="K154" s="12">
        <v>100</v>
      </c>
      <c r="L154" s="5">
        <v>100</v>
      </c>
      <c r="M154" s="5">
        <v>1</v>
      </c>
      <c r="N154" s="5">
        <v>0</v>
      </c>
      <c r="O154" s="5">
        <v>0</v>
      </c>
      <c r="P154" s="9">
        <v>2.29</v>
      </c>
    </row>
    <row r="155" spans="1:16" x14ac:dyDescent="0.3">
      <c r="A155" s="14">
        <v>240</v>
      </c>
      <c r="B155" s="5">
        <v>719</v>
      </c>
      <c r="C155" s="2" t="s">
        <v>885</v>
      </c>
      <c r="D155" s="5" t="s">
        <v>886</v>
      </c>
      <c r="E155" s="5">
        <f>LEN(Table3[[#This Row],[NAME1]])</f>
        <v>4</v>
      </c>
      <c r="F155" s="5">
        <f>VLOOKUP(Table3[[#This Row],[NAME1]], [1]Sheet1!$1:$1048576, 4, 0)</f>
        <v>4</v>
      </c>
      <c r="G155" s="5">
        <f>VLOOKUP(Table3[[#This Row],[NAME1]], [1]Sheet1!$1:$1048576, 5, 9)</f>
        <v>2</v>
      </c>
      <c r="H155" s="9">
        <f>VLOOKUP(Table3[[#This Row],[NAME1]], [2]Sheet1!$1:$1048576, 2, 0)</f>
        <v>20.248719999999999</v>
      </c>
      <c r="I155" s="9">
        <f>VLOOKUP(Table3[[#This Row],[NAME1]], [2]Sheet1!$1:$1048576, 3, 0)</f>
        <v>1.3273330000000001</v>
      </c>
      <c r="J155" s="9">
        <v>0.20062232399999999</v>
      </c>
      <c r="K155" s="9">
        <v>96.875</v>
      </c>
      <c r="L155" s="5">
        <v>96</v>
      </c>
      <c r="M155" s="5">
        <v>2</v>
      </c>
      <c r="N155" s="5">
        <v>0</v>
      </c>
      <c r="O155" s="5">
        <v>4</v>
      </c>
      <c r="P155" s="9">
        <v>2.8181818179999998</v>
      </c>
    </row>
    <row r="156" spans="1:16" x14ac:dyDescent="0.3">
      <c r="A156" s="14">
        <v>48</v>
      </c>
      <c r="B156" s="5">
        <v>159</v>
      </c>
      <c r="C156" s="2" t="s">
        <v>208</v>
      </c>
      <c r="D156" s="5" t="s">
        <v>209</v>
      </c>
      <c r="E156" s="5">
        <f>LEN(Table3[[#This Row],[NAME1]])</f>
        <v>5</v>
      </c>
      <c r="F156" s="5">
        <f>VLOOKUP(Table3[[#This Row],[NAME1]], [1]Sheet1!$1:$1048576, 4, 0)</f>
        <v>5</v>
      </c>
      <c r="G156" s="5">
        <f>VLOOKUP(Table3[[#This Row],[NAME1]], [1]Sheet1!$1:$1048576, 5, 9)</f>
        <v>2</v>
      </c>
      <c r="H156" s="9">
        <f>VLOOKUP(Table3[[#This Row],[NAME1]], [2]Sheet1!$1:$1048576, 2, 0)</f>
        <v>13.942114</v>
      </c>
      <c r="I156" s="9">
        <f>VLOOKUP(Table3[[#This Row],[NAME1]], [2]Sheet1!$1:$1048576, 3, 0)</f>
        <v>1.174412</v>
      </c>
      <c r="J156" s="12">
        <v>0</v>
      </c>
      <c r="K156" s="12">
        <v>100</v>
      </c>
      <c r="L156" s="5">
        <v>100</v>
      </c>
      <c r="M156" s="5">
        <v>1</v>
      </c>
      <c r="N156" s="5">
        <v>0</v>
      </c>
      <c r="O156" s="5">
        <v>0</v>
      </c>
      <c r="P156" s="9">
        <v>2.58</v>
      </c>
    </row>
    <row r="157" spans="1:16" x14ac:dyDescent="0.3">
      <c r="A157" s="14">
        <v>246</v>
      </c>
      <c r="B157" s="5">
        <v>583</v>
      </c>
      <c r="C157" s="2" t="s">
        <v>728</v>
      </c>
      <c r="D157" s="5" t="s">
        <v>729</v>
      </c>
      <c r="E157" s="5">
        <f>LEN(Table3[[#This Row],[NAME1]])</f>
        <v>5</v>
      </c>
      <c r="F157" s="5">
        <f>VLOOKUP(Table3[[#This Row],[NAME1]], [1]Sheet1!$1:$1048576, 4, 0)</f>
        <v>5</v>
      </c>
      <c r="G157" s="5">
        <f>VLOOKUP(Table3[[#This Row],[NAME1]], [1]Sheet1!$1:$1048576, 5, 9)</f>
        <v>2</v>
      </c>
      <c r="H157" s="9">
        <f>VLOOKUP(Table3[[#This Row],[NAME1]], [2]Sheet1!$1:$1048576, 2, 0)</f>
        <v>42.739355000000003</v>
      </c>
      <c r="I157" s="9">
        <f>VLOOKUP(Table3[[#This Row],[NAME1]], [2]Sheet1!$1:$1048576, 3, 0)</f>
        <v>1.6408720000000001</v>
      </c>
      <c r="J157" s="9">
        <v>0.24229218899999999</v>
      </c>
      <c r="K157" s="12">
        <v>96</v>
      </c>
      <c r="L157" s="5">
        <v>100</v>
      </c>
      <c r="M157" s="5">
        <v>2</v>
      </c>
      <c r="N157" s="5">
        <v>0</v>
      </c>
      <c r="O157" s="5">
        <v>0</v>
      </c>
      <c r="P157" s="9">
        <v>2.89</v>
      </c>
    </row>
    <row r="158" spans="1:16" x14ac:dyDescent="0.3">
      <c r="A158" s="14">
        <v>281</v>
      </c>
      <c r="B158" s="5">
        <v>676</v>
      </c>
      <c r="C158" s="2" t="s">
        <v>836</v>
      </c>
      <c r="D158" s="5" t="s">
        <v>837</v>
      </c>
      <c r="E158" s="5">
        <f>LEN(Table3[[#This Row],[NAME1]])</f>
        <v>6</v>
      </c>
      <c r="F158" s="5">
        <f>VLOOKUP(Table3[[#This Row],[NAME1]], [1]Sheet1!$1:$1048576, 4, 0)</f>
        <v>6</v>
      </c>
      <c r="G158" s="5">
        <f>VLOOKUP(Table3[[#This Row],[NAME1]], [1]Sheet1!$1:$1048576, 5, 9)</f>
        <v>2</v>
      </c>
      <c r="H158" s="9">
        <f>VLOOKUP(Table3[[#This Row],[NAME1]], [2]Sheet1!$1:$1048576, 2, 0)</f>
        <v>7.6355089999999999</v>
      </c>
      <c r="I158" s="9" t="str">
        <f>VLOOKUP(Table3[[#This Row],[NAME1]], [2]Sheet1!$1:$1048576, 3, 0)</f>
        <v>0.936288</v>
      </c>
      <c r="J158" s="9">
        <v>0.327444919</v>
      </c>
      <c r="K158" s="12">
        <v>94</v>
      </c>
      <c r="L158" s="5">
        <v>100</v>
      </c>
      <c r="M158" s="5">
        <v>2</v>
      </c>
      <c r="N158" s="5">
        <v>0</v>
      </c>
      <c r="O158" s="5">
        <v>0</v>
      </c>
      <c r="P158" s="9">
        <v>1.66</v>
      </c>
    </row>
    <row r="159" spans="1:16" x14ac:dyDescent="0.3">
      <c r="A159" s="14">
        <v>248</v>
      </c>
      <c r="B159" s="5">
        <v>749</v>
      </c>
      <c r="C159" s="2" t="s">
        <v>919</v>
      </c>
      <c r="D159" s="5" t="s">
        <v>920</v>
      </c>
      <c r="E159" s="5">
        <f>LEN(Table3[[#This Row],[NAME1]])</f>
        <v>6</v>
      </c>
      <c r="F159" s="5">
        <f>VLOOKUP(Table3[[#This Row],[NAME1]], [1]Sheet1!$1:$1048576, 4, 0)</f>
        <v>6</v>
      </c>
      <c r="G159" s="5">
        <f>VLOOKUP(Table3[[#This Row],[NAME1]], [1]Sheet1!$1:$1048576, 5, 9)</f>
        <v>2</v>
      </c>
      <c r="H159" s="9">
        <f>VLOOKUP(Table3[[#This Row],[NAME1]], [2]Sheet1!$1:$1048576, 2, 0)</f>
        <v>11.498751</v>
      </c>
      <c r="I159" s="9">
        <f>VLOOKUP(Table3[[#This Row],[NAME1]], [2]Sheet1!$1:$1048576, 3, 0)</f>
        <v>1.096867</v>
      </c>
      <c r="J159" s="9">
        <v>0.24229218899999999</v>
      </c>
      <c r="K159" s="12">
        <v>96</v>
      </c>
      <c r="L159" s="5">
        <v>100</v>
      </c>
      <c r="M159" s="5">
        <v>2</v>
      </c>
      <c r="N159" s="5">
        <v>0</v>
      </c>
      <c r="O159" s="5">
        <v>0</v>
      </c>
      <c r="P159" s="9">
        <v>2.71</v>
      </c>
    </row>
    <row r="160" spans="1:16" x14ac:dyDescent="0.3">
      <c r="A160" s="14">
        <v>154</v>
      </c>
      <c r="B160" s="5">
        <v>101</v>
      </c>
      <c r="C160" s="2" t="s">
        <v>130</v>
      </c>
      <c r="D160" s="5" t="s">
        <v>131</v>
      </c>
      <c r="E160" s="5">
        <f>LEN(Table3[[#This Row],[NAME1]])</f>
        <v>7</v>
      </c>
      <c r="F160" s="5">
        <f>VLOOKUP(Table3[[#This Row],[NAME1]], [1]Sheet1!$1:$1048576, 4, 0)</f>
        <v>7</v>
      </c>
      <c r="G160" s="5">
        <f>VLOOKUP(Table3[[#This Row],[NAME1]], [1]Sheet1!$1:$1048576, 5, 9)</f>
        <v>2</v>
      </c>
      <c r="H160" s="9">
        <f>VLOOKUP(Table3[[#This Row],[NAME1]], [2]Sheet1!$1:$1048576, 2, 0)</f>
        <v>35.051859</v>
      </c>
      <c r="I160" s="9">
        <f>VLOOKUP(Table3[[#This Row],[NAME1]], [2]Sheet1!$1:$1048576, 3, 0)</f>
        <v>1.5569280000000001</v>
      </c>
      <c r="J160" s="12">
        <v>0</v>
      </c>
      <c r="K160" s="12">
        <v>100</v>
      </c>
      <c r="L160" s="5">
        <v>98</v>
      </c>
      <c r="M160" s="5">
        <v>1</v>
      </c>
      <c r="N160" s="5">
        <v>1</v>
      </c>
      <c r="O160" s="5">
        <v>1</v>
      </c>
      <c r="P160" s="9">
        <v>2.38</v>
      </c>
    </row>
    <row r="161" spans="1:16" x14ac:dyDescent="0.3">
      <c r="A161" s="14">
        <v>259</v>
      </c>
      <c r="B161" s="5">
        <v>507</v>
      </c>
      <c r="C161" s="2" t="s">
        <v>633</v>
      </c>
      <c r="D161" s="5" t="s">
        <v>634</v>
      </c>
      <c r="E161" s="5">
        <f>LEN(Table3[[#This Row],[NAME1]])</f>
        <v>4</v>
      </c>
      <c r="F161" s="5">
        <f>VLOOKUP(Table3[[#This Row],[NAME1]], [1]Sheet1!$1:$1048576, 4, 0)</f>
        <v>4</v>
      </c>
      <c r="G161" s="5">
        <f>VLOOKUP(Table3[[#This Row],[NAME1]], [1]Sheet1!$1:$1048576, 5, 9)</f>
        <v>2</v>
      </c>
      <c r="H161" s="9">
        <f>VLOOKUP(Table3[[#This Row],[NAME1]], [2]Sheet1!$1:$1048576, 2, 0)</f>
        <v>13.243546</v>
      </c>
      <c r="I161" s="9">
        <f>VLOOKUP(Table3[[#This Row],[NAME1]], [2]Sheet1!$1:$1048576, 3, 0)</f>
        <v>1.153618</v>
      </c>
      <c r="J161" s="9">
        <v>0.28639695700000001</v>
      </c>
      <c r="K161" s="12">
        <v>95</v>
      </c>
      <c r="L161" s="5">
        <v>100</v>
      </c>
      <c r="M161" s="5">
        <v>2</v>
      </c>
      <c r="N161" s="5">
        <v>0</v>
      </c>
      <c r="O161" s="5">
        <v>0</v>
      </c>
      <c r="P161" s="9">
        <v>2.57</v>
      </c>
    </row>
    <row r="162" spans="1:16" x14ac:dyDescent="0.3">
      <c r="A162" s="14">
        <v>100</v>
      </c>
      <c r="B162" s="5">
        <v>350</v>
      </c>
      <c r="C162" s="2" t="s">
        <v>442</v>
      </c>
      <c r="D162" s="5" t="s">
        <v>443</v>
      </c>
      <c r="E162" s="5">
        <f>LEN(Table3[[#This Row],[NAME1]])</f>
        <v>6</v>
      </c>
      <c r="F162" s="5">
        <f>VLOOKUP(Table3[[#This Row],[NAME1]], [1]Sheet1!$1:$1048576, 4, 0)</f>
        <v>6</v>
      </c>
      <c r="G162" s="5">
        <f>VLOOKUP(Table3[[#This Row],[NAME1]], [1]Sheet1!$1:$1048576, 5, 9)</f>
        <v>2</v>
      </c>
      <c r="H162" s="9">
        <f>VLOOKUP(Table3[[#This Row],[NAME1]], [2]Sheet1!$1:$1048576, 2, 0)</f>
        <v>17.376469</v>
      </c>
      <c r="I162" s="9">
        <f>VLOOKUP(Table3[[#This Row],[NAME1]], [2]Sheet1!$1:$1048576, 3, 0)</f>
        <v>1.264262</v>
      </c>
      <c r="J162" s="12">
        <v>0</v>
      </c>
      <c r="K162" s="12">
        <v>100</v>
      </c>
      <c r="L162" s="5">
        <v>100</v>
      </c>
      <c r="M162" s="5">
        <v>1</v>
      </c>
      <c r="N162" s="5">
        <v>0</v>
      </c>
      <c r="O162" s="5">
        <v>0</v>
      </c>
      <c r="P162" s="9">
        <v>1.76</v>
      </c>
    </row>
    <row r="163" spans="1:16" x14ac:dyDescent="0.3">
      <c r="A163" s="14">
        <v>101</v>
      </c>
      <c r="B163" s="5">
        <v>494</v>
      </c>
      <c r="C163" s="2" t="s">
        <v>609</v>
      </c>
      <c r="D163" s="5" t="s">
        <v>610</v>
      </c>
      <c r="E163" s="5">
        <f>LEN(Table3[[#This Row],[NAME1]])</f>
        <v>6</v>
      </c>
      <c r="F163" s="5">
        <f>VLOOKUP(Table3[[#This Row],[NAME1]], [1]Sheet1!$1:$1048576, 4, 0)</f>
        <v>6</v>
      </c>
      <c r="G163" s="5">
        <f>VLOOKUP(Table3[[#This Row],[NAME1]], [1]Sheet1!$1:$1048576, 5, 9)</f>
        <v>2</v>
      </c>
      <c r="H163" s="9">
        <f>VLOOKUP(Table3[[#This Row],[NAME1]], [2]Sheet1!$1:$1048576, 2, 0)</f>
        <v>3.924976</v>
      </c>
      <c r="I163" s="9" t="str">
        <f>VLOOKUP(Table3[[#This Row],[NAME1]], [2]Sheet1!$1:$1048576, 3, 0)</f>
        <v>0.692404</v>
      </c>
      <c r="J163" s="12">
        <v>0</v>
      </c>
      <c r="K163" s="12">
        <v>100</v>
      </c>
      <c r="L163" s="5">
        <v>99</v>
      </c>
      <c r="M163" s="5">
        <v>1</v>
      </c>
      <c r="N163" s="5">
        <v>0</v>
      </c>
      <c r="O163" s="5">
        <v>1</v>
      </c>
      <c r="P163" s="9">
        <v>2.41</v>
      </c>
    </row>
    <row r="164" spans="1:16" x14ac:dyDescent="0.3">
      <c r="A164" s="14">
        <v>284</v>
      </c>
      <c r="B164" s="5">
        <v>91</v>
      </c>
      <c r="C164" s="2" t="s">
        <v>116</v>
      </c>
      <c r="D164" s="5" t="s">
        <v>117</v>
      </c>
      <c r="E164" s="5">
        <f>LEN(Table3[[#This Row],[NAME1]])</f>
        <v>4</v>
      </c>
      <c r="F164" s="5">
        <f>VLOOKUP(Table3[[#This Row],[NAME1]], [1]Sheet1!$1:$1048576, 4, 0)</f>
        <v>4</v>
      </c>
      <c r="G164" s="5">
        <f>VLOOKUP(Table3[[#This Row],[NAME1]], [1]Sheet1!$1:$1048576, 5, 9)</f>
        <v>2</v>
      </c>
      <c r="H164" s="9">
        <f>VLOOKUP(Table3[[#This Row],[NAME1]], [2]Sheet1!$1:$1048576, 2, 0)</f>
        <v>86.200021000000007</v>
      </c>
      <c r="I164" s="9">
        <f>VLOOKUP(Table3[[#This Row],[NAME1]], [2]Sheet1!$1:$1048576, 3, 0)</f>
        <v>1.940517</v>
      </c>
      <c r="J164" s="9">
        <v>0.38550036300000001</v>
      </c>
      <c r="K164" s="9">
        <v>93.939393940000002</v>
      </c>
      <c r="L164" s="5">
        <v>99</v>
      </c>
      <c r="M164" s="5">
        <v>3</v>
      </c>
      <c r="N164" s="5">
        <v>0</v>
      </c>
      <c r="O164" s="5">
        <v>1</v>
      </c>
      <c r="P164" s="9">
        <v>2.6969696970000001</v>
      </c>
    </row>
    <row r="165" spans="1:16" x14ac:dyDescent="0.3">
      <c r="A165" s="14">
        <v>2</v>
      </c>
      <c r="B165" s="5">
        <v>746</v>
      </c>
      <c r="C165" s="2" t="s">
        <v>915</v>
      </c>
      <c r="D165" s="5" t="s">
        <v>916</v>
      </c>
      <c r="E165" s="5">
        <f>LEN(Table3[[#This Row],[NAME1]])</f>
        <v>4</v>
      </c>
      <c r="F165" s="5">
        <f>VLOOKUP(Table3[[#This Row],[NAME1]], [1]Sheet1!$1:$1048576, 4, 0)</f>
        <v>4</v>
      </c>
      <c r="G165" s="5">
        <f>VLOOKUP(Table3[[#This Row],[NAME1]], [1]Sheet1!$1:$1048576, 5, 9)</f>
        <v>2</v>
      </c>
      <c r="H165" s="9">
        <f>VLOOKUP(Table3[[#This Row],[NAME1]], [2]Sheet1!$1:$1048576, 2, 0)</f>
        <v>1.4361250000000001</v>
      </c>
      <c r="I165" s="9">
        <f>VLOOKUP(Table3[[#This Row],[NAME1]], [2]Sheet1!$1:$1048576, 3, 0)</f>
        <v>0.38669999999999999</v>
      </c>
      <c r="J165" s="12">
        <v>0</v>
      </c>
      <c r="K165" s="12">
        <v>100</v>
      </c>
      <c r="L165" s="5">
        <v>100</v>
      </c>
      <c r="M165" s="5">
        <v>1</v>
      </c>
      <c r="N165" s="5">
        <v>0</v>
      </c>
      <c r="O165" s="5">
        <v>0</v>
      </c>
      <c r="P165" s="9">
        <v>1.52</v>
      </c>
    </row>
    <row r="166" spans="1:16" x14ac:dyDescent="0.3">
      <c r="A166" s="14">
        <v>49</v>
      </c>
      <c r="B166" s="5">
        <v>53</v>
      </c>
      <c r="C166" s="2" t="s">
        <v>61</v>
      </c>
      <c r="D166" s="5" t="s">
        <v>62</v>
      </c>
      <c r="E166" s="5">
        <f>LEN(Table3[[#This Row],[NAME1]])</f>
        <v>5</v>
      </c>
      <c r="F166" s="5">
        <f>VLOOKUP(Table3[[#This Row],[NAME1]], [1]Sheet1!$1:$1048576, 4, 0)</f>
        <v>5</v>
      </c>
      <c r="G166" s="5">
        <f>VLOOKUP(Table3[[#This Row],[NAME1]], [1]Sheet1!$1:$1048576, 5, 9)</f>
        <v>2</v>
      </c>
      <c r="H166" s="9">
        <f>VLOOKUP(Table3[[#This Row],[NAME1]], [2]Sheet1!$1:$1048576, 2, 0)</f>
        <v>54.780714000000003</v>
      </c>
      <c r="I166" s="9">
        <f>VLOOKUP(Table3[[#This Row],[NAME1]], [2]Sheet1!$1:$1048576, 3, 0)</f>
        <v>1.7464839999999999</v>
      </c>
      <c r="J166" s="12">
        <v>0</v>
      </c>
      <c r="K166" s="12">
        <v>100</v>
      </c>
      <c r="L166" s="5">
        <v>100</v>
      </c>
      <c r="M166" s="5">
        <v>1</v>
      </c>
      <c r="N166" s="5">
        <v>0</v>
      </c>
      <c r="O166" s="5">
        <v>0</v>
      </c>
      <c r="P166" s="9">
        <v>1.63</v>
      </c>
    </row>
    <row r="167" spans="1:16" x14ac:dyDescent="0.3">
      <c r="A167" s="14">
        <v>226</v>
      </c>
      <c r="B167" s="5">
        <v>388</v>
      </c>
      <c r="C167" s="2" t="s">
        <v>484</v>
      </c>
      <c r="D167" s="5" t="s">
        <v>485</v>
      </c>
      <c r="E167" s="5">
        <f>LEN(Table3[[#This Row],[NAME1]])</f>
        <v>5</v>
      </c>
      <c r="F167" s="5">
        <f>VLOOKUP(Table3[[#This Row],[NAME1]], [1]Sheet1!$1:$1048576, 4, 0)</f>
        <v>5</v>
      </c>
      <c r="G167" s="5">
        <f>VLOOKUP(Table3[[#This Row],[NAME1]], [1]Sheet1!$1:$1048576, 5, 9)</f>
        <v>2</v>
      </c>
      <c r="H167" s="9">
        <f>VLOOKUP(Table3[[#This Row],[NAME1]], [2]Sheet1!$1:$1048576, 2, 0)</f>
        <v>2.6838000000000002</v>
      </c>
      <c r="I167" s="9" t="str">
        <f>VLOOKUP(Table3[[#This Row],[NAME1]], [2]Sheet1!$1:$1048576, 3, 0)</f>
        <v>0.566296</v>
      </c>
      <c r="J167" s="9">
        <v>0.194391858</v>
      </c>
      <c r="K167" s="12">
        <v>97</v>
      </c>
      <c r="L167" s="5">
        <v>100</v>
      </c>
      <c r="M167" s="5">
        <v>2</v>
      </c>
      <c r="N167" s="5">
        <v>0</v>
      </c>
      <c r="O167" s="5">
        <v>0</v>
      </c>
      <c r="P167" s="9">
        <v>2.09</v>
      </c>
    </row>
    <row r="168" spans="1:16" x14ac:dyDescent="0.3">
      <c r="A168" s="14">
        <v>50</v>
      </c>
      <c r="B168" s="5">
        <v>386</v>
      </c>
      <c r="C168" s="2" t="s">
        <v>480</v>
      </c>
      <c r="D168" s="5" t="s">
        <v>481</v>
      </c>
      <c r="E168" s="5">
        <f>LEN(Table3[[#This Row],[NAME1]])</f>
        <v>5</v>
      </c>
      <c r="F168" s="5">
        <f>VLOOKUP(Table3[[#This Row],[NAME1]], [1]Sheet1!$1:$1048576, 4, 0)</f>
        <v>5</v>
      </c>
      <c r="G168" s="5">
        <f>VLOOKUP(Table3[[#This Row],[NAME1]], [1]Sheet1!$1:$1048576, 5, 9)</f>
        <v>2</v>
      </c>
      <c r="H168" s="9">
        <f>VLOOKUP(Table3[[#This Row],[NAME1]], [2]Sheet1!$1:$1048576, 2, 0)</f>
        <v>29.463317</v>
      </c>
      <c r="I168" s="9">
        <f>VLOOKUP(Table3[[#This Row],[NAME1]], [2]Sheet1!$1:$1048576, 3, 0)</f>
        <v>1.4837769999999999</v>
      </c>
      <c r="J168" s="12">
        <v>0</v>
      </c>
      <c r="K168" s="12">
        <v>100</v>
      </c>
      <c r="L168" s="5">
        <v>100</v>
      </c>
      <c r="M168" s="5">
        <v>1</v>
      </c>
      <c r="N168" s="5">
        <v>0</v>
      </c>
      <c r="O168" s="5">
        <v>0</v>
      </c>
      <c r="P168" s="9">
        <v>1.65</v>
      </c>
    </row>
    <row r="169" spans="1:16" x14ac:dyDescent="0.3">
      <c r="A169" s="14">
        <v>156</v>
      </c>
      <c r="B169" s="5">
        <v>48</v>
      </c>
      <c r="C169" s="2" t="s">
        <v>59</v>
      </c>
      <c r="D169" s="5" t="s">
        <v>60</v>
      </c>
      <c r="E169" s="5">
        <f>LEN(Table3[[#This Row],[NAME1]])</f>
        <v>7</v>
      </c>
      <c r="F169" s="5">
        <f>VLOOKUP(Table3[[#This Row],[NAME1]], [1]Sheet1!$1:$1048576, 4, 0)</f>
        <v>7</v>
      </c>
      <c r="G169" s="5">
        <f>VLOOKUP(Table3[[#This Row],[NAME1]], [1]Sheet1!$1:$1048576, 5, 9)</f>
        <v>2</v>
      </c>
      <c r="H169" s="9">
        <f>VLOOKUP(Table3[[#This Row],[NAME1]], [2]Sheet1!$1:$1048576, 2, 0)</f>
        <v>1.445873</v>
      </c>
      <c r="I169" s="9" t="str">
        <f>VLOOKUP(Table3[[#This Row],[NAME1]], [2]Sheet1!$1:$1048576, 3, 0)</f>
        <v>0.388434</v>
      </c>
      <c r="J169" s="12">
        <v>0</v>
      </c>
      <c r="K169" s="12">
        <v>100</v>
      </c>
      <c r="L169" s="5">
        <v>100</v>
      </c>
      <c r="M169" s="5">
        <v>1</v>
      </c>
      <c r="N169" s="5">
        <v>0</v>
      </c>
      <c r="O169" s="5">
        <v>0</v>
      </c>
      <c r="P169" s="9">
        <v>2.73</v>
      </c>
    </row>
    <row r="170" spans="1:16" x14ac:dyDescent="0.3">
      <c r="A170" s="14">
        <v>264</v>
      </c>
      <c r="B170" s="5">
        <v>215</v>
      </c>
      <c r="C170" s="2" t="s">
        <v>275</v>
      </c>
      <c r="D170" s="5" t="s">
        <v>276</v>
      </c>
      <c r="E170" s="5">
        <f>LEN(Table3[[#This Row],[NAME1]])</f>
        <v>4</v>
      </c>
      <c r="F170" s="5">
        <f>VLOOKUP(Table3[[#This Row],[NAME1]], [1]Sheet1!$1:$1048576, 4, 0)</f>
        <v>4</v>
      </c>
      <c r="G170" s="5">
        <f>VLOOKUP(Table3[[#This Row],[NAME1]], [1]Sheet1!$1:$1048576, 5, 9)</f>
        <v>2</v>
      </c>
      <c r="H170" s="9">
        <f>VLOOKUP(Table3[[#This Row],[NAME1]], [2]Sheet1!$1:$1048576, 2, 0)</f>
        <v>3.4311050000000001</v>
      </c>
      <c r="I170" s="9" t="str">
        <f>VLOOKUP(Table3[[#This Row],[NAME1]], [2]Sheet1!$1:$1048576, 3, 0)</f>
        <v>0.646512</v>
      </c>
      <c r="J170" s="9">
        <v>0.28853851400000002</v>
      </c>
      <c r="K170" s="9">
        <v>94.949494950000002</v>
      </c>
      <c r="L170" s="5">
        <v>99</v>
      </c>
      <c r="M170" s="5">
        <v>2</v>
      </c>
      <c r="N170" s="5">
        <v>0</v>
      </c>
      <c r="O170" s="5">
        <v>1</v>
      </c>
      <c r="P170" s="9">
        <v>2.5</v>
      </c>
    </row>
    <row r="171" spans="1:16" x14ac:dyDescent="0.3">
      <c r="A171" s="14">
        <v>51</v>
      </c>
      <c r="B171" s="5">
        <v>64</v>
      </c>
      <c r="C171" s="2" t="s">
        <v>80</v>
      </c>
      <c r="D171" s="5" t="s">
        <v>81</v>
      </c>
      <c r="E171" s="5">
        <f>LEN(Table3[[#This Row],[NAME1]])</f>
        <v>5</v>
      </c>
      <c r="F171" s="5">
        <f>VLOOKUP(Table3[[#This Row],[NAME1]], [1]Sheet1!$1:$1048576, 4, 0)</f>
        <v>5</v>
      </c>
      <c r="G171" s="5">
        <f>VLOOKUP(Table3[[#This Row],[NAME1]], [1]Sheet1!$1:$1048576, 5, 9)</f>
        <v>2</v>
      </c>
      <c r="H171" s="9">
        <f>VLOOKUP(Table3[[#This Row],[NAME1]], [2]Sheet1!$1:$1048576, 2, 0)</f>
        <v>7.8272089999999999</v>
      </c>
      <c r="I171" s="9">
        <f>VLOOKUP(Table3[[#This Row],[NAME1]], [2]Sheet1!$1:$1048576, 3, 0)</f>
        <v>0.94582299999999997</v>
      </c>
      <c r="J171" s="12">
        <v>0</v>
      </c>
      <c r="K171" s="12">
        <v>100</v>
      </c>
      <c r="L171" s="5">
        <v>98</v>
      </c>
      <c r="M171" s="5">
        <v>1</v>
      </c>
      <c r="N171" s="5">
        <v>1</v>
      </c>
      <c r="O171" s="5">
        <v>1</v>
      </c>
      <c r="P171" s="9">
        <v>1.6</v>
      </c>
    </row>
    <row r="172" spans="1:16" x14ac:dyDescent="0.3">
      <c r="A172" s="14">
        <v>52</v>
      </c>
      <c r="B172" s="5">
        <v>545</v>
      </c>
      <c r="C172" s="2" t="s">
        <v>685</v>
      </c>
      <c r="D172" s="5" t="s">
        <v>686</v>
      </c>
      <c r="E172" s="5">
        <f>LEN(Table3[[#This Row],[NAME1]])</f>
        <v>5</v>
      </c>
      <c r="F172" s="5">
        <f>VLOOKUP(Table3[[#This Row],[NAME1]], [1]Sheet1!$1:$1048576, 4, 0)</f>
        <v>5</v>
      </c>
      <c r="G172" s="5">
        <f>VLOOKUP(Table3[[#This Row],[NAME1]], [1]Sheet1!$1:$1048576, 5, 9)</f>
        <v>2</v>
      </c>
      <c r="H172" s="9">
        <f>VLOOKUP(Table3[[#This Row],[NAME1]], [2]Sheet1!$1:$1048576, 2, 0)</f>
        <v>2.5180929999999999</v>
      </c>
      <c r="I172" s="9">
        <f>VLOOKUP(Table3[[#This Row],[NAME1]], [2]Sheet1!$1:$1048576, 3, 0)</f>
        <v>0.54630699999999999</v>
      </c>
      <c r="J172" s="12">
        <v>0</v>
      </c>
      <c r="K172" s="12">
        <v>100</v>
      </c>
      <c r="L172" s="5">
        <v>99</v>
      </c>
      <c r="M172" s="5">
        <v>1</v>
      </c>
      <c r="N172" s="5">
        <v>0</v>
      </c>
      <c r="O172" s="5">
        <v>1</v>
      </c>
      <c r="P172" s="9">
        <v>2.1800000000000002</v>
      </c>
    </row>
    <row r="173" spans="1:16" x14ac:dyDescent="0.3">
      <c r="A173" s="14">
        <v>53</v>
      </c>
      <c r="B173" s="5">
        <v>473</v>
      </c>
      <c r="C173" s="2" t="s">
        <v>585</v>
      </c>
      <c r="D173" s="5" t="s">
        <v>586</v>
      </c>
      <c r="E173" s="5">
        <f>LEN(Table3[[#This Row],[NAME1]])</f>
        <v>5</v>
      </c>
      <c r="F173" s="5">
        <f>VLOOKUP(Table3[[#This Row],[NAME1]], [1]Sheet1!$1:$1048576, 4, 0)</f>
        <v>5</v>
      </c>
      <c r="G173" s="5">
        <f>VLOOKUP(Table3[[#This Row],[NAME1]], [1]Sheet1!$1:$1048576, 5, 9)</f>
        <v>2</v>
      </c>
      <c r="H173" s="9">
        <f>VLOOKUP(Table3[[#This Row],[NAME1]], [2]Sheet1!$1:$1048576, 2, 0)</f>
        <v>48.779528999999997</v>
      </c>
      <c r="I173" s="9">
        <f>VLOOKUP(Table3[[#This Row],[NAME1]], [2]Sheet1!$1:$1048576, 3, 0)</f>
        <v>1.6970510000000001</v>
      </c>
      <c r="J173" s="12">
        <v>0</v>
      </c>
      <c r="K173" s="12">
        <v>100</v>
      </c>
      <c r="L173" s="5">
        <v>99</v>
      </c>
      <c r="M173" s="5">
        <v>1</v>
      </c>
      <c r="N173" s="5">
        <v>0</v>
      </c>
      <c r="O173" s="5">
        <v>1</v>
      </c>
      <c r="P173" s="9">
        <v>1.63</v>
      </c>
    </row>
    <row r="174" spans="1:16" x14ac:dyDescent="0.3">
      <c r="A174" s="14">
        <v>54</v>
      </c>
      <c r="B174" s="5">
        <v>184</v>
      </c>
      <c r="C174" s="2" t="s">
        <v>236</v>
      </c>
      <c r="D174" s="5" t="s">
        <v>237</v>
      </c>
      <c r="E174" s="5">
        <f>LEN(Table3[[#This Row],[NAME1]])</f>
        <v>5</v>
      </c>
      <c r="F174" s="5">
        <f>VLOOKUP(Table3[[#This Row],[NAME1]], [1]Sheet1!$1:$1048576, 4, 0)</f>
        <v>5</v>
      </c>
      <c r="G174" s="5">
        <f>VLOOKUP(Table3[[#This Row],[NAME1]], [1]Sheet1!$1:$1048576, 5, 9)</f>
        <v>2</v>
      </c>
      <c r="H174" s="9">
        <f>VLOOKUP(Table3[[#This Row],[NAME1]], [2]Sheet1!$1:$1048576, 2, 0)</f>
        <v>9.2275939999999999</v>
      </c>
      <c r="I174" s="9">
        <f>VLOOKUP(Table3[[#This Row],[NAME1]], [2]Sheet1!$1:$1048576, 3, 0)</f>
        <v>1.009773</v>
      </c>
      <c r="J174" s="12">
        <v>0</v>
      </c>
      <c r="K174" s="12">
        <v>100</v>
      </c>
      <c r="L174" s="5">
        <v>99</v>
      </c>
      <c r="M174" s="5">
        <v>1</v>
      </c>
      <c r="N174" s="5">
        <v>0</v>
      </c>
      <c r="O174" s="5">
        <v>1</v>
      </c>
      <c r="P174" s="9">
        <v>2.88</v>
      </c>
    </row>
    <row r="175" spans="1:16" x14ac:dyDescent="0.3">
      <c r="A175" s="14">
        <v>158</v>
      </c>
      <c r="B175" s="5">
        <v>292</v>
      </c>
      <c r="C175" s="2" t="s">
        <v>369</v>
      </c>
      <c r="D175" s="5" t="s">
        <v>370</v>
      </c>
      <c r="E175" s="5">
        <f>LEN(Table3[[#This Row],[NAME1]])</f>
        <v>7</v>
      </c>
      <c r="F175" s="5">
        <f>VLOOKUP(Table3[[#This Row],[NAME1]], [1]Sheet1!$1:$1048576, 4, 0)</f>
        <v>7</v>
      </c>
      <c r="G175" s="5">
        <f>VLOOKUP(Table3[[#This Row],[NAME1]], [1]Sheet1!$1:$1048576, 5, 9)</f>
        <v>2</v>
      </c>
      <c r="H175" s="9">
        <f>VLOOKUP(Table3[[#This Row],[NAME1]], [2]Sheet1!$1:$1048576, 2, 0)</f>
        <v>2.144441</v>
      </c>
      <c r="I175" s="9" t="str">
        <f>VLOOKUP(Table3[[#This Row],[NAME1]], [2]Sheet1!$1:$1048576, 3, 0)</f>
        <v>0.497543</v>
      </c>
      <c r="J175" s="12">
        <v>0</v>
      </c>
      <c r="K175" s="12">
        <v>100</v>
      </c>
      <c r="L175" s="5">
        <v>98</v>
      </c>
      <c r="M175" s="5">
        <v>1</v>
      </c>
      <c r="N175" s="5">
        <v>1</v>
      </c>
      <c r="O175" s="5">
        <v>1</v>
      </c>
      <c r="P175" s="9">
        <v>2.34</v>
      </c>
    </row>
    <row r="176" spans="1:16" x14ac:dyDescent="0.3">
      <c r="A176" s="14">
        <v>55</v>
      </c>
      <c r="B176" s="5">
        <v>305</v>
      </c>
      <c r="C176" s="2" t="s">
        <v>391</v>
      </c>
      <c r="D176" s="5" t="s">
        <v>392</v>
      </c>
      <c r="E176" s="5">
        <f>LEN(Table3[[#This Row],[NAME1]])</f>
        <v>5</v>
      </c>
      <c r="F176" s="5">
        <f>VLOOKUP(Table3[[#This Row],[NAME1]], [1]Sheet1!$1:$1048576, 4, 0)</f>
        <v>5</v>
      </c>
      <c r="G176" s="5">
        <f>VLOOKUP(Table3[[#This Row],[NAME1]], [1]Sheet1!$1:$1048576, 5, 9)</f>
        <v>2</v>
      </c>
      <c r="H176" s="9">
        <f>VLOOKUP(Table3[[#This Row],[NAME1]], [2]Sheet1!$1:$1048576, 2, 0)</f>
        <v>1.364644</v>
      </c>
      <c r="I176" s="9">
        <f>VLOOKUP(Table3[[#This Row],[NAME1]], [2]Sheet1!$1:$1048576, 3, 0)</f>
        <v>0.37376599999999999</v>
      </c>
      <c r="J176" s="12">
        <v>0</v>
      </c>
      <c r="K176" s="12">
        <v>100</v>
      </c>
      <c r="L176" s="5">
        <v>100</v>
      </c>
      <c r="M176" s="5">
        <v>1</v>
      </c>
      <c r="N176" s="5">
        <v>0</v>
      </c>
      <c r="O176" s="5">
        <v>0</v>
      </c>
      <c r="P176" s="9">
        <v>2.0808080809999998</v>
      </c>
    </row>
    <row r="177" spans="1:16" x14ac:dyDescent="0.3">
      <c r="A177" s="14">
        <v>56</v>
      </c>
      <c r="B177" s="5">
        <v>523</v>
      </c>
      <c r="C177" s="2" t="s">
        <v>659</v>
      </c>
      <c r="D177" s="5" t="s">
        <v>660</v>
      </c>
      <c r="E177" s="5">
        <f>LEN(Table3[[#This Row],[NAME1]])</f>
        <v>5</v>
      </c>
      <c r="F177" s="5">
        <f>VLOOKUP(Table3[[#This Row],[NAME1]], [1]Sheet1!$1:$1048576, 4, 0)</f>
        <v>5</v>
      </c>
      <c r="G177" s="5">
        <f>VLOOKUP(Table3[[#This Row],[NAME1]], [1]Sheet1!$1:$1048576, 5, 9)</f>
        <v>2</v>
      </c>
      <c r="H177" s="9">
        <f>VLOOKUP(Table3[[#This Row],[NAME1]], [2]Sheet1!$1:$1048576, 2, 0)</f>
        <v>16.567430000000002</v>
      </c>
      <c r="I177" s="9">
        <f>VLOOKUP(Table3[[#This Row],[NAME1]], [2]Sheet1!$1:$1048576, 3, 0)</f>
        <v>1.2447079999999999</v>
      </c>
      <c r="J177" s="12">
        <v>0</v>
      </c>
      <c r="K177" s="12">
        <v>100</v>
      </c>
      <c r="L177" s="5">
        <v>100</v>
      </c>
      <c r="M177" s="5">
        <v>1</v>
      </c>
      <c r="N177" s="5">
        <v>0</v>
      </c>
      <c r="O177" s="5">
        <v>0</v>
      </c>
      <c r="P177" s="9">
        <v>2.02</v>
      </c>
    </row>
    <row r="178" spans="1:16" x14ac:dyDescent="0.3">
      <c r="A178" s="14">
        <v>257</v>
      </c>
      <c r="B178" s="5">
        <v>354</v>
      </c>
      <c r="C178" s="2" t="s">
        <v>448</v>
      </c>
      <c r="D178" s="5" t="s">
        <v>449</v>
      </c>
      <c r="E178" s="5">
        <f>LEN(Table3[[#This Row],[NAME1]])</f>
        <v>5</v>
      </c>
      <c r="F178" s="5">
        <f>VLOOKUP(Table3[[#This Row],[NAME1]], [1]Sheet1!$1:$1048576, 4, 0)</f>
        <v>5</v>
      </c>
      <c r="G178" s="5">
        <f>VLOOKUP(Table3[[#This Row],[NAME1]], [1]Sheet1!$1:$1048576, 5, 9)</f>
        <v>2</v>
      </c>
      <c r="H178" s="9">
        <f>VLOOKUP(Table3[[#This Row],[NAME1]], [2]Sheet1!$1:$1048576, 2, 0)</f>
        <v>9.0911290000000005</v>
      </c>
      <c r="I178" s="9">
        <f>VLOOKUP(Table3[[#This Row],[NAME1]], [2]Sheet1!$1:$1048576, 3, 0)</f>
        <v>1.0039400000000001</v>
      </c>
      <c r="J178" s="9">
        <v>0.291548959</v>
      </c>
      <c r="K178" s="9">
        <v>95.833333330000002</v>
      </c>
      <c r="L178" s="5">
        <v>96</v>
      </c>
      <c r="M178" s="5">
        <v>3</v>
      </c>
      <c r="N178" s="5">
        <v>1</v>
      </c>
      <c r="O178" s="5">
        <v>3</v>
      </c>
      <c r="P178" s="9">
        <v>2.62</v>
      </c>
    </row>
    <row r="179" spans="1:16" x14ac:dyDescent="0.3">
      <c r="A179" s="14">
        <v>103</v>
      </c>
      <c r="B179" s="5">
        <v>640</v>
      </c>
      <c r="C179" s="2" t="s">
        <v>796</v>
      </c>
      <c r="D179" s="5" t="s">
        <v>797</v>
      </c>
      <c r="E179" s="5">
        <f>LEN(Table3[[#This Row],[NAME1]])</f>
        <v>6</v>
      </c>
      <c r="F179" s="5">
        <f>VLOOKUP(Table3[[#This Row],[NAME1]], [1]Sheet1!$1:$1048576, 4, 0)</f>
        <v>6</v>
      </c>
      <c r="G179" s="5">
        <f>VLOOKUP(Table3[[#This Row],[NAME1]], [1]Sheet1!$1:$1048576, 5, 9)</f>
        <v>2</v>
      </c>
      <c r="H179" s="9">
        <f>VLOOKUP(Table3[[#This Row],[NAME1]], [2]Sheet1!$1:$1048576, 2, 0)</f>
        <v>1.884509</v>
      </c>
      <c r="I179" s="9" t="str">
        <f>VLOOKUP(Table3[[#This Row],[NAME1]], [2]Sheet1!$1:$1048576, 3, 0)</f>
        <v>0.460072</v>
      </c>
      <c r="J179" s="12">
        <v>0</v>
      </c>
      <c r="K179" s="12">
        <v>100</v>
      </c>
      <c r="L179" s="5">
        <v>97</v>
      </c>
      <c r="M179" s="5">
        <v>1</v>
      </c>
      <c r="N179" s="5">
        <v>3</v>
      </c>
      <c r="O179" s="5">
        <v>0</v>
      </c>
      <c r="P179" s="9">
        <v>2.676767677</v>
      </c>
    </row>
    <row r="180" spans="1:16" x14ac:dyDescent="0.3">
      <c r="A180" s="14">
        <v>104</v>
      </c>
      <c r="B180" s="5">
        <v>391</v>
      </c>
      <c r="C180" s="2" t="s">
        <v>488</v>
      </c>
      <c r="D180" s="5" t="s">
        <v>489</v>
      </c>
      <c r="E180" s="5">
        <f>LEN(Table3[[#This Row],[NAME1]])</f>
        <v>6</v>
      </c>
      <c r="F180" s="5">
        <f>VLOOKUP(Table3[[#This Row],[NAME1]], [1]Sheet1!$1:$1048576, 4, 0)</f>
        <v>6</v>
      </c>
      <c r="G180" s="5">
        <f>VLOOKUP(Table3[[#This Row],[NAME1]], [1]Sheet1!$1:$1048576, 5, 9)</f>
        <v>2</v>
      </c>
      <c r="H180" s="9">
        <f>VLOOKUP(Table3[[#This Row],[NAME1]], [2]Sheet1!$1:$1048576, 2, 0)</f>
        <v>68.664344</v>
      </c>
      <c r="I180" s="9">
        <f>VLOOKUP(Table3[[#This Row],[NAME1]], [2]Sheet1!$1:$1048576, 3, 0)</f>
        <v>1.843011</v>
      </c>
      <c r="J180" s="12">
        <v>0</v>
      </c>
      <c r="K180" s="12">
        <v>100</v>
      </c>
      <c r="L180" s="5">
        <v>97</v>
      </c>
      <c r="M180" s="5">
        <v>1</v>
      </c>
      <c r="N180" s="5">
        <v>1</v>
      </c>
      <c r="O180" s="5">
        <v>2</v>
      </c>
      <c r="P180" s="9">
        <v>2.08</v>
      </c>
    </row>
    <row r="181" spans="1:16" x14ac:dyDescent="0.3">
      <c r="A181" s="14">
        <v>3</v>
      </c>
      <c r="B181" s="5">
        <v>666</v>
      </c>
      <c r="C181" s="2" t="s">
        <v>824</v>
      </c>
      <c r="D181" s="5" t="s">
        <v>825</v>
      </c>
      <c r="E181" s="5">
        <f>LEN(Table3[[#This Row],[NAME1]])</f>
        <v>4</v>
      </c>
      <c r="F181" s="5">
        <f>VLOOKUP(Table3[[#This Row],[NAME1]], [1]Sheet1!$1:$1048576, 4, 0)</f>
        <v>4</v>
      </c>
      <c r="G181" s="5">
        <f>VLOOKUP(Table3[[#This Row],[NAME1]], [1]Sheet1!$1:$1048576, 5, 9)</f>
        <v>2</v>
      </c>
      <c r="H181" s="9">
        <f>VLOOKUP(Table3[[#This Row],[NAME1]], [2]Sheet1!$1:$1048576, 2, 0)</f>
        <v>43.759588000000001</v>
      </c>
      <c r="I181" s="9">
        <f>VLOOKUP(Table3[[#This Row],[NAME1]], [2]Sheet1!$1:$1048576, 3, 0)</f>
        <v>1.6508860000000001</v>
      </c>
      <c r="J181" s="12">
        <v>0</v>
      </c>
      <c r="K181" s="12">
        <v>100</v>
      </c>
      <c r="L181" s="5">
        <v>100</v>
      </c>
      <c r="M181" s="5">
        <v>1</v>
      </c>
      <c r="N181" s="5">
        <v>0</v>
      </c>
      <c r="O181" s="5">
        <v>0</v>
      </c>
      <c r="P181" s="9">
        <v>2.83</v>
      </c>
    </row>
    <row r="182" spans="1:16" x14ac:dyDescent="0.3">
      <c r="A182" s="14">
        <v>4</v>
      </c>
      <c r="B182" s="5">
        <v>508</v>
      </c>
      <c r="C182" s="2" t="s">
        <v>635</v>
      </c>
      <c r="D182" s="5" t="s">
        <v>636</v>
      </c>
      <c r="E182" s="5">
        <f>LEN(Table3[[#This Row],[NAME1]])</f>
        <v>4</v>
      </c>
      <c r="F182" s="5">
        <f>VLOOKUP(Table3[[#This Row],[NAME1]], [1]Sheet1!$1:$1048576, 4, 0)</f>
        <v>4</v>
      </c>
      <c r="G182" s="5">
        <f>VLOOKUP(Table3[[#This Row],[NAME1]], [1]Sheet1!$1:$1048576, 5, 9)</f>
        <v>2</v>
      </c>
      <c r="H182" s="9">
        <f>VLOOKUP(Table3[[#This Row],[NAME1]], [2]Sheet1!$1:$1048576, 2, 0)</f>
        <v>51.499070000000003</v>
      </c>
      <c r="I182" s="9">
        <f>VLOOKUP(Table3[[#This Row],[NAME1]], [2]Sheet1!$1:$1048576, 3, 0)</f>
        <v>1.7201519999999999</v>
      </c>
      <c r="J182" s="12">
        <v>0</v>
      </c>
      <c r="K182" s="12">
        <v>100</v>
      </c>
      <c r="L182" s="5">
        <v>100</v>
      </c>
      <c r="M182" s="5">
        <v>1</v>
      </c>
      <c r="N182" s="5">
        <v>0</v>
      </c>
      <c r="O182" s="5">
        <v>0</v>
      </c>
      <c r="P182" s="9">
        <v>1.56</v>
      </c>
    </row>
    <row r="183" spans="1:16" x14ac:dyDescent="0.3">
      <c r="A183" s="14">
        <v>214</v>
      </c>
      <c r="B183" s="5">
        <v>396</v>
      </c>
      <c r="C183" s="2" t="s">
        <v>492</v>
      </c>
      <c r="D183" s="5" t="s">
        <v>493</v>
      </c>
      <c r="E183" s="5">
        <f>LEN(Table3[[#This Row],[NAME1]])</f>
        <v>6</v>
      </c>
      <c r="F183" s="5">
        <f>VLOOKUP(Table3[[#This Row],[NAME1]], [1]Sheet1!$1:$1048576, 4, 0)</f>
        <v>6</v>
      </c>
      <c r="G183" s="5">
        <f>VLOOKUP(Table3[[#This Row],[NAME1]], [1]Sheet1!$1:$1048576, 5, 9)</f>
        <v>2</v>
      </c>
      <c r="H183" s="9">
        <f>VLOOKUP(Table3[[#This Row],[NAME1]], [2]Sheet1!$1:$1048576, 2, 0)</f>
        <v>1.3061590000000001</v>
      </c>
      <c r="I183" s="9" t="str">
        <f>VLOOKUP(Table3[[#This Row],[NAME1]], [2]Sheet1!$1:$1048576, 3, 0)</f>
        <v>0.362889</v>
      </c>
      <c r="J183" s="9">
        <v>0.14372616999999999</v>
      </c>
      <c r="K183" s="9">
        <v>97.959183670000002</v>
      </c>
      <c r="L183" s="5">
        <v>98</v>
      </c>
      <c r="M183" s="5">
        <v>2</v>
      </c>
      <c r="N183" s="5">
        <v>0</v>
      </c>
      <c r="O183" s="5">
        <v>2</v>
      </c>
      <c r="P183" s="9">
        <v>2.7</v>
      </c>
    </row>
    <row r="184" spans="1:16" x14ac:dyDescent="0.3">
      <c r="A184" s="14">
        <v>57</v>
      </c>
      <c r="B184" s="5">
        <v>661</v>
      </c>
      <c r="C184" s="2" t="s">
        <v>818</v>
      </c>
      <c r="D184" s="5" t="s">
        <v>819</v>
      </c>
      <c r="E184" s="5">
        <f>LEN(Table3[[#This Row],[NAME1]])</f>
        <v>5</v>
      </c>
      <c r="F184" s="5">
        <f>VLOOKUP(Table3[[#This Row],[NAME1]], [1]Sheet1!$1:$1048576, 4, 0)</f>
        <v>5</v>
      </c>
      <c r="G184" s="5">
        <f>VLOOKUP(Table3[[#This Row],[NAME1]], [1]Sheet1!$1:$1048576, 5, 9)</f>
        <v>2</v>
      </c>
      <c r="H184" s="9">
        <f>VLOOKUP(Table3[[#This Row],[NAME1]], [2]Sheet1!$1:$1048576, 2, 0)</f>
        <v>8.145626</v>
      </c>
      <c r="I184" s="9">
        <f>VLOOKUP(Table3[[#This Row],[NAME1]], [2]Sheet1!$1:$1048576, 3, 0)</f>
        <v>0.96121299999999998</v>
      </c>
      <c r="J184" s="12">
        <v>0</v>
      </c>
      <c r="K184" s="12">
        <v>100</v>
      </c>
      <c r="L184" s="5">
        <v>99</v>
      </c>
      <c r="M184" s="5">
        <v>1</v>
      </c>
      <c r="N184" s="5">
        <v>0</v>
      </c>
      <c r="O184" s="5">
        <v>1</v>
      </c>
      <c r="P184" s="9">
        <v>2.11</v>
      </c>
    </row>
    <row r="185" spans="1:16" x14ac:dyDescent="0.3">
      <c r="A185" s="14">
        <v>5</v>
      </c>
      <c r="B185" s="5">
        <v>268</v>
      </c>
      <c r="C185" s="2" t="s">
        <v>337</v>
      </c>
      <c r="D185" s="5" t="s">
        <v>338</v>
      </c>
      <c r="E185" s="5">
        <f>LEN(Table3[[#This Row],[NAME1]])</f>
        <v>4</v>
      </c>
      <c r="F185" s="5">
        <f>VLOOKUP(Table3[[#This Row],[NAME1]], [1]Sheet1!$1:$1048576, 4, 0)</f>
        <v>4</v>
      </c>
      <c r="G185" s="5">
        <f>VLOOKUP(Table3[[#This Row],[NAME1]], [1]Sheet1!$1:$1048576, 5, 9)</f>
        <v>2</v>
      </c>
      <c r="H185" s="9">
        <f>VLOOKUP(Table3[[#This Row],[NAME1]], [2]Sheet1!$1:$1048576, 2, 0)</f>
        <v>45.514130999999999</v>
      </c>
      <c r="I185" s="9">
        <f>VLOOKUP(Table3[[#This Row],[NAME1]], [2]Sheet1!$1:$1048576, 3, 0)</f>
        <v>1.6675850000000001</v>
      </c>
      <c r="J185" s="12">
        <v>0</v>
      </c>
      <c r="K185" s="12">
        <v>100</v>
      </c>
      <c r="L185" s="5">
        <v>100</v>
      </c>
      <c r="M185" s="5">
        <v>1</v>
      </c>
      <c r="N185" s="5">
        <v>0</v>
      </c>
      <c r="O185" s="5">
        <v>0</v>
      </c>
      <c r="P185" s="9">
        <v>2.2200000000000002</v>
      </c>
    </row>
    <row r="186" spans="1:16" x14ac:dyDescent="0.3">
      <c r="A186" s="14">
        <v>105</v>
      </c>
      <c r="B186" s="5">
        <v>721</v>
      </c>
      <c r="C186" s="2" t="s">
        <v>889</v>
      </c>
      <c r="D186" s="5" t="s">
        <v>890</v>
      </c>
      <c r="E186" s="5">
        <f>LEN(Table3[[#This Row],[NAME1]])</f>
        <v>6</v>
      </c>
      <c r="F186" s="5">
        <f>VLOOKUP(Table3[[#This Row],[NAME1]], [1]Sheet1!$1:$1048576, 4, 0)</f>
        <v>6</v>
      </c>
      <c r="G186" s="5">
        <f>VLOOKUP(Table3[[#This Row],[NAME1]], [1]Sheet1!$1:$1048576, 5, 9)</f>
        <v>2</v>
      </c>
      <c r="H186" s="9">
        <f>VLOOKUP(Table3[[#This Row],[NAME1]], [2]Sheet1!$1:$1048576, 2, 0)</f>
        <v>134.49867599999999</v>
      </c>
      <c r="I186" s="9">
        <f>VLOOKUP(Table3[[#This Row],[NAME1]], [2]Sheet1!$1:$1048576, 3, 0)</f>
        <v>2.1319349999999999</v>
      </c>
      <c r="J186" s="12">
        <v>0</v>
      </c>
      <c r="K186" s="12">
        <v>100</v>
      </c>
      <c r="L186" s="5">
        <v>99</v>
      </c>
      <c r="M186" s="5">
        <v>1</v>
      </c>
      <c r="N186" s="5">
        <v>0</v>
      </c>
      <c r="O186" s="5">
        <v>1</v>
      </c>
      <c r="P186" s="9">
        <v>2.37</v>
      </c>
    </row>
    <row r="187" spans="1:16" x14ac:dyDescent="0.3">
      <c r="A187" s="14">
        <v>206</v>
      </c>
      <c r="B187" s="5">
        <v>535</v>
      </c>
      <c r="C187" s="2" t="s">
        <v>673</v>
      </c>
      <c r="D187" s="5" t="s">
        <v>674</v>
      </c>
      <c r="E187" s="5">
        <f>LEN(Table3[[#This Row],[NAME1]])</f>
        <v>6</v>
      </c>
      <c r="F187" s="5">
        <f>VLOOKUP(Table3[[#This Row],[NAME1]], [1]Sheet1!$1:$1048576, 4, 0)</f>
        <v>6</v>
      </c>
      <c r="G187" s="5">
        <f>VLOOKUP(Table3[[#This Row],[NAME1]], [1]Sheet1!$1:$1048576, 5, 9)</f>
        <v>2</v>
      </c>
      <c r="H187" s="9">
        <f>VLOOKUP(Table3[[#This Row],[NAME1]], [2]Sheet1!$1:$1048576, 2, 0)</f>
        <v>11.154341000000001</v>
      </c>
      <c r="I187" s="9">
        <f>VLOOKUP(Table3[[#This Row],[NAME1]], [2]Sheet1!$1:$1048576, 3, 0)</f>
        <v>1.0847309999999999</v>
      </c>
      <c r="J187" s="9">
        <v>0.14257333</v>
      </c>
      <c r="K187" s="9">
        <v>97.979797980000001</v>
      </c>
      <c r="L187" s="5">
        <v>99</v>
      </c>
      <c r="M187" s="5">
        <v>2</v>
      </c>
      <c r="N187" s="5">
        <v>0</v>
      </c>
      <c r="O187" s="5">
        <v>1</v>
      </c>
      <c r="P187" s="9">
        <v>2.75</v>
      </c>
    </row>
    <row r="188" spans="1:16" x14ac:dyDescent="0.3">
      <c r="A188" s="14">
        <v>106</v>
      </c>
      <c r="B188" s="5">
        <v>687</v>
      </c>
      <c r="C188" s="2" t="s">
        <v>852</v>
      </c>
      <c r="D188" s="5" t="s">
        <v>73</v>
      </c>
      <c r="E188" s="5">
        <f>LEN(Table3[[#This Row],[NAME1]])</f>
        <v>6</v>
      </c>
      <c r="F188" s="5">
        <f>VLOOKUP(Table3[[#This Row],[NAME1]], [1]Sheet1!$1:$1048576, 4, 0)</f>
        <v>6</v>
      </c>
      <c r="G188" s="5">
        <f>VLOOKUP(Table3[[#This Row],[NAME1]], [1]Sheet1!$1:$1048576, 5, 9)</f>
        <v>2</v>
      </c>
      <c r="H188" s="9">
        <f>VLOOKUP(Table3[[#This Row],[NAME1]], [2]Sheet1!$1:$1048576, 2, 0)</f>
        <v>13.724421</v>
      </c>
      <c r="I188" s="9">
        <f>VLOOKUP(Table3[[#This Row],[NAME1]], [2]Sheet1!$1:$1048576, 3, 0)</f>
        <v>1.1680379999999999</v>
      </c>
      <c r="J188" s="12">
        <v>0</v>
      </c>
      <c r="K188" s="12">
        <v>100</v>
      </c>
      <c r="L188" s="5">
        <v>99</v>
      </c>
      <c r="M188" s="5">
        <v>1</v>
      </c>
      <c r="N188" s="5">
        <v>0</v>
      </c>
      <c r="O188" s="5">
        <v>1</v>
      </c>
      <c r="P188" s="9">
        <v>1.86</v>
      </c>
    </row>
    <row r="189" spans="1:16" x14ac:dyDescent="0.3">
      <c r="A189" s="14">
        <v>159</v>
      </c>
      <c r="B189" s="5">
        <v>565</v>
      </c>
      <c r="C189" s="2" t="s">
        <v>705</v>
      </c>
      <c r="D189" s="5" t="s">
        <v>706</v>
      </c>
      <c r="E189" s="5">
        <f>LEN(Table3[[#This Row],[NAME1]])</f>
        <v>7</v>
      </c>
      <c r="F189" s="5">
        <f>VLOOKUP(Table3[[#This Row],[NAME1]], [1]Sheet1!$1:$1048576, 4, 0)</f>
        <v>7</v>
      </c>
      <c r="G189" s="5">
        <f>VLOOKUP(Table3[[#This Row],[NAME1]], [1]Sheet1!$1:$1048576, 5, 9)</f>
        <v>2</v>
      </c>
      <c r="H189" s="9">
        <f>VLOOKUP(Table3[[#This Row],[NAME1]], [2]Sheet1!$1:$1048576, 2, 0)</f>
        <v>11.859406999999999</v>
      </c>
      <c r="I189" s="9">
        <f>VLOOKUP(Table3[[#This Row],[NAME1]], [2]Sheet1!$1:$1048576, 3, 0)</f>
        <v>1.109221</v>
      </c>
      <c r="J189" s="12">
        <v>0</v>
      </c>
      <c r="K189" s="12">
        <v>100</v>
      </c>
      <c r="L189" s="5">
        <v>100</v>
      </c>
      <c r="M189" s="5">
        <v>1</v>
      </c>
      <c r="N189" s="5">
        <v>0</v>
      </c>
      <c r="O189" s="5">
        <v>0</v>
      </c>
      <c r="P189" s="9">
        <v>2.06</v>
      </c>
    </row>
    <row r="190" spans="1:16" x14ac:dyDescent="0.3">
      <c r="A190" s="14">
        <v>6</v>
      </c>
      <c r="B190" s="5">
        <v>202</v>
      </c>
      <c r="C190" s="2" t="s">
        <v>261</v>
      </c>
      <c r="D190" s="5" t="s">
        <v>262</v>
      </c>
      <c r="E190" s="5">
        <f>LEN(Table3[[#This Row],[NAME1]])</f>
        <v>4</v>
      </c>
      <c r="F190" s="5">
        <f>VLOOKUP(Table3[[#This Row],[NAME1]], [1]Sheet1!$1:$1048576, 4, 0)</f>
        <v>4</v>
      </c>
      <c r="G190" s="5">
        <f>VLOOKUP(Table3[[#This Row],[NAME1]], [1]Sheet1!$1:$1048576, 5, 9)</f>
        <v>2</v>
      </c>
      <c r="H190" s="9">
        <f>VLOOKUP(Table3[[#This Row],[NAME1]], [2]Sheet1!$1:$1048576, 2, 0)</f>
        <v>11.141344999999999</v>
      </c>
      <c r="I190" s="9">
        <f>VLOOKUP(Table3[[#This Row],[NAME1]], [2]Sheet1!$1:$1048576, 3, 0)</f>
        <v>1.0842670000000001</v>
      </c>
      <c r="J190" s="12">
        <v>0</v>
      </c>
      <c r="K190" s="12">
        <v>100</v>
      </c>
      <c r="L190" s="5">
        <v>98</v>
      </c>
      <c r="M190" s="5">
        <v>1</v>
      </c>
      <c r="N190" s="5">
        <v>0</v>
      </c>
      <c r="O190" s="5">
        <v>2</v>
      </c>
      <c r="P190" s="9">
        <v>2.21</v>
      </c>
    </row>
    <row r="191" spans="1:16" x14ac:dyDescent="0.3">
      <c r="A191" s="14">
        <v>238</v>
      </c>
      <c r="B191" s="5">
        <v>349</v>
      </c>
      <c r="C191" s="2" t="s">
        <v>440</v>
      </c>
      <c r="D191" s="5" t="s">
        <v>441</v>
      </c>
      <c r="E191" s="5">
        <f>LEN(Table3[[#This Row],[NAME1]])</f>
        <v>7</v>
      </c>
      <c r="F191" s="5">
        <f>VLOOKUP(Table3[[#This Row],[NAME1]], [1]Sheet1!$1:$1048576, 4, 0)</f>
        <v>7</v>
      </c>
      <c r="G191" s="5">
        <f>VLOOKUP(Table3[[#This Row],[NAME1]], [1]Sheet1!$1:$1048576, 5, 9)</f>
        <v>2</v>
      </c>
      <c r="H191" s="9">
        <f>VLOOKUP(Table3[[#This Row],[NAME1]], [2]Sheet1!$1:$1048576, 2, 0)</f>
        <v>1.0657220000000001</v>
      </c>
      <c r="I191" s="9" t="str">
        <f>VLOOKUP(Table3[[#This Row],[NAME1]], [2]Sheet1!$1:$1048576, 3, 0)</f>
        <v>0.315072</v>
      </c>
      <c r="J191" s="9">
        <v>0.19902377500000001</v>
      </c>
      <c r="K191" s="9">
        <v>96.907216489999996</v>
      </c>
      <c r="L191" s="5">
        <v>97</v>
      </c>
      <c r="M191" s="5">
        <v>2</v>
      </c>
      <c r="N191" s="5">
        <v>1</v>
      </c>
      <c r="O191" s="5">
        <v>2</v>
      </c>
      <c r="P191" s="9">
        <v>1.7</v>
      </c>
    </row>
    <row r="192" spans="1:16" x14ac:dyDescent="0.3">
      <c r="A192" s="14">
        <v>160</v>
      </c>
      <c r="B192" s="5">
        <v>479</v>
      </c>
      <c r="C192" s="2" t="s">
        <v>591</v>
      </c>
      <c r="D192" s="5" t="s">
        <v>592</v>
      </c>
      <c r="E192" s="5">
        <f>LEN(Table3[[#This Row],[NAME1]])</f>
        <v>7</v>
      </c>
      <c r="F192" s="5">
        <f>VLOOKUP(Table3[[#This Row],[NAME1]], [1]Sheet1!$1:$1048576, 4, 0)</f>
        <v>7</v>
      </c>
      <c r="G192" s="5">
        <f>VLOOKUP(Table3[[#This Row],[NAME1]], [1]Sheet1!$1:$1048576, 5, 9)</f>
        <v>2</v>
      </c>
      <c r="H192" s="9">
        <f>VLOOKUP(Table3[[#This Row],[NAME1]], [2]Sheet1!$1:$1048576, 2, 0)</f>
        <v>0.98124400000000001</v>
      </c>
      <c r="I192" s="9" t="str">
        <f>VLOOKUP(Table3[[#This Row],[NAME1]], [2]Sheet1!$1:$1048576, 3, 0)</f>
        <v>0.296938</v>
      </c>
      <c r="J192" s="12">
        <v>0</v>
      </c>
      <c r="K192" s="12">
        <v>100</v>
      </c>
      <c r="L192" s="5">
        <v>99</v>
      </c>
      <c r="M192" s="5">
        <v>1</v>
      </c>
      <c r="N192" s="5">
        <v>1</v>
      </c>
      <c r="O192" s="5">
        <v>0</v>
      </c>
      <c r="P192" s="9">
        <v>2.5299999999999998</v>
      </c>
    </row>
    <row r="193" spans="1:16" x14ac:dyDescent="0.3">
      <c r="A193" s="14">
        <v>58</v>
      </c>
      <c r="B193" s="5">
        <v>437</v>
      </c>
      <c r="C193" s="2" t="s">
        <v>535</v>
      </c>
      <c r="D193" s="5" t="s">
        <v>536</v>
      </c>
      <c r="E193" s="5">
        <f>LEN(Table3[[#This Row],[NAME1]])</f>
        <v>5</v>
      </c>
      <c r="F193" s="5">
        <f>VLOOKUP(Table3[[#This Row],[NAME1]], [1]Sheet1!$1:$1048576, 4, 0)</f>
        <v>5</v>
      </c>
      <c r="G193" s="5">
        <f>VLOOKUP(Table3[[#This Row],[NAME1]], [1]Sheet1!$1:$1048576, 5, 9)</f>
        <v>2</v>
      </c>
      <c r="H193" s="9">
        <f>VLOOKUP(Table3[[#This Row],[NAME1]], [2]Sheet1!$1:$1048576, 2, 0)</f>
        <v>18.260238000000001</v>
      </c>
      <c r="I193" s="9">
        <f>VLOOKUP(Table3[[#This Row],[NAME1]], [2]Sheet1!$1:$1048576, 3, 0)</f>
        <v>1.284662</v>
      </c>
      <c r="J193" s="12">
        <v>0</v>
      </c>
      <c r="K193" s="12">
        <v>100</v>
      </c>
      <c r="L193" s="5">
        <v>94</v>
      </c>
      <c r="M193" s="5">
        <v>1</v>
      </c>
      <c r="N193" s="5">
        <v>5</v>
      </c>
      <c r="O193" s="5">
        <v>1</v>
      </c>
      <c r="P193" s="9">
        <v>2.48</v>
      </c>
    </row>
    <row r="194" spans="1:16" x14ac:dyDescent="0.3">
      <c r="A194" s="14">
        <v>276</v>
      </c>
      <c r="B194" s="5">
        <v>275</v>
      </c>
      <c r="C194" s="2" t="s">
        <v>345</v>
      </c>
      <c r="D194" s="5" t="s">
        <v>346</v>
      </c>
      <c r="E194" s="5">
        <f>LEN(Table3[[#This Row],[NAME1]])</f>
        <v>4</v>
      </c>
      <c r="F194" s="5">
        <f>VLOOKUP(Table3[[#This Row],[NAME1]], [1]Sheet1!$1:$1048576, 4, 0)</f>
        <v>4</v>
      </c>
      <c r="G194" s="5">
        <f>VLOOKUP(Table3[[#This Row],[NAME1]], [1]Sheet1!$1:$1048576, 5, 9)</f>
        <v>2</v>
      </c>
      <c r="H194" s="9">
        <f>VLOOKUP(Table3[[#This Row],[NAME1]], [2]Sheet1!$1:$1048576, 2, 0)</f>
        <v>31.130132</v>
      </c>
      <c r="I194" s="9">
        <f>VLOOKUP(Table3[[#This Row],[NAME1]], [2]Sheet1!$1:$1048576, 3, 0)</f>
        <v>1.5069129999999999</v>
      </c>
      <c r="J194" s="9">
        <v>0.30217361799999998</v>
      </c>
      <c r="K194" s="9">
        <v>94.623655909999997</v>
      </c>
      <c r="L194" s="5">
        <v>93</v>
      </c>
      <c r="M194" s="5">
        <v>2</v>
      </c>
      <c r="N194" s="5">
        <v>3</v>
      </c>
      <c r="O194" s="5">
        <v>4</v>
      </c>
      <c r="P194" s="9">
        <v>2.12</v>
      </c>
    </row>
    <row r="195" spans="1:16" x14ac:dyDescent="0.3">
      <c r="A195" s="14">
        <v>161</v>
      </c>
      <c r="B195" s="5">
        <v>152</v>
      </c>
      <c r="C195" s="2" t="s">
        <v>198</v>
      </c>
      <c r="D195" s="5" t="s">
        <v>199</v>
      </c>
      <c r="E195" s="5">
        <f>LEN(Table3[[#This Row],[NAME1]])</f>
        <v>7</v>
      </c>
      <c r="F195" s="5">
        <f>VLOOKUP(Table3[[#This Row],[NAME1]], [1]Sheet1!$1:$1048576, 4, 0)</f>
        <v>7</v>
      </c>
      <c r="G195" s="5">
        <f>VLOOKUP(Table3[[#This Row],[NAME1]], [1]Sheet1!$1:$1048576, 5, 9)</f>
        <v>2</v>
      </c>
      <c r="H195" s="9">
        <f>VLOOKUP(Table3[[#This Row],[NAME1]], [2]Sheet1!$1:$1048576, 2, 0)</f>
        <v>6.8557119999999996</v>
      </c>
      <c r="I195" s="9" t="str">
        <f>VLOOKUP(Table3[[#This Row],[NAME1]], [2]Sheet1!$1:$1048576, 3, 0)</f>
        <v>0.895186</v>
      </c>
      <c r="J195" s="12">
        <v>0</v>
      </c>
      <c r="K195" s="12">
        <v>100</v>
      </c>
      <c r="L195" s="5">
        <v>100</v>
      </c>
      <c r="M195" s="5">
        <v>1</v>
      </c>
      <c r="N195" s="5">
        <v>0</v>
      </c>
      <c r="O195" s="5">
        <v>0</v>
      </c>
      <c r="P195" s="9">
        <v>2.9191919190000002</v>
      </c>
    </row>
    <row r="196" spans="1:16" x14ac:dyDescent="0.3">
      <c r="A196" s="14">
        <v>230</v>
      </c>
      <c r="B196" s="5">
        <v>596</v>
      </c>
      <c r="C196" s="2" t="s">
        <v>740</v>
      </c>
      <c r="D196" s="5" t="s">
        <v>741</v>
      </c>
      <c r="E196" s="5">
        <f>LEN(Table3[[#This Row],[NAME1]])</f>
        <v>7</v>
      </c>
      <c r="F196" s="5">
        <f>VLOOKUP(Table3[[#This Row],[NAME1]], [1]Sheet1!$1:$1048576, 4, 0)</f>
        <v>7</v>
      </c>
      <c r="G196" s="5">
        <f>VLOOKUP(Table3[[#This Row],[NAME1]], [1]Sheet1!$1:$1048576, 5, 9)</f>
        <v>2</v>
      </c>
      <c r="H196" s="9">
        <f>VLOOKUP(Table3[[#This Row],[NAME1]], [2]Sheet1!$1:$1048576, 2, 0)</f>
        <v>2.5668310000000001</v>
      </c>
      <c r="I196" s="9" t="str">
        <f>VLOOKUP(Table3[[#This Row],[NAME1]], [2]Sheet1!$1:$1048576, 3, 0)</f>
        <v>0.552282</v>
      </c>
      <c r="J196" s="9">
        <v>0.194391858</v>
      </c>
      <c r="K196" s="12">
        <v>97</v>
      </c>
      <c r="L196" s="5">
        <v>100</v>
      </c>
      <c r="M196" s="5">
        <v>2</v>
      </c>
      <c r="N196" s="5">
        <v>0</v>
      </c>
      <c r="O196" s="5">
        <v>0</v>
      </c>
      <c r="P196" s="9">
        <v>1.63</v>
      </c>
    </row>
    <row r="197" spans="1:16" x14ac:dyDescent="0.3">
      <c r="A197" s="14">
        <v>217</v>
      </c>
      <c r="B197" s="5">
        <v>242</v>
      </c>
      <c r="C197" s="2" t="s">
        <v>303</v>
      </c>
      <c r="D197" s="5" t="s">
        <v>304</v>
      </c>
      <c r="E197" s="5">
        <f>LEN(Table3[[#This Row],[NAME1]])</f>
        <v>7</v>
      </c>
      <c r="F197" s="5">
        <f>VLOOKUP(Table3[[#This Row],[NAME1]], [1]Sheet1!$1:$1048576, 4, 0)</f>
        <v>7</v>
      </c>
      <c r="G197" s="5">
        <f>VLOOKUP(Table3[[#This Row],[NAME1]], [1]Sheet1!$1:$1048576, 5, 9)</f>
        <v>2</v>
      </c>
      <c r="H197" s="9">
        <f>VLOOKUP(Table3[[#This Row],[NAME1]], [2]Sheet1!$1:$1048576, 2, 0)</f>
        <v>1.8585149999999999</v>
      </c>
      <c r="I197" s="9" t="str">
        <f>VLOOKUP(Table3[[#This Row],[NAME1]], [2]Sheet1!$1:$1048576, 3, 0)</f>
        <v>0.456141</v>
      </c>
      <c r="J197" s="9">
        <v>0.14372616999999999</v>
      </c>
      <c r="K197" s="9">
        <v>97.959183670000002</v>
      </c>
      <c r="L197" s="5">
        <v>98</v>
      </c>
      <c r="M197" s="5">
        <v>2</v>
      </c>
      <c r="N197" s="5">
        <v>0</v>
      </c>
      <c r="O197" s="5">
        <v>2</v>
      </c>
      <c r="P197" s="9">
        <v>2.92</v>
      </c>
    </row>
    <row r="198" spans="1:16" x14ac:dyDescent="0.3">
      <c r="A198" s="14">
        <v>59</v>
      </c>
      <c r="B198" s="5">
        <v>327</v>
      </c>
      <c r="C198" s="2" t="s">
        <v>411</v>
      </c>
      <c r="D198" s="5" t="s">
        <v>412</v>
      </c>
      <c r="E198" s="5">
        <f>LEN(Table3[[#This Row],[NAME1]])</f>
        <v>5</v>
      </c>
      <c r="F198" s="5">
        <f>VLOOKUP(Table3[[#This Row],[NAME1]], [1]Sheet1!$1:$1048576, 4, 0)</f>
        <v>5</v>
      </c>
      <c r="G198" s="5">
        <f>VLOOKUP(Table3[[#This Row],[NAME1]], [1]Sheet1!$1:$1048576, 5, 9)</f>
        <v>2</v>
      </c>
      <c r="H198" s="9">
        <f>VLOOKUP(Table3[[#This Row],[NAME1]], [2]Sheet1!$1:$1048576, 2, 0)</f>
        <v>22.786307999999998</v>
      </c>
      <c r="I198" s="9">
        <f>VLOOKUP(Table3[[#This Row],[NAME1]], [2]Sheet1!$1:$1048576, 3, 0)</f>
        <v>1.3763270000000001</v>
      </c>
      <c r="J198" s="12">
        <v>0</v>
      </c>
      <c r="K198" s="12">
        <v>100</v>
      </c>
      <c r="L198" s="5">
        <v>100</v>
      </c>
      <c r="M198" s="5">
        <v>1</v>
      </c>
      <c r="N198" s="5">
        <v>0</v>
      </c>
      <c r="O198" s="5">
        <v>0</v>
      </c>
      <c r="P198" s="9">
        <v>2.33</v>
      </c>
    </row>
    <row r="199" spans="1:16" x14ac:dyDescent="0.3">
      <c r="A199" s="14">
        <v>162</v>
      </c>
      <c r="B199" s="5">
        <v>16</v>
      </c>
      <c r="C199" s="2" t="s">
        <v>21</v>
      </c>
      <c r="D199" s="5" t="s">
        <v>22</v>
      </c>
      <c r="E199" s="5">
        <f>LEN(Table3[[#This Row],[NAME1]])</f>
        <v>7</v>
      </c>
      <c r="F199" s="5">
        <f>VLOOKUP(Table3[[#This Row],[NAME1]], [1]Sheet1!$1:$1048576, 4, 0)</f>
        <v>7</v>
      </c>
      <c r="G199" s="5">
        <f>VLOOKUP(Table3[[#This Row],[NAME1]], [1]Sheet1!$1:$1048576, 5, 9)</f>
        <v>2</v>
      </c>
      <c r="H199" s="9">
        <f>VLOOKUP(Table3[[#This Row],[NAME1]], [2]Sheet1!$1:$1048576, 2, 0)</f>
        <v>10.27707</v>
      </c>
      <c r="I199" s="9">
        <f>VLOOKUP(Table3[[#This Row],[NAME1]], [2]Sheet1!$1:$1048576, 3, 0)</f>
        <v>1.0521959999999999</v>
      </c>
      <c r="J199" s="12">
        <v>0</v>
      </c>
      <c r="K199" s="12">
        <v>100</v>
      </c>
      <c r="L199" s="5">
        <v>99</v>
      </c>
      <c r="M199" s="5">
        <v>1</v>
      </c>
      <c r="N199" s="5">
        <v>0</v>
      </c>
      <c r="O199" s="5">
        <v>1</v>
      </c>
      <c r="P199" s="9">
        <v>3.17</v>
      </c>
    </row>
    <row r="200" spans="1:16" x14ac:dyDescent="0.3">
      <c r="A200" s="14">
        <v>60</v>
      </c>
      <c r="B200" s="5">
        <v>379</v>
      </c>
      <c r="C200" s="2" t="s">
        <v>474</v>
      </c>
      <c r="D200" s="5" t="s">
        <v>475</v>
      </c>
      <c r="E200" s="5">
        <f>LEN(Table3[[#This Row],[NAME1]])</f>
        <v>5</v>
      </c>
      <c r="F200" s="5">
        <f>VLOOKUP(Table3[[#This Row],[NAME1]], [1]Sheet1!$1:$1048576, 4, 0)</f>
        <v>5</v>
      </c>
      <c r="G200" s="5">
        <f>VLOOKUP(Table3[[#This Row],[NAME1]], [1]Sheet1!$1:$1048576, 5, 9)</f>
        <v>2</v>
      </c>
      <c r="H200" s="9">
        <f>VLOOKUP(Table3[[#This Row],[NAME1]], [2]Sheet1!$1:$1048576, 2, 0)</f>
        <v>1.2769170000000001</v>
      </c>
      <c r="I200" s="9">
        <f>VLOOKUP(Table3[[#This Row],[NAME1]], [2]Sheet1!$1:$1048576, 3, 0)</f>
        <v>0.35734700000000003</v>
      </c>
      <c r="J200" s="12">
        <v>0</v>
      </c>
      <c r="K200" s="12">
        <v>100</v>
      </c>
      <c r="L200" s="5">
        <v>99</v>
      </c>
      <c r="M200" s="5">
        <v>1</v>
      </c>
      <c r="N200" s="5">
        <v>1</v>
      </c>
      <c r="O200" s="5">
        <v>0</v>
      </c>
      <c r="P200" s="9">
        <v>2.6464646460000001</v>
      </c>
    </row>
    <row r="201" spans="1:16" x14ac:dyDescent="0.3">
      <c r="A201" s="14">
        <v>61</v>
      </c>
      <c r="B201" s="5">
        <v>446</v>
      </c>
      <c r="C201" s="2" t="s">
        <v>549</v>
      </c>
      <c r="D201" s="5" t="s">
        <v>550</v>
      </c>
      <c r="E201" s="5">
        <f>LEN(Table3[[#This Row],[NAME1]])</f>
        <v>5</v>
      </c>
      <c r="F201" s="5">
        <f>VLOOKUP(Table3[[#This Row],[NAME1]], [1]Sheet1!$1:$1048576, 4, 0)</f>
        <v>5</v>
      </c>
      <c r="G201" s="5">
        <f>VLOOKUP(Table3[[#This Row],[NAME1]], [1]Sheet1!$1:$1048576, 5, 9)</f>
        <v>2</v>
      </c>
      <c r="H201" s="9">
        <f>VLOOKUP(Table3[[#This Row],[NAME1]], [2]Sheet1!$1:$1048576, 2, 0)</f>
        <v>15.163796</v>
      </c>
      <c r="I201" s="9">
        <f>VLOOKUP(Table3[[#This Row],[NAME1]], [2]Sheet1!$1:$1048576, 3, 0)</f>
        <v>1.2085429999999999</v>
      </c>
      <c r="J201" s="12">
        <v>0</v>
      </c>
      <c r="K201" s="12">
        <v>100</v>
      </c>
      <c r="L201" s="5">
        <v>98</v>
      </c>
      <c r="M201" s="5">
        <v>1</v>
      </c>
      <c r="N201" s="5">
        <v>0</v>
      </c>
      <c r="O201" s="5">
        <v>2</v>
      </c>
      <c r="P201" s="9">
        <v>2.57</v>
      </c>
    </row>
    <row r="202" spans="1:16" x14ac:dyDescent="0.3">
      <c r="A202" s="14">
        <v>164</v>
      </c>
      <c r="B202" s="5">
        <v>247</v>
      </c>
      <c r="C202" s="2" t="s">
        <v>311</v>
      </c>
      <c r="D202" s="5" t="s">
        <v>312</v>
      </c>
      <c r="E202" s="5">
        <f>LEN(Table3[[#This Row],[NAME1]])</f>
        <v>7</v>
      </c>
      <c r="F202" s="5">
        <f>VLOOKUP(Table3[[#This Row],[NAME1]], [1]Sheet1!$1:$1048576, 4, 0)</f>
        <v>7</v>
      </c>
      <c r="G202" s="5">
        <f>VLOOKUP(Table3[[#This Row],[NAME1]], [1]Sheet1!$1:$1048576, 5, 9)</f>
        <v>2</v>
      </c>
      <c r="H202" s="9">
        <f>VLOOKUP(Table3[[#This Row],[NAME1]], [2]Sheet1!$1:$1048576, 2, 0)</f>
        <v>31.659744</v>
      </c>
      <c r="I202" s="9">
        <f>VLOOKUP(Table3[[#This Row],[NAME1]], [2]Sheet1!$1:$1048576, 3, 0)</f>
        <v>1.5140130000000001</v>
      </c>
      <c r="J202" s="12">
        <v>0</v>
      </c>
      <c r="K202" s="12">
        <v>100</v>
      </c>
      <c r="L202" s="5">
        <v>100</v>
      </c>
      <c r="M202" s="5">
        <v>1</v>
      </c>
      <c r="N202" s="5">
        <v>0</v>
      </c>
      <c r="O202" s="5">
        <v>0</v>
      </c>
      <c r="P202" s="9">
        <v>2.75</v>
      </c>
    </row>
    <row r="203" spans="1:16" x14ac:dyDescent="0.3">
      <c r="A203" s="14">
        <v>107</v>
      </c>
      <c r="B203" s="5">
        <v>692</v>
      </c>
      <c r="C203" s="2" t="s">
        <v>855</v>
      </c>
      <c r="D203" s="5" t="s">
        <v>856</v>
      </c>
      <c r="E203" s="5">
        <f>LEN(Table3[[#This Row],[NAME1]])</f>
        <v>6</v>
      </c>
      <c r="F203" s="5">
        <f>VLOOKUP(Table3[[#This Row],[NAME1]], [1]Sheet1!$1:$1048576, 4, 0)</f>
        <v>6</v>
      </c>
      <c r="G203" s="5">
        <f>VLOOKUP(Table3[[#This Row],[NAME1]], [1]Sheet1!$1:$1048576, 5, 9)</f>
        <v>2</v>
      </c>
      <c r="H203" s="9">
        <f>VLOOKUP(Table3[[#This Row],[NAME1]], [2]Sheet1!$1:$1048576, 2, 0)</f>
        <v>1.4101319999999999</v>
      </c>
      <c r="I203" s="9" t="str">
        <f>VLOOKUP(Table3[[#This Row],[NAME1]], [2]Sheet1!$1:$1048576, 3, 0)</f>
        <v>0.382041</v>
      </c>
      <c r="J203" s="12">
        <v>0</v>
      </c>
      <c r="K203" s="12">
        <v>100</v>
      </c>
      <c r="L203" s="5">
        <v>97</v>
      </c>
      <c r="M203" s="5">
        <v>1</v>
      </c>
      <c r="N203" s="5">
        <v>0</v>
      </c>
      <c r="O203" s="5">
        <v>3</v>
      </c>
      <c r="P203" s="9">
        <v>1.65</v>
      </c>
    </row>
    <row r="204" spans="1:16" x14ac:dyDescent="0.3">
      <c r="A204" s="14">
        <v>62</v>
      </c>
      <c r="B204" s="5">
        <v>487</v>
      </c>
      <c r="C204" s="2" t="s">
        <v>601</v>
      </c>
      <c r="D204" s="5" t="s">
        <v>602</v>
      </c>
      <c r="E204" s="5">
        <f>LEN(Table3[[#This Row],[NAME1]])</f>
        <v>5</v>
      </c>
      <c r="F204" s="5">
        <f>VLOOKUP(Table3[[#This Row],[NAME1]], [1]Sheet1!$1:$1048576, 4, 0)</f>
        <v>5</v>
      </c>
      <c r="G204" s="5">
        <f>VLOOKUP(Table3[[#This Row],[NAME1]], [1]Sheet1!$1:$1048576, 5, 9)</f>
        <v>2</v>
      </c>
      <c r="H204" s="9">
        <f>VLOOKUP(Table3[[#This Row],[NAME1]], [2]Sheet1!$1:$1048576, 2, 0)</f>
        <v>4.0549429999999997</v>
      </c>
      <c r="I204" s="9">
        <f>VLOOKUP(Table3[[#This Row],[NAME1]], [2]Sheet1!$1:$1048576, 3, 0)</f>
        <v>0.70371600000000001</v>
      </c>
      <c r="J204" s="12">
        <v>0</v>
      </c>
      <c r="K204" s="12">
        <v>100</v>
      </c>
      <c r="L204" s="5">
        <v>98</v>
      </c>
      <c r="M204" s="5">
        <v>1</v>
      </c>
      <c r="N204" s="5">
        <v>1</v>
      </c>
      <c r="O204" s="5">
        <v>1</v>
      </c>
      <c r="P204" s="9">
        <v>2.5299999999999998</v>
      </c>
    </row>
    <row r="205" spans="1:16" x14ac:dyDescent="0.3">
      <c r="A205" s="14">
        <v>295</v>
      </c>
      <c r="B205" s="5">
        <v>332</v>
      </c>
      <c r="C205" s="2" t="s">
        <v>418</v>
      </c>
      <c r="D205" s="5" t="s">
        <v>419</v>
      </c>
      <c r="E205" s="5">
        <f>LEN(Table3[[#This Row],[NAME1]])</f>
        <v>7</v>
      </c>
      <c r="F205" s="5">
        <f>VLOOKUP(Table3[[#This Row],[NAME1]], [1]Sheet1!$1:$1048576, 4, 0)</f>
        <v>7</v>
      </c>
      <c r="G205" s="5">
        <f>VLOOKUP(Table3[[#This Row],[NAME1]], [1]Sheet1!$1:$1048576, 5, 9)</f>
        <v>2</v>
      </c>
      <c r="H205" s="9">
        <f>VLOOKUP(Table3[[#This Row],[NAME1]], [2]Sheet1!$1:$1048576, 2, 0)</f>
        <v>4.5650599999999999</v>
      </c>
      <c r="I205" s="9" t="str">
        <f>VLOOKUP(Table3[[#This Row],[NAME1]], [2]Sheet1!$1:$1048576, 3, 0)</f>
        <v>0.745470</v>
      </c>
      <c r="J205" s="9">
        <v>0.40770577200000002</v>
      </c>
      <c r="K205" s="9">
        <v>93.47826087</v>
      </c>
      <c r="L205" s="5">
        <v>92</v>
      </c>
      <c r="M205" s="5">
        <v>3</v>
      </c>
      <c r="N205" s="5">
        <v>5</v>
      </c>
      <c r="O205" s="5">
        <v>3</v>
      </c>
      <c r="P205" s="9">
        <v>2.87</v>
      </c>
    </row>
    <row r="206" spans="1:16" x14ac:dyDescent="0.3">
      <c r="A206" s="14">
        <v>293</v>
      </c>
      <c r="B206" s="5">
        <v>496</v>
      </c>
      <c r="C206" s="2" t="s">
        <v>613</v>
      </c>
      <c r="D206" s="5" t="s">
        <v>614</v>
      </c>
      <c r="E206" s="5">
        <f>LEN(Table3[[#This Row],[NAME1]])</f>
        <v>7</v>
      </c>
      <c r="F206" s="5">
        <f>VLOOKUP(Table3[[#This Row],[NAME1]], [1]Sheet1!$1:$1048576, 4, 0)</f>
        <v>7</v>
      </c>
      <c r="G206" s="5">
        <f>VLOOKUP(Table3[[#This Row],[NAME1]], [1]Sheet1!$1:$1048576, 5, 9)</f>
        <v>2</v>
      </c>
      <c r="H206" s="9">
        <f>VLOOKUP(Table3[[#This Row],[NAME1]], [2]Sheet1!$1:$1048576, 2, 0)</f>
        <v>40.903582999999998</v>
      </c>
      <c r="I206" s="9">
        <f>VLOOKUP(Table3[[#This Row],[NAME1]], [2]Sheet1!$1:$1048576, 3, 0)</f>
        <v>1.6222510000000001</v>
      </c>
      <c r="J206" s="9">
        <v>0.33476761300000002</v>
      </c>
      <c r="K206" s="9">
        <v>93.81443299</v>
      </c>
      <c r="L206" s="5">
        <v>97</v>
      </c>
      <c r="M206" s="5">
        <v>2</v>
      </c>
      <c r="N206" s="5">
        <v>0</v>
      </c>
      <c r="O206" s="5">
        <v>3</v>
      </c>
      <c r="P206" s="9">
        <v>1.1200000000000001</v>
      </c>
    </row>
    <row r="207" spans="1:16" x14ac:dyDescent="0.3">
      <c r="A207" s="14">
        <v>63</v>
      </c>
      <c r="B207" s="5">
        <v>528</v>
      </c>
      <c r="C207" s="2" t="s">
        <v>665</v>
      </c>
      <c r="D207" s="5" t="s">
        <v>666</v>
      </c>
      <c r="E207" s="5">
        <f>LEN(Table3[[#This Row],[NAME1]])</f>
        <v>5</v>
      </c>
      <c r="F207" s="5">
        <f>VLOOKUP(Table3[[#This Row],[NAME1]], [1]Sheet1!$1:$1048576, 4, 0)</f>
        <v>5</v>
      </c>
      <c r="G207" s="5">
        <f>VLOOKUP(Table3[[#This Row],[NAME1]], [1]Sheet1!$1:$1048576, 5, 9)</f>
        <v>2</v>
      </c>
      <c r="H207" s="9">
        <f>VLOOKUP(Table3[[#This Row],[NAME1]], [2]Sheet1!$1:$1048576, 2, 0)</f>
        <v>11.115351</v>
      </c>
      <c r="I207" s="9">
        <f>VLOOKUP(Table3[[#This Row],[NAME1]], [2]Sheet1!$1:$1048576, 3, 0)</f>
        <v>1.0833360000000001</v>
      </c>
      <c r="J207" s="12">
        <v>0</v>
      </c>
      <c r="K207" s="12">
        <v>100</v>
      </c>
      <c r="L207" s="5">
        <v>99</v>
      </c>
      <c r="M207" s="5">
        <v>1</v>
      </c>
      <c r="N207" s="5">
        <v>0</v>
      </c>
      <c r="O207" s="5">
        <v>1</v>
      </c>
      <c r="P207" s="9">
        <v>2.63</v>
      </c>
    </row>
    <row r="208" spans="1:16" x14ac:dyDescent="0.3">
      <c r="A208" s="14">
        <v>110</v>
      </c>
      <c r="B208" s="5">
        <v>197</v>
      </c>
      <c r="C208" s="2" t="s">
        <v>255</v>
      </c>
      <c r="D208" s="5" t="s">
        <v>256</v>
      </c>
      <c r="E208" s="5">
        <f>LEN(Table3[[#This Row],[NAME1]])</f>
        <v>6</v>
      </c>
      <c r="F208" s="5">
        <f>VLOOKUP(Table3[[#This Row],[NAME1]], [1]Sheet1!$1:$1048576, 4, 0)</f>
        <v>6</v>
      </c>
      <c r="G208" s="5">
        <f>VLOOKUP(Table3[[#This Row],[NAME1]], [1]Sheet1!$1:$1048576, 5, 9)</f>
        <v>2</v>
      </c>
      <c r="H208" s="9">
        <f>VLOOKUP(Table3[[#This Row],[NAME1]], [2]Sheet1!$1:$1048576, 2, 0)</f>
        <v>6.9921769999999999</v>
      </c>
      <c r="I208" s="9" t="str">
        <f>VLOOKUP(Table3[[#This Row],[NAME1]], [2]Sheet1!$1:$1048576, 3, 0)</f>
        <v>0.902665</v>
      </c>
      <c r="J208" s="12">
        <v>0</v>
      </c>
      <c r="K208" s="12">
        <v>100</v>
      </c>
      <c r="L208" s="5">
        <v>99</v>
      </c>
      <c r="M208" s="5">
        <v>1</v>
      </c>
      <c r="N208" s="5">
        <v>1</v>
      </c>
      <c r="O208" s="5">
        <v>0</v>
      </c>
      <c r="P208" s="9">
        <v>2.5299999999999998</v>
      </c>
    </row>
    <row r="209" spans="1:16" x14ac:dyDescent="0.3">
      <c r="A209" s="14">
        <v>113</v>
      </c>
      <c r="B209" s="5">
        <v>361</v>
      </c>
      <c r="C209" s="2" t="s">
        <v>456</v>
      </c>
      <c r="D209" s="5" t="s">
        <v>457</v>
      </c>
      <c r="E209" s="5">
        <f>LEN(Table3[[#This Row],[NAME1]])</f>
        <v>6</v>
      </c>
      <c r="F209" s="5">
        <f>VLOOKUP(Table3[[#This Row],[NAME1]], [1]Sheet1!$1:$1048576, 4, 0)</f>
        <v>6</v>
      </c>
      <c r="G209" s="5">
        <f>VLOOKUP(Table3[[#This Row],[NAME1]], [1]Sheet1!$1:$1048576, 5, 9)</f>
        <v>2</v>
      </c>
      <c r="H209" s="9">
        <f>VLOOKUP(Table3[[#This Row],[NAME1]], [2]Sheet1!$1:$1048576, 2, 0)</f>
        <v>4.6365410000000002</v>
      </c>
      <c r="I209" s="9" t="str">
        <f>VLOOKUP(Table3[[#This Row],[NAME1]], [2]Sheet1!$1:$1048576, 3, 0)</f>
        <v>0.751013</v>
      </c>
      <c r="J209" s="12">
        <v>0</v>
      </c>
      <c r="K209" s="12">
        <v>100</v>
      </c>
      <c r="L209" s="5">
        <v>99</v>
      </c>
      <c r="M209" s="5">
        <v>1</v>
      </c>
      <c r="N209" s="5">
        <v>0</v>
      </c>
      <c r="O209" s="5">
        <v>1</v>
      </c>
      <c r="P209" s="9">
        <v>2.4500000000000002</v>
      </c>
    </row>
    <row r="210" spans="1:16" x14ac:dyDescent="0.3">
      <c r="A210" s="14">
        <v>65</v>
      </c>
      <c r="B210" s="5">
        <v>598</v>
      </c>
      <c r="C210" s="2" t="s">
        <v>744</v>
      </c>
      <c r="D210" s="5" t="s">
        <v>745</v>
      </c>
      <c r="E210" s="5">
        <f>LEN(Table3[[#This Row],[NAME1]])</f>
        <v>5</v>
      </c>
      <c r="F210" s="5">
        <f>VLOOKUP(Table3[[#This Row],[NAME1]], [1]Sheet1!$1:$1048576, 4, 0)</f>
        <v>5</v>
      </c>
      <c r="G210" s="5">
        <f>VLOOKUP(Table3[[#This Row],[NAME1]], [1]Sheet1!$1:$1048576, 5, 9)</f>
        <v>2</v>
      </c>
      <c r="H210" s="9">
        <f>VLOOKUP(Table3[[#This Row],[NAME1]], [2]Sheet1!$1:$1048576, 2, 0)</f>
        <v>10.855418999999999</v>
      </c>
      <c r="I210" s="9">
        <f>VLOOKUP(Table3[[#This Row],[NAME1]], [2]Sheet1!$1:$1048576, 3, 0)</f>
        <v>1.073917</v>
      </c>
      <c r="J210" s="12">
        <v>0</v>
      </c>
      <c r="K210" s="12">
        <v>100</v>
      </c>
      <c r="L210" s="5">
        <v>99</v>
      </c>
      <c r="M210" s="5">
        <v>1</v>
      </c>
      <c r="N210" s="5">
        <v>0</v>
      </c>
      <c r="O210" s="5">
        <v>1</v>
      </c>
      <c r="P210" s="9">
        <v>2.0909090909999999</v>
      </c>
    </row>
    <row r="211" spans="1:16" x14ac:dyDescent="0.3">
      <c r="A211" s="14">
        <v>119</v>
      </c>
      <c r="B211" s="5">
        <v>156</v>
      </c>
      <c r="C211" s="2" t="s">
        <v>204</v>
      </c>
      <c r="D211" s="5" t="s">
        <v>205</v>
      </c>
      <c r="E211" s="5">
        <f>LEN(Table3[[#This Row],[NAME1]])</f>
        <v>6</v>
      </c>
      <c r="F211" s="5">
        <f>VLOOKUP(Table3[[#This Row],[NAME1]], [1]Sheet1!$1:$1048576, 4, 0)</f>
        <v>6</v>
      </c>
      <c r="G211" s="5">
        <f>VLOOKUP(Table3[[#This Row],[NAME1]], [1]Sheet1!$1:$1048576, 5, 9)</f>
        <v>2</v>
      </c>
      <c r="H211" s="9">
        <f>VLOOKUP(Table3[[#This Row],[NAME1]], [2]Sheet1!$1:$1048576, 2, 0)</f>
        <v>7.7752220000000003</v>
      </c>
      <c r="I211" s="9" t="str">
        <f>VLOOKUP(Table3[[#This Row],[NAME1]], [2]Sheet1!$1:$1048576, 3, 0)</f>
        <v>0.943258</v>
      </c>
      <c r="J211" s="12">
        <v>0</v>
      </c>
      <c r="K211" s="12">
        <v>100</v>
      </c>
      <c r="L211" s="5">
        <v>99</v>
      </c>
      <c r="M211" s="5">
        <v>1</v>
      </c>
      <c r="N211" s="5">
        <v>0</v>
      </c>
      <c r="O211" s="5">
        <v>1</v>
      </c>
      <c r="P211" s="9">
        <v>1.72</v>
      </c>
    </row>
    <row r="212" spans="1:16" x14ac:dyDescent="0.3">
      <c r="A212" s="14">
        <v>11</v>
      </c>
      <c r="B212" s="5">
        <v>312</v>
      </c>
      <c r="C212" s="2" t="s">
        <v>397</v>
      </c>
      <c r="D212" s="5" t="s">
        <v>398</v>
      </c>
      <c r="E212" s="5">
        <f>LEN(Table3[[#This Row],[NAME1]])</f>
        <v>4</v>
      </c>
      <c r="F212" s="5">
        <f>VLOOKUP(Table3[[#This Row],[NAME1]], [1]Sheet1!$1:$1048576, 4, 0)</f>
        <v>4</v>
      </c>
      <c r="G212" s="5">
        <f>VLOOKUP(Table3[[#This Row],[NAME1]], [1]Sheet1!$1:$1048576, 5, 9)</f>
        <v>2</v>
      </c>
      <c r="H212" s="9">
        <f>VLOOKUP(Table3[[#This Row],[NAME1]], [2]Sheet1!$1:$1048576, 2, 0)</f>
        <v>33.141356999999999</v>
      </c>
      <c r="I212" s="9">
        <f>VLOOKUP(Table3[[#This Row],[NAME1]], [2]Sheet1!$1:$1048576, 3, 0)</f>
        <v>1.5332809999999999</v>
      </c>
      <c r="J212" s="12">
        <v>0</v>
      </c>
      <c r="K212" s="12">
        <v>100</v>
      </c>
      <c r="L212" s="5">
        <v>97</v>
      </c>
      <c r="M212" s="5">
        <v>1</v>
      </c>
      <c r="N212" s="5">
        <v>1</v>
      </c>
      <c r="O212" s="5">
        <v>2</v>
      </c>
      <c r="P212" s="9">
        <v>2.76</v>
      </c>
    </row>
    <row r="213" spans="1:16" x14ac:dyDescent="0.3">
      <c r="A213" s="14">
        <v>273</v>
      </c>
      <c r="B213" s="5">
        <v>92</v>
      </c>
      <c r="C213" s="2" t="s">
        <v>118</v>
      </c>
      <c r="D213" s="5" t="s">
        <v>119</v>
      </c>
      <c r="E213" s="5">
        <f>LEN(Table3[[#This Row],[NAME1]])</f>
        <v>4</v>
      </c>
      <c r="F213" s="5">
        <f>VLOOKUP(Table3[[#This Row],[NAME1]], [1]Sheet1!$1:$1048576, 4, 0)</f>
        <v>4</v>
      </c>
      <c r="G213" s="5">
        <f>VLOOKUP(Table3[[#This Row],[NAME1]], [1]Sheet1!$1:$1048576, 5, 9)</f>
        <v>2</v>
      </c>
      <c r="H213" s="9">
        <f>VLOOKUP(Table3[[#This Row],[NAME1]], [2]Sheet1!$1:$1048576, 2, 0)</f>
        <v>2.105451</v>
      </c>
      <c r="I213" s="9" t="str">
        <f>VLOOKUP(Table3[[#This Row],[NAME1]], [2]Sheet1!$1:$1048576, 3, 0)</f>
        <v>0.492125</v>
      </c>
      <c r="J213" s="9">
        <v>0.295181743</v>
      </c>
      <c r="K213" s="9">
        <v>94.791666669999998</v>
      </c>
      <c r="L213" s="5">
        <v>96</v>
      </c>
      <c r="M213" s="5">
        <v>2</v>
      </c>
      <c r="N213" s="5">
        <v>1</v>
      </c>
      <c r="O213" s="5">
        <v>3</v>
      </c>
      <c r="P213" s="9">
        <v>2.84</v>
      </c>
    </row>
    <row r="214" spans="1:16" x14ac:dyDescent="0.3">
      <c r="A214" s="14">
        <v>68</v>
      </c>
      <c r="B214" s="5">
        <v>381</v>
      </c>
      <c r="C214" s="2" t="s">
        <v>476</v>
      </c>
      <c r="D214" s="5" t="s">
        <v>477</v>
      </c>
      <c r="E214" s="5">
        <f>LEN(Table3[[#This Row],[NAME1]])</f>
        <v>5</v>
      </c>
      <c r="F214" s="5">
        <f>VLOOKUP(Table3[[#This Row],[NAME1]], [1]Sheet1!$1:$1048576, 4, 0)</f>
        <v>5</v>
      </c>
      <c r="G214" s="5">
        <f>VLOOKUP(Table3[[#This Row],[NAME1]], [1]Sheet1!$1:$1048576, 5, 9)</f>
        <v>2</v>
      </c>
      <c r="H214" s="9">
        <f>VLOOKUP(Table3[[#This Row],[NAME1]], [2]Sheet1!$1:$1048576, 2, 0)</f>
        <v>1.99498</v>
      </c>
      <c r="I214" s="9" t="str">
        <f>VLOOKUP(Table3[[#This Row],[NAME1]], [2]Sheet1!$1:$1048576, 3, 0)</f>
        <v>0.476394</v>
      </c>
      <c r="J214" s="12">
        <v>0</v>
      </c>
      <c r="K214" s="12">
        <v>100</v>
      </c>
      <c r="L214" s="5">
        <v>100</v>
      </c>
      <c r="M214" s="5">
        <v>1</v>
      </c>
      <c r="N214" s="5">
        <v>0</v>
      </c>
      <c r="O214" s="5">
        <v>0</v>
      </c>
      <c r="P214" s="9">
        <v>2.17</v>
      </c>
    </row>
    <row r="215" spans="1:16" x14ac:dyDescent="0.3">
      <c r="A215" s="14">
        <v>274</v>
      </c>
      <c r="B215" s="5">
        <v>230</v>
      </c>
      <c r="C215" s="2" t="s">
        <v>291</v>
      </c>
      <c r="D215" s="5" t="s">
        <v>292</v>
      </c>
      <c r="E215" s="5">
        <f>LEN(Table3[[#This Row],[NAME1]])</f>
        <v>7</v>
      </c>
      <c r="F215" s="5">
        <f>VLOOKUP(Table3[[#This Row],[NAME1]], [1]Sheet1!$1:$1048576, 4, 0)</f>
        <v>7</v>
      </c>
      <c r="G215" s="5">
        <f>VLOOKUP(Table3[[#This Row],[NAME1]], [1]Sheet1!$1:$1048576, 5, 9)</f>
        <v>2</v>
      </c>
      <c r="H215" s="9">
        <f>VLOOKUP(Table3[[#This Row],[NAME1]], [2]Sheet1!$1:$1048576, 2, 0)</f>
        <v>3.3498760000000001</v>
      </c>
      <c r="I215" s="9" t="str">
        <f>VLOOKUP(Table3[[#This Row],[NAME1]], [2]Sheet1!$1:$1048576, 3, 0)</f>
        <v>0.638477</v>
      </c>
      <c r="J215" s="9">
        <v>0.34857491200000001</v>
      </c>
      <c r="K215" s="9">
        <v>94.736842109999998</v>
      </c>
      <c r="L215" s="5">
        <v>95</v>
      </c>
      <c r="M215" s="5">
        <v>3</v>
      </c>
      <c r="N215" s="5">
        <v>0</v>
      </c>
      <c r="O215" s="5">
        <v>5</v>
      </c>
      <c r="P215" s="9">
        <v>2.67</v>
      </c>
    </row>
    <row r="216" spans="1:16" x14ac:dyDescent="0.3">
      <c r="A216" s="14">
        <v>200</v>
      </c>
      <c r="B216" s="5">
        <v>114</v>
      </c>
      <c r="C216" s="2" t="s">
        <v>146</v>
      </c>
      <c r="D216" s="5" t="s">
        <v>147</v>
      </c>
      <c r="E216" s="5">
        <f>LEN(Table3[[#This Row],[NAME1]])</f>
        <v>5</v>
      </c>
      <c r="F216" s="5">
        <f>VLOOKUP(Table3[[#This Row],[NAME1]], [1]Sheet1!$1:$1048576, 4, 0)</f>
        <v>5</v>
      </c>
      <c r="G216" s="5">
        <f>VLOOKUP(Table3[[#This Row],[NAME1]], [1]Sheet1!$1:$1048576, 5, 9)</f>
        <v>2</v>
      </c>
      <c r="H216" s="9">
        <f>VLOOKUP(Table3[[#This Row],[NAME1]], [2]Sheet1!$1:$1048576, 2, 0)</f>
        <v>13.886879</v>
      </c>
      <c r="I216" s="9">
        <f>VLOOKUP(Table3[[#This Row],[NAME1]], [2]Sheet1!$1:$1048576, 3, 0)</f>
        <v>1.172804</v>
      </c>
      <c r="J216" s="9">
        <v>0.141440543</v>
      </c>
      <c r="K216" s="12">
        <v>98</v>
      </c>
      <c r="L216" s="5">
        <v>100</v>
      </c>
      <c r="M216" s="5">
        <v>2</v>
      </c>
      <c r="N216" s="5">
        <v>0</v>
      </c>
      <c r="O216" s="5">
        <v>0</v>
      </c>
      <c r="P216" s="9">
        <v>2.91</v>
      </c>
    </row>
    <row r="217" spans="1:16" x14ac:dyDescent="0.3">
      <c r="A217" s="14">
        <v>121</v>
      </c>
      <c r="B217" s="5">
        <v>344</v>
      </c>
      <c r="C217" s="2" t="s">
        <v>434</v>
      </c>
      <c r="D217" s="5" t="s">
        <v>435</v>
      </c>
      <c r="E217" s="5">
        <f>LEN(Table3[[#This Row],[NAME1]])</f>
        <v>6</v>
      </c>
      <c r="F217" s="5">
        <f>VLOOKUP(Table3[[#This Row],[NAME1]], [1]Sheet1!$1:$1048576, 4, 0)</f>
        <v>6</v>
      </c>
      <c r="G217" s="5">
        <f>VLOOKUP(Table3[[#This Row],[NAME1]], [1]Sheet1!$1:$1048576, 5, 9)</f>
        <v>2</v>
      </c>
      <c r="H217" s="9">
        <f>VLOOKUP(Table3[[#This Row],[NAME1]], [2]Sheet1!$1:$1048576, 2, 0)</f>
        <v>113.05426799999999</v>
      </c>
      <c r="I217" s="9">
        <f>VLOOKUP(Table3[[#This Row],[NAME1]], [2]Sheet1!$1:$1048576, 3, 0)</f>
        <v>2.0571120000000001</v>
      </c>
      <c r="J217" s="12">
        <v>0</v>
      </c>
      <c r="K217" s="12">
        <v>100</v>
      </c>
      <c r="L217" s="5">
        <v>99</v>
      </c>
      <c r="M217" s="5">
        <v>1</v>
      </c>
      <c r="N217" s="5">
        <v>0</v>
      </c>
      <c r="O217" s="5">
        <v>1</v>
      </c>
      <c r="P217" s="9">
        <v>2.42</v>
      </c>
    </row>
    <row r="218" spans="1:16" x14ac:dyDescent="0.3">
      <c r="A218" s="14">
        <v>69</v>
      </c>
      <c r="B218" s="5">
        <v>733</v>
      </c>
      <c r="C218" s="2" t="s">
        <v>899</v>
      </c>
      <c r="D218" s="5" t="s">
        <v>900</v>
      </c>
      <c r="E218" s="5">
        <f>LEN(Table3[[#This Row],[NAME1]])</f>
        <v>5</v>
      </c>
      <c r="F218" s="5">
        <f>VLOOKUP(Table3[[#This Row],[NAME1]], [1]Sheet1!$1:$1048576, 4, 0)</f>
        <v>5</v>
      </c>
      <c r="G218" s="5">
        <f>VLOOKUP(Table3[[#This Row],[NAME1]], [1]Sheet1!$1:$1048576, 5, 9)</f>
        <v>2</v>
      </c>
      <c r="H218" s="9">
        <f>VLOOKUP(Table3[[#This Row],[NAME1]], [2]Sheet1!$1:$1048576, 2, 0)</f>
        <v>6.4398210000000002</v>
      </c>
      <c r="I218" s="9" t="str">
        <f>VLOOKUP(Table3[[#This Row],[NAME1]], [2]Sheet1!$1:$1048576, 3, 0)</f>
        <v>0.871562</v>
      </c>
      <c r="J218" s="12">
        <v>0</v>
      </c>
      <c r="K218" s="12">
        <v>100</v>
      </c>
      <c r="L218" s="5">
        <v>100</v>
      </c>
      <c r="M218" s="5">
        <v>1</v>
      </c>
      <c r="N218" s="5">
        <v>0</v>
      </c>
      <c r="O218" s="5">
        <v>0</v>
      </c>
      <c r="P218" s="9">
        <v>1.96</v>
      </c>
    </row>
    <row r="219" spans="1:16" x14ac:dyDescent="0.3">
      <c r="A219" s="14">
        <v>70</v>
      </c>
      <c r="B219" s="5">
        <v>425</v>
      </c>
      <c r="C219" s="2" t="s">
        <v>522</v>
      </c>
      <c r="D219" s="5" t="s">
        <v>523</v>
      </c>
      <c r="E219" s="5">
        <f>LEN(Table3[[#This Row],[NAME1]])</f>
        <v>5</v>
      </c>
      <c r="F219" s="5">
        <f>VLOOKUP(Table3[[#This Row],[NAME1]], [1]Sheet1!$1:$1048576, 4, 0)</f>
        <v>5</v>
      </c>
      <c r="G219" s="5">
        <f>VLOOKUP(Table3[[#This Row],[NAME1]], [1]Sheet1!$1:$1048576, 5, 9)</f>
        <v>2</v>
      </c>
      <c r="H219" s="9">
        <f>VLOOKUP(Table3[[#This Row],[NAME1]], [2]Sheet1!$1:$1048576, 2, 0)</f>
        <v>2.18668</v>
      </c>
      <c r="I219" s="9" t="str">
        <f>VLOOKUP(Table3[[#This Row],[NAME1]], [2]Sheet1!$1:$1048576, 3, 0)</f>
        <v>0.503338</v>
      </c>
      <c r="J219" s="12">
        <v>0</v>
      </c>
      <c r="K219" s="12">
        <v>100</v>
      </c>
      <c r="L219" s="5">
        <v>93</v>
      </c>
      <c r="M219" s="5">
        <v>1</v>
      </c>
      <c r="N219" s="5">
        <v>5</v>
      </c>
      <c r="O219" s="5">
        <v>2</v>
      </c>
      <c r="P219" s="9">
        <v>2.68</v>
      </c>
    </row>
    <row r="220" spans="1:16" x14ac:dyDescent="0.3">
      <c r="A220" s="14">
        <v>12</v>
      </c>
      <c r="B220" s="5">
        <v>606</v>
      </c>
      <c r="C220" s="2" t="s">
        <v>754</v>
      </c>
      <c r="D220" s="5" t="s">
        <v>755</v>
      </c>
      <c r="E220" s="5">
        <f>LEN(Table3[[#This Row],[NAME1]])</f>
        <v>4</v>
      </c>
      <c r="F220" s="5">
        <f>VLOOKUP(Table3[[#This Row],[NAME1]], [1]Sheet1!$1:$1048576, 4, 0)</f>
        <v>4</v>
      </c>
      <c r="G220" s="5">
        <f>VLOOKUP(Table3[[#This Row],[NAME1]], [1]Sheet1!$1:$1048576, 5, 9)</f>
        <v>2</v>
      </c>
      <c r="H220" s="9">
        <f>VLOOKUP(Table3[[#This Row],[NAME1]], [2]Sheet1!$1:$1048576, 2, 0)</f>
        <v>38.557695000000002</v>
      </c>
      <c r="I220" s="9">
        <f>VLOOKUP(Table3[[#This Row],[NAME1]], [2]Sheet1!$1:$1048576, 3, 0)</f>
        <v>1.5972310000000001</v>
      </c>
      <c r="J220" s="12">
        <v>0</v>
      </c>
      <c r="K220" s="12">
        <v>100</v>
      </c>
      <c r="L220" s="5">
        <v>100</v>
      </c>
      <c r="M220" s="5">
        <v>1</v>
      </c>
      <c r="N220" s="5">
        <v>0</v>
      </c>
      <c r="O220" s="5">
        <v>0</v>
      </c>
      <c r="P220" s="9">
        <v>2.96</v>
      </c>
    </row>
    <row r="221" spans="1:16" x14ac:dyDescent="0.3">
      <c r="A221" s="14">
        <v>174</v>
      </c>
      <c r="B221" s="5">
        <v>141</v>
      </c>
      <c r="C221" s="2" t="s">
        <v>180</v>
      </c>
      <c r="D221" s="5" t="s">
        <v>181</v>
      </c>
      <c r="E221" s="5">
        <f>LEN(Table3[[#This Row],[NAME1]])</f>
        <v>7</v>
      </c>
      <c r="F221" s="5">
        <f>VLOOKUP(Table3[[#This Row],[NAME1]], [1]Sheet1!$1:$1048576, 4, 0)</f>
        <v>7</v>
      </c>
      <c r="G221" s="5">
        <f>VLOOKUP(Table3[[#This Row],[NAME1]], [1]Sheet1!$1:$1048576, 5, 9)</f>
        <v>2</v>
      </c>
      <c r="H221" s="9">
        <f>VLOOKUP(Table3[[#This Row],[NAME1]], [2]Sheet1!$1:$1048576, 2, 0)</f>
        <v>2.043717</v>
      </c>
      <c r="I221" s="9" t="str">
        <f>VLOOKUP(Table3[[#This Row],[NAME1]], [2]Sheet1!$1:$1048576, 3, 0)</f>
        <v>0.483404</v>
      </c>
      <c r="J221" s="12">
        <v>0</v>
      </c>
      <c r="K221" s="12">
        <v>100</v>
      </c>
      <c r="L221" s="5">
        <v>97</v>
      </c>
      <c r="M221" s="5">
        <v>1</v>
      </c>
      <c r="N221" s="5">
        <v>1</v>
      </c>
      <c r="O221" s="5">
        <v>2</v>
      </c>
      <c r="P221" s="9">
        <v>2.83</v>
      </c>
    </row>
    <row r="222" spans="1:16" x14ac:dyDescent="0.3">
      <c r="A222" s="14">
        <v>71</v>
      </c>
      <c r="B222" s="5">
        <v>75</v>
      </c>
      <c r="C222" s="2" t="s">
        <v>96</v>
      </c>
      <c r="D222" s="5" t="s">
        <v>97</v>
      </c>
      <c r="E222" s="5">
        <f>LEN(Table3[[#This Row],[NAME1]])</f>
        <v>5</v>
      </c>
      <c r="F222" s="5">
        <f>VLOOKUP(Table3[[#This Row],[NAME1]], [1]Sheet1!$1:$1048576, 4, 0)</f>
        <v>5</v>
      </c>
      <c r="G222" s="5">
        <f>VLOOKUP(Table3[[#This Row],[NAME1]], [1]Sheet1!$1:$1048576, 5, 9)</f>
        <v>2</v>
      </c>
      <c r="H222" s="9">
        <f>VLOOKUP(Table3[[#This Row],[NAME1]], [2]Sheet1!$1:$1048576, 2, 0)</f>
        <v>16.944330999999998</v>
      </c>
      <c r="I222" s="9">
        <f>VLOOKUP(Table3[[#This Row],[NAME1]], [2]Sheet1!$1:$1048576, 3, 0)</f>
        <v>1.253927</v>
      </c>
      <c r="J222" s="12">
        <v>0</v>
      </c>
      <c r="K222" s="12">
        <v>100</v>
      </c>
      <c r="L222" s="5">
        <v>100</v>
      </c>
      <c r="M222" s="5">
        <v>1</v>
      </c>
      <c r="N222" s="5">
        <v>0</v>
      </c>
      <c r="O222" s="5">
        <v>0</v>
      </c>
      <c r="P222" s="9">
        <v>1.43</v>
      </c>
    </row>
    <row r="223" spans="1:16" x14ac:dyDescent="0.3">
      <c r="A223" s="14">
        <v>13</v>
      </c>
      <c r="B223" s="5">
        <v>464</v>
      </c>
      <c r="C223" s="2" t="s">
        <v>575</v>
      </c>
      <c r="D223" s="5" t="s">
        <v>576</v>
      </c>
      <c r="E223" s="5">
        <f>LEN(Table3[[#This Row],[NAME1]])</f>
        <v>4</v>
      </c>
      <c r="F223" s="5">
        <f>VLOOKUP(Table3[[#This Row],[NAME1]], [1]Sheet1!$1:$1048576, 4, 0)</f>
        <v>4</v>
      </c>
      <c r="G223" s="5">
        <f>VLOOKUP(Table3[[#This Row],[NAME1]], [1]Sheet1!$1:$1048576, 5, 9)</f>
        <v>2</v>
      </c>
      <c r="H223" s="9">
        <f>VLOOKUP(Table3[[#This Row],[NAME1]], [2]Sheet1!$1:$1048576, 2, 0)</f>
        <v>6.4040800000000004</v>
      </c>
      <c r="I223" s="9">
        <f>VLOOKUP(Table3[[#This Row],[NAME1]], [2]Sheet1!$1:$1048576, 3, 0)</f>
        <v>0.86947099999999999</v>
      </c>
      <c r="J223" s="12">
        <v>0</v>
      </c>
      <c r="K223" s="12">
        <v>100</v>
      </c>
      <c r="L223" s="5">
        <v>96</v>
      </c>
      <c r="M223" s="5">
        <v>1</v>
      </c>
      <c r="N223" s="5">
        <v>3</v>
      </c>
      <c r="O223" s="5">
        <v>1</v>
      </c>
      <c r="P223" s="9">
        <v>1.83</v>
      </c>
    </row>
    <row r="224" spans="1:16" x14ac:dyDescent="0.3">
      <c r="A224" s="14">
        <v>288</v>
      </c>
      <c r="B224" s="5">
        <v>706</v>
      </c>
      <c r="C224" s="2" t="s">
        <v>871</v>
      </c>
      <c r="D224" s="5" t="s">
        <v>872</v>
      </c>
      <c r="E224" s="5">
        <f>LEN(Table3[[#This Row],[NAME1]])</f>
        <v>4</v>
      </c>
      <c r="F224" s="5">
        <f>VLOOKUP(Table3[[#This Row],[NAME1]], [1]Sheet1!$1:$1048576, 4, 0)</f>
        <v>4</v>
      </c>
      <c r="G224" s="5">
        <f>VLOOKUP(Table3[[#This Row],[NAME1]], [1]Sheet1!$1:$1048576, 5, 9)</f>
        <v>2</v>
      </c>
      <c r="H224" s="9">
        <f>VLOOKUP(Table3[[#This Row],[NAME1]], [2]Sheet1!$1:$1048576, 2, 0)</f>
        <v>9.958653</v>
      </c>
      <c r="I224" s="9">
        <f>VLOOKUP(Table3[[#This Row],[NAME1]], [2]Sheet1!$1:$1048576, 3, 0)</f>
        <v>1.039757</v>
      </c>
      <c r="J224" s="9">
        <v>0.38850882399999997</v>
      </c>
      <c r="K224" s="9">
        <v>93.877551019999999</v>
      </c>
      <c r="L224" s="5">
        <v>98</v>
      </c>
      <c r="M224" s="5">
        <v>3</v>
      </c>
      <c r="N224" s="5">
        <v>1</v>
      </c>
      <c r="O224" s="5">
        <v>1</v>
      </c>
      <c r="P224" s="9">
        <v>1.55</v>
      </c>
    </row>
    <row r="225" spans="1:16" x14ac:dyDescent="0.3">
      <c r="A225" s="14">
        <v>291</v>
      </c>
      <c r="B225" s="5">
        <v>30</v>
      </c>
      <c r="C225" s="2" t="s">
        <v>35</v>
      </c>
      <c r="D225" s="5" t="s">
        <v>36</v>
      </c>
      <c r="E225" s="5">
        <f>LEN(Table3[[#This Row],[NAME1]])</f>
        <v>6</v>
      </c>
      <c r="F225" s="5">
        <f>VLOOKUP(Table3[[#This Row],[NAME1]], [1]Sheet1!$1:$1048576, 4, 0)</f>
        <v>6</v>
      </c>
      <c r="G225" s="5">
        <f>VLOOKUP(Table3[[#This Row],[NAME1]], [1]Sheet1!$1:$1048576, 5, 9)</f>
        <v>2</v>
      </c>
      <c r="H225" s="9">
        <f>VLOOKUP(Table3[[#This Row],[NAME1]], [2]Sheet1!$1:$1048576, 2, 0)</f>
        <v>11.118601</v>
      </c>
      <c r="I225" s="9">
        <f>VLOOKUP(Table3[[#This Row],[NAME1]], [2]Sheet1!$1:$1048576, 3, 0)</f>
        <v>1.0834520000000001</v>
      </c>
      <c r="J225" s="9">
        <v>0.39156941699999998</v>
      </c>
      <c r="K225" s="9">
        <v>93.81443299</v>
      </c>
      <c r="L225" s="5">
        <v>97</v>
      </c>
      <c r="M225" s="5">
        <v>3</v>
      </c>
      <c r="N225" s="5">
        <v>0</v>
      </c>
      <c r="O225" s="5">
        <v>3</v>
      </c>
      <c r="P225" s="9">
        <v>3.56</v>
      </c>
    </row>
    <row r="226" spans="1:16" x14ac:dyDescent="0.3">
      <c r="A226" s="14">
        <v>72</v>
      </c>
      <c r="B226" s="5">
        <v>140</v>
      </c>
      <c r="C226" s="2" t="s">
        <v>178</v>
      </c>
      <c r="D226" s="5" t="s">
        <v>179</v>
      </c>
      <c r="E226" s="5">
        <f>LEN(Table3[[#This Row],[NAME1]])</f>
        <v>5</v>
      </c>
      <c r="F226" s="5">
        <f>VLOOKUP(Table3[[#This Row],[NAME1]], [1]Sheet1!$1:$1048576, 4, 0)</f>
        <v>5</v>
      </c>
      <c r="G226" s="5">
        <f>VLOOKUP(Table3[[#This Row],[NAME1]], [1]Sheet1!$1:$1048576, 5, 9)</f>
        <v>2</v>
      </c>
      <c r="H226" s="9">
        <f>VLOOKUP(Table3[[#This Row],[NAME1]], [2]Sheet1!$1:$1048576, 2, 0)</f>
        <v>2.2939020000000001</v>
      </c>
      <c r="I226" s="9" t="str">
        <f>VLOOKUP(Table3[[#This Row],[NAME1]], [2]Sheet1!$1:$1048576, 3, 0)</f>
        <v>0.517711</v>
      </c>
      <c r="J226" s="12">
        <v>0</v>
      </c>
      <c r="K226" s="12">
        <v>100</v>
      </c>
      <c r="L226" s="5">
        <v>100</v>
      </c>
      <c r="M226" s="5">
        <v>1</v>
      </c>
      <c r="N226" s="5">
        <v>0</v>
      </c>
      <c r="O226" s="5">
        <v>0</v>
      </c>
      <c r="P226" s="9">
        <v>2.15</v>
      </c>
    </row>
    <row r="227" spans="1:16" x14ac:dyDescent="0.3">
      <c r="A227" s="14">
        <v>122</v>
      </c>
      <c r="B227" s="5">
        <v>576</v>
      </c>
      <c r="C227" s="2" t="s">
        <v>719</v>
      </c>
      <c r="D227" s="5" t="s">
        <v>528</v>
      </c>
      <c r="E227" s="5">
        <f>LEN(Table3[[#This Row],[NAME1]])</f>
        <v>6</v>
      </c>
      <c r="F227" s="5">
        <f>VLOOKUP(Table3[[#This Row],[NAME1]], [1]Sheet1!$1:$1048576, 4, 0)</f>
        <v>6</v>
      </c>
      <c r="G227" s="5">
        <f>VLOOKUP(Table3[[#This Row],[NAME1]], [1]Sheet1!$1:$1048576, 5, 9)</f>
        <v>2</v>
      </c>
      <c r="H227" s="9">
        <f>VLOOKUP(Table3[[#This Row],[NAME1]], [2]Sheet1!$1:$1048576, 2, 0)</f>
        <v>3.6942870000000001</v>
      </c>
      <c r="I227" s="9" t="str">
        <f>VLOOKUP(Table3[[#This Row],[NAME1]], [2]Sheet1!$1:$1048576, 3, 0)</f>
        <v>0.671570</v>
      </c>
      <c r="J227" s="12">
        <v>0</v>
      </c>
      <c r="K227" s="12">
        <v>100</v>
      </c>
      <c r="L227" s="5">
        <v>100</v>
      </c>
      <c r="M227" s="5">
        <v>1</v>
      </c>
      <c r="N227" s="5">
        <v>0</v>
      </c>
      <c r="O227" s="5">
        <v>0</v>
      </c>
      <c r="P227" s="9">
        <v>1.92</v>
      </c>
    </row>
    <row r="228" spans="1:16" x14ac:dyDescent="0.3">
      <c r="A228" s="14">
        <v>255</v>
      </c>
      <c r="B228" s="5">
        <v>320</v>
      </c>
      <c r="C228" s="2" t="s">
        <v>403</v>
      </c>
      <c r="D228" s="5" t="s">
        <v>404</v>
      </c>
      <c r="E228" s="5">
        <f>LEN(Table3[[#This Row],[NAME1]])</f>
        <v>7</v>
      </c>
      <c r="F228" s="5">
        <f>VLOOKUP(Table3[[#This Row],[NAME1]], [1]Sheet1!$1:$1048576, 4, 0)</f>
        <v>7</v>
      </c>
      <c r="G228" s="5">
        <f>VLOOKUP(Table3[[#This Row],[NAME1]], [1]Sheet1!$1:$1048576, 5, 9)</f>
        <v>2</v>
      </c>
      <c r="H228" s="9">
        <f>VLOOKUP(Table3[[#This Row],[NAME1]], [2]Sheet1!$1:$1048576, 2, 0)</f>
        <v>216.32533699999999</v>
      </c>
      <c r="I228" s="9">
        <f>VLOOKUP(Table3[[#This Row],[NAME1]], [2]Sheet1!$1:$1048576, 3, 0)</f>
        <v>2.33711</v>
      </c>
      <c r="J228" s="9">
        <v>0.24793583799999999</v>
      </c>
      <c r="K228" s="9">
        <v>95.87628866</v>
      </c>
      <c r="L228" s="5">
        <v>97</v>
      </c>
      <c r="M228" s="5">
        <v>2</v>
      </c>
      <c r="N228" s="5">
        <v>0</v>
      </c>
      <c r="O228" s="5">
        <v>3</v>
      </c>
      <c r="P228" s="9">
        <v>2.88</v>
      </c>
    </row>
    <row r="229" spans="1:16" x14ac:dyDescent="0.3">
      <c r="A229" s="14">
        <v>219</v>
      </c>
      <c r="B229" s="5">
        <v>524</v>
      </c>
      <c r="C229" s="2" t="s">
        <v>661</v>
      </c>
      <c r="D229" s="5" t="s">
        <v>662</v>
      </c>
      <c r="E229" s="5">
        <f>LEN(Table3[[#This Row],[NAME1]])</f>
        <v>5</v>
      </c>
      <c r="F229" s="5">
        <f>VLOOKUP(Table3[[#This Row],[NAME1]], [1]Sheet1!$1:$1048576, 4, 0)</f>
        <v>5</v>
      </c>
      <c r="G229" s="5">
        <f>VLOOKUP(Table3[[#This Row],[NAME1]], [1]Sheet1!$1:$1048576, 5, 9)</f>
        <v>2</v>
      </c>
      <c r="H229" s="9">
        <f>VLOOKUP(Table3[[#This Row],[NAME1]], [2]Sheet1!$1:$1048576, 2, 0)</f>
        <v>20.407927999999998</v>
      </c>
      <c r="I229" s="9">
        <f>VLOOKUP(Table3[[#This Row],[NAME1]], [2]Sheet1!$1:$1048576, 3, 0)</f>
        <v>1.3305750000000001</v>
      </c>
      <c r="J229" s="9">
        <v>0.14489961800000001</v>
      </c>
      <c r="K229" s="9">
        <v>97.93814433</v>
      </c>
      <c r="L229" s="5">
        <v>97</v>
      </c>
      <c r="M229" s="5">
        <v>2</v>
      </c>
      <c r="N229" s="5">
        <v>1</v>
      </c>
      <c r="O229" s="5">
        <v>2</v>
      </c>
      <c r="P229" s="9">
        <v>3.42</v>
      </c>
    </row>
    <row r="230" spans="1:16" x14ac:dyDescent="0.3">
      <c r="A230" s="14">
        <v>14</v>
      </c>
      <c r="B230" s="5">
        <v>260</v>
      </c>
      <c r="C230" s="2" t="s">
        <v>323</v>
      </c>
      <c r="D230" s="5" t="s">
        <v>324</v>
      </c>
      <c r="E230" s="5">
        <f>LEN(Table3[[#This Row],[NAME1]])</f>
        <v>4</v>
      </c>
      <c r="F230" s="5">
        <f>VLOOKUP(Table3[[#This Row],[NAME1]], [1]Sheet1!$1:$1048576, 4, 0)</f>
        <v>4</v>
      </c>
      <c r="G230" s="5">
        <f>VLOOKUP(Table3[[#This Row],[NAME1]], [1]Sheet1!$1:$1048576, 5, 9)</f>
        <v>2</v>
      </c>
      <c r="H230" s="9">
        <f>VLOOKUP(Table3[[#This Row],[NAME1]], [2]Sheet1!$1:$1048576, 2, 0)</f>
        <v>154.00333900000001</v>
      </c>
      <c r="I230" s="9">
        <f>VLOOKUP(Table3[[#This Row],[NAME1]], [2]Sheet1!$1:$1048576, 3, 0)</f>
        <v>2.1903410000000001</v>
      </c>
      <c r="J230" s="12">
        <v>0</v>
      </c>
      <c r="K230" s="12">
        <v>100</v>
      </c>
      <c r="L230" s="5">
        <v>100</v>
      </c>
      <c r="M230" s="5">
        <v>1</v>
      </c>
      <c r="N230" s="5">
        <v>0</v>
      </c>
      <c r="O230" s="5">
        <v>0</v>
      </c>
      <c r="P230" s="9">
        <v>2.85</v>
      </c>
    </row>
    <row r="231" spans="1:16" x14ac:dyDescent="0.3">
      <c r="A231" s="14">
        <v>312</v>
      </c>
      <c r="B231" s="5">
        <v>635</v>
      </c>
      <c r="C231" s="2" t="s">
        <v>790</v>
      </c>
      <c r="D231" s="5" t="s">
        <v>791</v>
      </c>
      <c r="E231" s="5">
        <f>LEN(Table3[[#This Row],[NAME1]])</f>
        <v>6</v>
      </c>
      <c r="F231" s="5">
        <f>VLOOKUP(Table3[[#This Row],[NAME1]], [1]Sheet1!$1:$1048576, 4, 0)</f>
        <v>6</v>
      </c>
      <c r="G231" s="5">
        <f>VLOOKUP(Table3[[#This Row],[NAME1]], [1]Sheet1!$1:$1048576, 5, 9)</f>
        <v>2</v>
      </c>
      <c r="H231" s="9">
        <f>VLOOKUP(Table3[[#This Row],[NAME1]], [2]Sheet1!$1:$1048576, 2, 0)</f>
        <v>4.0451949999999997</v>
      </c>
      <c r="I231" s="9" t="str">
        <f>VLOOKUP(Table3[[#This Row],[NAME1]], [2]Sheet1!$1:$1048576, 3, 0)</f>
        <v>0.702878</v>
      </c>
      <c r="J231" s="9">
        <v>0.416844196</v>
      </c>
      <c r="K231" s="9">
        <v>91.578947369999995</v>
      </c>
      <c r="L231" s="5">
        <v>95</v>
      </c>
      <c r="M231" s="5">
        <v>2</v>
      </c>
      <c r="N231" s="5">
        <v>5</v>
      </c>
      <c r="O231" s="5">
        <v>0</v>
      </c>
      <c r="P231" s="9">
        <v>3.08</v>
      </c>
    </row>
    <row r="232" spans="1:16" x14ac:dyDescent="0.3">
      <c r="A232" s="14">
        <v>279</v>
      </c>
      <c r="B232" s="5">
        <v>619</v>
      </c>
      <c r="C232" s="2" t="s">
        <v>774</v>
      </c>
      <c r="D232" s="5" t="s">
        <v>775</v>
      </c>
      <c r="E232" s="5">
        <f>LEN(Table3[[#This Row],[NAME1]])</f>
        <v>5</v>
      </c>
      <c r="F232" s="5">
        <f>VLOOKUP(Table3[[#This Row],[NAME1]], [1]Sheet1!$1:$1048576, 4, 0)</f>
        <v>5</v>
      </c>
      <c r="G232" s="5">
        <f>VLOOKUP(Table3[[#This Row],[NAME1]], [1]Sheet1!$1:$1048576, 5, 9)</f>
        <v>2</v>
      </c>
      <c r="H232" s="9">
        <f>VLOOKUP(Table3[[#This Row],[NAME1]], [2]Sheet1!$1:$1048576, 2, 0)</f>
        <v>3.9314749999999998</v>
      </c>
      <c r="I232" s="9" t="str">
        <f>VLOOKUP(Table3[[#This Row],[NAME1]], [2]Sheet1!$1:$1048576, 3, 0)</f>
        <v>0.692977</v>
      </c>
      <c r="J232" s="9">
        <v>0.31468260399999998</v>
      </c>
      <c r="K232" s="9">
        <v>94.318181820000007</v>
      </c>
      <c r="L232" s="5">
        <v>88</v>
      </c>
      <c r="M232" s="5">
        <v>2</v>
      </c>
      <c r="N232" s="5">
        <v>9</v>
      </c>
      <c r="O232" s="5">
        <v>3</v>
      </c>
      <c r="P232" s="9">
        <v>2.2929292929999998</v>
      </c>
    </row>
    <row r="233" spans="1:16" x14ac:dyDescent="0.3">
      <c r="A233" s="14">
        <v>205</v>
      </c>
      <c r="B233" s="5">
        <v>511</v>
      </c>
      <c r="C233" s="2" t="s">
        <v>639</v>
      </c>
      <c r="D233" s="5" t="s">
        <v>640</v>
      </c>
      <c r="E233" s="5">
        <f>LEN(Table3[[#This Row],[NAME1]])</f>
        <v>5</v>
      </c>
      <c r="F233" s="5">
        <f>VLOOKUP(Table3[[#This Row],[NAME1]], [1]Sheet1!$1:$1048576, 4, 0)</f>
        <v>5</v>
      </c>
      <c r="G233" s="5">
        <f>VLOOKUP(Table3[[#This Row],[NAME1]], [1]Sheet1!$1:$1048576, 5, 9)</f>
        <v>2</v>
      </c>
      <c r="H233" s="9">
        <f>VLOOKUP(Table3[[#This Row],[NAME1]], [2]Sheet1!$1:$1048576, 2, 0)</f>
        <v>4.2141510000000002</v>
      </c>
      <c r="I233" s="9" t="str">
        <f>VLOOKUP(Table3[[#This Row],[NAME1]], [2]Sheet1!$1:$1048576, 3, 0)</f>
        <v>0.717184</v>
      </c>
      <c r="J233" s="9">
        <v>0.14257333</v>
      </c>
      <c r="K233" s="9">
        <v>97.979797980000001</v>
      </c>
      <c r="L233" s="5">
        <v>99</v>
      </c>
      <c r="M233" s="5">
        <v>2</v>
      </c>
      <c r="N233" s="5">
        <v>0</v>
      </c>
      <c r="O233" s="5">
        <v>1</v>
      </c>
      <c r="P233" s="9">
        <v>2.4900000000000002</v>
      </c>
    </row>
    <row r="234" spans="1:16" x14ac:dyDescent="0.3">
      <c r="A234" s="14">
        <v>73</v>
      </c>
      <c r="B234" s="5">
        <v>290</v>
      </c>
      <c r="C234" s="2" t="s">
        <v>365</v>
      </c>
      <c r="D234" s="5" t="s">
        <v>366</v>
      </c>
      <c r="E234" s="5">
        <f>LEN(Table3[[#This Row],[NAME1]])</f>
        <v>5</v>
      </c>
      <c r="F234" s="5">
        <f>VLOOKUP(Table3[[#This Row],[NAME1]], [1]Sheet1!$1:$1048576, 4, 0)</f>
        <v>5</v>
      </c>
      <c r="G234" s="5">
        <f>VLOOKUP(Table3[[#This Row],[NAME1]], [1]Sheet1!$1:$1048576, 5, 9)</f>
        <v>2</v>
      </c>
      <c r="H234" s="9">
        <f>VLOOKUP(Table3[[#This Row],[NAME1]], [2]Sheet1!$1:$1048576, 2, 0)</f>
        <v>6.4463189999999999</v>
      </c>
      <c r="I234" s="9" t="str">
        <f>VLOOKUP(Table3[[#This Row],[NAME1]], [2]Sheet1!$1:$1048576, 3, 0)</f>
        <v>0.871942</v>
      </c>
      <c r="J234" s="12">
        <v>0</v>
      </c>
      <c r="K234" s="12">
        <v>100</v>
      </c>
      <c r="L234" s="5">
        <v>98</v>
      </c>
      <c r="M234" s="5">
        <v>1</v>
      </c>
      <c r="N234" s="5">
        <v>0</v>
      </c>
      <c r="O234" s="5">
        <v>2</v>
      </c>
      <c r="P234" s="9">
        <v>2.57</v>
      </c>
    </row>
    <row r="235" spans="1:16" x14ac:dyDescent="0.3">
      <c r="A235" s="14">
        <v>301</v>
      </c>
      <c r="B235" s="5">
        <v>607</v>
      </c>
      <c r="C235" s="2" t="s">
        <v>756</v>
      </c>
      <c r="D235" s="5" t="s">
        <v>757</v>
      </c>
      <c r="E235" s="5">
        <f>LEN(Table3[[#This Row],[NAME1]])</f>
        <v>6</v>
      </c>
      <c r="F235" s="5">
        <f>VLOOKUP(Table3[[#This Row],[NAME1]], [1]Sheet1!$1:$1048576, 4, 0)</f>
        <v>6</v>
      </c>
      <c r="G235" s="5">
        <f>VLOOKUP(Table3[[#This Row],[NAME1]], [1]Sheet1!$1:$1048576, 5, 9)</f>
        <v>2</v>
      </c>
      <c r="H235" s="9">
        <f>VLOOKUP(Table3[[#This Row],[NAME1]], [2]Sheet1!$1:$1048576, 2, 0)</f>
        <v>10.381043</v>
      </c>
      <c r="I235" s="9">
        <f>VLOOKUP(Table3[[#This Row],[NAME1]], [2]Sheet1!$1:$1048576, 3, 0)</f>
        <v>1.056182</v>
      </c>
      <c r="J235" s="9">
        <v>0.44505030400000001</v>
      </c>
      <c r="K235" s="9">
        <v>92.783505149999996</v>
      </c>
      <c r="L235" s="5">
        <v>97</v>
      </c>
      <c r="M235" s="5">
        <v>3</v>
      </c>
      <c r="N235" s="5">
        <v>0</v>
      </c>
      <c r="O235" s="5">
        <v>3</v>
      </c>
      <c r="P235" s="9">
        <v>2.34</v>
      </c>
    </row>
    <row r="236" spans="1:16" x14ac:dyDescent="0.3">
      <c r="A236" s="14">
        <v>124</v>
      </c>
      <c r="B236" s="5">
        <v>503</v>
      </c>
      <c r="C236" s="2" t="s">
        <v>627</v>
      </c>
      <c r="D236" s="5" t="s">
        <v>628</v>
      </c>
      <c r="E236" s="5">
        <f>LEN(Table3[[#This Row],[NAME1]])</f>
        <v>6</v>
      </c>
      <c r="F236" s="5">
        <f>VLOOKUP(Table3[[#This Row],[NAME1]], [1]Sheet1!$1:$1048576, 4, 0)</f>
        <v>6</v>
      </c>
      <c r="G236" s="5">
        <f>VLOOKUP(Table3[[#This Row],[NAME1]], [1]Sheet1!$1:$1048576, 5, 9)</f>
        <v>2</v>
      </c>
      <c r="H236" s="9">
        <f>VLOOKUP(Table3[[#This Row],[NAME1]], [2]Sheet1!$1:$1048576, 2, 0)</f>
        <v>119.43885299999999</v>
      </c>
      <c r="I236" s="9">
        <f>VLOOKUP(Table3[[#This Row],[NAME1]], [2]Sheet1!$1:$1048576, 3, 0)</f>
        <v>2.0807669999999998</v>
      </c>
      <c r="J236" s="12">
        <v>0</v>
      </c>
      <c r="K236" s="12">
        <v>100</v>
      </c>
      <c r="L236" s="5">
        <v>99</v>
      </c>
      <c r="M236" s="5">
        <v>1</v>
      </c>
      <c r="N236" s="5">
        <v>0</v>
      </c>
      <c r="O236" s="5">
        <v>1</v>
      </c>
      <c r="P236" s="9">
        <v>1.59</v>
      </c>
    </row>
    <row r="237" spans="1:16" x14ac:dyDescent="0.3">
      <c r="A237" s="14">
        <v>17</v>
      </c>
      <c r="B237" s="5">
        <v>15</v>
      </c>
      <c r="C237" s="2" t="s">
        <v>19</v>
      </c>
      <c r="D237" s="5" t="s">
        <v>20</v>
      </c>
      <c r="E237" s="5">
        <f>LEN(Table3[[#This Row],[NAME1]])</f>
        <v>4</v>
      </c>
      <c r="F237" s="5">
        <f>VLOOKUP(Table3[[#This Row],[NAME1]], [1]Sheet1!$1:$1048576, 4, 0)</f>
        <v>4</v>
      </c>
      <c r="G237" s="5">
        <f>VLOOKUP(Table3[[#This Row],[NAME1]], [1]Sheet1!$1:$1048576, 5, 9)</f>
        <v>2</v>
      </c>
      <c r="H237" s="9">
        <f>VLOOKUP(Table3[[#This Row],[NAME1]], [2]Sheet1!$1:$1048576, 2, 0)</f>
        <v>102.42304</v>
      </c>
      <c r="I237" s="9">
        <f>VLOOKUP(Table3[[#This Row],[NAME1]], [2]Sheet1!$1:$1048576, 3, 0)</f>
        <v>2.0146169999999999</v>
      </c>
      <c r="J237" s="12">
        <v>0</v>
      </c>
      <c r="K237" s="12">
        <v>100</v>
      </c>
      <c r="L237" s="5">
        <v>100</v>
      </c>
      <c r="M237" s="5">
        <v>1</v>
      </c>
      <c r="N237" s="5">
        <v>0</v>
      </c>
      <c r="O237" s="5">
        <v>0</v>
      </c>
      <c r="P237" s="9">
        <v>2.8</v>
      </c>
    </row>
    <row r="238" spans="1:16" x14ac:dyDescent="0.3">
      <c r="A238" s="14">
        <v>268</v>
      </c>
      <c r="B238" s="5">
        <v>505</v>
      </c>
      <c r="C238" s="2" t="s">
        <v>631</v>
      </c>
      <c r="D238" s="5" t="s">
        <v>632</v>
      </c>
      <c r="E238" s="5">
        <f>LEN(Table3[[#This Row],[NAME1]])</f>
        <v>5</v>
      </c>
      <c r="F238" s="5">
        <f>VLOOKUP(Table3[[#This Row],[NAME1]], [1]Sheet1!$1:$1048576, 4, 0)</f>
        <v>5</v>
      </c>
      <c r="G238" s="5">
        <f>VLOOKUP(Table3[[#This Row],[NAME1]], [1]Sheet1!$1:$1048576, 5, 9)</f>
        <v>2</v>
      </c>
      <c r="H238" s="9">
        <f>VLOOKUP(Table3[[#This Row],[NAME1]], [2]Sheet1!$1:$1048576, 2, 0)</f>
        <v>210.866761</v>
      </c>
      <c r="I238" s="9">
        <f>VLOOKUP(Table3[[#This Row],[NAME1]], [2]Sheet1!$1:$1048576, 3, 0)</f>
        <v>2.326063</v>
      </c>
      <c r="J238" s="9">
        <v>0.28853851400000002</v>
      </c>
      <c r="K238" s="9">
        <v>94.949494950000002</v>
      </c>
      <c r="L238" s="5">
        <v>99</v>
      </c>
      <c r="M238" s="5">
        <v>2</v>
      </c>
      <c r="N238" s="5">
        <v>0</v>
      </c>
      <c r="O238" s="5">
        <v>1</v>
      </c>
      <c r="P238" s="9">
        <v>2</v>
      </c>
    </row>
    <row r="239" spans="1:16" x14ac:dyDescent="0.3">
      <c r="A239" s="14">
        <v>75</v>
      </c>
      <c r="B239" s="5">
        <v>129</v>
      </c>
      <c r="C239" s="2" t="s">
        <v>166</v>
      </c>
      <c r="D239" s="5" t="s">
        <v>167</v>
      </c>
      <c r="E239" s="5">
        <f>LEN(Table3[[#This Row],[NAME1]])</f>
        <v>5</v>
      </c>
      <c r="F239" s="5">
        <f>VLOOKUP(Table3[[#This Row],[NAME1]], [1]Sheet1!$1:$1048576, 4, 0)</f>
        <v>5</v>
      </c>
      <c r="G239" s="5">
        <f>VLOOKUP(Table3[[#This Row],[NAME1]], [1]Sheet1!$1:$1048576, 5, 9)</f>
        <v>2</v>
      </c>
      <c r="H239" s="9">
        <f>VLOOKUP(Table3[[#This Row],[NAME1]], [2]Sheet1!$1:$1048576, 2, 0)</f>
        <v>6.9629339999999997</v>
      </c>
      <c r="I239" s="9" t="str">
        <f>VLOOKUP(Table3[[#This Row],[NAME1]], [2]Sheet1!$1:$1048576, 3, 0)</f>
        <v>0.901073</v>
      </c>
      <c r="J239" s="12">
        <v>0</v>
      </c>
      <c r="K239" s="12">
        <v>100</v>
      </c>
      <c r="L239" s="5">
        <v>100</v>
      </c>
      <c r="M239" s="5">
        <v>1</v>
      </c>
      <c r="N239" s="5">
        <v>0</v>
      </c>
      <c r="O239" s="5">
        <v>0</v>
      </c>
      <c r="P239" s="9">
        <v>2.19</v>
      </c>
    </row>
    <row r="240" spans="1:16" x14ac:dyDescent="0.3">
      <c r="A240" s="14">
        <v>265</v>
      </c>
      <c r="B240" s="5">
        <v>557</v>
      </c>
      <c r="C240" s="2" t="s">
        <v>699</v>
      </c>
      <c r="D240" s="5" t="s">
        <v>700</v>
      </c>
      <c r="E240" s="5">
        <f>LEN(Table3[[#This Row],[NAME1]])</f>
        <v>4</v>
      </c>
      <c r="F240" s="5">
        <f>VLOOKUP(Table3[[#This Row],[NAME1]], [1]Sheet1!$1:$1048576, 4, 0)</f>
        <v>4</v>
      </c>
      <c r="G240" s="5">
        <f>VLOOKUP(Table3[[#This Row],[NAME1]], [1]Sheet1!$1:$1048576, 5, 9)</f>
        <v>2</v>
      </c>
      <c r="H240" s="9">
        <f>VLOOKUP(Table3[[#This Row],[NAME1]], [2]Sheet1!$1:$1048576, 2, 0)</f>
        <v>18.474682000000001</v>
      </c>
      <c r="I240" s="9">
        <f>VLOOKUP(Table3[[#This Row],[NAME1]], [2]Sheet1!$1:$1048576, 3, 0)</f>
        <v>1.2894699999999999</v>
      </c>
      <c r="J240" s="9">
        <v>0.33757642300000001</v>
      </c>
      <c r="K240" s="9">
        <v>94.949494950000002</v>
      </c>
      <c r="L240" s="5">
        <v>99</v>
      </c>
      <c r="M240" s="5">
        <v>3</v>
      </c>
      <c r="N240" s="5">
        <v>0</v>
      </c>
      <c r="O240" s="5">
        <v>1</v>
      </c>
      <c r="P240" s="9">
        <v>3.05</v>
      </c>
    </row>
    <row r="241" spans="1:16" x14ac:dyDescent="0.3">
      <c r="A241" s="14">
        <v>18</v>
      </c>
      <c r="B241" s="5">
        <v>172</v>
      </c>
      <c r="C241" s="2" t="s">
        <v>226</v>
      </c>
      <c r="D241" s="5" t="s">
        <v>227</v>
      </c>
      <c r="E241" s="5">
        <f>LEN(Table3[[#This Row],[NAME1]])</f>
        <v>4</v>
      </c>
      <c r="F241" s="5">
        <f>VLOOKUP(Table3[[#This Row],[NAME1]], [1]Sheet1!$1:$1048576, 4, 0)</f>
        <v>4</v>
      </c>
      <c r="G241" s="5">
        <f>VLOOKUP(Table3[[#This Row],[NAME1]], [1]Sheet1!$1:$1048576, 5, 9)</f>
        <v>2</v>
      </c>
      <c r="H241" s="9">
        <f>VLOOKUP(Table3[[#This Row],[NAME1]], [2]Sheet1!$1:$1048576, 2, 0)</f>
        <v>7.0766549999999997</v>
      </c>
      <c r="I241" s="9">
        <f>VLOOKUP(Table3[[#This Row],[NAME1]], [2]Sheet1!$1:$1048576, 3, 0)</f>
        <v>0.90723200000000004</v>
      </c>
      <c r="J241" s="12">
        <v>0</v>
      </c>
      <c r="K241" s="12">
        <v>100</v>
      </c>
      <c r="L241" s="5">
        <v>97</v>
      </c>
      <c r="M241" s="5">
        <v>1</v>
      </c>
      <c r="N241" s="5">
        <v>0</v>
      </c>
      <c r="O241" s="5">
        <v>3</v>
      </c>
      <c r="P241" s="9">
        <v>3.16</v>
      </c>
    </row>
    <row r="242" spans="1:16" x14ac:dyDescent="0.3">
      <c r="A242" s="14">
        <v>19</v>
      </c>
      <c r="B242" s="5">
        <v>90</v>
      </c>
      <c r="C242" s="2" t="s">
        <v>114</v>
      </c>
      <c r="D242" s="5" t="s">
        <v>115</v>
      </c>
      <c r="E242" s="5">
        <f>LEN(Table3[[#This Row],[NAME1]])</f>
        <v>4</v>
      </c>
      <c r="F242" s="5">
        <f>VLOOKUP(Table3[[#This Row],[NAME1]], [1]Sheet1!$1:$1048576, 4, 0)</f>
        <v>4</v>
      </c>
      <c r="G242" s="5">
        <f>VLOOKUP(Table3[[#This Row],[NAME1]], [1]Sheet1!$1:$1048576, 5, 9)</f>
        <v>2</v>
      </c>
      <c r="H242" s="9">
        <f>VLOOKUP(Table3[[#This Row],[NAME1]], [2]Sheet1!$1:$1048576, 2, 0)</f>
        <v>67.640861000000001</v>
      </c>
      <c r="I242" s="9">
        <f>VLOOKUP(Table3[[#This Row],[NAME1]], [2]Sheet1!$1:$1048576, 3, 0)</f>
        <v>1.8365830000000001</v>
      </c>
      <c r="J242" s="12">
        <v>0</v>
      </c>
      <c r="K242" s="12">
        <v>100</v>
      </c>
      <c r="L242" s="5">
        <v>100</v>
      </c>
      <c r="M242" s="5">
        <v>1</v>
      </c>
      <c r="N242" s="5">
        <v>0</v>
      </c>
      <c r="O242" s="5">
        <v>0</v>
      </c>
      <c r="P242" s="9">
        <v>1.24</v>
      </c>
    </row>
    <row r="243" spans="1:16" x14ac:dyDescent="0.3">
      <c r="A243" s="14">
        <v>325</v>
      </c>
      <c r="B243" s="5">
        <v>611</v>
      </c>
      <c r="C243" s="2" t="s">
        <v>762</v>
      </c>
      <c r="D243" s="5" t="s">
        <v>763</v>
      </c>
      <c r="E243" s="5">
        <f>LEN(Table3[[#This Row],[NAME1]])</f>
        <v>6</v>
      </c>
      <c r="F243" s="5">
        <f>VLOOKUP(Table3[[#This Row],[NAME1]], [1]Sheet1!$1:$1048576, 4, 0)</f>
        <v>6</v>
      </c>
      <c r="G243" s="5">
        <f>VLOOKUP(Table3[[#This Row],[NAME1]], [1]Sheet1!$1:$1048576, 5, 9)</f>
        <v>2</v>
      </c>
      <c r="H243" s="9">
        <f>VLOOKUP(Table3[[#This Row],[NAME1]], [2]Sheet1!$1:$1048576, 2, 0)</f>
        <v>75.646772999999996</v>
      </c>
      <c r="I243" s="9">
        <f>VLOOKUP(Table3[[#This Row],[NAME1]], [2]Sheet1!$1:$1048576, 3, 0)</f>
        <v>1.8844939999999999</v>
      </c>
      <c r="J243" s="9">
        <v>0.626090653</v>
      </c>
      <c r="K243" s="12">
        <v>90</v>
      </c>
      <c r="L243" s="5">
        <v>100</v>
      </c>
      <c r="M243" s="5">
        <v>4</v>
      </c>
      <c r="N243" s="5">
        <v>0</v>
      </c>
      <c r="O243" s="5">
        <v>0</v>
      </c>
      <c r="P243" s="9">
        <v>2.5299999999999998</v>
      </c>
    </row>
    <row r="244" spans="1:16" x14ac:dyDescent="0.3">
      <c r="A244" s="14">
        <v>204</v>
      </c>
      <c r="B244" s="5">
        <v>69</v>
      </c>
      <c r="C244" s="2" t="s">
        <v>88</v>
      </c>
      <c r="D244" s="5" t="s">
        <v>89</v>
      </c>
      <c r="E244" s="5">
        <f>LEN(Table3[[#This Row],[NAME1]])</f>
        <v>7</v>
      </c>
      <c r="F244" s="5">
        <f>VLOOKUP(Table3[[#This Row],[NAME1]], [1]Sheet1!$1:$1048576, 4, 0)</f>
        <v>7</v>
      </c>
      <c r="G244" s="5">
        <f>VLOOKUP(Table3[[#This Row],[NAME1]], [1]Sheet1!$1:$1048576, 5, 9)</f>
        <v>2</v>
      </c>
      <c r="H244" s="9">
        <f>VLOOKUP(Table3[[#This Row],[NAME1]], [2]Sheet1!$1:$1048576, 2, 0)</f>
        <v>6.0921609999999999</v>
      </c>
      <c r="I244" s="9" t="str">
        <f>VLOOKUP(Table3[[#This Row],[NAME1]], [2]Sheet1!$1:$1048576, 3, 0)</f>
        <v>0.850779</v>
      </c>
      <c r="J244" s="9">
        <v>0.141440543</v>
      </c>
      <c r="K244" s="12">
        <v>98</v>
      </c>
      <c r="L244" s="5">
        <v>100</v>
      </c>
      <c r="M244" s="5">
        <v>2</v>
      </c>
      <c r="N244" s="5">
        <v>0</v>
      </c>
      <c r="O244" s="5">
        <v>0</v>
      </c>
      <c r="P244" s="9">
        <v>1.89</v>
      </c>
    </row>
    <row r="245" spans="1:16" x14ac:dyDescent="0.3">
      <c r="A245" s="14">
        <v>320</v>
      </c>
      <c r="B245" s="5">
        <v>234</v>
      </c>
      <c r="C245" s="2" t="s">
        <v>293</v>
      </c>
      <c r="D245" s="5" t="s">
        <v>294</v>
      </c>
      <c r="E245" s="5">
        <f>LEN(Table3[[#This Row],[NAME1]])</f>
        <v>5</v>
      </c>
      <c r="F245" s="5">
        <f>VLOOKUP(Table3[[#This Row],[NAME1]], [1]Sheet1!$1:$1048576, 4, 0)</f>
        <v>5</v>
      </c>
      <c r="G245" s="5">
        <f>VLOOKUP(Table3[[#This Row],[NAME1]], [1]Sheet1!$1:$1048576, 5, 9)</f>
        <v>2</v>
      </c>
      <c r="H245" s="9">
        <f>VLOOKUP(Table3[[#This Row],[NAME1]], [2]Sheet1!$1:$1048576, 2, 0)</f>
        <v>18.533166999999999</v>
      </c>
      <c r="I245" s="9">
        <f>VLOOKUP(Table3[[#This Row],[NAME1]], [2]Sheet1!$1:$1048576, 3, 0)</f>
        <v>1.2907729999999999</v>
      </c>
      <c r="J245" s="9">
        <v>0.51755896599999995</v>
      </c>
      <c r="K245" s="9">
        <v>90.804597700000002</v>
      </c>
      <c r="L245" s="5">
        <v>87</v>
      </c>
      <c r="M245" s="5">
        <v>3</v>
      </c>
      <c r="N245" s="5">
        <v>4</v>
      </c>
      <c r="O245" s="5">
        <v>9</v>
      </c>
      <c r="P245" s="9">
        <v>2.04</v>
      </c>
    </row>
    <row r="246" spans="1:16" x14ac:dyDescent="0.3">
      <c r="A246" s="14">
        <v>201</v>
      </c>
      <c r="B246" s="5">
        <v>97</v>
      </c>
      <c r="C246" s="2" t="s">
        <v>122</v>
      </c>
      <c r="D246" s="5" t="s">
        <v>123</v>
      </c>
      <c r="E246" s="5">
        <f>LEN(Table3[[#This Row],[NAME1]])</f>
        <v>5</v>
      </c>
      <c r="F246" s="5">
        <f>VLOOKUP(Table3[[#This Row],[NAME1]], [1]Sheet1!$1:$1048576, 4, 0)</f>
        <v>5</v>
      </c>
      <c r="G246" s="5">
        <f>VLOOKUP(Table3[[#This Row],[NAME1]], [1]Sheet1!$1:$1048576, 5, 9)</f>
        <v>2</v>
      </c>
      <c r="H246" s="9">
        <f>VLOOKUP(Table3[[#This Row],[NAME1]], [2]Sheet1!$1:$1048576, 2, 0)</f>
        <v>17.915828000000001</v>
      </c>
      <c r="I246" s="9">
        <f>VLOOKUP(Table3[[#This Row],[NAME1]], [2]Sheet1!$1:$1048576, 3, 0)</f>
        <v>1.2768250000000001</v>
      </c>
      <c r="J246" s="9">
        <v>0.141440543</v>
      </c>
      <c r="K246" s="12">
        <v>98</v>
      </c>
      <c r="L246" s="5">
        <v>100</v>
      </c>
      <c r="M246" s="5">
        <v>2</v>
      </c>
      <c r="N246" s="5">
        <v>0</v>
      </c>
      <c r="O246" s="5">
        <v>0</v>
      </c>
      <c r="P246" s="9">
        <v>1.82</v>
      </c>
    </row>
    <row r="247" spans="1:16" x14ac:dyDescent="0.3">
      <c r="A247" s="14">
        <v>33</v>
      </c>
      <c r="B247" s="5">
        <v>245</v>
      </c>
      <c r="C247" s="2" t="s">
        <v>307</v>
      </c>
      <c r="D247" s="5" t="s">
        <v>308</v>
      </c>
      <c r="E247" s="5">
        <f>LEN(Table3[[#This Row],[NAME1]])</f>
        <v>4</v>
      </c>
      <c r="F247" s="5">
        <f>VLOOKUP(Table3[[#This Row],[NAME1]], [1]Sheet1!$1:$1048576, 4, 0)</f>
        <v>4</v>
      </c>
      <c r="G247" s="19">
        <v>2</v>
      </c>
      <c r="H247" s="9">
        <f>VLOOKUP(Table3[[#This Row],[NAME1]], [2]Sheet1!$1:$1048576, 2, 0)</f>
        <v>43.369689999999999</v>
      </c>
      <c r="I247" s="9">
        <f>VLOOKUP(Table3[[#This Row],[NAME1]], [2]Sheet1!$1:$1048576, 3, 0)</f>
        <v>1.6470860000000001</v>
      </c>
      <c r="J247" s="12">
        <v>0</v>
      </c>
      <c r="K247" s="12">
        <v>100</v>
      </c>
      <c r="L247" s="5">
        <v>100</v>
      </c>
      <c r="M247" s="5">
        <v>1</v>
      </c>
      <c r="N247" s="5">
        <v>0</v>
      </c>
      <c r="O247" s="5">
        <v>0</v>
      </c>
      <c r="P247" s="9">
        <v>1.96</v>
      </c>
    </row>
    <row r="248" spans="1:16" x14ac:dyDescent="0.3">
      <c r="A248" s="14">
        <v>260</v>
      </c>
      <c r="B248" s="5">
        <v>536</v>
      </c>
      <c r="C248" s="2" t="s">
        <v>675</v>
      </c>
      <c r="D248" s="5" t="s">
        <v>676</v>
      </c>
      <c r="E248" s="5">
        <f>LEN(Table3[[#This Row],[NAME1]])</f>
        <v>4</v>
      </c>
      <c r="F248" s="5">
        <f>VLOOKUP(Table3[[#This Row],[NAME1]], [1]Sheet1!$1:$1048576, 4, 0)</f>
        <v>4</v>
      </c>
      <c r="G248" s="19">
        <v>2</v>
      </c>
      <c r="H248" s="9">
        <f>VLOOKUP(Table3[[#This Row],[NAME1]], [2]Sheet1!$1:$1048576, 2, 0)</f>
        <v>28.105170999999999</v>
      </c>
      <c r="I248" s="9">
        <f>VLOOKUP(Table3[[#This Row],[NAME1]], [2]Sheet1!$1:$1048576, 3, 0)</f>
        <v>1.46397</v>
      </c>
      <c r="J248" s="9">
        <v>0.33494448700000001</v>
      </c>
      <c r="K248" s="12">
        <v>95</v>
      </c>
      <c r="L248" s="5">
        <v>100</v>
      </c>
      <c r="M248" s="5">
        <v>3</v>
      </c>
      <c r="N248" s="5">
        <v>0</v>
      </c>
      <c r="O248" s="5">
        <v>0</v>
      </c>
      <c r="P248" s="9">
        <v>1.898989899</v>
      </c>
    </row>
    <row r="249" spans="1:16" x14ac:dyDescent="0.3">
      <c r="A249" s="14">
        <v>34</v>
      </c>
      <c r="B249" s="5">
        <v>612</v>
      </c>
      <c r="C249" s="2" t="s">
        <v>764</v>
      </c>
      <c r="D249" s="5" t="s">
        <v>765</v>
      </c>
      <c r="E249" s="5">
        <f>LEN(Table3[[#This Row],[NAME1]])</f>
        <v>4</v>
      </c>
      <c r="F249" s="5">
        <f>VLOOKUP(Table3[[#This Row],[NAME1]], [1]Sheet1!$1:$1048576, 4, 0)</f>
        <v>4</v>
      </c>
      <c r="G249" s="19">
        <v>2</v>
      </c>
      <c r="H249" s="9">
        <f>VLOOKUP(Table3[[#This Row],[NAME1]], [2]Sheet1!$1:$1048576, 2, 0)</f>
        <v>8.5940089999999998</v>
      </c>
      <c r="I249" s="9">
        <f>VLOOKUP(Table3[[#This Row],[NAME1]], [2]Sheet1!$1:$1048576, 3, 0)</f>
        <v>0.98199999999999998</v>
      </c>
      <c r="J249" s="12">
        <v>0</v>
      </c>
      <c r="K249" s="12">
        <v>100</v>
      </c>
      <c r="L249" s="5">
        <v>100</v>
      </c>
      <c r="M249" s="5">
        <v>1</v>
      </c>
      <c r="N249" s="5">
        <v>0</v>
      </c>
      <c r="O249" s="5">
        <v>0</v>
      </c>
      <c r="P249" s="9">
        <v>2.67</v>
      </c>
    </row>
    <row r="250" spans="1:16" x14ac:dyDescent="0.3">
      <c r="A250" s="14">
        <v>269</v>
      </c>
      <c r="B250" s="5">
        <v>1</v>
      </c>
      <c r="C250" s="2" t="s">
        <v>11</v>
      </c>
      <c r="D250" s="5" t="s">
        <v>12</v>
      </c>
      <c r="E250" s="5">
        <f>LEN(Table3[[#This Row],[NAME1]])</f>
        <v>5</v>
      </c>
      <c r="F250" s="5">
        <f>VLOOKUP(Table3[[#This Row],[NAME1]], [1]Sheet1!$1:$1048576, 4, 0)</f>
        <v>5</v>
      </c>
      <c r="G250" s="19">
        <v>2</v>
      </c>
      <c r="H250" s="9">
        <f>VLOOKUP(Table3[[#This Row],[NAME1]], [2]Sheet1!$1:$1048576, 2, 0)</f>
        <v>8.529026</v>
      </c>
      <c r="I250" s="9" t="str">
        <f>VLOOKUP(Table3[[#This Row],[NAME1]], [2]Sheet1!$1:$1048576, 3, 0)</f>
        <v>0.979049</v>
      </c>
      <c r="J250" s="9">
        <v>0.28853851400000002</v>
      </c>
      <c r="K250" s="9">
        <v>94.949494950000002</v>
      </c>
      <c r="L250" s="5">
        <v>99</v>
      </c>
      <c r="M250" s="5">
        <v>2</v>
      </c>
      <c r="N250" s="5">
        <v>0</v>
      </c>
      <c r="O250" s="5">
        <v>1</v>
      </c>
      <c r="P250" s="9">
        <v>2.74</v>
      </c>
    </row>
    <row r="251" spans="1:16" x14ac:dyDescent="0.3">
      <c r="A251" s="14">
        <v>88</v>
      </c>
      <c r="B251" s="5">
        <v>336</v>
      </c>
      <c r="C251" s="2" t="s">
        <v>422</v>
      </c>
      <c r="D251" s="5" t="s">
        <v>423</v>
      </c>
      <c r="E251" s="5">
        <f>LEN(Table3[[#This Row],[NAME1]])</f>
        <v>5</v>
      </c>
      <c r="F251" s="5">
        <f>VLOOKUP(Table3[[#This Row],[NAME1]], [1]Sheet1!$1:$1048576, 4, 0)</f>
        <v>5</v>
      </c>
      <c r="G251" s="19">
        <v>2</v>
      </c>
      <c r="H251" s="9">
        <f>VLOOKUP(Table3[[#This Row],[NAME1]], [2]Sheet1!$1:$1048576, 2, 0)</f>
        <v>32.338816999999999</v>
      </c>
      <c r="I251" s="9">
        <f>VLOOKUP(Table3[[#This Row],[NAME1]], [2]Sheet1!$1:$1048576, 3, 0)</f>
        <v>1.52295</v>
      </c>
      <c r="J251" s="12">
        <v>0</v>
      </c>
      <c r="K251" s="12">
        <v>100</v>
      </c>
      <c r="L251" s="5">
        <v>100</v>
      </c>
      <c r="M251" s="5">
        <v>1</v>
      </c>
      <c r="N251" s="5">
        <v>0</v>
      </c>
      <c r="O251" s="5">
        <v>0</v>
      </c>
      <c r="P251" s="9">
        <v>1.6</v>
      </c>
    </row>
    <row r="252" spans="1:16" x14ac:dyDescent="0.3">
      <c r="A252" s="14">
        <v>89</v>
      </c>
      <c r="B252" s="5">
        <v>614</v>
      </c>
      <c r="C252" s="2" t="s">
        <v>768</v>
      </c>
      <c r="D252" s="5" t="s">
        <v>769</v>
      </c>
      <c r="E252" s="5">
        <f>LEN(Table3[[#This Row],[NAME1]])</f>
        <v>5</v>
      </c>
      <c r="F252" s="5">
        <f>VLOOKUP(Table3[[#This Row],[NAME1]], [1]Sheet1!$1:$1048576, 4, 0)</f>
        <v>5</v>
      </c>
      <c r="G252" s="19">
        <v>2</v>
      </c>
      <c r="H252" s="9">
        <f>VLOOKUP(Table3[[#This Row],[NAME1]], [2]Sheet1!$1:$1048576, 2, 0)</f>
        <v>92.948510999999996</v>
      </c>
      <c r="I252" s="9">
        <f>VLOOKUP(Table3[[#This Row],[NAME1]], [2]Sheet1!$1:$1048576, 3, 0)</f>
        <v>1.97289</v>
      </c>
      <c r="J252" s="12">
        <v>0</v>
      </c>
      <c r="K252" s="12">
        <v>100</v>
      </c>
      <c r="L252" s="5">
        <v>100</v>
      </c>
      <c r="M252" s="5">
        <v>1</v>
      </c>
      <c r="N252" s="5">
        <v>0</v>
      </c>
      <c r="O252" s="5">
        <v>0</v>
      </c>
      <c r="P252" s="9">
        <v>3.05</v>
      </c>
    </row>
    <row r="253" spans="1:16" x14ac:dyDescent="0.3">
      <c r="A253" s="14">
        <v>90</v>
      </c>
      <c r="B253" s="5">
        <v>452</v>
      </c>
      <c r="C253" s="2" t="s">
        <v>557</v>
      </c>
      <c r="D253" s="5" t="s">
        <v>558</v>
      </c>
      <c r="E253" s="5">
        <f>LEN(Table3[[#This Row],[NAME1]])</f>
        <v>5</v>
      </c>
      <c r="F253" s="5">
        <f>VLOOKUP(Table3[[#This Row],[NAME1]], [1]Sheet1!$1:$1048576, 4, 0)</f>
        <v>5</v>
      </c>
      <c r="G253" s="19">
        <v>2</v>
      </c>
      <c r="H253" s="9">
        <f>VLOOKUP(Table3[[#This Row],[NAME1]], [2]Sheet1!$1:$1048576, 2, 0)</f>
        <v>26.145931999999998</v>
      </c>
      <c r="I253" s="9">
        <f>VLOOKUP(Table3[[#This Row],[NAME1]], [2]Sheet1!$1:$1048576, 3, 0)</f>
        <v>1.433705</v>
      </c>
      <c r="J253" s="12">
        <v>0</v>
      </c>
      <c r="K253" s="12">
        <v>100</v>
      </c>
      <c r="L253" s="5">
        <v>100</v>
      </c>
      <c r="M253" s="5">
        <v>1</v>
      </c>
      <c r="N253" s="5">
        <v>0</v>
      </c>
      <c r="O253" s="5">
        <v>0</v>
      </c>
      <c r="P253" s="9">
        <v>2</v>
      </c>
    </row>
    <row r="254" spans="1:16" x14ac:dyDescent="0.3">
      <c r="A254" s="14">
        <v>91</v>
      </c>
      <c r="B254" s="5">
        <v>87</v>
      </c>
      <c r="C254" s="2" t="s">
        <v>108</v>
      </c>
      <c r="D254" s="5" t="s">
        <v>109</v>
      </c>
      <c r="E254" s="5">
        <f>LEN(Table3[[#This Row],[NAME1]])</f>
        <v>5</v>
      </c>
      <c r="F254" s="5">
        <f>VLOOKUP(Table3[[#This Row],[NAME1]], [1]Sheet1!$1:$1048576, 4, 0)</f>
        <v>5</v>
      </c>
      <c r="G254" s="19">
        <v>2</v>
      </c>
      <c r="H254" s="9">
        <f>VLOOKUP(Table3[[#This Row],[NAME1]], [2]Sheet1!$1:$1048576, 2, 0)</f>
        <v>9.6922219999999992</v>
      </c>
      <c r="I254" s="9">
        <f>VLOOKUP(Table3[[#This Row],[NAME1]], [2]Sheet1!$1:$1048576, 3, 0)</f>
        <v>1.0290680000000001</v>
      </c>
      <c r="J254" s="12">
        <v>0</v>
      </c>
      <c r="K254" s="12">
        <v>100</v>
      </c>
      <c r="L254" s="5">
        <v>99</v>
      </c>
      <c r="M254" s="5">
        <v>1</v>
      </c>
      <c r="N254" s="5">
        <v>0</v>
      </c>
      <c r="O254" s="5">
        <v>1</v>
      </c>
      <c r="P254" s="9">
        <v>2.54</v>
      </c>
    </row>
    <row r="255" spans="1:16" x14ac:dyDescent="0.3">
      <c r="A255" s="14">
        <v>244</v>
      </c>
      <c r="B255" s="5">
        <v>480</v>
      </c>
      <c r="C255" s="2" t="s">
        <v>593</v>
      </c>
      <c r="D255" s="5" t="s">
        <v>594</v>
      </c>
      <c r="E255" s="5">
        <f>LEN(Table3[[#This Row],[NAME1]])</f>
        <v>4</v>
      </c>
      <c r="F255" s="5">
        <f>VLOOKUP(Table3[[#This Row],[NAME1]], [1]Sheet1!$1:$1048576, 4, 0)</f>
        <v>4</v>
      </c>
      <c r="G255" s="19">
        <v>2</v>
      </c>
      <c r="H255" s="9">
        <f>VLOOKUP(Table3[[#This Row],[NAME1]], [2]Sheet1!$1:$1048576, 2, 0)</f>
        <v>59.885133000000003</v>
      </c>
      <c r="I255" s="9">
        <f>VLOOKUP(Table3[[#This Row],[NAME1]], [2]Sheet1!$1:$1048576, 3, 0)</f>
        <v>1.784511</v>
      </c>
      <c r="J255" s="9">
        <v>0.24229218899999999</v>
      </c>
      <c r="K255" s="12">
        <v>96</v>
      </c>
      <c r="L255" s="5">
        <v>100</v>
      </c>
      <c r="M255" s="5">
        <v>2</v>
      </c>
      <c r="N255" s="5">
        <v>0</v>
      </c>
      <c r="O255" s="5">
        <v>0</v>
      </c>
      <c r="P255" s="9">
        <v>2.44</v>
      </c>
    </row>
    <row r="256" spans="1:16" x14ac:dyDescent="0.3">
      <c r="A256" s="14">
        <v>35</v>
      </c>
      <c r="B256" s="5">
        <v>127</v>
      </c>
      <c r="C256" s="2" t="s">
        <v>162</v>
      </c>
      <c r="D256" s="5" t="s">
        <v>163</v>
      </c>
      <c r="E256" s="5">
        <f>LEN(Table3[[#This Row],[NAME1]])</f>
        <v>4</v>
      </c>
      <c r="F256" s="5">
        <f>VLOOKUP(Table3[[#This Row],[NAME1]], [1]Sheet1!$1:$1048576, 4, 0)</f>
        <v>4</v>
      </c>
      <c r="G256" s="19">
        <v>2</v>
      </c>
      <c r="H256" s="9">
        <f>VLOOKUP(Table3[[#This Row],[NAME1]], [2]Sheet1!$1:$1048576, 2, 0)</f>
        <v>10.930149999999999</v>
      </c>
      <c r="I256" s="9">
        <f>VLOOKUP(Table3[[#This Row],[NAME1]], [2]Sheet1!$1:$1048576, 3, 0)</f>
        <v>1.076646</v>
      </c>
      <c r="J256" s="12">
        <v>0</v>
      </c>
      <c r="K256" s="12">
        <v>100</v>
      </c>
      <c r="L256" s="5">
        <v>96</v>
      </c>
      <c r="M256" s="5">
        <v>1</v>
      </c>
      <c r="N256" s="5">
        <v>1</v>
      </c>
      <c r="O256" s="5">
        <v>3</v>
      </c>
      <c r="P256" s="9">
        <v>1.79</v>
      </c>
    </row>
    <row r="257" spans="1:16" x14ac:dyDescent="0.3">
      <c r="A257" s="14">
        <v>296</v>
      </c>
      <c r="B257" s="5">
        <v>67</v>
      </c>
      <c r="C257" s="2" t="s">
        <v>84</v>
      </c>
      <c r="D257" s="5" t="s">
        <v>85</v>
      </c>
      <c r="E257" s="5">
        <f>LEN(Table3[[#This Row],[NAME1]])</f>
        <v>4</v>
      </c>
      <c r="F257" s="5">
        <f>VLOOKUP(Table3[[#This Row],[NAME1]], [1]Sheet1!$1:$1048576, 4, 0)</f>
        <v>4</v>
      </c>
      <c r="G257" s="19">
        <v>2</v>
      </c>
      <c r="H257" s="9">
        <f>VLOOKUP(Table3[[#This Row],[NAME1]], [2]Sheet1!$1:$1048576, 2, 0)</f>
        <v>6.0889119999999997</v>
      </c>
      <c r="I257" s="9" t="str">
        <f>VLOOKUP(Table3[[#This Row],[NAME1]], [2]Sheet1!$1:$1048576, 3, 0)</f>
        <v>0.850580</v>
      </c>
      <c r="J257" s="9">
        <v>0.36592365100000002</v>
      </c>
      <c r="K257" s="12">
        <v>93</v>
      </c>
      <c r="L257" s="5">
        <v>100</v>
      </c>
      <c r="M257" s="5">
        <v>2</v>
      </c>
      <c r="N257" s="5">
        <v>0</v>
      </c>
      <c r="O257" s="5">
        <v>0</v>
      </c>
      <c r="P257" s="9">
        <v>1.81</v>
      </c>
    </row>
    <row r="258" spans="1:16" x14ac:dyDescent="0.3">
      <c r="A258" s="14">
        <v>140</v>
      </c>
      <c r="B258" s="5">
        <v>55</v>
      </c>
      <c r="C258" s="2" t="s">
        <v>65</v>
      </c>
      <c r="D258" s="5" t="s">
        <v>66</v>
      </c>
      <c r="E258" s="5">
        <f>LEN(Table3[[#This Row],[NAME1]])</f>
        <v>6</v>
      </c>
      <c r="F258" s="5">
        <f>VLOOKUP(Table3[[#This Row],[NAME1]], [1]Sheet1!$1:$1048576, 4, 0)</f>
        <v>6</v>
      </c>
      <c r="G258" s="19">
        <v>2</v>
      </c>
      <c r="H258" s="9">
        <f>VLOOKUP(Table3[[#This Row],[NAME1]], [2]Sheet1!$1:$1048576, 2, 0)</f>
        <v>47.505862</v>
      </c>
      <c r="I258" s="9">
        <f>VLOOKUP(Table3[[#This Row],[NAME1]], [2]Sheet1!$1:$1048576, 3, 0)</f>
        <v>1.685794</v>
      </c>
      <c r="J258" s="12">
        <v>0</v>
      </c>
      <c r="K258" s="12">
        <v>100</v>
      </c>
      <c r="L258" s="5">
        <v>100</v>
      </c>
      <c r="M258" s="5">
        <v>1</v>
      </c>
      <c r="N258" s="5">
        <v>0</v>
      </c>
      <c r="O258" s="5">
        <v>0</v>
      </c>
      <c r="P258" s="9">
        <v>1.97</v>
      </c>
    </row>
    <row r="259" spans="1:16" x14ac:dyDescent="0.3">
      <c r="A259" s="14">
        <v>93</v>
      </c>
      <c r="B259" s="5">
        <v>266</v>
      </c>
      <c r="C259" s="2" t="s">
        <v>333</v>
      </c>
      <c r="D259" s="5" t="s">
        <v>334</v>
      </c>
      <c r="E259" s="5">
        <f>LEN(Table3[[#This Row],[NAME1]])</f>
        <v>5</v>
      </c>
      <c r="F259" s="5">
        <f>VLOOKUP(Table3[[#This Row],[NAME1]], [1]Sheet1!$1:$1048576, 4, 0)</f>
        <v>5</v>
      </c>
      <c r="G259" s="19">
        <v>2</v>
      </c>
      <c r="H259" s="9">
        <f>VLOOKUP(Table3[[#This Row],[NAME1]], [2]Sheet1!$1:$1048576, 2, 0)</f>
        <v>1.432876</v>
      </c>
      <c r="I259" s="9" t="str">
        <f>VLOOKUP(Table3[[#This Row],[NAME1]], [2]Sheet1!$1:$1048576, 3, 0)</f>
        <v>0.386120</v>
      </c>
      <c r="J259" s="12">
        <v>0</v>
      </c>
      <c r="K259" s="12">
        <v>100</v>
      </c>
      <c r="L259" s="5">
        <v>100</v>
      </c>
      <c r="M259" s="5">
        <v>1</v>
      </c>
      <c r="N259" s="5">
        <v>0</v>
      </c>
      <c r="O259" s="5">
        <v>0</v>
      </c>
      <c r="P259" s="9">
        <v>1.67</v>
      </c>
    </row>
    <row r="260" spans="1:16" x14ac:dyDescent="0.3">
      <c r="A260" s="14">
        <v>141</v>
      </c>
      <c r="B260" s="5">
        <v>278</v>
      </c>
      <c r="C260" s="2" t="s">
        <v>349</v>
      </c>
      <c r="D260" s="5" t="s">
        <v>350</v>
      </c>
      <c r="E260" s="5">
        <f>LEN(Table3[[#This Row],[NAME1]])</f>
        <v>6</v>
      </c>
      <c r="F260" s="5">
        <f>VLOOKUP(Table3[[#This Row],[NAME1]], [1]Sheet1!$1:$1048576, 4, 0)</f>
        <v>6</v>
      </c>
      <c r="G260" s="19">
        <v>2</v>
      </c>
      <c r="H260" s="9">
        <f>VLOOKUP(Table3[[#This Row],[NAME1]], [2]Sheet1!$1:$1048576, 2, 0)</f>
        <v>7.8532019999999996</v>
      </c>
      <c r="I260" s="9" t="str">
        <f>VLOOKUP(Table3[[#This Row],[NAME1]], [2]Sheet1!$1:$1048576, 3, 0)</f>
        <v>0.947100</v>
      </c>
      <c r="J260" s="12">
        <v>0</v>
      </c>
      <c r="K260" s="12">
        <v>100</v>
      </c>
      <c r="L260" s="5">
        <v>98</v>
      </c>
      <c r="M260" s="5">
        <v>1</v>
      </c>
      <c r="N260" s="5">
        <v>0</v>
      </c>
      <c r="O260" s="5">
        <v>2</v>
      </c>
      <c r="P260" s="9">
        <v>2.4</v>
      </c>
    </row>
    <row r="261" spans="1:16" x14ac:dyDescent="0.3">
      <c r="A261" s="14">
        <v>37</v>
      </c>
      <c r="B261" s="5">
        <v>498</v>
      </c>
      <c r="C261" s="2" t="s">
        <v>617</v>
      </c>
      <c r="D261" s="5" t="s">
        <v>618</v>
      </c>
      <c r="E261" s="5">
        <f>LEN(Table3[[#This Row],[NAME1]])</f>
        <v>4</v>
      </c>
      <c r="F261" s="5">
        <f>VLOOKUP(Table3[[#This Row],[NAME1]], [1]Sheet1!$1:$1048576, 4, 0)</f>
        <v>4</v>
      </c>
      <c r="G261" s="19">
        <v>2</v>
      </c>
      <c r="H261" s="9">
        <f>VLOOKUP(Table3[[#This Row],[NAME1]], [2]Sheet1!$1:$1048576, 2, 0)</f>
        <v>6.1733900000000004</v>
      </c>
      <c r="I261" s="9">
        <f>VLOOKUP(Table3[[#This Row],[NAME1]], [2]Sheet1!$1:$1048576, 3, 0)</f>
        <v>0.85572400000000004</v>
      </c>
      <c r="J261" s="12">
        <v>0</v>
      </c>
      <c r="K261" s="12">
        <v>100</v>
      </c>
      <c r="L261" s="5">
        <v>99</v>
      </c>
      <c r="M261" s="5">
        <v>1</v>
      </c>
      <c r="N261" s="5">
        <v>0</v>
      </c>
      <c r="O261" s="5">
        <v>1</v>
      </c>
      <c r="P261" s="9">
        <v>1.52</v>
      </c>
    </row>
    <row r="262" spans="1:16" x14ac:dyDescent="0.3">
      <c r="A262" s="14">
        <v>280</v>
      </c>
      <c r="B262" s="5">
        <v>98</v>
      </c>
      <c r="C262" s="2" t="s">
        <v>124</v>
      </c>
      <c r="D262" s="5" t="s">
        <v>125</v>
      </c>
      <c r="E262" s="5">
        <f>LEN(Table3[[#This Row],[NAME1]])</f>
        <v>5</v>
      </c>
      <c r="F262" s="5">
        <f>VLOOKUP(Table3[[#This Row],[NAME1]], [1]Sheet1!$1:$1048576, 4, 0)</f>
        <v>5</v>
      </c>
      <c r="G262" s="19">
        <v>2</v>
      </c>
      <c r="H262" s="9">
        <f>VLOOKUP(Table3[[#This Row],[NAME1]], [2]Sheet1!$1:$1048576, 2, 0)</f>
        <v>26.474095999999999</v>
      </c>
      <c r="I262" s="9">
        <f>VLOOKUP(Table3[[#This Row],[NAME1]], [2]Sheet1!$1:$1048576, 3, 0)</f>
        <v>1.438923</v>
      </c>
      <c r="J262" s="9">
        <v>0.327444919</v>
      </c>
      <c r="K262" s="12">
        <v>94</v>
      </c>
      <c r="L262" s="5">
        <v>100</v>
      </c>
      <c r="M262" s="5">
        <v>2</v>
      </c>
      <c r="N262" s="5">
        <v>0</v>
      </c>
      <c r="O262" s="5">
        <v>0</v>
      </c>
      <c r="P262" s="9">
        <v>3.03</v>
      </c>
    </row>
    <row r="263" spans="1:16" x14ac:dyDescent="0.3">
      <c r="A263" s="14">
        <v>253</v>
      </c>
      <c r="B263" s="5">
        <v>433</v>
      </c>
      <c r="C263" s="2" t="s">
        <v>529</v>
      </c>
      <c r="D263" s="5" t="s">
        <v>530</v>
      </c>
      <c r="E263" s="5">
        <f>LEN(Table3[[#This Row],[NAME1]])</f>
        <v>6</v>
      </c>
      <c r="F263" s="5">
        <f>VLOOKUP(Table3[[#This Row],[NAME1]], [1]Sheet1!$1:$1048576, 4, 0)</f>
        <v>6</v>
      </c>
      <c r="G263" s="19">
        <v>2</v>
      </c>
      <c r="H263" s="9">
        <f>VLOOKUP(Table3[[#This Row],[NAME1]], [2]Sheet1!$1:$1048576, 2, 0)</f>
        <v>6.5665380000000004</v>
      </c>
      <c r="I263" s="9" t="str">
        <f>VLOOKUP(Table3[[#This Row],[NAME1]], [2]Sheet1!$1:$1048576, 3, 0)</f>
        <v>0.878897</v>
      </c>
      <c r="J263" s="9">
        <v>0.28454568299999999</v>
      </c>
      <c r="K263" s="9">
        <v>95.959595960000001</v>
      </c>
      <c r="L263" s="5">
        <v>99</v>
      </c>
      <c r="M263" s="5">
        <v>3</v>
      </c>
      <c r="N263" s="5">
        <v>0</v>
      </c>
      <c r="O263" s="5">
        <v>1</v>
      </c>
      <c r="P263" s="9">
        <v>2.0099999999999998</v>
      </c>
    </row>
    <row r="264" spans="1:16" x14ac:dyDescent="0.3">
      <c r="A264" s="14">
        <v>277</v>
      </c>
      <c r="B264" s="5">
        <v>504</v>
      </c>
      <c r="C264" s="2" t="s">
        <v>629</v>
      </c>
      <c r="D264" s="5" t="s">
        <v>630</v>
      </c>
      <c r="E264" s="5">
        <f>LEN(Table3[[#This Row],[NAME1]])</f>
        <v>5</v>
      </c>
      <c r="F264" s="5">
        <f>VLOOKUP(Table3[[#This Row],[NAME1]], [1]Sheet1!$1:$1048576, 4, 0)</f>
        <v>5</v>
      </c>
      <c r="G264" s="19">
        <v>2</v>
      </c>
      <c r="H264" s="9">
        <f>VLOOKUP(Table3[[#This Row],[NAME1]], [2]Sheet1!$1:$1048576, 2, 0)</f>
        <v>4.1686629999999996</v>
      </c>
      <c r="I264" s="9" t="str">
        <f>VLOOKUP(Table3[[#This Row],[NAME1]], [2]Sheet1!$1:$1048576, 3, 0)</f>
        <v>0.713378</v>
      </c>
      <c r="J264" s="9">
        <v>0.30217361799999998</v>
      </c>
      <c r="K264" s="9">
        <v>94.623655909999997</v>
      </c>
      <c r="L264" s="5">
        <v>93</v>
      </c>
      <c r="M264" s="5">
        <v>2</v>
      </c>
      <c r="N264" s="5">
        <v>5</v>
      </c>
      <c r="O264" s="5">
        <v>2</v>
      </c>
      <c r="P264" s="9">
        <v>1.99</v>
      </c>
    </row>
    <row r="265" spans="1:16" x14ac:dyDescent="0.3">
      <c r="A265" s="14">
        <v>245</v>
      </c>
      <c r="B265" s="5">
        <v>622</v>
      </c>
      <c r="C265" s="2" t="s">
        <v>778</v>
      </c>
      <c r="D265" s="5" t="s">
        <v>779</v>
      </c>
      <c r="E265" s="5">
        <f>LEN(Table3[[#This Row],[NAME1]])</f>
        <v>4</v>
      </c>
      <c r="F265" s="5">
        <f>VLOOKUP(Table3[[#This Row],[NAME1]], [1]Sheet1!$1:$1048576, 4, 0)</f>
        <v>4</v>
      </c>
      <c r="G265" s="19">
        <v>2</v>
      </c>
      <c r="H265" s="9">
        <f>VLOOKUP(Table3[[#This Row],[NAME1]], [2]Sheet1!$1:$1048576, 2, 0)</f>
        <v>1.348398</v>
      </c>
      <c r="I265" s="9" t="str">
        <f>VLOOKUP(Table3[[#This Row],[NAME1]], [2]Sheet1!$1:$1048576, 3, 0)</f>
        <v>0.370772</v>
      </c>
      <c r="J265" s="9">
        <v>0.28229218900000003</v>
      </c>
      <c r="K265" s="12">
        <v>96</v>
      </c>
      <c r="L265" s="5">
        <v>100</v>
      </c>
      <c r="M265" s="5">
        <v>3</v>
      </c>
      <c r="N265" s="5">
        <v>0</v>
      </c>
      <c r="O265" s="5">
        <v>0</v>
      </c>
      <c r="P265" s="9">
        <v>2.06</v>
      </c>
    </row>
    <row r="266" spans="1:16" x14ac:dyDescent="0.3">
      <c r="A266" s="14">
        <v>38</v>
      </c>
      <c r="B266" s="5">
        <v>570</v>
      </c>
      <c r="C266" s="2" t="s">
        <v>711</v>
      </c>
      <c r="D266" s="5" t="s">
        <v>712</v>
      </c>
      <c r="E266" s="5">
        <f>LEN(Table3[[#This Row],[NAME1]])</f>
        <v>4</v>
      </c>
      <c r="F266" s="5">
        <f>VLOOKUP(Table3[[#This Row],[NAME1]], [1]Sheet1!$1:$1048576, 4, 0)</f>
        <v>4</v>
      </c>
      <c r="G266" s="19">
        <v>2</v>
      </c>
      <c r="H266" s="9">
        <f>VLOOKUP(Table3[[#This Row],[NAME1]], [2]Sheet1!$1:$1048576, 2, 0)</f>
        <v>31.074895999999999</v>
      </c>
      <c r="I266" s="9">
        <f>VLOOKUP(Table3[[#This Row],[NAME1]], [2]Sheet1!$1:$1048576, 3, 0)</f>
        <v>1.506165</v>
      </c>
      <c r="J266" s="12">
        <v>0</v>
      </c>
      <c r="K266" s="12">
        <v>100</v>
      </c>
      <c r="L266" s="5">
        <v>99</v>
      </c>
      <c r="M266" s="5">
        <v>1</v>
      </c>
      <c r="N266" s="5">
        <v>0</v>
      </c>
      <c r="O266" s="5">
        <v>1</v>
      </c>
      <c r="P266" s="9">
        <v>2.5299999999999998</v>
      </c>
    </row>
    <row r="267" spans="1:16" x14ac:dyDescent="0.3">
      <c r="A267" s="14">
        <v>193</v>
      </c>
      <c r="B267" s="5">
        <v>74</v>
      </c>
      <c r="C267" s="2" t="s">
        <v>94</v>
      </c>
      <c r="D267" s="5" t="s">
        <v>95</v>
      </c>
      <c r="E267" s="5">
        <f>LEN(Table3[[#This Row],[NAME1]])</f>
        <v>7</v>
      </c>
      <c r="F267" s="5">
        <f>VLOOKUP(Table3[[#This Row],[NAME1]], [1]Sheet1!$1:$1048576, 4, 0)</f>
        <v>7</v>
      </c>
      <c r="G267" s="19">
        <v>2</v>
      </c>
      <c r="H267" s="9">
        <f>VLOOKUP(Table3[[#This Row],[NAME1]], [2]Sheet1!$1:$1048576, 2, 0)</f>
        <v>1.319156</v>
      </c>
      <c r="I267" s="9" t="str">
        <f>VLOOKUP(Table3[[#This Row],[NAME1]], [2]Sheet1!$1:$1048576, 3, 0)</f>
        <v>0.365330</v>
      </c>
      <c r="J267" s="12">
        <v>0</v>
      </c>
      <c r="K267" s="12">
        <v>100</v>
      </c>
      <c r="L267" s="5">
        <v>100</v>
      </c>
      <c r="M267" s="5">
        <v>1</v>
      </c>
      <c r="N267" s="5">
        <v>0</v>
      </c>
      <c r="O267" s="5">
        <v>0</v>
      </c>
      <c r="P267" s="9">
        <v>2.91</v>
      </c>
    </row>
    <row r="268" spans="1:16" x14ac:dyDescent="0.3">
      <c r="A268" s="14">
        <v>94</v>
      </c>
      <c r="B268" s="5">
        <v>135</v>
      </c>
      <c r="C268" s="2" t="s">
        <v>172</v>
      </c>
      <c r="D268" s="5" t="s">
        <v>173</v>
      </c>
      <c r="E268" s="5">
        <f>LEN(Table3[[#This Row],[NAME1]])</f>
        <v>5</v>
      </c>
      <c r="F268" s="5">
        <f>VLOOKUP(Table3[[#This Row],[NAME1]], [1]Sheet1!$1:$1048576, 4, 0)</f>
        <v>5</v>
      </c>
      <c r="G268" s="19">
        <v>2</v>
      </c>
      <c r="H268" s="9">
        <f>VLOOKUP(Table3[[#This Row],[NAME1]], [2]Sheet1!$1:$1048576, 2, 0)</f>
        <v>31.711729999999999</v>
      </c>
      <c r="I268" s="9">
        <f>VLOOKUP(Table3[[#This Row],[NAME1]], [2]Sheet1!$1:$1048576, 3, 0)</f>
        <v>1.5147040000000001</v>
      </c>
      <c r="J268" s="12">
        <v>0</v>
      </c>
      <c r="K268" s="12">
        <v>100</v>
      </c>
      <c r="L268" s="5">
        <v>99</v>
      </c>
      <c r="M268" s="5">
        <v>1</v>
      </c>
      <c r="N268" s="5">
        <v>0</v>
      </c>
      <c r="O268" s="5">
        <v>1</v>
      </c>
      <c r="P268" s="9">
        <v>2.4</v>
      </c>
    </row>
    <row r="269" spans="1:16" x14ac:dyDescent="0.3">
      <c r="A269" s="14">
        <v>146</v>
      </c>
      <c r="B269" s="5">
        <v>40</v>
      </c>
      <c r="C269" s="2" t="s">
        <v>49</v>
      </c>
      <c r="D269" s="5" t="s">
        <v>50</v>
      </c>
      <c r="E269" s="5">
        <f>LEN(Table3[[#This Row],[NAME1]])</f>
        <v>6</v>
      </c>
      <c r="F269" s="5">
        <f>VLOOKUP(Table3[[#This Row],[NAME1]], [1]Sheet1!$1:$1048576, 4, 0)</f>
        <v>6</v>
      </c>
      <c r="G269" s="19">
        <v>2</v>
      </c>
      <c r="H269" s="9">
        <f>VLOOKUP(Table3[[#This Row],[NAME1]], [2]Sheet1!$1:$1048576, 2, 0)</f>
        <v>1.527102</v>
      </c>
      <c r="I269" s="9" t="str">
        <f>VLOOKUP(Table3[[#This Row],[NAME1]], [2]Sheet1!$1:$1048576, 3, 0)</f>
        <v>0.402623</v>
      </c>
      <c r="J269" s="12">
        <v>0</v>
      </c>
      <c r="K269" s="12">
        <v>100</v>
      </c>
      <c r="L269" s="5">
        <v>99</v>
      </c>
      <c r="M269" s="5">
        <v>1</v>
      </c>
      <c r="N269" s="5">
        <v>0</v>
      </c>
      <c r="O269" s="5">
        <v>1</v>
      </c>
      <c r="P269" s="9">
        <v>1.79</v>
      </c>
    </row>
    <row r="270" spans="1:16" x14ac:dyDescent="0.3">
      <c r="A270" s="14">
        <v>261</v>
      </c>
      <c r="B270" s="5">
        <v>646</v>
      </c>
      <c r="C270" s="2" t="s">
        <v>802</v>
      </c>
      <c r="D270" s="5" t="s">
        <v>803</v>
      </c>
      <c r="E270" s="5">
        <f>LEN(Table3[[#This Row],[NAME1]])</f>
        <v>6</v>
      </c>
      <c r="F270" s="5">
        <f>VLOOKUP(Table3[[#This Row],[NAME1]], [1]Sheet1!$1:$1048576, 4, 0)</f>
        <v>6</v>
      </c>
      <c r="G270" s="19">
        <v>2</v>
      </c>
      <c r="H270" s="9">
        <f>VLOOKUP(Table3[[#This Row],[NAME1]], [2]Sheet1!$1:$1048576, 2, 0)</f>
        <v>12.564473</v>
      </c>
      <c r="I270" s="9">
        <f>VLOOKUP(Table3[[#This Row],[NAME1]], [2]Sheet1!$1:$1048576, 3, 0)</f>
        <v>1.132403</v>
      </c>
      <c r="J270" s="9">
        <v>0.28639695700000001</v>
      </c>
      <c r="K270" s="12">
        <v>95</v>
      </c>
      <c r="L270" s="5">
        <v>100</v>
      </c>
      <c r="M270" s="5">
        <v>2</v>
      </c>
      <c r="N270" s="5">
        <v>0</v>
      </c>
      <c r="O270" s="5">
        <v>0</v>
      </c>
      <c r="P270" s="9">
        <v>2.86</v>
      </c>
    </row>
    <row r="271" spans="1:16" x14ac:dyDescent="0.3">
      <c r="A271" s="14">
        <v>95</v>
      </c>
      <c r="B271" s="5">
        <v>286</v>
      </c>
      <c r="C271" s="2" t="s">
        <v>359</v>
      </c>
      <c r="D271" s="5" t="s">
        <v>360</v>
      </c>
      <c r="E271" s="5">
        <f>LEN(Table3[[#This Row],[NAME1]])</f>
        <v>5</v>
      </c>
      <c r="F271" s="5">
        <f>VLOOKUP(Table3[[#This Row],[NAME1]], [1]Sheet1!$1:$1048576, 4, 0)</f>
        <v>5</v>
      </c>
      <c r="G271" s="19">
        <v>2</v>
      </c>
      <c r="H271" s="9">
        <f>VLOOKUP(Table3[[#This Row],[NAME1]], [2]Sheet1!$1:$1048576, 2, 0)</f>
        <v>14.653679</v>
      </c>
      <c r="I271" s="9">
        <f>VLOOKUP(Table3[[#This Row],[NAME1]], [2]Sheet1!$1:$1048576, 3, 0)</f>
        <v>1.1946159999999999</v>
      </c>
      <c r="J271" s="12">
        <v>0</v>
      </c>
      <c r="K271" s="12">
        <v>100</v>
      </c>
      <c r="L271" s="5">
        <v>99</v>
      </c>
      <c r="M271" s="5">
        <v>1</v>
      </c>
      <c r="N271" s="5">
        <v>0</v>
      </c>
      <c r="O271" s="5">
        <v>1</v>
      </c>
      <c r="P271" s="9">
        <v>2.29</v>
      </c>
    </row>
    <row r="272" spans="1:16" x14ac:dyDescent="0.3">
      <c r="A272" s="14">
        <v>39</v>
      </c>
      <c r="B272" s="5">
        <v>319</v>
      </c>
      <c r="C272" s="2" t="s">
        <v>401</v>
      </c>
      <c r="D272" s="5" t="s">
        <v>402</v>
      </c>
      <c r="E272" s="5">
        <f>LEN(Table3[[#This Row],[NAME1]])</f>
        <v>4</v>
      </c>
      <c r="F272" s="5">
        <f>VLOOKUP(Table3[[#This Row],[NAME1]], [1]Sheet1!$1:$1048576, 4, 0)</f>
        <v>4</v>
      </c>
      <c r="G272" s="19">
        <v>2</v>
      </c>
      <c r="H272" s="9">
        <f>VLOOKUP(Table3[[#This Row],[NAME1]], [2]Sheet1!$1:$1048576, 2, 0)</f>
        <v>14.624435999999999</v>
      </c>
      <c r="I272" s="9">
        <f>VLOOKUP(Table3[[#This Row],[NAME1]], [2]Sheet1!$1:$1048576, 3, 0)</f>
        <v>1.1938040000000001</v>
      </c>
      <c r="J272" s="12">
        <v>0</v>
      </c>
      <c r="K272" s="12">
        <v>100</v>
      </c>
      <c r="L272" s="5">
        <v>100</v>
      </c>
      <c r="M272" s="5">
        <v>1</v>
      </c>
      <c r="N272" s="5">
        <v>0</v>
      </c>
      <c r="O272" s="5">
        <v>0</v>
      </c>
      <c r="P272" s="9">
        <v>2.65</v>
      </c>
    </row>
    <row r="273" spans="1:16" x14ac:dyDescent="0.3">
      <c r="A273" s="14">
        <v>40</v>
      </c>
      <c r="B273" s="5">
        <v>142</v>
      </c>
      <c r="C273" s="2" t="s">
        <v>182</v>
      </c>
      <c r="D273" s="5" t="s">
        <v>183</v>
      </c>
      <c r="E273" s="5">
        <f>LEN(Table3[[#This Row],[NAME1]])</f>
        <v>4</v>
      </c>
      <c r="F273" s="5">
        <f>VLOOKUP(Table3[[#This Row],[NAME1]], [1]Sheet1!$1:$1048576, 4, 0)</f>
        <v>4</v>
      </c>
      <c r="G273" s="19">
        <v>2</v>
      </c>
      <c r="H273" s="9">
        <f>VLOOKUP(Table3[[#This Row],[NAME1]], [2]Sheet1!$1:$1048576, 2, 0)</f>
        <v>15.050075</v>
      </c>
      <c r="I273" s="9">
        <f>VLOOKUP(Table3[[#This Row],[NAME1]], [2]Sheet1!$1:$1048576, 3, 0)</f>
        <v>1.2054769999999999</v>
      </c>
      <c r="J273" s="12">
        <v>0</v>
      </c>
      <c r="K273" s="12">
        <v>100</v>
      </c>
      <c r="L273" s="5">
        <v>98</v>
      </c>
      <c r="M273" s="5">
        <v>1</v>
      </c>
      <c r="N273" s="5">
        <v>1</v>
      </c>
      <c r="O273" s="5">
        <v>1</v>
      </c>
      <c r="P273" s="9">
        <v>1.71</v>
      </c>
    </row>
    <row r="274" spans="1:16" x14ac:dyDescent="0.3">
      <c r="A274" s="14">
        <v>41</v>
      </c>
      <c r="B274" s="5">
        <v>68</v>
      </c>
      <c r="C274" s="2" t="s">
        <v>86</v>
      </c>
      <c r="D274" s="5" t="s">
        <v>87</v>
      </c>
      <c r="E274" s="5">
        <f>LEN(Table3[[#This Row],[NAME1]])</f>
        <v>4</v>
      </c>
      <c r="F274" s="5">
        <f>VLOOKUP(Table3[[#This Row],[NAME1]], [1]Sheet1!$1:$1048576, 4, 0)</f>
        <v>4</v>
      </c>
      <c r="G274" s="19">
        <v>2</v>
      </c>
      <c r="H274" s="9">
        <f>VLOOKUP(Table3[[#This Row],[NAME1]], [2]Sheet1!$1:$1048576, 2, 0)</f>
        <v>19.797087000000001</v>
      </c>
      <c r="I274" s="9">
        <f>VLOOKUP(Table3[[#This Row],[NAME1]], [2]Sheet1!$1:$1048576, 3, 0)</f>
        <v>1.318003</v>
      </c>
      <c r="J274" s="12">
        <v>0</v>
      </c>
      <c r="K274" s="12">
        <v>100</v>
      </c>
      <c r="L274" s="5">
        <v>99</v>
      </c>
      <c r="M274" s="5">
        <v>1</v>
      </c>
      <c r="N274" s="5">
        <v>0</v>
      </c>
      <c r="O274" s="5">
        <v>1</v>
      </c>
      <c r="P274" s="9">
        <v>1.96</v>
      </c>
    </row>
    <row r="275" spans="1:16" x14ac:dyDescent="0.3">
      <c r="A275" s="14">
        <v>267</v>
      </c>
      <c r="B275" s="5">
        <v>287</v>
      </c>
      <c r="C275" s="2" t="s">
        <v>361</v>
      </c>
      <c r="D275" s="5" t="s">
        <v>362</v>
      </c>
      <c r="E275" s="5">
        <f>LEN(Table3[[#This Row],[NAME1]])</f>
        <v>4</v>
      </c>
      <c r="F275" s="5">
        <f>VLOOKUP(Table3[[#This Row],[NAME1]], [1]Sheet1!$1:$1048576, 4, 0)</f>
        <v>4</v>
      </c>
      <c r="G275" s="19">
        <v>2</v>
      </c>
      <c r="H275" s="9">
        <f>VLOOKUP(Table3[[#This Row],[NAME1]], [2]Sheet1!$1:$1048576, 2, 0)</f>
        <v>3.9509699999999999</v>
      </c>
      <c r="I275" s="9" t="str">
        <f>VLOOKUP(Table3[[#This Row],[NAME1]], [2]Sheet1!$1:$1048576, 3, 0)</f>
        <v>0.694690</v>
      </c>
      <c r="J275" s="9">
        <v>0.33757642300000001</v>
      </c>
      <c r="K275" s="9">
        <v>94.949494950000002</v>
      </c>
      <c r="L275" s="5">
        <v>99</v>
      </c>
      <c r="M275" s="5">
        <v>3</v>
      </c>
      <c r="N275" s="5">
        <v>0</v>
      </c>
      <c r="O275" s="5">
        <v>1</v>
      </c>
      <c r="P275" s="9">
        <v>1.82</v>
      </c>
    </row>
    <row r="276" spans="1:16" x14ac:dyDescent="0.3">
      <c r="A276" s="14">
        <v>147</v>
      </c>
      <c r="B276" s="5">
        <v>439</v>
      </c>
      <c r="C276" s="2" t="s">
        <v>537</v>
      </c>
      <c r="D276" s="5" t="s">
        <v>538</v>
      </c>
      <c r="E276" s="5">
        <f>LEN(Table3[[#This Row],[NAME1]])</f>
        <v>6</v>
      </c>
      <c r="F276" s="5">
        <f>VLOOKUP(Table3[[#This Row],[NAME1]], [1]Sheet1!$1:$1048576, 4, 0)</f>
        <v>6</v>
      </c>
      <c r="G276" s="19">
        <v>2</v>
      </c>
      <c r="H276" s="9">
        <f>VLOOKUP(Table3[[#This Row],[NAME1]], [2]Sheet1!$1:$1048576, 2, 0)</f>
        <v>11.839912</v>
      </c>
      <c r="I276" s="9">
        <f>VLOOKUP(Table3[[#This Row],[NAME1]], [2]Sheet1!$1:$1048576, 3, 0)</f>
        <v>1.108562</v>
      </c>
      <c r="J276" s="12">
        <v>0</v>
      </c>
      <c r="K276" s="12">
        <v>100</v>
      </c>
      <c r="L276" s="5">
        <v>97</v>
      </c>
      <c r="M276" s="5">
        <v>1</v>
      </c>
      <c r="N276" s="5">
        <v>1</v>
      </c>
      <c r="O276" s="5">
        <v>2</v>
      </c>
      <c r="P276" s="9">
        <v>2.74</v>
      </c>
    </row>
    <row r="277" spans="1:16" x14ac:dyDescent="0.3">
      <c r="A277" s="14">
        <v>231</v>
      </c>
      <c r="B277" s="5">
        <v>226</v>
      </c>
      <c r="C277" s="2" t="s">
        <v>289</v>
      </c>
      <c r="D277" s="5" t="s">
        <v>290</v>
      </c>
      <c r="E277" s="5">
        <f>LEN(Table3[[#This Row],[NAME1]])</f>
        <v>4</v>
      </c>
      <c r="F277" s="5">
        <f>VLOOKUP(Table3[[#This Row],[NAME1]], [1]Sheet1!$1:$1048576, 4, 0)</f>
        <v>4</v>
      </c>
      <c r="G277" s="19">
        <v>1</v>
      </c>
      <c r="H277" s="9">
        <f>VLOOKUP(Table3[[#This Row],[NAME1]], [2]Sheet1!$1:$1048576, 2, 0)</f>
        <v>40.396715</v>
      </c>
      <c r="I277" s="9">
        <f>VLOOKUP(Table3[[#This Row],[NAME1]], [2]Sheet1!$1:$1048576, 3, 0)</f>
        <v>1.6169659999999999</v>
      </c>
      <c r="J277" s="9">
        <v>0.195909271</v>
      </c>
      <c r="K277" s="9">
        <v>96.969696970000001</v>
      </c>
      <c r="L277" s="5">
        <v>99</v>
      </c>
      <c r="M277" s="5">
        <v>2</v>
      </c>
      <c r="N277" s="5">
        <v>0</v>
      </c>
      <c r="O277" s="5">
        <v>1</v>
      </c>
      <c r="P277" s="9">
        <v>2.76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topLeftCell="A67" workbookViewId="0">
      <selection activeCell="I20" sqref="I20"/>
    </sheetView>
  </sheetViews>
  <sheetFormatPr defaultRowHeight="15.6" x14ac:dyDescent="0.3"/>
  <cols>
    <col min="3" max="3" width="9.59765625" customWidth="1"/>
    <col min="5" max="5" width="21.09765625" customWidth="1"/>
    <col min="6" max="7" width="20.19921875" customWidth="1"/>
    <col min="8" max="8" width="19.19921875" customWidth="1"/>
    <col min="9" max="9" width="17.09765625" customWidth="1"/>
    <col min="10" max="10" width="10.09765625" customWidth="1"/>
    <col min="11" max="11" width="27.59765625" customWidth="1"/>
    <col min="12" max="12" width="30.69921875" customWidth="1"/>
    <col min="13" max="13" width="31.19921875" customWidth="1"/>
    <col min="14" max="14" width="35.5" customWidth="1"/>
    <col min="15" max="15" width="38.59765625" customWidth="1"/>
    <col min="16" max="16" width="20.3984375" customWidth="1"/>
  </cols>
  <sheetData>
    <row r="1" spans="1:16" x14ac:dyDescent="0.3">
      <c r="A1" s="17" t="s">
        <v>925</v>
      </c>
      <c r="B1" s="4" t="s">
        <v>0</v>
      </c>
      <c r="C1" s="1" t="s">
        <v>1</v>
      </c>
      <c r="D1" s="4" t="s">
        <v>2</v>
      </c>
      <c r="E1" s="4" t="s">
        <v>923</v>
      </c>
      <c r="F1" s="4" t="s">
        <v>924</v>
      </c>
      <c r="G1" s="4" t="s">
        <v>926</v>
      </c>
      <c r="H1" s="4" t="s">
        <v>927</v>
      </c>
      <c r="I1" s="4" t="s">
        <v>928</v>
      </c>
      <c r="J1" s="4" t="s">
        <v>4</v>
      </c>
      <c r="K1" s="8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8" t="s">
        <v>10</v>
      </c>
    </row>
    <row r="2" spans="1:16" x14ac:dyDescent="0.3">
      <c r="A2" s="16">
        <v>150</v>
      </c>
      <c r="B2" s="5">
        <v>484</v>
      </c>
      <c r="C2" s="2" t="s">
        <v>597</v>
      </c>
      <c r="D2" s="5" t="s">
        <v>598</v>
      </c>
      <c r="E2" s="5">
        <f>LEN(Table3[[#This Row],[NAME1]])</f>
        <v>7</v>
      </c>
      <c r="F2" s="5">
        <f>VLOOKUP(Table3[[#This Row],[NAME1]], [1]Sheet1!$1:$1048576, 4, 0)</f>
        <v>7</v>
      </c>
      <c r="G2" s="5" t="e">
        <f>VLOOKUP(Table3[[#This Row],[NAME1]], [1]Sheet1!$1:$1048576, 5, 9)</f>
        <v>#N/A</v>
      </c>
      <c r="H2" s="5"/>
      <c r="I2" s="5"/>
      <c r="J2" s="5">
        <v>0</v>
      </c>
      <c r="K2" s="12">
        <v>100</v>
      </c>
      <c r="L2" s="5">
        <v>100</v>
      </c>
      <c r="M2" s="5">
        <v>1</v>
      </c>
      <c r="N2" s="5">
        <v>0</v>
      </c>
      <c r="O2" s="5">
        <v>0</v>
      </c>
      <c r="P2" s="9">
        <v>2.73</v>
      </c>
    </row>
    <row r="3" spans="1:16" x14ac:dyDescent="0.3">
      <c r="A3" s="16">
        <v>155</v>
      </c>
      <c r="B3" s="5">
        <v>474</v>
      </c>
      <c r="C3" s="2" t="s">
        <v>587</v>
      </c>
      <c r="D3" s="5" t="s">
        <v>588</v>
      </c>
      <c r="E3" s="5">
        <f>LEN(Table3[[#This Row],[NAME1]])</f>
        <v>6</v>
      </c>
      <c r="F3" s="5">
        <f>VLOOKUP(Table3[[#This Row],[NAME1]], [1]Sheet1!$1:$1048576, 4, 0)</f>
        <v>6</v>
      </c>
      <c r="G3" s="5" t="e">
        <f>VLOOKUP(Table3[[#This Row],[NAME1]], [1]Sheet1!$1:$1048576, 5, 9)</f>
        <v>#N/A</v>
      </c>
      <c r="H3" s="5"/>
      <c r="I3" s="5"/>
      <c r="J3" s="5">
        <v>0</v>
      </c>
      <c r="K3" s="12">
        <v>100</v>
      </c>
      <c r="L3" s="5">
        <v>98</v>
      </c>
      <c r="M3" s="5">
        <v>1</v>
      </c>
      <c r="N3" s="5">
        <v>0</v>
      </c>
      <c r="O3" s="5">
        <v>2</v>
      </c>
      <c r="P3" s="9">
        <v>2.54</v>
      </c>
    </row>
    <row r="4" spans="1:16" x14ac:dyDescent="0.3">
      <c r="A4" s="16">
        <v>157</v>
      </c>
      <c r="B4" s="5">
        <v>343</v>
      </c>
      <c r="C4" s="2" t="s">
        <v>432</v>
      </c>
      <c r="D4" s="5" t="s">
        <v>433</v>
      </c>
      <c r="E4" s="5">
        <f>LEN(Table3[[#This Row],[NAME1]])</f>
        <v>7</v>
      </c>
      <c r="F4" s="5">
        <f>VLOOKUP(Table3[[#This Row],[NAME1]], [1]Sheet1!$1:$1048576, 4, 0)</f>
        <v>7</v>
      </c>
      <c r="G4" s="5" t="e">
        <f>VLOOKUP(Table3[[#This Row],[NAME1]], [1]Sheet1!$1:$1048576, 5, 9)</f>
        <v>#N/A</v>
      </c>
      <c r="H4" s="5"/>
      <c r="I4" s="5"/>
      <c r="J4" s="5">
        <v>0</v>
      </c>
      <c r="K4" s="12">
        <v>100</v>
      </c>
      <c r="L4" s="5">
        <v>100</v>
      </c>
      <c r="M4" s="5">
        <v>1</v>
      </c>
      <c r="N4" s="5">
        <v>0</v>
      </c>
      <c r="O4" s="5">
        <v>0</v>
      </c>
      <c r="P4" s="9">
        <v>1.4</v>
      </c>
    </row>
    <row r="5" spans="1:16" x14ac:dyDescent="0.3">
      <c r="A5" s="16">
        <v>163</v>
      </c>
      <c r="B5" s="5">
        <v>26</v>
      </c>
      <c r="C5" s="2" t="s">
        <v>31</v>
      </c>
      <c r="D5" s="5" t="s">
        <v>32</v>
      </c>
      <c r="E5" s="5">
        <f>LEN(Table3[[#This Row],[NAME1]])</f>
        <v>7</v>
      </c>
      <c r="F5" s="5">
        <f>VLOOKUP(Table3[[#This Row],[NAME1]], [1]Sheet1!$1:$1048576, 4, 0)</f>
        <v>7</v>
      </c>
      <c r="G5" s="5">
        <f>VLOOKUP(Table3[[#This Row],[NAME1]], [1]Sheet1!$1:$1048576, 5, 9)</f>
        <v>4</v>
      </c>
      <c r="H5" s="5"/>
      <c r="I5" s="5"/>
      <c r="J5" s="5">
        <v>0</v>
      </c>
      <c r="K5" s="12">
        <v>100</v>
      </c>
      <c r="L5" s="5">
        <v>99</v>
      </c>
      <c r="M5" s="5">
        <v>1</v>
      </c>
      <c r="N5" s="5">
        <v>0</v>
      </c>
      <c r="O5" s="5">
        <v>1</v>
      </c>
      <c r="P5" s="9">
        <v>2.58</v>
      </c>
    </row>
    <row r="6" spans="1:16" x14ac:dyDescent="0.3">
      <c r="A6" s="16">
        <v>165</v>
      </c>
      <c r="B6" s="5">
        <v>130</v>
      </c>
      <c r="C6" s="2" t="s">
        <v>168</v>
      </c>
      <c r="D6" s="5" t="s">
        <v>169</v>
      </c>
      <c r="E6" s="5">
        <f>LEN(Table3[[#This Row],[NAME1]])</f>
        <v>6</v>
      </c>
      <c r="F6" s="5">
        <f>VLOOKUP(Table3[[#This Row],[NAME1]], [1]Sheet1!$1:$1048576, 4, 0)</f>
        <v>6</v>
      </c>
      <c r="G6" s="5" t="e">
        <f>VLOOKUP(Table3[[#This Row],[NAME1]], [1]Sheet1!$1:$1048576, 5, 9)</f>
        <v>#N/A</v>
      </c>
      <c r="H6" s="5"/>
      <c r="I6" s="5"/>
      <c r="J6" s="5">
        <v>0</v>
      </c>
      <c r="K6" s="12">
        <v>100</v>
      </c>
      <c r="L6" s="5">
        <v>99</v>
      </c>
      <c r="M6" s="5">
        <v>1</v>
      </c>
      <c r="N6" s="5">
        <v>0</v>
      </c>
      <c r="O6" s="5">
        <v>1</v>
      </c>
      <c r="P6" s="9">
        <v>1.98</v>
      </c>
    </row>
    <row r="7" spans="1:16" x14ac:dyDescent="0.3">
      <c r="A7" s="16">
        <v>166</v>
      </c>
      <c r="B7" s="5">
        <v>221</v>
      </c>
      <c r="C7" s="2" t="s">
        <v>281</v>
      </c>
      <c r="D7" s="5" t="s">
        <v>282</v>
      </c>
      <c r="E7" s="5">
        <f>LEN(Table3[[#This Row],[NAME1]])</f>
        <v>5</v>
      </c>
      <c r="F7" s="5">
        <f>VLOOKUP(Table3[[#This Row],[NAME1]], [1]Sheet1!$1:$1048576, 4, 0)</f>
        <v>5</v>
      </c>
      <c r="G7" s="5" t="e">
        <f>VLOOKUP(Table3[[#This Row],[NAME1]], [1]Sheet1!$1:$1048576, 5, 9)</f>
        <v>#N/A</v>
      </c>
      <c r="H7" s="5"/>
      <c r="I7" s="5"/>
      <c r="J7" s="5">
        <v>0</v>
      </c>
      <c r="K7" s="12">
        <v>100</v>
      </c>
      <c r="L7" s="5">
        <v>99</v>
      </c>
      <c r="M7" s="5">
        <v>1</v>
      </c>
      <c r="N7" s="5">
        <v>0</v>
      </c>
      <c r="O7" s="5">
        <v>1</v>
      </c>
      <c r="P7" s="9">
        <v>1.92</v>
      </c>
    </row>
    <row r="8" spans="1:16" x14ac:dyDescent="0.3">
      <c r="A8" s="16">
        <v>170</v>
      </c>
      <c r="B8" s="5">
        <v>89</v>
      </c>
      <c r="C8" s="2" t="s">
        <v>112</v>
      </c>
      <c r="D8" s="5" t="s">
        <v>113</v>
      </c>
      <c r="E8" s="5">
        <f>LEN(Table3[[#This Row],[NAME1]])</f>
        <v>5</v>
      </c>
      <c r="F8" s="5">
        <f>VLOOKUP(Table3[[#This Row],[NAME1]], [1]Sheet1!$1:$1048576, 4, 0)</f>
        <v>5</v>
      </c>
      <c r="G8" s="5" t="e">
        <f>VLOOKUP(Table3[[#This Row],[NAME1]], [1]Sheet1!$1:$1048576, 5, 9)</f>
        <v>#N/A</v>
      </c>
      <c r="H8" s="5"/>
      <c r="I8" s="5"/>
      <c r="J8" s="5">
        <v>0</v>
      </c>
      <c r="K8" s="12">
        <v>100</v>
      </c>
      <c r="L8" s="5">
        <v>97</v>
      </c>
      <c r="M8" s="5">
        <v>1</v>
      </c>
      <c r="N8" s="5">
        <v>0</v>
      </c>
      <c r="O8" s="5">
        <v>3</v>
      </c>
      <c r="P8" s="9">
        <v>2.2999999999999998</v>
      </c>
    </row>
    <row r="9" spans="1:16" x14ac:dyDescent="0.3">
      <c r="A9" s="16">
        <v>172</v>
      </c>
      <c r="B9" s="5">
        <v>609</v>
      </c>
      <c r="C9" s="2" t="s">
        <v>758</v>
      </c>
      <c r="D9" s="5" t="s">
        <v>759</v>
      </c>
      <c r="E9" s="5">
        <f>LEN(Table3[[#This Row],[NAME1]])</f>
        <v>6</v>
      </c>
      <c r="F9" s="5">
        <f>VLOOKUP(Table3[[#This Row],[NAME1]], [1]Sheet1!$1:$1048576, 4, 0)</f>
        <v>6</v>
      </c>
      <c r="G9" s="5" t="e">
        <f>VLOOKUP(Table3[[#This Row],[NAME1]], [1]Sheet1!$1:$1048576, 5, 9)</f>
        <v>#N/A</v>
      </c>
      <c r="H9" s="5"/>
      <c r="I9" s="5"/>
      <c r="J9" s="5">
        <v>0</v>
      </c>
      <c r="K9" s="12">
        <v>100</v>
      </c>
      <c r="L9" s="5">
        <v>99</v>
      </c>
      <c r="M9" s="5">
        <v>1</v>
      </c>
      <c r="N9" s="5">
        <v>0</v>
      </c>
      <c r="O9" s="5">
        <v>1</v>
      </c>
      <c r="P9" s="9">
        <v>2.19</v>
      </c>
    </row>
    <row r="10" spans="1:16" x14ac:dyDescent="0.3">
      <c r="A10" s="16">
        <v>173</v>
      </c>
      <c r="B10" s="5">
        <v>616</v>
      </c>
      <c r="C10" s="2" t="s">
        <v>770</v>
      </c>
      <c r="D10" s="5" t="s">
        <v>771</v>
      </c>
      <c r="E10" s="5">
        <f>LEN(Table3[[#This Row],[NAME1]])</f>
        <v>5</v>
      </c>
      <c r="F10" s="5">
        <f>VLOOKUP(Table3[[#This Row],[NAME1]], [1]Sheet1!$1:$1048576, 4, 0)</f>
        <v>5</v>
      </c>
      <c r="G10" s="5" t="e">
        <f>VLOOKUP(Table3[[#This Row],[NAME1]], [1]Sheet1!$1:$1048576, 5, 9)</f>
        <v>#N/A</v>
      </c>
      <c r="H10" s="5"/>
      <c r="I10" s="5"/>
      <c r="J10" s="5">
        <v>0</v>
      </c>
      <c r="K10" s="12">
        <v>100</v>
      </c>
      <c r="L10" s="5">
        <v>96</v>
      </c>
      <c r="M10" s="5">
        <v>1</v>
      </c>
      <c r="N10" s="5">
        <v>2</v>
      </c>
      <c r="O10" s="5">
        <v>2</v>
      </c>
      <c r="P10" s="9">
        <v>2.21</v>
      </c>
    </row>
    <row r="11" spans="1:16" x14ac:dyDescent="0.3">
      <c r="A11" s="16">
        <v>176</v>
      </c>
      <c r="B11" s="5">
        <v>592</v>
      </c>
      <c r="C11" s="2" t="s">
        <v>736</v>
      </c>
      <c r="D11" s="5" t="s">
        <v>737</v>
      </c>
      <c r="E11" s="5">
        <f>LEN(Table3[[#This Row],[NAME1]])</f>
        <v>6</v>
      </c>
      <c r="F11" s="5">
        <f>VLOOKUP(Table3[[#This Row],[NAME1]], [1]Sheet1!$1:$1048576, 4, 0)</f>
        <v>6</v>
      </c>
      <c r="G11" s="5">
        <f>VLOOKUP(Table3[[#This Row],[NAME1]], [1]Sheet1!$1:$1048576, 5, 9)</f>
        <v>3</v>
      </c>
      <c r="H11" s="5"/>
      <c r="I11" s="5"/>
      <c r="J11" s="5">
        <v>0</v>
      </c>
      <c r="K11" s="12">
        <v>100</v>
      </c>
      <c r="L11" s="5">
        <v>96</v>
      </c>
      <c r="M11" s="5">
        <v>1</v>
      </c>
      <c r="N11" s="5">
        <v>1</v>
      </c>
      <c r="O11" s="5">
        <v>3</v>
      </c>
      <c r="P11" s="9">
        <v>2.54</v>
      </c>
    </row>
    <row r="12" spans="1:16" x14ac:dyDescent="0.3">
      <c r="A12" s="16">
        <v>178</v>
      </c>
      <c r="B12" s="5">
        <v>558</v>
      </c>
      <c r="C12" s="2" t="s">
        <v>701</v>
      </c>
      <c r="D12" s="5" t="s">
        <v>702</v>
      </c>
      <c r="E12" s="5">
        <f>LEN(Table3[[#This Row],[NAME1]])</f>
        <v>5</v>
      </c>
      <c r="F12" s="5">
        <f>VLOOKUP(Table3[[#This Row],[NAME1]], [1]Sheet1!$1:$1048576, 4, 0)</f>
        <v>5</v>
      </c>
      <c r="G12" s="5">
        <f>VLOOKUP(Table3[[#This Row],[NAME1]], [1]Sheet1!$1:$1048576, 5, 9)</f>
        <v>3</v>
      </c>
      <c r="H12" s="5"/>
      <c r="I12" s="5"/>
      <c r="J12" s="5">
        <v>0</v>
      </c>
      <c r="K12" s="12">
        <v>100</v>
      </c>
      <c r="L12" s="5">
        <v>98</v>
      </c>
      <c r="M12" s="5">
        <v>1</v>
      </c>
      <c r="N12" s="5">
        <v>0</v>
      </c>
      <c r="O12" s="5">
        <v>2</v>
      </c>
      <c r="P12" s="9">
        <v>2.04</v>
      </c>
    </row>
    <row r="13" spans="1:16" x14ac:dyDescent="0.3">
      <c r="A13" s="16">
        <v>179</v>
      </c>
      <c r="B13" s="5">
        <v>657</v>
      </c>
      <c r="C13" s="2" t="s">
        <v>816</v>
      </c>
      <c r="D13" s="5" t="s">
        <v>817</v>
      </c>
      <c r="E13" s="5">
        <f>LEN(Table3[[#This Row],[NAME1]])</f>
        <v>6</v>
      </c>
      <c r="F13" s="5">
        <f>VLOOKUP(Table3[[#This Row],[NAME1]], [1]Sheet1!$1:$1048576, 4, 0)</f>
        <v>6</v>
      </c>
      <c r="G13" s="5">
        <f>VLOOKUP(Table3[[#This Row],[NAME1]], [1]Sheet1!$1:$1048576, 5, 9)</f>
        <v>3</v>
      </c>
      <c r="H13" s="5"/>
      <c r="I13" s="5"/>
      <c r="J13" s="5">
        <v>0</v>
      </c>
      <c r="K13" s="12">
        <v>100</v>
      </c>
      <c r="L13" s="5">
        <v>100</v>
      </c>
      <c r="M13" s="5">
        <v>1</v>
      </c>
      <c r="N13" s="5">
        <v>0</v>
      </c>
      <c r="O13" s="5">
        <v>0</v>
      </c>
      <c r="P13" s="9">
        <v>2.2799999999999998</v>
      </c>
    </row>
    <row r="14" spans="1:16" x14ac:dyDescent="0.3">
      <c r="A14" s="16">
        <v>180</v>
      </c>
      <c r="B14" s="5">
        <v>339</v>
      </c>
      <c r="C14" s="2" t="s">
        <v>426</v>
      </c>
      <c r="D14" s="5" t="s">
        <v>427</v>
      </c>
      <c r="E14" s="5">
        <f>LEN(Table3[[#This Row],[NAME1]])</f>
        <v>4</v>
      </c>
      <c r="F14" s="5">
        <f>VLOOKUP(Table3[[#This Row],[NAME1]], [1]Sheet1!$1:$1048576, 4, 0)</f>
        <v>4</v>
      </c>
      <c r="G14" s="5">
        <f>VLOOKUP(Table3[[#This Row],[NAME1]], [1]Sheet1!$1:$1048576, 5, 9)</f>
        <v>3</v>
      </c>
      <c r="H14" s="5"/>
      <c r="I14" s="5"/>
      <c r="J14" s="5">
        <v>0</v>
      </c>
      <c r="K14" s="12">
        <v>100</v>
      </c>
      <c r="L14" s="5">
        <v>100</v>
      </c>
      <c r="M14" s="5">
        <v>1</v>
      </c>
      <c r="N14" s="5">
        <v>0</v>
      </c>
      <c r="O14" s="5">
        <v>0</v>
      </c>
      <c r="P14" s="9">
        <v>2.21</v>
      </c>
    </row>
    <row r="15" spans="1:16" x14ac:dyDescent="0.3">
      <c r="A15" s="16">
        <v>183</v>
      </c>
      <c r="B15" s="5">
        <v>483</v>
      </c>
      <c r="C15" s="2" t="s">
        <v>595</v>
      </c>
      <c r="D15" s="5" t="s">
        <v>596</v>
      </c>
      <c r="E15" s="5">
        <f>LEN(Table3[[#This Row],[NAME1]])</f>
        <v>4</v>
      </c>
      <c r="F15" s="5">
        <f>VLOOKUP(Table3[[#This Row],[NAME1]], [1]Sheet1!$1:$1048576, 4, 0)</f>
        <v>4</v>
      </c>
      <c r="G15" s="5">
        <f>VLOOKUP(Table3[[#This Row],[NAME1]], [1]Sheet1!$1:$1048576, 5, 9)</f>
        <v>3</v>
      </c>
      <c r="H15" s="5"/>
      <c r="I15" s="5"/>
      <c r="J15" s="5">
        <v>0</v>
      </c>
      <c r="K15" s="12">
        <v>100</v>
      </c>
      <c r="L15" s="5">
        <v>100</v>
      </c>
      <c r="M15" s="5">
        <v>1</v>
      </c>
      <c r="N15" s="5">
        <v>0</v>
      </c>
      <c r="O15" s="5">
        <v>0</v>
      </c>
      <c r="P15" s="9">
        <v>2.39</v>
      </c>
    </row>
    <row r="16" spans="1:16" x14ac:dyDescent="0.3">
      <c r="A16" s="16">
        <v>185</v>
      </c>
      <c r="B16" s="5">
        <v>586</v>
      </c>
      <c r="C16" s="2" t="s">
        <v>730</v>
      </c>
      <c r="D16" s="5" t="s">
        <v>731</v>
      </c>
      <c r="E16" s="5">
        <f>LEN(Table3[[#This Row],[NAME1]])</f>
        <v>7</v>
      </c>
      <c r="F16" s="5">
        <f>VLOOKUP(Table3[[#This Row],[NAME1]], [1]Sheet1!$1:$1048576, 4, 0)</f>
        <v>7</v>
      </c>
      <c r="G16" s="5">
        <f>VLOOKUP(Table3[[#This Row],[NAME1]], [1]Sheet1!$1:$1048576, 5, 9)</f>
        <v>3</v>
      </c>
      <c r="H16" s="5"/>
      <c r="I16" s="5"/>
      <c r="J16" s="5">
        <v>0</v>
      </c>
      <c r="K16" s="12">
        <v>100</v>
      </c>
      <c r="L16" s="5">
        <v>100</v>
      </c>
      <c r="M16" s="5">
        <v>1</v>
      </c>
      <c r="N16" s="5">
        <v>0</v>
      </c>
      <c r="O16" s="5">
        <v>0</v>
      </c>
      <c r="P16" s="9">
        <v>2.2400000000000002</v>
      </c>
    </row>
    <row r="17" spans="1:16" x14ac:dyDescent="0.3">
      <c r="A17" s="16">
        <v>187</v>
      </c>
      <c r="B17" s="5">
        <v>222</v>
      </c>
      <c r="C17" s="2" t="s">
        <v>283</v>
      </c>
      <c r="D17" s="5" t="s">
        <v>284</v>
      </c>
      <c r="E17" s="5">
        <f>LEN(Table3[[#This Row],[NAME1]])</f>
        <v>6</v>
      </c>
      <c r="F17" s="5">
        <f>VLOOKUP(Table3[[#This Row],[NAME1]], [1]Sheet1!$1:$1048576, 4, 0)</f>
        <v>6</v>
      </c>
      <c r="G17" s="5">
        <f>VLOOKUP(Table3[[#This Row],[NAME1]], [1]Sheet1!$1:$1048576, 5, 9)</f>
        <v>3</v>
      </c>
      <c r="H17" s="5"/>
      <c r="I17" s="5"/>
      <c r="J17" s="5">
        <v>0</v>
      </c>
      <c r="K17" s="12">
        <v>100</v>
      </c>
      <c r="L17" s="5">
        <v>99</v>
      </c>
      <c r="M17" s="5">
        <v>1</v>
      </c>
      <c r="N17" s="5">
        <v>0</v>
      </c>
      <c r="O17" s="5">
        <v>1</v>
      </c>
      <c r="P17" s="9">
        <v>1.97</v>
      </c>
    </row>
    <row r="18" spans="1:16" x14ac:dyDescent="0.3">
      <c r="A18" s="16">
        <v>239</v>
      </c>
      <c r="B18" s="5">
        <v>444</v>
      </c>
      <c r="C18" s="2" t="s">
        <v>545</v>
      </c>
      <c r="D18" s="5" t="s">
        <v>546</v>
      </c>
      <c r="E18" s="5">
        <f>LEN(Table3[[#This Row],[NAME1]])</f>
        <v>6</v>
      </c>
      <c r="F18" s="5">
        <f>VLOOKUP(Table3[[#This Row],[NAME1]], [1]Sheet1!$1:$1048576, 4, 0)</f>
        <v>6</v>
      </c>
      <c r="G18" s="5">
        <f>VLOOKUP(Table3[[#This Row],[NAME1]], [1]Sheet1!$1:$1048576, 5, 9)</f>
        <v>3</v>
      </c>
      <c r="H18" s="5"/>
      <c r="I18" s="5"/>
      <c r="J18" s="5">
        <v>0.19902377500000001</v>
      </c>
      <c r="K18" s="9">
        <v>96.907216489999996</v>
      </c>
      <c r="L18" s="5">
        <v>97</v>
      </c>
      <c r="M18" s="5">
        <v>2</v>
      </c>
      <c r="N18" s="5">
        <v>0</v>
      </c>
      <c r="O18" s="5">
        <v>3</v>
      </c>
      <c r="P18" s="9">
        <v>2.4500000000000002</v>
      </c>
    </row>
    <row r="19" spans="1:16" x14ac:dyDescent="0.3">
      <c r="A19" s="16">
        <v>241</v>
      </c>
      <c r="B19" s="5">
        <v>686</v>
      </c>
      <c r="C19" s="2" t="s">
        <v>850</v>
      </c>
      <c r="D19" s="5" t="s">
        <v>851</v>
      </c>
      <c r="E19" s="5">
        <f>LEN(Table3[[#This Row],[NAME1]])</f>
        <v>4</v>
      </c>
      <c r="F19" s="5">
        <f>VLOOKUP(Table3[[#This Row],[NAME1]], [1]Sheet1!$1:$1048576, 4, 0)</f>
        <v>4</v>
      </c>
      <c r="G19" s="5">
        <f>VLOOKUP(Table3[[#This Row],[NAME1]], [1]Sheet1!$1:$1048576, 5, 9)</f>
        <v>3</v>
      </c>
      <c r="H19" s="5"/>
      <c r="I19" s="5"/>
      <c r="J19" s="5">
        <v>0.20224942500000001</v>
      </c>
      <c r="K19" s="9">
        <v>96.842105259999997</v>
      </c>
      <c r="L19" s="5">
        <v>95</v>
      </c>
      <c r="M19" s="5">
        <v>2</v>
      </c>
      <c r="N19" s="5">
        <v>1</v>
      </c>
      <c r="O19" s="5">
        <v>4</v>
      </c>
      <c r="P19" s="9">
        <v>3.51</v>
      </c>
    </row>
    <row r="20" spans="1:16" x14ac:dyDescent="0.3">
      <c r="A20" s="16">
        <v>263</v>
      </c>
      <c r="B20" s="5">
        <v>402</v>
      </c>
      <c r="C20" s="2" t="s">
        <v>500</v>
      </c>
      <c r="D20" s="5" t="s">
        <v>501</v>
      </c>
      <c r="E20" s="5">
        <f>LEN(Table3[[#This Row],[NAME1]])</f>
        <v>4</v>
      </c>
      <c r="F20" s="5">
        <f>VLOOKUP(Table3[[#This Row],[NAME1]], [1]Sheet1!$1:$1048576, 4, 0)</f>
        <v>4</v>
      </c>
      <c r="G20" s="5">
        <f>VLOOKUP(Table3[[#This Row],[NAME1]], [1]Sheet1!$1:$1048576, 5, 9)</f>
        <v>3</v>
      </c>
      <c r="H20" s="5"/>
      <c r="I20" s="5"/>
      <c r="J20" s="5">
        <v>0.33494448700000001</v>
      </c>
      <c r="K20" s="12">
        <v>95</v>
      </c>
      <c r="L20" s="5">
        <v>100</v>
      </c>
      <c r="M20" s="5">
        <v>3</v>
      </c>
      <c r="N20" s="5">
        <v>0</v>
      </c>
      <c r="O20" s="5">
        <v>0</v>
      </c>
      <c r="P20" s="9">
        <v>2</v>
      </c>
    </row>
    <row r="21" spans="1:16" x14ac:dyDescent="0.3">
      <c r="A21" s="16">
        <v>270</v>
      </c>
      <c r="B21" s="5">
        <v>205</v>
      </c>
      <c r="C21" s="2" t="s">
        <v>265</v>
      </c>
      <c r="D21" s="5" t="s">
        <v>266</v>
      </c>
      <c r="E21" s="5">
        <f>LEN(Table3[[#This Row],[NAME1]])</f>
        <v>7</v>
      </c>
      <c r="F21" s="5">
        <f>VLOOKUP(Table3[[#This Row],[NAME1]], [1]Sheet1!$1:$1048576, 4, 0)</f>
        <v>7</v>
      </c>
      <c r="G21" s="5">
        <f>VLOOKUP(Table3[[#This Row],[NAME1]], [1]Sheet1!$1:$1048576, 5, 9)</f>
        <v>3</v>
      </c>
      <c r="H21" s="5"/>
      <c r="I21" s="5"/>
      <c r="J21" s="5">
        <v>0.29071586500000002</v>
      </c>
      <c r="K21" s="9">
        <v>94.897959180000001</v>
      </c>
      <c r="L21" s="5">
        <v>98</v>
      </c>
      <c r="M21" s="5">
        <v>2</v>
      </c>
      <c r="N21" s="5">
        <v>0</v>
      </c>
      <c r="O21" s="5">
        <v>2</v>
      </c>
      <c r="P21" s="9">
        <v>2.13</v>
      </c>
    </row>
    <row r="22" spans="1:16" x14ac:dyDescent="0.3">
      <c r="A22" s="16">
        <v>311</v>
      </c>
      <c r="B22" s="5">
        <v>291</v>
      </c>
      <c r="C22" s="2" t="s">
        <v>367</v>
      </c>
      <c r="D22" s="5" t="s">
        <v>368</v>
      </c>
      <c r="E22" s="5">
        <f>LEN(Table3[[#This Row],[NAME1]])</f>
        <v>7</v>
      </c>
      <c r="F22" s="5">
        <f>VLOOKUP(Table3[[#This Row],[NAME1]], [1]Sheet1!$1:$1048576, 4, 0)</f>
        <v>7</v>
      </c>
      <c r="G22" s="5">
        <f>VLOOKUP(Table3[[#This Row],[NAME1]], [1]Sheet1!$1:$1048576, 5, 9)</f>
        <v>3</v>
      </c>
      <c r="H22" s="5"/>
      <c r="I22" s="5"/>
      <c r="J22" s="5">
        <v>0.47413276599999998</v>
      </c>
      <c r="K22" s="9">
        <v>91.83673469</v>
      </c>
      <c r="L22" s="5">
        <v>98</v>
      </c>
      <c r="M22" s="5">
        <v>3</v>
      </c>
      <c r="N22" s="5">
        <v>0</v>
      </c>
      <c r="O22" s="5">
        <v>2</v>
      </c>
      <c r="P22" s="9">
        <v>2.58</v>
      </c>
    </row>
    <row r="23" spans="1:16" x14ac:dyDescent="0.3">
      <c r="A23" s="16">
        <v>317</v>
      </c>
      <c r="B23" s="5">
        <v>124</v>
      </c>
      <c r="C23" s="2" t="s">
        <v>158</v>
      </c>
      <c r="D23" s="5" t="s">
        <v>159</v>
      </c>
      <c r="E23" s="5">
        <f>LEN(Table3[[#This Row],[NAME1]])</f>
        <v>4</v>
      </c>
      <c r="F23" s="5">
        <f>VLOOKUP(Table3[[#This Row],[NAME1]], [1]Sheet1!$1:$1048576, 4, 0)</f>
        <v>4</v>
      </c>
      <c r="G23" s="5">
        <f>VLOOKUP(Table3[[#This Row],[NAME1]], [1]Sheet1!$1:$1048576, 5, 9)</f>
        <v>3</v>
      </c>
      <c r="H23" s="5"/>
      <c r="I23" s="5"/>
      <c r="J23" s="5">
        <v>0.52959481100000005</v>
      </c>
      <c r="K23" s="9">
        <v>90.909090910000003</v>
      </c>
      <c r="L23" s="5">
        <v>99</v>
      </c>
      <c r="M23" s="5">
        <v>3</v>
      </c>
      <c r="N23" s="5">
        <v>0</v>
      </c>
      <c r="O23" s="5">
        <v>1</v>
      </c>
      <c r="P23" s="9">
        <v>1.81</v>
      </c>
    </row>
    <row r="24" spans="1:16" x14ac:dyDescent="0.3">
      <c r="A24" s="16">
        <v>319</v>
      </c>
      <c r="B24" s="5">
        <v>441</v>
      </c>
      <c r="C24" s="2" t="s">
        <v>539</v>
      </c>
      <c r="D24" s="5" t="s">
        <v>540</v>
      </c>
      <c r="E24" s="5">
        <f>LEN(Table3[[#This Row],[NAME1]])</f>
        <v>6</v>
      </c>
      <c r="F24" s="5">
        <f>VLOOKUP(Table3[[#This Row],[NAME1]], [1]Sheet1!$1:$1048576, 4, 0)</f>
        <v>6</v>
      </c>
      <c r="G24" s="5">
        <f>VLOOKUP(Table3[[#This Row],[NAME1]], [1]Sheet1!$1:$1048576, 5, 9)</f>
        <v>3</v>
      </c>
      <c r="H24" s="5"/>
      <c r="I24" s="5"/>
      <c r="J24" s="5">
        <v>0.62394287599999998</v>
      </c>
      <c r="K24" s="9">
        <v>90.816326529999998</v>
      </c>
      <c r="L24" s="5">
        <v>98</v>
      </c>
      <c r="M24" s="5">
        <v>5</v>
      </c>
      <c r="N24" s="5">
        <v>0</v>
      </c>
      <c r="O24" s="5">
        <v>2</v>
      </c>
      <c r="P24" s="9">
        <v>2.34</v>
      </c>
    </row>
    <row r="25" spans="1:16" x14ac:dyDescent="0.3">
      <c r="A25" s="16">
        <v>326</v>
      </c>
      <c r="B25" s="5">
        <v>454</v>
      </c>
      <c r="C25" s="2" t="s">
        <v>561</v>
      </c>
      <c r="D25" s="5" t="s">
        <v>562</v>
      </c>
      <c r="E25" s="5">
        <f>LEN(Table3[[#This Row],[NAME1]])</f>
        <v>7</v>
      </c>
      <c r="F25" s="5">
        <f>VLOOKUP(Table3[[#This Row],[NAME1]], [1]Sheet1!$1:$1048576, 4, 0)</f>
        <v>7</v>
      </c>
      <c r="G25" s="5">
        <f>VLOOKUP(Table3[[#This Row],[NAME1]], [1]Sheet1!$1:$1048576, 5, 9)</f>
        <v>3</v>
      </c>
      <c r="H25" s="5"/>
      <c r="I25" s="5"/>
      <c r="J25" s="5">
        <v>0.46899559400000002</v>
      </c>
      <c r="K25" s="12">
        <v>90</v>
      </c>
      <c r="L25" s="5">
        <v>100</v>
      </c>
      <c r="M25" s="5">
        <v>2</v>
      </c>
      <c r="N25" s="5">
        <v>0</v>
      </c>
      <c r="O25" s="5">
        <v>0</v>
      </c>
      <c r="P25" s="9">
        <v>2.86</v>
      </c>
    </row>
    <row r="26" spans="1:16" x14ac:dyDescent="0.3">
      <c r="A26" s="16">
        <v>228</v>
      </c>
      <c r="B26" s="5">
        <v>744</v>
      </c>
      <c r="C26" s="2" t="s">
        <v>911</v>
      </c>
      <c r="D26" s="5" t="s">
        <v>912</v>
      </c>
      <c r="E26" s="5">
        <f>LEN(Table3[[#This Row],[NAME1]])</f>
        <v>6</v>
      </c>
      <c r="F26" s="5">
        <f>VLOOKUP(Table3[[#This Row],[NAME1]], [1]Sheet1!$1:$1048576, 4, 0)</f>
        <v>6</v>
      </c>
      <c r="G26" s="5">
        <f>VLOOKUP(Table3[[#This Row],[NAME1]], [1]Sheet1!$1:$1048576, 5, 9)</f>
        <v>3</v>
      </c>
      <c r="H26" s="5"/>
      <c r="I26" s="5"/>
      <c r="J26" s="5">
        <v>0.194391858</v>
      </c>
      <c r="K26" s="12">
        <v>97</v>
      </c>
      <c r="L26" s="5">
        <v>100</v>
      </c>
      <c r="M26" s="5">
        <v>2</v>
      </c>
      <c r="N26" s="5">
        <v>0</v>
      </c>
      <c r="O26" s="5">
        <v>0</v>
      </c>
      <c r="P26" s="9">
        <v>1.949494949</v>
      </c>
    </row>
    <row r="27" spans="1:16" x14ac:dyDescent="0.3">
      <c r="A27" s="16">
        <v>102</v>
      </c>
      <c r="B27" s="5">
        <v>715</v>
      </c>
      <c r="C27" s="2" t="s">
        <v>879</v>
      </c>
      <c r="D27" s="5" t="s">
        <v>880</v>
      </c>
      <c r="E27" s="5">
        <f>LEN(Table3[[#This Row],[NAME1]])</f>
        <v>4</v>
      </c>
      <c r="F27" s="5">
        <f>VLOOKUP(Table3[[#This Row],[NAME1]], [1]Sheet1!$1:$1048576, 4, 0)</f>
        <v>4</v>
      </c>
      <c r="G27" s="5">
        <f>VLOOKUP(Table3[[#This Row],[NAME1]], [1]Sheet1!$1:$1048576, 5, 9)</f>
        <v>3</v>
      </c>
      <c r="H27" s="5"/>
      <c r="I27" s="5"/>
      <c r="J27" s="5">
        <v>0</v>
      </c>
      <c r="K27" s="12">
        <v>100</v>
      </c>
      <c r="L27" s="5">
        <v>100</v>
      </c>
      <c r="M27" s="5">
        <v>1</v>
      </c>
      <c r="N27" s="5">
        <v>0</v>
      </c>
      <c r="O27" s="5">
        <v>0</v>
      </c>
      <c r="P27" s="9">
        <v>2.59</v>
      </c>
    </row>
    <row r="28" spans="1:16" x14ac:dyDescent="0.3">
      <c r="A28" s="16">
        <v>120</v>
      </c>
      <c r="B28" s="5">
        <v>270</v>
      </c>
      <c r="C28" s="2" t="s">
        <v>339</v>
      </c>
      <c r="D28" s="5" t="s">
        <v>340</v>
      </c>
      <c r="E28" s="5">
        <f>LEN(Table3[[#This Row],[NAME1]])</f>
        <v>6</v>
      </c>
      <c r="F28" s="5">
        <f>VLOOKUP(Table3[[#This Row],[NAME1]], [1]Sheet1!$1:$1048576, 4, 0)</f>
        <v>6</v>
      </c>
      <c r="G28" s="5">
        <f>VLOOKUP(Table3[[#This Row],[NAME1]], [1]Sheet1!$1:$1048576, 5, 9)</f>
        <v>3</v>
      </c>
      <c r="H28" s="5"/>
      <c r="I28" s="5"/>
      <c r="J28" s="5">
        <v>0</v>
      </c>
      <c r="K28" s="12">
        <v>100</v>
      </c>
      <c r="L28" s="5">
        <v>99</v>
      </c>
      <c r="M28" s="5">
        <v>1</v>
      </c>
      <c r="N28" s="5">
        <v>0</v>
      </c>
      <c r="O28" s="5">
        <v>1</v>
      </c>
      <c r="P28" s="9">
        <v>1.26</v>
      </c>
    </row>
    <row r="29" spans="1:16" x14ac:dyDescent="0.3">
      <c r="A29" s="16">
        <v>131</v>
      </c>
      <c r="B29" s="5">
        <v>298</v>
      </c>
      <c r="C29" s="2" t="s">
        <v>379</v>
      </c>
      <c r="D29" s="5" t="s">
        <v>380</v>
      </c>
      <c r="E29" s="5">
        <f>LEN(Table3[[#This Row],[NAME1]])</f>
        <v>6</v>
      </c>
      <c r="F29" s="5">
        <f>VLOOKUP(Table3[[#This Row],[NAME1]], [1]Sheet1!$1:$1048576, 4, 0)</f>
        <v>6</v>
      </c>
      <c r="G29" s="5">
        <f>VLOOKUP(Table3[[#This Row],[NAME1]], [1]Sheet1!$1:$1048576, 5, 9)</f>
        <v>3</v>
      </c>
      <c r="H29" s="5"/>
      <c r="I29" s="5"/>
      <c r="J29" s="5">
        <v>0</v>
      </c>
      <c r="K29" s="12">
        <v>100</v>
      </c>
      <c r="L29" s="5">
        <v>100</v>
      </c>
      <c r="M29" s="5">
        <v>1</v>
      </c>
      <c r="N29" s="5">
        <v>0</v>
      </c>
      <c r="O29" s="5">
        <v>0</v>
      </c>
      <c r="P29" s="9">
        <v>2.6262626259999999</v>
      </c>
    </row>
    <row r="30" spans="1:16" x14ac:dyDescent="0.3">
      <c r="A30" s="16">
        <v>134</v>
      </c>
      <c r="B30" s="5">
        <v>147</v>
      </c>
      <c r="C30" s="2" t="s">
        <v>190</v>
      </c>
      <c r="D30" s="5" t="s">
        <v>191</v>
      </c>
      <c r="E30" s="5">
        <f>LEN(Table3[[#This Row],[NAME1]])</f>
        <v>4</v>
      </c>
      <c r="F30" s="5">
        <f>VLOOKUP(Table3[[#This Row],[NAME1]], [1]Sheet1!$1:$1048576, 4, 0)</f>
        <v>4</v>
      </c>
      <c r="G30" s="5">
        <f>VLOOKUP(Table3[[#This Row],[NAME1]], [1]Sheet1!$1:$1048576, 5, 9)</f>
        <v>3</v>
      </c>
      <c r="H30" s="5"/>
      <c r="I30" s="5"/>
      <c r="J30" s="5">
        <v>0</v>
      </c>
      <c r="K30" s="12">
        <v>100</v>
      </c>
      <c r="L30" s="5">
        <v>98</v>
      </c>
      <c r="M30" s="5">
        <v>1</v>
      </c>
      <c r="N30" s="5">
        <v>0</v>
      </c>
      <c r="O30" s="5">
        <v>2</v>
      </c>
      <c r="P30" s="9">
        <v>1.61</v>
      </c>
    </row>
    <row r="31" spans="1:16" x14ac:dyDescent="0.3">
      <c r="A31" s="16">
        <v>142</v>
      </c>
      <c r="B31" s="5">
        <v>621</v>
      </c>
      <c r="C31" s="2" t="s">
        <v>776</v>
      </c>
      <c r="D31" s="5" t="s">
        <v>777</v>
      </c>
      <c r="E31" s="5">
        <f>LEN(Table3[[#This Row],[NAME1]])</f>
        <v>4</v>
      </c>
      <c r="F31" s="5">
        <f>VLOOKUP(Table3[[#This Row],[NAME1]], [1]Sheet1!$1:$1048576, 4, 0)</f>
        <v>4</v>
      </c>
      <c r="G31" s="5">
        <f>VLOOKUP(Table3[[#This Row],[NAME1]], [1]Sheet1!$1:$1048576, 5, 9)</f>
        <v>3</v>
      </c>
      <c r="H31" s="5"/>
      <c r="I31" s="5"/>
      <c r="J31" s="5">
        <v>0</v>
      </c>
      <c r="K31" s="12">
        <v>100</v>
      </c>
      <c r="L31" s="5">
        <v>92</v>
      </c>
      <c r="M31" s="5">
        <v>1</v>
      </c>
      <c r="N31" s="5">
        <v>6</v>
      </c>
      <c r="O31" s="5">
        <v>2</v>
      </c>
      <c r="P31" s="9">
        <v>2.78</v>
      </c>
    </row>
    <row r="32" spans="1:16" x14ac:dyDescent="0.3">
      <c r="A32" s="16">
        <v>207</v>
      </c>
      <c r="B32" s="5">
        <v>681</v>
      </c>
      <c r="C32" s="2" t="s">
        <v>842</v>
      </c>
      <c r="D32" s="5" t="s">
        <v>843</v>
      </c>
      <c r="E32" s="5">
        <f>LEN(Table3[[#This Row],[NAME1]])</f>
        <v>5</v>
      </c>
      <c r="F32" s="5">
        <f>VLOOKUP(Table3[[#This Row],[NAME1]], [1]Sheet1!$1:$1048576, 4, 0)</f>
        <v>5</v>
      </c>
      <c r="G32" s="5">
        <f>VLOOKUP(Table3[[#This Row],[NAME1]], [1]Sheet1!$1:$1048576, 5, 9)</f>
        <v>3</v>
      </c>
      <c r="H32" s="5"/>
      <c r="I32" s="5"/>
      <c r="J32" s="5">
        <v>0.14257333</v>
      </c>
      <c r="K32" s="9">
        <v>97.979797980000001</v>
      </c>
      <c r="L32" s="5">
        <v>99</v>
      </c>
      <c r="M32" s="5">
        <v>2</v>
      </c>
      <c r="N32" s="5">
        <v>0</v>
      </c>
      <c r="O32" s="5">
        <v>1</v>
      </c>
      <c r="P32" s="9">
        <v>2.52</v>
      </c>
    </row>
    <row r="33" spans="1:16" x14ac:dyDescent="0.3">
      <c r="A33" s="16">
        <v>258</v>
      </c>
      <c r="B33" s="5">
        <v>409</v>
      </c>
      <c r="C33" s="2" t="s">
        <v>508</v>
      </c>
      <c r="D33" s="5" t="s">
        <v>509</v>
      </c>
      <c r="E33" s="5">
        <f>LEN(Table3[[#This Row],[NAME1]])</f>
        <v>6</v>
      </c>
      <c r="F33" s="5">
        <f>VLOOKUP(Table3[[#This Row],[NAME1]], [1]Sheet1!$1:$1048576, 4, 0)</f>
        <v>6</v>
      </c>
      <c r="G33" s="5">
        <f>VLOOKUP(Table3[[#This Row],[NAME1]], [1]Sheet1!$1:$1048576, 5, 9)</f>
        <v>3</v>
      </c>
      <c r="H33" s="5"/>
      <c r="I33" s="5"/>
      <c r="J33" s="5">
        <v>0.24988229300000001</v>
      </c>
      <c r="K33" s="9">
        <v>95.833333330000002</v>
      </c>
      <c r="L33" s="5">
        <v>96</v>
      </c>
      <c r="M33" s="5">
        <v>2</v>
      </c>
      <c r="N33" s="5">
        <v>2</v>
      </c>
      <c r="O33" s="5">
        <v>2</v>
      </c>
      <c r="P33" s="9">
        <v>3.08</v>
      </c>
    </row>
    <row r="34" spans="1:16" x14ac:dyDescent="0.3">
      <c r="A34" s="16">
        <v>275</v>
      </c>
      <c r="B34" s="5">
        <v>512</v>
      </c>
      <c r="C34" s="2" t="s">
        <v>641</v>
      </c>
      <c r="D34" s="5" t="s">
        <v>642</v>
      </c>
      <c r="E34" s="5">
        <f>LEN(Table3[[#This Row],[NAME1]])</f>
        <v>6</v>
      </c>
      <c r="F34" s="5">
        <f>VLOOKUP(Table3[[#This Row],[NAME1]], [1]Sheet1!$1:$1048576, 4, 0)</f>
        <v>6</v>
      </c>
      <c r="G34" s="5">
        <f>VLOOKUP(Table3[[#This Row],[NAME1]], [1]Sheet1!$1:$1048576, 5, 9)</f>
        <v>3</v>
      </c>
      <c r="H34" s="5"/>
      <c r="I34" s="5"/>
      <c r="J34" s="5">
        <v>0.29980251299999999</v>
      </c>
      <c r="K34" s="9">
        <v>94.680851059999995</v>
      </c>
      <c r="L34" s="5">
        <v>94</v>
      </c>
      <c r="M34" s="5">
        <v>2</v>
      </c>
      <c r="N34" s="5">
        <v>3</v>
      </c>
      <c r="O34" s="5">
        <v>3</v>
      </c>
      <c r="P34" s="9">
        <v>2.09</v>
      </c>
    </row>
    <row r="35" spans="1:16" x14ac:dyDescent="0.3">
      <c r="A35" s="16">
        <v>286</v>
      </c>
      <c r="B35" s="5">
        <v>288</v>
      </c>
      <c r="C35" s="2" t="s">
        <v>363</v>
      </c>
      <c r="D35" s="5" t="s">
        <v>364</v>
      </c>
      <c r="E35" s="5">
        <f>LEN(Table3[[#This Row],[NAME1]])</f>
        <v>6</v>
      </c>
      <c r="F35" s="5">
        <f>VLOOKUP(Table3[[#This Row],[NAME1]], [1]Sheet1!$1:$1048576, 4, 0)</f>
        <v>6</v>
      </c>
      <c r="G35" s="5">
        <f>VLOOKUP(Table3[[#This Row],[NAME1]], [1]Sheet1!$1:$1048576, 5, 9)</f>
        <v>3</v>
      </c>
      <c r="H35" s="5"/>
      <c r="I35" s="5"/>
      <c r="J35" s="5">
        <v>0.32984606999999999</v>
      </c>
      <c r="K35" s="9">
        <v>93.939393940000002</v>
      </c>
      <c r="L35" s="5">
        <v>99</v>
      </c>
      <c r="M35" s="5">
        <v>2</v>
      </c>
      <c r="N35" s="5">
        <v>0</v>
      </c>
      <c r="O35" s="5">
        <v>1</v>
      </c>
      <c r="P35" s="9">
        <v>3.1</v>
      </c>
    </row>
    <row r="36" spans="1:16" x14ac:dyDescent="0.3">
      <c r="A36" s="16">
        <v>298</v>
      </c>
      <c r="B36" s="5">
        <v>54</v>
      </c>
      <c r="C36" s="2" t="s">
        <v>63</v>
      </c>
      <c r="D36" s="5" t="s">
        <v>64</v>
      </c>
      <c r="E36" s="5">
        <f>LEN(Table3[[#This Row],[NAME1]])</f>
        <v>6</v>
      </c>
      <c r="F36" s="5">
        <f>VLOOKUP(Table3[[#This Row],[NAME1]], [1]Sheet1!$1:$1048576, 4, 0)</f>
        <v>6</v>
      </c>
      <c r="G36" s="5">
        <f>VLOOKUP(Table3[[#This Row],[NAME1]], [1]Sheet1!$1:$1048576, 5, 9)</f>
        <v>3</v>
      </c>
      <c r="H36" s="5"/>
      <c r="I36" s="5"/>
      <c r="J36" s="5">
        <v>0.43488961999999998</v>
      </c>
      <c r="K36" s="12">
        <v>93</v>
      </c>
      <c r="L36" s="5">
        <v>100</v>
      </c>
      <c r="M36" s="5">
        <v>3</v>
      </c>
      <c r="N36" s="5">
        <v>0</v>
      </c>
      <c r="O36" s="5">
        <v>0</v>
      </c>
      <c r="P36" s="9">
        <v>1.77</v>
      </c>
    </row>
    <row r="37" spans="1:16" x14ac:dyDescent="0.3">
      <c r="A37" s="16">
        <v>306</v>
      </c>
      <c r="B37" s="5">
        <v>190</v>
      </c>
      <c r="C37" s="2" t="s">
        <v>245</v>
      </c>
      <c r="D37" s="5" t="s">
        <v>246</v>
      </c>
      <c r="E37" s="5">
        <f>LEN(Table3[[#This Row],[NAME1]])</f>
        <v>5</v>
      </c>
      <c r="F37" s="5">
        <f>VLOOKUP(Table3[[#This Row],[NAME1]], [1]Sheet1!$1:$1048576, 4, 0)</f>
        <v>5</v>
      </c>
      <c r="G37" s="5">
        <f>VLOOKUP(Table3[[#This Row],[NAME1]], [1]Sheet1!$1:$1048576, 5, 9)</f>
        <v>3</v>
      </c>
      <c r="H37" s="5"/>
      <c r="I37" s="5"/>
      <c r="J37" s="5">
        <v>0.405020133</v>
      </c>
      <c r="K37" s="9">
        <v>91.919191920000003</v>
      </c>
      <c r="L37" s="5">
        <v>99</v>
      </c>
      <c r="M37" s="5">
        <v>2</v>
      </c>
      <c r="N37" s="5">
        <v>0</v>
      </c>
      <c r="O37" s="5">
        <v>1</v>
      </c>
      <c r="P37" s="9">
        <v>1.42</v>
      </c>
    </row>
    <row r="38" spans="1:16" x14ac:dyDescent="0.3">
      <c r="A38" s="16">
        <v>64</v>
      </c>
      <c r="B38" s="5">
        <v>358</v>
      </c>
      <c r="C38" s="2" t="s">
        <v>452</v>
      </c>
      <c r="D38" s="5" t="s">
        <v>453</v>
      </c>
      <c r="E38" s="5">
        <f>LEN(Table3[[#This Row],[NAME1]])</f>
        <v>6</v>
      </c>
      <c r="F38" s="5">
        <f>VLOOKUP(Table3[[#This Row],[NAME1]], [1]Sheet1!$1:$1048576, 4, 0)</f>
        <v>6</v>
      </c>
      <c r="G38" s="5">
        <f>VLOOKUP(Table3[[#This Row],[NAME1]], [1]Sheet1!$1:$1048576, 5, 9)</f>
        <v>3</v>
      </c>
      <c r="H38" s="5"/>
      <c r="I38" s="5"/>
      <c r="J38" s="5">
        <v>0</v>
      </c>
      <c r="K38" s="12">
        <v>100</v>
      </c>
      <c r="L38" s="5">
        <v>99</v>
      </c>
      <c r="M38" s="5">
        <v>1</v>
      </c>
      <c r="N38" s="5">
        <v>0</v>
      </c>
      <c r="O38" s="5">
        <v>1</v>
      </c>
      <c r="P38" s="9">
        <v>2.44</v>
      </c>
    </row>
    <row r="39" spans="1:16" x14ac:dyDescent="0.3">
      <c r="A39" s="16">
        <v>66</v>
      </c>
      <c r="B39" s="5">
        <v>9</v>
      </c>
      <c r="C39" s="2" t="s">
        <v>15</v>
      </c>
      <c r="D39" s="5" t="s">
        <v>16</v>
      </c>
      <c r="E39" s="5">
        <f>LEN(Table3[[#This Row],[NAME1]])</f>
        <v>6</v>
      </c>
      <c r="F39" s="5">
        <f>VLOOKUP(Table3[[#This Row],[NAME1]], [1]Sheet1!$1:$1048576, 4, 0)</f>
        <v>6</v>
      </c>
      <c r="G39" s="5">
        <f>VLOOKUP(Table3[[#This Row],[NAME1]], [1]Sheet1!$1:$1048576, 5, 9)</f>
        <v>3</v>
      </c>
      <c r="H39" s="5"/>
      <c r="I39" s="5"/>
      <c r="J39" s="5">
        <v>0</v>
      </c>
      <c r="K39" s="12">
        <v>100</v>
      </c>
      <c r="L39" s="5">
        <v>100</v>
      </c>
      <c r="M39" s="5">
        <v>1</v>
      </c>
      <c r="N39" s="5">
        <v>0</v>
      </c>
      <c r="O39" s="5">
        <v>0</v>
      </c>
      <c r="P39" s="9">
        <v>2.6</v>
      </c>
    </row>
    <row r="40" spans="1:16" x14ac:dyDescent="0.3">
      <c r="A40" s="16">
        <v>76</v>
      </c>
      <c r="B40" s="5">
        <v>78</v>
      </c>
      <c r="C40" s="2" t="s">
        <v>98</v>
      </c>
      <c r="D40" s="5" t="s">
        <v>99</v>
      </c>
      <c r="E40" s="5">
        <f>LEN(Table3[[#This Row],[NAME1]])</f>
        <v>6</v>
      </c>
      <c r="F40" s="5">
        <f>VLOOKUP(Table3[[#This Row],[NAME1]], [1]Sheet1!$1:$1048576, 4, 0)</f>
        <v>6</v>
      </c>
      <c r="G40" s="5">
        <f>VLOOKUP(Table3[[#This Row],[NAME1]], [1]Sheet1!$1:$1048576, 5, 9)</f>
        <v>3</v>
      </c>
      <c r="H40" s="5"/>
      <c r="I40" s="5"/>
      <c r="J40" s="5">
        <v>0</v>
      </c>
      <c r="K40" s="12">
        <v>100</v>
      </c>
      <c r="L40" s="5">
        <v>100</v>
      </c>
      <c r="M40" s="5">
        <v>1</v>
      </c>
      <c r="N40" s="5">
        <v>0</v>
      </c>
      <c r="O40" s="5">
        <v>0</v>
      </c>
      <c r="P40" s="9">
        <v>1.7979797980000001</v>
      </c>
    </row>
    <row r="41" spans="1:16" x14ac:dyDescent="0.3">
      <c r="A41" s="16">
        <v>82</v>
      </c>
      <c r="B41" s="5">
        <v>707</v>
      </c>
      <c r="C41" s="2" t="s">
        <v>873</v>
      </c>
      <c r="D41" s="5" t="s">
        <v>874</v>
      </c>
      <c r="E41" s="5">
        <f>LEN(Table3[[#This Row],[NAME1]])</f>
        <v>7</v>
      </c>
      <c r="F41" s="5">
        <f>VLOOKUP(Table3[[#This Row],[NAME1]], [1]Sheet1!$1:$1048576, 4, 0)</f>
        <v>7</v>
      </c>
      <c r="G41" s="5">
        <f>VLOOKUP(Table3[[#This Row],[NAME1]], [1]Sheet1!$1:$1048576, 5, 9)</f>
        <v>3</v>
      </c>
      <c r="H41" s="5"/>
      <c r="I41" s="5"/>
      <c r="J41" s="5">
        <v>0</v>
      </c>
      <c r="K41" s="12">
        <v>100</v>
      </c>
      <c r="L41" s="5">
        <v>100</v>
      </c>
      <c r="M41" s="5">
        <v>1</v>
      </c>
      <c r="N41" s="5">
        <v>0</v>
      </c>
      <c r="O41" s="5">
        <v>0</v>
      </c>
      <c r="P41" s="9">
        <v>2.71</v>
      </c>
    </row>
    <row r="42" spans="1:16" x14ac:dyDescent="0.3">
      <c r="A42" s="16">
        <v>87</v>
      </c>
      <c r="B42" s="5">
        <v>72</v>
      </c>
      <c r="C42" s="2" t="s">
        <v>90</v>
      </c>
      <c r="D42" s="5" t="s">
        <v>91</v>
      </c>
      <c r="E42" s="5">
        <f>LEN(Table3[[#This Row],[NAME1]])</f>
        <v>6</v>
      </c>
      <c r="F42" s="5">
        <f>VLOOKUP(Table3[[#This Row],[NAME1]], [1]Sheet1!$1:$1048576, 4, 0)</f>
        <v>6</v>
      </c>
      <c r="G42" s="5">
        <f>VLOOKUP(Table3[[#This Row],[NAME1]], [1]Sheet1!$1:$1048576, 5, 9)</f>
        <v>3</v>
      </c>
      <c r="H42" s="5"/>
      <c r="I42" s="5"/>
      <c r="J42" s="5">
        <v>0</v>
      </c>
      <c r="K42" s="12">
        <v>100</v>
      </c>
      <c r="L42" s="5">
        <v>100</v>
      </c>
      <c r="M42" s="5">
        <v>1</v>
      </c>
      <c r="N42" s="5">
        <v>0</v>
      </c>
      <c r="O42" s="5">
        <v>0</v>
      </c>
      <c r="P42" s="9">
        <v>2.02</v>
      </c>
    </row>
    <row r="43" spans="1:16" x14ac:dyDescent="0.3">
      <c r="A43" s="16">
        <v>92</v>
      </c>
      <c r="B43" s="5">
        <v>122</v>
      </c>
      <c r="C43" s="2" t="s">
        <v>154</v>
      </c>
      <c r="D43" s="5" t="s">
        <v>155</v>
      </c>
      <c r="E43" s="5">
        <f>LEN(Table3[[#This Row],[NAME1]])</f>
        <v>7</v>
      </c>
      <c r="F43" s="5">
        <f>VLOOKUP(Table3[[#This Row],[NAME1]], [1]Sheet1!$1:$1048576, 4, 0)</f>
        <v>7</v>
      </c>
      <c r="G43" s="5">
        <f>VLOOKUP(Table3[[#This Row],[NAME1]], [1]Sheet1!$1:$1048576, 5, 9)</f>
        <v>3</v>
      </c>
      <c r="H43" s="5"/>
      <c r="I43" s="5"/>
      <c r="J43" s="5">
        <v>0</v>
      </c>
      <c r="K43" s="12">
        <v>100</v>
      </c>
      <c r="L43" s="5">
        <v>100</v>
      </c>
      <c r="M43" s="5">
        <v>1</v>
      </c>
      <c r="N43" s="5">
        <v>0</v>
      </c>
      <c r="O43" s="5">
        <v>0</v>
      </c>
      <c r="P43" s="9">
        <v>2.0299999999999998</v>
      </c>
    </row>
    <row r="44" spans="1:16" x14ac:dyDescent="0.3">
      <c r="A44" s="16">
        <v>247</v>
      </c>
      <c r="B44" s="5">
        <v>406</v>
      </c>
      <c r="C44" s="2" t="s">
        <v>506</v>
      </c>
      <c r="D44" s="5" t="s">
        <v>507</v>
      </c>
      <c r="E44" s="5">
        <f>LEN(Table3[[#This Row],[NAME1]])</f>
        <v>7</v>
      </c>
      <c r="F44" s="5">
        <f>VLOOKUP(Table3[[#This Row],[NAME1]], [1]Sheet1!$1:$1048576, 4, 0)</f>
        <v>7</v>
      </c>
      <c r="G44" s="5">
        <f>VLOOKUP(Table3[[#This Row],[NAME1]], [1]Sheet1!$1:$1048576, 5, 9)</f>
        <v>3</v>
      </c>
      <c r="H44" s="5"/>
      <c r="I44" s="5"/>
      <c r="J44" s="5">
        <v>0.24229218899999999</v>
      </c>
      <c r="K44" s="12">
        <v>96</v>
      </c>
      <c r="L44" s="5">
        <v>100</v>
      </c>
      <c r="M44" s="5">
        <v>2</v>
      </c>
      <c r="N44" s="5">
        <v>0</v>
      </c>
      <c r="O44" s="5">
        <v>0</v>
      </c>
      <c r="P44" s="9">
        <v>3.09</v>
      </c>
    </row>
    <row r="45" spans="1:16" x14ac:dyDescent="0.3">
      <c r="A45" s="16">
        <v>251</v>
      </c>
      <c r="B45" s="5">
        <v>57</v>
      </c>
      <c r="C45" s="2" t="s">
        <v>69</v>
      </c>
      <c r="D45" s="5" t="s">
        <v>70</v>
      </c>
      <c r="E45" s="5">
        <f>LEN(Table3[[#This Row],[NAME1]])</f>
        <v>5</v>
      </c>
      <c r="F45" s="5">
        <f>VLOOKUP(Table3[[#This Row],[NAME1]], [1]Sheet1!$1:$1048576, 4, 0)</f>
        <v>5</v>
      </c>
      <c r="G45" s="5">
        <f>VLOOKUP(Table3[[#This Row],[NAME1]], [1]Sheet1!$1:$1048576, 5, 9)</f>
        <v>3</v>
      </c>
      <c r="H45" s="5"/>
      <c r="I45" s="5"/>
      <c r="J45" s="5">
        <v>0.24414164199999999</v>
      </c>
      <c r="K45" s="9">
        <v>95.959595960000001</v>
      </c>
      <c r="L45" s="5">
        <v>99</v>
      </c>
      <c r="M45" s="5">
        <v>2</v>
      </c>
      <c r="N45" s="5">
        <v>0</v>
      </c>
      <c r="O45" s="5">
        <v>1</v>
      </c>
      <c r="P45" s="9">
        <v>2.35</v>
      </c>
    </row>
    <row r="46" spans="1:16" x14ac:dyDescent="0.3">
      <c r="A46" s="16">
        <v>252</v>
      </c>
      <c r="B46" s="5">
        <v>521</v>
      </c>
      <c r="C46" s="2" t="s">
        <v>657</v>
      </c>
      <c r="D46" s="5" t="s">
        <v>658</v>
      </c>
      <c r="E46" s="5">
        <f>LEN(Table3[[#This Row],[NAME1]])</f>
        <v>4</v>
      </c>
      <c r="F46" s="5">
        <f>VLOOKUP(Table3[[#This Row],[NAME1]], [1]Sheet1!$1:$1048576, 4, 0)</f>
        <v>4</v>
      </c>
      <c r="G46" s="5">
        <f>VLOOKUP(Table3[[#This Row],[NAME1]], [1]Sheet1!$1:$1048576, 5, 9)</f>
        <v>3</v>
      </c>
      <c r="H46" s="5"/>
      <c r="I46" s="5"/>
      <c r="J46" s="5">
        <v>0.24414164199999999</v>
      </c>
      <c r="K46" s="9">
        <v>95.959595960000001</v>
      </c>
      <c r="L46" s="5">
        <v>99</v>
      </c>
      <c r="M46" s="5">
        <v>2</v>
      </c>
      <c r="N46" s="5">
        <v>1</v>
      </c>
      <c r="O46" s="5">
        <v>0</v>
      </c>
      <c r="P46" s="9">
        <v>2.71</v>
      </c>
    </row>
    <row r="47" spans="1:16" x14ac:dyDescent="0.3">
      <c r="A47" s="16">
        <v>302</v>
      </c>
      <c r="B47" s="5">
        <v>668</v>
      </c>
      <c r="C47" s="2" t="s">
        <v>826</v>
      </c>
      <c r="D47" s="5" t="s">
        <v>827</v>
      </c>
      <c r="E47" s="5">
        <f>LEN(Table3[[#This Row],[NAME1]])</f>
        <v>6</v>
      </c>
      <c r="F47" s="5">
        <f>VLOOKUP(Table3[[#This Row],[NAME1]], [1]Sheet1!$1:$1048576, 4, 0)</f>
        <v>6</v>
      </c>
      <c r="G47" s="5">
        <f>VLOOKUP(Table3[[#This Row],[NAME1]], [1]Sheet1!$1:$1048576, 5, 9)</f>
        <v>3</v>
      </c>
      <c r="H47" s="5"/>
      <c r="I47" s="5"/>
      <c r="J47" s="5">
        <v>0.40217919000000002</v>
      </c>
      <c r="K47" s="12">
        <v>92</v>
      </c>
      <c r="L47" s="5">
        <v>100</v>
      </c>
      <c r="M47" s="5">
        <v>2</v>
      </c>
      <c r="N47" s="5">
        <v>0</v>
      </c>
      <c r="O47" s="5">
        <v>0</v>
      </c>
      <c r="P47" s="9">
        <v>2.34</v>
      </c>
    </row>
    <row r="48" spans="1:16" x14ac:dyDescent="0.3">
      <c r="A48" s="16">
        <v>86</v>
      </c>
      <c r="B48" s="5">
        <v>238</v>
      </c>
      <c r="C48" s="2" t="s">
        <v>299</v>
      </c>
      <c r="D48" s="5" t="s">
        <v>300</v>
      </c>
      <c r="E48" s="5">
        <f>LEN(Table3[[#This Row],[NAME1]])</f>
        <v>6</v>
      </c>
      <c r="F48" s="5">
        <f>VLOOKUP(Table3[[#This Row],[NAME1]], [1]Sheet1!$1:$1048576, 4, 0)</f>
        <v>6</v>
      </c>
      <c r="G48" s="5">
        <f>VLOOKUP(Table3[[#This Row],[NAME1]], [1]Sheet1!$1:$1048576, 5, 9)</f>
        <v>3</v>
      </c>
      <c r="H48" s="5"/>
      <c r="I48" s="5"/>
      <c r="J48" s="5">
        <v>0</v>
      </c>
      <c r="K48" s="12">
        <v>100</v>
      </c>
      <c r="L48" s="5">
        <v>100</v>
      </c>
      <c r="M48" s="5">
        <v>1</v>
      </c>
      <c r="N48" s="5">
        <v>0</v>
      </c>
      <c r="O48" s="5">
        <v>0</v>
      </c>
      <c r="P48" s="9">
        <v>1.92</v>
      </c>
    </row>
    <row r="49" spans="1:16" x14ac:dyDescent="0.3">
      <c r="A49" s="16">
        <v>36</v>
      </c>
      <c r="B49" s="5">
        <v>302</v>
      </c>
      <c r="C49" s="2" t="s">
        <v>385</v>
      </c>
      <c r="D49" s="5" t="s">
        <v>386</v>
      </c>
      <c r="E49" s="5">
        <f>LEN(Table3[[#This Row],[NAME1]])</f>
        <v>4</v>
      </c>
      <c r="F49" s="5">
        <f>VLOOKUP(Table3[[#This Row],[NAME1]], [1]Sheet1!$1:$1048576, 4, 0)</f>
        <v>4</v>
      </c>
      <c r="G49" s="5">
        <f>VLOOKUP(Table3[[#This Row],[NAME1]], [1]Sheet1!$1:$1048576, 5, 9)</f>
        <v>3</v>
      </c>
      <c r="H49" s="5"/>
      <c r="I49" s="5"/>
      <c r="J49" s="5">
        <v>0</v>
      </c>
      <c r="K49" s="12">
        <v>100</v>
      </c>
      <c r="L49" s="5">
        <v>99</v>
      </c>
      <c r="M49" s="5">
        <v>1</v>
      </c>
      <c r="N49" s="5">
        <v>0</v>
      </c>
      <c r="O49" s="5">
        <v>1</v>
      </c>
      <c r="P49" s="9">
        <v>2.8</v>
      </c>
    </row>
    <row r="50" spans="1:16" x14ac:dyDescent="0.3">
      <c r="A50" s="16">
        <v>313</v>
      </c>
      <c r="B50" s="5">
        <v>323</v>
      </c>
      <c r="C50" s="2" t="s">
        <v>405</v>
      </c>
      <c r="D50" s="5" t="s">
        <v>406</v>
      </c>
      <c r="E50" s="5">
        <f>LEN(Table3[[#This Row],[NAME1]])</f>
        <v>4</v>
      </c>
      <c r="F50" s="5">
        <f>VLOOKUP(Table3[[#This Row],[NAME1]], [1]Sheet1!$1:$1048576, 4, 0)</f>
        <v>4</v>
      </c>
      <c r="G50" s="5">
        <f>VLOOKUP(Table3[[#This Row],[NAME1]], [1]Sheet1!$1:$1048576, 5, 9)</f>
        <v>3</v>
      </c>
      <c r="H50" s="5"/>
      <c r="I50" s="5"/>
      <c r="J50" s="5">
        <v>0.43646981699999998</v>
      </c>
      <c r="K50" s="12">
        <v>91</v>
      </c>
      <c r="L50" s="5">
        <v>100</v>
      </c>
      <c r="M50" s="5">
        <v>2</v>
      </c>
      <c r="N50" s="5">
        <v>0</v>
      </c>
      <c r="O50" s="5">
        <v>0</v>
      </c>
      <c r="P50" s="9">
        <v>3.2</v>
      </c>
    </row>
    <row r="51" spans="1:16" x14ac:dyDescent="0.3">
      <c r="A51" s="18">
        <v>323</v>
      </c>
      <c r="B51" s="6">
        <v>120</v>
      </c>
      <c r="C51" s="3" t="s">
        <v>150</v>
      </c>
      <c r="D51" s="6" t="s">
        <v>151</v>
      </c>
      <c r="E51" s="6">
        <f>LEN(Table3[[#This Row],[NAME1]])</f>
        <v>5</v>
      </c>
      <c r="F51" s="6">
        <f>VLOOKUP(Table3[[#This Row],[NAME1]], [1]Sheet1!$1:$1048576, 4, 0)</f>
        <v>5</v>
      </c>
      <c r="G51" s="6">
        <f>VLOOKUP(Table3[[#This Row],[NAME1]], [1]Sheet1!$1:$1048576, 5, 9)</f>
        <v>3</v>
      </c>
      <c r="H51" s="6"/>
      <c r="I51" s="6"/>
      <c r="J51" s="6">
        <v>0.54118840300000004</v>
      </c>
      <c r="K51" s="13">
        <v>90</v>
      </c>
      <c r="L51" s="6">
        <v>100</v>
      </c>
      <c r="M51" s="6">
        <v>3</v>
      </c>
      <c r="N51" s="6">
        <v>0</v>
      </c>
      <c r="O51" s="6">
        <v>0</v>
      </c>
      <c r="P51" s="10">
        <v>2.3199999999999998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A36E-DA7C-452E-BEAD-1C91127C4106}">
  <dimension ref="A1:U274"/>
  <sheetViews>
    <sheetView tabSelected="1" topLeftCell="A263" zoomScale="90" zoomScaleNormal="90" workbookViewId="0">
      <selection activeCell="N136" sqref="N136"/>
    </sheetView>
  </sheetViews>
  <sheetFormatPr defaultRowHeight="15.6" x14ac:dyDescent="0.3"/>
  <cols>
    <col min="1" max="1" width="9.09765625" bestFit="1" customWidth="1"/>
    <col min="2" max="2" width="9.09765625" customWidth="1"/>
    <col min="3" max="3" width="11.8984375" bestFit="1" customWidth="1"/>
    <col min="4" max="4" width="18.796875" bestFit="1" customWidth="1"/>
    <col min="5" max="5" width="18.796875" style="7" customWidth="1"/>
    <col min="6" max="6" width="18.69921875" bestFit="1" customWidth="1"/>
    <col min="7" max="7" width="18.69921875" style="24" customWidth="1"/>
    <col min="8" max="8" width="24.69921875" bestFit="1" customWidth="1"/>
    <col min="9" max="9" width="23.3984375" bestFit="1" customWidth="1"/>
    <col min="10" max="10" width="22.5" bestFit="1" customWidth="1"/>
    <col min="11" max="11" width="22.09765625" bestFit="1" customWidth="1"/>
    <col min="12" max="12" width="21.796875" bestFit="1" customWidth="1"/>
    <col min="13" max="13" width="19.59765625" bestFit="1" customWidth="1"/>
    <col min="14" max="14" width="19.59765625" customWidth="1"/>
    <col min="15" max="15" width="12.3984375" bestFit="1" customWidth="1"/>
    <col min="16" max="16" width="30" bestFit="1" customWidth="1"/>
    <col min="17" max="17" width="33" bestFit="1" customWidth="1"/>
    <col min="18" max="18" width="33.5" bestFit="1" customWidth="1"/>
    <col min="19" max="19" width="37.69921875" bestFit="1" customWidth="1"/>
    <col min="20" max="20" width="41.09765625" bestFit="1" customWidth="1"/>
    <col min="21" max="21" width="22.69921875" bestFit="1" customWidth="1"/>
  </cols>
  <sheetData>
    <row r="1" spans="1:21" x14ac:dyDescent="0.3">
      <c r="A1" s="17" t="s">
        <v>944</v>
      </c>
      <c r="B1" s="17" t="s">
        <v>945</v>
      </c>
      <c r="C1" s="20" t="s">
        <v>946</v>
      </c>
      <c r="D1" s="17" t="s">
        <v>947</v>
      </c>
      <c r="E1" s="17" t="s">
        <v>964</v>
      </c>
      <c r="F1" s="17" t="s">
        <v>948</v>
      </c>
      <c r="G1" s="17" t="s">
        <v>965</v>
      </c>
      <c r="H1" s="17" t="s">
        <v>949</v>
      </c>
      <c r="I1" s="17" t="s">
        <v>952</v>
      </c>
      <c r="J1" s="17" t="s">
        <v>953</v>
      </c>
      <c r="K1" s="17" t="s">
        <v>954</v>
      </c>
      <c r="L1" s="21" t="s">
        <v>950</v>
      </c>
      <c r="M1" s="21" t="s">
        <v>951</v>
      </c>
      <c r="N1" s="21" t="s">
        <v>955</v>
      </c>
      <c r="O1" s="21" t="s">
        <v>956</v>
      </c>
      <c r="P1" s="21" t="s">
        <v>959</v>
      </c>
      <c r="Q1" s="17" t="s">
        <v>958</v>
      </c>
      <c r="R1" s="17" t="s">
        <v>957</v>
      </c>
      <c r="S1" s="17" t="s">
        <v>960</v>
      </c>
      <c r="T1" s="17" t="s">
        <v>961</v>
      </c>
      <c r="U1" s="21" t="s">
        <v>962</v>
      </c>
    </row>
    <row r="2" spans="1:21" x14ac:dyDescent="0.3">
      <c r="A2" s="25">
        <v>1</v>
      </c>
      <c r="B2" s="26">
        <v>1</v>
      </c>
      <c r="C2" s="27" t="s">
        <v>11</v>
      </c>
      <c r="D2" s="26" t="s">
        <v>12</v>
      </c>
      <c r="E2" s="22" t="s">
        <v>1102</v>
      </c>
      <c r="F2" s="26" t="str">
        <f>VLOOKUP(Table36[[#This Row],[Picture_no]], [3]ENGLISH.txt!$1:$1048576, 2, 0)</f>
        <v>mouse</v>
      </c>
      <c r="G2" s="22" t="s">
        <v>966</v>
      </c>
      <c r="H2" s="26" t="s">
        <v>929</v>
      </c>
      <c r="I2" s="26">
        <f>LEN(Table36[[#This Row],[Spanish]])</f>
        <v>5</v>
      </c>
      <c r="J2" s="26">
        <f>VLOOKUP(Table36[[#This Row],[Spanish]], [1]Sheet1!$1:$1048576, 4, 0)</f>
        <v>5</v>
      </c>
      <c r="K2" s="26">
        <v>2</v>
      </c>
      <c r="L2" s="28">
        <f>VLOOKUP(Table36[[#This Row],[Spanish]], [2]Sheet1!$1:$1048576, 2, 0)</f>
        <v>8.529026</v>
      </c>
      <c r="M2" s="28" t="str">
        <f>VLOOKUP(Table36[[#This Row],[Spanish]], [2]Sheet1!$1:$1048576, 3, 0)</f>
        <v>0.979049</v>
      </c>
      <c r="N2" s="28">
        <f>VLOOKUP(Table36[[#This Row],[Spanish]], [2]Sheet1!$1:$1048576, 6, 0)</f>
        <v>6.2130000000000001</v>
      </c>
      <c r="O2" s="28">
        <v>0.28853851400000002</v>
      </c>
      <c r="P2" s="28">
        <v>94.949494950000002</v>
      </c>
      <c r="Q2" s="26">
        <v>99</v>
      </c>
      <c r="R2" s="26">
        <v>2</v>
      </c>
      <c r="S2" s="26">
        <v>0</v>
      </c>
      <c r="T2" s="26">
        <v>1</v>
      </c>
      <c r="U2" s="28">
        <v>2.74</v>
      </c>
    </row>
    <row r="3" spans="1:21" x14ac:dyDescent="0.3">
      <c r="A3" s="25">
        <v>2</v>
      </c>
      <c r="B3" s="26">
        <v>8</v>
      </c>
      <c r="C3" s="27" t="s">
        <v>13</v>
      </c>
      <c r="D3" s="26" t="s">
        <v>14</v>
      </c>
      <c r="E3" s="22" t="s">
        <v>1103</v>
      </c>
      <c r="F3" s="26" t="str">
        <f>VLOOKUP(Table36[[#This Row],[Picture_no]], [3]ENGLISH.txt!$1:$1048576, 2, 0)</f>
        <v>leg</v>
      </c>
      <c r="G3" s="22" t="s">
        <v>967</v>
      </c>
      <c r="H3" s="26" t="s">
        <v>930</v>
      </c>
      <c r="I3" s="26">
        <f>LEN(Table36[[#This Row],[Spanish]])</f>
        <v>6</v>
      </c>
      <c r="J3" s="26">
        <f>VLOOKUP(Table36[[#This Row],[Spanish]], [1]Sheet1!$1:$1048576, 4, 0)</f>
        <v>6</v>
      </c>
      <c r="K3" s="26">
        <f>VLOOKUP(Table36[[#This Row],[Spanish]], [1]Sheet1!$1:$1048576, 5, 9)</f>
        <v>3</v>
      </c>
      <c r="L3" s="28">
        <f>VLOOKUP(Table36[[#This Row],[Spanish]], [2]Sheet1!$1:$1048576, 2, 0)</f>
        <v>15.72265</v>
      </c>
      <c r="M3" s="28">
        <f>VLOOKUP(Table36[[#This Row],[Spanish]], [2]Sheet1!$1:$1048576, 3, 0)</f>
        <v>1.2233050000000001</v>
      </c>
      <c r="N3" s="28">
        <f>VLOOKUP(Table36[[#This Row],[Spanish]], [2]Sheet1!$1:$1048576, 6, 0)</f>
        <v>5.8680000000000003</v>
      </c>
      <c r="O3" s="28">
        <v>0.327444919</v>
      </c>
      <c r="P3" s="29">
        <v>94</v>
      </c>
      <c r="Q3" s="26">
        <v>100</v>
      </c>
      <c r="R3" s="26">
        <v>2</v>
      </c>
      <c r="S3" s="26">
        <v>0</v>
      </c>
      <c r="T3" s="26">
        <v>0</v>
      </c>
      <c r="U3" s="28">
        <v>1.99</v>
      </c>
    </row>
    <row r="4" spans="1:21" x14ac:dyDescent="0.3">
      <c r="A4" s="25">
        <v>3</v>
      </c>
      <c r="B4" s="26">
        <v>12</v>
      </c>
      <c r="C4" s="27" t="s">
        <v>17</v>
      </c>
      <c r="D4" s="26" t="s">
        <v>18</v>
      </c>
      <c r="E4" s="22" t="s">
        <v>1104</v>
      </c>
      <c r="F4" s="26" t="str">
        <f>VLOOKUP(Table36[[#This Row],[Picture_no]], [3]ENGLISH.txt!$1:$1048576, 2, 0)</f>
        <v>mermaid</v>
      </c>
      <c r="G4" s="22" t="s">
        <v>1105</v>
      </c>
      <c r="H4" s="26" t="s">
        <v>931</v>
      </c>
      <c r="I4" s="26">
        <f>LEN(Table36[[#This Row],[Spanish]])</f>
        <v>6</v>
      </c>
      <c r="J4" s="26">
        <f>VLOOKUP(Table36[[#This Row],[Spanish]], [1]Sheet1!$1:$1048576, 4, 0)</f>
        <v>6</v>
      </c>
      <c r="K4" s="26">
        <v>3</v>
      </c>
      <c r="L4" s="28">
        <f>VLOOKUP(Table36[[#This Row],[Spanish]], [2]Sheet1!$1:$1048576, 2, 0)</f>
        <v>3.7917610000000002</v>
      </c>
      <c r="M4" s="28" t="str">
        <f>VLOOKUP(Table36[[#This Row],[Spanish]], [2]Sheet1!$1:$1048576, 3, 0)</f>
        <v>0.680495</v>
      </c>
      <c r="N4" s="28">
        <f>VLOOKUP(Table36[[#This Row],[Spanish]], [2]Sheet1!$1:$1048576, 6, 0)</f>
        <v>5.8810000000000002</v>
      </c>
      <c r="O4" s="29">
        <v>0</v>
      </c>
      <c r="P4" s="29">
        <v>100</v>
      </c>
      <c r="Q4" s="26">
        <v>100</v>
      </c>
      <c r="R4" s="26">
        <v>1</v>
      </c>
      <c r="S4" s="26">
        <v>0</v>
      </c>
      <c r="T4" s="26">
        <v>0</v>
      </c>
      <c r="U4" s="28">
        <v>2.48</v>
      </c>
    </row>
    <row r="5" spans="1:21" x14ac:dyDescent="0.3">
      <c r="A5" s="25">
        <v>4</v>
      </c>
      <c r="B5" s="26">
        <v>15</v>
      </c>
      <c r="C5" s="27" t="s">
        <v>19</v>
      </c>
      <c r="D5" s="30" t="s">
        <v>20</v>
      </c>
      <c r="E5" s="22" t="s">
        <v>1106</v>
      </c>
      <c r="F5" s="30" t="str">
        <f>VLOOKUP(Table36[[#This Row],[Picture_no]], [3]ENGLISH.txt!$1:$1048576, 2, 0)</f>
        <v>lion</v>
      </c>
      <c r="G5" s="22" t="s">
        <v>1107</v>
      </c>
      <c r="H5" s="26" t="s">
        <v>929</v>
      </c>
      <c r="I5" s="26">
        <f>LEN(Table36[[#This Row],[Spanish]])</f>
        <v>4</v>
      </c>
      <c r="J5" s="26">
        <f>VLOOKUP(Table36[[#This Row],[Spanish]], [1]Sheet1!$1:$1048576, 4, 0)</f>
        <v>4</v>
      </c>
      <c r="K5" s="26">
        <f>VLOOKUP(Table36[[#This Row],[Spanish]], [1]Sheet1!$1:$1048576, 5, 9)</f>
        <v>2</v>
      </c>
      <c r="L5" s="28">
        <f>VLOOKUP(Table36[[#This Row],[Spanish]], [2]Sheet1!$1:$1048576, 2, 0)</f>
        <v>102.42304</v>
      </c>
      <c r="M5" s="28">
        <f>VLOOKUP(Table36[[#This Row],[Spanish]], [2]Sheet1!$1:$1048576, 3, 0)</f>
        <v>2.0146169999999999</v>
      </c>
      <c r="N5" s="28">
        <f>VLOOKUP(Table36[[#This Row],[Spanish]], [2]Sheet1!$1:$1048576, 6, 0)</f>
        <v>6.7629999999999999</v>
      </c>
      <c r="O5" s="29">
        <v>0</v>
      </c>
      <c r="P5" s="29">
        <v>100</v>
      </c>
      <c r="Q5" s="26">
        <v>100</v>
      </c>
      <c r="R5" s="26">
        <v>1</v>
      </c>
      <c r="S5" s="26">
        <v>0</v>
      </c>
      <c r="T5" s="26">
        <v>0</v>
      </c>
      <c r="U5" s="28">
        <v>2.8</v>
      </c>
    </row>
    <row r="6" spans="1:21" x14ac:dyDescent="0.3">
      <c r="A6" s="25">
        <v>5</v>
      </c>
      <c r="B6" s="26">
        <v>16</v>
      </c>
      <c r="C6" s="27" t="s">
        <v>21</v>
      </c>
      <c r="D6" s="26" t="s">
        <v>22</v>
      </c>
      <c r="E6" s="22" t="s">
        <v>1451</v>
      </c>
      <c r="F6" s="26" t="str">
        <f>VLOOKUP(Table36[[#This Row],[Picture_no]], [3]ENGLISH.txt!$1:$1048576, 2, 0)</f>
        <v>hunter</v>
      </c>
      <c r="G6" s="22" t="s">
        <v>1108</v>
      </c>
      <c r="H6" s="26" t="s">
        <v>943</v>
      </c>
      <c r="I6" s="26">
        <f>LEN(Table36[[#This Row],[Spanish]])</f>
        <v>7</v>
      </c>
      <c r="J6" s="26">
        <f>VLOOKUP(Table36[[#This Row],[Spanish]], [1]Sheet1!$1:$1048576, 4, 0)</f>
        <v>7</v>
      </c>
      <c r="K6" s="26">
        <f>VLOOKUP(Table36[[#This Row],[Spanish]], [1]Sheet1!$1:$1048576, 5, 9)</f>
        <v>2</v>
      </c>
      <c r="L6" s="28">
        <f>VLOOKUP(Table36[[#This Row],[Spanish]], [2]Sheet1!$1:$1048576, 2, 0)</f>
        <v>10.27707</v>
      </c>
      <c r="M6" s="28">
        <f>VLOOKUP(Table36[[#This Row],[Spanish]], [2]Sheet1!$1:$1048576, 3, 0)</f>
        <v>1.0521959999999999</v>
      </c>
      <c r="N6" s="28">
        <f>VLOOKUP(Table36[[#This Row],[Spanish]], [2]Sheet1!$1:$1048576, 6, 0)</f>
        <v>5.5119999999999996</v>
      </c>
      <c r="O6" s="29">
        <v>0</v>
      </c>
      <c r="P6" s="29">
        <v>100</v>
      </c>
      <c r="Q6" s="26">
        <v>99</v>
      </c>
      <c r="R6" s="26">
        <v>1</v>
      </c>
      <c r="S6" s="26">
        <v>0</v>
      </c>
      <c r="T6" s="26">
        <v>1</v>
      </c>
      <c r="U6" s="28">
        <v>3.17</v>
      </c>
    </row>
    <row r="7" spans="1:21" x14ac:dyDescent="0.3">
      <c r="A7" s="25">
        <v>6</v>
      </c>
      <c r="B7" s="26">
        <v>19</v>
      </c>
      <c r="C7" s="27" t="s">
        <v>23</v>
      </c>
      <c r="D7" s="26" t="s">
        <v>24</v>
      </c>
      <c r="E7" s="22" t="s">
        <v>1109</v>
      </c>
      <c r="F7" s="26" t="str">
        <f>VLOOKUP(Table36[[#This Row],[Picture_no]], [3]ENGLISH.txt!$1:$1048576, 2, 0)</f>
        <v>turkey</v>
      </c>
      <c r="G7" s="22" t="s">
        <v>1110</v>
      </c>
      <c r="H7" s="26" t="s">
        <v>929</v>
      </c>
      <c r="I7" s="26">
        <f>LEN(Table36[[#This Row],[Spanish]])</f>
        <v>4</v>
      </c>
      <c r="J7" s="26">
        <f>VLOOKUP(Table36[[#This Row],[Spanish]], [1]Sheet1!$1:$1048576, 4, 0)</f>
        <v>4</v>
      </c>
      <c r="K7" s="26">
        <f>VLOOKUP(Table36[[#This Row],[Spanish]], [1]Sheet1!$1:$1048576, 5, 9)</f>
        <v>3</v>
      </c>
      <c r="L7" s="28">
        <f>VLOOKUP(Table36[[#This Row],[Spanish]], [2]Sheet1!$1:$1048576, 2, 0)</f>
        <v>14.192299</v>
      </c>
      <c r="M7" s="28">
        <f>VLOOKUP(Table36[[#This Row],[Spanish]], [2]Sheet1!$1:$1048576, 3, 0)</f>
        <v>1.1816230000000001</v>
      </c>
      <c r="N7" s="28">
        <f>VLOOKUP(Table36[[#This Row],[Spanish]], [2]Sheet1!$1:$1048576, 6, 0)</f>
        <v>4.6580000000000004</v>
      </c>
      <c r="O7" s="28">
        <v>0.34297895099999998</v>
      </c>
      <c r="P7" s="28">
        <v>94.845360819999996</v>
      </c>
      <c r="Q7" s="26">
        <v>97</v>
      </c>
      <c r="R7" s="26">
        <v>3</v>
      </c>
      <c r="S7" s="26">
        <v>2</v>
      </c>
      <c r="T7" s="26">
        <v>1</v>
      </c>
      <c r="U7" s="28">
        <v>3.51</v>
      </c>
    </row>
    <row r="8" spans="1:21" x14ac:dyDescent="0.3">
      <c r="A8" s="25">
        <v>7</v>
      </c>
      <c r="B8" s="26">
        <v>30</v>
      </c>
      <c r="C8" s="27" t="s">
        <v>35</v>
      </c>
      <c r="D8" s="26" t="s">
        <v>36</v>
      </c>
      <c r="E8" s="22" t="s">
        <v>1111</v>
      </c>
      <c r="F8" s="26" t="str">
        <f>VLOOKUP(Table36[[#This Row],[Picture_no]], [3]ENGLISH.txt!$1:$1048576, 2, 0)</f>
        <v>farm</v>
      </c>
      <c r="G8" s="22" t="s">
        <v>968</v>
      </c>
      <c r="H8" s="26" t="s">
        <v>932</v>
      </c>
      <c r="I8" s="26">
        <f>LEN(Table36[[#This Row],[Spanish]])</f>
        <v>6</v>
      </c>
      <c r="J8" s="26">
        <f>VLOOKUP(Table36[[#This Row],[Spanish]], [1]Sheet1!$1:$1048576, 4, 0)</f>
        <v>6</v>
      </c>
      <c r="K8" s="26">
        <f>VLOOKUP(Table36[[#This Row],[Spanish]], [1]Sheet1!$1:$1048576, 5, 9)</f>
        <v>2</v>
      </c>
      <c r="L8" s="28">
        <f>VLOOKUP(Table36[[#This Row],[Spanish]], [2]Sheet1!$1:$1048576, 2, 0)</f>
        <v>11.118601</v>
      </c>
      <c r="M8" s="28">
        <f>VLOOKUP(Table36[[#This Row],[Spanish]], [2]Sheet1!$1:$1048576, 3, 0)</f>
        <v>1.0834520000000001</v>
      </c>
      <c r="N8" s="28">
        <f>VLOOKUP(Table36[[#This Row],[Spanish]], [2]Sheet1!$1:$1048576, 6, 0)</f>
        <v>4.9930000000000003</v>
      </c>
      <c r="O8" s="28">
        <v>0.39156941699999998</v>
      </c>
      <c r="P8" s="28">
        <v>93.81443299</v>
      </c>
      <c r="Q8" s="26">
        <v>97</v>
      </c>
      <c r="R8" s="26">
        <v>3</v>
      </c>
      <c r="S8" s="26">
        <v>0</v>
      </c>
      <c r="T8" s="26">
        <v>3</v>
      </c>
      <c r="U8" s="28">
        <v>3.56</v>
      </c>
    </row>
    <row r="9" spans="1:21" x14ac:dyDescent="0.3">
      <c r="A9" s="25">
        <v>8</v>
      </c>
      <c r="B9" s="26">
        <v>31</v>
      </c>
      <c r="C9" s="27" t="s">
        <v>37</v>
      </c>
      <c r="D9" s="26" t="s">
        <v>38</v>
      </c>
      <c r="E9" s="22" t="s">
        <v>1112</v>
      </c>
      <c r="F9" s="26" t="str">
        <f>VLOOKUP(Table36[[#This Row],[Picture_no]], [3]ENGLISH.txt!$1:$1048576, 2, 0)</f>
        <v>miner</v>
      </c>
      <c r="G9" s="22" t="s">
        <v>1113</v>
      </c>
      <c r="H9" s="26" t="s">
        <v>943</v>
      </c>
      <c r="I9" s="26">
        <f>LEN(Table36[[#This Row],[Spanish]])</f>
        <v>6</v>
      </c>
      <c r="J9" s="26">
        <f>VLOOKUP(Table36[[#This Row],[Spanish]], [1]Sheet1!$1:$1048576, 4, 0)</f>
        <v>6</v>
      </c>
      <c r="K9" s="26">
        <f>VLOOKUP(Table36[[#This Row],[Spanish]], [1]Sheet1!$1:$1048576, 5, 9)</f>
        <v>3</v>
      </c>
      <c r="L9" s="28">
        <f>VLOOKUP(Table36[[#This Row],[Spanish]], [2]Sheet1!$1:$1048576, 2, 0)</f>
        <v>5.8094849999999996</v>
      </c>
      <c r="M9" s="28" t="str">
        <f>VLOOKUP(Table36[[#This Row],[Spanish]], [2]Sheet1!$1:$1048576, 3, 0)</f>
        <v>0.833114</v>
      </c>
      <c r="N9" s="28">
        <f>VLOOKUP(Table36[[#This Row],[Spanish]], [2]Sheet1!$1:$1048576, 6, 0)</f>
        <v>5.5609999999999999</v>
      </c>
      <c r="O9" s="29">
        <v>0</v>
      </c>
      <c r="P9" s="29">
        <v>100</v>
      </c>
      <c r="Q9" s="26">
        <v>94</v>
      </c>
      <c r="R9" s="26">
        <v>1</v>
      </c>
      <c r="S9" s="26">
        <v>2</v>
      </c>
      <c r="T9" s="26">
        <v>4</v>
      </c>
      <c r="U9" s="28">
        <v>3.32</v>
      </c>
    </row>
    <row r="10" spans="1:21" x14ac:dyDescent="0.3">
      <c r="A10" s="25">
        <v>9</v>
      </c>
      <c r="B10" s="26">
        <v>32</v>
      </c>
      <c r="C10" s="27" t="s">
        <v>39</v>
      </c>
      <c r="D10" s="30" t="s">
        <v>40</v>
      </c>
      <c r="E10" s="22" t="s">
        <v>1114</v>
      </c>
      <c r="F10" s="30" t="str">
        <f>VLOOKUP(Table36[[#This Row],[Picture_no]], [3]ENGLISH.txt!$1:$1048576, 2, 0)</f>
        <v>crown</v>
      </c>
      <c r="G10" s="22" t="s">
        <v>969</v>
      </c>
      <c r="H10" s="26" t="s">
        <v>933</v>
      </c>
      <c r="I10" s="26">
        <f>LEN(Table36[[#This Row],[Spanish]])</f>
        <v>6</v>
      </c>
      <c r="J10" s="26">
        <f>VLOOKUP(Table36[[#This Row],[Spanish]], [1]Sheet1!$1:$1048576, 4, 0)</f>
        <v>6</v>
      </c>
      <c r="K10" s="26">
        <f>VLOOKUP(Table36[[#This Row],[Spanish]], [1]Sheet1!$1:$1048576, 5, 9)</f>
        <v>3</v>
      </c>
      <c r="L10" s="28">
        <f>VLOOKUP(Table36[[#This Row],[Spanish]], [2]Sheet1!$1:$1048576, 2, 0)</f>
        <v>52.204135999999998</v>
      </c>
      <c r="M10" s="28">
        <f>VLOOKUP(Table36[[#This Row],[Spanish]], [2]Sheet1!$1:$1048576, 3, 0)</f>
        <v>1.7259450000000001</v>
      </c>
      <c r="N10" s="28">
        <f>VLOOKUP(Table36[[#This Row],[Spanish]], [2]Sheet1!$1:$1048576, 6, 0)</f>
        <v>5.5570000000000004</v>
      </c>
      <c r="O10" s="29">
        <v>0</v>
      </c>
      <c r="P10" s="29">
        <v>100</v>
      </c>
      <c r="Q10" s="26">
        <v>100</v>
      </c>
      <c r="R10" s="26">
        <v>1</v>
      </c>
      <c r="S10" s="26">
        <v>0</v>
      </c>
      <c r="T10" s="26">
        <v>0</v>
      </c>
      <c r="U10" s="28">
        <v>3.04</v>
      </c>
    </row>
    <row r="11" spans="1:21" x14ac:dyDescent="0.3">
      <c r="A11" s="25">
        <v>10</v>
      </c>
      <c r="B11" s="26">
        <v>35</v>
      </c>
      <c r="C11" s="27" t="s">
        <v>41</v>
      </c>
      <c r="D11" s="26" t="s">
        <v>42</v>
      </c>
      <c r="E11" s="22" t="s">
        <v>1115</v>
      </c>
      <c r="F11" s="26" t="str">
        <f>VLOOKUP(Table36[[#This Row],[Picture_no]], [3]ENGLISH.txt!$1:$1048576, 2, 0)</f>
        <v>ear</v>
      </c>
      <c r="G11" s="22" t="s">
        <v>970</v>
      </c>
      <c r="H11" s="26" t="s">
        <v>930</v>
      </c>
      <c r="I11" s="26">
        <f>LEN(Table36[[#This Row],[Spanish]])</f>
        <v>5</v>
      </c>
      <c r="J11" s="26">
        <f>VLOOKUP(Table36[[#This Row],[Spanish]], [1]Sheet1!$1:$1048576, 4, 0)</f>
        <v>5</v>
      </c>
      <c r="K11" s="26">
        <f>VLOOKUP(Table36[[#This Row],[Spanish]], [1]Sheet1!$1:$1048576, 5, 9)</f>
        <v>3</v>
      </c>
      <c r="L11" s="28">
        <f>VLOOKUP(Table36[[#This Row],[Spanish]], [2]Sheet1!$1:$1048576, 2, 0)</f>
        <v>21.012270000000001</v>
      </c>
      <c r="M11" s="28">
        <f>VLOOKUP(Table36[[#This Row],[Spanish]], [2]Sheet1!$1:$1048576, 3, 0)</f>
        <v>1.342665</v>
      </c>
      <c r="N11" s="28">
        <f>VLOOKUP(Table36[[#This Row],[Spanish]], [2]Sheet1!$1:$1048576, 6, 0)</f>
        <v>6.4509999999999996</v>
      </c>
      <c r="O11" s="29">
        <v>0</v>
      </c>
      <c r="P11" s="29">
        <v>100</v>
      </c>
      <c r="Q11" s="26">
        <v>99</v>
      </c>
      <c r="R11" s="26">
        <v>1</v>
      </c>
      <c r="S11" s="26">
        <v>0</v>
      </c>
      <c r="T11" s="26">
        <v>1</v>
      </c>
      <c r="U11" s="28">
        <v>2.0707070710000002</v>
      </c>
    </row>
    <row r="12" spans="1:21" x14ac:dyDescent="0.3">
      <c r="A12" s="25">
        <v>11</v>
      </c>
      <c r="B12" s="26">
        <v>37</v>
      </c>
      <c r="C12" s="27" t="s">
        <v>43</v>
      </c>
      <c r="D12" s="30" t="s">
        <v>44</v>
      </c>
      <c r="E12" s="22" t="s">
        <v>44</v>
      </c>
      <c r="F12" s="30" t="str">
        <f>VLOOKUP(Table36[[#This Row],[Picture_no]], [3]ENGLISH.txt!$1:$1048576, 2, 0)</f>
        <v>doughnut</v>
      </c>
      <c r="G12" s="22" t="s">
        <v>1116</v>
      </c>
      <c r="H12" s="26" t="s">
        <v>934</v>
      </c>
      <c r="I12" s="26">
        <f>LEN(Table36[[#This Row],[Spanish]])</f>
        <v>6</v>
      </c>
      <c r="J12" s="26">
        <f>VLOOKUP(Table36[[#This Row],[Spanish]], [1]Sheet1!$1:$1048576, 4, 0)</f>
        <v>6</v>
      </c>
      <c r="K12" s="26">
        <f>VLOOKUP(Table36[[#This Row],[Spanish]], [1]Sheet1!$1:$1048576, 5, 9)</f>
        <v>3</v>
      </c>
      <c r="L12" s="28">
        <f>VLOOKUP(Table36[[#This Row],[Spanish]], [2]Sheet1!$1:$1048576, 2, 0)</f>
        <v>0.27292899999999998</v>
      </c>
      <c r="M12" s="28" t="str">
        <f>VLOOKUP(Table36[[#This Row],[Spanish]], [2]Sheet1!$1:$1048576, 3, 0)</f>
        <v>0.104804</v>
      </c>
      <c r="N12" s="28">
        <f>VLOOKUP(Table36[[#This Row],[Spanish]], [2]Sheet1!$1:$1048576, 6, 0)</f>
        <v>0</v>
      </c>
      <c r="O12" s="28">
        <v>0.46708144000000001</v>
      </c>
      <c r="P12" s="29">
        <v>92</v>
      </c>
      <c r="Q12" s="26">
        <v>100</v>
      </c>
      <c r="R12" s="26">
        <v>3</v>
      </c>
      <c r="S12" s="26">
        <v>0</v>
      </c>
      <c r="T12" s="26">
        <v>0</v>
      </c>
      <c r="U12" s="28">
        <v>2.0699999999999998</v>
      </c>
    </row>
    <row r="13" spans="1:21" x14ac:dyDescent="0.3">
      <c r="A13" s="25">
        <v>12</v>
      </c>
      <c r="B13" s="26">
        <v>38</v>
      </c>
      <c r="C13" s="27" t="s">
        <v>45</v>
      </c>
      <c r="D13" s="26" t="s">
        <v>46</v>
      </c>
      <c r="E13" s="22" t="s">
        <v>1117</v>
      </c>
      <c r="F13" s="26" t="str">
        <f>VLOOKUP(Table36[[#This Row],[Picture_no]], [3]ENGLISH.txt!$1:$1048576, 2, 0)</f>
        <v>spider</v>
      </c>
      <c r="G13" s="22" t="s">
        <v>1118</v>
      </c>
      <c r="H13" s="26" t="s">
        <v>929</v>
      </c>
      <c r="I13" s="26">
        <f>LEN(Table36[[#This Row],[Spanish]])</f>
        <v>5</v>
      </c>
      <c r="J13" s="26">
        <f>VLOOKUP(Table36[[#This Row],[Spanish]], [1]Sheet1!$1:$1048576, 4, 0)</f>
        <v>5</v>
      </c>
      <c r="K13" s="26">
        <v>3</v>
      </c>
      <c r="L13" s="28">
        <f>VLOOKUP(Table36[[#This Row],[Spanish]], [2]Sheet1!$1:$1048576, 2, 0)</f>
        <v>12.125838</v>
      </c>
      <c r="M13" s="28">
        <f>VLOOKUP(Table36[[#This Row],[Spanish]], [2]Sheet1!$1:$1048576, 3, 0)</f>
        <v>1.1181270000000001</v>
      </c>
      <c r="N13" s="28">
        <f>VLOOKUP(Table36[[#This Row],[Spanish]], [2]Sheet1!$1:$1048576, 6, 0)</f>
        <v>6.1429999999999998</v>
      </c>
      <c r="O13" s="29">
        <v>0</v>
      </c>
      <c r="P13" s="29">
        <v>100</v>
      </c>
      <c r="Q13" s="26">
        <v>98</v>
      </c>
      <c r="R13" s="26">
        <v>1</v>
      </c>
      <c r="S13" s="26">
        <v>0</v>
      </c>
      <c r="T13" s="26">
        <v>2</v>
      </c>
      <c r="U13" s="28">
        <v>2.21</v>
      </c>
    </row>
    <row r="14" spans="1:21" x14ac:dyDescent="0.3">
      <c r="A14" s="25">
        <v>13</v>
      </c>
      <c r="B14" s="26">
        <v>40</v>
      </c>
      <c r="C14" s="27" t="s">
        <v>49</v>
      </c>
      <c r="D14" s="26" t="s">
        <v>50</v>
      </c>
      <c r="E14" s="22" t="s">
        <v>1119</v>
      </c>
      <c r="F14" s="26" t="str">
        <f>VLOOKUP(Table36[[#This Row],[Picture_no]], [3]ENGLISH.txt!$1:$1048576, 2, 0)</f>
        <v>clover</v>
      </c>
      <c r="G14" s="22" t="s">
        <v>1120</v>
      </c>
      <c r="H14" s="26" t="s">
        <v>935</v>
      </c>
      <c r="I14" s="26">
        <f>LEN(Table36[[#This Row],[Spanish]])</f>
        <v>6</v>
      </c>
      <c r="J14" s="26">
        <f>VLOOKUP(Table36[[#This Row],[Spanish]], [1]Sheet1!$1:$1048576, 4, 0)</f>
        <v>6</v>
      </c>
      <c r="K14" s="26">
        <v>2</v>
      </c>
      <c r="L14" s="28">
        <f>VLOOKUP(Table36[[#This Row],[Spanish]], [2]Sheet1!$1:$1048576, 2, 0)</f>
        <v>1.527102</v>
      </c>
      <c r="M14" s="28" t="str">
        <f>VLOOKUP(Table36[[#This Row],[Spanish]], [2]Sheet1!$1:$1048576, 3, 0)</f>
        <v>0.402623</v>
      </c>
      <c r="N14" s="28">
        <f>VLOOKUP(Table36[[#This Row],[Spanish]], [2]Sheet1!$1:$1048576, 6, 0)</f>
        <v>0</v>
      </c>
      <c r="O14" s="29">
        <v>0</v>
      </c>
      <c r="P14" s="29">
        <v>100</v>
      </c>
      <c r="Q14" s="26">
        <v>99</v>
      </c>
      <c r="R14" s="26">
        <v>1</v>
      </c>
      <c r="S14" s="26">
        <v>0</v>
      </c>
      <c r="T14" s="26">
        <v>1</v>
      </c>
      <c r="U14" s="28">
        <v>1.79</v>
      </c>
    </row>
    <row r="15" spans="1:21" x14ac:dyDescent="0.3">
      <c r="A15" s="25">
        <v>14</v>
      </c>
      <c r="B15" s="26">
        <v>42</v>
      </c>
      <c r="C15" s="27" t="s">
        <v>51</v>
      </c>
      <c r="D15" s="30" t="s">
        <v>52</v>
      </c>
      <c r="E15" s="22" t="s">
        <v>1121</v>
      </c>
      <c r="F15" s="30" t="str">
        <f>VLOOKUP(Table36[[#This Row],[Picture_no]], [3]ENGLISH.txt!$1:$1048576, 2, 0)</f>
        <v>pear</v>
      </c>
      <c r="G15" s="22" t="s">
        <v>971</v>
      </c>
      <c r="H15" s="26" t="s">
        <v>934</v>
      </c>
      <c r="I15" s="26">
        <f>LEN(Table36[[#This Row],[Spanish]])</f>
        <v>4</v>
      </c>
      <c r="J15" s="26">
        <f>VLOOKUP(Table36[[#This Row],[Spanish]], [1]Sheet1!$1:$1048576, 4, 0)</f>
        <v>4</v>
      </c>
      <c r="K15" s="26">
        <f>VLOOKUP(Table36[[#This Row],[Spanish]], [1]Sheet1!$1:$1048576, 5, 9)</f>
        <v>3</v>
      </c>
      <c r="L15" s="28">
        <f>VLOOKUP(Table36[[#This Row],[Spanish]], [2]Sheet1!$1:$1048576, 2, 0)</f>
        <v>3.5415760000000001</v>
      </c>
      <c r="M15" s="28">
        <f>VLOOKUP(Table36[[#This Row],[Spanish]], [2]Sheet1!$1:$1048576, 3, 0)</f>
        <v>0.65720699999999999</v>
      </c>
      <c r="N15" s="28">
        <f>VLOOKUP(Table36[[#This Row],[Spanish]], [2]Sheet1!$1:$1048576, 6, 0)</f>
        <v>5.548</v>
      </c>
      <c r="O15" s="29">
        <v>0</v>
      </c>
      <c r="P15" s="29">
        <v>100</v>
      </c>
      <c r="Q15" s="26">
        <v>100</v>
      </c>
      <c r="R15" s="26">
        <v>1</v>
      </c>
      <c r="S15" s="26">
        <v>0</v>
      </c>
      <c r="T15" s="26">
        <v>0</v>
      </c>
      <c r="U15" s="28">
        <v>1.88</v>
      </c>
    </row>
    <row r="16" spans="1:21" x14ac:dyDescent="0.3">
      <c r="A16" s="25">
        <v>15</v>
      </c>
      <c r="B16" s="26">
        <v>48</v>
      </c>
      <c r="C16" s="27" t="s">
        <v>59</v>
      </c>
      <c r="D16" s="26" t="s">
        <v>60</v>
      </c>
      <c r="E16" s="22" t="s">
        <v>1122</v>
      </c>
      <c r="F16" s="26" t="str">
        <f>VLOOKUP(Table36[[#This Row],[Picture_no]], [3]ENGLISH.txt!$1:$1048576, 2, 0)</f>
        <v>fireman</v>
      </c>
      <c r="G16" s="22" t="s">
        <v>1123</v>
      </c>
      <c r="H16" s="26" t="s">
        <v>943</v>
      </c>
      <c r="I16" s="26">
        <f>LEN(Table36[[#This Row],[Spanish]])</f>
        <v>7</v>
      </c>
      <c r="J16" s="26">
        <f>VLOOKUP(Table36[[#This Row],[Spanish]], [1]Sheet1!$1:$1048576, 4, 0)</f>
        <v>7</v>
      </c>
      <c r="K16" s="26">
        <f>VLOOKUP(Table36[[#This Row],[Spanish]], [1]Sheet1!$1:$1048576, 5, 9)</f>
        <v>2</v>
      </c>
      <c r="L16" s="28">
        <f>VLOOKUP(Table36[[#This Row],[Spanish]], [2]Sheet1!$1:$1048576, 2, 0)</f>
        <v>1.445873</v>
      </c>
      <c r="M16" s="28" t="str">
        <f>VLOOKUP(Table36[[#This Row],[Spanish]], [2]Sheet1!$1:$1048576, 3, 0)</f>
        <v>0.388434</v>
      </c>
      <c r="N16" s="28">
        <f>VLOOKUP(Table36[[#This Row],[Spanish]], [2]Sheet1!$1:$1048576, 6, 0)</f>
        <v>0</v>
      </c>
      <c r="O16" s="29">
        <v>0</v>
      </c>
      <c r="P16" s="29">
        <v>100</v>
      </c>
      <c r="Q16" s="26">
        <v>100</v>
      </c>
      <c r="R16" s="26">
        <v>1</v>
      </c>
      <c r="S16" s="26">
        <v>0</v>
      </c>
      <c r="T16" s="26">
        <v>0</v>
      </c>
      <c r="U16" s="28">
        <v>2.73</v>
      </c>
    </row>
    <row r="17" spans="1:21" x14ac:dyDescent="0.3">
      <c r="A17" s="25">
        <v>16</v>
      </c>
      <c r="B17" s="26">
        <v>53</v>
      </c>
      <c r="C17" s="27" t="s">
        <v>61</v>
      </c>
      <c r="D17" s="26" t="s">
        <v>62</v>
      </c>
      <c r="E17" s="22" t="s">
        <v>62</v>
      </c>
      <c r="F17" s="26" t="str">
        <f>VLOOKUP(Table36[[#This Row],[Picture_no]], [3]ENGLISH.txt!$1:$1048576, 2, 0)</f>
        <v>bag</v>
      </c>
      <c r="G17" s="22" t="s">
        <v>972</v>
      </c>
      <c r="H17" s="26" t="s">
        <v>933</v>
      </c>
      <c r="I17" s="26">
        <f>LEN(Table36[[#This Row],[Spanish]])</f>
        <v>5</v>
      </c>
      <c r="J17" s="26">
        <f>VLOOKUP(Table36[[#This Row],[Spanish]], [1]Sheet1!$1:$1048576, 4, 0)</f>
        <v>5</v>
      </c>
      <c r="K17" s="26">
        <f>VLOOKUP(Table36[[#This Row],[Spanish]], [1]Sheet1!$1:$1048576, 5, 9)</f>
        <v>2</v>
      </c>
      <c r="L17" s="28">
        <f>VLOOKUP(Table36[[#This Row],[Spanish]], [2]Sheet1!$1:$1048576, 2, 0)</f>
        <v>54.780714000000003</v>
      </c>
      <c r="M17" s="28">
        <f>VLOOKUP(Table36[[#This Row],[Spanish]], [2]Sheet1!$1:$1048576, 3, 0)</f>
        <v>1.7464839999999999</v>
      </c>
      <c r="N17" s="28">
        <f>VLOOKUP(Table36[[#This Row],[Spanish]], [2]Sheet1!$1:$1048576, 6, 0)</f>
        <v>5.0350000000000001</v>
      </c>
      <c r="O17" s="29">
        <v>0</v>
      </c>
      <c r="P17" s="29">
        <v>100</v>
      </c>
      <c r="Q17" s="26">
        <v>100</v>
      </c>
      <c r="R17" s="26">
        <v>1</v>
      </c>
      <c r="S17" s="26">
        <v>0</v>
      </c>
      <c r="T17" s="26">
        <v>0</v>
      </c>
      <c r="U17" s="28">
        <v>1.63</v>
      </c>
    </row>
    <row r="18" spans="1:21" x14ac:dyDescent="0.3">
      <c r="A18" s="25">
        <v>17</v>
      </c>
      <c r="B18" s="26">
        <v>55</v>
      </c>
      <c r="C18" s="27" t="s">
        <v>65</v>
      </c>
      <c r="D18" s="26" t="s">
        <v>66</v>
      </c>
      <c r="E18" s="22" t="s">
        <v>1124</v>
      </c>
      <c r="F18" s="26" t="str">
        <f>VLOOKUP(Table36[[#This Row],[Picture_no]], [3]ENGLISH.txt!$1:$1048576, 2, 0)</f>
        <v>shadow</v>
      </c>
      <c r="G18" s="22" t="s">
        <v>1125</v>
      </c>
      <c r="H18" s="26" t="s">
        <v>936</v>
      </c>
      <c r="I18" s="26">
        <f>LEN(Table36[[#This Row],[Spanish]])</f>
        <v>6</v>
      </c>
      <c r="J18" s="26">
        <f>VLOOKUP(Table36[[#This Row],[Spanish]], [1]Sheet1!$1:$1048576, 4, 0)</f>
        <v>6</v>
      </c>
      <c r="K18" s="26">
        <v>2</v>
      </c>
      <c r="L18" s="28">
        <f>VLOOKUP(Table36[[#This Row],[Spanish]], [2]Sheet1!$1:$1048576, 2, 0)</f>
        <v>47.505862</v>
      </c>
      <c r="M18" s="28">
        <f>VLOOKUP(Table36[[#This Row],[Spanish]], [2]Sheet1!$1:$1048576, 3, 0)</f>
        <v>1.685794</v>
      </c>
      <c r="N18" s="28">
        <f>VLOOKUP(Table36[[#This Row],[Spanish]], [2]Sheet1!$1:$1048576, 6, 0)</f>
        <v>6.0449999999999999</v>
      </c>
      <c r="O18" s="29">
        <v>0</v>
      </c>
      <c r="P18" s="29">
        <v>100</v>
      </c>
      <c r="Q18" s="26">
        <v>100</v>
      </c>
      <c r="R18" s="26">
        <v>1</v>
      </c>
      <c r="S18" s="26">
        <v>0</v>
      </c>
      <c r="T18" s="26">
        <v>0</v>
      </c>
      <c r="U18" s="28">
        <v>1.97</v>
      </c>
    </row>
    <row r="19" spans="1:21" x14ac:dyDescent="0.3">
      <c r="A19" s="25">
        <v>18</v>
      </c>
      <c r="B19" s="26">
        <v>56</v>
      </c>
      <c r="C19" s="27" t="s">
        <v>67</v>
      </c>
      <c r="D19" s="26" t="s">
        <v>68</v>
      </c>
      <c r="E19" s="22" t="s">
        <v>1126</v>
      </c>
      <c r="F19" s="26" t="str">
        <f>VLOOKUP(Table36[[#This Row],[Picture_no]], [3]ENGLISH.txt!$1:$1048576, 2, 0)</f>
        <v>elbow</v>
      </c>
      <c r="G19" s="22" t="s">
        <v>1127</v>
      </c>
      <c r="H19" s="26" t="s">
        <v>930</v>
      </c>
      <c r="I19" s="26">
        <f>LEN(Table36[[#This Row],[Spanish]])</f>
        <v>4</v>
      </c>
      <c r="J19" s="26">
        <f>VLOOKUP(Table36[[#This Row],[Spanish]], [1]Sheet1!$1:$1048576, 4, 0)</f>
        <v>4</v>
      </c>
      <c r="K19" s="26">
        <f>VLOOKUP(Table36[[#This Row],[Spanish]], [1]Sheet1!$1:$1048576, 5, 9)</f>
        <v>3</v>
      </c>
      <c r="L19" s="28">
        <f>VLOOKUP(Table36[[#This Row],[Spanish]], [2]Sheet1!$1:$1048576, 2, 0)</f>
        <v>6.6282709999999998</v>
      </c>
      <c r="M19" s="28">
        <f>VLOOKUP(Table36[[#This Row],[Spanish]], [2]Sheet1!$1:$1048576, 3, 0)</f>
        <v>0.88242600000000004</v>
      </c>
      <c r="N19" s="28">
        <f>VLOOKUP(Table36[[#This Row],[Spanish]], [2]Sheet1!$1:$1048576, 6, 0)</f>
        <v>4.2850000000000001</v>
      </c>
      <c r="O19" s="29">
        <v>0</v>
      </c>
      <c r="P19" s="29">
        <v>100</v>
      </c>
      <c r="Q19" s="26">
        <v>99</v>
      </c>
      <c r="R19" s="26">
        <v>1</v>
      </c>
      <c r="S19" s="26">
        <v>0</v>
      </c>
      <c r="T19" s="26">
        <v>1</v>
      </c>
      <c r="U19" s="28">
        <v>1.91</v>
      </c>
    </row>
    <row r="20" spans="1:21" x14ac:dyDescent="0.3">
      <c r="A20" s="25">
        <v>19</v>
      </c>
      <c r="B20" s="26">
        <v>60</v>
      </c>
      <c r="C20" s="27" t="s">
        <v>74</v>
      </c>
      <c r="D20" s="26" t="s">
        <v>75</v>
      </c>
      <c r="E20" s="22" t="s">
        <v>1452</v>
      </c>
      <c r="F20" s="26" t="str">
        <f>VLOOKUP(Table36[[#This Row],[Picture_no]], [3]ENGLISH.txt!$1:$1048576, 2, 0)</f>
        <v>lumberjack</v>
      </c>
      <c r="G20" s="22" t="s">
        <v>1128</v>
      </c>
      <c r="H20" s="26" t="s">
        <v>943</v>
      </c>
      <c r="I20" s="26">
        <f>LEN(Table36[[#This Row],[Spanish]])</f>
        <v>7</v>
      </c>
      <c r="J20" s="26">
        <f>VLOOKUP(Table36[[#This Row],[Spanish]], [1]Sheet1!$1:$1048576, 4, 0)</f>
        <v>7</v>
      </c>
      <c r="K20" s="26">
        <f>VLOOKUP(Table36[[#This Row],[Spanish]], [1]Sheet1!$1:$1048576, 5, 9)</f>
        <v>3</v>
      </c>
      <c r="L20" s="28">
        <f>VLOOKUP(Table36[[#This Row],[Spanish]], [2]Sheet1!$1:$1048576, 2, 0)</f>
        <v>0.87727100000000002</v>
      </c>
      <c r="M20" s="28" t="str">
        <f>VLOOKUP(Table36[[#This Row],[Spanish]], [2]Sheet1!$1:$1048576, 3, 0)</f>
        <v>0.273527</v>
      </c>
      <c r="N20" s="28">
        <f>VLOOKUP(Table36[[#This Row],[Spanish]], [2]Sheet1!$1:$1048576, 6, 0)</f>
        <v>0</v>
      </c>
      <c r="O20" s="28">
        <v>0.36663735200000003</v>
      </c>
      <c r="P20" s="28">
        <v>94.382022469999995</v>
      </c>
      <c r="Q20" s="26">
        <v>89</v>
      </c>
      <c r="R20" s="26">
        <v>3</v>
      </c>
      <c r="S20" s="26">
        <v>4</v>
      </c>
      <c r="T20" s="26">
        <v>7</v>
      </c>
      <c r="U20" s="28">
        <v>3.16</v>
      </c>
    </row>
    <row r="21" spans="1:21" x14ac:dyDescent="0.3">
      <c r="A21" s="25">
        <v>20</v>
      </c>
      <c r="B21" s="26">
        <v>63</v>
      </c>
      <c r="C21" s="27" t="s">
        <v>78</v>
      </c>
      <c r="D21" s="30" t="s">
        <v>79</v>
      </c>
      <c r="E21" s="22" t="s">
        <v>1129</v>
      </c>
      <c r="F21" s="30" t="str">
        <f>VLOOKUP(Table36[[#This Row],[Picture_no]], [3]ENGLISH.txt!$1:$1048576, 2, 0)</f>
        <v>balcony</v>
      </c>
      <c r="G21" s="22" t="s">
        <v>1130</v>
      </c>
      <c r="H21" s="26" t="s">
        <v>932</v>
      </c>
      <c r="I21" s="26">
        <f>LEN(Table36[[#This Row],[Spanish]])</f>
        <v>6</v>
      </c>
      <c r="J21" s="26">
        <f>VLOOKUP(Table36[[#This Row],[Spanish]], [1]Sheet1!$1:$1048576, 4, 0)</f>
        <v>6</v>
      </c>
      <c r="K21" s="26">
        <f>VLOOKUP(Table36[[#This Row],[Spanish]], [1]Sheet1!$1:$1048576, 5, 9)</f>
        <v>2</v>
      </c>
      <c r="L21" s="28">
        <f>VLOOKUP(Table36[[#This Row],[Spanish]], [2]Sheet1!$1:$1048576, 2, 0)</f>
        <v>9.1918530000000001</v>
      </c>
      <c r="M21" s="28">
        <f>VLOOKUP(Table36[[#This Row],[Spanish]], [2]Sheet1!$1:$1048576, 3, 0)</f>
        <v>1.0082530000000001</v>
      </c>
      <c r="N21" s="28">
        <f>VLOOKUP(Table36[[#This Row],[Spanish]], [2]Sheet1!$1:$1048576, 6, 0)</f>
        <v>6.1760000000000002</v>
      </c>
      <c r="O21" s="28">
        <v>0.40790598</v>
      </c>
      <c r="P21" s="28">
        <v>91.83673469</v>
      </c>
      <c r="Q21" s="26">
        <v>98</v>
      </c>
      <c r="R21" s="26">
        <v>2</v>
      </c>
      <c r="S21" s="26">
        <v>0</v>
      </c>
      <c r="T21" s="26">
        <v>2</v>
      </c>
      <c r="U21" s="28">
        <v>2.58</v>
      </c>
    </row>
    <row r="22" spans="1:21" x14ac:dyDescent="0.3">
      <c r="A22" s="25">
        <v>21</v>
      </c>
      <c r="B22" s="26">
        <v>64</v>
      </c>
      <c r="C22" s="27" t="s">
        <v>80</v>
      </c>
      <c r="D22" s="30" t="s">
        <v>81</v>
      </c>
      <c r="E22" s="22" t="s">
        <v>1131</v>
      </c>
      <c r="F22" s="30" t="str">
        <f>VLOOKUP(Table36[[#This Row],[Picture_no]], [3]ENGLISH.txt!$1:$1048576, 2, 0)</f>
        <v>button</v>
      </c>
      <c r="G22" s="22" t="s">
        <v>1132</v>
      </c>
      <c r="H22" s="26" t="s">
        <v>933</v>
      </c>
      <c r="I22" s="26">
        <f>LEN(Table36[[#This Row],[Spanish]])</f>
        <v>5</v>
      </c>
      <c r="J22" s="26">
        <f>VLOOKUP(Table36[[#This Row],[Spanish]], [1]Sheet1!$1:$1048576, 4, 0)</f>
        <v>5</v>
      </c>
      <c r="K22" s="26">
        <f>VLOOKUP(Table36[[#This Row],[Spanish]], [1]Sheet1!$1:$1048576, 5, 9)</f>
        <v>2</v>
      </c>
      <c r="L22" s="28">
        <f>VLOOKUP(Table36[[#This Row],[Spanish]], [2]Sheet1!$1:$1048576, 2, 0)</f>
        <v>7.8272089999999999</v>
      </c>
      <c r="M22" s="28">
        <f>VLOOKUP(Table36[[#This Row],[Spanish]], [2]Sheet1!$1:$1048576, 3, 0)</f>
        <v>0.94582299999999997</v>
      </c>
      <c r="N22" s="28">
        <f>VLOOKUP(Table36[[#This Row],[Spanish]], [2]Sheet1!$1:$1048576, 6, 0)</f>
        <v>6.5259999999999998</v>
      </c>
      <c r="O22" s="29">
        <v>0</v>
      </c>
      <c r="P22" s="29">
        <v>100</v>
      </c>
      <c r="Q22" s="26">
        <v>98</v>
      </c>
      <c r="R22" s="26">
        <v>1</v>
      </c>
      <c r="S22" s="26">
        <v>1</v>
      </c>
      <c r="T22" s="26">
        <v>1</v>
      </c>
      <c r="U22" s="28">
        <v>1.6</v>
      </c>
    </row>
    <row r="23" spans="1:21" x14ac:dyDescent="0.3">
      <c r="A23" s="25">
        <v>22</v>
      </c>
      <c r="B23" s="26">
        <v>66</v>
      </c>
      <c r="C23" s="27" t="s">
        <v>82</v>
      </c>
      <c r="D23" s="26" t="s">
        <v>83</v>
      </c>
      <c r="E23" s="22" t="s">
        <v>1133</v>
      </c>
      <c r="F23" s="26" t="str">
        <f>VLOOKUP(Table36[[#This Row],[Picture_no]], [3]ENGLISH.txt!$1:$1048576, 2, 0)</f>
        <v>roof</v>
      </c>
      <c r="G23" s="22" t="s">
        <v>973</v>
      </c>
      <c r="H23" s="26" t="s">
        <v>932</v>
      </c>
      <c r="I23" s="26">
        <f>LEN(Table36[[#This Row],[Spanish]])</f>
        <v>6</v>
      </c>
      <c r="J23" s="26">
        <f>VLOOKUP(Table36[[#This Row],[Spanish]], [1]Sheet1!$1:$1048576, 4, 0)</f>
        <v>6</v>
      </c>
      <c r="K23" s="26">
        <v>3</v>
      </c>
      <c r="L23" s="28">
        <f>VLOOKUP(Table36[[#This Row],[Spanish]], [2]Sheet1!$1:$1048576, 2, 0)</f>
        <v>6.2383730000000002</v>
      </c>
      <c r="M23" s="28" t="str">
        <f>VLOOKUP(Table36[[#This Row],[Spanish]], [2]Sheet1!$1:$1048576, 3, 0)</f>
        <v>0.859641</v>
      </c>
      <c r="N23" s="28">
        <f>VLOOKUP(Table36[[#This Row],[Spanish]], [2]Sheet1!$1:$1048576, 6, 0)</f>
        <v>6.1369999999999996</v>
      </c>
      <c r="O23" s="29">
        <v>0</v>
      </c>
      <c r="P23" s="29">
        <v>100</v>
      </c>
      <c r="Q23" s="26">
        <v>98</v>
      </c>
      <c r="R23" s="26">
        <v>1</v>
      </c>
      <c r="S23" s="26">
        <v>0</v>
      </c>
      <c r="T23" s="26">
        <v>2</v>
      </c>
      <c r="U23" s="28">
        <v>2.41</v>
      </c>
    </row>
    <row r="24" spans="1:21" x14ac:dyDescent="0.3">
      <c r="A24" s="25">
        <v>23</v>
      </c>
      <c r="B24" s="26">
        <v>67</v>
      </c>
      <c r="C24" s="27" t="s">
        <v>84</v>
      </c>
      <c r="D24" s="30" t="s">
        <v>85</v>
      </c>
      <c r="E24" s="22" t="s">
        <v>1134</v>
      </c>
      <c r="F24" s="30" t="str">
        <f>VLOOKUP(Table36[[#This Row],[Picture_no]], [3]ENGLISH.txt!$1:$1048576, 2, 0)</f>
        <v>sofa</v>
      </c>
      <c r="G24" s="22" t="s">
        <v>1135</v>
      </c>
      <c r="H24" s="26" t="s">
        <v>937</v>
      </c>
      <c r="I24" s="26">
        <f>LEN(Table36[[#This Row],[Spanish]])</f>
        <v>4</v>
      </c>
      <c r="J24" s="26">
        <f>VLOOKUP(Table36[[#This Row],[Spanish]], [1]Sheet1!$1:$1048576, 4, 0)</f>
        <v>4</v>
      </c>
      <c r="K24" s="26">
        <v>2</v>
      </c>
      <c r="L24" s="28">
        <f>VLOOKUP(Table36[[#This Row],[Spanish]], [2]Sheet1!$1:$1048576, 2, 0)</f>
        <v>6.0889119999999997</v>
      </c>
      <c r="M24" s="28" t="str">
        <f>VLOOKUP(Table36[[#This Row],[Spanish]], [2]Sheet1!$1:$1048576, 3, 0)</f>
        <v>0.850580</v>
      </c>
      <c r="N24" s="28">
        <f>VLOOKUP(Table36[[#This Row],[Spanish]], [2]Sheet1!$1:$1048576, 6, 0)</f>
        <v>6.0759999999999996</v>
      </c>
      <c r="O24" s="28">
        <v>0.36592365100000002</v>
      </c>
      <c r="P24" s="29">
        <v>93</v>
      </c>
      <c r="Q24" s="26">
        <v>100</v>
      </c>
      <c r="R24" s="26">
        <v>2</v>
      </c>
      <c r="S24" s="26">
        <v>0</v>
      </c>
      <c r="T24" s="26">
        <v>0</v>
      </c>
      <c r="U24" s="28">
        <v>1.81</v>
      </c>
    </row>
    <row r="25" spans="1:21" x14ac:dyDescent="0.3">
      <c r="A25" s="25">
        <v>24</v>
      </c>
      <c r="B25" s="26">
        <v>68</v>
      </c>
      <c r="C25" s="27" t="s">
        <v>86</v>
      </c>
      <c r="D25" s="26" t="s">
        <v>87</v>
      </c>
      <c r="E25" s="22" t="s">
        <v>1136</v>
      </c>
      <c r="F25" s="26" t="str">
        <f>VLOOKUP(Table36[[#This Row],[Picture_no]], [3]ENGLISH.txt!$1:$1048576, 2, 0)</f>
        <v>candle</v>
      </c>
      <c r="G25" s="22" t="s">
        <v>1137</v>
      </c>
      <c r="H25" s="26" t="s">
        <v>933</v>
      </c>
      <c r="I25" s="26">
        <f>LEN(Table36[[#This Row],[Spanish]])</f>
        <v>4</v>
      </c>
      <c r="J25" s="26">
        <f>VLOOKUP(Table36[[#This Row],[Spanish]], [1]Sheet1!$1:$1048576, 4, 0)</f>
        <v>4</v>
      </c>
      <c r="K25" s="26">
        <v>2</v>
      </c>
      <c r="L25" s="28">
        <f>VLOOKUP(Table36[[#This Row],[Spanish]], [2]Sheet1!$1:$1048576, 2, 0)</f>
        <v>19.797087000000001</v>
      </c>
      <c r="M25" s="28">
        <f>VLOOKUP(Table36[[#This Row],[Spanish]], [2]Sheet1!$1:$1048576, 3, 0)</f>
        <v>1.318003</v>
      </c>
      <c r="N25" s="28">
        <f>VLOOKUP(Table36[[#This Row],[Spanish]], [2]Sheet1!$1:$1048576, 6, 0)</f>
        <v>5.7809999999999997</v>
      </c>
      <c r="O25" s="29">
        <v>0</v>
      </c>
      <c r="P25" s="29">
        <v>100</v>
      </c>
      <c r="Q25" s="26">
        <v>99</v>
      </c>
      <c r="R25" s="26">
        <v>1</v>
      </c>
      <c r="S25" s="26">
        <v>0</v>
      </c>
      <c r="T25" s="26">
        <v>1</v>
      </c>
      <c r="U25" s="28">
        <v>1.96</v>
      </c>
    </row>
    <row r="26" spans="1:21" x14ac:dyDescent="0.3">
      <c r="A26" s="25">
        <v>25</v>
      </c>
      <c r="B26" s="26">
        <v>69</v>
      </c>
      <c r="C26" s="27" t="s">
        <v>88</v>
      </c>
      <c r="D26" s="26" t="s">
        <v>89</v>
      </c>
      <c r="E26" s="22" t="s">
        <v>1138</v>
      </c>
      <c r="F26" s="26" t="str">
        <f>VLOOKUP(Table36[[#This Row],[Picture_no]], [3]ENGLISH.txt!$1:$1048576, 2, 0)</f>
        <v>banana</v>
      </c>
      <c r="G26" s="22" t="s">
        <v>1139</v>
      </c>
      <c r="H26" s="26" t="s">
        <v>934</v>
      </c>
      <c r="I26" s="26">
        <f>LEN(Table36[[#This Row],[Spanish]])</f>
        <v>7</v>
      </c>
      <c r="J26" s="26">
        <f>VLOOKUP(Table36[[#This Row],[Spanish]], [1]Sheet1!$1:$1048576, 4, 0)</f>
        <v>7</v>
      </c>
      <c r="K26" s="26">
        <f>VLOOKUP(Table36[[#This Row],[Spanish]], [1]Sheet1!$1:$1048576, 5, 9)</f>
        <v>2</v>
      </c>
      <c r="L26" s="28">
        <f>VLOOKUP(Table36[[#This Row],[Spanish]], [2]Sheet1!$1:$1048576, 2, 0)</f>
        <v>6.0921609999999999</v>
      </c>
      <c r="M26" s="28" t="str">
        <f>VLOOKUP(Table36[[#This Row],[Spanish]], [2]Sheet1!$1:$1048576, 3, 0)</f>
        <v>0.850779</v>
      </c>
      <c r="N26" s="28">
        <f>VLOOKUP(Table36[[#This Row],[Spanish]], [2]Sheet1!$1:$1048576, 6, 0)</f>
        <v>0</v>
      </c>
      <c r="O26" s="28">
        <v>0.141440543</v>
      </c>
      <c r="P26" s="29">
        <v>98</v>
      </c>
      <c r="Q26" s="26">
        <v>100</v>
      </c>
      <c r="R26" s="26">
        <v>2</v>
      </c>
      <c r="S26" s="26">
        <v>0</v>
      </c>
      <c r="T26" s="26">
        <v>0</v>
      </c>
      <c r="U26" s="28">
        <v>1.89</v>
      </c>
    </row>
    <row r="27" spans="1:21" x14ac:dyDescent="0.3">
      <c r="A27" s="25">
        <v>26</v>
      </c>
      <c r="B27" s="26">
        <v>74</v>
      </c>
      <c r="C27" s="27" t="s">
        <v>94</v>
      </c>
      <c r="D27" s="30" t="s">
        <v>95</v>
      </c>
      <c r="E27" s="22" t="s">
        <v>1140</v>
      </c>
      <c r="F27" s="30" t="str">
        <f>VLOOKUP(Table36[[#This Row],[Picture_no]], [3]ENGLISH.txt!$1:$1048576, 2, 0)</f>
        <v>tractor</v>
      </c>
      <c r="G27" s="22" t="s">
        <v>1141</v>
      </c>
      <c r="H27" s="26" t="s">
        <v>938</v>
      </c>
      <c r="I27" s="26">
        <f>LEN(Table36[[#This Row],[Spanish]])</f>
        <v>7</v>
      </c>
      <c r="J27" s="26">
        <f>VLOOKUP(Table36[[#This Row],[Spanish]], [1]Sheet1!$1:$1048576, 4, 0)</f>
        <v>7</v>
      </c>
      <c r="K27" s="26">
        <v>2</v>
      </c>
      <c r="L27" s="28">
        <f>VLOOKUP(Table36[[#This Row],[Spanish]], [2]Sheet1!$1:$1048576, 2, 0)</f>
        <v>1.319156</v>
      </c>
      <c r="M27" s="28" t="str">
        <f>VLOOKUP(Table36[[#This Row],[Spanish]], [2]Sheet1!$1:$1048576, 3, 0)</f>
        <v>0.365330</v>
      </c>
      <c r="N27" s="28">
        <f>VLOOKUP(Table36[[#This Row],[Spanish]], [2]Sheet1!$1:$1048576, 6, 0)</f>
        <v>0</v>
      </c>
      <c r="O27" s="29">
        <v>0</v>
      </c>
      <c r="P27" s="29">
        <v>100</v>
      </c>
      <c r="Q27" s="26">
        <v>100</v>
      </c>
      <c r="R27" s="26">
        <v>1</v>
      </c>
      <c r="S27" s="26">
        <v>0</v>
      </c>
      <c r="T27" s="26">
        <v>0</v>
      </c>
      <c r="U27" s="28">
        <v>2.91</v>
      </c>
    </row>
    <row r="28" spans="1:21" x14ac:dyDescent="0.3">
      <c r="A28" s="25">
        <v>27</v>
      </c>
      <c r="B28" s="26">
        <v>75</v>
      </c>
      <c r="C28" s="27" t="s">
        <v>96</v>
      </c>
      <c r="D28" s="26" t="s">
        <v>97</v>
      </c>
      <c r="E28" s="22" t="s">
        <v>1142</v>
      </c>
      <c r="F28" s="26" t="str">
        <f>VLOOKUP(Table36[[#This Row],[Picture_no]], [3]ENGLISH.txt!$1:$1048576, 2, 0)</f>
        <v>balloon</v>
      </c>
      <c r="G28" s="22" t="s">
        <v>1143</v>
      </c>
      <c r="H28" s="26" t="s">
        <v>933</v>
      </c>
      <c r="I28" s="26">
        <f>LEN(Table36[[#This Row],[Spanish]])</f>
        <v>5</v>
      </c>
      <c r="J28" s="26">
        <f>VLOOKUP(Table36[[#This Row],[Spanish]], [1]Sheet1!$1:$1048576, 4, 0)</f>
        <v>5</v>
      </c>
      <c r="K28" s="26">
        <f>VLOOKUP(Table36[[#This Row],[Spanish]], [1]Sheet1!$1:$1048576, 5, 9)</f>
        <v>2</v>
      </c>
      <c r="L28" s="28">
        <f>VLOOKUP(Table36[[#This Row],[Spanish]], [2]Sheet1!$1:$1048576, 2, 0)</f>
        <v>16.944330999999998</v>
      </c>
      <c r="M28" s="28">
        <f>VLOOKUP(Table36[[#This Row],[Spanish]], [2]Sheet1!$1:$1048576, 3, 0)</f>
        <v>1.253927</v>
      </c>
      <c r="N28" s="28">
        <f>VLOOKUP(Table36[[#This Row],[Spanish]], [2]Sheet1!$1:$1048576, 6, 0)</f>
        <v>6.2430000000000003</v>
      </c>
      <c r="O28" s="29">
        <v>0</v>
      </c>
      <c r="P28" s="29">
        <v>100</v>
      </c>
      <c r="Q28" s="26">
        <v>100</v>
      </c>
      <c r="R28" s="26">
        <v>1</v>
      </c>
      <c r="S28" s="26">
        <v>0</v>
      </c>
      <c r="T28" s="26">
        <v>0</v>
      </c>
      <c r="U28" s="28">
        <v>1.43</v>
      </c>
    </row>
    <row r="29" spans="1:21" x14ac:dyDescent="0.3">
      <c r="A29" s="25">
        <v>28</v>
      </c>
      <c r="B29" s="26">
        <v>79</v>
      </c>
      <c r="C29" s="27" t="s">
        <v>100</v>
      </c>
      <c r="D29" s="26" t="s">
        <v>101</v>
      </c>
      <c r="E29" s="22" t="s">
        <v>1144</v>
      </c>
      <c r="F29" s="26" t="str">
        <f>VLOOKUP(Table36[[#This Row],[Picture_no]], [3]ENGLISH.txt!$1:$1048576, 2, 0)</f>
        <v>keyboard</v>
      </c>
      <c r="G29" s="22" t="s">
        <v>1145</v>
      </c>
      <c r="H29" s="26" t="s">
        <v>939</v>
      </c>
      <c r="I29" s="26">
        <f>LEN(Table36[[#This Row],[Spanish]])</f>
        <v>7</v>
      </c>
      <c r="J29" s="26">
        <f>VLOOKUP(Table36[[#This Row],[Spanish]], [1]Sheet1!$1:$1048576, 4, 0)</f>
        <v>7</v>
      </c>
      <c r="K29" s="26">
        <v>3</v>
      </c>
      <c r="L29" s="28">
        <f>VLOOKUP(Table36[[#This Row],[Spanish]], [2]Sheet1!$1:$1048576, 2, 0)</f>
        <v>8.8117020000000004</v>
      </c>
      <c r="M29" s="28" t="str">
        <f>VLOOKUP(Table36[[#This Row],[Spanish]], [2]Sheet1!$1:$1048576, 3, 0)</f>
        <v>0.991744</v>
      </c>
      <c r="N29" s="28">
        <f>VLOOKUP(Table36[[#This Row],[Spanish]], [2]Sheet1!$1:$1048576, 6, 0)</f>
        <v>0</v>
      </c>
      <c r="O29" s="29">
        <v>0</v>
      </c>
      <c r="P29" s="29">
        <v>100</v>
      </c>
      <c r="Q29" s="26">
        <v>98</v>
      </c>
      <c r="R29" s="26">
        <v>1</v>
      </c>
      <c r="S29" s="26">
        <v>0</v>
      </c>
      <c r="T29" s="26">
        <v>2</v>
      </c>
      <c r="U29" s="28">
        <v>1.87</v>
      </c>
    </row>
    <row r="30" spans="1:21" x14ac:dyDescent="0.3">
      <c r="A30" s="25">
        <v>29</v>
      </c>
      <c r="B30" s="26">
        <v>83</v>
      </c>
      <c r="C30" s="27" t="s">
        <v>102</v>
      </c>
      <c r="D30" s="26" t="s">
        <v>103</v>
      </c>
      <c r="E30" s="22" t="s">
        <v>1453</v>
      </c>
      <c r="F30" s="26" t="str">
        <f>VLOOKUP(Table36[[#This Row],[Picture_no]], [3]ENGLISH.txt!$1:$1048576, 2, 0)</f>
        <v>heart</v>
      </c>
      <c r="G30" s="22" t="s">
        <v>974</v>
      </c>
      <c r="H30" s="31" t="s">
        <v>930</v>
      </c>
      <c r="I30" s="26">
        <f>LEN(Table36[[#This Row],[Spanish]])</f>
        <v>7</v>
      </c>
      <c r="J30" s="26">
        <f>VLOOKUP(Table36[[#This Row],[Spanish]], [1]Sheet1!$1:$1048576, 4, 0)</f>
        <v>7</v>
      </c>
      <c r="K30" s="26">
        <f>VLOOKUP(Table36[[#This Row],[Spanish]], [1]Sheet1!$1:$1048576, 5, 9)</f>
        <v>3</v>
      </c>
      <c r="L30" s="28">
        <f>VLOOKUP(Table36[[#This Row],[Spanish]], [2]Sheet1!$1:$1048576, 2, 0)</f>
        <v>148.45703599999999</v>
      </c>
      <c r="M30" s="28">
        <f>VLOOKUP(Table36[[#This Row],[Spanish]], [2]Sheet1!$1:$1048576, 3, 0)</f>
        <v>2.1745160000000001</v>
      </c>
      <c r="N30" s="28">
        <f>VLOOKUP(Table36[[#This Row],[Spanish]], [2]Sheet1!$1:$1048576, 6, 0)</f>
        <v>6.1580000000000004</v>
      </c>
      <c r="O30" s="29">
        <v>0</v>
      </c>
      <c r="P30" s="29">
        <v>100</v>
      </c>
      <c r="Q30" s="26">
        <v>99</v>
      </c>
      <c r="R30" s="26">
        <v>1</v>
      </c>
      <c r="S30" s="26">
        <v>0</v>
      </c>
      <c r="T30" s="26">
        <v>1</v>
      </c>
      <c r="U30" s="28">
        <v>1.21</v>
      </c>
    </row>
    <row r="31" spans="1:21" x14ac:dyDescent="0.3">
      <c r="A31" s="25">
        <v>30</v>
      </c>
      <c r="B31" s="26">
        <v>87</v>
      </c>
      <c r="C31" s="27" t="s">
        <v>108</v>
      </c>
      <c r="D31" s="30" t="s">
        <v>109</v>
      </c>
      <c r="E31" s="22" t="s">
        <v>1146</v>
      </c>
      <c r="F31" s="30" t="str">
        <f>VLOOKUP(Table36[[#This Row],[Picture_no]], [3]ENGLISH.txt!$1:$1048576, 2, 0)</f>
        <v>robot</v>
      </c>
      <c r="G31" s="22" t="s">
        <v>1147</v>
      </c>
      <c r="H31" s="26" t="s">
        <v>933</v>
      </c>
      <c r="I31" s="26">
        <f>LEN(Table36[[#This Row],[Spanish]])</f>
        <v>5</v>
      </c>
      <c r="J31" s="26">
        <f>VLOOKUP(Table36[[#This Row],[Spanish]], [1]Sheet1!$1:$1048576, 4, 0)</f>
        <v>5</v>
      </c>
      <c r="K31" s="26">
        <v>2</v>
      </c>
      <c r="L31" s="28">
        <f>VLOOKUP(Table36[[#This Row],[Spanish]], [2]Sheet1!$1:$1048576, 2, 0)</f>
        <v>9.6922219999999992</v>
      </c>
      <c r="M31" s="28">
        <f>VLOOKUP(Table36[[#This Row],[Spanish]], [2]Sheet1!$1:$1048576, 3, 0)</f>
        <v>1.0290680000000001</v>
      </c>
      <c r="N31" s="28">
        <f>VLOOKUP(Table36[[#This Row],[Spanish]], [2]Sheet1!$1:$1048576, 6, 0)</f>
        <v>6.0990000000000002</v>
      </c>
      <c r="O31" s="29">
        <v>0</v>
      </c>
      <c r="P31" s="29">
        <v>100</v>
      </c>
      <c r="Q31" s="26">
        <v>99</v>
      </c>
      <c r="R31" s="26">
        <v>1</v>
      </c>
      <c r="S31" s="26">
        <v>0</v>
      </c>
      <c r="T31" s="26">
        <v>1</v>
      </c>
      <c r="U31" s="28">
        <v>2.54</v>
      </c>
    </row>
    <row r="32" spans="1:21" x14ac:dyDescent="0.3">
      <c r="A32" s="25">
        <v>31</v>
      </c>
      <c r="B32" s="26">
        <v>88</v>
      </c>
      <c r="C32" s="27" t="s">
        <v>110</v>
      </c>
      <c r="D32" s="26" t="s">
        <v>111</v>
      </c>
      <c r="E32" s="22" t="s">
        <v>111</v>
      </c>
      <c r="F32" s="26" t="str">
        <f>VLOOKUP(Table36[[#This Row],[Picture_no]], [3]ENGLISH.txt!$1:$1048576, 2, 0)</f>
        <v>crutches</v>
      </c>
      <c r="G32" s="22" t="s">
        <v>1148</v>
      </c>
      <c r="H32" s="26" t="s">
        <v>933</v>
      </c>
      <c r="I32" s="26">
        <f>LEN(Table36[[#This Row],[Spanish]])</f>
        <v>6</v>
      </c>
      <c r="J32" s="26">
        <f>VLOOKUP(Table36[[#This Row],[Spanish]], [1]Sheet1!$1:$1048576, 4, 0)</f>
        <v>6</v>
      </c>
      <c r="K32" s="26">
        <f>VLOOKUP(Table36[[#This Row],[Spanish]], [1]Sheet1!$1:$1048576, 5, 9)</f>
        <v>3</v>
      </c>
      <c r="L32" s="28">
        <f>VLOOKUP(Table36[[#This Row],[Spanish]], [2]Sheet1!$1:$1048576, 2, 0)</f>
        <v>3.3043879999999999</v>
      </c>
      <c r="M32" s="28" t="str">
        <f>VLOOKUP(Table36[[#This Row],[Spanish]], [2]Sheet1!$1:$1048576, 3, 0)</f>
        <v>0.633911</v>
      </c>
      <c r="N32" s="28">
        <f>VLOOKUP(Table36[[#This Row],[Spanish]], [2]Sheet1!$1:$1048576, 6, 0)</f>
        <v>0</v>
      </c>
      <c r="O32" s="29">
        <v>0</v>
      </c>
      <c r="P32" s="29">
        <v>100</v>
      </c>
      <c r="Q32" s="26">
        <v>100</v>
      </c>
      <c r="R32" s="26">
        <v>1</v>
      </c>
      <c r="S32" s="26">
        <v>0</v>
      </c>
      <c r="T32" s="26">
        <v>0</v>
      </c>
      <c r="U32" s="28">
        <v>1.65</v>
      </c>
    </row>
    <row r="33" spans="1:21" x14ac:dyDescent="0.3">
      <c r="A33" s="25">
        <v>32</v>
      </c>
      <c r="B33" s="26">
        <v>90</v>
      </c>
      <c r="C33" s="27" t="s">
        <v>114</v>
      </c>
      <c r="D33" s="26" t="s">
        <v>115</v>
      </c>
      <c r="E33" s="22" t="s">
        <v>115</v>
      </c>
      <c r="F33" s="26" t="str">
        <f>VLOOKUP(Table36[[#This Row],[Picture_no]], [3]ENGLISH.txt!$1:$1048576, 2, 0)</f>
        <v>moon</v>
      </c>
      <c r="G33" s="22" t="s">
        <v>975</v>
      </c>
      <c r="H33" s="31" t="s">
        <v>942</v>
      </c>
      <c r="I33" s="26">
        <f>LEN(Table36[[#This Row],[Spanish]])</f>
        <v>4</v>
      </c>
      <c r="J33" s="26">
        <f>VLOOKUP(Table36[[#This Row],[Spanish]], [1]Sheet1!$1:$1048576, 4, 0)</f>
        <v>4</v>
      </c>
      <c r="K33" s="26">
        <f>VLOOKUP(Table36[[#This Row],[Spanish]], [1]Sheet1!$1:$1048576, 5, 9)</f>
        <v>2</v>
      </c>
      <c r="L33" s="28">
        <f>VLOOKUP(Table36[[#This Row],[Spanish]], [2]Sheet1!$1:$1048576, 2, 0)</f>
        <v>67.640861000000001</v>
      </c>
      <c r="M33" s="28">
        <f>VLOOKUP(Table36[[#This Row],[Spanish]], [2]Sheet1!$1:$1048576, 3, 0)</f>
        <v>1.8365830000000001</v>
      </c>
      <c r="N33" s="28">
        <f>VLOOKUP(Table36[[#This Row],[Spanish]], [2]Sheet1!$1:$1048576, 6, 0)</f>
        <v>5.7489999999999997</v>
      </c>
      <c r="O33" s="29">
        <v>0</v>
      </c>
      <c r="P33" s="29">
        <v>100</v>
      </c>
      <c r="Q33" s="26">
        <v>100</v>
      </c>
      <c r="R33" s="26">
        <v>1</v>
      </c>
      <c r="S33" s="26">
        <v>0</v>
      </c>
      <c r="T33" s="26">
        <v>0</v>
      </c>
      <c r="U33" s="28">
        <v>1.24</v>
      </c>
    </row>
    <row r="34" spans="1:21" x14ac:dyDescent="0.3">
      <c r="A34" s="25">
        <v>33</v>
      </c>
      <c r="B34" s="26">
        <v>91</v>
      </c>
      <c r="C34" s="27" t="s">
        <v>116</v>
      </c>
      <c r="D34" s="26" t="s">
        <v>117</v>
      </c>
      <c r="E34" s="22" t="s">
        <v>1149</v>
      </c>
      <c r="F34" s="26" t="str">
        <f>VLOOKUP(Table36[[#This Row],[Picture_no]], [3]ENGLISH.txt!$1:$1048576, 2, 0)</f>
        <v>mouth</v>
      </c>
      <c r="G34" s="7" t="s">
        <v>976</v>
      </c>
      <c r="H34" s="26" t="s">
        <v>930</v>
      </c>
      <c r="I34" s="26">
        <f>LEN(Table36[[#This Row],[Spanish]])</f>
        <v>4</v>
      </c>
      <c r="J34" s="26">
        <f>VLOOKUP(Table36[[#This Row],[Spanish]], [1]Sheet1!$1:$1048576, 4, 0)</f>
        <v>4</v>
      </c>
      <c r="K34" s="26">
        <f>VLOOKUP(Table36[[#This Row],[Spanish]], [1]Sheet1!$1:$1048576, 5, 9)</f>
        <v>2</v>
      </c>
      <c r="L34" s="28">
        <f>VLOOKUP(Table36[[#This Row],[Spanish]], [2]Sheet1!$1:$1048576, 2, 0)</f>
        <v>86.200021000000007</v>
      </c>
      <c r="M34" s="28">
        <f>VLOOKUP(Table36[[#This Row],[Spanish]], [2]Sheet1!$1:$1048576, 3, 0)</f>
        <v>1.940517</v>
      </c>
      <c r="N34" s="28">
        <f>VLOOKUP(Table36[[#This Row],[Spanish]], [2]Sheet1!$1:$1048576, 6, 0)</f>
        <v>6.2229999999999999</v>
      </c>
      <c r="O34" s="28">
        <v>0.38550036300000001</v>
      </c>
      <c r="P34" s="28">
        <v>93.939393940000002</v>
      </c>
      <c r="Q34" s="26">
        <v>99</v>
      </c>
      <c r="R34" s="26">
        <v>3</v>
      </c>
      <c r="S34" s="26">
        <v>0</v>
      </c>
      <c r="T34" s="26">
        <v>1</v>
      </c>
      <c r="U34" s="28">
        <v>2.6969696970000001</v>
      </c>
    </row>
    <row r="35" spans="1:21" x14ac:dyDescent="0.3">
      <c r="A35" s="25">
        <v>34</v>
      </c>
      <c r="B35" s="26">
        <v>92</v>
      </c>
      <c r="C35" s="27" t="s">
        <v>118</v>
      </c>
      <c r="D35" s="26" t="s">
        <v>119</v>
      </c>
      <c r="E35" s="22" t="s">
        <v>1150</v>
      </c>
      <c r="F35" s="26" t="str">
        <f>VLOOKUP(Table36[[#This Row],[Picture_no]], [3]ENGLISH.txt!$1:$1048576, 2, 0)</f>
        <v>seal</v>
      </c>
      <c r="G35" s="22" t="s">
        <v>977</v>
      </c>
      <c r="H35" s="26" t="s">
        <v>929</v>
      </c>
      <c r="I35" s="26">
        <f>LEN(Table36[[#This Row],[Spanish]])</f>
        <v>4</v>
      </c>
      <c r="J35" s="26">
        <f>VLOOKUP(Table36[[#This Row],[Spanish]], [1]Sheet1!$1:$1048576, 4, 0)</f>
        <v>4</v>
      </c>
      <c r="K35" s="26">
        <f>VLOOKUP(Table36[[#This Row],[Spanish]], [1]Sheet1!$1:$1048576, 5, 9)</f>
        <v>2</v>
      </c>
      <c r="L35" s="28">
        <f>VLOOKUP(Table36[[#This Row],[Spanish]], [2]Sheet1!$1:$1048576, 2, 0)</f>
        <v>2.105451</v>
      </c>
      <c r="M35" s="28" t="str">
        <f>VLOOKUP(Table36[[#This Row],[Spanish]], [2]Sheet1!$1:$1048576, 3, 0)</f>
        <v>0.492125</v>
      </c>
      <c r="N35" s="28">
        <f>VLOOKUP(Table36[[#This Row],[Spanish]], [2]Sheet1!$1:$1048576, 6, 0)</f>
        <v>5.899</v>
      </c>
      <c r="O35" s="28">
        <v>0.295181743</v>
      </c>
      <c r="P35" s="28">
        <v>94.791666669999998</v>
      </c>
      <c r="Q35" s="26">
        <v>96</v>
      </c>
      <c r="R35" s="26">
        <v>2</v>
      </c>
      <c r="S35" s="26">
        <v>1</v>
      </c>
      <c r="T35" s="26">
        <v>3</v>
      </c>
      <c r="U35" s="28">
        <v>2.84</v>
      </c>
    </row>
    <row r="36" spans="1:21" x14ac:dyDescent="0.3">
      <c r="A36" s="25">
        <v>35</v>
      </c>
      <c r="B36" s="26">
        <v>95</v>
      </c>
      <c r="C36" s="27" t="s">
        <v>120</v>
      </c>
      <c r="D36" s="26" t="s">
        <v>121</v>
      </c>
      <c r="E36" s="22" t="s">
        <v>121</v>
      </c>
      <c r="F36" s="26" t="str">
        <f>VLOOKUP(Table36[[#This Row],[Picture_no]], [3]ENGLISH.txt!$1:$1048576, 2, 0)</f>
        <v>suitcase</v>
      </c>
      <c r="G36" s="22" t="s">
        <v>1151</v>
      </c>
      <c r="H36" s="26" t="s">
        <v>933</v>
      </c>
      <c r="I36" s="26">
        <f>LEN(Table36[[#This Row],[Spanish]])</f>
        <v>6</v>
      </c>
      <c r="J36" s="26">
        <f>VLOOKUP(Table36[[#This Row],[Spanish]], [1]Sheet1!$1:$1048576, 4, 0)</f>
        <v>6</v>
      </c>
      <c r="K36" s="26">
        <f>VLOOKUP(Table36[[#This Row],[Spanish]], [1]Sheet1!$1:$1048576, 5, 9)</f>
        <v>3</v>
      </c>
      <c r="L36" s="28">
        <f>VLOOKUP(Table36[[#This Row],[Spanish]], [2]Sheet1!$1:$1048576, 2, 0)</f>
        <v>4.4220969999999999</v>
      </c>
      <c r="M36" s="28" t="str">
        <f>VLOOKUP(Table36[[#This Row],[Spanish]], [2]Sheet1!$1:$1048576, 3, 0)</f>
        <v>0.734167</v>
      </c>
      <c r="N36" s="28">
        <f>VLOOKUP(Table36[[#This Row],[Spanish]], [2]Sheet1!$1:$1048576, 6, 0)</f>
        <v>4.87</v>
      </c>
      <c r="O36" s="29">
        <v>0</v>
      </c>
      <c r="P36" s="29">
        <v>100</v>
      </c>
      <c r="Q36" s="26">
        <v>99</v>
      </c>
      <c r="R36" s="26">
        <v>1</v>
      </c>
      <c r="S36" s="26">
        <v>0</v>
      </c>
      <c r="T36" s="26">
        <v>1</v>
      </c>
      <c r="U36" s="28">
        <v>2.1</v>
      </c>
    </row>
    <row r="37" spans="1:21" x14ac:dyDescent="0.3">
      <c r="A37" s="25">
        <v>36</v>
      </c>
      <c r="B37" s="26">
        <v>97</v>
      </c>
      <c r="C37" s="27" t="s">
        <v>122</v>
      </c>
      <c r="D37" s="26" t="s">
        <v>123</v>
      </c>
      <c r="E37" s="22" t="s">
        <v>123</v>
      </c>
      <c r="F37" s="26" t="str">
        <f>VLOOKUP(Table36[[#This Row],[Picture_no]], [3]ENGLISH.txt!$1:$1048576, 2, 0)</f>
        <v>feather</v>
      </c>
      <c r="G37" s="22" t="s">
        <v>1152</v>
      </c>
      <c r="H37" s="26" t="s">
        <v>933</v>
      </c>
      <c r="I37" s="26">
        <f>LEN(Table36[[#This Row],[Spanish]])</f>
        <v>5</v>
      </c>
      <c r="J37" s="26">
        <f>VLOOKUP(Table36[[#This Row],[Spanish]], [1]Sheet1!$1:$1048576, 4, 0)</f>
        <v>5</v>
      </c>
      <c r="K37" s="26">
        <f>VLOOKUP(Table36[[#This Row],[Spanish]], [1]Sheet1!$1:$1048576, 5, 9)</f>
        <v>2</v>
      </c>
      <c r="L37" s="28">
        <f>VLOOKUP(Table36[[#This Row],[Spanish]], [2]Sheet1!$1:$1048576, 2, 0)</f>
        <v>17.915828000000001</v>
      </c>
      <c r="M37" s="28">
        <f>VLOOKUP(Table36[[#This Row],[Spanish]], [2]Sheet1!$1:$1048576, 3, 0)</f>
        <v>1.2768250000000001</v>
      </c>
      <c r="N37" s="28">
        <f>VLOOKUP(Table36[[#This Row],[Spanish]], [2]Sheet1!$1:$1048576, 6, 0)</f>
        <v>5.9580000000000002</v>
      </c>
      <c r="O37" s="28">
        <v>0.141440543</v>
      </c>
      <c r="P37" s="29">
        <v>98</v>
      </c>
      <c r="Q37" s="26">
        <v>100</v>
      </c>
      <c r="R37" s="26">
        <v>2</v>
      </c>
      <c r="S37" s="26">
        <v>0</v>
      </c>
      <c r="T37" s="26">
        <v>0</v>
      </c>
      <c r="U37" s="28">
        <v>1.82</v>
      </c>
    </row>
    <row r="38" spans="1:21" x14ac:dyDescent="0.3">
      <c r="A38" s="25">
        <v>37</v>
      </c>
      <c r="B38" s="26">
        <v>98</v>
      </c>
      <c r="C38" s="27" t="s">
        <v>124</v>
      </c>
      <c r="D38" s="30" t="s">
        <v>125</v>
      </c>
      <c r="E38" s="22" t="s">
        <v>1153</v>
      </c>
      <c r="F38" s="30" t="str">
        <f>VLOOKUP(Table36[[#This Row],[Picture_no]], [3]ENGLISH.txt!$1:$1048576, 2, 0)</f>
        <v>tiger</v>
      </c>
      <c r="G38" s="22" t="s">
        <v>1154</v>
      </c>
      <c r="H38" s="26" t="s">
        <v>929</v>
      </c>
      <c r="I38" s="26">
        <f>LEN(Table36[[#This Row],[Spanish]])</f>
        <v>5</v>
      </c>
      <c r="J38" s="26">
        <f>VLOOKUP(Table36[[#This Row],[Spanish]], [1]Sheet1!$1:$1048576, 4, 0)</f>
        <v>5</v>
      </c>
      <c r="K38" s="26">
        <v>2</v>
      </c>
      <c r="L38" s="28">
        <f>VLOOKUP(Table36[[#This Row],[Spanish]], [2]Sheet1!$1:$1048576, 2, 0)</f>
        <v>26.474095999999999</v>
      </c>
      <c r="M38" s="28">
        <f>VLOOKUP(Table36[[#This Row],[Spanish]], [2]Sheet1!$1:$1048576, 3, 0)</f>
        <v>1.438923</v>
      </c>
      <c r="N38" s="28">
        <f>VLOOKUP(Table36[[#This Row],[Spanish]], [2]Sheet1!$1:$1048576, 6, 0)</f>
        <v>6.3630000000000004</v>
      </c>
      <c r="O38" s="28">
        <v>0.327444919</v>
      </c>
      <c r="P38" s="29">
        <v>94</v>
      </c>
      <c r="Q38" s="26">
        <v>100</v>
      </c>
      <c r="R38" s="26">
        <v>2</v>
      </c>
      <c r="S38" s="26">
        <v>0</v>
      </c>
      <c r="T38" s="26">
        <v>0</v>
      </c>
      <c r="U38" s="28">
        <v>3.03</v>
      </c>
    </row>
    <row r="39" spans="1:21" x14ac:dyDescent="0.3">
      <c r="A39" s="25">
        <v>38</v>
      </c>
      <c r="B39" s="26">
        <v>99</v>
      </c>
      <c r="C39" s="27" t="s">
        <v>126</v>
      </c>
      <c r="D39" s="26" t="s">
        <v>127</v>
      </c>
      <c r="E39" s="22" t="s">
        <v>1155</v>
      </c>
      <c r="F39" s="26" t="str">
        <f>VLOOKUP(Table36[[#This Row],[Picture_no]], [3]ENGLISH.txt!$1:$1048576, 2, 0)</f>
        <v>painting</v>
      </c>
      <c r="G39" s="22" t="s">
        <v>1156</v>
      </c>
      <c r="H39" s="26" t="s">
        <v>933</v>
      </c>
      <c r="I39" s="26">
        <f>LEN(Table36[[#This Row],[Spanish]])</f>
        <v>6</v>
      </c>
      <c r="J39" s="26">
        <f>VLOOKUP(Table36[[#This Row],[Spanish]], [1]Sheet1!$1:$1048576, 4, 0)</f>
        <v>6</v>
      </c>
      <c r="K39" s="26">
        <f>VLOOKUP(Table36[[#This Row],[Spanish]], [1]Sheet1!$1:$1048576, 5, 9)</f>
        <v>3</v>
      </c>
      <c r="L39" s="28">
        <f>VLOOKUP(Table36[[#This Row],[Spanish]], [2]Sheet1!$1:$1048576, 2, 0)</f>
        <v>44.607616999999998</v>
      </c>
      <c r="M39" s="28">
        <f>VLOOKUP(Table36[[#This Row],[Spanish]], [2]Sheet1!$1:$1048576, 3, 0)</f>
        <v>1.6590370000000001</v>
      </c>
      <c r="N39" s="28">
        <f>VLOOKUP(Table36[[#This Row],[Spanish]], [2]Sheet1!$1:$1048576, 6, 0)</f>
        <v>6.6559999999999997</v>
      </c>
      <c r="O39" s="28">
        <v>0.14372616999999999</v>
      </c>
      <c r="P39" s="28">
        <v>97.959183670000002</v>
      </c>
      <c r="Q39" s="26">
        <v>98</v>
      </c>
      <c r="R39" s="26">
        <v>2</v>
      </c>
      <c r="S39" s="26">
        <v>0</v>
      </c>
      <c r="T39" s="26">
        <v>2</v>
      </c>
      <c r="U39" s="28">
        <v>2.74</v>
      </c>
    </row>
    <row r="40" spans="1:21" x14ac:dyDescent="0.3">
      <c r="A40" s="25">
        <v>39</v>
      </c>
      <c r="B40" s="26">
        <v>100</v>
      </c>
      <c r="C40" s="27" t="s">
        <v>128</v>
      </c>
      <c r="D40" s="26" t="s">
        <v>129</v>
      </c>
      <c r="E40" s="22" t="s">
        <v>1157</v>
      </c>
      <c r="F40" s="26" t="str">
        <f>VLOOKUP(Table36[[#This Row],[Picture_no]], [3]ENGLISH.txt!$1:$1048576, 2, 0)</f>
        <v>nose</v>
      </c>
      <c r="G40" s="22" t="s">
        <v>978</v>
      </c>
      <c r="H40" s="26" t="s">
        <v>930</v>
      </c>
      <c r="I40" s="26">
        <f>LEN(Table36[[#This Row],[Spanish]])</f>
        <v>5</v>
      </c>
      <c r="J40" s="26">
        <f>VLOOKUP(Table36[[#This Row],[Spanish]], [1]Sheet1!$1:$1048576, 4, 0)</f>
        <v>5</v>
      </c>
      <c r="K40" s="26">
        <f>VLOOKUP(Table36[[#This Row],[Spanish]], [1]Sheet1!$1:$1048576, 5, 9)</f>
        <v>3</v>
      </c>
      <c r="L40" s="28">
        <f>VLOOKUP(Table36[[#This Row],[Spanish]], [2]Sheet1!$1:$1048576, 2, 0)</f>
        <v>20.281210999999999</v>
      </c>
      <c r="M40" s="28">
        <f>VLOOKUP(Table36[[#This Row],[Spanish]], [2]Sheet1!$1:$1048576, 3, 0)</f>
        <v>1.327996</v>
      </c>
      <c r="N40" s="28">
        <f>VLOOKUP(Table36[[#This Row],[Spanish]], [2]Sheet1!$1:$1048576, 6, 0)</f>
        <v>6.39</v>
      </c>
      <c r="O40" s="29">
        <v>0</v>
      </c>
      <c r="P40" s="29">
        <v>100</v>
      </c>
      <c r="Q40" s="26">
        <v>100</v>
      </c>
      <c r="R40" s="26">
        <v>1</v>
      </c>
      <c r="S40" s="26">
        <v>0</v>
      </c>
      <c r="T40" s="26">
        <v>0</v>
      </c>
      <c r="U40" s="28">
        <v>1.61</v>
      </c>
    </row>
    <row r="41" spans="1:21" x14ac:dyDescent="0.3">
      <c r="A41" s="25">
        <v>40</v>
      </c>
      <c r="B41" s="26">
        <v>101</v>
      </c>
      <c r="C41" s="27" t="s">
        <v>130</v>
      </c>
      <c r="D41" s="32" t="s">
        <v>131</v>
      </c>
      <c r="E41" s="22" t="s">
        <v>1454</v>
      </c>
      <c r="F41" s="32" t="str">
        <f>VLOOKUP(Table36[[#This Row],[Picture_no]], [3]ENGLISH.txt!$1:$1048576, 2, 0)</f>
        <v>drum kit</v>
      </c>
      <c r="G41" s="22" t="s">
        <v>979</v>
      </c>
      <c r="H41" s="26" t="s">
        <v>939</v>
      </c>
      <c r="I41" s="26">
        <f>LEN(Table36[[#This Row],[Spanish]])</f>
        <v>7</v>
      </c>
      <c r="J41" s="26">
        <f>VLOOKUP(Table36[[#This Row],[Spanish]], [1]Sheet1!$1:$1048576, 4, 0)</f>
        <v>7</v>
      </c>
      <c r="K41" s="26">
        <f>VLOOKUP(Table36[[#This Row],[Spanish]], [1]Sheet1!$1:$1048576, 5, 9)</f>
        <v>2</v>
      </c>
      <c r="L41" s="28">
        <f>VLOOKUP(Table36[[#This Row],[Spanish]], [2]Sheet1!$1:$1048576, 2, 0)</f>
        <v>35.051859</v>
      </c>
      <c r="M41" s="28">
        <f>VLOOKUP(Table36[[#This Row],[Spanish]], [2]Sheet1!$1:$1048576, 3, 0)</f>
        <v>1.5569280000000001</v>
      </c>
      <c r="N41" s="28">
        <f>VLOOKUP(Table36[[#This Row],[Spanish]], [2]Sheet1!$1:$1048576, 6, 0)</f>
        <v>5.9139999999999997</v>
      </c>
      <c r="O41" s="29">
        <v>0</v>
      </c>
      <c r="P41" s="29">
        <v>100</v>
      </c>
      <c r="Q41" s="26">
        <v>98</v>
      </c>
      <c r="R41" s="26">
        <v>1</v>
      </c>
      <c r="S41" s="26">
        <v>1</v>
      </c>
      <c r="T41" s="26">
        <v>1</v>
      </c>
      <c r="U41" s="28">
        <v>2.38</v>
      </c>
    </row>
    <row r="42" spans="1:21" x14ac:dyDescent="0.3">
      <c r="A42" s="25">
        <v>41</v>
      </c>
      <c r="B42" s="26">
        <v>110</v>
      </c>
      <c r="C42" s="27" t="s">
        <v>140</v>
      </c>
      <c r="D42" s="26" t="s">
        <v>141</v>
      </c>
      <c r="E42" s="22" t="s">
        <v>141</v>
      </c>
      <c r="F42" s="26" t="str">
        <f>VLOOKUP(Table36[[#This Row],[Picture_no]], [3]ENGLISH.txt!$1:$1048576, 2, 0)</f>
        <v>table</v>
      </c>
      <c r="G42" s="22" t="s">
        <v>1158</v>
      </c>
      <c r="H42" s="26" t="s">
        <v>937</v>
      </c>
      <c r="I42" s="26">
        <f>LEN(Table36[[#This Row],[Spanish]])</f>
        <v>4</v>
      </c>
      <c r="J42" s="26">
        <f>VLOOKUP(Table36[[#This Row],[Spanish]], [1]Sheet1!$1:$1048576, 4, 0)</f>
        <v>4</v>
      </c>
      <c r="K42" s="26">
        <f>VLOOKUP(Table36[[#This Row],[Spanish]], [1]Sheet1!$1:$1048576, 5, 9)</f>
        <v>3</v>
      </c>
      <c r="L42" s="28">
        <f>VLOOKUP(Table36[[#This Row],[Spanish]], [2]Sheet1!$1:$1048576, 2, 0)</f>
        <v>100.24610800000001</v>
      </c>
      <c r="M42" s="28">
        <f>VLOOKUP(Table36[[#This Row],[Spanish]], [2]Sheet1!$1:$1048576, 3, 0)</f>
        <v>2.0053779999999999</v>
      </c>
      <c r="N42" s="28">
        <f>VLOOKUP(Table36[[#This Row],[Spanish]], [2]Sheet1!$1:$1048576, 6, 0)</f>
        <v>6.782</v>
      </c>
      <c r="O42" s="28">
        <v>0.28853851400000002</v>
      </c>
      <c r="P42" s="28">
        <v>94.949494950000002</v>
      </c>
      <c r="Q42" s="26">
        <v>99</v>
      </c>
      <c r="R42" s="26">
        <v>2</v>
      </c>
      <c r="S42" s="26">
        <v>0</v>
      </c>
      <c r="T42" s="26">
        <v>1</v>
      </c>
      <c r="U42" s="28">
        <v>1.79</v>
      </c>
    </row>
    <row r="43" spans="1:21" x14ac:dyDescent="0.3">
      <c r="A43" s="25">
        <v>42</v>
      </c>
      <c r="B43" s="26">
        <v>111</v>
      </c>
      <c r="C43" s="27" t="s">
        <v>142</v>
      </c>
      <c r="D43" s="30" t="s">
        <v>143</v>
      </c>
      <c r="E43" s="22" t="s">
        <v>1159</v>
      </c>
      <c r="F43" s="30" t="str">
        <f>VLOOKUP(Table36[[#This Row],[Picture_no]], [3]ENGLISH.txt!$1:$1048576, 2, 0)</f>
        <v>dragon</v>
      </c>
      <c r="G43" s="22" t="s">
        <v>1160</v>
      </c>
      <c r="H43" s="26" t="s">
        <v>929</v>
      </c>
      <c r="I43" s="26">
        <f>LEN(Table36[[#This Row],[Spanish]])</f>
        <v>6</v>
      </c>
      <c r="J43" s="26">
        <f>VLOOKUP(Table36[[#This Row],[Spanish]], [1]Sheet1!$1:$1048576, 4, 0)</f>
        <v>6</v>
      </c>
      <c r="K43" s="26">
        <f>VLOOKUP(Table36[[#This Row],[Spanish]], [1]Sheet1!$1:$1048576, 5, 9)</f>
        <v>3</v>
      </c>
      <c r="L43" s="28">
        <f>VLOOKUP(Table36[[#This Row],[Spanish]], [2]Sheet1!$1:$1048576, 2, 0)</f>
        <v>14.793392000000001</v>
      </c>
      <c r="M43" s="28">
        <f>VLOOKUP(Table36[[#This Row],[Spanish]], [2]Sheet1!$1:$1048576, 3, 0)</f>
        <v>1.198475</v>
      </c>
      <c r="N43" s="28">
        <f>VLOOKUP(Table36[[#This Row],[Spanish]], [2]Sheet1!$1:$1048576, 6, 0)</f>
        <v>5.8819999999999997</v>
      </c>
      <c r="O43" s="28">
        <v>0.14257333</v>
      </c>
      <c r="P43" s="28">
        <v>97.979797980000001</v>
      </c>
      <c r="Q43" s="26">
        <v>99</v>
      </c>
      <c r="R43" s="26">
        <v>2</v>
      </c>
      <c r="S43" s="26">
        <v>1</v>
      </c>
      <c r="T43" s="26">
        <v>0</v>
      </c>
      <c r="U43" s="28">
        <v>3.02</v>
      </c>
    </row>
    <row r="44" spans="1:21" x14ac:dyDescent="0.3">
      <c r="A44" s="25">
        <v>43</v>
      </c>
      <c r="B44" s="26">
        <v>112</v>
      </c>
      <c r="C44" s="27" t="s">
        <v>144</v>
      </c>
      <c r="D44" s="26" t="s">
        <v>145</v>
      </c>
      <c r="E44" s="22" t="s">
        <v>1161</v>
      </c>
      <c r="F44" s="26" t="str">
        <f>VLOOKUP(Table36[[#This Row],[Picture_no]], [3]ENGLISH.txt!$1:$1048576, 2, 0)</f>
        <v>lung</v>
      </c>
      <c r="G44" s="22" t="s">
        <v>980</v>
      </c>
      <c r="H44" s="26" t="s">
        <v>930</v>
      </c>
      <c r="I44" s="26">
        <f>LEN(Table36[[#This Row],[Spanish]])</f>
        <v>6</v>
      </c>
      <c r="J44" s="26">
        <f>VLOOKUP(Table36[[#This Row],[Spanish]], [1]Sheet1!$1:$1048576, 4, 0)</f>
        <v>6</v>
      </c>
      <c r="K44" s="26">
        <f>VLOOKUP(Table36[[#This Row],[Spanish]], [1]Sheet1!$1:$1048576, 5, 9)</f>
        <v>3</v>
      </c>
      <c r="L44" s="28">
        <f>VLOOKUP(Table36[[#This Row],[Spanish]], [2]Sheet1!$1:$1048576, 2, 0)</f>
        <v>6.0174310000000002</v>
      </c>
      <c r="M44" s="28" t="str">
        <f>VLOOKUP(Table36[[#This Row],[Spanish]], [2]Sheet1!$1:$1048576, 3, 0)</f>
        <v>0.846178</v>
      </c>
      <c r="N44" s="28">
        <f>VLOOKUP(Table36[[#This Row],[Spanish]], [2]Sheet1!$1:$1048576, 6, 0)</f>
        <v>5.4409999999999998</v>
      </c>
      <c r="O44" s="29">
        <v>0</v>
      </c>
      <c r="P44" s="29">
        <v>100</v>
      </c>
      <c r="Q44" s="26">
        <v>98</v>
      </c>
      <c r="R44" s="26">
        <v>1</v>
      </c>
      <c r="S44" s="26">
        <v>1</v>
      </c>
      <c r="T44" s="26">
        <v>1</v>
      </c>
      <c r="U44" s="28">
        <v>2.58</v>
      </c>
    </row>
    <row r="45" spans="1:21" x14ac:dyDescent="0.3">
      <c r="A45" s="25">
        <v>44</v>
      </c>
      <c r="B45" s="26">
        <v>114</v>
      </c>
      <c r="C45" s="27" t="s">
        <v>146</v>
      </c>
      <c r="D45" s="30" t="s">
        <v>147</v>
      </c>
      <c r="E45" s="23" t="s">
        <v>1162</v>
      </c>
      <c r="F45" s="30" t="str">
        <f>VLOOKUP(Table36[[#This Row],[Picture_no]], [3]ENGLISH.txt!$1:$1048576, 2, 0)</f>
        <v>fruit</v>
      </c>
      <c r="G45" s="22" t="s">
        <v>981</v>
      </c>
      <c r="H45" s="26" t="s">
        <v>934</v>
      </c>
      <c r="I45" s="26">
        <f>LEN(Table36[[#This Row],[Spanish]])</f>
        <v>5</v>
      </c>
      <c r="J45" s="26">
        <f>VLOOKUP(Table36[[#This Row],[Spanish]], [1]Sheet1!$1:$1048576, 4, 0)</f>
        <v>5</v>
      </c>
      <c r="K45" s="26">
        <f>VLOOKUP(Table36[[#This Row],[Spanish]], [1]Sheet1!$1:$1048576, 5, 9)</f>
        <v>2</v>
      </c>
      <c r="L45" s="28">
        <f>VLOOKUP(Table36[[#This Row],[Spanish]], [2]Sheet1!$1:$1048576, 2, 0)</f>
        <v>13.886879</v>
      </c>
      <c r="M45" s="28">
        <f>VLOOKUP(Table36[[#This Row],[Spanish]], [2]Sheet1!$1:$1048576, 3, 0)</f>
        <v>1.172804</v>
      </c>
      <c r="N45" s="28">
        <f>VLOOKUP(Table36[[#This Row],[Spanish]], [2]Sheet1!$1:$1048576, 6, 0)</f>
        <v>5.3330000000000002</v>
      </c>
      <c r="O45" s="28">
        <v>0.141440543</v>
      </c>
      <c r="P45" s="29">
        <v>98</v>
      </c>
      <c r="Q45" s="26">
        <v>100</v>
      </c>
      <c r="R45" s="26">
        <v>2</v>
      </c>
      <c r="S45" s="26">
        <v>0</v>
      </c>
      <c r="T45" s="26">
        <v>0</v>
      </c>
      <c r="U45" s="28">
        <v>2.91</v>
      </c>
    </row>
    <row r="46" spans="1:21" x14ac:dyDescent="0.3">
      <c r="A46" s="25">
        <v>45</v>
      </c>
      <c r="B46" s="26">
        <v>119</v>
      </c>
      <c r="C46" s="27" t="s">
        <v>148</v>
      </c>
      <c r="D46" s="30" t="s">
        <v>149</v>
      </c>
      <c r="E46" s="23" t="s">
        <v>1163</v>
      </c>
      <c r="F46" s="30" t="str">
        <f>VLOOKUP(Table36[[#This Row],[Picture_no]], [3]ENGLISH.txt!$1:$1048576, 2, 0)</f>
        <v>nut</v>
      </c>
      <c r="G46" s="22" t="s">
        <v>982</v>
      </c>
      <c r="H46" s="26" t="s">
        <v>934</v>
      </c>
      <c r="I46" s="26">
        <f>LEN(Table36[[#This Row],[Spanish]])</f>
        <v>4</v>
      </c>
      <c r="J46" s="26">
        <f>VLOOKUP(Table36[[#This Row],[Spanish]], [1]Sheet1!$1:$1048576, 4, 0)</f>
        <v>4</v>
      </c>
      <c r="K46" s="26">
        <f>VLOOKUP(Table36[[#This Row],[Spanish]], [1]Sheet1!$1:$1048576, 5, 9)</f>
        <v>3</v>
      </c>
      <c r="L46" s="28">
        <f>VLOOKUP(Table36[[#This Row],[Spanish]], [2]Sheet1!$1:$1048576, 2, 0)</f>
        <v>2.9632269999999998</v>
      </c>
      <c r="M46" s="28">
        <f>VLOOKUP(Table36[[#This Row],[Spanish]], [2]Sheet1!$1:$1048576, 3, 0)</f>
        <v>0.59804900000000005</v>
      </c>
      <c r="N46" s="28">
        <f>VLOOKUP(Table36[[#This Row],[Spanish]], [2]Sheet1!$1:$1048576, 6, 0)</f>
        <v>5.3090000000000002</v>
      </c>
      <c r="O46" s="29">
        <v>0</v>
      </c>
      <c r="P46" s="29">
        <v>100</v>
      </c>
      <c r="Q46" s="26">
        <v>98</v>
      </c>
      <c r="R46" s="26">
        <v>1</v>
      </c>
      <c r="S46" s="26">
        <v>0</v>
      </c>
      <c r="T46" s="26">
        <v>2</v>
      </c>
      <c r="U46" s="28">
        <v>3.03</v>
      </c>
    </row>
    <row r="47" spans="1:21" x14ac:dyDescent="0.3">
      <c r="A47" s="25">
        <v>46</v>
      </c>
      <c r="B47" s="26">
        <v>123</v>
      </c>
      <c r="C47" s="27" t="s">
        <v>156</v>
      </c>
      <c r="D47" s="26" t="s">
        <v>157</v>
      </c>
      <c r="E47" s="23" t="s">
        <v>1164</v>
      </c>
      <c r="F47" s="26" t="str">
        <f>VLOOKUP(Table36[[#This Row],[Picture_no]], [3]ENGLISH.txt!$1:$1048576, 2, 0)</f>
        <v>dart</v>
      </c>
      <c r="G47" s="22" t="s">
        <v>983</v>
      </c>
      <c r="H47" s="26" t="s">
        <v>933</v>
      </c>
      <c r="I47" s="26">
        <f>LEN(Table36[[#This Row],[Spanish]])</f>
        <v>5</v>
      </c>
      <c r="J47" s="26">
        <f>VLOOKUP(Table36[[#This Row],[Spanish]], [1]Sheet1!$1:$1048576, 4, 0)</f>
        <v>5</v>
      </c>
      <c r="K47" s="26">
        <f>VLOOKUP(Table36[[#This Row],[Spanish]], [1]Sheet1!$1:$1048576, 5, 9)</f>
        <v>3</v>
      </c>
      <c r="L47" s="28">
        <f>VLOOKUP(Table36[[#This Row],[Spanish]], [2]Sheet1!$1:$1048576, 2, 0)</f>
        <v>1.9105019999999999</v>
      </c>
      <c r="M47" s="28" t="str">
        <f>VLOOKUP(Table36[[#This Row],[Spanish]], [2]Sheet1!$1:$1048576, 3, 0)</f>
        <v>0.463968</v>
      </c>
      <c r="N47" s="28">
        <f>VLOOKUP(Table36[[#This Row],[Spanish]], [2]Sheet1!$1:$1048576, 6, 0)</f>
        <v>6.2679999999999998</v>
      </c>
      <c r="O47" s="28">
        <v>0.20995735800000001</v>
      </c>
      <c r="P47" s="28">
        <v>95.959595960000001</v>
      </c>
      <c r="Q47" s="26">
        <v>99</v>
      </c>
      <c r="R47" s="26">
        <v>3</v>
      </c>
      <c r="S47" s="26">
        <v>0</v>
      </c>
      <c r="T47" s="26">
        <v>1</v>
      </c>
      <c r="U47" s="28">
        <v>1.81</v>
      </c>
    </row>
    <row r="48" spans="1:21" x14ac:dyDescent="0.3">
      <c r="A48" s="25">
        <v>47</v>
      </c>
      <c r="B48" s="26">
        <v>125</v>
      </c>
      <c r="C48" s="27" t="s">
        <v>160</v>
      </c>
      <c r="D48" s="30" t="s">
        <v>161</v>
      </c>
      <c r="E48" s="23" t="s">
        <v>161</v>
      </c>
      <c r="F48" s="30" t="str">
        <f>VLOOKUP(Table36[[#This Row],[Picture_no]], [3]ENGLISH.txt!$1:$1048576, 2, 0)</f>
        <v>kiwi</v>
      </c>
      <c r="G48" s="22" t="s">
        <v>1473</v>
      </c>
      <c r="H48" s="26" t="s">
        <v>934</v>
      </c>
      <c r="I48" s="26">
        <f>LEN(Table36[[#This Row],[Spanish]])</f>
        <v>4</v>
      </c>
      <c r="J48" s="26">
        <f>VLOOKUP(Table36[[#This Row],[Spanish]], [1]Sheet1!$1:$1048576, 4, 0)</f>
        <v>4</v>
      </c>
      <c r="K48" s="26">
        <f>VLOOKUP(Table36[[#This Row],[Spanish]], [1]Sheet1!$1:$1048576, 5, 9)</f>
        <v>3</v>
      </c>
      <c r="L48" s="28">
        <f>VLOOKUP(Table36[[#This Row],[Spanish]], [2]Sheet1!$1:$1048576, 2, 0)</f>
        <v>0.47112700000000002</v>
      </c>
      <c r="M48" s="28">
        <f>VLOOKUP(Table36[[#This Row],[Spanish]], [2]Sheet1!$1:$1048576, 3, 0)</f>
        <v>0.16764999999999999</v>
      </c>
      <c r="N48" s="28">
        <f>VLOOKUP(Table36[[#This Row],[Spanish]], [2]Sheet1!$1:$1048576, 6, 0)</f>
        <v>0</v>
      </c>
      <c r="O48" s="29">
        <v>0</v>
      </c>
      <c r="P48" s="29">
        <v>100</v>
      </c>
      <c r="Q48" s="26">
        <v>99</v>
      </c>
      <c r="R48" s="26">
        <v>1</v>
      </c>
      <c r="S48" s="26">
        <v>0</v>
      </c>
      <c r="T48" s="26">
        <v>1</v>
      </c>
      <c r="U48" s="28">
        <v>2.31</v>
      </c>
    </row>
    <row r="49" spans="1:21" x14ac:dyDescent="0.3">
      <c r="A49" s="25">
        <v>48</v>
      </c>
      <c r="B49" s="26">
        <v>127</v>
      </c>
      <c r="C49" s="27" t="s">
        <v>162</v>
      </c>
      <c r="D49" s="30" t="s">
        <v>163</v>
      </c>
      <c r="E49" s="23" t="s">
        <v>1165</v>
      </c>
      <c r="F49" s="30" t="str">
        <f>VLOOKUP(Table36[[#This Row],[Picture_no]], [3]ENGLISH.txt!$1:$1048576, 2, 0)</f>
        <v>sack</v>
      </c>
      <c r="G49" s="22" t="s">
        <v>984</v>
      </c>
      <c r="H49" s="26" t="s">
        <v>933</v>
      </c>
      <c r="I49" s="26">
        <f>LEN(Table36[[#This Row],[Spanish]])</f>
        <v>4</v>
      </c>
      <c r="J49" s="26">
        <f>VLOOKUP(Table36[[#This Row],[Spanish]], [1]Sheet1!$1:$1048576, 4, 0)</f>
        <v>4</v>
      </c>
      <c r="K49" s="26">
        <v>2</v>
      </c>
      <c r="L49" s="28">
        <f>VLOOKUP(Table36[[#This Row],[Spanish]], [2]Sheet1!$1:$1048576, 2, 0)</f>
        <v>10.930149999999999</v>
      </c>
      <c r="M49" s="28">
        <f>VLOOKUP(Table36[[#This Row],[Spanish]], [2]Sheet1!$1:$1048576, 3, 0)</f>
        <v>1.076646</v>
      </c>
      <c r="N49" s="28">
        <f>VLOOKUP(Table36[[#This Row],[Spanish]], [2]Sheet1!$1:$1048576, 6, 0)</f>
        <v>5.7670000000000003</v>
      </c>
      <c r="O49" s="29">
        <v>0</v>
      </c>
      <c r="P49" s="29">
        <v>100</v>
      </c>
      <c r="Q49" s="26">
        <v>96</v>
      </c>
      <c r="R49" s="26">
        <v>1</v>
      </c>
      <c r="S49" s="26">
        <v>1</v>
      </c>
      <c r="T49" s="26">
        <v>3</v>
      </c>
      <c r="U49" s="28">
        <v>1.79</v>
      </c>
    </row>
    <row r="50" spans="1:21" x14ac:dyDescent="0.3">
      <c r="A50" s="25">
        <v>49</v>
      </c>
      <c r="B50" s="26">
        <v>128</v>
      </c>
      <c r="C50" s="27" t="s">
        <v>164</v>
      </c>
      <c r="D50" s="26" t="s">
        <v>165</v>
      </c>
      <c r="E50" s="23" t="s">
        <v>1166</v>
      </c>
      <c r="F50" s="26" t="str">
        <f>VLOOKUP(Table36[[#This Row],[Picture_no]], [3]ENGLISH.txt!$1:$1048576, 2, 0)</f>
        <v>doll</v>
      </c>
      <c r="G50" s="22" t="s">
        <v>985</v>
      </c>
      <c r="H50" s="26" t="s">
        <v>933</v>
      </c>
      <c r="I50" s="26">
        <f>LEN(Table36[[#This Row],[Spanish]])</f>
        <v>6</v>
      </c>
      <c r="J50" s="26">
        <f>VLOOKUP(Table36[[#This Row],[Spanish]], [1]Sheet1!$1:$1048576, 4, 0)</f>
        <v>6</v>
      </c>
      <c r="K50" s="26">
        <f>VLOOKUP(Table36[[#This Row],[Spanish]], [1]Sheet1!$1:$1048576, 5, 9)</f>
        <v>3</v>
      </c>
      <c r="L50" s="28">
        <f>VLOOKUP(Table36[[#This Row],[Spanish]], [2]Sheet1!$1:$1048576, 2, 0)</f>
        <v>7.0961489999999996</v>
      </c>
      <c r="M50" s="28" t="str">
        <f>VLOOKUP(Table36[[#This Row],[Spanish]], [2]Sheet1!$1:$1048576, 3, 0)</f>
        <v>0.908279</v>
      </c>
      <c r="N50" s="28">
        <f>VLOOKUP(Table36[[#This Row],[Spanish]], [2]Sheet1!$1:$1048576, 6, 0)</f>
        <v>0</v>
      </c>
      <c r="O50" s="28">
        <v>0.46899559400000002</v>
      </c>
      <c r="P50" s="29">
        <v>90</v>
      </c>
      <c r="Q50" s="26">
        <v>100</v>
      </c>
      <c r="R50" s="26">
        <v>2</v>
      </c>
      <c r="S50" s="26">
        <v>0</v>
      </c>
      <c r="T50" s="26">
        <v>0</v>
      </c>
      <c r="U50" s="28">
        <v>2.59</v>
      </c>
    </row>
    <row r="51" spans="1:21" x14ac:dyDescent="0.3">
      <c r="A51" s="25">
        <v>50</v>
      </c>
      <c r="B51" s="26">
        <v>129</v>
      </c>
      <c r="C51" s="27" t="s">
        <v>166</v>
      </c>
      <c r="D51" s="30" t="s">
        <v>167</v>
      </c>
      <c r="E51" s="23" t="s">
        <v>1167</v>
      </c>
      <c r="F51" s="30" t="str">
        <f>VLOOKUP(Table36[[#This Row],[Picture_no]], [3]ENGLISH.txt!$1:$1048576, 2, 0)</f>
        <v>lemon</v>
      </c>
      <c r="G51" s="22" t="s">
        <v>1168</v>
      </c>
      <c r="H51" s="26" t="s">
        <v>934</v>
      </c>
      <c r="I51" s="26">
        <f>LEN(Table36[[#This Row],[Spanish]])</f>
        <v>5</v>
      </c>
      <c r="J51" s="26">
        <f>VLOOKUP(Table36[[#This Row],[Spanish]], [1]Sheet1!$1:$1048576, 4, 0)</f>
        <v>5</v>
      </c>
      <c r="K51" s="26">
        <f>VLOOKUP(Table36[[#This Row],[Spanish]], [1]Sheet1!$1:$1048576, 5, 9)</f>
        <v>2</v>
      </c>
      <c r="L51" s="28">
        <f>VLOOKUP(Table36[[#This Row],[Spanish]], [2]Sheet1!$1:$1048576, 2, 0)</f>
        <v>6.9629339999999997</v>
      </c>
      <c r="M51" s="28" t="str">
        <f>VLOOKUP(Table36[[#This Row],[Spanish]], [2]Sheet1!$1:$1048576, 3, 0)</f>
        <v>0.901073</v>
      </c>
      <c r="N51" s="28">
        <f>VLOOKUP(Table36[[#This Row],[Spanish]], [2]Sheet1!$1:$1048576, 6, 0)</f>
        <v>0</v>
      </c>
      <c r="O51" s="29">
        <v>0</v>
      </c>
      <c r="P51" s="29">
        <v>100</v>
      </c>
      <c r="Q51" s="26">
        <v>100</v>
      </c>
      <c r="R51" s="26">
        <v>1</v>
      </c>
      <c r="S51" s="26">
        <v>0</v>
      </c>
      <c r="T51" s="26">
        <v>0</v>
      </c>
      <c r="U51" s="28">
        <v>2.19</v>
      </c>
    </row>
    <row r="52" spans="1:21" x14ac:dyDescent="0.3">
      <c r="A52" s="25">
        <v>51</v>
      </c>
      <c r="B52" s="26">
        <v>135</v>
      </c>
      <c r="C52" s="27" t="s">
        <v>172</v>
      </c>
      <c r="D52" s="26" t="s">
        <v>173</v>
      </c>
      <c r="E52" s="23" t="s">
        <v>1169</v>
      </c>
      <c r="F52" s="26" t="str">
        <f>VLOOKUP(Table36[[#This Row],[Picture_no]], [3]ENGLISH.txt!$1:$1048576, 2, 0)</f>
        <v>suit</v>
      </c>
      <c r="G52" s="22" t="s">
        <v>986</v>
      </c>
      <c r="H52" s="26" t="s">
        <v>940</v>
      </c>
      <c r="I52" s="26">
        <f>LEN(Table36[[#This Row],[Spanish]])</f>
        <v>5</v>
      </c>
      <c r="J52" s="26">
        <f>VLOOKUP(Table36[[#This Row],[Spanish]], [1]Sheet1!$1:$1048576, 4, 0)</f>
        <v>5</v>
      </c>
      <c r="K52" s="26">
        <v>2</v>
      </c>
      <c r="L52" s="28">
        <f>VLOOKUP(Table36[[#This Row],[Spanish]], [2]Sheet1!$1:$1048576, 2, 0)</f>
        <v>31.711729999999999</v>
      </c>
      <c r="M52" s="28">
        <f>VLOOKUP(Table36[[#This Row],[Spanish]], [2]Sheet1!$1:$1048576, 3, 0)</f>
        <v>1.5147040000000001</v>
      </c>
      <c r="N52" s="28">
        <f>VLOOKUP(Table36[[#This Row],[Spanish]], [2]Sheet1!$1:$1048576, 6, 0)</f>
        <v>5.9429999999999996</v>
      </c>
      <c r="O52" s="29">
        <v>0</v>
      </c>
      <c r="P52" s="29">
        <v>100</v>
      </c>
      <c r="Q52" s="26">
        <v>99</v>
      </c>
      <c r="R52" s="26">
        <v>1</v>
      </c>
      <c r="S52" s="26">
        <v>0</v>
      </c>
      <c r="T52" s="26">
        <v>1</v>
      </c>
      <c r="U52" s="28">
        <v>2.4</v>
      </c>
    </row>
    <row r="53" spans="1:21" x14ac:dyDescent="0.3">
      <c r="A53" s="25">
        <v>52</v>
      </c>
      <c r="B53" s="26">
        <v>136</v>
      </c>
      <c r="C53" s="27" t="s">
        <v>174</v>
      </c>
      <c r="D53" s="30" t="s">
        <v>175</v>
      </c>
      <c r="E53" s="23" t="s">
        <v>1170</v>
      </c>
      <c r="F53" s="30" t="str">
        <f>VLOOKUP(Table36[[#This Row],[Picture_no]], [3]ENGLISH.txt!$1:$1048576, 2, 0)</f>
        <v>melon</v>
      </c>
      <c r="G53" s="22" t="s">
        <v>1171</v>
      </c>
      <c r="H53" s="26" t="s">
        <v>934</v>
      </c>
      <c r="I53" s="26">
        <f>LEN(Table36[[#This Row],[Spanish]])</f>
        <v>5</v>
      </c>
      <c r="J53" s="26">
        <f>VLOOKUP(Table36[[#This Row],[Spanish]], [1]Sheet1!$1:$1048576, 4, 0)</f>
        <v>5</v>
      </c>
      <c r="K53" s="26">
        <f>VLOOKUP(Table36[[#This Row],[Spanish]], [1]Sheet1!$1:$1048576, 5, 9)</f>
        <v>3</v>
      </c>
      <c r="L53" s="28">
        <f>VLOOKUP(Table36[[#This Row],[Spanish]], [2]Sheet1!$1:$1048576, 2, 0)</f>
        <v>1.6343240000000001</v>
      </c>
      <c r="M53" s="28" t="str">
        <f>VLOOKUP(Table36[[#This Row],[Spanish]], [2]Sheet1!$1:$1048576, 3, 0)</f>
        <v>0.420669</v>
      </c>
      <c r="N53" s="28">
        <f>VLOOKUP(Table36[[#This Row],[Spanish]], [2]Sheet1!$1:$1048576, 6, 0)</f>
        <v>0</v>
      </c>
      <c r="O53" s="29">
        <v>0</v>
      </c>
      <c r="P53" s="29">
        <v>100</v>
      </c>
      <c r="Q53" s="26">
        <v>100</v>
      </c>
      <c r="R53" s="26">
        <v>1</v>
      </c>
      <c r="S53" s="26">
        <v>0</v>
      </c>
      <c r="T53" s="26">
        <v>0</v>
      </c>
      <c r="U53" s="28">
        <v>2.5499999999999998</v>
      </c>
    </row>
    <row r="54" spans="1:21" x14ac:dyDescent="0.3">
      <c r="A54" s="25">
        <v>53</v>
      </c>
      <c r="B54" s="26">
        <v>140</v>
      </c>
      <c r="C54" s="27" t="s">
        <v>178</v>
      </c>
      <c r="D54" s="26" t="s">
        <v>179</v>
      </c>
      <c r="E54" s="23" t="s">
        <v>1172</v>
      </c>
      <c r="F54" s="26" t="str">
        <f>VLOOKUP(Table36[[#This Row],[Picture_no]], [3]ENGLISH.txt!$1:$1048576, 2, 0)</f>
        <v>tap</v>
      </c>
      <c r="G54" s="22" t="s">
        <v>987</v>
      </c>
      <c r="H54" s="26" t="s">
        <v>933</v>
      </c>
      <c r="I54" s="26">
        <f>LEN(Table36[[#This Row],[Spanish]])</f>
        <v>5</v>
      </c>
      <c r="J54" s="26">
        <f>VLOOKUP(Table36[[#This Row],[Spanish]], [1]Sheet1!$1:$1048576, 4, 0)</f>
        <v>5</v>
      </c>
      <c r="K54" s="26">
        <f>VLOOKUP(Table36[[#This Row],[Spanish]], [1]Sheet1!$1:$1048576, 5, 9)</f>
        <v>2</v>
      </c>
      <c r="L54" s="28">
        <f>VLOOKUP(Table36[[#This Row],[Spanish]], [2]Sheet1!$1:$1048576, 2, 0)</f>
        <v>2.2939020000000001</v>
      </c>
      <c r="M54" s="28" t="str">
        <f>VLOOKUP(Table36[[#This Row],[Spanish]], [2]Sheet1!$1:$1048576, 3, 0)</f>
        <v>0.517711</v>
      </c>
      <c r="N54" s="28">
        <f>VLOOKUP(Table36[[#This Row],[Spanish]], [2]Sheet1!$1:$1048576, 6, 0)</f>
        <v>5.8070000000000004</v>
      </c>
      <c r="O54" s="29">
        <v>0</v>
      </c>
      <c r="P54" s="29">
        <v>100</v>
      </c>
      <c r="Q54" s="26">
        <v>100</v>
      </c>
      <c r="R54" s="26">
        <v>1</v>
      </c>
      <c r="S54" s="26">
        <v>0</v>
      </c>
      <c r="T54" s="26">
        <v>0</v>
      </c>
      <c r="U54" s="28">
        <v>2.15</v>
      </c>
    </row>
    <row r="55" spans="1:21" x14ac:dyDescent="0.3">
      <c r="A55" s="25">
        <v>54</v>
      </c>
      <c r="B55" s="26">
        <v>141</v>
      </c>
      <c r="C55" s="27" t="s">
        <v>180</v>
      </c>
      <c r="D55" s="26" t="s">
        <v>181</v>
      </c>
      <c r="E55" s="23" t="s">
        <v>1455</v>
      </c>
      <c r="F55" s="26" t="str">
        <f>VLOOKUP(Table36[[#This Row],[Picture_no]], [3]ENGLISH.txt!$1:$1048576, 2, 0)</f>
        <v>sunflower</v>
      </c>
      <c r="G55" s="22" t="s">
        <v>1456</v>
      </c>
      <c r="H55" s="26" t="s">
        <v>935</v>
      </c>
      <c r="I55" s="26">
        <f>LEN(Table36[[#This Row],[Spanish]])</f>
        <v>7</v>
      </c>
      <c r="J55" s="26">
        <f>VLOOKUP(Table36[[#This Row],[Spanish]], [1]Sheet1!$1:$1048576, 4, 0)</f>
        <v>7</v>
      </c>
      <c r="K55" s="26">
        <f>VLOOKUP(Table36[[#This Row],[Spanish]], [1]Sheet1!$1:$1048576, 5, 9)</f>
        <v>2</v>
      </c>
      <c r="L55" s="28">
        <f>VLOOKUP(Table36[[#This Row],[Spanish]], [2]Sheet1!$1:$1048576, 2, 0)</f>
        <v>2.043717</v>
      </c>
      <c r="M55" s="28" t="str">
        <f>VLOOKUP(Table36[[#This Row],[Spanish]], [2]Sheet1!$1:$1048576, 3, 0)</f>
        <v>0.483404</v>
      </c>
      <c r="N55" s="28">
        <f>VLOOKUP(Table36[[#This Row],[Spanish]], [2]Sheet1!$1:$1048576, 6, 0)</f>
        <v>0</v>
      </c>
      <c r="O55" s="29">
        <v>0</v>
      </c>
      <c r="P55" s="29">
        <v>100</v>
      </c>
      <c r="Q55" s="26">
        <v>97</v>
      </c>
      <c r="R55" s="26">
        <v>1</v>
      </c>
      <c r="S55" s="26">
        <v>1</v>
      </c>
      <c r="T55" s="26">
        <v>2</v>
      </c>
      <c r="U55" s="28">
        <v>2.83</v>
      </c>
    </row>
    <row r="56" spans="1:21" x14ac:dyDescent="0.3">
      <c r="A56" s="25">
        <v>55</v>
      </c>
      <c r="B56" s="26">
        <v>142</v>
      </c>
      <c r="C56" s="27" t="s">
        <v>182</v>
      </c>
      <c r="D56" s="26" t="s">
        <v>183</v>
      </c>
      <c r="E56" s="23" t="s">
        <v>1173</v>
      </c>
      <c r="F56" s="26" t="str">
        <f>VLOOKUP(Table36[[#This Row],[Picture_no]], [3]ENGLISH.txt!$1:$1048576, 2, 0)</f>
        <v>glass</v>
      </c>
      <c r="G56" s="22" t="s">
        <v>988</v>
      </c>
      <c r="H56" s="26" t="s">
        <v>933</v>
      </c>
      <c r="I56" s="26">
        <f>LEN(Table36[[#This Row],[Spanish]])</f>
        <v>4</v>
      </c>
      <c r="J56" s="26">
        <f>VLOOKUP(Table36[[#This Row],[Spanish]], [1]Sheet1!$1:$1048576, 4, 0)</f>
        <v>4</v>
      </c>
      <c r="K56" s="26">
        <v>2</v>
      </c>
      <c r="L56" s="28">
        <f>VLOOKUP(Table36[[#This Row],[Spanish]], [2]Sheet1!$1:$1048576, 2, 0)</f>
        <v>15.050075</v>
      </c>
      <c r="M56" s="28">
        <f>VLOOKUP(Table36[[#This Row],[Spanish]], [2]Sheet1!$1:$1048576, 3, 0)</f>
        <v>1.2054769999999999</v>
      </c>
      <c r="N56" s="28">
        <f>VLOOKUP(Table36[[#This Row],[Spanish]], [2]Sheet1!$1:$1048576, 6, 0)</f>
        <v>6.6130000000000004</v>
      </c>
      <c r="O56" s="29">
        <v>0</v>
      </c>
      <c r="P56" s="29">
        <v>100</v>
      </c>
      <c r="Q56" s="26">
        <v>98</v>
      </c>
      <c r="R56" s="26">
        <v>1</v>
      </c>
      <c r="S56" s="26">
        <v>1</v>
      </c>
      <c r="T56" s="26">
        <v>1</v>
      </c>
      <c r="U56" s="28">
        <v>1.71</v>
      </c>
    </row>
    <row r="57" spans="1:21" x14ac:dyDescent="0.3">
      <c r="A57" s="25">
        <v>56</v>
      </c>
      <c r="B57" s="26">
        <v>143</v>
      </c>
      <c r="C57" s="27" t="s">
        <v>184</v>
      </c>
      <c r="D57" s="30" t="s">
        <v>185</v>
      </c>
      <c r="E57" s="23" t="s">
        <v>1174</v>
      </c>
      <c r="F57" s="30" t="str">
        <f>VLOOKUP(Table36[[#This Row],[Picture_no]], [3]ENGLISH.txt!$1:$1048576, 2, 0)</f>
        <v>angel</v>
      </c>
      <c r="G57" s="22" t="s">
        <v>1175</v>
      </c>
      <c r="H57" s="26" t="s">
        <v>931</v>
      </c>
      <c r="I57" s="26">
        <f>LEN(Table36[[#This Row],[Spanish]])</f>
        <v>5</v>
      </c>
      <c r="J57" s="26">
        <f>VLOOKUP(Table36[[#This Row],[Spanish]], [1]Sheet1!$1:$1048576, 4, 0)</f>
        <v>5</v>
      </c>
      <c r="K57" s="26">
        <v>2</v>
      </c>
      <c r="L57" s="28">
        <f>VLOOKUP(Table36[[#This Row],[Spanish]], [2]Sheet1!$1:$1048576, 2, 0)</f>
        <v>59.284039999999997</v>
      </c>
      <c r="M57" s="28">
        <f>VLOOKUP(Table36[[#This Row],[Spanish]], [2]Sheet1!$1:$1048576, 3, 0)</f>
        <v>1.7802020000000001</v>
      </c>
      <c r="N57" s="28">
        <f>VLOOKUP(Table36[[#This Row],[Spanish]], [2]Sheet1!$1:$1048576, 6, 0)</f>
        <v>5.38</v>
      </c>
      <c r="O57" s="28">
        <v>0.36592365100000002</v>
      </c>
      <c r="P57" s="29">
        <v>93</v>
      </c>
      <c r="Q57" s="26">
        <v>100</v>
      </c>
      <c r="R57" s="26">
        <v>2</v>
      </c>
      <c r="S57" s="26">
        <v>0</v>
      </c>
      <c r="T57" s="26">
        <v>0</v>
      </c>
      <c r="U57" s="28">
        <v>2.67</v>
      </c>
    </row>
    <row r="58" spans="1:21" x14ac:dyDescent="0.3">
      <c r="A58" s="25">
        <v>57</v>
      </c>
      <c r="B58" s="26">
        <v>144</v>
      </c>
      <c r="C58" s="27" t="s">
        <v>186</v>
      </c>
      <c r="D58" s="26" t="s">
        <v>187</v>
      </c>
      <c r="E58" s="23" t="s">
        <v>1176</v>
      </c>
      <c r="F58" s="26" t="str">
        <f>VLOOKUP(Table36[[#This Row],[Picture_no]], [3]ENGLISH.txt!$1:$1048576, 2, 0)</f>
        <v>bull fighter</v>
      </c>
      <c r="G58" s="22" t="s">
        <v>1177</v>
      </c>
      <c r="H58" s="26" t="s">
        <v>943</v>
      </c>
      <c r="I58" s="26">
        <f>LEN(Table36[[#This Row],[Spanish]])</f>
        <v>6</v>
      </c>
      <c r="J58" s="26">
        <f>VLOOKUP(Table36[[#This Row],[Spanish]], [1]Sheet1!$1:$1048576, 4, 0)</f>
        <v>6</v>
      </c>
      <c r="K58" s="26">
        <v>3</v>
      </c>
      <c r="L58" s="28">
        <f>VLOOKUP(Table36[[#This Row],[Spanish]], [2]Sheet1!$1:$1048576, 2, 0)</f>
        <v>8.3275780000000008</v>
      </c>
      <c r="M58" s="28" t="str">
        <f>VLOOKUP(Table36[[#This Row],[Spanish]], [2]Sheet1!$1:$1048576, 3, 0)</f>
        <v>0.969769</v>
      </c>
      <c r="N58" s="28">
        <f>VLOOKUP(Table36[[#This Row],[Spanish]], [2]Sheet1!$1:$1048576, 6, 0)</f>
        <v>6.1070000000000002</v>
      </c>
      <c r="O58" s="29">
        <v>0</v>
      </c>
      <c r="P58" s="29">
        <v>100</v>
      </c>
      <c r="Q58" s="26">
        <v>100</v>
      </c>
      <c r="R58" s="26">
        <v>1</v>
      </c>
      <c r="S58" s="26">
        <v>0</v>
      </c>
      <c r="T58" s="26">
        <v>0</v>
      </c>
      <c r="U58" s="28">
        <v>2.74</v>
      </c>
    </row>
    <row r="59" spans="1:21" x14ac:dyDescent="0.3">
      <c r="A59" s="25">
        <v>58</v>
      </c>
      <c r="B59" s="26">
        <v>148</v>
      </c>
      <c r="C59" s="27" t="s">
        <v>192</v>
      </c>
      <c r="D59" s="30" t="s">
        <v>193</v>
      </c>
      <c r="E59" s="23" t="s">
        <v>193</v>
      </c>
      <c r="F59" s="30" t="str">
        <f>VLOOKUP(Table36[[#This Row],[Picture_no]], [3]ENGLISH.txt!$1:$1048576, 2, 0)</f>
        <v>pipe</v>
      </c>
      <c r="G59" s="22" t="s">
        <v>989</v>
      </c>
      <c r="H59" s="26" t="s">
        <v>933</v>
      </c>
      <c r="I59" s="26">
        <f>LEN(Table36[[#This Row],[Spanish]])</f>
        <v>4</v>
      </c>
      <c r="J59" s="26">
        <f>VLOOKUP(Table36[[#This Row],[Spanish]], [1]Sheet1!$1:$1048576, 4, 0)</f>
        <v>4</v>
      </c>
      <c r="K59" s="26">
        <f>VLOOKUP(Table36[[#This Row],[Spanish]], [1]Sheet1!$1:$1048576, 5, 9)</f>
        <v>3</v>
      </c>
      <c r="L59" s="28">
        <f>VLOOKUP(Table36[[#This Row],[Spanish]], [2]Sheet1!$1:$1048576, 2, 0)</f>
        <v>4.3798579999999996</v>
      </c>
      <c r="M59" s="28">
        <f>VLOOKUP(Table36[[#This Row],[Spanish]], [2]Sheet1!$1:$1048576, 3, 0)</f>
        <v>0.73077099999999995</v>
      </c>
      <c r="N59" s="28">
        <f>VLOOKUP(Table36[[#This Row],[Spanish]], [2]Sheet1!$1:$1048576, 6, 0)</f>
        <v>6.2709999999999999</v>
      </c>
      <c r="O59" s="29">
        <v>0</v>
      </c>
      <c r="P59" s="29">
        <v>100</v>
      </c>
      <c r="Q59" s="26">
        <v>100</v>
      </c>
      <c r="R59" s="26">
        <v>1</v>
      </c>
      <c r="S59" s="26">
        <v>0</v>
      </c>
      <c r="T59" s="26">
        <v>0</v>
      </c>
      <c r="U59" s="28">
        <v>1.79</v>
      </c>
    </row>
    <row r="60" spans="1:21" x14ac:dyDescent="0.3">
      <c r="A60" s="25">
        <v>59</v>
      </c>
      <c r="B60" s="26">
        <v>151</v>
      </c>
      <c r="C60" s="27" t="s">
        <v>196</v>
      </c>
      <c r="D60" s="26" t="s">
        <v>197</v>
      </c>
      <c r="E60" s="23" t="s">
        <v>1178</v>
      </c>
      <c r="F60" s="26" t="str">
        <f>VLOOKUP(Table36[[#This Row],[Picture_no]], [3]ENGLISH.txt!$1:$1048576, 2, 0)</f>
        <v>tray</v>
      </c>
      <c r="G60" s="22" t="s">
        <v>990</v>
      </c>
      <c r="H60" s="26" t="s">
        <v>933</v>
      </c>
      <c r="I60" s="26">
        <f>LEN(Table36[[#This Row],[Spanish]])</f>
        <v>7</v>
      </c>
      <c r="J60" s="26">
        <f>VLOOKUP(Table36[[#This Row],[Spanish]], [1]Sheet1!$1:$1048576, 4, 0)</f>
        <v>7</v>
      </c>
      <c r="K60" s="26">
        <f>VLOOKUP(Table36[[#This Row],[Spanish]], [1]Sheet1!$1:$1048576, 5, 9)</f>
        <v>2</v>
      </c>
      <c r="L60" s="28">
        <f>VLOOKUP(Table36[[#This Row],[Spanish]], [2]Sheet1!$1:$1048576, 2, 0)</f>
        <v>3.79501</v>
      </c>
      <c r="M60" s="28" t="str">
        <f>VLOOKUP(Table36[[#This Row],[Spanish]], [2]Sheet1!$1:$1048576, 3, 0)</f>
        <v>0.680790</v>
      </c>
      <c r="N60" s="28">
        <f>VLOOKUP(Table36[[#This Row],[Spanish]], [2]Sheet1!$1:$1048576, 6, 0)</f>
        <v>5.5970000000000004</v>
      </c>
      <c r="O60" s="29">
        <v>0</v>
      </c>
      <c r="P60" s="29">
        <v>100</v>
      </c>
      <c r="Q60" s="26">
        <v>99</v>
      </c>
      <c r="R60" s="26">
        <v>1</v>
      </c>
      <c r="S60" s="26">
        <v>0</v>
      </c>
      <c r="T60" s="26">
        <v>1</v>
      </c>
      <c r="U60" s="28">
        <v>1.61</v>
      </c>
    </row>
    <row r="61" spans="1:21" x14ac:dyDescent="0.3">
      <c r="A61" s="25">
        <v>60</v>
      </c>
      <c r="B61" s="26">
        <v>152</v>
      </c>
      <c r="C61" s="27" t="s">
        <v>198</v>
      </c>
      <c r="D61" s="26" t="s">
        <v>199</v>
      </c>
      <c r="E61" s="23" t="s">
        <v>1457</v>
      </c>
      <c r="F61" s="26" t="str">
        <f>VLOOKUP(Table36[[#This Row],[Picture_no]], [3]ENGLISH.txt!$1:$1048576, 2, 0)</f>
        <v>snail</v>
      </c>
      <c r="G61" s="22" t="s">
        <v>991</v>
      </c>
      <c r="H61" s="26" t="s">
        <v>929</v>
      </c>
      <c r="I61" s="26">
        <f>LEN(Table36[[#This Row],[Spanish]])</f>
        <v>7</v>
      </c>
      <c r="J61" s="26">
        <f>VLOOKUP(Table36[[#This Row],[Spanish]], [1]Sheet1!$1:$1048576, 4, 0)</f>
        <v>7</v>
      </c>
      <c r="K61" s="26">
        <f>VLOOKUP(Table36[[#This Row],[Spanish]], [1]Sheet1!$1:$1048576, 5, 9)</f>
        <v>2</v>
      </c>
      <c r="L61" s="28">
        <f>VLOOKUP(Table36[[#This Row],[Spanish]], [2]Sheet1!$1:$1048576, 2, 0)</f>
        <v>6.8557119999999996</v>
      </c>
      <c r="M61" s="28" t="str">
        <f>VLOOKUP(Table36[[#This Row],[Spanish]], [2]Sheet1!$1:$1048576, 3, 0)</f>
        <v>0.895186</v>
      </c>
      <c r="N61" s="28">
        <f>VLOOKUP(Table36[[#This Row],[Spanish]], [2]Sheet1!$1:$1048576, 6, 0)</f>
        <v>6.5350000000000001</v>
      </c>
      <c r="O61" s="29">
        <v>0</v>
      </c>
      <c r="P61" s="29">
        <v>100</v>
      </c>
      <c r="Q61" s="26">
        <v>100</v>
      </c>
      <c r="R61" s="26">
        <v>1</v>
      </c>
      <c r="S61" s="26">
        <v>0</v>
      </c>
      <c r="T61" s="26">
        <v>0</v>
      </c>
      <c r="U61" s="28">
        <v>2.9191919190000002</v>
      </c>
    </row>
    <row r="62" spans="1:21" x14ac:dyDescent="0.3">
      <c r="A62" s="25">
        <v>61</v>
      </c>
      <c r="B62" s="26">
        <v>154</v>
      </c>
      <c r="C62" s="27" t="s">
        <v>200</v>
      </c>
      <c r="D62" s="30" t="s">
        <v>201</v>
      </c>
      <c r="E62" s="23" t="s">
        <v>1458</v>
      </c>
      <c r="F62" s="30" t="str">
        <f>VLOOKUP(Table36[[#This Row],[Picture_no]], [3]ENGLISH.txt!$1:$1048576, 2, 0)</f>
        <v>dominoes</v>
      </c>
      <c r="G62" s="22" t="s">
        <v>1179</v>
      </c>
      <c r="H62" s="26" t="s">
        <v>933</v>
      </c>
      <c r="I62" s="26">
        <f>LEN(Table36[[#This Row],[Spanish]])</f>
        <v>6</v>
      </c>
      <c r="J62" s="26">
        <f>VLOOKUP(Table36[[#This Row],[Spanish]], [1]Sheet1!$1:$1048576, 4, 0)</f>
        <v>6</v>
      </c>
      <c r="K62" s="26">
        <f>VLOOKUP(Table36[[#This Row],[Spanish]], [1]Sheet1!$1:$1048576, 5, 9)</f>
        <v>3</v>
      </c>
      <c r="L62" s="28">
        <f>VLOOKUP(Table36[[#This Row],[Spanish]], [2]Sheet1!$1:$1048576, 2, 0)</f>
        <v>5.517061</v>
      </c>
      <c r="M62" s="28" t="str">
        <f>VLOOKUP(Table36[[#This Row],[Spanish]], [2]Sheet1!$1:$1048576, 3, 0)</f>
        <v>0.814052</v>
      </c>
      <c r="N62" s="28">
        <f>VLOOKUP(Table36[[#This Row],[Spanish]], [2]Sheet1!$1:$1048576, 6, 0)</f>
        <v>0</v>
      </c>
      <c r="O62" s="29">
        <v>0</v>
      </c>
      <c r="P62" s="29">
        <v>100</v>
      </c>
      <c r="Q62" s="26">
        <v>98</v>
      </c>
      <c r="R62" s="26">
        <v>1</v>
      </c>
      <c r="S62" s="26">
        <v>1</v>
      </c>
      <c r="T62" s="26">
        <v>1</v>
      </c>
      <c r="U62" s="28">
        <v>2.27</v>
      </c>
    </row>
    <row r="63" spans="1:21" x14ac:dyDescent="0.3">
      <c r="A63" s="25">
        <v>62</v>
      </c>
      <c r="B63" s="26">
        <v>155</v>
      </c>
      <c r="C63" s="27" t="s">
        <v>202</v>
      </c>
      <c r="D63" s="26" t="s">
        <v>203</v>
      </c>
      <c r="E63" s="23" t="s">
        <v>203</v>
      </c>
      <c r="F63" s="26" t="str">
        <f>VLOOKUP(Table36[[#This Row],[Picture_no]], [3]ENGLISH.txt!$1:$1048576, 2, 0)</f>
        <v>bullet</v>
      </c>
      <c r="G63" s="22" t="s">
        <v>1180</v>
      </c>
      <c r="H63" s="26" t="s">
        <v>933</v>
      </c>
      <c r="I63" s="26">
        <f>LEN(Table36[[#This Row],[Spanish]])</f>
        <v>4</v>
      </c>
      <c r="J63" s="26">
        <f>VLOOKUP(Table36[[#This Row],[Spanish]], [1]Sheet1!$1:$1048576, 4, 0)</f>
        <v>4</v>
      </c>
      <c r="K63" s="26">
        <f>VLOOKUP(Table36[[#This Row],[Spanish]], [1]Sheet1!$1:$1048576, 5, 9)</f>
        <v>2</v>
      </c>
      <c r="L63" s="28">
        <f>VLOOKUP(Table36[[#This Row],[Spanish]], [2]Sheet1!$1:$1048576, 2, 0)</f>
        <v>9.786448</v>
      </c>
      <c r="M63" s="28">
        <f>VLOOKUP(Table36[[#This Row],[Spanish]], [2]Sheet1!$1:$1048576, 3, 0)</f>
        <v>1.032878</v>
      </c>
      <c r="N63" s="28">
        <f>VLOOKUP(Table36[[#This Row],[Spanish]], [2]Sheet1!$1:$1048576, 6, 0)</f>
        <v>5.5750000000000002</v>
      </c>
      <c r="O63" s="28">
        <v>0.151096971</v>
      </c>
      <c r="P63" s="28">
        <v>97.826086959999998</v>
      </c>
      <c r="Q63" s="26">
        <v>92</v>
      </c>
      <c r="R63" s="26">
        <v>2</v>
      </c>
      <c r="S63" s="26">
        <v>3</v>
      </c>
      <c r="T63" s="26">
        <v>5</v>
      </c>
      <c r="U63" s="28">
        <v>1.96</v>
      </c>
    </row>
    <row r="64" spans="1:21" x14ac:dyDescent="0.3">
      <c r="A64" s="25">
        <v>63</v>
      </c>
      <c r="B64" s="26">
        <v>156</v>
      </c>
      <c r="C64" s="27" t="s">
        <v>204</v>
      </c>
      <c r="D64" s="26" t="s">
        <v>205</v>
      </c>
      <c r="E64" s="23" t="s">
        <v>1181</v>
      </c>
      <c r="F64" s="26" t="str">
        <f>VLOOKUP(Table36[[#This Row],[Picture_no]], [3]ENGLISH.txt!$1:$1048576, 2, 0)</f>
        <v>recorder</v>
      </c>
      <c r="G64" s="22" t="s">
        <v>1182</v>
      </c>
      <c r="H64" s="26" t="s">
        <v>933</v>
      </c>
      <c r="I64" s="26">
        <f>LEN(Table36[[#This Row],[Spanish]])</f>
        <v>6</v>
      </c>
      <c r="J64" s="26">
        <f>VLOOKUP(Table36[[#This Row],[Spanish]], [1]Sheet1!$1:$1048576, 4, 0)</f>
        <v>6</v>
      </c>
      <c r="K64" s="26">
        <f>VLOOKUP(Table36[[#This Row],[Spanish]], [1]Sheet1!$1:$1048576, 5, 9)</f>
        <v>2</v>
      </c>
      <c r="L64" s="28">
        <f>VLOOKUP(Table36[[#This Row],[Spanish]], [2]Sheet1!$1:$1048576, 2, 0)</f>
        <v>7.7752220000000003</v>
      </c>
      <c r="M64" s="28" t="str">
        <f>VLOOKUP(Table36[[#This Row],[Spanish]], [2]Sheet1!$1:$1048576, 3, 0)</f>
        <v>0.943258</v>
      </c>
      <c r="N64" s="28">
        <f>VLOOKUP(Table36[[#This Row],[Spanish]], [2]Sheet1!$1:$1048576, 6, 0)</f>
        <v>5.9710000000000001</v>
      </c>
      <c r="O64" s="29">
        <v>0</v>
      </c>
      <c r="P64" s="29">
        <v>100</v>
      </c>
      <c r="Q64" s="26">
        <v>99</v>
      </c>
      <c r="R64" s="26">
        <v>1</v>
      </c>
      <c r="S64" s="26">
        <v>0</v>
      </c>
      <c r="T64" s="26">
        <v>1</v>
      </c>
      <c r="U64" s="28">
        <v>1.72</v>
      </c>
    </row>
    <row r="65" spans="1:21" x14ac:dyDescent="0.3">
      <c r="A65" s="25">
        <v>64</v>
      </c>
      <c r="B65" s="26">
        <v>158</v>
      </c>
      <c r="C65" s="27" t="s">
        <v>206</v>
      </c>
      <c r="D65" s="26" t="s">
        <v>207</v>
      </c>
      <c r="E65" s="23" t="s">
        <v>207</v>
      </c>
      <c r="F65" s="26" t="str">
        <f>VLOOKUP(Table36[[#This Row],[Picture_no]], [3]ENGLISH.txt!$1:$1048576, 2, 0)</f>
        <v>controller</v>
      </c>
      <c r="G65" s="22" t="s">
        <v>1183</v>
      </c>
      <c r="H65" s="26" t="s">
        <v>933</v>
      </c>
      <c r="I65" s="26">
        <f>LEN(Table36[[#This Row],[Spanish]])</f>
        <v>5</v>
      </c>
      <c r="J65" s="26">
        <f>VLOOKUP(Table36[[#This Row],[Spanish]], [1]Sheet1!$1:$1048576, 4, 0)</f>
        <v>5</v>
      </c>
      <c r="K65" s="26">
        <f>VLOOKUP(Table36[[#This Row],[Spanish]], [1]Sheet1!$1:$1048576, 5, 9)</f>
        <v>3</v>
      </c>
      <c r="L65" s="28">
        <f>VLOOKUP(Table36[[#This Row],[Spanish]], [2]Sheet1!$1:$1048576, 2, 0)</f>
        <v>65.970796000000007</v>
      </c>
      <c r="M65" s="28">
        <f>VLOOKUP(Table36[[#This Row],[Spanish]], [2]Sheet1!$1:$1048576, 3, 0)</f>
        <v>1.825885</v>
      </c>
      <c r="N65" s="28">
        <f>VLOOKUP(Table36[[#This Row],[Spanish]], [2]Sheet1!$1:$1048576, 6, 0)</f>
        <v>4.4619999999999997</v>
      </c>
      <c r="O65" s="28">
        <v>0.19902377500000001</v>
      </c>
      <c r="P65" s="28">
        <v>96.907216489999996</v>
      </c>
      <c r="Q65" s="26">
        <v>97</v>
      </c>
      <c r="R65" s="26">
        <v>2</v>
      </c>
      <c r="S65" s="26">
        <v>0</v>
      </c>
      <c r="T65" s="26">
        <v>3</v>
      </c>
      <c r="U65" s="28">
        <v>2.5099999999999998</v>
      </c>
    </row>
    <row r="66" spans="1:21" x14ac:dyDescent="0.3">
      <c r="A66" s="25">
        <v>65</v>
      </c>
      <c r="B66" s="26">
        <v>159</v>
      </c>
      <c r="C66" s="27" t="s">
        <v>208</v>
      </c>
      <c r="D66" s="30" t="s">
        <v>209</v>
      </c>
      <c r="E66" s="23" t="s">
        <v>1184</v>
      </c>
      <c r="F66" s="30" t="str">
        <f>VLOOKUP(Table36[[#This Row],[Picture_no]], [3]ENGLISH.txt!$1:$1048576, 2, 0)</f>
        <v>beard</v>
      </c>
      <c r="G66" s="22" t="s">
        <v>992</v>
      </c>
      <c r="H66" s="26" t="s">
        <v>930</v>
      </c>
      <c r="I66" s="26">
        <f>LEN(Table36[[#This Row],[Spanish]])</f>
        <v>5</v>
      </c>
      <c r="J66" s="26">
        <f>VLOOKUP(Table36[[#This Row],[Spanish]], [1]Sheet1!$1:$1048576, 4, 0)</f>
        <v>5</v>
      </c>
      <c r="K66" s="26">
        <f>VLOOKUP(Table36[[#This Row],[Spanish]], [1]Sheet1!$1:$1048576, 5, 9)</f>
        <v>2</v>
      </c>
      <c r="L66" s="28">
        <f>VLOOKUP(Table36[[#This Row],[Spanish]], [2]Sheet1!$1:$1048576, 2, 0)</f>
        <v>13.942114</v>
      </c>
      <c r="M66" s="28">
        <f>VLOOKUP(Table36[[#This Row],[Spanish]], [2]Sheet1!$1:$1048576, 3, 0)</f>
        <v>1.174412</v>
      </c>
      <c r="N66" s="28">
        <f>VLOOKUP(Table36[[#This Row],[Spanish]], [2]Sheet1!$1:$1048576, 6, 0)</f>
        <v>6.0549999999999997</v>
      </c>
      <c r="O66" s="29">
        <v>0</v>
      </c>
      <c r="P66" s="29">
        <v>100</v>
      </c>
      <c r="Q66" s="26">
        <v>100</v>
      </c>
      <c r="R66" s="26">
        <v>1</v>
      </c>
      <c r="S66" s="26">
        <v>0</v>
      </c>
      <c r="T66" s="26">
        <v>0</v>
      </c>
      <c r="U66" s="28">
        <v>2.58</v>
      </c>
    </row>
    <row r="67" spans="1:21" x14ac:dyDescent="0.3">
      <c r="A67" s="25">
        <v>66</v>
      </c>
      <c r="B67" s="26">
        <v>161</v>
      </c>
      <c r="C67" s="27" t="s">
        <v>212</v>
      </c>
      <c r="D67" s="26" t="s">
        <v>213</v>
      </c>
      <c r="E67" s="23" t="s">
        <v>1185</v>
      </c>
      <c r="F67" s="26" t="str">
        <f>VLOOKUP(Table36[[#This Row],[Picture_no]], [3]ENGLISH.txt!$1:$1048576, 2, 0)</f>
        <v>tie</v>
      </c>
      <c r="G67" s="22" t="s">
        <v>993</v>
      </c>
      <c r="H67" s="26" t="s">
        <v>940</v>
      </c>
      <c r="I67" s="26">
        <f>LEN(Table36[[#This Row],[Spanish]])</f>
        <v>7</v>
      </c>
      <c r="J67" s="26">
        <f>VLOOKUP(Table36[[#This Row],[Spanish]], [1]Sheet1!$1:$1048576, 4, 0)</f>
        <v>7</v>
      </c>
      <c r="K67" s="26">
        <f>VLOOKUP(Table36[[#This Row],[Spanish]], [1]Sheet1!$1:$1048576, 5, 9)</f>
        <v>3</v>
      </c>
      <c r="L67" s="28">
        <f>VLOOKUP(Table36[[#This Row],[Spanish]], [2]Sheet1!$1:$1048576, 2, 0)</f>
        <v>5.2018930000000001</v>
      </c>
      <c r="M67" s="28" t="str">
        <f>VLOOKUP(Table36[[#This Row],[Spanish]], [2]Sheet1!$1:$1048576, 3, 0)</f>
        <v>0.792524</v>
      </c>
      <c r="N67" s="28">
        <f>VLOOKUP(Table36[[#This Row],[Spanish]], [2]Sheet1!$1:$1048576, 6, 0)</f>
        <v>6.1479999999999997</v>
      </c>
      <c r="O67" s="29">
        <v>0</v>
      </c>
      <c r="P67" s="29">
        <v>100</v>
      </c>
      <c r="Q67" s="26">
        <v>100</v>
      </c>
      <c r="R67" s="26">
        <v>1</v>
      </c>
      <c r="S67" s="26">
        <v>0</v>
      </c>
      <c r="T67" s="26">
        <v>0</v>
      </c>
      <c r="U67" s="28">
        <v>2.0499999999999998</v>
      </c>
    </row>
    <row r="68" spans="1:21" x14ac:dyDescent="0.3">
      <c r="A68" s="25">
        <v>67</v>
      </c>
      <c r="B68" s="26">
        <v>163</v>
      </c>
      <c r="C68" s="27" t="s">
        <v>214</v>
      </c>
      <c r="D68" s="30" t="s">
        <v>215</v>
      </c>
      <c r="E68" s="23" t="s">
        <v>1186</v>
      </c>
      <c r="F68" s="30" t="str">
        <f>VLOOKUP(Table36[[#This Row],[Picture_no]], [3]ENGLISH.txt!$1:$1048576, 2, 0)</f>
        <v>coconut</v>
      </c>
      <c r="G68" s="22" t="s">
        <v>1187</v>
      </c>
      <c r="H68" s="26" t="s">
        <v>934</v>
      </c>
      <c r="I68" s="26">
        <f>LEN(Table36[[#This Row],[Spanish]])</f>
        <v>4</v>
      </c>
      <c r="J68" s="26">
        <f>VLOOKUP(Table36[[#This Row],[Spanish]], [1]Sheet1!$1:$1048576, 4, 0)</f>
        <v>4</v>
      </c>
      <c r="K68" s="26">
        <f>VLOOKUP(Table36[[#This Row],[Spanish]], [1]Sheet1!$1:$1048576, 5, 9)</f>
        <v>3</v>
      </c>
      <c r="L68" s="28">
        <f>VLOOKUP(Table36[[#This Row],[Spanish]], [2]Sheet1!$1:$1048576, 2, 0)</f>
        <v>6.2643659999999999</v>
      </c>
      <c r="M68" s="28">
        <f>VLOOKUP(Table36[[#This Row],[Spanish]], [2]Sheet1!$1:$1048576, 3, 0)</f>
        <v>0.86119800000000002</v>
      </c>
      <c r="N68" s="28">
        <f>VLOOKUP(Table36[[#This Row],[Spanish]], [2]Sheet1!$1:$1048576, 6, 0)</f>
        <v>0</v>
      </c>
      <c r="O68" s="29">
        <v>0</v>
      </c>
      <c r="P68" s="29">
        <v>100</v>
      </c>
      <c r="Q68" s="26">
        <v>99</v>
      </c>
      <c r="R68" s="26">
        <v>1</v>
      </c>
      <c r="S68" s="26">
        <v>0</v>
      </c>
      <c r="T68" s="26">
        <v>1</v>
      </c>
      <c r="U68" s="28">
        <v>2.29</v>
      </c>
    </row>
    <row r="69" spans="1:21" x14ac:dyDescent="0.3">
      <c r="A69" s="25">
        <v>68</v>
      </c>
      <c r="B69" s="26">
        <v>169</v>
      </c>
      <c r="C69" s="27" t="s">
        <v>220</v>
      </c>
      <c r="D69" s="26" t="s">
        <v>221</v>
      </c>
      <c r="E69" s="23" t="s">
        <v>1188</v>
      </c>
      <c r="F69" s="26" t="str">
        <f>VLOOKUP(Table36[[#This Row],[Picture_no]], [3]ENGLISH.txt!$1:$1048576, 2, 0)</f>
        <v>back</v>
      </c>
      <c r="G69" s="22" t="s">
        <v>994</v>
      </c>
      <c r="H69" s="26" t="s">
        <v>930</v>
      </c>
      <c r="I69" s="26">
        <f>LEN(Table36[[#This Row],[Spanish]])</f>
        <v>7</v>
      </c>
      <c r="J69" s="26">
        <f>VLOOKUP(Table36[[#This Row],[Spanish]], [1]Sheet1!$1:$1048576, 4, 0)</f>
        <v>7</v>
      </c>
      <c r="K69" s="26">
        <f>VLOOKUP(Table36[[#This Row],[Spanish]], [1]Sheet1!$1:$1048576, 5, 9)</f>
        <v>3</v>
      </c>
      <c r="L69" s="28">
        <f>VLOOKUP(Table36[[#This Row],[Spanish]], [2]Sheet1!$1:$1048576, 2, 0)</f>
        <v>32.439540000000001</v>
      </c>
      <c r="M69" s="28">
        <f>VLOOKUP(Table36[[#This Row],[Spanish]], [2]Sheet1!$1:$1048576, 3, 0)</f>
        <v>1.5242599999999999</v>
      </c>
      <c r="N69" s="28">
        <f>VLOOKUP(Table36[[#This Row],[Spanish]], [2]Sheet1!$1:$1048576, 6, 0)</f>
        <v>6.48</v>
      </c>
      <c r="O69" s="29">
        <v>0</v>
      </c>
      <c r="P69" s="29">
        <v>100</v>
      </c>
      <c r="Q69" s="26">
        <v>100</v>
      </c>
      <c r="R69" s="26">
        <v>1</v>
      </c>
      <c r="S69" s="26">
        <v>0</v>
      </c>
      <c r="T69" s="26">
        <v>0</v>
      </c>
      <c r="U69" s="28">
        <v>2.0099999999999998</v>
      </c>
    </row>
    <row r="70" spans="1:21" x14ac:dyDescent="0.3">
      <c r="A70" s="25">
        <v>69</v>
      </c>
      <c r="B70" s="26">
        <v>171</v>
      </c>
      <c r="C70" s="27" t="s">
        <v>224</v>
      </c>
      <c r="D70" s="26" t="s">
        <v>225</v>
      </c>
      <c r="E70" s="23" t="s">
        <v>1189</v>
      </c>
      <c r="F70" s="26" t="str">
        <f>VLOOKUP(Table36[[#This Row],[Picture_no]], [3]ENGLISH.txt!$1:$1048576, 2, 0)</f>
        <v>goalkeeper</v>
      </c>
      <c r="G70" s="22" t="s">
        <v>1459</v>
      </c>
      <c r="H70" s="26" t="s">
        <v>943</v>
      </c>
      <c r="I70" s="26">
        <f>LEN(Table36[[#This Row],[Spanish]])</f>
        <v>7</v>
      </c>
      <c r="J70" s="26">
        <f>VLOOKUP(Table36[[#This Row],[Spanish]], [1]Sheet1!$1:$1048576, 4, 0)</f>
        <v>7</v>
      </c>
      <c r="K70" s="26">
        <f>VLOOKUP(Table36[[#This Row],[Spanish]], [1]Sheet1!$1:$1048576, 5, 9)</f>
        <v>3</v>
      </c>
      <c r="L70" s="28">
        <f>VLOOKUP(Table36[[#This Row],[Spanish]], [2]Sheet1!$1:$1048576, 2, 0)</f>
        <v>18.026299000000002</v>
      </c>
      <c r="M70" s="28">
        <f>VLOOKUP(Table36[[#This Row],[Spanish]], [2]Sheet1!$1:$1048576, 3, 0)</f>
        <v>1.2793540000000001</v>
      </c>
      <c r="N70" s="28">
        <f>VLOOKUP(Table36[[#This Row],[Spanish]], [2]Sheet1!$1:$1048576, 6, 0)</f>
        <v>6.1689999999999996</v>
      </c>
      <c r="O70" s="29">
        <v>0</v>
      </c>
      <c r="P70" s="29">
        <v>100</v>
      </c>
      <c r="Q70" s="26">
        <v>96</v>
      </c>
      <c r="R70" s="26">
        <v>1</v>
      </c>
      <c r="S70" s="26">
        <v>0</v>
      </c>
      <c r="T70" s="26">
        <v>4</v>
      </c>
      <c r="U70" s="28">
        <v>2.71</v>
      </c>
    </row>
    <row r="71" spans="1:21" x14ac:dyDescent="0.3">
      <c r="A71" s="25">
        <v>70</v>
      </c>
      <c r="B71" s="26">
        <v>172</v>
      </c>
      <c r="C71" s="27" t="s">
        <v>226</v>
      </c>
      <c r="D71" s="26" t="s">
        <v>227</v>
      </c>
      <c r="E71" s="23" t="s">
        <v>1190</v>
      </c>
      <c r="F71" s="26" t="str">
        <f>VLOOKUP(Table36[[#This Row],[Picture_no]], [3]ENGLISH.txt!$1:$1048576, 2, 0)</f>
        <v>parrot</v>
      </c>
      <c r="G71" s="22" t="s">
        <v>1191</v>
      </c>
      <c r="H71" s="26" t="s">
        <v>929</v>
      </c>
      <c r="I71" s="26">
        <f>LEN(Table36[[#This Row],[Spanish]])</f>
        <v>4</v>
      </c>
      <c r="J71" s="26">
        <f>VLOOKUP(Table36[[#This Row],[Spanish]], [1]Sheet1!$1:$1048576, 4, 0)</f>
        <v>4</v>
      </c>
      <c r="K71" s="26">
        <f>VLOOKUP(Table36[[#This Row],[Spanish]], [1]Sheet1!$1:$1048576, 5, 9)</f>
        <v>2</v>
      </c>
      <c r="L71" s="28">
        <f>VLOOKUP(Table36[[#This Row],[Spanish]], [2]Sheet1!$1:$1048576, 2, 0)</f>
        <v>7.0766549999999997</v>
      </c>
      <c r="M71" s="28">
        <f>VLOOKUP(Table36[[#This Row],[Spanish]], [2]Sheet1!$1:$1048576, 3, 0)</f>
        <v>0.90723200000000004</v>
      </c>
      <c r="N71" s="28">
        <f>VLOOKUP(Table36[[#This Row],[Spanish]], [2]Sheet1!$1:$1048576, 6, 0)</f>
        <v>6.109</v>
      </c>
      <c r="O71" s="29">
        <v>0</v>
      </c>
      <c r="P71" s="29">
        <v>100</v>
      </c>
      <c r="Q71" s="26">
        <v>97</v>
      </c>
      <c r="R71" s="26">
        <v>1</v>
      </c>
      <c r="S71" s="26">
        <v>0</v>
      </c>
      <c r="T71" s="26">
        <v>3</v>
      </c>
      <c r="U71" s="28">
        <v>3.16</v>
      </c>
    </row>
    <row r="72" spans="1:21" x14ac:dyDescent="0.3">
      <c r="A72" s="25">
        <v>71</v>
      </c>
      <c r="B72" s="26">
        <v>175</v>
      </c>
      <c r="C72" s="27" t="s">
        <v>230</v>
      </c>
      <c r="D72" s="26" t="s">
        <v>231</v>
      </c>
      <c r="E72" s="23" t="s">
        <v>1192</v>
      </c>
      <c r="F72" s="26" t="str">
        <f>VLOOKUP(Table36[[#This Row],[Picture_no]], [3]ENGLISH.txt!$1:$1048576, 2, 0)</f>
        <v>artist</v>
      </c>
      <c r="G72" s="22" t="s">
        <v>1193</v>
      </c>
      <c r="H72" s="26" t="s">
        <v>943</v>
      </c>
      <c r="I72" s="26">
        <f>LEN(Table36[[#This Row],[Spanish]])</f>
        <v>6</v>
      </c>
      <c r="J72" s="26">
        <f>VLOOKUP(Table36[[#This Row],[Spanish]], [1]Sheet1!$1:$1048576, 4, 0)</f>
        <v>6</v>
      </c>
      <c r="K72" s="26">
        <f>VLOOKUP(Table36[[#This Row],[Spanish]], [1]Sheet1!$1:$1048576, 5, 9)</f>
        <v>3</v>
      </c>
      <c r="L72" s="28">
        <f>VLOOKUP(Table36[[#This Row],[Spanish]], [2]Sheet1!$1:$1048576, 2, 0)</f>
        <v>38.180793000000001</v>
      </c>
      <c r="M72" s="28">
        <f>VLOOKUP(Table36[[#This Row],[Spanish]], [2]Sheet1!$1:$1048576, 3, 0)</f>
        <v>1.593073</v>
      </c>
      <c r="N72" s="28">
        <f>VLOOKUP(Table36[[#This Row],[Spanish]], [2]Sheet1!$1:$1048576, 6, 0)</f>
        <v>6.0620000000000003</v>
      </c>
      <c r="O72" s="28">
        <v>0.194391858</v>
      </c>
      <c r="P72" s="29">
        <v>97</v>
      </c>
      <c r="Q72" s="26">
        <v>100</v>
      </c>
      <c r="R72" s="26">
        <v>2</v>
      </c>
      <c r="S72" s="26">
        <v>0</v>
      </c>
      <c r="T72" s="26">
        <v>0</v>
      </c>
      <c r="U72" s="28">
        <v>2.93</v>
      </c>
    </row>
    <row r="73" spans="1:21" x14ac:dyDescent="0.3">
      <c r="A73" s="25">
        <v>72</v>
      </c>
      <c r="B73" s="26">
        <v>178</v>
      </c>
      <c r="C73" s="27" t="s">
        <v>232</v>
      </c>
      <c r="D73" s="26" t="s">
        <v>233</v>
      </c>
      <c r="E73" s="23" t="s">
        <v>1194</v>
      </c>
      <c r="F73" s="26" t="str">
        <f>VLOOKUP(Table36[[#This Row],[Picture_no]], [3]ENGLISH.txt!$1:$1048576, 2, 0)</f>
        <v>bridge</v>
      </c>
      <c r="G73" s="22" t="s">
        <v>995</v>
      </c>
      <c r="H73" s="26" t="s">
        <v>932</v>
      </c>
      <c r="I73" s="26">
        <f>LEN(Table36[[#This Row],[Spanish]])</f>
        <v>6</v>
      </c>
      <c r="J73" s="26">
        <f>VLOOKUP(Table36[[#This Row],[Spanish]], [1]Sheet1!$1:$1048576, 4, 0)</f>
        <v>6</v>
      </c>
      <c r="K73" s="26">
        <f>VLOOKUP(Table36[[#This Row],[Spanish]], [1]Sheet1!$1:$1048576, 5, 9)</f>
        <v>3</v>
      </c>
      <c r="L73" s="28">
        <f>VLOOKUP(Table36[[#This Row],[Spanish]], [2]Sheet1!$1:$1048576, 2, 0)</f>
        <v>63.377972</v>
      </c>
      <c r="M73" s="28">
        <f>VLOOKUP(Table36[[#This Row],[Spanish]], [2]Sheet1!$1:$1048576, 3, 0)</f>
        <v>1.808737</v>
      </c>
      <c r="N73" s="28">
        <f>VLOOKUP(Table36[[#This Row],[Spanish]], [2]Sheet1!$1:$1048576, 6, 0)</f>
        <v>5.6950000000000003</v>
      </c>
      <c r="O73" s="28">
        <v>0.14257333</v>
      </c>
      <c r="P73" s="28">
        <v>97.979797980000001</v>
      </c>
      <c r="Q73" s="26">
        <v>99</v>
      </c>
      <c r="R73" s="26">
        <v>2</v>
      </c>
      <c r="S73" s="26">
        <v>0</v>
      </c>
      <c r="T73" s="26">
        <v>1</v>
      </c>
      <c r="U73" s="28">
        <v>2.5858585860000001</v>
      </c>
    </row>
    <row r="74" spans="1:21" x14ac:dyDescent="0.3">
      <c r="A74" s="25">
        <v>73</v>
      </c>
      <c r="B74" s="26">
        <v>184</v>
      </c>
      <c r="C74" s="27" t="s">
        <v>236</v>
      </c>
      <c r="D74" s="26" t="s">
        <v>237</v>
      </c>
      <c r="E74" s="23" t="s">
        <v>1195</v>
      </c>
      <c r="F74" s="26" t="str">
        <f>VLOOKUP(Table36[[#This Row],[Picture_no]], [3]ENGLISH.txt!$1:$1048576, 2, 0)</f>
        <v>witch</v>
      </c>
      <c r="G74" s="22" t="s">
        <v>996</v>
      </c>
      <c r="H74" s="26" t="s">
        <v>931</v>
      </c>
      <c r="I74" s="26">
        <f>LEN(Table36[[#This Row],[Spanish]])</f>
        <v>5</v>
      </c>
      <c r="J74" s="26">
        <f>VLOOKUP(Table36[[#This Row],[Spanish]], [1]Sheet1!$1:$1048576, 4, 0)</f>
        <v>5</v>
      </c>
      <c r="K74" s="26">
        <f>VLOOKUP(Table36[[#This Row],[Spanish]], [1]Sheet1!$1:$1048576, 5, 9)</f>
        <v>2</v>
      </c>
      <c r="L74" s="28">
        <f>VLOOKUP(Table36[[#This Row],[Spanish]], [2]Sheet1!$1:$1048576, 2, 0)</f>
        <v>9.2275939999999999</v>
      </c>
      <c r="M74" s="28">
        <f>VLOOKUP(Table36[[#This Row],[Spanish]], [2]Sheet1!$1:$1048576, 3, 0)</f>
        <v>1.009773</v>
      </c>
      <c r="N74" s="28">
        <f>VLOOKUP(Table36[[#This Row],[Spanish]], [2]Sheet1!$1:$1048576, 6, 0)</f>
        <v>6.1269999999999998</v>
      </c>
      <c r="O74" s="29">
        <v>0</v>
      </c>
      <c r="P74" s="29">
        <v>100</v>
      </c>
      <c r="Q74" s="26">
        <v>99</v>
      </c>
      <c r="R74" s="26">
        <v>1</v>
      </c>
      <c r="S74" s="26">
        <v>0</v>
      </c>
      <c r="T74" s="26">
        <v>1</v>
      </c>
      <c r="U74" s="28">
        <v>2.88</v>
      </c>
    </row>
    <row r="75" spans="1:21" x14ac:dyDescent="0.3">
      <c r="A75" s="25">
        <v>74</v>
      </c>
      <c r="B75" s="26">
        <v>185</v>
      </c>
      <c r="C75" s="27" t="s">
        <v>238</v>
      </c>
      <c r="D75" s="26" t="s">
        <v>239</v>
      </c>
      <c r="E75" s="23" t="s">
        <v>1196</v>
      </c>
      <c r="F75" s="26" t="str">
        <f>VLOOKUP(Table36[[#This Row],[Picture_no]], [3]ENGLISH.txt!$1:$1048576, 2, 0)</f>
        <v>football</v>
      </c>
      <c r="G75" s="22" t="s">
        <v>1197</v>
      </c>
      <c r="H75" s="26" t="s">
        <v>933</v>
      </c>
      <c r="I75" s="26">
        <f>LEN(Table36[[#This Row],[Spanish]])</f>
        <v>5</v>
      </c>
      <c r="J75" s="26">
        <f>VLOOKUP(Table36[[#This Row],[Spanish]], [1]Sheet1!$1:$1048576, 4, 0)</f>
        <v>5</v>
      </c>
      <c r="K75" s="26">
        <f>VLOOKUP(Table36[[#This Row],[Spanish]], [1]Sheet1!$1:$1048576, 5, 9)</f>
        <v>2</v>
      </c>
      <c r="L75" s="28">
        <f>VLOOKUP(Table36[[#This Row],[Spanish]], [2]Sheet1!$1:$1048576, 2, 0)</f>
        <v>21.935030000000001</v>
      </c>
      <c r="M75" s="28">
        <f>VLOOKUP(Table36[[#This Row],[Spanish]], [2]Sheet1!$1:$1048576, 3, 0)</f>
        <v>1.3604989999999999</v>
      </c>
      <c r="N75" s="28">
        <f>VLOOKUP(Table36[[#This Row],[Spanish]], [2]Sheet1!$1:$1048576, 6, 0)</f>
        <v>6.3550000000000004</v>
      </c>
      <c r="O75" s="28">
        <v>0.194391858</v>
      </c>
      <c r="P75" s="29">
        <v>97</v>
      </c>
      <c r="Q75" s="26">
        <v>100</v>
      </c>
      <c r="R75" s="26">
        <v>2</v>
      </c>
      <c r="S75" s="26">
        <v>0</v>
      </c>
      <c r="T75" s="26">
        <v>0</v>
      </c>
      <c r="U75" s="28">
        <v>1.7</v>
      </c>
    </row>
    <row r="76" spans="1:21" x14ac:dyDescent="0.3">
      <c r="A76" s="25">
        <v>75</v>
      </c>
      <c r="B76" s="26">
        <v>186</v>
      </c>
      <c r="C76" s="27" t="s">
        <v>240</v>
      </c>
      <c r="D76" s="26" t="s">
        <v>241</v>
      </c>
      <c r="E76" s="23" t="s">
        <v>1198</v>
      </c>
      <c r="F76" s="26" t="str">
        <f>VLOOKUP(Table36[[#This Row],[Picture_no]], [3]ENGLISH.txt!$1:$1048576, 2, 0)</f>
        <v>engine</v>
      </c>
      <c r="G76" s="22" t="s">
        <v>1199</v>
      </c>
      <c r="H76" s="26" t="s">
        <v>933</v>
      </c>
      <c r="I76" s="26">
        <f>LEN(Table36[[#This Row],[Spanish]])</f>
        <v>5</v>
      </c>
      <c r="J76" s="26">
        <f>VLOOKUP(Table36[[#This Row],[Spanish]], [1]Sheet1!$1:$1048576, 4, 0)</f>
        <v>5</v>
      </c>
      <c r="K76" s="26">
        <f>VLOOKUP(Table36[[#This Row],[Spanish]], [1]Sheet1!$1:$1048576, 5, 9)</f>
        <v>3</v>
      </c>
      <c r="L76" s="28">
        <f>VLOOKUP(Table36[[#This Row],[Spanish]], [2]Sheet1!$1:$1048576, 2, 0)</f>
        <v>49.299393999999999</v>
      </c>
      <c r="M76" s="28">
        <f>VLOOKUP(Table36[[#This Row],[Spanish]], [2]Sheet1!$1:$1048576, 3, 0)</f>
        <v>1.7015629999999999</v>
      </c>
      <c r="N76" s="28">
        <f>VLOOKUP(Table36[[#This Row],[Spanish]], [2]Sheet1!$1:$1048576, 6, 0)</f>
        <v>5.6520000000000001</v>
      </c>
      <c r="O76" s="29">
        <v>0</v>
      </c>
      <c r="P76" s="29">
        <v>100</v>
      </c>
      <c r="Q76" s="26">
        <v>84</v>
      </c>
      <c r="R76" s="26">
        <v>1</v>
      </c>
      <c r="S76" s="26">
        <v>13</v>
      </c>
      <c r="T76" s="26">
        <v>3</v>
      </c>
      <c r="U76" s="28">
        <v>3.78</v>
      </c>
    </row>
    <row r="77" spans="1:21" x14ac:dyDescent="0.3">
      <c r="A77" s="25">
        <v>76</v>
      </c>
      <c r="B77" s="26">
        <v>187</v>
      </c>
      <c r="C77" s="27" t="s">
        <v>242</v>
      </c>
      <c r="D77" s="26" t="s">
        <v>243</v>
      </c>
      <c r="E77" s="23" t="s">
        <v>1200</v>
      </c>
      <c r="F77" s="26" t="str">
        <f>VLOOKUP(Table36[[#This Row],[Picture_no]], [3]ENGLISH.txt!$1:$1048576, 2, 0)</f>
        <v>city</v>
      </c>
      <c r="G77" s="22" t="s">
        <v>1201</v>
      </c>
      <c r="H77" s="26" t="s">
        <v>932</v>
      </c>
      <c r="I77" s="26">
        <f>LEN(Table36[[#This Row],[Spanish]])</f>
        <v>6</v>
      </c>
      <c r="J77" s="26">
        <f>VLOOKUP(Table36[[#This Row],[Spanish]], [1]Sheet1!$1:$1048576, 4, 0)</f>
        <v>6</v>
      </c>
      <c r="K77" s="26">
        <f>VLOOKUP(Table36[[#This Row],[Spanish]], [1]Sheet1!$1:$1048576, 5, 9)</f>
        <v>3</v>
      </c>
      <c r="L77" s="28">
        <f>VLOOKUP(Table36[[#This Row],[Spanish]], [2]Sheet1!$1:$1048576, 2, 0)</f>
        <v>657.55377499999997</v>
      </c>
      <c r="M77" s="28">
        <f>VLOOKUP(Table36[[#This Row],[Spanish]], [2]Sheet1!$1:$1048576, 3, 0)</f>
        <v>2.8185910000000001</v>
      </c>
      <c r="N77" s="28">
        <f>VLOOKUP(Table36[[#This Row],[Spanish]], [2]Sheet1!$1:$1048576, 6, 0)</f>
        <v>6.1879999999999997</v>
      </c>
      <c r="O77" s="28">
        <v>0.44569317800000002</v>
      </c>
      <c r="P77" s="28">
        <v>90.721649479999996</v>
      </c>
      <c r="Q77" s="26">
        <v>97</v>
      </c>
      <c r="R77" s="26">
        <v>2</v>
      </c>
      <c r="S77" s="26">
        <v>0</v>
      </c>
      <c r="T77" s="26">
        <v>3</v>
      </c>
      <c r="U77" s="28">
        <v>3.23</v>
      </c>
    </row>
    <row r="78" spans="1:21" x14ac:dyDescent="0.3">
      <c r="A78" s="25">
        <v>77</v>
      </c>
      <c r="B78" s="26">
        <v>193</v>
      </c>
      <c r="C78" s="27" t="s">
        <v>251</v>
      </c>
      <c r="D78" s="26" t="s">
        <v>252</v>
      </c>
      <c r="E78" s="23" t="s">
        <v>1202</v>
      </c>
      <c r="F78" s="26" t="str">
        <f>VLOOKUP(Table36[[#This Row],[Picture_no]], [3]ENGLISH.txt!$1:$1048576, 2, 0)</f>
        <v>jellyfish</v>
      </c>
      <c r="G78" s="22" t="s">
        <v>1203</v>
      </c>
      <c r="H78" s="26" t="s">
        <v>929</v>
      </c>
      <c r="I78" s="26">
        <f>LEN(Table36[[#This Row],[Spanish]])</f>
        <v>6</v>
      </c>
      <c r="J78" s="26">
        <f>VLOOKUP(Table36[[#This Row],[Spanish]], [1]Sheet1!$1:$1048576, 4, 0)</f>
        <v>6</v>
      </c>
      <c r="K78" s="26">
        <f>VLOOKUP(Table36[[#This Row],[Spanish]], [1]Sheet1!$1:$1048576, 5, 9)</f>
        <v>3</v>
      </c>
      <c r="L78" s="28">
        <f>VLOOKUP(Table36[[#This Row],[Spanish]], [2]Sheet1!$1:$1048576, 2, 0)</f>
        <v>1.822775</v>
      </c>
      <c r="M78" s="28" t="str">
        <f>VLOOKUP(Table36[[#This Row],[Spanish]], [2]Sheet1!$1:$1048576, 3, 0)</f>
        <v>0.450676</v>
      </c>
      <c r="N78" s="28">
        <f>VLOOKUP(Table36[[#This Row],[Spanish]], [2]Sheet1!$1:$1048576, 6, 0)</f>
        <v>0</v>
      </c>
      <c r="O78" s="29">
        <v>0</v>
      </c>
      <c r="P78" s="29">
        <v>100</v>
      </c>
      <c r="Q78" s="26">
        <v>95</v>
      </c>
      <c r="R78" s="26">
        <v>1</v>
      </c>
      <c r="S78" s="26">
        <v>3</v>
      </c>
      <c r="T78" s="26">
        <v>2</v>
      </c>
      <c r="U78" s="28">
        <v>2.61</v>
      </c>
    </row>
    <row r="79" spans="1:21" x14ac:dyDescent="0.3">
      <c r="A79" s="25">
        <v>78</v>
      </c>
      <c r="B79" s="26">
        <v>197</v>
      </c>
      <c r="C79" s="27" t="s">
        <v>255</v>
      </c>
      <c r="D79" s="26" t="s">
        <v>256</v>
      </c>
      <c r="E79" s="23" t="s">
        <v>1204</v>
      </c>
      <c r="F79" s="26" t="str">
        <f>VLOOKUP(Table36[[#This Row],[Picture_no]], [3]ENGLISH.txt!$1:$1048576, 2, 0)</f>
        <v>compass</v>
      </c>
      <c r="G79" s="22" t="s">
        <v>1205</v>
      </c>
      <c r="H79" s="26" t="s">
        <v>933</v>
      </c>
      <c r="I79" s="26">
        <f>LEN(Table36[[#This Row],[Spanish]])</f>
        <v>6</v>
      </c>
      <c r="J79" s="26">
        <f>VLOOKUP(Table36[[#This Row],[Spanish]], [1]Sheet1!$1:$1048576, 4, 0)</f>
        <v>6</v>
      </c>
      <c r="K79" s="26">
        <f>VLOOKUP(Table36[[#This Row],[Spanish]], [1]Sheet1!$1:$1048576, 5, 9)</f>
        <v>2</v>
      </c>
      <c r="L79" s="28">
        <f>VLOOKUP(Table36[[#This Row],[Spanish]], [2]Sheet1!$1:$1048576, 2, 0)</f>
        <v>6.9921769999999999</v>
      </c>
      <c r="M79" s="28" t="str">
        <f>VLOOKUP(Table36[[#This Row],[Spanish]], [2]Sheet1!$1:$1048576, 3, 0)</f>
        <v>0.902665</v>
      </c>
      <c r="N79" s="28">
        <f>VLOOKUP(Table36[[#This Row],[Spanish]], [2]Sheet1!$1:$1048576, 6, 0)</f>
        <v>6.1820000000000004</v>
      </c>
      <c r="O79" s="29">
        <v>0</v>
      </c>
      <c r="P79" s="29">
        <v>100</v>
      </c>
      <c r="Q79" s="26">
        <v>99</v>
      </c>
      <c r="R79" s="26">
        <v>1</v>
      </c>
      <c r="S79" s="26">
        <v>1</v>
      </c>
      <c r="T79" s="26">
        <v>0</v>
      </c>
      <c r="U79" s="28">
        <v>2.5299999999999998</v>
      </c>
    </row>
    <row r="80" spans="1:21" x14ac:dyDescent="0.3">
      <c r="A80" s="25">
        <v>79</v>
      </c>
      <c r="B80" s="26">
        <v>199</v>
      </c>
      <c r="C80" s="27" t="s">
        <v>257</v>
      </c>
      <c r="D80" s="26" t="s">
        <v>258</v>
      </c>
      <c r="E80" s="23" t="s">
        <v>1206</v>
      </c>
      <c r="F80" s="26" t="str">
        <f>VLOOKUP(Table36[[#This Row],[Picture_no]], [3]ENGLISH.txt!$1:$1048576, 2, 0)</f>
        <v>skirt</v>
      </c>
      <c r="G80" s="22" t="s">
        <v>997</v>
      </c>
      <c r="H80" s="26" t="s">
        <v>940</v>
      </c>
      <c r="I80" s="26">
        <f>LEN(Table36[[#This Row],[Spanish]])</f>
        <v>5</v>
      </c>
      <c r="J80" s="26">
        <f>VLOOKUP(Table36[[#This Row],[Spanish]], [1]Sheet1!$1:$1048576, 4, 0)</f>
        <v>5</v>
      </c>
      <c r="K80" s="26">
        <f>VLOOKUP(Table36[[#This Row],[Spanish]], [1]Sheet1!$1:$1048576, 5, 9)</f>
        <v>3</v>
      </c>
      <c r="L80" s="28">
        <f>VLOOKUP(Table36[[#This Row],[Spanish]], [2]Sheet1!$1:$1048576, 2, 0)</f>
        <v>8.3373259999999991</v>
      </c>
      <c r="M80" s="28">
        <f>VLOOKUP(Table36[[#This Row],[Spanish]], [2]Sheet1!$1:$1048576, 3, 0)</f>
        <v>0.97022299999999995</v>
      </c>
      <c r="N80" s="28">
        <f>VLOOKUP(Table36[[#This Row],[Spanish]], [2]Sheet1!$1:$1048576, 6, 0)</f>
        <v>6.5910000000000002</v>
      </c>
      <c r="O80" s="29">
        <v>0</v>
      </c>
      <c r="P80" s="29">
        <v>100</v>
      </c>
      <c r="Q80" s="26">
        <v>100</v>
      </c>
      <c r="R80" s="26">
        <v>1</v>
      </c>
      <c r="S80" s="26">
        <v>0</v>
      </c>
      <c r="T80" s="26">
        <v>0</v>
      </c>
      <c r="U80" s="28">
        <v>2.3199999999999998</v>
      </c>
    </row>
    <row r="81" spans="1:21" x14ac:dyDescent="0.3">
      <c r="A81" s="25">
        <v>80</v>
      </c>
      <c r="B81" s="26">
        <v>202</v>
      </c>
      <c r="C81" s="27" t="s">
        <v>261</v>
      </c>
      <c r="D81" s="26" t="s">
        <v>262</v>
      </c>
      <c r="E81" s="23" t="s">
        <v>1207</v>
      </c>
      <c r="F81" s="26" t="str">
        <f>VLOOKUP(Table36[[#This Row],[Picture_no]], [3]ENGLISH.txt!$1:$1048576, 2, 0)</f>
        <v>fishing rod</v>
      </c>
      <c r="G81" s="22" t="s">
        <v>1208</v>
      </c>
      <c r="H81" s="26" t="s">
        <v>933</v>
      </c>
      <c r="I81" s="26">
        <f>LEN(Table36[[#This Row],[Spanish]])</f>
        <v>4</v>
      </c>
      <c r="J81" s="26">
        <f>VLOOKUP(Table36[[#This Row],[Spanish]], [1]Sheet1!$1:$1048576, 4, 0)</f>
        <v>4</v>
      </c>
      <c r="K81" s="26">
        <f>VLOOKUP(Table36[[#This Row],[Spanish]], [1]Sheet1!$1:$1048576, 5, 9)</f>
        <v>2</v>
      </c>
      <c r="L81" s="28">
        <f>VLOOKUP(Table36[[#This Row],[Spanish]], [2]Sheet1!$1:$1048576, 2, 0)</f>
        <v>11.141344999999999</v>
      </c>
      <c r="M81" s="28">
        <f>VLOOKUP(Table36[[#This Row],[Spanish]], [2]Sheet1!$1:$1048576, 3, 0)</f>
        <v>1.0842670000000001</v>
      </c>
      <c r="N81" s="28">
        <f>VLOOKUP(Table36[[#This Row],[Spanish]], [2]Sheet1!$1:$1048576, 6, 0)</f>
        <v>0</v>
      </c>
      <c r="O81" s="29">
        <v>0</v>
      </c>
      <c r="P81" s="29">
        <v>100</v>
      </c>
      <c r="Q81" s="26">
        <v>98</v>
      </c>
      <c r="R81" s="26">
        <v>1</v>
      </c>
      <c r="S81" s="26">
        <v>0</v>
      </c>
      <c r="T81" s="26">
        <v>2</v>
      </c>
      <c r="U81" s="28">
        <v>2.21</v>
      </c>
    </row>
    <row r="82" spans="1:21" x14ac:dyDescent="0.3">
      <c r="A82" s="25">
        <v>81</v>
      </c>
      <c r="B82" s="26">
        <v>212</v>
      </c>
      <c r="C82" s="27" t="s">
        <v>271</v>
      </c>
      <c r="D82" s="26" t="s">
        <v>272</v>
      </c>
      <c r="E82" s="23" t="s">
        <v>1209</v>
      </c>
      <c r="F82" s="26" t="str">
        <f>VLOOKUP(Table36[[#This Row],[Picture_no]], [3]ENGLISH.txt!$1:$1048576, 2, 0)</f>
        <v>scales</v>
      </c>
      <c r="G82" s="22" t="s">
        <v>998</v>
      </c>
      <c r="H82" s="26" t="s">
        <v>933</v>
      </c>
      <c r="I82" s="26">
        <f>LEN(Table36[[#This Row],[Spanish]])</f>
        <v>7</v>
      </c>
      <c r="J82" s="26">
        <f>VLOOKUP(Table36[[#This Row],[Spanish]], [1]Sheet1!$1:$1048576, 4, 0)</f>
        <v>7</v>
      </c>
      <c r="K82" s="26">
        <f>VLOOKUP(Table36[[#This Row],[Spanish]], [1]Sheet1!$1:$1048576, 5, 9)</f>
        <v>2</v>
      </c>
      <c r="L82" s="28">
        <f>VLOOKUP(Table36[[#This Row],[Spanish]], [2]Sheet1!$1:$1048576, 2, 0)</f>
        <v>8.3698169999999994</v>
      </c>
      <c r="M82" s="28" t="str">
        <f>VLOOKUP(Table36[[#This Row],[Spanish]], [2]Sheet1!$1:$1048576, 3, 0)</f>
        <v>0.971731</v>
      </c>
      <c r="N82" s="28">
        <f>VLOOKUP(Table36[[#This Row],[Spanish]], [2]Sheet1!$1:$1048576, 6, 0)</f>
        <v>6.008</v>
      </c>
      <c r="O82" s="28">
        <v>0.39156941699999998</v>
      </c>
      <c r="P82" s="28">
        <v>93.81443299</v>
      </c>
      <c r="Q82" s="26">
        <v>97</v>
      </c>
      <c r="R82" s="26">
        <v>3</v>
      </c>
      <c r="S82" s="26">
        <v>0</v>
      </c>
      <c r="T82" s="26">
        <v>3</v>
      </c>
      <c r="U82" s="28">
        <v>2.0202020200000002</v>
      </c>
    </row>
    <row r="83" spans="1:21" x14ac:dyDescent="0.3">
      <c r="A83" s="25">
        <v>82</v>
      </c>
      <c r="B83" s="26">
        <v>215</v>
      </c>
      <c r="C83" s="27" t="s">
        <v>275</v>
      </c>
      <c r="D83" s="30" t="s">
        <v>276</v>
      </c>
      <c r="E83" s="23" t="s">
        <v>276</v>
      </c>
      <c r="F83" s="30" t="str">
        <f>VLOOKUP(Table36[[#This Row],[Picture_no]], [3]ENGLISH.txt!$1:$1048576, 2, 0)</f>
        <v>boot</v>
      </c>
      <c r="G83" s="22" t="s">
        <v>999</v>
      </c>
      <c r="H83" s="26" t="s">
        <v>940</v>
      </c>
      <c r="I83" s="26">
        <f>LEN(Table36[[#This Row],[Spanish]])</f>
        <v>4</v>
      </c>
      <c r="J83" s="26">
        <f>VLOOKUP(Table36[[#This Row],[Spanish]], [1]Sheet1!$1:$1048576, 4, 0)</f>
        <v>4</v>
      </c>
      <c r="K83" s="26">
        <f>VLOOKUP(Table36[[#This Row],[Spanish]], [1]Sheet1!$1:$1048576, 5, 9)</f>
        <v>2</v>
      </c>
      <c r="L83" s="28">
        <f>VLOOKUP(Table36[[#This Row],[Spanish]], [2]Sheet1!$1:$1048576, 2, 0)</f>
        <v>3.4311050000000001</v>
      </c>
      <c r="M83" s="28" t="str">
        <f>VLOOKUP(Table36[[#This Row],[Spanish]], [2]Sheet1!$1:$1048576, 3, 0)</f>
        <v>0.646512</v>
      </c>
      <c r="N83" s="28">
        <f>VLOOKUP(Table36[[#This Row],[Spanish]], [2]Sheet1!$1:$1048576, 6, 0)</f>
        <v>6.7489999999999997</v>
      </c>
      <c r="O83" s="28">
        <v>0.28853851400000002</v>
      </c>
      <c r="P83" s="28">
        <v>94.949494950000002</v>
      </c>
      <c r="Q83" s="26">
        <v>99</v>
      </c>
      <c r="R83" s="26">
        <v>2</v>
      </c>
      <c r="S83" s="26">
        <v>0</v>
      </c>
      <c r="T83" s="26">
        <v>1</v>
      </c>
      <c r="U83" s="28">
        <v>2.5</v>
      </c>
    </row>
    <row r="84" spans="1:21" x14ac:dyDescent="0.3">
      <c r="A84" s="25">
        <v>83</v>
      </c>
      <c r="B84" s="26">
        <v>218</v>
      </c>
      <c r="C84" s="27" t="s">
        <v>279</v>
      </c>
      <c r="D84" s="26" t="s">
        <v>280</v>
      </c>
      <c r="E84" s="23" t="s">
        <v>1210</v>
      </c>
      <c r="F84" s="26" t="str">
        <f>VLOOKUP(Table36[[#This Row],[Picture_no]], [3]ENGLISH.txt!$1:$1048576, 2, 0)</f>
        <v>nappy</v>
      </c>
      <c r="G84" s="22" t="s">
        <v>1211</v>
      </c>
      <c r="H84" s="26" t="s">
        <v>933</v>
      </c>
      <c r="I84" s="26">
        <f>LEN(Table36[[#This Row],[Spanish]])</f>
        <v>5</v>
      </c>
      <c r="J84" s="26">
        <f>VLOOKUP(Table36[[#This Row],[Spanish]], [1]Sheet1!$1:$1048576, 4, 0)</f>
        <v>5</v>
      </c>
      <c r="K84" s="26">
        <f>VLOOKUP(Table36[[#This Row],[Spanish]], [1]Sheet1!$1:$1048576, 5, 9)</f>
        <v>3</v>
      </c>
      <c r="L84" s="28">
        <f>VLOOKUP(Table36[[#This Row],[Spanish]], [2]Sheet1!$1:$1048576, 2, 0)</f>
        <v>0.40614400000000001</v>
      </c>
      <c r="M84" s="28" t="str">
        <f>VLOOKUP(Table36[[#This Row],[Spanish]], [2]Sheet1!$1:$1048576, 3, 0)</f>
        <v>0.148030</v>
      </c>
      <c r="N84" s="28">
        <f>VLOOKUP(Table36[[#This Row],[Spanish]], [2]Sheet1!$1:$1048576, 6, 0)</f>
        <v>0</v>
      </c>
      <c r="O84" s="28">
        <v>0.42958550499999998</v>
      </c>
      <c r="P84" s="28">
        <v>92.929292930000003</v>
      </c>
      <c r="Q84" s="26">
        <v>99</v>
      </c>
      <c r="R84" s="26">
        <v>3</v>
      </c>
      <c r="S84" s="26">
        <v>0</v>
      </c>
      <c r="T84" s="26">
        <v>1</v>
      </c>
      <c r="U84" s="28">
        <v>2.48</v>
      </c>
    </row>
    <row r="85" spans="1:21" x14ac:dyDescent="0.3">
      <c r="A85" s="25">
        <v>84</v>
      </c>
      <c r="B85" s="26">
        <v>224</v>
      </c>
      <c r="C85" s="27" t="s">
        <v>287</v>
      </c>
      <c r="D85" s="26" t="s">
        <v>288</v>
      </c>
      <c r="E85" s="23" t="s">
        <v>1212</v>
      </c>
      <c r="F85" s="26" t="str">
        <f>VLOOKUP(Table36[[#This Row],[Picture_no]], [3]ENGLISH.txt!$1:$1048576, 2, 0)</f>
        <v>Paint brush</v>
      </c>
      <c r="G85" s="22" t="s">
        <v>1000</v>
      </c>
      <c r="H85" s="26" t="s">
        <v>933</v>
      </c>
      <c r="I85" s="26">
        <f>LEN(Table36[[#This Row],[Spanish]])</f>
        <v>6</v>
      </c>
      <c r="J85" s="26">
        <f>VLOOKUP(Table36[[#This Row],[Spanish]], [1]Sheet1!$1:$1048576, 4, 0)</f>
        <v>6</v>
      </c>
      <c r="K85" s="26">
        <f>VLOOKUP(Table36[[#This Row],[Spanish]], [1]Sheet1!$1:$1048576, 5, 9)</f>
        <v>3</v>
      </c>
      <c r="L85" s="28">
        <f>VLOOKUP(Table36[[#This Row],[Spanish]], [2]Sheet1!$1:$1048576, 2, 0)</f>
        <v>2.3783799999999999</v>
      </c>
      <c r="M85" s="28" t="str">
        <f>VLOOKUP(Table36[[#This Row],[Spanish]], [2]Sheet1!$1:$1048576, 3, 0)</f>
        <v>0.528708</v>
      </c>
      <c r="N85" s="28">
        <f>VLOOKUP(Table36[[#This Row],[Spanish]], [2]Sheet1!$1:$1048576, 6, 0)</f>
        <v>5.86</v>
      </c>
      <c r="O85" s="29">
        <v>0</v>
      </c>
      <c r="P85" s="29">
        <v>100</v>
      </c>
      <c r="Q85" s="26">
        <v>100</v>
      </c>
      <c r="R85" s="26">
        <v>1</v>
      </c>
      <c r="S85" s="26">
        <v>0</v>
      </c>
      <c r="T85" s="26">
        <v>0</v>
      </c>
      <c r="U85" s="28">
        <v>1.96</v>
      </c>
    </row>
    <row r="86" spans="1:21" x14ac:dyDescent="0.3">
      <c r="A86" s="25">
        <v>85</v>
      </c>
      <c r="B86" s="26">
        <v>226</v>
      </c>
      <c r="C86" s="27" t="s">
        <v>289</v>
      </c>
      <c r="D86" s="30" t="s">
        <v>290</v>
      </c>
      <c r="E86" s="23" t="s">
        <v>1213</v>
      </c>
      <c r="F86" s="30" t="str">
        <f>VLOOKUP(Table36[[#This Row],[Picture_no]], [3]ENGLISH.txt!$1:$1048576, 2, 0)</f>
        <v>train</v>
      </c>
      <c r="G86" s="22" t="s">
        <v>1001</v>
      </c>
      <c r="H86" s="26" t="s">
        <v>938</v>
      </c>
      <c r="I86" s="26">
        <f>LEN(Table36[[#This Row],[Spanish]])</f>
        <v>4</v>
      </c>
      <c r="J86" s="26">
        <f>VLOOKUP(Table36[[#This Row],[Spanish]], [1]Sheet1!$1:$1048576, 4, 0)</f>
        <v>4</v>
      </c>
      <c r="K86" s="26">
        <v>1</v>
      </c>
      <c r="L86" s="28">
        <f>VLOOKUP(Table36[[#This Row],[Spanish]], [2]Sheet1!$1:$1048576, 2, 0)</f>
        <v>40.396715</v>
      </c>
      <c r="M86" s="28">
        <f>VLOOKUP(Table36[[#This Row],[Spanish]], [2]Sheet1!$1:$1048576, 3, 0)</f>
        <v>1.6169659999999999</v>
      </c>
      <c r="N86" s="28">
        <f>VLOOKUP(Table36[[#This Row],[Spanish]], [2]Sheet1!$1:$1048576, 6, 0)</f>
        <v>6.5279999999999996</v>
      </c>
      <c r="O86" s="28">
        <v>0.195909271</v>
      </c>
      <c r="P86" s="28">
        <v>96.969696970000001</v>
      </c>
      <c r="Q86" s="26">
        <v>99</v>
      </c>
      <c r="R86" s="26">
        <v>2</v>
      </c>
      <c r="S86" s="26">
        <v>0</v>
      </c>
      <c r="T86" s="26">
        <v>1</v>
      </c>
      <c r="U86" s="28">
        <v>2.76</v>
      </c>
    </row>
    <row r="87" spans="1:21" x14ac:dyDescent="0.3">
      <c r="A87" s="25">
        <v>86</v>
      </c>
      <c r="B87" s="26">
        <v>230</v>
      </c>
      <c r="C87" s="27" t="s">
        <v>291</v>
      </c>
      <c r="D87" s="26" t="s">
        <v>292</v>
      </c>
      <c r="E87" s="23" t="s">
        <v>1214</v>
      </c>
      <c r="F87" s="26" t="str">
        <f>VLOOKUP(Table36[[#This Row],[Picture_no]], [3]ENGLISH.txt!$1:$1048576, 2, 0)</f>
        <v>court</v>
      </c>
      <c r="G87" s="22" t="s">
        <v>1002</v>
      </c>
      <c r="H87" s="26" t="s">
        <v>932</v>
      </c>
      <c r="I87" s="26">
        <f>LEN(Table36[[#This Row],[Spanish]])</f>
        <v>7</v>
      </c>
      <c r="J87" s="26">
        <f>VLOOKUP(Table36[[#This Row],[Spanish]], [1]Sheet1!$1:$1048576, 4, 0)</f>
        <v>7</v>
      </c>
      <c r="K87" s="26">
        <f>VLOOKUP(Table36[[#This Row],[Spanish]], [1]Sheet1!$1:$1048576, 5, 9)</f>
        <v>2</v>
      </c>
      <c r="L87" s="28">
        <f>VLOOKUP(Table36[[#This Row],[Spanish]], [2]Sheet1!$1:$1048576, 2, 0)</f>
        <v>3.3498760000000001</v>
      </c>
      <c r="M87" s="28" t="str">
        <f>VLOOKUP(Table36[[#This Row],[Spanish]], [2]Sheet1!$1:$1048576, 3, 0)</f>
        <v>0.638477</v>
      </c>
      <c r="N87" s="28">
        <f>VLOOKUP(Table36[[#This Row],[Spanish]], [2]Sheet1!$1:$1048576, 6, 0)</f>
        <v>5.7910000000000004</v>
      </c>
      <c r="O87" s="28">
        <v>0.34857491200000001</v>
      </c>
      <c r="P87" s="28">
        <v>94.736842109999998</v>
      </c>
      <c r="Q87" s="26">
        <v>95</v>
      </c>
      <c r="R87" s="26">
        <v>3</v>
      </c>
      <c r="S87" s="26">
        <v>0</v>
      </c>
      <c r="T87" s="26">
        <v>5</v>
      </c>
      <c r="U87" s="28">
        <v>2.67</v>
      </c>
    </row>
    <row r="88" spans="1:21" x14ac:dyDescent="0.3">
      <c r="A88" s="25">
        <v>87</v>
      </c>
      <c r="B88" s="26">
        <v>234</v>
      </c>
      <c r="C88" s="27" t="s">
        <v>293</v>
      </c>
      <c r="D88" s="30" t="s">
        <v>294</v>
      </c>
      <c r="E88" s="23" t="s">
        <v>294</v>
      </c>
      <c r="F88" s="30" t="str">
        <f>VLOOKUP(Table36[[#This Row],[Picture_no]], [3]ENGLISH.txt!$1:$1048576, 2, 0)</f>
        <v>plate</v>
      </c>
      <c r="G88" s="22" t="s">
        <v>1003</v>
      </c>
      <c r="H88" s="26" t="s">
        <v>933</v>
      </c>
      <c r="I88" s="26">
        <f>LEN(Table36[[#This Row],[Spanish]])</f>
        <v>5</v>
      </c>
      <c r="J88" s="26">
        <f>VLOOKUP(Table36[[#This Row],[Spanish]], [1]Sheet1!$1:$1048576, 4, 0)</f>
        <v>5</v>
      </c>
      <c r="K88" s="26">
        <f>VLOOKUP(Table36[[#This Row],[Spanish]], [1]Sheet1!$1:$1048576, 5, 9)</f>
        <v>2</v>
      </c>
      <c r="L88" s="28">
        <f>VLOOKUP(Table36[[#This Row],[Spanish]], [2]Sheet1!$1:$1048576, 2, 0)</f>
        <v>18.533166999999999</v>
      </c>
      <c r="M88" s="28">
        <f>VLOOKUP(Table36[[#This Row],[Spanish]], [2]Sheet1!$1:$1048576, 3, 0)</f>
        <v>1.2907729999999999</v>
      </c>
      <c r="N88" s="28">
        <f>VLOOKUP(Table36[[#This Row],[Spanish]], [2]Sheet1!$1:$1048576, 6, 0)</f>
        <v>0</v>
      </c>
      <c r="O88" s="28">
        <v>0.51755896599999995</v>
      </c>
      <c r="P88" s="28">
        <v>90.804597700000002</v>
      </c>
      <c r="Q88" s="26">
        <v>87</v>
      </c>
      <c r="R88" s="26">
        <v>3</v>
      </c>
      <c r="S88" s="26">
        <v>4</v>
      </c>
      <c r="T88" s="26">
        <v>9</v>
      </c>
      <c r="U88" s="28">
        <v>2.04</v>
      </c>
    </row>
    <row r="89" spans="1:21" x14ac:dyDescent="0.3">
      <c r="A89" s="25">
        <v>88</v>
      </c>
      <c r="B89" s="26">
        <v>235</v>
      </c>
      <c r="C89" s="27" t="s">
        <v>295</v>
      </c>
      <c r="D89" s="26" t="s">
        <v>296</v>
      </c>
      <c r="E89" s="23" t="s">
        <v>1215</v>
      </c>
      <c r="F89" s="26" t="str">
        <f>VLOOKUP(Table36[[#This Row],[Picture_no]], [3]ENGLISH.txt!$1:$1048576, 2, 0)</f>
        <v>needle</v>
      </c>
      <c r="G89" s="22" t="s">
        <v>1216</v>
      </c>
      <c r="H89" s="26" t="s">
        <v>933</v>
      </c>
      <c r="I89" s="26">
        <f>LEN(Table36[[#This Row],[Spanish]])</f>
        <v>5</v>
      </c>
      <c r="J89" s="26">
        <f>VLOOKUP(Table36[[#This Row],[Spanish]], [1]Sheet1!$1:$1048576, 4, 0)</f>
        <v>5</v>
      </c>
      <c r="K89" s="26">
        <v>3</v>
      </c>
      <c r="L89" s="28">
        <f>VLOOKUP(Table36[[#This Row],[Spanish]], [2]Sheet1!$1:$1048576, 2, 0)</f>
        <v>6.3390969999999998</v>
      </c>
      <c r="M89" s="28" t="str">
        <f>VLOOKUP(Table36[[#This Row],[Spanish]], [2]Sheet1!$1:$1048576, 3, 0)</f>
        <v>0.865643</v>
      </c>
      <c r="N89" s="28">
        <f>VLOOKUP(Table36[[#This Row],[Spanish]], [2]Sheet1!$1:$1048576, 6, 0)</f>
        <v>5.93</v>
      </c>
      <c r="O89" s="28">
        <v>0.33228663000000003</v>
      </c>
      <c r="P89" s="28">
        <v>93.877551019999999</v>
      </c>
      <c r="Q89" s="26">
        <v>98</v>
      </c>
      <c r="R89" s="26">
        <v>2</v>
      </c>
      <c r="S89" s="26">
        <v>1</v>
      </c>
      <c r="T89" s="26">
        <v>1</v>
      </c>
      <c r="U89" s="28">
        <v>1.81</v>
      </c>
    </row>
    <row r="90" spans="1:21" x14ac:dyDescent="0.3">
      <c r="A90" s="25">
        <v>89</v>
      </c>
      <c r="B90" s="26">
        <v>236</v>
      </c>
      <c r="C90" s="27" t="s">
        <v>297</v>
      </c>
      <c r="D90" s="30" t="s">
        <v>298</v>
      </c>
      <c r="E90" s="23" t="s">
        <v>1217</v>
      </c>
      <c r="F90" s="30" t="str">
        <f>VLOOKUP(Table36[[#This Row],[Picture_no]], [3]ENGLISH.txt!$1:$1048576, 2, 0)</f>
        <v>giraffe</v>
      </c>
      <c r="G90" s="22" t="s">
        <v>1218</v>
      </c>
      <c r="H90" s="26" t="s">
        <v>929</v>
      </c>
      <c r="I90" s="26">
        <f>LEN(Table36[[#This Row],[Spanish]])</f>
        <v>6</v>
      </c>
      <c r="J90" s="26">
        <f>VLOOKUP(Table36[[#This Row],[Spanish]], [1]Sheet1!$1:$1048576, 4, 0)</f>
        <v>6</v>
      </c>
      <c r="K90" s="26">
        <f>VLOOKUP(Table36[[#This Row],[Spanish]], [1]Sheet1!$1:$1048576, 5, 9)</f>
        <v>3</v>
      </c>
      <c r="L90" s="28">
        <f>VLOOKUP(Table36[[#This Row],[Spanish]], [2]Sheet1!$1:$1048576, 2, 0)</f>
        <v>0.659578</v>
      </c>
      <c r="M90" s="28" t="str">
        <f>VLOOKUP(Table36[[#This Row],[Spanish]], [2]Sheet1!$1:$1048576, 3, 0)</f>
        <v>0.219998</v>
      </c>
      <c r="N90" s="28">
        <f>VLOOKUP(Table36[[#This Row],[Spanish]], [2]Sheet1!$1:$1048576, 6, 0)</f>
        <v>0</v>
      </c>
      <c r="O90" s="29">
        <v>0</v>
      </c>
      <c r="P90" s="29">
        <v>100</v>
      </c>
      <c r="Q90" s="26">
        <v>100</v>
      </c>
      <c r="R90" s="26">
        <v>1</v>
      </c>
      <c r="S90" s="26">
        <v>0</v>
      </c>
      <c r="T90" s="26">
        <v>0</v>
      </c>
      <c r="U90" s="28">
        <v>3.02</v>
      </c>
    </row>
    <row r="91" spans="1:21" x14ac:dyDescent="0.3">
      <c r="A91" s="25">
        <v>90</v>
      </c>
      <c r="B91" s="26">
        <v>242</v>
      </c>
      <c r="C91" s="27" t="s">
        <v>303</v>
      </c>
      <c r="D91" s="26" t="s">
        <v>304</v>
      </c>
      <c r="E91" s="23" t="s">
        <v>1219</v>
      </c>
      <c r="F91" s="26" t="str">
        <f>VLOOKUP(Table36[[#This Row],[Picture_no]], [3]ENGLISH.txt!$1:$1048576, 2, 0)</f>
        <v>postman</v>
      </c>
      <c r="G91" s="22" t="s">
        <v>1220</v>
      </c>
      <c r="H91" s="26" t="s">
        <v>943</v>
      </c>
      <c r="I91" s="26">
        <f>LEN(Table36[[#This Row],[Spanish]])</f>
        <v>7</v>
      </c>
      <c r="J91" s="26">
        <f>VLOOKUP(Table36[[#This Row],[Spanish]], [1]Sheet1!$1:$1048576, 4, 0)</f>
        <v>7</v>
      </c>
      <c r="K91" s="26">
        <f>VLOOKUP(Table36[[#This Row],[Spanish]], [1]Sheet1!$1:$1048576, 5, 9)</f>
        <v>2</v>
      </c>
      <c r="L91" s="28">
        <f>VLOOKUP(Table36[[#This Row],[Spanish]], [2]Sheet1!$1:$1048576, 2, 0)</f>
        <v>1.8585149999999999</v>
      </c>
      <c r="M91" s="28" t="str">
        <f>VLOOKUP(Table36[[#This Row],[Spanish]], [2]Sheet1!$1:$1048576, 3, 0)</f>
        <v>0.456141</v>
      </c>
      <c r="N91" s="28">
        <f>VLOOKUP(Table36[[#This Row],[Spanish]], [2]Sheet1!$1:$1048576, 6, 0)</f>
        <v>5.9509999999999996</v>
      </c>
      <c r="O91" s="28">
        <v>0.14372616999999999</v>
      </c>
      <c r="P91" s="28">
        <v>97.959183670000002</v>
      </c>
      <c r="Q91" s="26">
        <v>98</v>
      </c>
      <c r="R91" s="26">
        <v>2</v>
      </c>
      <c r="S91" s="26">
        <v>0</v>
      </c>
      <c r="T91" s="26">
        <v>2</v>
      </c>
      <c r="U91" s="28">
        <v>2.92</v>
      </c>
    </row>
    <row r="92" spans="1:21" x14ac:dyDescent="0.3">
      <c r="A92" s="25">
        <v>91</v>
      </c>
      <c r="B92" s="26">
        <v>245</v>
      </c>
      <c r="C92" s="27" t="s">
        <v>307</v>
      </c>
      <c r="D92" s="26" t="s">
        <v>308</v>
      </c>
      <c r="E92" s="23" t="s">
        <v>1221</v>
      </c>
      <c r="F92" s="26" t="str">
        <f>VLOOKUP(Table36[[#This Row],[Picture_no]], [3]ENGLISH.txt!$1:$1048576, 2, 0)</f>
        <v>roots</v>
      </c>
      <c r="G92" s="22" t="s">
        <v>1004</v>
      </c>
      <c r="H92" s="26" t="s">
        <v>935</v>
      </c>
      <c r="I92" s="26">
        <f>LEN(Table36[[#This Row],[Spanish]])</f>
        <v>4</v>
      </c>
      <c r="J92" s="26">
        <f>VLOOKUP(Table36[[#This Row],[Spanish]], [1]Sheet1!$1:$1048576, 4, 0)</f>
        <v>4</v>
      </c>
      <c r="K92" s="26">
        <v>2</v>
      </c>
      <c r="L92" s="28">
        <f>VLOOKUP(Table36[[#This Row],[Spanish]], [2]Sheet1!$1:$1048576, 2, 0)</f>
        <v>43.369689999999999</v>
      </c>
      <c r="M92" s="28">
        <f>VLOOKUP(Table36[[#This Row],[Spanish]], [2]Sheet1!$1:$1048576, 3, 0)</f>
        <v>1.6470860000000001</v>
      </c>
      <c r="N92" s="28">
        <f>VLOOKUP(Table36[[#This Row],[Spanish]], [2]Sheet1!$1:$1048576, 6, 0)</f>
        <v>5.8010000000000002</v>
      </c>
      <c r="O92" s="29">
        <v>0</v>
      </c>
      <c r="P92" s="29">
        <v>100</v>
      </c>
      <c r="Q92" s="26">
        <v>100</v>
      </c>
      <c r="R92" s="26">
        <v>1</v>
      </c>
      <c r="S92" s="26">
        <v>0</v>
      </c>
      <c r="T92" s="26">
        <v>0</v>
      </c>
      <c r="U92" s="28">
        <v>1.96</v>
      </c>
    </row>
    <row r="93" spans="1:21" x14ac:dyDescent="0.3">
      <c r="A93" s="25">
        <v>92</v>
      </c>
      <c r="B93" s="26">
        <v>247</v>
      </c>
      <c r="C93" s="27" t="s">
        <v>311</v>
      </c>
      <c r="D93" s="26" t="s">
        <v>312</v>
      </c>
      <c r="E93" s="23" t="s">
        <v>1222</v>
      </c>
      <c r="F93" s="26" t="str">
        <f>VLOOKUP(Table36[[#This Row],[Picture_no]], [3]ENGLISH.txt!$1:$1048576, 2, 0)</f>
        <v>brain</v>
      </c>
      <c r="G93" s="22" t="s">
        <v>1005</v>
      </c>
      <c r="H93" s="26" t="s">
        <v>930</v>
      </c>
      <c r="I93" s="26">
        <f>LEN(Table36[[#This Row],[Spanish]])</f>
        <v>7</v>
      </c>
      <c r="J93" s="26">
        <f>VLOOKUP(Table36[[#This Row],[Spanish]], [1]Sheet1!$1:$1048576, 4, 0)</f>
        <v>7</v>
      </c>
      <c r="K93" s="26">
        <f>VLOOKUP(Table36[[#This Row],[Spanish]], [1]Sheet1!$1:$1048576, 5, 9)</f>
        <v>2</v>
      </c>
      <c r="L93" s="28">
        <f>VLOOKUP(Table36[[#This Row],[Spanish]], [2]Sheet1!$1:$1048576, 2, 0)</f>
        <v>31.659744</v>
      </c>
      <c r="M93" s="28">
        <f>VLOOKUP(Table36[[#This Row],[Spanish]], [2]Sheet1!$1:$1048576, 3, 0)</f>
        <v>1.5140130000000001</v>
      </c>
      <c r="N93" s="28">
        <f>VLOOKUP(Table36[[#This Row],[Spanish]], [2]Sheet1!$1:$1048576, 6, 0)</f>
        <v>5.7080000000000002</v>
      </c>
      <c r="O93" s="29">
        <v>0</v>
      </c>
      <c r="P93" s="29">
        <v>100</v>
      </c>
      <c r="Q93" s="26">
        <v>100</v>
      </c>
      <c r="R93" s="26">
        <v>1</v>
      </c>
      <c r="S93" s="26">
        <v>0</v>
      </c>
      <c r="T93" s="26">
        <v>0</v>
      </c>
      <c r="U93" s="28">
        <v>2.75</v>
      </c>
    </row>
    <row r="94" spans="1:21" x14ac:dyDescent="0.3">
      <c r="A94" s="25">
        <v>93</v>
      </c>
      <c r="B94" s="26">
        <v>249</v>
      </c>
      <c r="C94" s="27" t="s">
        <v>313</v>
      </c>
      <c r="D94" s="30" t="s">
        <v>314</v>
      </c>
      <c r="E94" s="23" t="s">
        <v>314</v>
      </c>
      <c r="F94" s="30" t="str">
        <f>VLOOKUP(Table36[[#This Row],[Picture_no]], [3]ENGLISH.txt!$1:$1048576, 2, 0)</f>
        <v>potato</v>
      </c>
      <c r="G94" s="22" t="s">
        <v>1223</v>
      </c>
      <c r="H94" s="26" t="s">
        <v>934</v>
      </c>
      <c r="I94" s="26">
        <f>LEN(Table36[[#This Row],[Spanish]])</f>
        <v>6</v>
      </c>
      <c r="J94" s="26">
        <f>VLOOKUP(Table36[[#This Row],[Spanish]], [1]Sheet1!$1:$1048576, 4, 0)</f>
        <v>6</v>
      </c>
      <c r="K94" s="26">
        <f>VLOOKUP(Table36[[#This Row],[Spanish]], [1]Sheet1!$1:$1048576, 5, 9)</f>
        <v>3</v>
      </c>
      <c r="L94" s="28">
        <f>VLOOKUP(Table36[[#This Row],[Spanish]], [2]Sheet1!$1:$1048576, 2, 0)</f>
        <v>3.4570979999999998</v>
      </c>
      <c r="M94" s="28" t="str">
        <f>VLOOKUP(Table36[[#This Row],[Spanish]], [2]Sheet1!$1:$1048576, 3, 0)</f>
        <v>0.649052</v>
      </c>
      <c r="N94" s="28">
        <f>VLOOKUP(Table36[[#This Row],[Spanish]], [2]Sheet1!$1:$1048576, 6, 0)</f>
        <v>6.3129999999999997</v>
      </c>
      <c r="O94" s="29">
        <v>0</v>
      </c>
      <c r="P94" s="29">
        <v>100</v>
      </c>
      <c r="Q94" s="26">
        <v>99</v>
      </c>
      <c r="R94" s="26">
        <v>1</v>
      </c>
      <c r="S94" s="26">
        <v>1</v>
      </c>
      <c r="T94" s="26">
        <v>0</v>
      </c>
      <c r="U94" s="28">
        <v>2.0499999999999998</v>
      </c>
    </row>
    <row r="95" spans="1:21" x14ac:dyDescent="0.3">
      <c r="A95" s="25">
        <v>94</v>
      </c>
      <c r="B95" s="26">
        <v>253</v>
      </c>
      <c r="C95" s="27" t="s">
        <v>315</v>
      </c>
      <c r="D95" s="30" t="s">
        <v>316</v>
      </c>
      <c r="E95" s="23" t="s">
        <v>1224</v>
      </c>
      <c r="F95" s="30" t="str">
        <f>VLOOKUP(Table36[[#This Row],[Picture_no]], [3]ENGLISH.txt!$1:$1048576, 2, 0)</f>
        <v>choir</v>
      </c>
      <c r="G95" s="22" t="s">
        <v>1225</v>
      </c>
      <c r="H95" s="26" t="s">
        <v>943</v>
      </c>
      <c r="I95" s="26">
        <f>LEN(Table36[[#This Row],[Spanish]])</f>
        <v>4</v>
      </c>
      <c r="J95" s="26">
        <f>VLOOKUP(Table36[[#This Row],[Spanish]], [1]Sheet1!$1:$1048576, 4, 0)</f>
        <v>4</v>
      </c>
      <c r="K95" s="26">
        <f>VLOOKUP(Table36[[#This Row],[Spanish]], [1]Sheet1!$1:$1048576, 5, 9)</f>
        <v>3</v>
      </c>
      <c r="L95" s="28">
        <f>VLOOKUP(Table36[[#This Row],[Spanish]], [2]Sheet1!$1:$1048576, 2, 0)</f>
        <v>25.895747</v>
      </c>
      <c r="M95" s="28">
        <f>VLOOKUP(Table36[[#This Row],[Spanish]], [2]Sheet1!$1:$1048576, 3, 0)</f>
        <v>1.429684</v>
      </c>
      <c r="N95" s="28">
        <f>VLOOKUP(Table36[[#This Row],[Spanish]], [2]Sheet1!$1:$1048576, 6, 0)</f>
        <v>5.3339999999999996</v>
      </c>
      <c r="O95" s="28">
        <v>0.28454568299999999</v>
      </c>
      <c r="P95" s="28">
        <v>95.959595960000001</v>
      </c>
      <c r="Q95" s="26">
        <v>99</v>
      </c>
      <c r="R95" s="26">
        <v>3</v>
      </c>
      <c r="S95" s="26">
        <v>0</v>
      </c>
      <c r="T95" s="26">
        <v>1</v>
      </c>
      <c r="U95" s="28">
        <v>3.151515152</v>
      </c>
    </row>
    <row r="96" spans="1:21" x14ac:dyDescent="0.3">
      <c r="A96" s="25">
        <v>95</v>
      </c>
      <c r="B96" s="26">
        <v>255</v>
      </c>
      <c r="C96" s="27" t="s">
        <v>317</v>
      </c>
      <c r="D96" s="26" t="s">
        <v>318</v>
      </c>
      <c r="E96" s="23" t="s">
        <v>318</v>
      </c>
      <c r="F96" s="26" t="str">
        <f>VLOOKUP(Table36[[#This Row],[Picture_no]], [3]ENGLISH.txt!$1:$1048576, 2, 0)</f>
        <v>shovel</v>
      </c>
      <c r="G96" s="22" t="s">
        <v>1226</v>
      </c>
      <c r="H96" s="26" t="s">
        <v>933</v>
      </c>
      <c r="I96" s="26">
        <f>LEN(Table36[[#This Row],[Spanish]])</f>
        <v>4</v>
      </c>
      <c r="J96" s="26">
        <f>VLOOKUP(Table36[[#This Row],[Spanish]], [1]Sheet1!$1:$1048576, 4, 0)</f>
        <v>4</v>
      </c>
      <c r="K96" s="26">
        <f>VLOOKUP(Table36[[#This Row],[Spanish]], [1]Sheet1!$1:$1048576, 5, 9)</f>
        <v>3</v>
      </c>
      <c r="L96" s="28">
        <f>VLOOKUP(Table36[[#This Row],[Spanish]], [2]Sheet1!$1:$1048576, 2, 0)</f>
        <v>4.116676</v>
      </c>
      <c r="M96" s="28">
        <f>VLOOKUP(Table36[[#This Row],[Spanish]], [2]Sheet1!$1:$1048576, 3, 0)</f>
        <v>0.70898799999999995</v>
      </c>
      <c r="N96" s="28">
        <f>VLOOKUP(Table36[[#This Row],[Spanish]], [2]Sheet1!$1:$1048576, 6, 0)</f>
        <v>6.2629999999999999</v>
      </c>
      <c r="O96" s="29">
        <v>0</v>
      </c>
      <c r="P96" s="29">
        <v>100</v>
      </c>
      <c r="Q96" s="26">
        <v>100</v>
      </c>
      <c r="R96" s="26">
        <v>1</v>
      </c>
      <c r="S96" s="26">
        <v>0</v>
      </c>
      <c r="T96" s="26">
        <v>0</v>
      </c>
      <c r="U96" s="28">
        <v>1.76</v>
      </c>
    </row>
    <row r="97" spans="1:21" x14ac:dyDescent="0.3">
      <c r="A97" s="25">
        <v>96</v>
      </c>
      <c r="B97" s="26">
        <v>259</v>
      </c>
      <c r="C97" s="27" t="s">
        <v>321</v>
      </c>
      <c r="D97" s="30" t="s">
        <v>322</v>
      </c>
      <c r="E97" s="23" t="s">
        <v>1227</v>
      </c>
      <c r="F97" s="30" t="str">
        <f>VLOOKUP(Table36[[#This Row],[Picture_no]], [3]ENGLISH.txt!$1:$1048576, 2, 0)</f>
        <v>cone</v>
      </c>
      <c r="G97" s="22" t="s">
        <v>1006</v>
      </c>
      <c r="H97" s="26" t="s">
        <v>933</v>
      </c>
      <c r="I97" s="26">
        <f>LEN(Table36[[#This Row],[Spanish]])</f>
        <v>4</v>
      </c>
      <c r="J97" s="26">
        <f>VLOOKUP(Table36[[#This Row],[Spanish]], [1]Sheet1!$1:$1048576, 4, 0)</f>
        <v>4</v>
      </c>
      <c r="K97" s="26">
        <f>VLOOKUP(Table36[[#This Row],[Spanish]], [1]Sheet1!$1:$1048576, 5, 9)</f>
        <v>3</v>
      </c>
      <c r="L97" s="28">
        <f>VLOOKUP(Table36[[#This Row],[Spanish]], [2]Sheet1!$1:$1048576, 2, 0)</f>
        <v>5.5495530000000004</v>
      </c>
      <c r="M97" s="28" t="str">
        <f>VLOOKUP(Table36[[#This Row],[Spanish]], [2]Sheet1!$1:$1048576, 3, 0)</f>
        <v>0.816212</v>
      </c>
      <c r="N97" s="28">
        <f>VLOOKUP(Table36[[#This Row],[Spanish]], [2]Sheet1!$1:$1048576, 6, 0)</f>
        <v>5.4809999999999999</v>
      </c>
      <c r="O97" s="28">
        <v>0.33228663000000003</v>
      </c>
      <c r="P97" s="28">
        <v>93.877551019999999</v>
      </c>
      <c r="Q97" s="26">
        <v>98</v>
      </c>
      <c r="R97" s="26">
        <v>2</v>
      </c>
      <c r="S97" s="26">
        <v>2</v>
      </c>
      <c r="T97" s="26">
        <v>0</v>
      </c>
      <c r="U97" s="28">
        <v>1.64</v>
      </c>
    </row>
    <row r="98" spans="1:21" x14ac:dyDescent="0.3">
      <c r="A98" s="25">
        <v>97</v>
      </c>
      <c r="B98" s="26">
        <v>260</v>
      </c>
      <c r="C98" s="27" t="s">
        <v>323</v>
      </c>
      <c r="D98" s="30" t="s">
        <v>324</v>
      </c>
      <c r="E98" s="23" t="s">
        <v>324</v>
      </c>
      <c r="F98" s="30" t="str">
        <f>VLOOKUP(Table36[[#This Row],[Picture_no]], [3]ENGLISH.txt!$1:$1048576, 2, 0)</f>
        <v>island</v>
      </c>
      <c r="G98" s="22" t="s">
        <v>1228</v>
      </c>
      <c r="H98" s="26" t="s">
        <v>932</v>
      </c>
      <c r="I98" s="26">
        <f>LEN(Table36[[#This Row],[Spanish]])</f>
        <v>4</v>
      </c>
      <c r="J98" s="26">
        <f>VLOOKUP(Table36[[#This Row],[Spanish]], [1]Sheet1!$1:$1048576, 4, 0)</f>
        <v>4</v>
      </c>
      <c r="K98" s="26">
        <f>VLOOKUP(Table36[[#This Row],[Spanish]], [1]Sheet1!$1:$1048576, 5, 9)</f>
        <v>2</v>
      </c>
      <c r="L98" s="28">
        <f>VLOOKUP(Table36[[#This Row],[Spanish]], [2]Sheet1!$1:$1048576, 2, 0)</f>
        <v>154.00333900000001</v>
      </c>
      <c r="M98" s="28">
        <f>VLOOKUP(Table36[[#This Row],[Spanish]], [2]Sheet1!$1:$1048576, 3, 0)</f>
        <v>2.1903410000000001</v>
      </c>
      <c r="N98" s="28">
        <f>VLOOKUP(Table36[[#This Row],[Spanish]], [2]Sheet1!$1:$1048576, 6, 0)</f>
        <v>6.15</v>
      </c>
      <c r="O98" s="29">
        <v>0</v>
      </c>
      <c r="P98" s="29">
        <v>100</v>
      </c>
      <c r="Q98" s="26">
        <v>100</v>
      </c>
      <c r="R98" s="26">
        <v>1</v>
      </c>
      <c r="S98" s="26">
        <v>0</v>
      </c>
      <c r="T98" s="26">
        <v>0</v>
      </c>
      <c r="U98" s="28">
        <v>2.85</v>
      </c>
    </row>
    <row r="99" spans="1:21" x14ac:dyDescent="0.3">
      <c r="A99" s="25">
        <v>98</v>
      </c>
      <c r="B99" s="26">
        <v>261</v>
      </c>
      <c r="C99" s="27" t="s">
        <v>325</v>
      </c>
      <c r="D99" s="26" t="s">
        <v>326</v>
      </c>
      <c r="E99" s="23" t="s">
        <v>1229</v>
      </c>
      <c r="F99" s="26" t="str">
        <f>VLOOKUP(Table36[[#This Row],[Picture_no]], [3]ENGLISH.txt!$1:$1048576, 2, 0)</f>
        <v>lamp post</v>
      </c>
      <c r="G99" s="22" t="s">
        <v>1007</v>
      </c>
      <c r="H99" s="26" t="s">
        <v>933</v>
      </c>
      <c r="I99" s="26">
        <f>LEN(Table36[[#This Row],[Spanish]])</f>
        <v>6</v>
      </c>
      <c r="J99" s="26">
        <f>VLOOKUP(Table36[[#This Row],[Spanish]], [1]Sheet1!$1:$1048576, 4, 0)</f>
        <v>6</v>
      </c>
      <c r="K99" s="26">
        <f>VLOOKUP(Table36[[#This Row],[Spanish]], [1]Sheet1!$1:$1048576, 5, 9)</f>
        <v>3</v>
      </c>
      <c r="L99" s="28">
        <f>VLOOKUP(Table36[[#This Row],[Spanish]], [2]Sheet1!$1:$1048576, 2, 0)</f>
        <v>0.51336599999999999</v>
      </c>
      <c r="M99" s="28" t="str">
        <f>VLOOKUP(Table36[[#This Row],[Spanish]], [2]Sheet1!$1:$1048576, 3, 0)</f>
        <v>0.179944</v>
      </c>
      <c r="N99" s="28">
        <f>VLOOKUP(Table36[[#This Row],[Spanish]], [2]Sheet1!$1:$1048576, 6, 0)</f>
        <v>0</v>
      </c>
      <c r="O99" s="29">
        <v>0</v>
      </c>
      <c r="P99" s="29">
        <v>100</v>
      </c>
      <c r="Q99" s="26">
        <v>98</v>
      </c>
      <c r="R99" s="26">
        <v>1</v>
      </c>
      <c r="S99" s="26">
        <v>0</v>
      </c>
      <c r="T99" s="26">
        <v>2</v>
      </c>
      <c r="U99" s="28">
        <v>1.94</v>
      </c>
    </row>
    <row r="100" spans="1:21" x14ac:dyDescent="0.3">
      <c r="A100" s="25">
        <v>99</v>
      </c>
      <c r="B100" s="26">
        <v>264</v>
      </c>
      <c r="C100" s="27" t="s">
        <v>329</v>
      </c>
      <c r="D100" s="26" t="s">
        <v>330</v>
      </c>
      <c r="E100" s="23" t="s">
        <v>330</v>
      </c>
      <c r="F100" s="26" t="str">
        <f>VLOOKUP(Table36[[#This Row],[Picture_no]], [3]ENGLISH.txt!$1:$1048576, 2, 0)</f>
        <v>hand</v>
      </c>
      <c r="G100" s="22" t="s">
        <v>1008</v>
      </c>
      <c r="H100" s="26" t="s">
        <v>930</v>
      </c>
      <c r="I100" s="26">
        <f>LEN(Table36[[#This Row],[Spanish]])</f>
        <v>4</v>
      </c>
      <c r="J100" s="26">
        <f>VLOOKUP(Table36[[#This Row],[Spanish]], [1]Sheet1!$1:$1048576, 4, 0)</f>
        <v>4</v>
      </c>
      <c r="K100" s="26">
        <f>VLOOKUP(Table36[[#This Row],[Spanish]], [1]Sheet1!$1:$1048576, 5, 9)</f>
        <v>3</v>
      </c>
      <c r="L100" s="28">
        <f>VLOOKUP(Table36[[#This Row],[Spanish]], [2]Sheet1!$1:$1048576, 2, 0)</f>
        <v>234.31914499999999</v>
      </c>
      <c r="M100" s="28">
        <f>VLOOKUP(Table36[[#This Row],[Spanish]], [2]Sheet1!$1:$1048576, 3, 0)</f>
        <v>2.3716569999999999</v>
      </c>
      <c r="N100" s="28">
        <f>VLOOKUP(Table36[[#This Row],[Spanish]], [2]Sheet1!$1:$1048576, 6, 0)</f>
        <v>6.7169999999999996</v>
      </c>
      <c r="O100" s="28">
        <v>0.24229218899999999</v>
      </c>
      <c r="P100" s="29">
        <v>96</v>
      </c>
      <c r="Q100" s="26">
        <v>100</v>
      </c>
      <c r="R100" s="26">
        <v>2</v>
      </c>
      <c r="S100" s="26">
        <v>0</v>
      </c>
      <c r="T100" s="26">
        <v>0</v>
      </c>
      <c r="U100" s="28">
        <v>2.17</v>
      </c>
    </row>
    <row r="101" spans="1:21" x14ac:dyDescent="0.3">
      <c r="A101" s="25">
        <v>100</v>
      </c>
      <c r="B101" s="26">
        <v>265</v>
      </c>
      <c r="C101" s="27" t="s">
        <v>331</v>
      </c>
      <c r="D101" s="26" t="s">
        <v>332</v>
      </c>
      <c r="E101" s="23" t="s">
        <v>1230</v>
      </c>
      <c r="F101" s="26" t="str">
        <f>VLOOKUP(Table36[[#This Row],[Picture_no]], [3]ENGLISH.txt!$1:$1048576, 2, 0)</f>
        <v>pirate</v>
      </c>
      <c r="G101" s="22" t="s">
        <v>1231</v>
      </c>
      <c r="H101" s="26" t="s">
        <v>931</v>
      </c>
      <c r="I101" s="26">
        <f>LEN(Table36[[#This Row],[Spanish]])</f>
        <v>6</v>
      </c>
      <c r="J101" s="26">
        <f>VLOOKUP(Table36[[#This Row],[Spanish]], [1]Sheet1!$1:$1048576, 4, 0)</f>
        <v>6</v>
      </c>
      <c r="K101" s="26">
        <f>VLOOKUP(Table36[[#This Row],[Spanish]], [1]Sheet1!$1:$1048576, 5, 9)</f>
        <v>3</v>
      </c>
      <c r="L101" s="28">
        <f>VLOOKUP(Table36[[#This Row],[Spanish]], [2]Sheet1!$1:$1048576, 2, 0)</f>
        <v>6.6932549999999997</v>
      </c>
      <c r="M101" s="28" t="str">
        <f>VLOOKUP(Table36[[#This Row],[Spanish]], [2]Sheet1!$1:$1048576, 3, 0)</f>
        <v>0.886110</v>
      </c>
      <c r="N101" s="28">
        <f>VLOOKUP(Table36[[#This Row],[Spanish]], [2]Sheet1!$1:$1048576, 6, 0)</f>
        <v>6.1520000000000001</v>
      </c>
      <c r="O101" s="28">
        <v>0.14489961800000001</v>
      </c>
      <c r="P101" s="28">
        <v>97.93814433</v>
      </c>
      <c r="Q101" s="26">
        <v>97</v>
      </c>
      <c r="R101" s="26">
        <v>2</v>
      </c>
      <c r="S101" s="26">
        <v>0</v>
      </c>
      <c r="T101" s="26">
        <v>3</v>
      </c>
      <c r="U101" s="28">
        <v>3.02</v>
      </c>
    </row>
    <row r="102" spans="1:21" x14ac:dyDescent="0.3">
      <c r="A102" s="25">
        <v>101</v>
      </c>
      <c r="B102" s="26">
        <v>266</v>
      </c>
      <c r="C102" s="27" t="s">
        <v>333</v>
      </c>
      <c r="D102" s="26" t="s">
        <v>334</v>
      </c>
      <c r="E102" s="23" t="s">
        <v>1232</v>
      </c>
      <c r="F102" s="26" t="str">
        <f>VLOOKUP(Table36[[#This Row],[Picture_no]], [3]ENGLISH.txt!$1:$1048576, 2, 0)</f>
        <v>heel</v>
      </c>
      <c r="G102" s="22" t="s">
        <v>1009</v>
      </c>
      <c r="H102" s="26" t="s">
        <v>940</v>
      </c>
      <c r="I102" s="26">
        <f>LEN(Table36[[#This Row],[Spanish]])</f>
        <v>5</v>
      </c>
      <c r="J102" s="26">
        <f>VLOOKUP(Table36[[#This Row],[Spanish]], [1]Sheet1!$1:$1048576, 4, 0)</f>
        <v>5</v>
      </c>
      <c r="K102" s="26">
        <v>2</v>
      </c>
      <c r="L102" s="28">
        <f>VLOOKUP(Table36[[#This Row],[Spanish]], [2]Sheet1!$1:$1048576, 2, 0)</f>
        <v>1.432876</v>
      </c>
      <c r="M102" s="28" t="str">
        <f>VLOOKUP(Table36[[#This Row],[Spanish]], [2]Sheet1!$1:$1048576, 3, 0)</f>
        <v>0.386120</v>
      </c>
      <c r="N102" s="28">
        <f>VLOOKUP(Table36[[#This Row],[Spanish]], [2]Sheet1!$1:$1048576, 6, 0)</f>
        <v>6.1029999999999998</v>
      </c>
      <c r="O102" s="29">
        <v>0</v>
      </c>
      <c r="P102" s="29">
        <v>100</v>
      </c>
      <c r="Q102" s="26">
        <v>100</v>
      </c>
      <c r="R102" s="26">
        <v>1</v>
      </c>
      <c r="S102" s="26">
        <v>0</v>
      </c>
      <c r="T102" s="26">
        <v>0</v>
      </c>
      <c r="U102" s="28">
        <v>1.67</v>
      </c>
    </row>
    <row r="103" spans="1:21" x14ac:dyDescent="0.3">
      <c r="A103" s="25">
        <v>102</v>
      </c>
      <c r="B103" s="26">
        <v>267</v>
      </c>
      <c r="C103" s="27" t="s">
        <v>335</v>
      </c>
      <c r="D103" s="26" t="s">
        <v>336</v>
      </c>
      <c r="E103" s="23" t="s">
        <v>1233</v>
      </c>
      <c r="F103" s="26" t="str">
        <f>VLOOKUP(Table36[[#This Row],[Picture_no]], [3]ENGLISH.txt!$1:$1048576, 2, 0)</f>
        <v>knot</v>
      </c>
      <c r="G103" s="22" t="s">
        <v>1010</v>
      </c>
      <c r="H103" s="26" t="s">
        <v>933</v>
      </c>
      <c r="I103" s="26">
        <f>LEN(Table36[[#This Row],[Spanish]])</f>
        <v>4</v>
      </c>
      <c r="J103" s="26">
        <f>VLOOKUP(Table36[[#This Row],[Spanish]], [1]Sheet1!$1:$1048576, 4, 0)</f>
        <v>4</v>
      </c>
      <c r="K103" s="26">
        <f>VLOOKUP(Table36[[#This Row],[Spanish]], [1]Sheet1!$1:$1048576, 5, 9)</f>
        <v>3</v>
      </c>
      <c r="L103" s="28">
        <f>VLOOKUP(Table36[[#This Row],[Spanish]], [2]Sheet1!$1:$1048576, 2, 0)</f>
        <v>7.2001220000000004</v>
      </c>
      <c r="M103" s="28" t="str">
        <f>VLOOKUP(Table36[[#This Row],[Spanish]], [2]Sheet1!$1:$1048576, 3, 0)</f>
        <v>0.913820</v>
      </c>
      <c r="N103" s="28">
        <f>VLOOKUP(Table36[[#This Row],[Spanish]], [2]Sheet1!$1:$1048576, 6, 0)</f>
        <v>5.2309999999999999</v>
      </c>
      <c r="O103" s="28">
        <v>0.57421419200000001</v>
      </c>
      <c r="P103" s="29">
        <v>91</v>
      </c>
      <c r="Q103" s="26">
        <v>100</v>
      </c>
      <c r="R103" s="26">
        <v>4</v>
      </c>
      <c r="S103" s="26">
        <v>0</v>
      </c>
      <c r="T103" s="26">
        <v>0</v>
      </c>
      <c r="U103" s="28">
        <v>1.63</v>
      </c>
    </row>
    <row r="104" spans="1:21" x14ac:dyDescent="0.3">
      <c r="A104" s="25">
        <v>103</v>
      </c>
      <c r="B104" s="26">
        <v>268</v>
      </c>
      <c r="C104" s="27" t="s">
        <v>337</v>
      </c>
      <c r="D104" s="26" t="s">
        <v>338</v>
      </c>
      <c r="E104" s="23" t="s">
        <v>1234</v>
      </c>
      <c r="F104" s="26" t="str">
        <f>VLOOKUP(Table36[[#This Row],[Picture_no]], [3]ENGLISH.txt!$1:$1048576, 2, 0)</f>
        <v>bed</v>
      </c>
      <c r="G104" s="22" t="s">
        <v>1011</v>
      </c>
      <c r="H104" s="26" t="s">
        <v>937</v>
      </c>
      <c r="I104" s="26">
        <f>LEN(Table36[[#This Row],[Spanish]])</f>
        <v>4</v>
      </c>
      <c r="J104" s="26">
        <f>VLOOKUP(Table36[[#This Row],[Spanish]], [1]Sheet1!$1:$1048576, 4, 0)</f>
        <v>4</v>
      </c>
      <c r="K104" s="26">
        <f>VLOOKUP(Table36[[#This Row],[Spanish]], [1]Sheet1!$1:$1048576, 5, 9)</f>
        <v>2</v>
      </c>
      <c r="L104" s="28">
        <f>VLOOKUP(Table36[[#This Row],[Spanish]], [2]Sheet1!$1:$1048576, 2, 0)</f>
        <v>45.514130999999999</v>
      </c>
      <c r="M104" s="28">
        <f>VLOOKUP(Table36[[#This Row],[Spanish]], [2]Sheet1!$1:$1048576, 3, 0)</f>
        <v>1.6675850000000001</v>
      </c>
      <c r="N104" s="28">
        <f>VLOOKUP(Table36[[#This Row],[Spanish]], [2]Sheet1!$1:$1048576, 6, 0)</f>
        <v>7</v>
      </c>
      <c r="O104" s="29">
        <v>0</v>
      </c>
      <c r="P104" s="29">
        <v>100</v>
      </c>
      <c r="Q104" s="26">
        <v>100</v>
      </c>
      <c r="R104" s="26">
        <v>1</v>
      </c>
      <c r="S104" s="26">
        <v>0</v>
      </c>
      <c r="T104" s="26">
        <v>0</v>
      </c>
      <c r="U104" s="28">
        <v>2.2200000000000002</v>
      </c>
    </row>
    <row r="105" spans="1:21" x14ac:dyDescent="0.3">
      <c r="A105" s="25">
        <v>104</v>
      </c>
      <c r="B105" s="26">
        <v>271</v>
      </c>
      <c r="C105" s="27" t="s">
        <v>341</v>
      </c>
      <c r="D105" s="26" t="s">
        <v>342</v>
      </c>
      <c r="E105" s="23" t="s">
        <v>1235</v>
      </c>
      <c r="F105" s="26" t="str">
        <f>VLOOKUP(Table36[[#This Row],[Picture_no]], [3]ENGLISH.txt!$1:$1048576, 2, 0)</f>
        <v>rabbit</v>
      </c>
      <c r="G105" s="22" t="s">
        <v>1236</v>
      </c>
      <c r="H105" s="26" t="s">
        <v>929</v>
      </c>
      <c r="I105" s="26">
        <f>LEN(Table36[[#This Row],[Spanish]])</f>
        <v>6</v>
      </c>
      <c r="J105" s="26">
        <f>VLOOKUP(Table36[[#This Row],[Spanish]], [1]Sheet1!$1:$1048576, 4, 0)</f>
        <v>6</v>
      </c>
      <c r="K105" s="26">
        <f>VLOOKUP(Table36[[#This Row],[Spanish]], [1]Sheet1!$1:$1048576, 5, 9)</f>
        <v>3</v>
      </c>
      <c r="L105" s="28">
        <f>VLOOKUP(Table36[[#This Row],[Spanish]], [2]Sheet1!$1:$1048576, 2, 0)</f>
        <v>8.5485209999999991</v>
      </c>
      <c r="M105" s="28" t="str">
        <f>VLOOKUP(Table36[[#This Row],[Spanish]], [2]Sheet1!$1:$1048576, 3, 0)</f>
        <v>0.979936</v>
      </c>
      <c r="N105" s="28">
        <f>VLOOKUP(Table36[[#This Row],[Spanish]], [2]Sheet1!$1:$1048576, 6, 0)</f>
        <v>6.0609999999999999</v>
      </c>
      <c r="O105" s="29">
        <v>0</v>
      </c>
      <c r="P105" s="29">
        <v>100</v>
      </c>
      <c r="Q105" s="26">
        <v>100</v>
      </c>
      <c r="R105" s="26">
        <v>1</v>
      </c>
      <c r="S105" s="26">
        <v>0</v>
      </c>
      <c r="T105" s="26">
        <v>0</v>
      </c>
      <c r="U105" s="28">
        <v>2.82</v>
      </c>
    </row>
    <row r="106" spans="1:21" x14ac:dyDescent="0.3">
      <c r="A106" s="25">
        <v>105</v>
      </c>
      <c r="B106" s="26">
        <v>273</v>
      </c>
      <c r="C106" s="27" t="s">
        <v>343</v>
      </c>
      <c r="D106" s="30" t="s">
        <v>344</v>
      </c>
      <c r="E106" s="23" t="s">
        <v>1460</v>
      </c>
      <c r="F106" s="30" t="str">
        <f>VLOOKUP(Table36[[#This Row],[Picture_no]], [3]ENGLISH.txt!$1:$1048576, 2, 0)</f>
        <v>bus</v>
      </c>
      <c r="G106" s="22" t="s">
        <v>1012</v>
      </c>
      <c r="H106" s="26" t="s">
        <v>938</v>
      </c>
      <c r="I106" s="26">
        <f>LEN(Table36[[#This Row],[Spanish]])</f>
        <v>7</v>
      </c>
      <c r="J106" s="26">
        <f>VLOOKUP(Table36[[#This Row],[Spanish]], [1]Sheet1!$1:$1048576, 4, 0)</f>
        <v>7</v>
      </c>
      <c r="K106" s="26">
        <f>VLOOKUP(Table36[[#This Row],[Spanish]], [1]Sheet1!$1:$1048576, 5, 9)</f>
        <v>2</v>
      </c>
      <c r="L106" s="28">
        <f>VLOOKUP(Table36[[#This Row],[Spanish]], [2]Sheet1!$1:$1048576, 2, 0)</f>
        <v>13.26629</v>
      </c>
      <c r="M106" s="28">
        <f>VLOOKUP(Table36[[#This Row],[Spanish]], [2]Sheet1!$1:$1048576, 3, 0)</f>
        <v>1.1543110000000001</v>
      </c>
      <c r="N106" s="28">
        <f>VLOOKUP(Table36[[#This Row],[Spanish]], [2]Sheet1!$1:$1048576, 6, 0)</f>
        <v>6.3040000000000003</v>
      </c>
      <c r="O106" s="29">
        <v>0</v>
      </c>
      <c r="P106" s="29">
        <v>100</v>
      </c>
      <c r="Q106" s="26">
        <v>100</v>
      </c>
      <c r="R106" s="26">
        <v>1</v>
      </c>
      <c r="S106" s="26">
        <v>0</v>
      </c>
      <c r="T106" s="26">
        <v>0</v>
      </c>
      <c r="U106" s="28">
        <v>2.9</v>
      </c>
    </row>
    <row r="107" spans="1:21" x14ac:dyDescent="0.3">
      <c r="A107" s="25">
        <v>106</v>
      </c>
      <c r="B107" s="26">
        <v>275</v>
      </c>
      <c r="C107" s="27" t="s">
        <v>345</v>
      </c>
      <c r="D107" s="30" t="s">
        <v>346</v>
      </c>
      <c r="E107" s="23" t="s">
        <v>1237</v>
      </c>
      <c r="F107" s="30" t="str">
        <f>VLOOKUP(Table36[[#This Row],[Picture_no]], [3]ENGLISH.txt!$1:$1048576, 2, 0)</f>
        <v>cape</v>
      </c>
      <c r="G107" s="22" t="s">
        <v>1013</v>
      </c>
      <c r="H107" s="26" t="s">
        <v>940</v>
      </c>
      <c r="I107" s="26">
        <f>LEN(Table36[[#This Row],[Spanish]])</f>
        <v>4</v>
      </c>
      <c r="J107" s="26">
        <f>VLOOKUP(Table36[[#This Row],[Spanish]], [1]Sheet1!$1:$1048576, 4, 0)</f>
        <v>4</v>
      </c>
      <c r="K107" s="26">
        <f>VLOOKUP(Table36[[#This Row],[Spanish]], [1]Sheet1!$1:$1048576, 5, 9)</f>
        <v>2</v>
      </c>
      <c r="L107" s="28">
        <f>VLOOKUP(Table36[[#This Row],[Spanish]], [2]Sheet1!$1:$1048576, 2, 0)</f>
        <v>31.130132</v>
      </c>
      <c r="M107" s="28">
        <f>VLOOKUP(Table36[[#This Row],[Spanish]], [2]Sheet1!$1:$1048576, 3, 0)</f>
        <v>1.5069129999999999</v>
      </c>
      <c r="N107" s="28">
        <f>VLOOKUP(Table36[[#This Row],[Spanish]], [2]Sheet1!$1:$1048576, 6, 0)</f>
        <v>0</v>
      </c>
      <c r="O107" s="28">
        <v>0.30217361799999998</v>
      </c>
      <c r="P107" s="28">
        <v>94.623655909999997</v>
      </c>
      <c r="Q107" s="26">
        <v>93</v>
      </c>
      <c r="R107" s="26">
        <v>2</v>
      </c>
      <c r="S107" s="26">
        <v>3</v>
      </c>
      <c r="T107" s="26">
        <v>4</v>
      </c>
      <c r="U107" s="28">
        <v>2.12</v>
      </c>
    </row>
    <row r="108" spans="1:21" x14ac:dyDescent="0.3">
      <c r="A108" s="25">
        <v>107</v>
      </c>
      <c r="B108" s="26">
        <v>277</v>
      </c>
      <c r="C108" s="27" t="s">
        <v>347</v>
      </c>
      <c r="D108" s="26" t="s">
        <v>348</v>
      </c>
      <c r="E108" s="23" t="s">
        <v>1238</v>
      </c>
      <c r="F108" s="26" t="str">
        <f>VLOOKUP(Table36[[#This Row],[Picture_no]], [3]ENGLISH.txt!$1:$1048576, 2, 0)</f>
        <v>wig</v>
      </c>
      <c r="G108" s="22" t="s">
        <v>1014</v>
      </c>
      <c r="H108" s="26" t="s">
        <v>940</v>
      </c>
      <c r="I108" s="26">
        <f>LEN(Table36[[#This Row],[Spanish]])</f>
        <v>6</v>
      </c>
      <c r="J108" s="26">
        <f>VLOOKUP(Table36[[#This Row],[Spanish]], [1]Sheet1!$1:$1048576, 4, 0)</f>
        <v>6</v>
      </c>
      <c r="K108" s="26">
        <f>VLOOKUP(Table36[[#This Row],[Spanish]], [1]Sheet1!$1:$1048576, 5, 9)</f>
        <v>3</v>
      </c>
      <c r="L108" s="28">
        <f>VLOOKUP(Table36[[#This Row],[Spanish]], [2]Sheet1!$1:$1048576, 2, 0)</f>
        <v>1.9364950000000001</v>
      </c>
      <c r="M108" s="28" t="str">
        <f>VLOOKUP(Table36[[#This Row],[Spanish]], [2]Sheet1!$1:$1048576, 3, 0)</f>
        <v>0.467829</v>
      </c>
      <c r="N108" s="28">
        <f>VLOOKUP(Table36[[#This Row],[Spanish]], [2]Sheet1!$1:$1048576, 6, 0)</f>
        <v>0</v>
      </c>
      <c r="O108" s="28">
        <v>0.24602257799999999</v>
      </c>
      <c r="P108" s="28">
        <v>95.918367349999997</v>
      </c>
      <c r="Q108" s="26">
        <v>98</v>
      </c>
      <c r="R108" s="26">
        <v>2</v>
      </c>
      <c r="S108" s="26">
        <v>1</v>
      </c>
      <c r="T108" s="26">
        <v>1</v>
      </c>
      <c r="U108" s="28">
        <v>2.2599999999999998</v>
      </c>
    </row>
    <row r="109" spans="1:21" x14ac:dyDescent="0.3">
      <c r="A109" s="25">
        <v>108</v>
      </c>
      <c r="B109" s="26">
        <v>278</v>
      </c>
      <c r="C109" s="27" t="s">
        <v>349</v>
      </c>
      <c r="D109" s="32" t="s">
        <v>350</v>
      </c>
      <c r="E109" s="23" t="s">
        <v>1239</v>
      </c>
      <c r="F109" s="32" t="str">
        <f>VLOOKUP(Table36[[#This Row],[Picture_no]], [3]ENGLISH.txt!$1:$1048576, 2, 0)</f>
        <v>drum</v>
      </c>
      <c r="G109" s="22" t="s">
        <v>1015</v>
      </c>
      <c r="H109" s="26" t="s">
        <v>939</v>
      </c>
      <c r="I109" s="26">
        <f>LEN(Table36[[#This Row],[Spanish]])</f>
        <v>6</v>
      </c>
      <c r="J109" s="26">
        <f>VLOOKUP(Table36[[#This Row],[Spanish]], [1]Sheet1!$1:$1048576, 4, 0)</f>
        <v>6</v>
      </c>
      <c r="K109" s="26">
        <v>2</v>
      </c>
      <c r="L109" s="28">
        <f>VLOOKUP(Table36[[#This Row],[Spanish]], [2]Sheet1!$1:$1048576, 2, 0)</f>
        <v>7.8532019999999996</v>
      </c>
      <c r="M109" s="28" t="str">
        <f>VLOOKUP(Table36[[#This Row],[Spanish]], [2]Sheet1!$1:$1048576, 3, 0)</f>
        <v>0.947100</v>
      </c>
      <c r="N109" s="28">
        <f>VLOOKUP(Table36[[#This Row],[Spanish]], [2]Sheet1!$1:$1048576, 6, 0)</f>
        <v>6.2130000000000001</v>
      </c>
      <c r="O109" s="29">
        <v>0</v>
      </c>
      <c r="P109" s="29">
        <v>100</v>
      </c>
      <c r="Q109" s="26">
        <v>98</v>
      </c>
      <c r="R109" s="26">
        <v>1</v>
      </c>
      <c r="S109" s="26">
        <v>0</v>
      </c>
      <c r="T109" s="26">
        <v>2</v>
      </c>
      <c r="U109" s="28">
        <v>2.4</v>
      </c>
    </row>
    <row r="110" spans="1:21" x14ac:dyDescent="0.3">
      <c r="A110" s="25">
        <v>109</v>
      </c>
      <c r="B110" s="26">
        <v>279</v>
      </c>
      <c r="C110" s="27" t="s">
        <v>351</v>
      </c>
      <c r="D110" s="26" t="s">
        <v>352</v>
      </c>
      <c r="E110" s="23" t="s">
        <v>1240</v>
      </c>
      <c r="F110" s="26" t="str">
        <f>VLOOKUP(Table36[[#This Row],[Picture_no]], [3]ENGLISH.txt!$1:$1048576, 2, 0)</f>
        <v>rock</v>
      </c>
      <c r="G110" s="22" t="s">
        <v>1016</v>
      </c>
      <c r="H110" s="26" t="s">
        <v>933</v>
      </c>
      <c r="I110" s="26">
        <f>LEN(Table36[[#This Row],[Spanish]])</f>
        <v>6</v>
      </c>
      <c r="J110" s="26">
        <f>VLOOKUP(Table36[[#This Row],[Spanish]], [1]Sheet1!$1:$1048576, 4, 0)</f>
        <v>6</v>
      </c>
      <c r="K110" s="26">
        <f>VLOOKUP(Table36[[#This Row],[Spanish]], [1]Sheet1!$1:$1048576, 5, 9)</f>
        <v>3</v>
      </c>
      <c r="L110" s="28">
        <f>VLOOKUP(Table36[[#This Row],[Spanish]], [2]Sheet1!$1:$1048576, 2, 0)</f>
        <v>79.510015999999993</v>
      </c>
      <c r="M110" s="28">
        <f>VLOOKUP(Table36[[#This Row],[Spanish]], [2]Sheet1!$1:$1048576, 3, 0)</f>
        <v>1.90585</v>
      </c>
      <c r="N110" s="28">
        <f>VLOOKUP(Table36[[#This Row],[Spanish]], [2]Sheet1!$1:$1048576, 6, 0)</f>
        <v>6.2370000000000001</v>
      </c>
      <c r="O110" s="28">
        <v>0.48726979399999998</v>
      </c>
      <c r="P110" s="28">
        <v>91.860465120000001</v>
      </c>
      <c r="Q110" s="26">
        <v>86</v>
      </c>
      <c r="R110" s="26">
        <v>3</v>
      </c>
      <c r="S110" s="26">
        <v>12</v>
      </c>
      <c r="T110" s="26">
        <v>2</v>
      </c>
      <c r="U110" s="28">
        <v>2.5499999999999998</v>
      </c>
    </row>
    <row r="111" spans="1:21" x14ac:dyDescent="0.3">
      <c r="A111" s="25">
        <v>110</v>
      </c>
      <c r="B111" s="26">
        <v>286</v>
      </c>
      <c r="C111" s="27" t="s">
        <v>359</v>
      </c>
      <c r="D111" s="30" t="s">
        <v>360</v>
      </c>
      <c r="E111" s="23" t="s">
        <v>1241</v>
      </c>
      <c r="F111" s="30" t="str">
        <f>VLOOKUP(Table36[[#This Row],[Picture_no]], [3]ENGLISH.txt!$1:$1048576, 2, 0)</f>
        <v>tunnel</v>
      </c>
      <c r="G111" s="22" t="s">
        <v>1242</v>
      </c>
      <c r="H111" s="26" t="s">
        <v>932</v>
      </c>
      <c r="I111" s="26">
        <f>LEN(Table36[[#This Row],[Spanish]])</f>
        <v>5</v>
      </c>
      <c r="J111" s="26">
        <f>VLOOKUP(Table36[[#This Row],[Spanish]], [1]Sheet1!$1:$1048576, 4, 0)</f>
        <v>5</v>
      </c>
      <c r="K111" s="26">
        <v>2</v>
      </c>
      <c r="L111" s="28">
        <f>VLOOKUP(Table36[[#This Row],[Spanish]], [2]Sheet1!$1:$1048576, 2, 0)</f>
        <v>14.653679</v>
      </c>
      <c r="M111" s="28">
        <f>VLOOKUP(Table36[[#This Row],[Spanish]], [2]Sheet1!$1:$1048576, 3, 0)</f>
        <v>1.1946159999999999</v>
      </c>
      <c r="N111" s="28">
        <f>VLOOKUP(Table36[[#This Row],[Spanish]], [2]Sheet1!$1:$1048576, 6, 0)</f>
        <v>6.2069999999999999</v>
      </c>
      <c r="O111" s="29">
        <v>0</v>
      </c>
      <c r="P111" s="29">
        <v>100</v>
      </c>
      <c r="Q111" s="26">
        <v>99</v>
      </c>
      <c r="R111" s="26">
        <v>1</v>
      </c>
      <c r="S111" s="26">
        <v>0</v>
      </c>
      <c r="T111" s="26">
        <v>1</v>
      </c>
      <c r="U111" s="28">
        <v>2.29</v>
      </c>
    </row>
    <row r="112" spans="1:21" x14ac:dyDescent="0.3">
      <c r="A112" s="25">
        <v>111</v>
      </c>
      <c r="B112" s="26">
        <v>287</v>
      </c>
      <c r="C112" s="27" t="s">
        <v>361</v>
      </c>
      <c r="D112" s="30" t="s">
        <v>362</v>
      </c>
      <c r="E112" s="23" t="s">
        <v>1243</v>
      </c>
      <c r="F112" s="30" t="str">
        <f>VLOOKUP(Table36[[#This Row],[Picture_no]], [3]ENGLISH.txt!$1:$1048576, 2, 0)</f>
        <v>vein</v>
      </c>
      <c r="G112" s="22" t="s">
        <v>1017</v>
      </c>
      <c r="H112" s="26" t="s">
        <v>930</v>
      </c>
      <c r="I112" s="26">
        <f>LEN(Table36[[#This Row],[Spanish]])</f>
        <v>4</v>
      </c>
      <c r="J112" s="26">
        <f>VLOOKUP(Table36[[#This Row],[Spanish]], [1]Sheet1!$1:$1048576, 4, 0)</f>
        <v>4</v>
      </c>
      <c r="K112" s="26">
        <v>2</v>
      </c>
      <c r="L112" s="28">
        <f>VLOOKUP(Table36[[#This Row],[Spanish]], [2]Sheet1!$1:$1048576, 2, 0)</f>
        <v>3.9509699999999999</v>
      </c>
      <c r="M112" s="28" t="str">
        <f>VLOOKUP(Table36[[#This Row],[Spanish]], [2]Sheet1!$1:$1048576, 3, 0)</f>
        <v>0.694690</v>
      </c>
      <c r="N112" s="28">
        <f>VLOOKUP(Table36[[#This Row],[Spanish]], [2]Sheet1!$1:$1048576, 6, 0)</f>
        <v>5.875</v>
      </c>
      <c r="O112" s="28">
        <v>0.33757642300000001</v>
      </c>
      <c r="P112" s="28">
        <v>94.949494950000002</v>
      </c>
      <c r="Q112" s="26">
        <v>99</v>
      </c>
      <c r="R112" s="26">
        <v>3</v>
      </c>
      <c r="S112" s="26">
        <v>0</v>
      </c>
      <c r="T112" s="26">
        <v>1</v>
      </c>
      <c r="U112" s="28">
        <v>1.82</v>
      </c>
    </row>
    <row r="113" spans="1:21" x14ac:dyDescent="0.3">
      <c r="A113" s="25">
        <v>112</v>
      </c>
      <c r="B113" s="26">
        <v>290</v>
      </c>
      <c r="C113" s="27" t="s">
        <v>365</v>
      </c>
      <c r="D113" s="26" t="s">
        <v>366</v>
      </c>
      <c r="E113" s="23" t="s">
        <v>1244</v>
      </c>
      <c r="F113" s="26" t="str">
        <f>VLOOKUP(Table36[[#This Row],[Picture_no]], [3]ENGLISH.txt!$1:$1048576, 2, 0)</f>
        <v>cage</v>
      </c>
      <c r="G113" s="22" t="s">
        <v>1018</v>
      </c>
      <c r="H113" s="26" t="s">
        <v>933</v>
      </c>
      <c r="I113" s="26">
        <f>LEN(Table36[[#This Row],[Spanish]])</f>
        <v>5</v>
      </c>
      <c r="J113" s="26">
        <f>VLOOKUP(Table36[[#This Row],[Spanish]], [1]Sheet1!$1:$1048576, 4, 0)</f>
        <v>5</v>
      </c>
      <c r="K113" s="26">
        <f>VLOOKUP(Table36[[#This Row],[Spanish]], [1]Sheet1!$1:$1048576, 5, 9)</f>
        <v>2</v>
      </c>
      <c r="L113" s="28">
        <f>VLOOKUP(Table36[[#This Row],[Spanish]], [2]Sheet1!$1:$1048576, 2, 0)</f>
        <v>6.4463189999999999</v>
      </c>
      <c r="M113" s="28" t="str">
        <f>VLOOKUP(Table36[[#This Row],[Spanish]], [2]Sheet1!$1:$1048576, 3, 0)</f>
        <v>0.871942</v>
      </c>
      <c r="N113" s="28">
        <f>VLOOKUP(Table36[[#This Row],[Spanish]], [2]Sheet1!$1:$1048576, 6, 0)</f>
        <v>6.4850000000000003</v>
      </c>
      <c r="O113" s="29">
        <v>0</v>
      </c>
      <c r="P113" s="29">
        <v>100</v>
      </c>
      <c r="Q113" s="26">
        <v>98</v>
      </c>
      <c r="R113" s="26">
        <v>1</v>
      </c>
      <c r="S113" s="26">
        <v>0</v>
      </c>
      <c r="T113" s="26">
        <v>2</v>
      </c>
      <c r="U113" s="28">
        <v>2.57</v>
      </c>
    </row>
    <row r="114" spans="1:21" x14ac:dyDescent="0.3">
      <c r="A114" s="25">
        <v>113</v>
      </c>
      <c r="B114" s="26">
        <v>292</v>
      </c>
      <c r="C114" s="27" t="s">
        <v>369</v>
      </c>
      <c r="D114" s="26" t="s">
        <v>370</v>
      </c>
      <c r="E114" s="23" t="s">
        <v>1245</v>
      </c>
      <c r="F114" s="26" t="str">
        <f>VLOOKUP(Table36[[#This Row],[Picture_no]], [3]ENGLISH.txt!$1:$1048576, 2, 0)</f>
        <v>compass</v>
      </c>
      <c r="G114" s="22" t="s">
        <v>1205</v>
      </c>
      <c r="H114" s="26" t="s">
        <v>933</v>
      </c>
      <c r="I114" s="26">
        <f>LEN(Table36[[#This Row],[Spanish]])</f>
        <v>7</v>
      </c>
      <c r="J114" s="26">
        <f>VLOOKUP(Table36[[#This Row],[Spanish]], [1]Sheet1!$1:$1048576, 4, 0)</f>
        <v>7</v>
      </c>
      <c r="K114" s="26">
        <f>VLOOKUP(Table36[[#This Row],[Spanish]], [1]Sheet1!$1:$1048576, 5, 9)</f>
        <v>2</v>
      </c>
      <c r="L114" s="28">
        <f>VLOOKUP(Table36[[#This Row],[Spanish]], [2]Sheet1!$1:$1048576, 2, 0)</f>
        <v>2.144441</v>
      </c>
      <c r="M114" s="28" t="str">
        <f>VLOOKUP(Table36[[#This Row],[Spanish]], [2]Sheet1!$1:$1048576, 3, 0)</f>
        <v>0.497543</v>
      </c>
      <c r="N114" s="28">
        <f>VLOOKUP(Table36[[#This Row],[Spanish]], [2]Sheet1!$1:$1048576, 6, 0)</f>
        <v>0</v>
      </c>
      <c r="O114" s="29">
        <v>0</v>
      </c>
      <c r="P114" s="29">
        <v>100</v>
      </c>
      <c r="Q114" s="26">
        <v>98</v>
      </c>
      <c r="R114" s="26">
        <v>1</v>
      </c>
      <c r="S114" s="26">
        <v>1</v>
      </c>
      <c r="T114" s="26">
        <v>1</v>
      </c>
      <c r="U114" s="28">
        <v>2.34</v>
      </c>
    </row>
    <row r="115" spans="1:21" x14ac:dyDescent="0.3">
      <c r="A115" s="25">
        <v>114</v>
      </c>
      <c r="B115" s="26">
        <v>295</v>
      </c>
      <c r="C115" s="27" t="s">
        <v>375</v>
      </c>
      <c r="D115" s="26" t="s">
        <v>376</v>
      </c>
      <c r="E115" s="23" t="s">
        <v>1246</v>
      </c>
      <c r="F115" s="26" t="str">
        <f>VLOOKUP(Table36[[#This Row],[Picture_no]], [3]ENGLISH.txt!$1:$1048576, 2, 0)</f>
        <v>flag</v>
      </c>
      <c r="G115" s="22" t="s">
        <v>1019</v>
      </c>
      <c r="H115" s="26" t="s">
        <v>933</v>
      </c>
      <c r="I115" s="26">
        <f>LEN(Table36[[#This Row],[Spanish]])</f>
        <v>7</v>
      </c>
      <c r="J115" s="26">
        <f>VLOOKUP(Table36[[#This Row],[Spanish]], [1]Sheet1!$1:$1048576, 4, 0)</f>
        <v>7</v>
      </c>
      <c r="K115" s="26">
        <f>VLOOKUP(Table36[[#This Row],[Spanish]], [1]Sheet1!$1:$1048576, 5, 9)</f>
        <v>2</v>
      </c>
      <c r="L115" s="28">
        <f>VLOOKUP(Table36[[#This Row],[Spanish]], [2]Sheet1!$1:$1048576, 2, 0)</f>
        <v>48.090708999999997</v>
      </c>
      <c r="M115" s="28">
        <f>VLOOKUP(Table36[[#This Row],[Spanish]], [2]Sheet1!$1:$1048576, 3, 0)</f>
        <v>1.6909989999999999</v>
      </c>
      <c r="N115" s="28">
        <f>VLOOKUP(Table36[[#This Row],[Spanish]], [2]Sheet1!$1:$1048576, 6, 0)</f>
        <v>6.0510000000000002</v>
      </c>
      <c r="O115" s="29">
        <v>0</v>
      </c>
      <c r="P115" s="29">
        <v>100</v>
      </c>
      <c r="Q115" s="26">
        <v>100</v>
      </c>
      <c r="R115" s="26">
        <v>1</v>
      </c>
      <c r="S115" s="26">
        <v>0</v>
      </c>
      <c r="T115" s="26">
        <v>0</v>
      </c>
      <c r="U115" s="28">
        <v>1.43</v>
      </c>
    </row>
    <row r="116" spans="1:21" x14ac:dyDescent="0.3">
      <c r="A116" s="25">
        <v>115</v>
      </c>
      <c r="B116" s="26">
        <v>297</v>
      </c>
      <c r="C116" s="27" t="s">
        <v>377</v>
      </c>
      <c r="D116" s="26" t="s">
        <v>378</v>
      </c>
      <c r="E116" s="23" t="s">
        <v>1247</v>
      </c>
      <c r="F116" s="26" t="str">
        <f>VLOOKUP(Table36[[#This Row],[Picture_no]], [3]ENGLISH.txt!$1:$1048576, 2, 0)</f>
        <v>aeroplane</v>
      </c>
      <c r="G116" s="22" t="s">
        <v>1248</v>
      </c>
      <c r="H116" s="26" t="s">
        <v>938</v>
      </c>
      <c r="I116" s="26">
        <f>LEN(Table36[[#This Row],[Spanish]])</f>
        <v>5</v>
      </c>
      <c r="J116" s="26">
        <f>VLOOKUP(Table36[[#This Row],[Spanish]], [1]Sheet1!$1:$1048576, 4, 0)</f>
        <v>5</v>
      </c>
      <c r="K116" s="26">
        <f>VLOOKUP(Table36[[#This Row],[Spanish]], [1]Sheet1!$1:$1048576, 5, 9)</f>
        <v>2</v>
      </c>
      <c r="L116" s="28">
        <f>VLOOKUP(Table36[[#This Row],[Spanish]], [2]Sheet1!$1:$1048576, 2, 0)</f>
        <v>48.100456000000001</v>
      </c>
      <c r="M116" s="28">
        <f>VLOOKUP(Table36[[#This Row],[Spanish]], [2]Sheet1!$1:$1048576, 3, 0)</f>
        <v>1.6910860000000001</v>
      </c>
      <c r="N116" s="28">
        <f>VLOOKUP(Table36[[#This Row],[Spanish]], [2]Sheet1!$1:$1048576, 6, 0)</f>
        <v>5.81</v>
      </c>
      <c r="O116" s="29">
        <v>0</v>
      </c>
      <c r="P116" s="29">
        <v>100</v>
      </c>
      <c r="Q116" s="26">
        <v>100</v>
      </c>
      <c r="R116" s="26">
        <v>1</v>
      </c>
      <c r="S116" s="26">
        <v>0</v>
      </c>
      <c r="T116" s="26">
        <v>0</v>
      </c>
      <c r="U116" s="28">
        <v>2.59</v>
      </c>
    </row>
    <row r="117" spans="1:21" x14ac:dyDescent="0.3">
      <c r="A117" s="25">
        <v>116</v>
      </c>
      <c r="B117" s="26">
        <v>301</v>
      </c>
      <c r="C117" s="27" t="s">
        <v>383</v>
      </c>
      <c r="D117" s="26" t="s">
        <v>384</v>
      </c>
      <c r="E117" s="23" t="s">
        <v>1249</v>
      </c>
      <c r="F117" s="26" t="str">
        <f>VLOOKUP(Table36[[#This Row],[Picture_no]], [3]ENGLISH.txt!$1:$1048576, 2, 0)</f>
        <v>sword</v>
      </c>
      <c r="G117" s="22" t="s">
        <v>1020</v>
      </c>
      <c r="H117" s="26" t="s">
        <v>933</v>
      </c>
      <c r="I117" s="26">
        <f>LEN(Table36[[#This Row],[Spanish]])</f>
        <v>6</v>
      </c>
      <c r="J117" s="26">
        <f>VLOOKUP(Table36[[#This Row],[Spanish]], [1]Sheet1!$1:$1048576, 4, 0)</f>
        <v>6</v>
      </c>
      <c r="K117" s="26">
        <f>VLOOKUP(Table36[[#This Row],[Spanish]], [1]Sheet1!$1:$1048576, 5, 9)</f>
        <v>3</v>
      </c>
      <c r="L117" s="28">
        <f>VLOOKUP(Table36[[#This Row],[Spanish]], [2]Sheet1!$1:$1048576, 2, 0)</f>
        <v>39.308249000000004</v>
      </c>
      <c r="M117" s="28">
        <f>VLOOKUP(Table36[[#This Row],[Spanish]], [2]Sheet1!$1:$1048576, 3, 0)</f>
        <v>1.605394</v>
      </c>
      <c r="N117" s="28">
        <f>VLOOKUP(Table36[[#This Row],[Spanish]], [2]Sheet1!$1:$1048576, 6, 0)</f>
        <v>5.8760000000000003</v>
      </c>
      <c r="O117" s="29">
        <v>0</v>
      </c>
      <c r="P117" s="29">
        <v>100</v>
      </c>
      <c r="Q117" s="26">
        <v>100</v>
      </c>
      <c r="R117" s="26">
        <v>1</v>
      </c>
      <c r="S117" s="26">
        <v>0</v>
      </c>
      <c r="T117" s="26">
        <v>0</v>
      </c>
      <c r="U117" s="28">
        <v>1.9898989899999999</v>
      </c>
    </row>
    <row r="118" spans="1:21" x14ac:dyDescent="0.3">
      <c r="A118" s="25">
        <v>117</v>
      </c>
      <c r="B118" s="26">
        <v>303</v>
      </c>
      <c r="C118" s="27" t="s">
        <v>387</v>
      </c>
      <c r="D118" s="30" t="s">
        <v>388</v>
      </c>
      <c r="E118" s="23" t="s">
        <v>388</v>
      </c>
      <c r="F118" s="30" t="str">
        <f>VLOOKUP(Table36[[#This Row],[Picture_no]], [3]ENGLISH.txt!$1:$1048576, 2, 0)</f>
        <v>mime</v>
      </c>
      <c r="G118" s="22" t="s">
        <v>1021</v>
      </c>
      <c r="H118" s="26" t="s">
        <v>943</v>
      </c>
      <c r="I118" s="26">
        <f>LEN(Table36[[#This Row],[Spanish]])</f>
        <v>4</v>
      </c>
      <c r="J118" s="26">
        <f>VLOOKUP(Table36[[#This Row],[Spanish]], [1]Sheet1!$1:$1048576, 4, 0)</f>
        <v>4</v>
      </c>
      <c r="K118" s="26">
        <f>VLOOKUP(Table36[[#This Row],[Spanish]], [1]Sheet1!$1:$1048576, 5, 9)</f>
        <v>3</v>
      </c>
      <c r="L118" s="28">
        <f>VLOOKUP(Table36[[#This Row],[Spanish]], [2]Sheet1!$1:$1048576, 2, 0)</f>
        <v>1.929997</v>
      </c>
      <c r="M118" s="28" t="str">
        <f>VLOOKUP(Table36[[#This Row],[Spanish]], [2]Sheet1!$1:$1048576, 3, 0)</f>
        <v>0.466867</v>
      </c>
      <c r="N118" s="28">
        <f>VLOOKUP(Table36[[#This Row],[Spanish]], [2]Sheet1!$1:$1048576, 6, 0)</f>
        <v>0</v>
      </c>
      <c r="O118" s="28">
        <v>0.29292995100000002</v>
      </c>
      <c r="P118" s="28">
        <v>94.845360819999996</v>
      </c>
      <c r="Q118" s="26">
        <v>97</v>
      </c>
      <c r="R118" s="26">
        <v>2</v>
      </c>
      <c r="S118" s="26">
        <v>1</v>
      </c>
      <c r="T118" s="26">
        <v>2</v>
      </c>
      <c r="U118" s="28">
        <v>2.96</v>
      </c>
    </row>
    <row r="119" spans="1:21" x14ac:dyDescent="0.3">
      <c r="A119" s="25">
        <v>118</v>
      </c>
      <c r="B119" s="26">
        <v>304</v>
      </c>
      <c r="C119" s="27" t="s">
        <v>389</v>
      </c>
      <c r="D119" s="26" t="s">
        <v>390</v>
      </c>
      <c r="E119" s="23" t="s">
        <v>1250</v>
      </c>
      <c r="F119" s="26" t="str">
        <f>VLOOKUP(Table36[[#This Row],[Picture_no]], [3]ENGLISH.txt!$1:$1048576, 2, 0)</f>
        <v>cot</v>
      </c>
      <c r="G119" s="22" t="s">
        <v>1022</v>
      </c>
      <c r="H119" s="26" t="s">
        <v>937</v>
      </c>
      <c r="I119" s="26">
        <f>LEN(Table36[[#This Row],[Spanish]])</f>
        <v>4</v>
      </c>
      <c r="J119" s="26">
        <f>VLOOKUP(Table36[[#This Row],[Spanish]], [1]Sheet1!$1:$1048576, 4, 0)</f>
        <v>4</v>
      </c>
      <c r="K119" s="26">
        <f>VLOOKUP(Table36[[#This Row],[Spanish]], [1]Sheet1!$1:$1048576, 5, 9)</f>
        <v>3</v>
      </c>
      <c r="L119" s="28">
        <f>VLOOKUP(Table36[[#This Row],[Spanish]], [2]Sheet1!$1:$1048576, 2, 0)</f>
        <v>10.644223999999999</v>
      </c>
      <c r="M119" s="28">
        <f>VLOOKUP(Table36[[#This Row],[Spanish]], [2]Sheet1!$1:$1048576, 3, 0)</f>
        <v>1.066111</v>
      </c>
      <c r="N119" s="28">
        <f>VLOOKUP(Table36[[#This Row],[Spanish]], [2]Sheet1!$1:$1048576, 6, 0)</f>
        <v>6.069</v>
      </c>
      <c r="O119" s="29">
        <v>0</v>
      </c>
      <c r="P119" s="29">
        <v>100</v>
      </c>
      <c r="Q119" s="26">
        <v>100</v>
      </c>
      <c r="R119" s="26">
        <v>1</v>
      </c>
      <c r="S119" s="26">
        <v>0</v>
      </c>
      <c r="T119" s="26">
        <v>0</v>
      </c>
      <c r="U119" s="28">
        <v>2.5299999999999998</v>
      </c>
    </row>
    <row r="120" spans="1:21" x14ac:dyDescent="0.3">
      <c r="A120" s="25">
        <v>119</v>
      </c>
      <c r="B120" s="26">
        <v>305</v>
      </c>
      <c r="C120" s="27" t="s">
        <v>391</v>
      </c>
      <c r="D120" s="26" t="s">
        <v>392</v>
      </c>
      <c r="E120" s="23" t="s">
        <v>1251</v>
      </c>
      <c r="F120" s="26" t="str">
        <f>VLOOKUP(Table36[[#This Row],[Picture_no]], [3]ENGLISH.txt!$1:$1048576, 2, 0)</f>
        <v>letterbox</v>
      </c>
      <c r="G120" s="22" t="s">
        <v>1252</v>
      </c>
      <c r="H120" s="26" t="s">
        <v>933</v>
      </c>
      <c r="I120" s="26">
        <f>LEN(Table36[[#This Row],[Spanish]])</f>
        <v>5</v>
      </c>
      <c r="J120" s="26">
        <f>VLOOKUP(Table36[[#This Row],[Spanish]], [1]Sheet1!$1:$1048576, 4, 0)</f>
        <v>5</v>
      </c>
      <c r="K120" s="26">
        <f>VLOOKUP(Table36[[#This Row],[Spanish]], [1]Sheet1!$1:$1048576, 5, 9)</f>
        <v>2</v>
      </c>
      <c r="L120" s="28">
        <f>VLOOKUP(Table36[[#This Row],[Spanish]], [2]Sheet1!$1:$1048576, 2, 0)</f>
        <v>1.364644</v>
      </c>
      <c r="M120" s="28">
        <f>VLOOKUP(Table36[[#This Row],[Spanish]], [2]Sheet1!$1:$1048576, 3, 0)</f>
        <v>0.37376599999999999</v>
      </c>
      <c r="N120" s="28">
        <f>VLOOKUP(Table36[[#This Row],[Spanish]], [2]Sheet1!$1:$1048576, 6, 0)</f>
        <v>6.2880000000000003</v>
      </c>
      <c r="O120" s="29">
        <v>0</v>
      </c>
      <c r="P120" s="29">
        <v>100</v>
      </c>
      <c r="Q120" s="26">
        <v>100</v>
      </c>
      <c r="R120" s="26">
        <v>1</v>
      </c>
      <c r="S120" s="26">
        <v>0</v>
      </c>
      <c r="T120" s="26">
        <v>0</v>
      </c>
      <c r="U120" s="28">
        <v>2.0808080809999998</v>
      </c>
    </row>
    <row r="121" spans="1:21" x14ac:dyDescent="0.3">
      <c r="A121" s="25">
        <v>120</v>
      </c>
      <c r="B121" s="26">
        <v>308</v>
      </c>
      <c r="C121" s="27" t="s">
        <v>395</v>
      </c>
      <c r="D121" s="26" t="s">
        <v>396</v>
      </c>
      <c r="E121" s="23" t="s">
        <v>1253</v>
      </c>
      <c r="F121" s="26" t="str">
        <f>VLOOKUP(Table36[[#This Row],[Picture_no]], [3]ENGLISH.txt!$1:$1048576, 2, 0)</f>
        <v>dice</v>
      </c>
      <c r="G121" s="22" t="s">
        <v>1023</v>
      </c>
      <c r="H121" s="26" t="s">
        <v>933</v>
      </c>
      <c r="I121" s="26">
        <f>LEN(Table36[[#This Row],[Spanish]])</f>
        <v>4</v>
      </c>
      <c r="J121" s="26">
        <f>VLOOKUP(Table36[[#This Row],[Spanish]], [1]Sheet1!$1:$1048576, 4, 0)</f>
        <v>4</v>
      </c>
      <c r="K121" s="26">
        <f>VLOOKUP(Table36[[#This Row],[Spanish]], [1]Sheet1!$1:$1048576, 5, 9)</f>
        <v>3</v>
      </c>
      <c r="L121" s="28">
        <f>VLOOKUP(Table36[[#This Row],[Spanish]], [2]Sheet1!$1:$1048576, 2, 0)</f>
        <v>206.73058900000001</v>
      </c>
      <c r="M121" s="28">
        <f>VLOOKUP(Table36[[#This Row],[Spanish]], [2]Sheet1!$1:$1048576, 3, 0)</f>
        <v>2.3174999999999999</v>
      </c>
      <c r="N121" s="28">
        <f>VLOOKUP(Table36[[#This Row],[Spanish]], [2]Sheet1!$1:$1048576, 6, 0)</f>
        <v>5.2729999999999997</v>
      </c>
      <c r="O121" s="29">
        <v>0</v>
      </c>
      <c r="P121" s="29">
        <v>100</v>
      </c>
      <c r="Q121" s="26">
        <v>99</v>
      </c>
      <c r="R121" s="26">
        <v>1</v>
      </c>
      <c r="S121" s="26">
        <v>0</v>
      </c>
      <c r="T121" s="26">
        <v>1</v>
      </c>
      <c r="U121" s="28">
        <v>1.54</v>
      </c>
    </row>
    <row r="122" spans="1:21" x14ac:dyDescent="0.3">
      <c r="A122" s="25">
        <v>121</v>
      </c>
      <c r="B122" s="26">
        <v>312</v>
      </c>
      <c r="C122" s="27" t="s">
        <v>397</v>
      </c>
      <c r="D122" s="30" t="s">
        <v>398</v>
      </c>
      <c r="E122" s="23" t="s">
        <v>1254</v>
      </c>
      <c r="F122" s="30" t="str">
        <f>VLOOKUP(Table36[[#This Row],[Picture_no]], [3]ENGLISH.txt!$1:$1048576, 2, 0)</f>
        <v>flower</v>
      </c>
      <c r="G122" s="22" t="s">
        <v>1255</v>
      </c>
      <c r="H122" s="26" t="s">
        <v>935</v>
      </c>
      <c r="I122" s="26">
        <f>LEN(Table36[[#This Row],[Spanish]])</f>
        <v>4</v>
      </c>
      <c r="J122" s="26">
        <f>VLOOKUP(Table36[[#This Row],[Spanish]], [1]Sheet1!$1:$1048576, 4, 0)</f>
        <v>4</v>
      </c>
      <c r="K122" s="26">
        <f>VLOOKUP(Table36[[#This Row],[Spanish]], [1]Sheet1!$1:$1048576, 5, 9)</f>
        <v>2</v>
      </c>
      <c r="L122" s="28">
        <f>VLOOKUP(Table36[[#This Row],[Spanish]], [2]Sheet1!$1:$1048576, 2, 0)</f>
        <v>33.141356999999999</v>
      </c>
      <c r="M122" s="28">
        <f>VLOOKUP(Table36[[#This Row],[Spanish]], [2]Sheet1!$1:$1048576, 3, 0)</f>
        <v>1.5332809999999999</v>
      </c>
      <c r="N122" s="28">
        <f>VLOOKUP(Table36[[#This Row],[Spanish]], [2]Sheet1!$1:$1048576, 6, 0)</f>
        <v>6.306</v>
      </c>
      <c r="O122" s="29">
        <v>0</v>
      </c>
      <c r="P122" s="29">
        <v>100</v>
      </c>
      <c r="Q122" s="26">
        <v>97</v>
      </c>
      <c r="R122" s="26">
        <v>1</v>
      </c>
      <c r="S122" s="26">
        <v>1</v>
      </c>
      <c r="T122" s="26">
        <v>2</v>
      </c>
      <c r="U122" s="28">
        <v>2.76</v>
      </c>
    </row>
    <row r="123" spans="1:21" x14ac:dyDescent="0.3">
      <c r="A123" s="25">
        <v>122</v>
      </c>
      <c r="B123" s="26">
        <v>319</v>
      </c>
      <c r="C123" s="27" t="s">
        <v>401</v>
      </c>
      <c r="D123" s="26" t="s">
        <v>402</v>
      </c>
      <c r="E123" s="23" t="s">
        <v>1256</v>
      </c>
      <c r="F123" s="26" t="str">
        <f>VLOOKUP(Table36[[#This Row],[Picture_no]], [3]ENGLISH.txt!$1:$1048576, 2, 0)</f>
        <v>cow</v>
      </c>
      <c r="G123" s="22" t="s">
        <v>1024</v>
      </c>
      <c r="H123" s="26" t="s">
        <v>929</v>
      </c>
      <c r="I123" s="26">
        <f>LEN(Table36[[#This Row],[Spanish]])</f>
        <v>4</v>
      </c>
      <c r="J123" s="26">
        <f>VLOOKUP(Table36[[#This Row],[Spanish]], [1]Sheet1!$1:$1048576, 4, 0)</f>
        <v>4</v>
      </c>
      <c r="K123" s="26">
        <v>2</v>
      </c>
      <c r="L123" s="28">
        <f>VLOOKUP(Table36[[#This Row],[Spanish]], [2]Sheet1!$1:$1048576, 2, 0)</f>
        <v>14.624435999999999</v>
      </c>
      <c r="M123" s="28">
        <f>VLOOKUP(Table36[[#This Row],[Spanish]], [2]Sheet1!$1:$1048576, 3, 0)</f>
        <v>1.1938040000000001</v>
      </c>
      <c r="N123" s="28">
        <f>VLOOKUP(Table36[[#This Row],[Spanish]], [2]Sheet1!$1:$1048576, 6, 0)</f>
        <v>6.0229999999999997</v>
      </c>
      <c r="O123" s="29">
        <v>0</v>
      </c>
      <c r="P123" s="29">
        <v>100</v>
      </c>
      <c r="Q123" s="26">
        <v>100</v>
      </c>
      <c r="R123" s="26">
        <v>1</v>
      </c>
      <c r="S123" s="26">
        <v>0</v>
      </c>
      <c r="T123" s="26">
        <v>0</v>
      </c>
      <c r="U123" s="28">
        <v>2.65</v>
      </c>
    </row>
    <row r="124" spans="1:21" x14ac:dyDescent="0.3">
      <c r="A124" s="25">
        <v>123</v>
      </c>
      <c r="B124" s="26">
        <v>320</v>
      </c>
      <c r="C124" s="27" t="s">
        <v>403</v>
      </c>
      <c r="D124" s="26" t="s">
        <v>404</v>
      </c>
      <c r="E124" s="23" t="s">
        <v>1257</v>
      </c>
      <c r="F124" s="26" t="str">
        <f>VLOOKUP(Table36[[#This Row],[Picture_no]], [3]ENGLISH.txt!$1:$1048576, 2, 0)</f>
        <v>church</v>
      </c>
      <c r="G124" s="22" t="s">
        <v>1025</v>
      </c>
      <c r="H124" s="26" t="s">
        <v>932</v>
      </c>
      <c r="I124" s="26">
        <f>LEN(Table36[[#This Row],[Spanish]])</f>
        <v>7</v>
      </c>
      <c r="J124" s="26">
        <f>VLOOKUP(Table36[[#This Row],[Spanish]], [1]Sheet1!$1:$1048576, 4, 0)</f>
        <v>7</v>
      </c>
      <c r="K124" s="26">
        <f>VLOOKUP(Table36[[#This Row],[Spanish]], [1]Sheet1!$1:$1048576, 5, 9)</f>
        <v>2</v>
      </c>
      <c r="L124" s="28">
        <f>VLOOKUP(Table36[[#This Row],[Spanish]], [2]Sheet1!$1:$1048576, 2, 0)</f>
        <v>216.32533699999999</v>
      </c>
      <c r="M124" s="28">
        <f>VLOOKUP(Table36[[#This Row],[Spanish]], [2]Sheet1!$1:$1048576, 3, 0)</f>
        <v>2.33711</v>
      </c>
      <c r="N124" s="28">
        <f>VLOOKUP(Table36[[#This Row],[Spanish]], [2]Sheet1!$1:$1048576, 6, 0)</f>
        <v>5.7130000000000001</v>
      </c>
      <c r="O124" s="28">
        <v>0.24793583799999999</v>
      </c>
      <c r="P124" s="28">
        <v>95.87628866</v>
      </c>
      <c r="Q124" s="26">
        <v>97</v>
      </c>
      <c r="R124" s="26">
        <v>2</v>
      </c>
      <c r="S124" s="26">
        <v>0</v>
      </c>
      <c r="T124" s="26">
        <v>3</v>
      </c>
      <c r="U124" s="28">
        <v>2.88</v>
      </c>
    </row>
    <row r="125" spans="1:21" x14ac:dyDescent="0.3">
      <c r="A125" s="25">
        <v>124</v>
      </c>
      <c r="B125" s="26">
        <v>326</v>
      </c>
      <c r="C125" s="27" t="s">
        <v>409</v>
      </c>
      <c r="D125" s="30" t="s">
        <v>410</v>
      </c>
      <c r="E125" s="23" t="s">
        <v>410</v>
      </c>
      <c r="F125" s="30" t="str">
        <f>VLOOKUP(Table36[[#This Row],[Picture_no]], [3]ENGLISH.txt!$1:$1048576, 2, 0)</f>
        <v>tomato</v>
      </c>
      <c r="G125" s="22" t="s">
        <v>1258</v>
      </c>
      <c r="H125" s="26" t="s">
        <v>934</v>
      </c>
      <c r="I125" s="26">
        <f>LEN(Table36[[#This Row],[Spanish]])</f>
        <v>6</v>
      </c>
      <c r="J125" s="26">
        <f>VLOOKUP(Table36[[#This Row],[Spanish]], [1]Sheet1!$1:$1048576, 4, 0)</f>
        <v>6</v>
      </c>
      <c r="K125" s="26">
        <v>3</v>
      </c>
      <c r="L125" s="28">
        <f>VLOOKUP(Table36[[#This Row],[Spanish]], [2]Sheet1!$1:$1048576, 2, 0)</f>
        <v>6.9629339999999997</v>
      </c>
      <c r="M125" s="28" t="str">
        <f>VLOOKUP(Table36[[#This Row],[Spanish]], [2]Sheet1!$1:$1048576, 3, 0)</f>
        <v>0.901073</v>
      </c>
      <c r="N125" s="28">
        <f>VLOOKUP(Table36[[#This Row],[Spanish]], [2]Sheet1!$1:$1048576, 6, 0)</f>
        <v>6.6280000000000001</v>
      </c>
      <c r="O125" s="29">
        <v>0</v>
      </c>
      <c r="P125" s="29">
        <v>100</v>
      </c>
      <c r="Q125" s="26">
        <v>100</v>
      </c>
      <c r="R125" s="26">
        <v>1</v>
      </c>
      <c r="S125" s="26">
        <v>0</v>
      </c>
      <c r="T125" s="26">
        <v>0</v>
      </c>
      <c r="U125" s="28">
        <v>1.71</v>
      </c>
    </row>
    <row r="126" spans="1:21" x14ac:dyDescent="0.3">
      <c r="A126" s="25">
        <v>125</v>
      </c>
      <c r="B126" s="26">
        <v>327</v>
      </c>
      <c r="C126" s="27" t="s">
        <v>411</v>
      </c>
      <c r="D126" s="26" t="s">
        <v>412</v>
      </c>
      <c r="E126" s="23" t="s">
        <v>1259</v>
      </c>
      <c r="F126" s="26" t="str">
        <f>VLOOKUP(Table36[[#This Row],[Picture_no]], [3]ENGLISH.txt!$1:$1048576, 2, 0)</f>
        <v>helmet</v>
      </c>
      <c r="G126" s="22" t="s">
        <v>1260</v>
      </c>
      <c r="H126" s="26" t="s">
        <v>940</v>
      </c>
      <c r="I126" s="26">
        <f>LEN(Table36[[#This Row],[Spanish]])</f>
        <v>5</v>
      </c>
      <c r="J126" s="26">
        <f>VLOOKUP(Table36[[#This Row],[Spanish]], [1]Sheet1!$1:$1048576, 4, 0)</f>
        <v>5</v>
      </c>
      <c r="K126" s="26">
        <f>VLOOKUP(Table36[[#This Row],[Spanish]], [1]Sheet1!$1:$1048576, 5, 9)</f>
        <v>2</v>
      </c>
      <c r="L126" s="28">
        <f>VLOOKUP(Table36[[#This Row],[Spanish]], [2]Sheet1!$1:$1048576, 2, 0)</f>
        <v>22.786307999999998</v>
      </c>
      <c r="M126" s="28">
        <f>VLOOKUP(Table36[[#This Row],[Spanish]], [2]Sheet1!$1:$1048576, 3, 0)</f>
        <v>1.3763270000000001</v>
      </c>
      <c r="N126" s="28">
        <f>VLOOKUP(Table36[[#This Row],[Spanish]], [2]Sheet1!$1:$1048576, 6, 0)</f>
        <v>5.7969999999999997</v>
      </c>
      <c r="O126" s="29">
        <v>0</v>
      </c>
      <c r="P126" s="29">
        <v>100</v>
      </c>
      <c r="Q126" s="26">
        <v>100</v>
      </c>
      <c r="R126" s="26">
        <v>1</v>
      </c>
      <c r="S126" s="26">
        <v>0</v>
      </c>
      <c r="T126" s="26">
        <v>0</v>
      </c>
      <c r="U126" s="28">
        <v>2.33</v>
      </c>
    </row>
    <row r="127" spans="1:21" x14ac:dyDescent="0.3">
      <c r="A127" s="25">
        <v>126</v>
      </c>
      <c r="B127" s="26">
        <v>332</v>
      </c>
      <c r="C127" s="27" t="s">
        <v>418</v>
      </c>
      <c r="D127" s="26" t="s">
        <v>419</v>
      </c>
      <c r="E127" s="23" t="s">
        <v>1461</v>
      </c>
      <c r="F127" s="26" t="str">
        <f>VLOOKUP(Table36[[#This Row],[Picture_no]], [3]ENGLISH.txt!$1:$1048576, 2, 0)</f>
        <v>bird</v>
      </c>
      <c r="G127" s="22" t="s">
        <v>1026</v>
      </c>
      <c r="H127" s="26" t="s">
        <v>929</v>
      </c>
      <c r="I127" s="26">
        <f>LEN(Table36[[#This Row],[Spanish]])</f>
        <v>7</v>
      </c>
      <c r="J127" s="26">
        <f>VLOOKUP(Table36[[#This Row],[Spanish]], [1]Sheet1!$1:$1048576, 4, 0)</f>
        <v>7</v>
      </c>
      <c r="K127" s="26">
        <f>VLOOKUP(Table36[[#This Row],[Spanish]], [1]Sheet1!$1:$1048576, 5, 9)</f>
        <v>2</v>
      </c>
      <c r="L127" s="28">
        <f>VLOOKUP(Table36[[#This Row],[Spanish]], [2]Sheet1!$1:$1048576, 2, 0)</f>
        <v>4.5650599999999999</v>
      </c>
      <c r="M127" s="28" t="str">
        <f>VLOOKUP(Table36[[#This Row],[Spanish]], [2]Sheet1!$1:$1048576, 3, 0)</f>
        <v>0.745470</v>
      </c>
      <c r="N127" s="28">
        <f>VLOOKUP(Table36[[#This Row],[Spanish]], [2]Sheet1!$1:$1048576, 6, 0)</f>
        <v>6.0419999999999998</v>
      </c>
      <c r="O127" s="28">
        <v>0.40770577200000002</v>
      </c>
      <c r="P127" s="28">
        <v>93.47826087</v>
      </c>
      <c r="Q127" s="26">
        <v>92</v>
      </c>
      <c r="R127" s="26">
        <v>3</v>
      </c>
      <c r="S127" s="26">
        <v>5</v>
      </c>
      <c r="T127" s="26">
        <v>3</v>
      </c>
      <c r="U127" s="28">
        <v>2.87</v>
      </c>
    </row>
    <row r="128" spans="1:21" x14ac:dyDescent="0.3">
      <c r="A128" s="25">
        <v>127</v>
      </c>
      <c r="B128" s="26">
        <v>336</v>
      </c>
      <c r="C128" s="27" t="s">
        <v>422</v>
      </c>
      <c r="D128" s="26" t="s">
        <v>423</v>
      </c>
      <c r="E128" s="23" t="s">
        <v>1261</v>
      </c>
      <c r="F128" s="26" t="str">
        <f>VLOOKUP(Table36[[#This Row],[Picture_no]], [3]ENGLISH.txt!$1:$1048576, 2, 0)</f>
        <v>ruler</v>
      </c>
      <c r="G128" s="22" t="s">
        <v>1262</v>
      </c>
      <c r="H128" s="26" t="s">
        <v>933</v>
      </c>
      <c r="I128" s="26">
        <f>LEN(Table36[[#This Row],[Spanish]])</f>
        <v>5</v>
      </c>
      <c r="J128" s="26">
        <f>VLOOKUP(Table36[[#This Row],[Spanish]], [1]Sheet1!$1:$1048576, 4, 0)</f>
        <v>5</v>
      </c>
      <c r="K128" s="26">
        <v>2</v>
      </c>
      <c r="L128" s="28">
        <f>VLOOKUP(Table36[[#This Row],[Spanish]], [2]Sheet1!$1:$1048576, 2, 0)</f>
        <v>32.338816999999999</v>
      </c>
      <c r="M128" s="28">
        <f>VLOOKUP(Table36[[#This Row],[Spanish]], [2]Sheet1!$1:$1048576, 3, 0)</f>
        <v>1.52295</v>
      </c>
      <c r="N128" s="28">
        <f>VLOOKUP(Table36[[#This Row],[Spanish]], [2]Sheet1!$1:$1048576, 6, 0)</f>
        <v>5.585</v>
      </c>
      <c r="O128" s="29">
        <v>0</v>
      </c>
      <c r="P128" s="29">
        <v>100</v>
      </c>
      <c r="Q128" s="26">
        <v>100</v>
      </c>
      <c r="R128" s="26">
        <v>1</v>
      </c>
      <c r="S128" s="26">
        <v>0</v>
      </c>
      <c r="T128" s="26">
        <v>0</v>
      </c>
      <c r="U128" s="28">
        <v>1.6</v>
      </c>
    </row>
    <row r="129" spans="1:21" x14ac:dyDescent="0.3">
      <c r="A129" s="25">
        <v>128</v>
      </c>
      <c r="B129" s="26">
        <v>338</v>
      </c>
      <c r="C129" s="27" t="s">
        <v>424</v>
      </c>
      <c r="D129" s="26" t="s">
        <v>425</v>
      </c>
      <c r="E129" s="23" t="s">
        <v>1263</v>
      </c>
      <c r="F129" s="26" t="str">
        <f>VLOOKUP(Table36[[#This Row],[Picture_no]], [3]ENGLISH.txt!$1:$1048576, 2, 0)</f>
        <v>present</v>
      </c>
      <c r="G129" s="7" t="s">
        <v>1264</v>
      </c>
      <c r="H129" s="26" t="s">
        <v>933</v>
      </c>
      <c r="I129" s="26">
        <f>LEN(Table36[[#This Row],[Spanish]])</f>
        <v>6</v>
      </c>
      <c r="J129" s="26">
        <f>VLOOKUP(Table36[[#This Row],[Spanish]], [1]Sheet1!$1:$1048576, 4, 0)</f>
        <v>6</v>
      </c>
      <c r="K129" s="26">
        <v>3</v>
      </c>
      <c r="L129" s="28">
        <f>VLOOKUP(Table36[[#This Row],[Spanish]], [2]Sheet1!$1:$1048576, 2, 0)</f>
        <v>15.066321</v>
      </c>
      <c r="M129" s="28">
        <f>VLOOKUP(Table36[[#This Row],[Spanish]], [2]Sheet1!$1:$1048576, 3, 0)</f>
        <v>1.205916</v>
      </c>
      <c r="N129" s="28">
        <f>VLOOKUP(Table36[[#This Row],[Spanish]], [2]Sheet1!$1:$1048576, 6, 0)</f>
        <v>6.03</v>
      </c>
      <c r="O129" s="29">
        <v>0</v>
      </c>
      <c r="P129" s="29">
        <v>100</v>
      </c>
      <c r="Q129" s="26">
        <v>98</v>
      </c>
      <c r="R129" s="26">
        <v>1</v>
      </c>
      <c r="S129" s="26">
        <v>0</v>
      </c>
      <c r="T129" s="26">
        <v>2</v>
      </c>
      <c r="U129" s="28">
        <v>1.85</v>
      </c>
    </row>
    <row r="130" spans="1:21" x14ac:dyDescent="0.3">
      <c r="A130" s="25">
        <v>129</v>
      </c>
      <c r="B130" s="26">
        <v>340</v>
      </c>
      <c r="C130" s="27" t="s">
        <v>428</v>
      </c>
      <c r="D130" s="26" t="s">
        <v>429</v>
      </c>
      <c r="E130" s="23" t="s">
        <v>1265</v>
      </c>
      <c r="F130" s="26" t="str">
        <f>VLOOKUP(Table36[[#This Row],[Picture_no]], [3]ENGLISH.txt!$1:$1048576, 2, 0)</f>
        <v>mirror</v>
      </c>
      <c r="G130" s="22" t="s">
        <v>1266</v>
      </c>
      <c r="H130" s="26" t="s">
        <v>933</v>
      </c>
      <c r="I130" s="26">
        <f>LEN(Table36[[#This Row],[Spanish]])</f>
        <v>6</v>
      </c>
      <c r="J130" s="26">
        <f>VLOOKUP(Table36[[#This Row],[Spanish]], [1]Sheet1!$1:$1048576, 4, 0)</f>
        <v>6</v>
      </c>
      <c r="K130" s="26">
        <f>VLOOKUP(Table36[[#This Row],[Spanish]], [1]Sheet1!$1:$1048576, 5, 9)</f>
        <v>3</v>
      </c>
      <c r="L130" s="28">
        <f>VLOOKUP(Table36[[#This Row],[Spanish]], [2]Sheet1!$1:$1048576, 2, 0)</f>
        <v>26.272649000000001</v>
      </c>
      <c r="M130" s="28">
        <f>VLOOKUP(Table36[[#This Row],[Spanish]], [2]Sheet1!$1:$1048576, 3, 0)</f>
        <v>1.435727</v>
      </c>
      <c r="N130" s="28">
        <f>VLOOKUP(Table36[[#This Row],[Spanish]], [2]Sheet1!$1:$1048576, 6, 0)</f>
        <v>5.5949999999999998</v>
      </c>
      <c r="O130" s="29">
        <v>0</v>
      </c>
      <c r="P130" s="29">
        <v>100</v>
      </c>
      <c r="Q130" s="26">
        <v>100</v>
      </c>
      <c r="R130" s="26">
        <v>1</v>
      </c>
      <c r="S130" s="26">
        <v>0</v>
      </c>
      <c r="T130" s="26">
        <v>0</v>
      </c>
      <c r="U130" s="28">
        <v>2.0299999999999998</v>
      </c>
    </row>
    <row r="131" spans="1:21" x14ac:dyDescent="0.3">
      <c r="A131" s="25">
        <v>130</v>
      </c>
      <c r="B131" s="26">
        <v>341</v>
      </c>
      <c r="C131" s="27" t="s">
        <v>430</v>
      </c>
      <c r="D131" s="26" t="s">
        <v>431</v>
      </c>
      <c r="E131" s="23" t="s">
        <v>431</v>
      </c>
      <c r="F131" s="26" t="str">
        <f>VLOOKUP(Table36[[#This Row],[Picture_no]], [3]ENGLISH.txt!$1:$1048576, 2, 0)</f>
        <v>flipper</v>
      </c>
      <c r="G131" s="22" t="s">
        <v>1267</v>
      </c>
      <c r="H131" s="26" t="s">
        <v>940</v>
      </c>
      <c r="I131" s="26">
        <f>LEN(Table36[[#This Row],[Spanish]])</f>
        <v>5</v>
      </c>
      <c r="J131" s="26">
        <f>VLOOKUP(Table36[[#This Row],[Spanish]], [1]Sheet1!$1:$1048576, 4, 0)</f>
        <v>5</v>
      </c>
      <c r="K131" s="26">
        <v>3</v>
      </c>
      <c r="L131" s="28">
        <f>VLOOKUP(Table36[[#This Row],[Spanish]], [2]Sheet1!$1:$1048576, 2, 0)</f>
        <v>1.640822</v>
      </c>
      <c r="M131" s="28">
        <f>VLOOKUP(Table36[[#This Row],[Spanish]], [2]Sheet1!$1:$1048576, 3, 0)</f>
        <v>0.42173899999999998</v>
      </c>
      <c r="N131" s="28">
        <f>VLOOKUP(Table36[[#This Row],[Spanish]], [2]Sheet1!$1:$1048576, 6, 0)</f>
        <v>5.7460000000000004</v>
      </c>
      <c r="O131" s="29">
        <v>0</v>
      </c>
      <c r="P131" s="29">
        <v>100</v>
      </c>
      <c r="Q131" s="26">
        <v>98</v>
      </c>
      <c r="R131" s="26">
        <v>1</v>
      </c>
      <c r="S131" s="26">
        <v>2</v>
      </c>
      <c r="T131" s="26">
        <v>0</v>
      </c>
      <c r="U131" s="28">
        <v>2.73</v>
      </c>
    </row>
    <row r="132" spans="1:21" x14ac:dyDescent="0.3">
      <c r="A132" s="25">
        <v>131</v>
      </c>
      <c r="B132" s="26">
        <v>344</v>
      </c>
      <c r="C132" s="27" t="s">
        <v>434</v>
      </c>
      <c r="D132" s="26" t="s">
        <v>435</v>
      </c>
      <c r="E132" s="23" t="s">
        <v>1268</v>
      </c>
      <c r="F132" s="26" t="str">
        <f>VLOOKUP(Table36[[#This Row],[Picture_no]], [3]ENGLISH.txt!$1:$1048576, 2, 0)</f>
        <v>fountain</v>
      </c>
      <c r="G132" s="22" t="s">
        <v>1269</v>
      </c>
      <c r="H132" s="26" t="s">
        <v>932</v>
      </c>
      <c r="I132" s="26">
        <f>LEN(Table36[[#This Row],[Spanish]])</f>
        <v>6</v>
      </c>
      <c r="J132" s="26">
        <f>VLOOKUP(Table36[[#This Row],[Spanish]], [1]Sheet1!$1:$1048576, 4, 0)</f>
        <v>6</v>
      </c>
      <c r="K132" s="26">
        <f>VLOOKUP(Table36[[#This Row],[Spanish]], [1]Sheet1!$1:$1048576, 5, 9)</f>
        <v>2</v>
      </c>
      <c r="L132" s="28">
        <f>VLOOKUP(Table36[[#This Row],[Spanish]], [2]Sheet1!$1:$1048576, 2, 0)</f>
        <v>113.05426799999999</v>
      </c>
      <c r="M132" s="28">
        <f>VLOOKUP(Table36[[#This Row],[Spanish]], [2]Sheet1!$1:$1048576, 3, 0)</f>
        <v>2.0571120000000001</v>
      </c>
      <c r="N132" s="28">
        <f>VLOOKUP(Table36[[#This Row],[Spanish]], [2]Sheet1!$1:$1048576, 6, 0)</f>
        <v>6.524</v>
      </c>
      <c r="O132" s="29">
        <v>0</v>
      </c>
      <c r="P132" s="29">
        <v>100</v>
      </c>
      <c r="Q132" s="26">
        <v>99</v>
      </c>
      <c r="R132" s="26">
        <v>1</v>
      </c>
      <c r="S132" s="26">
        <v>0</v>
      </c>
      <c r="T132" s="26">
        <v>1</v>
      </c>
      <c r="U132" s="28">
        <v>2.42</v>
      </c>
    </row>
    <row r="133" spans="1:21" x14ac:dyDescent="0.3">
      <c r="A133" s="25">
        <v>132</v>
      </c>
      <c r="B133" s="26">
        <v>349</v>
      </c>
      <c r="C133" s="27" t="s">
        <v>440</v>
      </c>
      <c r="D133" s="26" t="s">
        <v>441</v>
      </c>
      <c r="E133" s="23" t="s">
        <v>1270</v>
      </c>
      <c r="F133" s="26" t="str">
        <f>VLOOKUP(Table36[[#This Row],[Picture_no]], [3]ENGLISH.txt!$1:$1048576, 2, 0)</f>
        <v>lock</v>
      </c>
      <c r="G133" s="22" t="s">
        <v>1027</v>
      </c>
      <c r="H133" s="26" t="s">
        <v>933</v>
      </c>
      <c r="I133" s="26">
        <f>LEN(Table36[[#This Row],[Spanish]])</f>
        <v>7</v>
      </c>
      <c r="J133" s="26">
        <f>VLOOKUP(Table36[[#This Row],[Spanish]], [1]Sheet1!$1:$1048576, 4, 0)</f>
        <v>7</v>
      </c>
      <c r="K133" s="26">
        <f>VLOOKUP(Table36[[#This Row],[Spanish]], [1]Sheet1!$1:$1048576, 5, 9)</f>
        <v>2</v>
      </c>
      <c r="L133" s="28">
        <f>VLOOKUP(Table36[[#This Row],[Spanish]], [2]Sheet1!$1:$1048576, 2, 0)</f>
        <v>1.0657220000000001</v>
      </c>
      <c r="M133" s="28" t="str">
        <f>VLOOKUP(Table36[[#This Row],[Spanish]], [2]Sheet1!$1:$1048576, 3, 0)</f>
        <v>0.315072</v>
      </c>
      <c r="N133" s="28">
        <f>VLOOKUP(Table36[[#This Row],[Spanish]], [2]Sheet1!$1:$1048576, 6, 0)</f>
        <v>6.2220000000000004</v>
      </c>
      <c r="O133" s="28">
        <v>0.19902377500000001</v>
      </c>
      <c r="P133" s="28">
        <v>96.907216489999996</v>
      </c>
      <c r="Q133" s="26">
        <v>97</v>
      </c>
      <c r="R133" s="26">
        <v>2</v>
      </c>
      <c r="S133" s="26">
        <v>1</v>
      </c>
      <c r="T133" s="26">
        <v>2</v>
      </c>
      <c r="U133" s="28">
        <v>1.7</v>
      </c>
    </row>
    <row r="134" spans="1:21" x14ac:dyDescent="0.3">
      <c r="A134" s="25">
        <v>133</v>
      </c>
      <c r="B134" s="26">
        <v>350</v>
      </c>
      <c r="C134" s="27" t="s">
        <v>442</v>
      </c>
      <c r="D134" s="30" t="s">
        <v>443</v>
      </c>
      <c r="E134" s="23" t="s">
        <v>1271</v>
      </c>
      <c r="F134" s="30" t="str">
        <f>VLOOKUP(Table36[[#This Row],[Picture_no]], [3]ENGLISH.txt!$1:$1048576, 2, 0)</f>
        <v>bible</v>
      </c>
      <c r="G134" s="22" t="s">
        <v>1272</v>
      </c>
      <c r="H134" s="26" t="s">
        <v>933</v>
      </c>
      <c r="I134" s="26">
        <f>LEN(Table36[[#This Row],[Spanish]])</f>
        <v>6</v>
      </c>
      <c r="J134" s="26">
        <f>VLOOKUP(Table36[[#This Row],[Spanish]], [1]Sheet1!$1:$1048576, 4, 0)</f>
        <v>6</v>
      </c>
      <c r="K134" s="26">
        <f>VLOOKUP(Table36[[#This Row],[Spanish]], [1]Sheet1!$1:$1048576, 5, 9)</f>
        <v>2</v>
      </c>
      <c r="L134" s="28">
        <f>VLOOKUP(Table36[[#This Row],[Spanish]], [2]Sheet1!$1:$1048576, 2, 0)</f>
        <v>17.376469</v>
      </c>
      <c r="M134" s="28">
        <f>VLOOKUP(Table36[[#This Row],[Spanish]], [2]Sheet1!$1:$1048576, 3, 0)</f>
        <v>1.264262</v>
      </c>
      <c r="N134" s="28">
        <f>VLOOKUP(Table36[[#This Row],[Spanish]], [2]Sheet1!$1:$1048576, 6, 0)</f>
        <v>5.702</v>
      </c>
      <c r="O134" s="29">
        <v>0</v>
      </c>
      <c r="P134" s="29">
        <v>100</v>
      </c>
      <c r="Q134" s="26">
        <v>100</v>
      </c>
      <c r="R134" s="26">
        <v>1</v>
      </c>
      <c r="S134" s="26">
        <v>0</v>
      </c>
      <c r="T134" s="26">
        <v>0</v>
      </c>
      <c r="U134" s="28">
        <v>1.76</v>
      </c>
    </row>
    <row r="135" spans="1:21" x14ac:dyDescent="0.3">
      <c r="A135" s="25">
        <v>134</v>
      </c>
      <c r="B135" s="26">
        <v>354</v>
      </c>
      <c r="C135" s="27" t="s">
        <v>448</v>
      </c>
      <c r="D135" s="26" t="s">
        <v>449</v>
      </c>
      <c r="E135" s="23" t="s">
        <v>1273</v>
      </c>
      <c r="F135" s="26" t="str">
        <f>VLOOKUP(Table36[[#This Row],[Picture_no]], [3]ENGLISH.txt!$1:$1048576, 2, 0)</f>
        <v>goat</v>
      </c>
      <c r="G135" s="22" t="s">
        <v>1028</v>
      </c>
      <c r="H135" s="26" t="s">
        <v>929</v>
      </c>
      <c r="I135" s="26">
        <f>LEN(Table36[[#This Row],[Spanish]])</f>
        <v>5</v>
      </c>
      <c r="J135" s="26">
        <f>VLOOKUP(Table36[[#This Row],[Spanish]], [1]Sheet1!$1:$1048576, 4, 0)</f>
        <v>5</v>
      </c>
      <c r="K135" s="26">
        <f>VLOOKUP(Table36[[#This Row],[Spanish]], [1]Sheet1!$1:$1048576, 5, 9)</f>
        <v>2</v>
      </c>
      <c r="L135" s="28">
        <f>VLOOKUP(Table36[[#This Row],[Spanish]], [2]Sheet1!$1:$1048576, 2, 0)</f>
        <v>9.0911290000000005</v>
      </c>
      <c r="M135" s="28">
        <f>VLOOKUP(Table36[[#This Row],[Spanish]], [2]Sheet1!$1:$1048576, 3, 0)</f>
        <v>1.0039400000000001</v>
      </c>
      <c r="N135" s="28">
        <f>VLOOKUP(Table36[[#This Row],[Spanish]], [2]Sheet1!$1:$1048576, 6, 0)</f>
        <v>6.1109999999999998</v>
      </c>
      <c r="O135" s="28">
        <v>0.291548959</v>
      </c>
      <c r="P135" s="28">
        <v>95.833333330000002</v>
      </c>
      <c r="Q135" s="26">
        <v>96</v>
      </c>
      <c r="R135" s="26">
        <v>3</v>
      </c>
      <c r="S135" s="26">
        <v>1</v>
      </c>
      <c r="T135" s="26">
        <v>3</v>
      </c>
      <c r="U135" s="28">
        <v>2.62</v>
      </c>
    </row>
    <row r="136" spans="1:21" x14ac:dyDescent="0.3">
      <c r="A136" s="25">
        <v>135</v>
      </c>
      <c r="B136" s="26">
        <v>361</v>
      </c>
      <c r="C136" s="27" t="s">
        <v>456</v>
      </c>
      <c r="D136" s="26" t="s">
        <v>457</v>
      </c>
      <c r="E136" s="23" t="s">
        <v>1274</v>
      </c>
      <c r="F136" s="26" t="str">
        <f>VLOOKUP(Table36[[#This Row],[Picture_no]], [3]ENGLISH.txt!$1:$1048576, 2, 0)</f>
        <v>dolphin</v>
      </c>
      <c r="G136" s="22" t="s">
        <v>1275</v>
      </c>
      <c r="H136" s="26" t="s">
        <v>929</v>
      </c>
      <c r="I136" s="26">
        <f>LEN(Table36[[#This Row],[Spanish]])</f>
        <v>6</v>
      </c>
      <c r="J136" s="26">
        <f>VLOOKUP(Table36[[#This Row],[Spanish]], [1]Sheet1!$1:$1048576, 4, 0)</f>
        <v>6</v>
      </c>
      <c r="K136" s="26">
        <f>VLOOKUP(Table36[[#This Row],[Spanish]], [1]Sheet1!$1:$1048576, 5, 9)</f>
        <v>2</v>
      </c>
      <c r="L136" s="28">
        <f>VLOOKUP(Table36[[#This Row],[Spanish]], [2]Sheet1!$1:$1048576, 2, 0)</f>
        <v>4.6365410000000002</v>
      </c>
      <c r="M136" s="28" t="str">
        <f>VLOOKUP(Table36[[#This Row],[Spanish]], [2]Sheet1!$1:$1048576, 3, 0)</f>
        <v>0.751013</v>
      </c>
      <c r="N136" s="28">
        <f>VLOOKUP(Table36[[#This Row],[Spanish]], [2]Sheet1!$1:$1048576, 6, 0)</f>
        <v>0</v>
      </c>
      <c r="O136" s="29">
        <v>0</v>
      </c>
      <c r="P136" s="29">
        <v>100</v>
      </c>
      <c r="Q136" s="26">
        <v>99</v>
      </c>
      <c r="R136" s="26">
        <v>1</v>
      </c>
      <c r="S136" s="26">
        <v>0</v>
      </c>
      <c r="T136" s="26">
        <v>1</v>
      </c>
      <c r="U136" s="28">
        <v>2.4500000000000002</v>
      </c>
    </row>
    <row r="137" spans="1:21" x14ac:dyDescent="0.3">
      <c r="A137" s="25">
        <v>136</v>
      </c>
      <c r="B137" s="26">
        <v>362</v>
      </c>
      <c r="C137" s="27" t="s">
        <v>458</v>
      </c>
      <c r="D137" s="26" t="s">
        <v>459</v>
      </c>
      <c r="E137" s="23" t="s">
        <v>1276</v>
      </c>
      <c r="F137" s="26" t="str">
        <f>VLOOKUP(Table36[[#This Row],[Picture_no]], [3]ENGLISH.txt!$1:$1048576, 2, 0)</f>
        <v>pool</v>
      </c>
      <c r="G137" s="22" t="s">
        <v>1029</v>
      </c>
      <c r="H137" s="26" t="s">
        <v>932</v>
      </c>
      <c r="I137" s="26">
        <f>LEN(Table36[[#This Row],[Spanish]])</f>
        <v>7</v>
      </c>
      <c r="J137" s="26">
        <f>VLOOKUP(Table36[[#This Row],[Spanish]], [1]Sheet1!$1:$1048576, 4, 0)</f>
        <v>7</v>
      </c>
      <c r="K137" s="26">
        <f>VLOOKUP(Table36[[#This Row],[Spanish]], [1]Sheet1!$1:$1048576, 5, 9)</f>
        <v>3</v>
      </c>
      <c r="L137" s="28">
        <f>VLOOKUP(Table36[[#This Row],[Spanish]], [2]Sheet1!$1:$1048576, 2, 0)</f>
        <v>10.387541000000001</v>
      </c>
      <c r="M137" s="28">
        <f>VLOOKUP(Table36[[#This Row],[Spanish]], [2]Sheet1!$1:$1048576, 3, 0)</f>
        <v>1.05643</v>
      </c>
      <c r="N137" s="28">
        <f>VLOOKUP(Table36[[#This Row],[Spanish]], [2]Sheet1!$1:$1048576, 6, 0)</f>
        <v>6.54</v>
      </c>
      <c r="O137" s="29">
        <v>0</v>
      </c>
      <c r="P137" s="29">
        <v>100</v>
      </c>
      <c r="Q137" s="26">
        <v>100</v>
      </c>
      <c r="R137" s="26">
        <v>1</v>
      </c>
      <c r="S137" s="26">
        <v>0</v>
      </c>
      <c r="T137" s="26">
        <v>0</v>
      </c>
      <c r="U137" s="28">
        <v>2.1</v>
      </c>
    </row>
    <row r="138" spans="1:21" x14ac:dyDescent="0.3">
      <c r="A138" s="25">
        <v>137</v>
      </c>
      <c r="B138" s="26">
        <v>365</v>
      </c>
      <c r="C138" s="27" t="s">
        <v>462</v>
      </c>
      <c r="D138" s="26" t="s">
        <v>463</v>
      </c>
      <c r="E138" s="23" t="s">
        <v>1277</v>
      </c>
      <c r="F138" s="26" t="str">
        <f>VLOOKUP(Table36[[#This Row],[Picture_no]], [3]ENGLISH.txt!$1:$1048576, 2, 0)</f>
        <v>hedgehog</v>
      </c>
      <c r="G138" s="22" t="s">
        <v>1278</v>
      </c>
      <c r="H138" s="26" t="s">
        <v>929</v>
      </c>
      <c r="I138" s="26">
        <f>LEN(Table36[[#This Row],[Spanish]])</f>
        <v>5</v>
      </c>
      <c r="J138" s="26">
        <f>VLOOKUP(Table36[[#This Row],[Spanish]], [1]Sheet1!$1:$1048576, 4, 0)</f>
        <v>5</v>
      </c>
      <c r="K138" s="26">
        <f>VLOOKUP(Table36[[#This Row],[Spanish]], [1]Sheet1!$1:$1048576, 5, 9)</f>
        <v>3</v>
      </c>
      <c r="L138" s="28">
        <f>VLOOKUP(Table36[[#This Row],[Spanish]], [2]Sheet1!$1:$1048576, 2, 0)</f>
        <v>1.621327</v>
      </c>
      <c r="M138" s="28" t="str">
        <f>VLOOKUP(Table36[[#This Row],[Spanish]], [2]Sheet1!$1:$1048576, 3, 0)</f>
        <v>0.418521</v>
      </c>
      <c r="N138" s="28">
        <f>VLOOKUP(Table36[[#This Row],[Spanish]], [2]Sheet1!$1:$1048576, 6, 0)</f>
        <v>0</v>
      </c>
      <c r="O138" s="28">
        <v>0.14731066700000001</v>
      </c>
      <c r="P138" s="28">
        <v>97.894736839999993</v>
      </c>
      <c r="Q138" s="26">
        <v>95</v>
      </c>
      <c r="R138" s="26">
        <v>2</v>
      </c>
      <c r="S138" s="26">
        <v>5</v>
      </c>
      <c r="T138" s="26">
        <v>0</v>
      </c>
      <c r="U138" s="28">
        <v>3.09</v>
      </c>
    </row>
    <row r="139" spans="1:21" x14ac:dyDescent="0.3">
      <c r="A139" s="25">
        <v>138</v>
      </c>
      <c r="B139" s="26">
        <v>377</v>
      </c>
      <c r="C139" s="27" t="s">
        <v>472</v>
      </c>
      <c r="D139" s="26" t="s">
        <v>473</v>
      </c>
      <c r="E139" s="23" t="s">
        <v>1279</v>
      </c>
      <c r="F139" s="26" t="str">
        <f>VLOOKUP(Table36[[#This Row],[Picture_no]], [3]ENGLISH.txt!$1:$1048576, 2, 0)</f>
        <v>bib</v>
      </c>
      <c r="G139" s="22" t="s">
        <v>1030</v>
      </c>
      <c r="H139" s="26" t="s">
        <v>940</v>
      </c>
      <c r="I139" s="26">
        <f>LEN(Table36[[#This Row],[Spanish]])</f>
        <v>6</v>
      </c>
      <c r="J139" s="26">
        <f>VLOOKUP(Table36[[#This Row],[Spanish]], [1]Sheet1!$1:$1048576, 4, 0)</f>
        <v>6</v>
      </c>
      <c r="K139" s="26">
        <f>VLOOKUP(Table36[[#This Row],[Spanish]], [1]Sheet1!$1:$1048576, 5, 9)</f>
        <v>2</v>
      </c>
      <c r="L139" s="28">
        <f>VLOOKUP(Table36[[#This Row],[Spanish]], [2]Sheet1!$1:$1048576, 2, 0)</f>
        <v>0.12346799999999999</v>
      </c>
      <c r="M139" s="28" t="str">
        <f>VLOOKUP(Table36[[#This Row],[Spanish]], [2]Sheet1!$1:$1048576, 3, 0)</f>
        <v>0.050561</v>
      </c>
      <c r="N139" s="28">
        <f>VLOOKUP(Table36[[#This Row],[Spanish]], [2]Sheet1!$1:$1048576, 6, 0)</f>
        <v>0</v>
      </c>
      <c r="O139" s="29">
        <v>0</v>
      </c>
      <c r="P139" s="29">
        <v>100</v>
      </c>
      <c r="Q139" s="26">
        <v>99</v>
      </c>
      <c r="R139" s="26">
        <v>1</v>
      </c>
      <c r="S139" s="26">
        <v>1</v>
      </c>
      <c r="T139" s="26">
        <v>0</v>
      </c>
      <c r="U139" s="28">
        <v>2.5</v>
      </c>
    </row>
    <row r="140" spans="1:21" x14ac:dyDescent="0.3">
      <c r="A140" s="25">
        <v>139</v>
      </c>
      <c r="B140" s="26">
        <v>379</v>
      </c>
      <c r="C140" s="27" t="s">
        <v>474</v>
      </c>
      <c r="D140" s="30" t="s">
        <v>475</v>
      </c>
      <c r="E140" s="23" t="s">
        <v>1280</v>
      </c>
      <c r="F140" s="30" t="str">
        <f>VLOOKUP(Table36[[#This Row],[Picture_no]], [3]ENGLISH.txt!$1:$1048576, 2, 0)</f>
        <v>zebra</v>
      </c>
      <c r="G140" s="22" t="s">
        <v>1281</v>
      </c>
      <c r="H140" s="26" t="s">
        <v>929</v>
      </c>
      <c r="I140" s="26">
        <f>LEN(Table36[[#This Row],[Spanish]])</f>
        <v>5</v>
      </c>
      <c r="J140" s="26">
        <f>VLOOKUP(Table36[[#This Row],[Spanish]], [1]Sheet1!$1:$1048576, 4, 0)</f>
        <v>5</v>
      </c>
      <c r="K140" s="26">
        <f>VLOOKUP(Table36[[#This Row],[Spanish]], [1]Sheet1!$1:$1048576, 5, 9)</f>
        <v>2</v>
      </c>
      <c r="L140" s="28">
        <f>VLOOKUP(Table36[[#This Row],[Spanish]], [2]Sheet1!$1:$1048576, 2, 0)</f>
        <v>1.2769170000000001</v>
      </c>
      <c r="M140" s="28">
        <f>VLOOKUP(Table36[[#This Row],[Spanish]], [2]Sheet1!$1:$1048576, 3, 0)</f>
        <v>0.35734700000000003</v>
      </c>
      <c r="N140" s="28">
        <f>VLOOKUP(Table36[[#This Row],[Spanish]], [2]Sheet1!$1:$1048576, 6, 0)</f>
        <v>0</v>
      </c>
      <c r="O140" s="29">
        <v>0</v>
      </c>
      <c r="P140" s="29">
        <v>100</v>
      </c>
      <c r="Q140" s="26">
        <v>99</v>
      </c>
      <c r="R140" s="26">
        <v>1</v>
      </c>
      <c r="S140" s="26">
        <v>1</v>
      </c>
      <c r="T140" s="26">
        <v>0</v>
      </c>
      <c r="U140" s="28">
        <v>2.6464646460000001</v>
      </c>
    </row>
    <row r="141" spans="1:21" x14ac:dyDescent="0.3">
      <c r="A141" s="25">
        <v>140</v>
      </c>
      <c r="B141" s="26">
        <v>381</v>
      </c>
      <c r="C141" s="27" t="s">
        <v>476</v>
      </c>
      <c r="D141" s="26" t="s">
        <v>477</v>
      </c>
      <c r="E141" s="23" t="s">
        <v>1282</v>
      </c>
      <c r="F141" s="26" t="str">
        <f>VLOOKUP(Table36[[#This Row],[Picture_no]], [3]ENGLISH.txt!$1:$1048576, 2, 0)</f>
        <v>strawberry</v>
      </c>
      <c r="G141" s="22" t="s">
        <v>1283</v>
      </c>
      <c r="H141" s="26" t="s">
        <v>934</v>
      </c>
      <c r="I141" s="26">
        <f>LEN(Table36[[#This Row],[Spanish]])</f>
        <v>5</v>
      </c>
      <c r="J141" s="26">
        <f>VLOOKUP(Table36[[#This Row],[Spanish]], [1]Sheet1!$1:$1048576, 4, 0)</f>
        <v>5</v>
      </c>
      <c r="K141" s="26">
        <f>VLOOKUP(Table36[[#This Row],[Spanish]], [1]Sheet1!$1:$1048576, 5, 9)</f>
        <v>2</v>
      </c>
      <c r="L141" s="28">
        <f>VLOOKUP(Table36[[#This Row],[Spanish]], [2]Sheet1!$1:$1048576, 2, 0)</f>
        <v>1.99498</v>
      </c>
      <c r="M141" s="28" t="str">
        <f>VLOOKUP(Table36[[#This Row],[Spanish]], [2]Sheet1!$1:$1048576, 3, 0)</f>
        <v>0.476394</v>
      </c>
      <c r="N141" s="28">
        <f>VLOOKUP(Table36[[#This Row],[Spanish]], [2]Sheet1!$1:$1048576, 6, 0)</f>
        <v>6.67</v>
      </c>
      <c r="O141" s="29">
        <v>0</v>
      </c>
      <c r="P141" s="29">
        <v>100</v>
      </c>
      <c r="Q141" s="26">
        <v>100</v>
      </c>
      <c r="R141" s="26">
        <v>1</v>
      </c>
      <c r="S141" s="26">
        <v>0</v>
      </c>
      <c r="T141" s="26">
        <v>0</v>
      </c>
      <c r="U141" s="28">
        <v>2.17</v>
      </c>
    </row>
    <row r="142" spans="1:21" x14ac:dyDescent="0.3">
      <c r="A142" s="25">
        <v>141</v>
      </c>
      <c r="B142" s="26">
        <v>383</v>
      </c>
      <c r="C142" s="27" t="s">
        <v>478</v>
      </c>
      <c r="D142" s="26" t="s">
        <v>479</v>
      </c>
      <c r="E142" s="23" t="s">
        <v>1284</v>
      </c>
      <c r="F142" s="26" t="str">
        <f>VLOOKUP(Table36[[#This Row],[Picture_no]], [3]ENGLISH.txt!$1:$1048576, 2, 0)</f>
        <v>coin</v>
      </c>
      <c r="G142" s="22" t="s">
        <v>1031</v>
      </c>
      <c r="H142" s="26" t="s">
        <v>933</v>
      </c>
      <c r="I142" s="26">
        <f>LEN(Table36[[#This Row],[Spanish]])</f>
        <v>6</v>
      </c>
      <c r="J142" s="26">
        <f>VLOOKUP(Table36[[#This Row],[Spanish]], [1]Sheet1!$1:$1048576, 4, 0)</f>
        <v>6</v>
      </c>
      <c r="K142" s="26">
        <f>VLOOKUP(Table36[[#This Row],[Spanish]], [1]Sheet1!$1:$1048576, 5, 9)</f>
        <v>3</v>
      </c>
      <c r="L142" s="28">
        <f>VLOOKUP(Table36[[#This Row],[Spanish]], [2]Sheet1!$1:$1048576, 2, 0)</f>
        <v>46.768304000000001</v>
      </c>
      <c r="M142" s="28">
        <f>VLOOKUP(Table36[[#This Row],[Spanish]], [2]Sheet1!$1:$1048576, 3, 0)</f>
        <v>1.6791400000000001</v>
      </c>
      <c r="N142" s="28">
        <f>VLOOKUP(Table36[[#This Row],[Spanish]], [2]Sheet1!$1:$1048576, 6, 0)</f>
        <v>6.2949999999999999</v>
      </c>
      <c r="O142" s="29">
        <v>0</v>
      </c>
      <c r="P142" s="29">
        <v>100</v>
      </c>
      <c r="Q142" s="26">
        <v>100</v>
      </c>
      <c r="R142" s="26">
        <v>1</v>
      </c>
      <c r="S142" s="26">
        <v>0</v>
      </c>
      <c r="T142" s="26">
        <v>0</v>
      </c>
      <c r="U142" s="28">
        <v>2.2599999999999998</v>
      </c>
    </row>
    <row r="143" spans="1:21" x14ac:dyDescent="0.3">
      <c r="A143" s="25">
        <v>142</v>
      </c>
      <c r="B143" s="26">
        <v>386</v>
      </c>
      <c r="C143" s="27" t="s">
        <v>480</v>
      </c>
      <c r="D143" s="30" t="s">
        <v>481</v>
      </c>
      <c r="E143" s="23" t="s">
        <v>481</v>
      </c>
      <c r="F143" s="30" t="str">
        <f>VLOOKUP(Table36[[#This Row],[Picture_no]], [3]ENGLISH.txt!$1:$1048576, 2, 0)</f>
        <v>bomb</v>
      </c>
      <c r="G143" s="22" t="s">
        <v>1032</v>
      </c>
      <c r="H143" s="26" t="s">
        <v>933</v>
      </c>
      <c r="I143" s="26">
        <f>LEN(Table36[[#This Row],[Spanish]])</f>
        <v>5</v>
      </c>
      <c r="J143" s="26">
        <f>VLOOKUP(Table36[[#This Row],[Spanish]], [1]Sheet1!$1:$1048576, 4, 0)</f>
        <v>5</v>
      </c>
      <c r="K143" s="26">
        <f>VLOOKUP(Table36[[#This Row],[Spanish]], [1]Sheet1!$1:$1048576, 5, 9)</f>
        <v>2</v>
      </c>
      <c r="L143" s="28">
        <f>VLOOKUP(Table36[[#This Row],[Spanish]], [2]Sheet1!$1:$1048576, 2, 0)</f>
        <v>29.463317</v>
      </c>
      <c r="M143" s="28">
        <f>VLOOKUP(Table36[[#This Row],[Spanish]], [2]Sheet1!$1:$1048576, 3, 0)</f>
        <v>1.4837769999999999</v>
      </c>
      <c r="N143" s="28">
        <f>VLOOKUP(Table36[[#This Row],[Spanish]], [2]Sheet1!$1:$1048576, 6, 0)</f>
        <v>5.7919999999999998</v>
      </c>
      <c r="O143" s="29">
        <v>0</v>
      </c>
      <c r="P143" s="29">
        <v>100</v>
      </c>
      <c r="Q143" s="26">
        <v>100</v>
      </c>
      <c r="R143" s="26">
        <v>1</v>
      </c>
      <c r="S143" s="26">
        <v>0</v>
      </c>
      <c r="T143" s="26">
        <v>0</v>
      </c>
      <c r="U143" s="28">
        <v>1.65</v>
      </c>
    </row>
    <row r="144" spans="1:21" x14ac:dyDescent="0.3">
      <c r="A144" s="25">
        <v>143</v>
      </c>
      <c r="B144" s="26">
        <v>388</v>
      </c>
      <c r="C144" s="27" t="s">
        <v>484</v>
      </c>
      <c r="D144" s="26" t="s">
        <v>485</v>
      </c>
      <c r="E144" s="23" t="s">
        <v>485</v>
      </c>
      <c r="F144" s="26" t="str">
        <f>VLOOKUP(Table36[[#This Row],[Picture_no]], [3]ENGLISH.txt!$1:$1048576, 2, 0)</f>
        <v>bag</v>
      </c>
      <c r="G144" s="22" t="s">
        <v>972</v>
      </c>
      <c r="H144" s="26" t="s">
        <v>933</v>
      </c>
      <c r="I144" s="26">
        <f>LEN(Table36[[#This Row],[Spanish]])</f>
        <v>5</v>
      </c>
      <c r="J144" s="26">
        <f>VLOOKUP(Table36[[#This Row],[Spanish]], [1]Sheet1!$1:$1048576, 4, 0)</f>
        <v>5</v>
      </c>
      <c r="K144" s="26">
        <f>VLOOKUP(Table36[[#This Row],[Spanish]], [1]Sheet1!$1:$1048576, 5, 9)</f>
        <v>2</v>
      </c>
      <c r="L144" s="28">
        <f>VLOOKUP(Table36[[#This Row],[Spanish]], [2]Sheet1!$1:$1048576, 2, 0)</f>
        <v>2.6838000000000002</v>
      </c>
      <c r="M144" s="28" t="str">
        <f>VLOOKUP(Table36[[#This Row],[Spanish]], [2]Sheet1!$1:$1048576, 3, 0)</f>
        <v>0.566296</v>
      </c>
      <c r="N144" s="28">
        <f>VLOOKUP(Table36[[#This Row],[Spanish]], [2]Sheet1!$1:$1048576, 6, 0)</f>
        <v>6.3090000000000002</v>
      </c>
      <c r="O144" s="28">
        <v>0.194391858</v>
      </c>
      <c r="P144" s="29">
        <v>97</v>
      </c>
      <c r="Q144" s="26">
        <v>100</v>
      </c>
      <c r="R144" s="26">
        <v>2</v>
      </c>
      <c r="S144" s="26">
        <v>0</v>
      </c>
      <c r="T144" s="26">
        <v>0</v>
      </c>
      <c r="U144" s="28">
        <v>2.09</v>
      </c>
    </row>
    <row r="145" spans="1:21" x14ac:dyDescent="0.3">
      <c r="A145" s="25">
        <v>144</v>
      </c>
      <c r="B145" s="26">
        <v>389</v>
      </c>
      <c r="C145" s="27" t="s">
        <v>486</v>
      </c>
      <c r="D145" s="26" t="s">
        <v>487</v>
      </c>
      <c r="E145" s="23" t="s">
        <v>487</v>
      </c>
      <c r="F145" s="26" t="str">
        <f>VLOOKUP(Table36[[#This Row],[Picture_no]], [3]ENGLISH.txt!$1:$1048576, 2, 0)</f>
        <v>aerial</v>
      </c>
      <c r="G145" s="22" t="s">
        <v>1285</v>
      </c>
      <c r="H145" s="26" t="s">
        <v>933</v>
      </c>
      <c r="I145" s="26">
        <f>LEN(Table36[[#This Row],[Spanish]])</f>
        <v>6</v>
      </c>
      <c r="J145" s="26">
        <f>VLOOKUP(Table36[[#This Row],[Spanish]], [1]Sheet1!$1:$1048576, 4, 0)</f>
        <v>6</v>
      </c>
      <c r="K145" s="26">
        <v>3</v>
      </c>
      <c r="L145" s="28">
        <f>VLOOKUP(Table36[[#This Row],[Spanish]], [2]Sheet1!$1:$1048576, 2, 0)</f>
        <v>19.144007999999999</v>
      </c>
      <c r="M145" s="28">
        <f>VLOOKUP(Table36[[#This Row],[Spanish]], [2]Sheet1!$1:$1048576, 3, 0)</f>
        <v>1.304146</v>
      </c>
      <c r="N145" s="28">
        <f>VLOOKUP(Table36[[#This Row],[Spanish]], [2]Sheet1!$1:$1048576, 6, 0)</f>
        <v>6.5780000000000003</v>
      </c>
      <c r="O145" s="29">
        <v>0</v>
      </c>
      <c r="P145" s="29">
        <v>100</v>
      </c>
      <c r="Q145" s="26">
        <v>98</v>
      </c>
      <c r="R145" s="26">
        <v>1</v>
      </c>
      <c r="S145" s="26">
        <v>0</v>
      </c>
      <c r="T145" s="26">
        <v>2</v>
      </c>
      <c r="U145" s="28">
        <v>2.56</v>
      </c>
    </row>
    <row r="146" spans="1:21" x14ac:dyDescent="0.3">
      <c r="A146" s="25">
        <v>145</v>
      </c>
      <c r="B146" s="26">
        <v>391</v>
      </c>
      <c r="C146" s="27" t="s">
        <v>488</v>
      </c>
      <c r="D146" s="26" t="s">
        <v>489</v>
      </c>
      <c r="E146" s="23" t="s">
        <v>1286</v>
      </c>
      <c r="F146" s="26" t="str">
        <f>VLOOKUP(Table36[[#This Row],[Picture_no]], [3]ENGLISH.txt!$1:$1048576, 2, 0)</f>
        <v>chain</v>
      </c>
      <c r="G146" s="22" t="s">
        <v>1033</v>
      </c>
      <c r="H146" s="26" t="s">
        <v>933</v>
      </c>
      <c r="I146" s="26">
        <f>LEN(Table36[[#This Row],[Spanish]])</f>
        <v>6</v>
      </c>
      <c r="J146" s="26">
        <f>VLOOKUP(Table36[[#This Row],[Spanish]], [1]Sheet1!$1:$1048576, 4, 0)</f>
        <v>6</v>
      </c>
      <c r="K146" s="26">
        <f>VLOOKUP(Table36[[#This Row],[Spanish]], [1]Sheet1!$1:$1048576, 5, 9)</f>
        <v>2</v>
      </c>
      <c r="L146" s="28">
        <f>VLOOKUP(Table36[[#This Row],[Spanish]], [2]Sheet1!$1:$1048576, 2, 0)</f>
        <v>68.664344</v>
      </c>
      <c r="M146" s="28">
        <f>VLOOKUP(Table36[[#This Row],[Spanish]], [2]Sheet1!$1:$1048576, 3, 0)</f>
        <v>1.843011</v>
      </c>
      <c r="N146" s="28">
        <f>VLOOKUP(Table36[[#This Row],[Spanish]], [2]Sheet1!$1:$1048576, 6, 0)</f>
        <v>6.4429999999999996</v>
      </c>
      <c r="O146" s="29">
        <v>0</v>
      </c>
      <c r="P146" s="29">
        <v>100</v>
      </c>
      <c r="Q146" s="26">
        <v>97</v>
      </c>
      <c r="R146" s="26">
        <v>1</v>
      </c>
      <c r="S146" s="26">
        <v>1</v>
      </c>
      <c r="T146" s="26">
        <v>2</v>
      </c>
      <c r="U146" s="28">
        <v>2.08</v>
      </c>
    </row>
    <row r="147" spans="1:21" x14ac:dyDescent="0.3">
      <c r="A147" s="25">
        <v>146</v>
      </c>
      <c r="B147" s="26">
        <v>392</v>
      </c>
      <c r="C147" s="27" t="s">
        <v>490</v>
      </c>
      <c r="D147" s="26" t="s">
        <v>491</v>
      </c>
      <c r="E147" s="23" t="s">
        <v>1287</v>
      </c>
      <c r="F147" s="26" t="str">
        <f>VLOOKUP(Table36[[#This Row],[Picture_no]], [3]ENGLISH.txt!$1:$1048576, 2, 0)</f>
        <v>teapot</v>
      </c>
      <c r="G147" s="22" t="s">
        <v>1462</v>
      </c>
      <c r="H147" s="26" t="s">
        <v>933</v>
      </c>
      <c r="I147" s="26">
        <f>LEN(Table36[[#This Row],[Spanish]])</f>
        <v>6</v>
      </c>
      <c r="J147" s="26">
        <f>VLOOKUP(Table36[[#This Row],[Spanish]], [1]Sheet1!$1:$1048576, 4, 0)</f>
        <v>6</v>
      </c>
      <c r="K147" s="26">
        <v>3</v>
      </c>
      <c r="L147" s="28">
        <f>VLOOKUP(Table36[[#This Row],[Spanish]], [2]Sheet1!$1:$1048576, 2, 0)</f>
        <v>0.71156399999999997</v>
      </c>
      <c r="M147" s="28" t="str">
        <f>VLOOKUP(Table36[[#This Row],[Spanish]], [2]Sheet1!$1:$1048576, 3, 0)</f>
        <v>0.233393</v>
      </c>
      <c r="N147" s="28">
        <f>VLOOKUP(Table36[[#This Row],[Spanish]], [2]Sheet1!$1:$1048576, 6, 0)</f>
        <v>0</v>
      </c>
      <c r="O147" s="28">
        <v>0.195909271</v>
      </c>
      <c r="P147" s="28">
        <v>96.969696970000001</v>
      </c>
      <c r="Q147" s="26">
        <v>99</v>
      </c>
      <c r="R147" s="26">
        <v>2</v>
      </c>
      <c r="S147" s="26">
        <v>0</v>
      </c>
      <c r="T147" s="26">
        <v>1</v>
      </c>
      <c r="U147" s="28">
        <v>1.82</v>
      </c>
    </row>
    <row r="148" spans="1:21" x14ac:dyDescent="0.3">
      <c r="A148" s="25">
        <v>147</v>
      </c>
      <c r="B148" s="26">
        <v>396</v>
      </c>
      <c r="C148" s="27" t="s">
        <v>492</v>
      </c>
      <c r="D148" s="26" t="s">
        <v>493</v>
      </c>
      <c r="E148" s="23" t="s">
        <v>1288</v>
      </c>
      <c r="F148" s="26" t="str">
        <f>VLOOKUP(Table36[[#This Row],[Picture_no]], [3]ENGLISH.txt!$1:$1048576, 2, 0)</f>
        <v>atm</v>
      </c>
      <c r="G148" s="22" t="s">
        <v>1034</v>
      </c>
      <c r="H148" s="26" t="s">
        <v>933</v>
      </c>
      <c r="I148" s="26">
        <f>LEN(Table36[[#This Row],[Spanish]])</f>
        <v>6</v>
      </c>
      <c r="J148" s="26">
        <f>VLOOKUP(Table36[[#This Row],[Spanish]], [1]Sheet1!$1:$1048576, 4, 0)</f>
        <v>6</v>
      </c>
      <c r="K148" s="26">
        <f>VLOOKUP(Table36[[#This Row],[Spanish]], [1]Sheet1!$1:$1048576, 5, 9)</f>
        <v>2</v>
      </c>
      <c r="L148" s="28">
        <f>VLOOKUP(Table36[[#This Row],[Spanish]], [2]Sheet1!$1:$1048576, 2, 0)</f>
        <v>1.3061590000000001</v>
      </c>
      <c r="M148" s="28" t="str">
        <f>VLOOKUP(Table36[[#This Row],[Spanish]], [2]Sheet1!$1:$1048576, 3, 0)</f>
        <v>0.362889</v>
      </c>
      <c r="N148" s="28">
        <f>VLOOKUP(Table36[[#This Row],[Spanish]], [2]Sheet1!$1:$1048576, 6, 0)</f>
        <v>5.6379999999999999</v>
      </c>
      <c r="O148" s="28">
        <v>0.14372616999999999</v>
      </c>
      <c r="P148" s="28">
        <v>97.959183670000002</v>
      </c>
      <c r="Q148" s="26">
        <v>98</v>
      </c>
      <c r="R148" s="26">
        <v>2</v>
      </c>
      <c r="S148" s="26">
        <v>0</v>
      </c>
      <c r="T148" s="26">
        <v>2</v>
      </c>
      <c r="U148" s="28">
        <v>2.7</v>
      </c>
    </row>
    <row r="149" spans="1:21" x14ac:dyDescent="0.3">
      <c r="A149" s="25">
        <v>148</v>
      </c>
      <c r="B149" s="26">
        <v>398</v>
      </c>
      <c r="C149" s="27" t="s">
        <v>494</v>
      </c>
      <c r="D149" s="26" t="s">
        <v>495</v>
      </c>
      <c r="E149" s="23" t="s">
        <v>1289</v>
      </c>
      <c r="F149" s="26" t="str">
        <f>VLOOKUP(Table36[[#This Row],[Picture_no]], [3]ENGLISH.txt!$1:$1048576, 2, 0)</f>
        <v>steering wheel</v>
      </c>
      <c r="G149" s="22" t="s">
        <v>1290</v>
      </c>
      <c r="H149" s="26" t="s">
        <v>933</v>
      </c>
      <c r="I149" s="26">
        <f>LEN(Table36[[#This Row],[Spanish]])</f>
        <v>7</v>
      </c>
      <c r="J149" s="26">
        <f>VLOOKUP(Table36[[#This Row],[Spanish]], [1]Sheet1!$1:$1048576, 4, 0)</f>
        <v>7</v>
      </c>
      <c r="K149" s="26">
        <v>3</v>
      </c>
      <c r="L149" s="28">
        <f>VLOOKUP(Table36[[#This Row],[Spanish]], [2]Sheet1!$1:$1048576, 2, 0)</f>
        <v>7.6647509999999999</v>
      </c>
      <c r="M149" s="28" t="str">
        <f>VLOOKUP(Table36[[#This Row],[Spanish]], [2]Sheet1!$1:$1048576, 3, 0)</f>
        <v>0.937756</v>
      </c>
      <c r="N149" s="28">
        <f>VLOOKUP(Table36[[#This Row],[Spanish]], [2]Sheet1!$1:$1048576, 6, 0)</f>
        <v>6.5090000000000003</v>
      </c>
      <c r="O149" s="29">
        <v>0</v>
      </c>
      <c r="P149" s="29">
        <v>100</v>
      </c>
      <c r="Q149" s="26">
        <v>99</v>
      </c>
      <c r="R149" s="26">
        <v>1</v>
      </c>
      <c r="S149" s="26">
        <v>0</v>
      </c>
      <c r="T149" s="26">
        <v>1</v>
      </c>
      <c r="U149" s="28">
        <v>1.89</v>
      </c>
    </row>
    <row r="150" spans="1:21" x14ac:dyDescent="0.3">
      <c r="A150" s="25">
        <v>149</v>
      </c>
      <c r="B150" s="26">
        <v>400</v>
      </c>
      <c r="C150" s="27" t="s">
        <v>498</v>
      </c>
      <c r="D150" s="26" t="s">
        <v>499</v>
      </c>
      <c r="E150" s="23" t="s">
        <v>499</v>
      </c>
      <c r="F150" s="26" t="str">
        <f>VLOOKUP(Table36[[#This Row],[Picture_no]], [3]ENGLISH.txt!$1:$1048576, 2, 0)</f>
        <v>duck</v>
      </c>
      <c r="G150" s="22" t="s">
        <v>1035</v>
      </c>
      <c r="H150" s="26" t="s">
        <v>929</v>
      </c>
      <c r="I150" s="26">
        <f>LEN(Table36[[#This Row],[Spanish]])</f>
        <v>4</v>
      </c>
      <c r="J150" s="26">
        <f>VLOOKUP(Table36[[#This Row],[Spanish]], [1]Sheet1!$1:$1048576, 4, 0)</f>
        <v>4</v>
      </c>
      <c r="K150" s="26">
        <f>VLOOKUP(Table36[[#This Row],[Spanish]], [1]Sheet1!$1:$1048576, 5, 9)</f>
        <v>3</v>
      </c>
      <c r="L150" s="28">
        <f>VLOOKUP(Table36[[#This Row],[Spanish]], [2]Sheet1!$1:$1048576, 2, 0)</f>
        <v>14.452230999999999</v>
      </c>
      <c r="M150" s="28">
        <f>VLOOKUP(Table36[[#This Row],[Spanish]], [2]Sheet1!$1:$1048576, 3, 0)</f>
        <v>1.1889909999999999</v>
      </c>
      <c r="N150" s="28">
        <f>VLOOKUP(Table36[[#This Row],[Spanish]], [2]Sheet1!$1:$1048576, 6, 0)</f>
        <v>6.5730000000000004</v>
      </c>
      <c r="O150" s="29">
        <v>0</v>
      </c>
      <c r="P150" s="29">
        <v>100</v>
      </c>
      <c r="Q150" s="26">
        <v>99</v>
      </c>
      <c r="R150" s="26">
        <v>1</v>
      </c>
      <c r="S150" s="26">
        <v>0</v>
      </c>
      <c r="T150" s="26">
        <v>1</v>
      </c>
      <c r="U150" s="28">
        <v>3.22</v>
      </c>
    </row>
    <row r="151" spans="1:21" x14ac:dyDescent="0.3">
      <c r="A151" s="25">
        <v>150</v>
      </c>
      <c r="B151" s="26">
        <v>405</v>
      </c>
      <c r="C151" s="27" t="s">
        <v>504</v>
      </c>
      <c r="D151" s="26" t="s">
        <v>505</v>
      </c>
      <c r="E151" s="23" t="s">
        <v>1291</v>
      </c>
      <c r="F151" s="26" t="str">
        <f>VLOOKUP(Table36[[#This Row],[Picture_no]], [3]ENGLISH.txt!$1:$1048576, 2, 0)</f>
        <v>anchor</v>
      </c>
      <c r="G151" s="22" t="s">
        <v>1292</v>
      </c>
      <c r="H151" s="26" t="s">
        <v>933</v>
      </c>
      <c r="I151" s="26">
        <f>LEN(Table36[[#This Row],[Spanish]])</f>
        <v>5</v>
      </c>
      <c r="J151" s="26">
        <f>VLOOKUP(Table36[[#This Row],[Spanish]], [1]Sheet1!$1:$1048576, 4, 0)</f>
        <v>5</v>
      </c>
      <c r="K151" s="26">
        <v>2</v>
      </c>
      <c r="L151" s="28">
        <f>VLOOKUP(Table36[[#This Row],[Spanish]], [2]Sheet1!$1:$1048576, 2, 0)</f>
        <v>2.3068979999999999</v>
      </c>
      <c r="M151" s="28">
        <f>VLOOKUP(Table36[[#This Row],[Spanish]], [2]Sheet1!$1:$1048576, 3, 0)</f>
        <v>0.51942100000000002</v>
      </c>
      <c r="N151" s="28">
        <f>VLOOKUP(Table36[[#This Row],[Spanish]], [2]Sheet1!$1:$1048576, 6, 0)</f>
        <v>5.7060000000000004</v>
      </c>
      <c r="O151" s="29">
        <v>0</v>
      </c>
      <c r="P151" s="29">
        <v>100</v>
      </c>
      <c r="Q151" s="26">
        <v>100</v>
      </c>
      <c r="R151" s="26">
        <v>1</v>
      </c>
      <c r="S151" s="26">
        <v>0</v>
      </c>
      <c r="T151" s="26">
        <v>0</v>
      </c>
      <c r="U151" s="28">
        <v>2</v>
      </c>
    </row>
    <row r="152" spans="1:21" x14ac:dyDescent="0.3">
      <c r="A152" s="25">
        <v>151</v>
      </c>
      <c r="B152" s="26">
        <v>411</v>
      </c>
      <c r="C152" s="27" t="s">
        <v>512</v>
      </c>
      <c r="D152" s="26" t="s">
        <v>513</v>
      </c>
      <c r="E152" s="23" t="s">
        <v>1293</v>
      </c>
      <c r="F152" s="26" t="str">
        <f>VLOOKUP(Table36[[#This Row],[Picture_no]], [3]ENGLISH.txt!$1:$1048576, 2, 0)</f>
        <v>fist</v>
      </c>
      <c r="G152" s="22" t="s">
        <v>1036</v>
      </c>
      <c r="H152" s="26" t="s">
        <v>930</v>
      </c>
      <c r="I152" s="26">
        <f>LEN(Table36[[#This Row],[Spanish]])</f>
        <v>4</v>
      </c>
      <c r="J152" s="26">
        <f>VLOOKUP(Table36[[#This Row],[Spanish]], [1]Sheet1!$1:$1048576, 4, 0)</f>
        <v>4</v>
      </c>
      <c r="K152" s="26">
        <f>VLOOKUP(Table36[[#This Row],[Spanish]], [1]Sheet1!$1:$1048576, 5, 9)</f>
        <v>3</v>
      </c>
      <c r="L152" s="28">
        <f>VLOOKUP(Table36[[#This Row],[Spanish]], [2]Sheet1!$1:$1048576, 2, 0)</f>
        <v>5.9816900000000004</v>
      </c>
      <c r="M152" s="28" t="str">
        <f>VLOOKUP(Table36[[#This Row],[Spanish]], [2]Sheet1!$1:$1048576, 3, 0)</f>
        <v>0.843961</v>
      </c>
      <c r="N152" s="28">
        <f>VLOOKUP(Table36[[#This Row],[Spanish]], [2]Sheet1!$1:$1048576, 6, 0)</f>
        <v>5</v>
      </c>
      <c r="O152" s="28">
        <v>0.141440543</v>
      </c>
      <c r="P152" s="29">
        <v>98</v>
      </c>
      <c r="Q152" s="26">
        <v>100</v>
      </c>
      <c r="R152" s="26">
        <v>2</v>
      </c>
      <c r="S152" s="26">
        <v>0</v>
      </c>
      <c r="T152" s="26">
        <v>0</v>
      </c>
      <c r="U152" s="28">
        <v>2.31</v>
      </c>
    </row>
    <row r="153" spans="1:21" x14ac:dyDescent="0.3">
      <c r="A153" s="25">
        <v>152</v>
      </c>
      <c r="B153" s="26">
        <v>412</v>
      </c>
      <c r="C153" s="27" t="s">
        <v>514</v>
      </c>
      <c r="D153" s="26" t="s">
        <v>515</v>
      </c>
      <c r="E153" s="23" t="s">
        <v>1294</v>
      </c>
      <c r="F153" s="26" t="str">
        <f>VLOOKUP(Table36[[#This Row],[Picture_no]], [3]ENGLISH.txt!$1:$1048576, 2, 0)</f>
        <v>factory</v>
      </c>
      <c r="G153" s="22" t="s">
        <v>1295</v>
      </c>
      <c r="H153" s="26" t="s">
        <v>932</v>
      </c>
      <c r="I153" s="26">
        <f>LEN(Table36[[#This Row],[Spanish]])</f>
        <v>7</v>
      </c>
      <c r="J153" s="26">
        <f>VLOOKUP(Table36[[#This Row],[Spanish]], [1]Sheet1!$1:$1048576, 4, 0)</f>
        <v>7</v>
      </c>
      <c r="K153" s="26">
        <f>VLOOKUP(Table36[[#This Row],[Spanish]], [1]Sheet1!$1:$1048576, 5, 9)</f>
        <v>3</v>
      </c>
      <c r="L153" s="28">
        <f>VLOOKUP(Table36[[#This Row],[Spanish]], [2]Sheet1!$1:$1048576, 2, 0)</f>
        <v>31.624002999999998</v>
      </c>
      <c r="M153" s="28">
        <f>VLOOKUP(Table36[[#This Row],[Spanish]], [2]Sheet1!$1:$1048576, 3, 0)</f>
        <v>1.5135369999999999</v>
      </c>
      <c r="N153" s="28">
        <f>VLOOKUP(Table36[[#This Row],[Spanish]], [2]Sheet1!$1:$1048576, 6, 0)</f>
        <v>5.2370000000000001</v>
      </c>
      <c r="O153" s="28">
        <v>0.195909271</v>
      </c>
      <c r="P153" s="28">
        <v>96.969696970000001</v>
      </c>
      <c r="Q153" s="26">
        <v>99</v>
      </c>
      <c r="R153" s="26">
        <v>2</v>
      </c>
      <c r="S153" s="26">
        <v>0</v>
      </c>
      <c r="T153" s="26">
        <v>1</v>
      </c>
      <c r="U153" s="28">
        <v>2.85</v>
      </c>
    </row>
    <row r="154" spans="1:21" x14ac:dyDescent="0.3">
      <c r="A154" s="25">
        <v>153</v>
      </c>
      <c r="B154" s="26">
        <v>414</v>
      </c>
      <c r="C154" s="27" t="s">
        <v>516</v>
      </c>
      <c r="D154" s="30" t="s">
        <v>517</v>
      </c>
      <c r="E154" s="23" t="s">
        <v>1296</v>
      </c>
      <c r="F154" s="30" t="str">
        <f>VLOOKUP(Table36[[#This Row],[Picture_no]], [3]ENGLISH.txt!$1:$1048576, 2, 0)</f>
        <v>lamp</v>
      </c>
      <c r="G154" s="22" t="s">
        <v>1037</v>
      </c>
      <c r="H154" s="26" t="s">
        <v>933</v>
      </c>
      <c r="I154" s="26">
        <f>LEN(Table36[[#This Row],[Spanish]])</f>
        <v>7</v>
      </c>
      <c r="J154" s="26">
        <f>VLOOKUP(Table36[[#This Row],[Spanish]], [1]Sheet1!$1:$1048576, 4, 0)</f>
        <v>7</v>
      </c>
      <c r="K154" s="26">
        <f>VLOOKUP(Table36[[#This Row],[Spanish]], [1]Sheet1!$1:$1048576, 5, 9)</f>
        <v>3</v>
      </c>
      <c r="L154" s="28">
        <f>VLOOKUP(Table36[[#This Row],[Spanish]], [2]Sheet1!$1:$1048576, 2, 0)</f>
        <v>9.1756069999999994</v>
      </c>
      <c r="M154" s="28">
        <f>VLOOKUP(Table36[[#This Row],[Spanish]], [2]Sheet1!$1:$1048576, 3, 0)</f>
        <v>1.00756</v>
      </c>
      <c r="N154" s="28">
        <f>VLOOKUP(Table36[[#This Row],[Spanish]], [2]Sheet1!$1:$1048576, 6, 0)</f>
        <v>6.1040000000000001</v>
      </c>
      <c r="O154" s="29">
        <v>0</v>
      </c>
      <c r="P154" s="29">
        <v>100</v>
      </c>
      <c r="Q154" s="26">
        <v>99</v>
      </c>
      <c r="R154" s="26">
        <v>1</v>
      </c>
      <c r="S154" s="26">
        <v>0</v>
      </c>
      <c r="T154" s="26">
        <v>1</v>
      </c>
      <c r="U154" s="28">
        <v>1.91</v>
      </c>
    </row>
    <row r="155" spans="1:21" x14ac:dyDescent="0.3">
      <c r="A155" s="25">
        <v>154</v>
      </c>
      <c r="B155" s="26">
        <v>418</v>
      </c>
      <c r="C155" s="27" t="s">
        <v>520</v>
      </c>
      <c r="D155" s="30" t="s">
        <v>521</v>
      </c>
      <c r="E155" s="23" t="s">
        <v>1297</v>
      </c>
      <c r="F155" s="30" t="str">
        <f>VLOOKUP(Table36[[#This Row],[Picture_no]], [3]ENGLISH.txt!$1:$1048576, 2, 0)</f>
        <v>curtain</v>
      </c>
      <c r="G155" s="22" t="s">
        <v>1298</v>
      </c>
      <c r="H155" s="26" t="s">
        <v>933</v>
      </c>
      <c r="I155" s="26">
        <f>LEN(Table36[[#This Row],[Spanish]])</f>
        <v>7</v>
      </c>
      <c r="J155" s="26">
        <f>VLOOKUP(Table36[[#This Row],[Spanish]], [1]Sheet1!$1:$1048576, 4, 0)</f>
        <v>7</v>
      </c>
      <c r="K155" s="26">
        <f>VLOOKUP(Table36[[#This Row],[Spanish]], [1]Sheet1!$1:$1048576, 5, 9)</f>
        <v>3</v>
      </c>
      <c r="L155" s="28">
        <f>VLOOKUP(Table36[[#This Row],[Spanish]], [2]Sheet1!$1:$1048576, 2, 0)</f>
        <v>6.868709</v>
      </c>
      <c r="M155" s="28" t="str">
        <f>VLOOKUP(Table36[[#This Row],[Spanish]], [2]Sheet1!$1:$1048576, 3, 0)</f>
        <v>0.895903</v>
      </c>
      <c r="N155" s="28">
        <f>VLOOKUP(Table36[[#This Row],[Spanish]], [2]Sheet1!$1:$1048576, 6, 0)</f>
        <v>5.6390000000000002</v>
      </c>
      <c r="O155" s="29">
        <v>0</v>
      </c>
      <c r="P155" s="29">
        <v>100</v>
      </c>
      <c r="Q155" s="26">
        <v>99</v>
      </c>
      <c r="R155" s="26">
        <v>1</v>
      </c>
      <c r="S155" s="26">
        <v>1</v>
      </c>
      <c r="T155" s="26">
        <v>0</v>
      </c>
      <c r="U155" s="28">
        <v>2.2200000000000002</v>
      </c>
    </row>
    <row r="156" spans="1:21" x14ac:dyDescent="0.3">
      <c r="A156" s="25">
        <v>155</v>
      </c>
      <c r="B156" s="26">
        <v>425</v>
      </c>
      <c r="C156" s="27" t="s">
        <v>522</v>
      </c>
      <c r="D156" s="26" t="s">
        <v>523</v>
      </c>
      <c r="E156" s="23" t="s">
        <v>1299</v>
      </c>
      <c r="F156" s="26" t="str">
        <f>VLOOKUP(Table36[[#This Row],[Picture_no]], [3]ENGLISH.txt!$1:$1048576, 2, 0)</f>
        <v>bagpipes</v>
      </c>
      <c r="G156" s="22" t="s">
        <v>1300</v>
      </c>
      <c r="H156" s="26" t="s">
        <v>939</v>
      </c>
      <c r="I156" s="26">
        <f>LEN(Table36[[#This Row],[Spanish]])</f>
        <v>5</v>
      </c>
      <c r="J156" s="26">
        <f>VLOOKUP(Table36[[#This Row],[Spanish]], [1]Sheet1!$1:$1048576, 4, 0)</f>
        <v>5</v>
      </c>
      <c r="K156" s="26">
        <f>VLOOKUP(Table36[[#This Row],[Spanish]], [1]Sheet1!$1:$1048576, 5, 9)</f>
        <v>2</v>
      </c>
      <c r="L156" s="28">
        <f>VLOOKUP(Table36[[#This Row],[Spanish]], [2]Sheet1!$1:$1048576, 2, 0)</f>
        <v>2.18668</v>
      </c>
      <c r="M156" s="28" t="str">
        <f>VLOOKUP(Table36[[#This Row],[Spanish]], [2]Sheet1!$1:$1048576, 3, 0)</f>
        <v>0.503338</v>
      </c>
      <c r="N156" s="28">
        <f>VLOOKUP(Table36[[#This Row],[Spanish]], [2]Sheet1!$1:$1048576, 6, 0)</f>
        <v>0</v>
      </c>
      <c r="O156" s="29">
        <v>0</v>
      </c>
      <c r="P156" s="29">
        <v>100</v>
      </c>
      <c r="Q156" s="26">
        <v>93</v>
      </c>
      <c r="R156" s="26">
        <v>1</v>
      </c>
      <c r="S156" s="26">
        <v>5</v>
      </c>
      <c r="T156" s="26">
        <v>2</v>
      </c>
      <c r="U156" s="28">
        <v>2.68</v>
      </c>
    </row>
    <row r="157" spans="1:21" x14ac:dyDescent="0.3">
      <c r="A157" s="25">
        <v>156</v>
      </c>
      <c r="B157" s="26">
        <v>426</v>
      </c>
      <c r="C157" s="27" t="s">
        <v>524</v>
      </c>
      <c r="D157" s="26" t="s">
        <v>525</v>
      </c>
      <c r="E157" s="23" t="s">
        <v>1301</v>
      </c>
      <c r="F157" s="26" t="str">
        <f>VLOOKUP(Table36[[#This Row],[Picture_no]], [3]ENGLISH.txt!$1:$1048576, 2, 0)</f>
        <v>comb</v>
      </c>
      <c r="G157" s="22" t="s">
        <v>1038</v>
      </c>
      <c r="H157" s="26" t="s">
        <v>933</v>
      </c>
      <c r="I157" s="26">
        <f>LEN(Table36[[#This Row],[Spanish]])</f>
        <v>5</v>
      </c>
      <c r="J157" s="26">
        <f>VLOOKUP(Table36[[#This Row],[Spanish]], [1]Sheet1!$1:$1048576, 4, 0)</f>
        <v>5</v>
      </c>
      <c r="K157" s="26">
        <f>VLOOKUP(Table36[[#This Row],[Spanish]], [1]Sheet1!$1:$1048576, 5, 9)</f>
        <v>3</v>
      </c>
      <c r="L157" s="28">
        <f>VLOOKUP(Table36[[#This Row],[Spanish]], [2]Sheet1!$1:$1048576, 2, 0)</f>
        <v>1.692809</v>
      </c>
      <c r="M157" s="28" t="str">
        <f>VLOOKUP(Table36[[#This Row],[Spanish]], [2]Sheet1!$1:$1048576, 3, 0)</f>
        <v>0.430205</v>
      </c>
      <c r="N157" s="28">
        <f>VLOOKUP(Table36[[#This Row],[Spanish]], [2]Sheet1!$1:$1048576, 6, 0)</f>
        <v>6.2409999999999997</v>
      </c>
      <c r="O157" s="28">
        <v>0.14372616999999999</v>
      </c>
      <c r="P157" s="28">
        <v>97.959183670000002</v>
      </c>
      <c r="Q157" s="26">
        <v>98</v>
      </c>
      <c r="R157" s="26">
        <v>2</v>
      </c>
      <c r="S157" s="26">
        <v>0</v>
      </c>
      <c r="T157" s="26">
        <v>2</v>
      </c>
      <c r="U157" s="28">
        <v>1.69</v>
      </c>
    </row>
    <row r="158" spans="1:21" x14ac:dyDescent="0.3">
      <c r="A158" s="25">
        <v>157</v>
      </c>
      <c r="B158" s="26">
        <v>433</v>
      </c>
      <c r="C158" s="27" t="s">
        <v>529</v>
      </c>
      <c r="D158" s="26" t="s">
        <v>530</v>
      </c>
      <c r="E158" s="23" t="s">
        <v>1302</v>
      </c>
      <c r="F158" s="26" t="str">
        <f>VLOOKUP(Table36[[#This Row],[Picture_no]], [3]ENGLISH.txt!$1:$1048576, 2, 0)</f>
        <v>bell</v>
      </c>
      <c r="G158" s="22" t="s">
        <v>1039</v>
      </c>
      <c r="H158" s="26" t="s">
        <v>933</v>
      </c>
      <c r="I158" s="26">
        <f>LEN(Table36[[#This Row],[Spanish]])</f>
        <v>6</v>
      </c>
      <c r="J158" s="26">
        <f>VLOOKUP(Table36[[#This Row],[Spanish]], [1]Sheet1!$1:$1048576, 4, 0)</f>
        <v>6</v>
      </c>
      <c r="K158" s="26">
        <v>2</v>
      </c>
      <c r="L158" s="28">
        <f>VLOOKUP(Table36[[#This Row],[Spanish]], [2]Sheet1!$1:$1048576, 2, 0)</f>
        <v>6.5665380000000004</v>
      </c>
      <c r="M158" s="28" t="str">
        <f>VLOOKUP(Table36[[#This Row],[Spanish]], [2]Sheet1!$1:$1048576, 3, 0)</f>
        <v>0.878897</v>
      </c>
      <c r="N158" s="28">
        <f>VLOOKUP(Table36[[#This Row],[Spanish]], [2]Sheet1!$1:$1048576, 6, 0)</f>
        <v>6.133</v>
      </c>
      <c r="O158" s="28">
        <v>0.28454568299999999</v>
      </c>
      <c r="P158" s="28">
        <v>95.959595960000001</v>
      </c>
      <c r="Q158" s="26">
        <v>99</v>
      </c>
      <c r="R158" s="26">
        <v>3</v>
      </c>
      <c r="S158" s="26">
        <v>0</v>
      </c>
      <c r="T158" s="26">
        <v>1</v>
      </c>
      <c r="U158" s="28">
        <v>2.0099999999999998</v>
      </c>
    </row>
    <row r="159" spans="1:21" x14ac:dyDescent="0.3">
      <c r="A159" s="25">
        <v>158</v>
      </c>
      <c r="B159" s="26">
        <v>436</v>
      </c>
      <c r="C159" s="27" t="s">
        <v>533</v>
      </c>
      <c r="D159" s="26" t="s">
        <v>534</v>
      </c>
      <c r="E159" s="23" t="s">
        <v>1303</v>
      </c>
      <c r="F159" s="26" t="str">
        <f>VLOOKUP(Table36[[#This Row],[Picture_no]], [3]ENGLISH.txt!$1:$1048576, 2, 0)</f>
        <v>girl</v>
      </c>
      <c r="G159" s="22" t="s">
        <v>1040</v>
      </c>
      <c r="H159" s="26" t="s">
        <v>931</v>
      </c>
      <c r="I159" s="26">
        <f>LEN(Table36[[#This Row],[Spanish]])</f>
        <v>4</v>
      </c>
      <c r="J159" s="26">
        <f>VLOOKUP(Table36[[#This Row],[Spanish]], [1]Sheet1!$1:$1048576, 4, 0)</f>
        <v>4</v>
      </c>
      <c r="K159" s="26">
        <f>VLOOKUP(Table36[[#This Row],[Spanish]], [1]Sheet1!$1:$1048576, 5, 9)</f>
        <v>3</v>
      </c>
      <c r="L159" s="28">
        <f>VLOOKUP(Table36[[#This Row],[Spanish]], [2]Sheet1!$1:$1048576, 2, 0)</f>
        <v>38.005338999999999</v>
      </c>
      <c r="M159" s="28">
        <f>VLOOKUP(Table36[[#This Row],[Spanish]], [2]Sheet1!$1:$1048576, 3, 0)</f>
        <v>1.591124</v>
      </c>
      <c r="N159" s="28">
        <f>VLOOKUP(Table36[[#This Row],[Spanish]], [2]Sheet1!$1:$1048576, 6, 0)</f>
        <v>6.3159999999999998</v>
      </c>
      <c r="O159" s="29">
        <v>0</v>
      </c>
      <c r="P159" s="29">
        <v>100</v>
      </c>
      <c r="Q159" s="26">
        <v>98</v>
      </c>
      <c r="R159" s="26">
        <v>1</v>
      </c>
      <c r="S159" s="26">
        <v>0</v>
      </c>
      <c r="T159" s="26">
        <v>2</v>
      </c>
      <c r="U159" s="28">
        <v>2.54</v>
      </c>
    </row>
    <row r="160" spans="1:21" x14ac:dyDescent="0.3">
      <c r="A160" s="25">
        <v>159</v>
      </c>
      <c r="B160" s="26">
        <v>437</v>
      </c>
      <c r="C160" s="27" t="s">
        <v>535</v>
      </c>
      <c r="D160" s="30" t="s">
        <v>536</v>
      </c>
      <c r="E160" s="23" t="s">
        <v>1304</v>
      </c>
      <c r="F160" s="30" t="str">
        <f>VLOOKUP(Table36[[#This Row],[Picture_no]], [3]ENGLISH.txt!$1:$1048576, 2, 0)</f>
        <v>cannon</v>
      </c>
      <c r="G160" s="22" t="s">
        <v>1305</v>
      </c>
      <c r="H160" s="26" t="s">
        <v>933</v>
      </c>
      <c r="I160" s="26">
        <f>LEN(Table36[[#This Row],[Spanish]])</f>
        <v>5</v>
      </c>
      <c r="J160" s="26">
        <f>VLOOKUP(Table36[[#This Row],[Spanish]], [1]Sheet1!$1:$1048576, 4, 0)</f>
        <v>5</v>
      </c>
      <c r="K160" s="26">
        <f>VLOOKUP(Table36[[#This Row],[Spanish]], [1]Sheet1!$1:$1048576, 5, 9)</f>
        <v>2</v>
      </c>
      <c r="L160" s="28">
        <f>VLOOKUP(Table36[[#This Row],[Spanish]], [2]Sheet1!$1:$1048576, 2, 0)</f>
        <v>18.260238000000001</v>
      </c>
      <c r="M160" s="28">
        <f>VLOOKUP(Table36[[#This Row],[Spanish]], [2]Sheet1!$1:$1048576, 3, 0)</f>
        <v>1.284662</v>
      </c>
      <c r="N160" s="28">
        <f>VLOOKUP(Table36[[#This Row],[Spanish]], [2]Sheet1!$1:$1048576, 6, 0)</f>
        <v>5.5940000000000003</v>
      </c>
      <c r="O160" s="29">
        <v>0</v>
      </c>
      <c r="P160" s="29">
        <v>100</v>
      </c>
      <c r="Q160" s="26">
        <v>94</v>
      </c>
      <c r="R160" s="26">
        <v>1</v>
      </c>
      <c r="S160" s="26">
        <v>5</v>
      </c>
      <c r="T160" s="26">
        <v>1</v>
      </c>
      <c r="U160" s="28">
        <v>2.48</v>
      </c>
    </row>
    <row r="161" spans="1:21" x14ac:dyDescent="0.3">
      <c r="A161" s="25">
        <v>160</v>
      </c>
      <c r="B161" s="26">
        <v>439</v>
      </c>
      <c r="C161" s="27" t="s">
        <v>537</v>
      </c>
      <c r="D161" s="30" t="s">
        <v>538</v>
      </c>
      <c r="E161" s="23" t="s">
        <v>1306</v>
      </c>
      <c r="F161" s="30" t="str">
        <f>VLOOKUP(Table36[[#This Row],[Picture_no]], [3]ENGLISH.txt!$1:$1048576, 2, 0)</f>
        <v>volcano</v>
      </c>
      <c r="G161" s="22" t="s">
        <v>1307</v>
      </c>
      <c r="H161" s="26" t="s">
        <v>932</v>
      </c>
      <c r="I161" s="26">
        <f>LEN(Table36[[#This Row],[Spanish]])</f>
        <v>6</v>
      </c>
      <c r="J161" s="26">
        <f>VLOOKUP(Table36[[#This Row],[Spanish]], [1]Sheet1!$1:$1048576, 4, 0)</f>
        <v>6</v>
      </c>
      <c r="K161" s="26">
        <v>2</v>
      </c>
      <c r="L161" s="28">
        <f>VLOOKUP(Table36[[#This Row],[Spanish]], [2]Sheet1!$1:$1048576, 2, 0)</f>
        <v>11.839912</v>
      </c>
      <c r="M161" s="28">
        <f>VLOOKUP(Table36[[#This Row],[Spanish]], [2]Sheet1!$1:$1048576, 3, 0)</f>
        <v>1.108562</v>
      </c>
      <c r="N161" s="28">
        <f>VLOOKUP(Table36[[#This Row],[Spanish]], [2]Sheet1!$1:$1048576, 6, 0)</f>
        <v>6.1669999999999998</v>
      </c>
      <c r="O161" s="29">
        <v>0</v>
      </c>
      <c r="P161" s="29">
        <v>100</v>
      </c>
      <c r="Q161" s="26">
        <v>97</v>
      </c>
      <c r="R161" s="26">
        <v>1</v>
      </c>
      <c r="S161" s="26">
        <v>1</v>
      </c>
      <c r="T161" s="26">
        <v>2</v>
      </c>
      <c r="U161" s="28">
        <v>2.74</v>
      </c>
    </row>
    <row r="162" spans="1:21" x14ac:dyDescent="0.3">
      <c r="A162" s="25">
        <v>161</v>
      </c>
      <c r="B162" s="26">
        <v>442</v>
      </c>
      <c r="C162" s="27" t="s">
        <v>541</v>
      </c>
      <c r="D162" s="30" t="s">
        <v>542</v>
      </c>
      <c r="E162" s="23" t="s">
        <v>1308</v>
      </c>
      <c r="F162" s="30" t="str">
        <f>VLOOKUP(Table36[[#This Row],[Picture_no]], [3]ENGLISH.txt!$1:$1048576, 2, 0)</f>
        <v>pineapple</v>
      </c>
      <c r="G162" s="22" t="s">
        <v>1463</v>
      </c>
      <c r="H162" s="26" t="s">
        <v>929</v>
      </c>
      <c r="I162" s="26">
        <f>LEN(Table36[[#This Row],[Spanish]])</f>
        <v>4</v>
      </c>
      <c r="J162" s="26">
        <f>VLOOKUP(Table36[[#This Row],[Spanish]], [1]Sheet1!$1:$1048576, 4, 0)</f>
        <v>4</v>
      </c>
      <c r="K162" s="26">
        <f>VLOOKUP(Table36[[#This Row],[Spanish]], [1]Sheet1!$1:$1048576, 5, 9)</f>
        <v>3</v>
      </c>
      <c r="L162" s="28">
        <f>VLOOKUP(Table36[[#This Row],[Spanish]], [2]Sheet1!$1:$1048576, 2, 0)</f>
        <v>2.4888509999999999</v>
      </c>
      <c r="M162" s="28">
        <f>VLOOKUP(Table36[[#This Row],[Spanish]], [2]Sheet1!$1:$1048576, 3, 0)</f>
        <v>0.542682</v>
      </c>
      <c r="N162" s="28">
        <f>VLOOKUP(Table36[[#This Row],[Spanish]], [2]Sheet1!$1:$1048576, 6, 0)</f>
        <v>0</v>
      </c>
      <c r="O162" s="29">
        <v>0</v>
      </c>
      <c r="P162" s="29">
        <v>100</v>
      </c>
      <c r="Q162" s="26">
        <v>100</v>
      </c>
      <c r="R162" s="26">
        <v>1</v>
      </c>
      <c r="S162" s="26">
        <v>0</v>
      </c>
      <c r="T162" s="26">
        <v>0</v>
      </c>
      <c r="U162" s="28">
        <v>2.36</v>
      </c>
    </row>
    <row r="163" spans="1:21" x14ac:dyDescent="0.3">
      <c r="A163" s="25">
        <v>162</v>
      </c>
      <c r="B163" s="26">
        <v>445</v>
      </c>
      <c r="C163" s="27" t="s">
        <v>547</v>
      </c>
      <c r="D163" s="26" t="s">
        <v>548</v>
      </c>
      <c r="E163" s="23" t="s">
        <v>1309</v>
      </c>
      <c r="F163" s="26" t="str">
        <f>VLOOKUP(Table36[[#This Row],[Picture_no]], [3]ENGLISH.txt!$1:$1048576, 2, 0)</f>
        <v>nest</v>
      </c>
      <c r="G163" s="22" t="s">
        <v>1041</v>
      </c>
      <c r="H163" s="26" t="s">
        <v>933</v>
      </c>
      <c r="I163" s="26">
        <f>LEN(Table36[[#This Row],[Spanish]])</f>
        <v>4</v>
      </c>
      <c r="J163" s="26">
        <f>VLOOKUP(Table36[[#This Row],[Spanish]], [1]Sheet1!$1:$1048576, 4, 0)</f>
        <v>4</v>
      </c>
      <c r="K163" s="26">
        <f>VLOOKUP(Table36[[#This Row],[Spanish]], [1]Sheet1!$1:$1048576, 5, 9)</f>
        <v>3</v>
      </c>
      <c r="L163" s="28">
        <f>VLOOKUP(Table36[[#This Row],[Spanish]], [2]Sheet1!$1:$1048576, 2, 0)</f>
        <v>18.253740000000001</v>
      </c>
      <c r="M163" s="28">
        <f>VLOOKUP(Table36[[#This Row],[Spanish]], [2]Sheet1!$1:$1048576, 3, 0)</f>
        <v>1.2845150000000001</v>
      </c>
      <c r="N163" s="28">
        <f>VLOOKUP(Table36[[#This Row],[Spanish]], [2]Sheet1!$1:$1048576, 6, 0)</f>
        <v>6.33</v>
      </c>
      <c r="O163" s="29">
        <v>0</v>
      </c>
      <c r="P163" s="29">
        <v>100</v>
      </c>
      <c r="Q163" s="26">
        <v>99</v>
      </c>
      <c r="R163" s="26">
        <v>1</v>
      </c>
      <c r="S163" s="26">
        <v>1</v>
      </c>
      <c r="T163" s="26">
        <v>0</v>
      </c>
      <c r="U163" s="28">
        <v>2.63</v>
      </c>
    </row>
    <row r="164" spans="1:21" x14ac:dyDescent="0.3">
      <c r="A164" s="25">
        <v>163</v>
      </c>
      <c r="B164" s="26">
        <v>446</v>
      </c>
      <c r="C164" s="27" t="s">
        <v>549</v>
      </c>
      <c r="D164" s="26" t="s">
        <v>550</v>
      </c>
      <c r="E164" s="23" t="s">
        <v>1310</v>
      </c>
      <c r="F164" s="26" t="str">
        <f>VLOOKUP(Table36[[#This Row],[Picture_no]], [3]ENGLISH.txt!$1:$1048576, 2, 0)</f>
        <v>pig</v>
      </c>
      <c r="G164" s="22" t="s">
        <v>1042</v>
      </c>
      <c r="H164" s="26" t="s">
        <v>929</v>
      </c>
      <c r="I164" s="26">
        <f>LEN(Table36[[#This Row],[Spanish]])</f>
        <v>5</v>
      </c>
      <c r="J164" s="26">
        <f>VLOOKUP(Table36[[#This Row],[Spanish]], [1]Sheet1!$1:$1048576, 4, 0)</f>
        <v>5</v>
      </c>
      <c r="K164" s="26">
        <f>VLOOKUP(Table36[[#This Row],[Spanish]], [1]Sheet1!$1:$1048576, 5, 9)</f>
        <v>2</v>
      </c>
      <c r="L164" s="28">
        <f>VLOOKUP(Table36[[#This Row],[Spanish]], [2]Sheet1!$1:$1048576, 2, 0)</f>
        <v>15.163796</v>
      </c>
      <c r="M164" s="28">
        <f>VLOOKUP(Table36[[#This Row],[Spanish]], [2]Sheet1!$1:$1048576, 3, 0)</f>
        <v>1.2085429999999999</v>
      </c>
      <c r="N164" s="28">
        <f>VLOOKUP(Table36[[#This Row],[Spanish]], [2]Sheet1!$1:$1048576, 6, 0)</f>
        <v>5.8040000000000003</v>
      </c>
      <c r="O164" s="29">
        <v>0</v>
      </c>
      <c r="P164" s="29">
        <v>100</v>
      </c>
      <c r="Q164" s="26">
        <v>98</v>
      </c>
      <c r="R164" s="26">
        <v>1</v>
      </c>
      <c r="S164" s="26">
        <v>0</v>
      </c>
      <c r="T164" s="26">
        <v>2</v>
      </c>
      <c r="U164" s="28">
        <v>2.57</v>
      </c>
    </row>
    <row r="165" spans="1:21" x14ac:dyDescent="0.3">
      <c r="A165" s="25">
        <v>164</v>
      </c>
      <c r="B165" s="26">
        <v>449</v>
      </c>
      <c r="C165" s="27" t="s">
        <v>553</v>
      </c>
      <c r="D165" s="26" t="s">
        <v>554</v>
      </c>
      <c r="E165" s="23" t="s">
        <v>1311</v>
      </c>
      <c r="F165" s="26" t="str">
        <f>VLOOKUP(Table36[[#This Row],[Picture_no]], [3]ENGLISH.txt!$1:$1048576, 2, 0)</f>
        <v>bench</v>
      </c>
      <c r="G165" s="22" t="s">
        <v>1043</v>
      </c>
      <c r="H165" s="26" t="s">
        <v>932</v>
      </c>
      <c r="I165" s="26">
        <f>LEN(Table36[[#This Row],[Spanish]])</f>
        <v>5</v>
      </c>
      <c r="J165" s="26">
        <f>VLOOKUP(Table36[[#This Row],[Spanish]], [1]Sheet1!$1:$1048576, 4, 0)</f>
        <v>5</v>
      </c>
      <c r="K165" s="26">
        <f>VLOOKUP(Table36[[#This Row],[Spanish]], [1]Sheet1!$1:$1048576, 5, 9)</f>
        <v>2</v>
      </c>
      <c r="L165" s="28">
        <f>VLOOKUP(Table36[[#This Row],[Spanish]], [2]Sheet1!$1:$1048576, 2, 0)</f>
        <v>118.626565</v>
      </c>
      <c r="M165" s="28">
        <f>VLOOKUP(Table36[[#This Row],[Spanish]], [2]Sheet1!$1:$1048576, 3, 0)</f>
        <v>2.0778279999999998</v>
      </c>
      <c r="N165" s="28">
        <f>VLOOKUP(Table36[[#This Row],[Spanish]], [2]Sheet1!$1:$1048576, 6, 0)</f>
        <v>5.7110000000000003</v>
      </c>
      <c r="O165" s="29">
        <v>0</v>
      </c>
      <c r="P165" s="29">
        <v>100</v>
      </c>
      <c r="Q165" s="26">
        <v>100</v>
      </c>
      <c r="R165" s="26">
        <v>1</v>
      </c>
      <c r="S165" s="26">
        <v>0</v>
      </c>
      <c r="T165" s="26">
        <v>0</v>
      </c>
      <c r="U165" s="28">
        <v>1.919191919</v>
      </c>
    </row>
    <row r="166" spans="1:21" x14ac:dyDescent="0.3">
      <c r="A166" s="25">
        <v>165</v>
      </c>
      <c r="B166" s="26">
        <v>452</v>
      </c>
      <c r="C166" s="27" t="s">
        <v>557</v>
      </c>
      <c r="D166" s="26" t="s">
        <v>558</v>
      </c>
      <c r="E166" s="23" t="s">
        <v>1312</v>
      </c>
      <c r="F166" s="26" t="str">
        <f>VLOOKUP(Table36[[#This Row],[Picture_no]], [3]ENGLISH.txt!$1:$1048576, 2, 0)</f>
        <v>watch</v>
      </c>
      <c r="G166" s="22" t="s">
        <v>1044</v>
      </c>
      <c r="H166" s="26" t="s">
        <v>933</v>
      </c>
      <c r="I166" s="26">
        <f>LEN(Table36[[#This Row],[Spanish]])</f>
        <v>5</v>
      </c>
      <c r="J166" s="26">
        <f>VLOOKUP(Table36[[#This Row],[Spanish]], [1]Sheet1!$1:$1048576, 4, 0)</f>
        <v>5</v>
      </c>
      <c r="K166" s="26">
        <v>2</v>
      </c>
      <c r="L166" s="28">
        <f>VLOOKUP(Table36[[#This Row],[Spanish]], [2]Sheet1!$1:$1048576, 2, 0)</f>
        <v>26.145931999999998</v>
      </c>
      <c r="M166" s="28">
        <f>VLOOKUP(Table36[[#This Row],[Spanish]], [2]Sheet1!$1:$1048576, 3, 0)</f>
        <v>1.433705</v>
      </c>
      <c r="N166" s="28">
        <f>VLOOKUP(Table36[[#This Row],[Spanish]], [2]Sheet1!$1:$1048576, 6, 0)</f>
        <v>6.0430000000000001</v>
      </c>
      <c r="O166" s="29">
        <v>0</v>
      </c>
      <c r="P166" s="29">
        <v>100</v>
      </c>
      <c r="Q166" s="26">
        <v>100</v>
      </c>
      <c r="R166" s="26">
        <v>1</v>
      </c>
      <c r="S166" s="26">
        <v>0</v>
      </c>
      <c r="T166" s="26">
        <v>0</v>
      </c>
      <c r="U166" s="28">
        <v>2</v>
      </c>
    </row>
    <row r="167" spans="1:21" x14ac:dyDescent="0.3">
      <c r="A167" s="25">
        <v>166</v>
      </c>
      <c r="B167" s="26">
        <v>453</v>
      </c>
      <c r="C167" s="27" t="s">
        <v>559</v>
      </c>
      <c r="D167" s="26" t="s">
        <v>560</v>
      </c>
      <c r="E167" s="23" t="s">
        <v>1313</v>
      </c>
      <c r="F167" s="26" t="str">
        <f>VLOOKUP(Table36[[#This Row],[Picture_no]], [3]ENGLISH.txt!$1:$1048576, 2, 0)</f>
        <v>scissors</v>
      </c>
      <c r="G167" s="22" t="s">
        <v>1314</v>
      </c>
      <c r="H167" s="26" t="s">
        <v>933</v>
      </c>
      <c r="I167" s="26">
        <f>LEN(Table36[[#This Row],[Spanish]])</f>
        <v>7</v>
      </c>
      <c r="J167" s="26">
        <f>VLOOKUP(Table36[[#This Row],[Spanish]], [1]Sheet1!$1:$1048576, 4, 0)</f>
        <v>7</v>
      </c>
      <c r="K167" s="26">
        <v>3</v>
      </c>
      <c r="L167" s="28">
        <f>VLOOKUP(Table36[[#This Row],[Spanish]], [2]Sheet1!$1:$1048576, 2, 0)</f>
        <v>2.41412</v>
      </c>
      <c r="M167" s="28" t="str">
        <f>VLOOKUP(Table36[[#This Row],[Spanish]], [2]Sheet1!$1:$1048576, 3, 0)</f>
        <v>0.533279</v>
      </c>
      <c r="N167" s="28">
        <f>VLOOKUP(Table36[[#This Row],[Spanish]], [2]Sheet1!$1:$1048576, 6, 0)</f>
        <v>6.2539999999999996</v>
      </c>
      <c r="O167" s="29">
        <v>0</v>
      </c>
      <c r="P167" s="29">
        <v>100</v>
      </c>
      <c r="Q167" s="26">
        <v>100</v>
      </c>
      <c r="R167" s="26">
        <v>1</v>
      </c>
      <c r="S167" s="26">
        <v>0</v>
      </c>
      <c r="T167" s="26">
        <v>0</v>
      </c>
      <c r="U167" s="28">
        <v>1.6</v>
      </c>
    </row>
    <row r="168" spans="1:21" x14ac:dyDescent="0.3">
      <c r="A168" s="25">
        <v>167</v>
      </c>
      <c r="B168" s="26">
        <v>461</v>
      </c>
      <c r="C168" s="27" t="s">
        <v>571</v>
      </c>
      <c r="D168" s="26" t="s">
        <v>572</v>
      </c>
      <c r="E168" s="23" t="s">
        <v>572</v>
      </c>
      <c r="F168" s="26" t="str">
        <f>VLOOKUP(Table36[[#This Row],[Picture_no]], [3]ENGLISH.txt!$1:$1048576, 2, 0)</f>
        <v>gun</v>
      </c>
      <c r="G168" s="22" t="s">
        <v>1045</v>
      </c>
      <c r="H168" s="26" t="s">
        <v>933</v>
      </c>
      <c r="I168" s="26">
        <f>LEN(Table36[[#This Row],[Spanish]])</f>
        <v>7</v>
      </c>
      <c r="J168" s="26">
        <f>VLOOKUP(Table36[[#This Row],[Spanish]], [1]Sheet1!$1:$1048576, 4, 0)</f>
        <v>7</v>
      </c>
      <c r="K168" s="26">
        <f>VLOOKUP(Table36[[#This Row],[Spanish]], [1]Sheet1!$1:$1048576, 5, 9)</f>
        <v>3</v>
      </c>
      <c r="L168" s="28">
        <f>VLOOKUP(Table36[[#This Row],[Spanish]], [2]Sheet1!$1:$1048576, 2, 0)</f>
        <v>13.217553000000001</v>
      </c>
      <c r="M168" s="28">
        <f>VLOOKUP(Table36[[#This Row],[Spanish]], [2]Sheet1!$1:$1048576, 3, 0)</f>
        <v>1.152825</v>
      </c>
      <c r="N168" s="28">
        <f>VLOOKUP(Table36[[#This Row],[Spanish]], [2]Sheet1!$1:$1048576, 6, 0)</f>
        <v>6.0110000000000001</v>
      </c>
      <c r="O168" s="28">
        <v>0.14257333</v>
      </c>
      <c r="P168" s="28">
        <v>97.979797980000001</v>
      </c>
      <c r="Q168" s="26">
        <v>99</v>
      </c>
      <c r="R168" s="26">
        <v>2</v>
      </c>
      <c r="S168" s="26">
        <v>0</v>
      </c>
      <c r="T168" s="26">
        <v>1</v>
      </c>
      <c r="U168" s="28">
        <v>2.06</v>
      </c>
    </row>
    <row r="169" spans="1:21" x14ac:dyDescent="0.3">
      <c r="A169" s="25">
        <v>168</v>
      </c>
      <c r="B169" s="26">
        <v>462</v>
      </c>
      <c r="C169" s="27" t="s">
        <v>573</v>
      </c>
      <c r="D169" s="26" t="s">
        <v>574</v>
      </c>
      <c r="E169" s="23" t="s">
        <v>1315</v>
      </c>
      <c r="F169" s="26" t="str">
        <f>VLOOKUP(Table36[[#This Row],[Picture_no]], [3]ENGLISH.txt!$1:$1048576, 2, 0)</f>
        <v>fly</v>
      </c>
      <c r="G169" s="22" t="s">
        <v>1046</v>
      </c>
      <c r="H169" s="26" t="s">
        <v>929</v>
      </c>
      <c r="I169" s="26">
        <f>LEN(Table36[[#This Row],[Spanish]])</f>
        <v>5</v>
      </c>
      <c r="J169" s="26">
        <f>VLOOKUP(Table36[[#This Row],[Spanish]], [1]Sheet1!$1:$1048576, 4, 0)</f>
        <v>5</v>
      </c>
      <c r="K169" s="26">
        <f>VLOOKUP(Table36[[#This Row],[Spanish]], [1]Sheet1!$1:$1048576, 5, 9)</f>
        <v>3</v>
      </c>
      <c r="L169" s="28">
        <f>VLOOKUP(Table36[[#This Row],[Spanish]], [2]Sheet1!$1:$1048576, 2, 0)</f>
        <v>8.4867869999999996</v>
      </c>
      <c r="M169" s="28" t="str">
        <f>VLOOKUP(Table36[[#This Row],[Spanish]], [2]Sheet1!$1:$1048576, 3, 0)</f>
        <v>0.977119</v>
      </c>
      <c r="N169" s="28">
        <f>VLOOKUP(Table36[[#This Row],[Spanish]], [2]Sheet1!$1:$1048576, 6, 0)</f>
        <v>6.5019999999999998</v>
      </c>
      <c r="O169" s="28">
        <v>0.195909271</v>
      </c>
      <c r="P169" s="28">
        <v>96.969696970000001</v>
      </c>
      <c r="Q169" s="26">
        <v>99</v>
      </c>
      <c r="R169" s="26">
        <v>2</v>
      </c>
      <c r="S169" s="26">
        <v>0</v>
      </c>
      <c r="T169" s="26">
        <v>1</v>
      </c>
      <c r="U169" s="28">
        <v>3.05</v>
      </c>
    </row>
    <row r="170" spans="1:21" x14ac:dyDescent="0.3">
      <c r="A170" s="25">
        <v>169</v>
      </c>
      <c r="B170" s="26">
        <v>464</v>
      </c>
      <c r="C170" s="27" t="s">
        <v>575</v>
      </c>
      <c r="D170" s="26" t="s">
        <v>576</v>
      </c>
      <c r="E170" s="23" t="s">
        <v>1316</v>
      </c>
      <c r="F170" s="26" t="str">
        <f>VLOOKUP(Table36[[#This Row],[Picture_no]], [3]ENGLISH.txt!$1:$1048576, 2, 0)</f>
        <v>rubber</v>
      </c>
      <c r="G170" s="22" t="s">
        <v>1317</v>
      </c>
      <c r="H170" s="26" t="s">
        <v>933</v>
      </c>
      <c r="I170" s="26">
        <f>LEN(Table36[[#This Row],[Spanish]])</f>
        <v>4</v>
      </c>
      <c r="J170" s="26">
        <f>VLOOKUP(Table36[[#This Row],[Spanish]], [1]Sheet1!$1:$1048576, 4, 0)</f>
        <v>4</v>
      </c>
      <c r="K170" s="26">
        <f>VLOOKUP(Table36[[#This Row],[Spanish]], [1]Sheet1!$1:$1048576, 5, 9)</f>
        <v>2</v>
      </c>
      <c r="L170" s="28">
        <f>VLOOKUP(Table36[[#This Row],[Spanish]], [2]Sheet1!$1:$1048576, 2, 0)</f>
        <v>6.4040800000000004</v>
      </c>
      <c r="M170" s="28">
        <f>VLOOKUP(Table36[[#This Row],[Spanish]], [2]Sheet1!$1:$1048576, 3, 0)</f>
        <v>0.86947099999999999</v>
      </c>
      <c r="N170" s="28">
        <f>VLOOKUP(Table36[[#This Row],[Spanish]], [2]Sheet1!$1:$1048576, 6, 0)</f>
        <v>6.1639999999999997</v>
      </c>
      <c r="O170" s="29">
        <v>0</v>
      </c>
      <c r="P170" s="29">
        <v>100</v>
      </c>
      <c r="Q170" s="26">
        <v>96</v>
      </c>
      <c r="R170" s="26">
        <v>1</v>
      </c>
      <c r="S170" s="26">
        <v>3</v>
      </c>
      <c r="T170" s="26">
        <v>1</v>
      </c>
      <c r="U170" s="28">
        <v>1.83</v>
      </c>
    </row>
    <row r="171" spans="1:21" x14ac:dyDescent="0.3">
      <c r="A171" s="25">
        <v>170</v>
      </c>
      <c r="B171" s="26">
        <v>465</v>
      </c>
      <c r="C171" s="27" t="s">
        <v>577</v>
      </c>
      <c r="D171" s="26" t="s">
        <v>578</v>
      </c>
      <c r="E171" s="23" t="s">
        <v>1318</v>
      </c>
      <c r="F171" s="26" t="str">
        <f>VLOOKUP(Table36[[#This Row],[Picture_no]], [3]ENGLISH.txt!$1:$1048576, 2, 0)</f>
        <v>knife</v>
      </c>
      <c r="G171" s="22" t="s">
        <v>1047</v>
      </c>
      <c r="H171" s="26" t="s">
        <v>933</v>
      </c>
      <c r="I171" s="26">
        <f>LEN(Table36[[#This Row],[Spanish]])</f>
        <v>6</v>
      </c>
      <c r="J171" s="26">
        <f>VLOOKUP(Table36[[#This Row],[Spanish]], [1]Sheet1!$1:$1048576, 4, 0)</f>
        <v>6</v>
      </c>
      <c r="K171" s="26">
        <f>VLOOKUP(Table36[[#This Row],[Spanish]], [1]Sheet1!$1:$1048576, 5, 9)</f>
        <v>3</v>
      </c>
      <c r="L171" s="28">
        <f>VLOOKUP(Table36[[#This Row],[Spanish]], [2]Sheet1!$1:$1048576, 2, 0)</f>
        <v>4.0192019999999999</v>
      </c>
      <c r="M171" s="28" t="str">
        <f>VLOOKUP(Table36[[#This Row],[Spanish]], [2]Sheet1!$1:$1048576, 3, 0)</f>
        <v>0.700635</v>
      </c>
      <c r="N171" s="28">
        <f>VLOOKUP(Table36[[#This Row],[Spanish]], [2]Sheet1!$1:$1048576, 6, 0)</f>
        <v>6.6150000000000002</v>
      </c>
      <c r="O171" s="28">
        <v>0.405020133</v>
      </c>
      <c r="P171" s="28">
        <v>91.919191920000003</v>
      </c>
      <c r="Q171" s="26">
        <v>99</v>
      </c>
      <c r="R171" s="26">
        <v>2</v>
      </c>
      <c r="S171" s="26">
        <v>1</v>
      </c>
      <c r="T171" s="26">
        <v>0</v>
      </c>
      <c r="U171" s="28">
        <v>2.02</v>
      </c>
    </row>
    <row r="172" spans="1:21" x14ac:dyDescent="0.3">
      <c r="A172" s="25">
        <v>171</v>
      </c>
      <c r="B172" s="26">
        <v>466</v>
      </c>
      <c r="C172" s="27" t="s">
        <v>579</v>
      </c>
      <c r="D172" s="26" t="s">
        <v>580</v>
      </c>
      <c r="E172" s="23" t="s">
        <v>1319</v>
      </c>
      <c r="F172" s="26" t="str">
        <f>VLOOKUP(Table36[[#This Row],[Picture_no]], [3]ENGLISH.txt!$1:$1048576, 2, 0)</f>
        <v>judge</v>
      </c>
      <c r="G172" s="22" t="s">
        <v>1320</v>
      </c>
      <c r="H172" s="26" t="s">
        <v>943</v>
      </c>
      <c r="I172" s="26">
        <f>LEN(Table36[[#This Row],[Spanish]])</f>
        <v>4</v>
      </c>
      <c r="J172" s="26">
        <f>VLOOKUP(Table36[[#This Row],[Spanish]], [1]Sheet1!$1:$1048576, 4, 0)</f>
        <v>4</v>
      </c>
      <c r="K172" s="26">
        <f>VLOOKUP(Table36[[#This Row],[Spanish]], [1]Sheet1!$1:$1048576, 5, 9)</f>
        <v>3</v>
      </c>
      <c r="L172" s="28">
        <f>VLOOKUP(Table36[[#This Row],[Spanish]], [2]Sheet1!$1:$1048576, 2, 0)</f>
        <v>82.119084999999998</v>
      </c>
      <c r="M172" s="28">
        <f>VLOOKUP(Table36[[#This Row],[Spanish]], [2]Sheet1!$1:$1048576, 3, 0)</f>
        <v>1.9197010000000001</v>
      </c>
      <c r="N172" s="28">
        <f>VLOOKUP(Table36[[#This Row],[Spanish]], [2]Sheet1!$1:$1048576, 6, 0)</f>
        <v>5.9630000000000001</v>
      </c>
      <c r="O172" s="29">
        <v>0</v>
      </c>
      <c r="P172" s="29">
        <v>100</v>
      </c>
      <c r="Q172" s="26">
        <v>99</v>
      </c>
      <c r="R172" s="26">
        <v>1</v>
      </c>
      <c r="S172" s="26">
        <v>0</v>
      </c>
      <c r="T172" s="26">
        <v>1</v>
      </c>
      <c r="U172" s="28">
        <v>2.93</v>
      </c>
    </row>
    <row r="173" spans="1:21" x14ac:dyDescent="0.3">
      <c r="A173" s="25">
        <v>172</v>
      </c>
      <c r="B173" s="26">
        <v>467</v>
      </c>
      <c r="C173" s="27" t="s">
        <v>581</v>
      </c>
      <c r="D173" s="26" t="s">
        <v>582</v>
      </c>
      <c r="E173" s="23" t="s">
        <v>1321</v>
      </c>
      <c r="F173" s="26" t="str">
        <f>VLOOKUP(Table36[[#This Row],[Picture_no]], [3]ENGLISH.txt!$1:$1048576, 2, 0)</f>
        <v>peg</v>
      </c>
      <c r="G173" s="22" t="s">
        <v>1048</v>
      </c>
      <c r="H173" s="26" t="s">
        <v>933</v>
      </c>
      <c r="I173" s="26">
        <f>LEN(Table36[[#This Row],[Spanish]])</f>
        <v>5</v>
      </c>
      <c r="J173" s="26">
        <f>VLOOKUP(Table36[[#This Row],[Spanish]], [1]Sheet1!$1:$1048576, 4, 0)</f>
        <v>5</v>
      </c>
      <c r="K173" s="26">
        <f>VLOOKUP(Table36[[#This Row],[Spanish]], [1]Sheet1!$1:$1048576, 5, 9)</f>
        <v>3</v>
      </c>
      <c r="L173" s="28">
        <f>VLOOKUP(Table36[[#This Row],[Spanish]], [2]Sheet1!$1:$1048576, 2, 0)</f>
        <v>1.0234829999999999</v>
      </c>
      <c r="M173" s="28" t="str">
        <f>VLOOKUP(Table36[[#This Row],[Spanish]], [2]Sheet1!$1:$1048576, 3, 0)</f>
        <v>0.306100</v>
      </c>
      <c r="N173" s="28">
        <f>VLOOKUP(Table36[[#This Row],[Spanish]], [2]Sheet1!$1:$1048576, 6, 0)</f>
        <v>0</v>
      </c>
      <c r="O173" s="29">
        <v>0</v>
      </c>
      <c r="P173" s="29">
        <v>100</v>
      </c>
      <c r="Q173" s="26">
        <v>100</v>
      </c>
      <c r="R173" s="26">
        <v>1</v>
      </c>
      <c r="S173" s="26">
        <v>0</v>
      </c>
      <c r="T173" s="26">
        <v>0</v>
      </c>
      <c r="U173" s="28">
        <v>1.7</v>
      </c>
    </row>
    <row r="174" spans="1:21" x14ac:dyDescent="0.3">
      <c r="A174" s="25">
        <v>173</v>
      </c>
      <c r="B174" s="26">
        <v>473</v>
      </c>
      <c r="C174" s="27" t="s">
        <v>585</v>
      </c>
      <c r="D174" s="26" t="s">
        <v>586</v>
      </c>
      <c r="E174" s="23" t="s">
        <v>1322</v>
      </c>
      <c r="F174" s="26" t="str">
        <f>VLOOKUP(Table36[[#This Row],[Picture_no]], [3]ENGLISH.txt!$1:$1048576, 2, 0)</f>
        <v>arm</v>
      </c>
      <c r="G174" s="22" t="s">
        <v>1049</v>
      </c>
      <c r="H174" s="26" t="s">
        <v>930</v>
      </c>
      <c r="I174" s="26">
        <f>LEN(Table36[[#This Row],[Spanish]])</f>
        <v>5</v>
      </c>
      <c r="J174" s="26">
        <f>VLOOKUP(Table36[[#This Row],[Spanish]], [1]Sheet1!$1:$1048576, 4, 0)</f>
        <v>5</v>
      </c>
      <c r="K174" s="26">
        <f>VLOOKUP(Table36[[#This Row],[Spanish]], [1]Sheet1!$1:$1048576, 5, 9)</f>
        <v>2</v>
      </c>
      <c r="L174" s="28">
        <f>VLOOKUP(Table36[[#This Row],[Spanish]], [2]Sheet1!$1:$1048576, 2, 0)</f>
        <v>48.779528999999997</v>
      </c>
      <c r="M174" s="28">
        <f>VLOOKUP(Table36[[#This Row],[Spanish]], [2]Sheet1!$1:$1048576, 3, 0)</f>
        <v>1.6970510000000001</v>
      </c>
      <c r="N174" s="28">
        <f>VLOOKUP(Table36[[#This Row],[Spanish]], [2]Sheet1!$1:$1048576, 6, 0)</f>
        <v>6.0860000000000003</v>
      </c>
      <c r="O174" s="29">
        <v>0</v>
      </c>
      <c r="P174" s="29">
        <v>100</v>
      </c>
      <c r="Q174" s="26">
        <v>99</v>
      </c>
      <c r="R174" s="26">
        <v>1</v>
      </c>
      <c r="S174" s="26">
        <v>0</v>
      </c>
      <c r="T174" s="26">
        <v>1</v>
      </c>
      <c r="U174" s="28">
        <v>1.63</v>
      </c>
    </row>
    <row r="175" spans="1:21" x14ac:dyDescent="0.3">
      <c r="A175" s="25">
        <v>174</v>
      </c>
      <c r="B175" s="26">
        <v>479</v>
      </c>
      <c r="C175" s="27" t="s">
        <v>591</v>
      </c>
      <c r="D175" s="30" t="s">
        <v>592</v>
      </c>
      <c r="E175" s="23" t="s">
        <v>1323</v>
      </c>
      <c r="F175" s="30" t="str">
        <f>VLOOKUP(Table36[[#This Row],[Picture_no]], [3]ENGLISH.txt!$1:$1048576, 2, 0)</f>
        <v>kangaroo</v>
      </c>
      <c r="G175" s="22" t="s">
        <v>1464</v>
      </c>
      <c r="H175" s="26" t="s">
        <v>929</v>
      </c>
      <c r="I175" s="26">
        <f>LEN(Table36[[#This Row],[Spanish]])</f>
        <v>7</v>
      </c>
      <c r="J175" s="26">
        <f>VLOOKUP(Table36[[#This Row],[Spanish]], [1]Sheet1!$1:$1048576, 4, 0)</f>
        <v>7</v>
      </c>
      <c r="K175" s="26">
        <f>VLOOKUP(Table36[[#This Row],[Spanish]], [1]Sheet1!$1:$1048576, 5, 9)</f>
        <v>2</v>
      </c>
      <c r="L175" s="28">
        <f>VLOOKUP(Table36[[#This Row],[Spanish]], [2]Sheet1!$1:$1048576, 2, 0)</f>
        <v>0.98124400000000001</v>
      </c>
      <c r="M175" s="28" t="str">
        <f>VLOOKUP(Table36[[#This Row],[Spanish]], [2]Sheet1!$1:$1048576, 3, 0)</f>
        <v>0.296938</v>
      </c>
      <c r="N175" s="28">
        <f>VLOOKUP(Table36[[#This Row],[Spanish]], [2]Sheet1!$1:$1048576, 6, 0)</f>
        <v>0</v>
      </c>
      <c r="O175" s="29">
        <v>0</v>
      </c>
      <c r="P175" s="29">
        <v>100</v>
      </c>
      <c r="Q175" s="26">
        <v>99</v>
      </c>
      <c r="R175" s="26">
        <v>1</v>
      </c>
      <c r="S175" s="26">
        <v>1</v>
      </c>
      <c r="T175" s="26">
        <v>0</v>
      </c>
      <c r="U175" s="28">
        <v>2.5299999999999998</v>
      </c>
    </row>
    <row r="176" spans="1:21" x14ac:dyDescent="0.3">
      <c r="A176" s="25">
        <v>175</v>
      </c>
      <c r="B176" s="26">
        <v>480</v>
      </c>
      <c r="C176" s="27" t="s">
        <v>593</v>
      </c>
      <c r="D176" s="30" t="s">
        <v>594</v>
      </c>
      <c r="E176" s="23" t="s">
        <v>1324</v>
      </c>
      <c r="F176" s="30" t="str">
        <f>VLOOKUP(Table36[[#This Row],[Picture_no]], [3]ENGLISH.txt!$1:$1048576, 2, 0)</f>
        <v>rose</v>
      </c>
      <c r="G176" s="22" t="s">
        <v>1050</v>
      </c>
      <c r="H176" s="26" t="s">
        <v>935</v>
      </c>
      <c r="I176" s="26">
        <f>LEN(Table36[[#This Row],[Spanish]])</f>
        <v>4</v>
      </c>
      <c r="J176" s="26">
        <f>VLOOKUP(Table36[[#This Row],[Spanish]], [1]Sheet1!$1:$1048576, 4, 0)</f>
        <v>4</v>
      </c>
      <c r="K176" s="26">
        <v>2</v>
      </c>
      <c r="L176" s="28">
        <f>VLOOKUP(Table36[[#This Row],[Spanish]], [2]Sheet1!$1:$1048576, 2, 0)</f>
        <v>59.885133000000003</v>
      </c>
      <c r="M176" s="28">
        <f>VLOOKUP(Table36[[#This Row],[Spanish]], [2]Sheet1!$1:$1048576, 3, 0)</f>
        <v>1.784511</v>
      </c>
      <c r="N176" s="28">
        <f>VLOOKUP(Table36[[#This Row],[Spanish]], [2]Sheet1!$1:$1048576, 6, 0)</f>
        <v>0</v>
      </c>
      <c r="O176" s="28">
        <v>0.24229218899999999</v>
      </c>
      <c r="P176" s="29">
        <v>96</v>
      </c>
      <c r="Q176" s="26">
        <v>100</v>
      </c>
      <c r="R176" s="26">
        <v>2</v>
      </c>
      <c r="S176" s="26">
        <v>0</v>
      </c>
      <c r="T176" s="26">
        <v>0</v>
      </c>
      <c r="U176" s="28">
        <v>2.44</v>
      </c>
    </row>
    <row r="177" spans="1:21" x14ac:dyDescent="0.3">
      <c r="A177" s="25">
        <v>176</v>
      </c>
      <c r="B177" s="26">
        <v>485</v>
      </c>
      <c r="C177" s="27" t="s">
        <v>599</v>
      </c>
      <c r="D177" s="26" t="s">
        <v>600</v>
      </c>
      <c r="E177" s="23" t="s">
        <v>1325</v>
      </c>
      <c r="F177" s="26" t="str">
        <f>VLOOKUP(Table36[[#This Row],[Picture_no]], [3]ENGLISH.txt!$1:$1048576, 2, 0)</f>
        <v>nail</v>
      </c>
      <c r="G177" s="22" t="s">
        <v>1051</v>
      </c>
      <c r="H177" s="26" t="s">
        <v>933</v>
      </c>
      <c r="I177" s="26">
        <f>LEN(Table36[[#This Row],[Spanish]])</f>
        <v>5</v>
      </c>
      <c r="J177" s="26">
        <f>VLOOKUP(Table36[[#This Row],[Spanish]], [1]Sheet1!$1:$1048576, 4, 0)</f>
        <v>5</v>
      </c>
      <c r="K177" s="26">
        <f>VLOOKUP(Table36[[#This Row],[Spanish]], [1]Sheet1!$1:$1048576, 5, 9)</f>
        <v>3</v>
      </c>
      <c r="L177" s="28">
        <f>VLOOKUP(Table36[[#This Row],[Spanish]], [2]Sheet1!$1:$1048576, 2, 0)</f>
        <v>6.2351239999999999</v>
      </c>
      <c r="M177" s="28" t="str">
        <f>VLOOKUP(Table36[[#This Row],[Spanish]], [2]Sheet1!$1:$1048576, 3, 0)</f>
        <v>0.859446</v>
      </c>
      <c r="N177" s="28">
        <f>VLOOKUP(Table36[[#This Row],[Spanish]], [2]Sheet1!$1:$1048576, 6, 0)</f>
        <v>5.8319999999999999</v>
      </c>
      <c r="O177" s="28">
        <v>0.48582821300000001</v>
      </c>
      <c r="P177" s="28">
        <v>91.919191920000003</v>
      </c>
      <c r="Q177" s="26">
        <v>99</v>
      </c>
      <c r="R177" s="26">
        <v>3</v>
      </c>
      <c r="S177" s="26">
        <v>1</v>
      </c>
      <c r="T177" s="26">
        <v>0</v>
      </c>
      <c r="U177" s="28">
        <v>1.57</v>
      </c>
    </row>
    <row r="178" spans="1:21" x14ac:dyDescent="0.3">
      <c r="A178" s="25">
        <v>177</v>
      </c>
      <c r="B178" s="26">
        <v>487</v>
      </c>
      <c r="C178" s="27" t="s">
        <v>601</v>
      </c>
      <c r="D178" s="26" t="s">
        <v>602</v>
      </c>
      <c r="E178" s="23" t="s">
        <v>1326</v>
      </c>
      <c r="F178" s="26" t="str">
        <f>VLOOKUP(Table36[[#This Row],[Picture_no]], [3]ENGLISH.txt!$1:$1048576, 2, 0)</f>
        <v>basket</v>
      </c>
      <c r="G178" s="22" t="s">
        <v>1327</v>
      </c>
      <c r="H178" s="26" t="s">
        <v>933</v>
      </c>
      <c r="I178" s="26">
        <f>LEN(Table36[[#This Row],[Spanish]])</f>
        <v>5</v>
      </c>
      <c r="J178" s="26">
        <f>VLOOKUP(Table36[[#This Row],[Spanish]], [1]Sheet1!$1:$1048576, 4, 0)</f>
        <v>5</v>
      </c>
      <c r="K178" s="26">
        <f>VLOOKUP(Table36[[#This Row],[Spanish]], [1]Sheet1!$1:$1048576, 5, 9)</f>
        <v>2</v>
      </c>
      <c r="L178" s="28">
        <f>VLOOKUP(Table36[[#This Row],[Spanish]], [2]Sheet1!$1:$1048576, 2, 0)</f>
        <v>4.0549429999999997</v>
      </c>
      <c r="M178" s="28">
        <f>VLOOKUP(Table36[[#This Row],[Spanish]], [2]Sheet1!$1:$1048576, 3, 0)</f>
        <v>0.70371600000000001</v>
      </c>
      <c r="N178" s="28">
        <f>VLOOKUP(Table36[[#This Row],[Spanish]], [2]Sheet1!$1:$1048576, 6, 0)</f>
        <v>6.0570000000000004</v>
      </c>
      <c r="O178" s="29">
        <v>0</v>
      </c>
      <c r="P178" s="29">
        <v>100</v>
      </c>
      <c r="Q178" s="26">
        <v>98</v>
      </c>
      <c r="R178" s="26">
        <v>1</v>
      </c>
      <c r="S178" s="26">
        <v>1</v>
      </c>
      <c r="T178" s="26">
        <v>1</v>
      </c>
      <c r="U178" s="28">
        <v>2.5299999999999998</v>
      </c>
    </row>
    <row r="179" spans="1:21" x14ac:dyDescent="0.3">
      <c r="A179" s="25">
        <v>178</v>
      </c>
      <c r="B179" s="26">
        <v>489</v>
      </c>
      <c r="C179" s="27" t="s">
        <v>605</v>
      </c>
      <c r="D179" s="30" t="s">
        <v>606</v>
      </c>
      <c r="E179" s="23" t="s">
        <v>1328</v>
      </c>
      <c r="F179" s="30" t="str">
        <f>VLOOKUP(Table36[[#This Row],[Picture_no]], [3]ENGLISH.txt!$1:$1048576, 2, 0)</f>
        <v>pizza</v>
      </c>
      <c r="G179" s="22" t="s">
        <v>1329</v>
      </c>
      <c r="H179" s="26" t="s">
        <v>934</v>
      </c>
      <c r="I179" s="26">
        <f>LEN(Table36[[#This Row],[Spanish]])</f>
        <v>5</v>
      </c>
      <c r="J179" s="26">
        <f>VLOOKUP(Table36[[#This Row],[Spanish]], [1]Sheet1!$1:$1048576, 4, 0)</f>
        <v>5</v>
      </c>
      <c r="K179" s="26">
        <f>VLOOKUP(Table36[[#This Row],[Spanish]], [1]Sheet1!$1:$1048576, 5, 9)</f>
        <v>3</v>
      </c>
      <c r="L179" s="28">
        <f>VLOOKUP(Table36[[#This Row],[Spanish]], [2]Sheet1!$1:$1048576, 2, 0)</f>
        <v>2.1931780000000001</v>
      </c>
      <c r="M179" s="28" t="str">
        <f>VLOOKUP(Table36[[#This Row],[Spanish]], [2]Sheet1!$1:$1048576, 3, 0)</f>
        <v>0.504223</v>
      </c>
      <c r="N179" s="28">
        <f>VLOOKUP(Table36[[#This Row],[Spanish]], [2]Sheet1!$1:$1048576, 6, 0)</f>
        <v>0</v>
      </c>
      <c r="O179" s="29">
        <v>0</v>
      </c>
      <c r="P179" s="29">
        <v>100</v>
      </c>
      <c r="Q179" s="26">
        <v>100</v>
      </c>
      <c r="R179" s="26">
        <v>1</v>
      </c>
      <c r="S179" s="26">
        <v>0</v>
      </c>
      <c r="T179" s="26">
        <v>0</v>
      </c>
      <c r="U179" s="28">
        <v>2.4300000000000002</v>
      </c>
    </row>
    <row r="180" spans="1:21" x14ac:dyDescent="0.3">
      <c r="A180" s="25">
        <v>179</v>
      </c>
      <c r="B180" s="26">
        <v>494</v>
      </c>
      <c r="C180" s="27" t="s">
        <v>609</v>
      </c>
      <c r="D180" s="26" t="s">
        <v>610</v>
      </c>
      <c r="E180" s="23" t="s">
        <v>1330</v>
      </c>
      <c r="F180" s="26" t="str">
        <f>VLOOKUP(Table36[[#This Row],[Picture_no]], [3]ENGLISH.txt!$1:$1048576, 2, 0)</f>
        <v>moustache</v>
      </c>
      <c r="G180" s="22" t="s">
        <v>1331</v>
      </c>
      <c r="H180" s="26" t="s">
        <v>930</v>
      </c>
      <c r="I180" s="26">
        <f>LEN(Table36[[#This Row],[Spanish]])</f>
        <v>6</v>
      </c>
      <c r="J180" s="26">
        <f>VLOOKUP(Table36[[#This Row],[Spanish]], [1]Sheet1!$1:$1048576, 4, 0)</f>
        <v>6</v>
      </c>
      <c r="K180" s="26">
        <f>VLOOKUP(Table36[[#This Row],[Spanish]], [1]Sheet1!$1:$1048576, 5, 9)</f>
        <v>2</v>
      </c>
      <c r="L180" s="28">
        <f>VLOOKUP(Table36[[#This Row],[Spanish]], [2]Sheet1!$1:$1048576, 2, 0)</f>
        <v>3.924976</v>
      </c>
      <c r="M180" s="28" t="str">
        <f>VLOOKUP(Table36[[#This Row],[Spanish]], [2]Sheet1!$1:$1048576, 3, 0)</f>
        <v>0.692404</v>
      </c>
      <c r="N180" s="28">
        <f>VLOOKUP(Table36[[#This Row],[Spanish]], [2]Sheet1!$1:$1048576, 6, 0)</f>
        <v>6.5039999999999996</v>
      </c>
      <c r="O180" s="29">
        <v>0</v>
      </c>
      <c r="P180" s="29">
        <v>100</v>
      </c>
      <c r="Q180" s="26">
        <v>99</v>
      </c>
      <c r="R180" s="26">
        <v>1</v>
      </c>
      <c r="S180" s="26">
        <v>0</v>
      </c>
      <c r="T180" s="26">
        <v>1</v>
      </c>
      <c r="U180" s="28">
        <v>2.41</v>
      </c>
    </row>
    <row r="181" spans="1:21" x14ac:dyDescent="0.3">
      <c r="A181" s="25">
        <v>180</v>
      </c>
      <c r="B181" s="26">
        <v>495</v>
      </c>
      <c r="C181" s="27" t="s">
        <v>611</v>
      </c>
      <c r="D181" s="26" t="s">
        <v>612</v>
      </c>
      <c r="E181" s="23" t="s">
        <v>1332</v>
      </c>
      <c r="F181" s="26" t="str">
        <f>VLOOKUP(Table36[[#This Row],[Picture_no]], [3]ENGLISH.txt!$1:$1048576, 2, 0)</f>
        <v>harbour</v>
      </c>
      <c r="G181" s="22" t="s">
        <v>1333</v>
      </c>
      <c r="H181" s="26" t="s">
        <v>932</v>
      </c>
      <c r="I181" s="26">
        <f>LEN(Table36[[#This Row],[Spanish]])</f>
        <v>6</v>
      </c>
      <c r="J181" s="26">
        <f>VLOOKUP(Table36[[#This Row],[Spanish]], [1]Sheet1!$1:$1048576, 4, 0)</f>
        <v>6</v>
      </c>
      <c r="K181" s="26">
        <f>VLOOKUP(Table36[[#This Row],[Spanish]], [1]Sheet1!$1:$1048576, 5, 9)</f>
        <v>3</v>
      </c>
      <c r="L181" s="28">
        <f>VLOOKUP(Table36[[#This Row],[Spanish]], [2]Sheet1!$1:$1048576, 2, 0)</f>
        <v>115.299432</v>
      </c>
      <c r="M181" s="28">
        <f>VLOOKUP(Table36[[#This Row],[Spanish]], [2]Sheet1!$1:$1048576, 3, 0)</f>
        <v>2.0655779999999999</v>
      </c>
      <c r="N181" s="28">
        <f>VLOOKUP(Table36[[#This Row],[Spanish]], [2]Sheet1!$1:$1048576, 6, 0)</f>
        <v>6.1260000000000003</v>
      </c>
      <c r="O181" s="28">
        <v>0.195909271</v>
      </c>
      <c r="P181" s="28">
        <v>96.969696970000001</v>
      </c>
      <c r="Q181" s="26">
        <v>99</v>
      </c>
      <c r="R181" s="26">
        <v>2</v>
      </c>
      <c r="S181" s="26">
        <v>0</v>
      </c>
      <c r="T181" s="26">
        <v>1</v>
      </c>
      <c r="U181" s="28">
        <v>3.59</v>
      </c>
    </row>
    <row r="182" spans="1:21" x14ac:dyDescent="0.3">
      <c r="A182" s="25">
        <v>181</v>
      </c>
      <c r="B182" s="26">
        <v>496</v>
      </c>
      <c r="C182" s="27" t="s">
        <v>613</v>
      </c>
      <c r="D182" s="30" t="s">
        <v>614</v>
      </c>
      <c r="E182" s="23" t="s">
        <v>1334</v>
      </c>
      <c r="F182" s="30" t="str">
        <f>VLOOKUP(Table36[[#This Row],[Picture_no]], [3]ENGLISH.txt!$1:$1048576, 2, 0)</f>
        <v>circle</v>
      </c>
      <c r="G182" s="22" t="s">
        <v>1335</v>
      </c>
      <c r="H182" s="26" t="s">
        <v>941</v>
      </c>
      <c r="I182" s="26">
        <f>LEN(Table36[[#This Row],[Spanish]])</f>
        <v>7</v>
      </c>
      <c r="J182" s="26">
        <f>VLOOKUP(Table36[[#This Row],[Spanish]], [1]Sheet1!$1:$1048576, 4, 0)</f>
        <v>7</v>
      </c>
      <c r="K182" s="26">
        <f>VLOOKUP(Table36[[#This Row],[Spanish]], [1]Sheet1!$1:$1048576, 5, 9)</f>
        <v>2</v>
      </c>
      <c r="L182" s="28">
        <f>VLOOKUP(Table36[[#This Row],[Spanish]], [2]Sheet1!$1:$1048576, 2, 0)</f>
        <v>40.903582999999998</v>
      </c>
      <c r="M182" s="28">
        <f>VLOOKUP(Table36[[#This Row],[Spanish]], [2]Sheet1!$1:$1048576, 3, 0)</f>
        <v>1.6222510000000001</v>
      </c>
      <c r="N182" s="28">
        <f>VLOOKUP(Table36[[#This Row],[Spanish]], [2]Sheet1!$1:$1048576, 6, 0)</f>
        <v>5.5010000000000003</v>
      </c>
      <c r="O182" s="28">
        <v>0.33476761300000002</v>
      </c>
      <c r="P182" s="28">
        <v>93.81443299</v>
      </c>
      <c r="Q182" s="26">
        <v>97</v>
      </c>
      <c r="R182" s="26">
        <v>2</v>
      </c>
      <c r="S182" s="26">
        <v>0</v>
      </c>
      <c r="T182" s="26">
        <v>3</v>
      </c>
      <c r="U182" s="28">
        <v>1.1200000000000001</v>
      </c>
    </row>
    <row r="183" spans="1:21" x14ac:dyDescent="0.3">
      <c r="A183" s="25">
        <v>182</v>
      </c>
      <c r="B183" s="26">
        <v>497</v>
      </c>
      <c r="C183" s="27" t="s">
        <v>615</v>
      </c>
      <c r="D183" s="26" t="s">
        <v>616</v>
      </c>
      <c r="E183" s="23" t="s">
        <v>1465</v>
      </c>
      <c r="F183" s="26" t="str">
        <f>VLOOKUP(Table36[[#This Row],[Picture_no]], [3]ENGLISH.txt!$1:$1048576, 2, 0)</f>
        <v>coffin</v>
      </c>
      <c r="G183" s="22" t="s">
        <v>1336</v>
      </c>
      <c r="H183" s="26" t="s">
        <v>933</v>
      </c>
      <c r="I183" s="26">
        <f>LEN(Table36[[#This Row],[Spanish]])</f>
        <v>5</v>
      </c>
      <c r="J183" s="26">
        <f>VLOOKUP(Table36[[#This Row],[Spanish]], [1]Sheet1!$1:$1048576, 4, 0)</f>
        <v>5</v>
      </c>
      <c r="K183" s="26">
        <f>VLOOKUP(Table36[[#This Row],[Spanish]], [1]Sheet1!$1:$1048576, 5, 9)</f>
        <v>2</v>
      </c>
      <c r="L183" s="28">
        <f>VLOOKUP(Table36[[#This Row],[Spanish]], [2]Sheet1!$1:$1048576, 2, 0)</f>
        <v>3.6942870000000001</v>
      </c>
      <c r="M183" s="28" t="str">
        <f>VLOOKUP(Table36[[#This Row],[Spanish]], [2]Sheet1!$1:$1048576, 3, 0)</f>
        <v>0.671570</v>
      </c>
      <c r="N183" s="28">
        <f>VLOOKUP(Table36[[#This Row],[Spanish]], [2]Sheet1!$1:$1048576, 6, 0)</f>
        <v>5.3810000000000002</v>
      </c>
      <c r="O183" s="28">
        <v>0.51275311099999998</v>
      </c>
      <c r="P183" s="28">
        <v>90.816326529999998</v>
      </c>
      <c r="Q183" s="26">
        <v>98</v>
      </c>
      <c r="R183" s="26">
        <v>3</v>
      </c>
      <c r="S183" s="26">
        <v>1</v>
      </c>
      <c r="T183" s="26">
        <v>1</v>
      </c>
      <c r="U183" s="28">
        <v>2.0099999999999998</v>
      </c>
    </row>
    <row r="184" spans="1:21" x14ac:dyDescent="0.3">
      <c r="A184" s="25">
        <v>183</v>
      </c>
      <c r="B184" s="26">
        <v>498</v>
      </c>
      <c r="C184" s="27" t="s">
        <v>617</v>
      </c>
      <c r="D184" s="26" t="s">
        <v>618</v>
      </c>
      <c r="E184" s="23" t="s">
        <v>1337</v>
      </c>
      <c r="F184" s="26" t="str">
        <f>VLOOKUP(Table36[[#This Row],[Picture_no]], [3]ENGLISH.txt!$1:$1048576, 2, 0)</f>
        <v>mug</v>
      </c>
      <c r="G184" s="22" t="s">
        <v>1052</v>
      </c>
      <c r="H184" s="26" t="s">
        <v>933</v>
      </c>
      <c r="I184" s="26">
        <f>LEN(Table36[[#This Row],[Spanish]])</f>
        <v>4</v>
      </c>
      <c r="J184" s="26">
        <f>VLOOKUP(Table36[[#This Row],[Spanish]], [1]Sheet1!$1:$1048576, 4, 0)</f>
        <v>4</v>
      </c>
      <c r="K184" s="26">
        <v>2</v>
      </c>
      <c r="L184" s="28">
        <f>VLOOKUP(Table36[[#This Row],[Spanish]], [2]Sheet1!$1:$1048576, 2, 0)</f>
        <v>6.1733900000000004</v>
      </c>
      <c r="M184" s="28">
        <f>VLOOKUP(Table36[[#This Row],[Spanish]], [2]Sheet1!$1:$1048576, 3, 0)</f>
        <v>0.85572400000000004</v>
      </c>
      <c r="N184" s="28">
        <f>VLOOKUP(Table36[[#This Row],[Spanish]], [2]Sheet1!$1:$1048576, 6, 0)</f>
        <v>5.3410000000000002</v>
      </c>
      <c r="O184" s="29">
        <v>0</v>
      </c>
      <c r="P184" s="29">
        <v>100</v>
      </c>
      <c r="Q184" s="26">
        <v>99</v>
      </c>
      <c r="R184" s="26">
        <v>1</v>
      </c>
      <c r="S184" s="26">
        <v>0</v>
      </c>
      <c r="T184" s="26">
        <v>1</v>
      </c>
      <c r="U184" s="28">
        <v>1.52</v>
      </c>
    </row>
    <row r="185" spans="1:21" x14ac:dyDescent="0.3">
      <c r="A185" s="25">
        <v>184</v>
      </c>
      <c r="B185" s="26">
        <v>499</v>
      </c>
      <c r="C185" s="27" t="s">
        <v>619</v>
      </c>
      <c r="D185" s="26" t="s">
        <v>620</v>
      </c>
      <c r="E185" s="23" t="s">
        <v>1338</v>
      </c>
      <c r="F185" s="26" t="str">
        <f>VLOOKUP(Table36[[#This Row],[Picture_no]], [3]ENGLISH.txt!$1:$1048576, 2, 0)</f>
        <v>boy</v>
      </c>
      <c r="G185" s="22" t="s">
        <v>1053</v>
      </c>
      <c r="H185" s="26" t="s">
        <v>931</v>
      </c>
      <c r="I185" s="26">
        <f>LEN(Table36[[#This Row],[Spanish]])</f>
        <v>4</v>
      </c>
      <c r="J185" s="26">
        <f>VLOOKUP(Table36[[#This Row],[Spanish]], [1]Sheet1!$1:$1048576, 4, 0)</f>
        <v>4</v>
      </c>
      <c r="K185" s="26">
        <f>VLOOKUP(Table36[[#This Row],[Spanish]], [1]Sheet1!$1:$1048576, 5, 9)</f>
        <v>3</v>
      </c>
      <c r="L185" s="28">
        <f>VLOOKUP(Table36[[#This Row],[Spanish]], [2]Sheet1!$1:$1048576, 2, 0)</f>
        <v>100.070654</v>
      </c>
      <c r="M185" s="28">
        <f>VLOOKUP(Table36[[#This Row],[Spanish]], [2]Sheet1!$1:$1048576, 3, 0)</f>
        <v>2.0046249999999999</v>
      </c>
      <c r="N185" s="28">
        <f>VLOOKUP(Table36[[#This Row],[Spanish]], [2]Sheet1!$1:$1048576, 6, 0)</f>
        <v>6.39</v>
      </c>
      <c r="O185" s="29">
        <v>0</v>
      </c>
      <c r="P185" s="29">
        <v>100</v>
      </c>
      <c r="Q185" s="26">
        <v>100</v>
      </c>
      <c r="R185" s="26">
        <v>1</v>
      </c>
      <c r="S185" s="26">
        <v>0</v>
      </c>
      <c r="T185" s="26">
        <v>0</v>
      </c>
      <c r="U185" s="28">
        <v>2.4700000000000002</v>
      </c>
    </row>
    <row r="186" spans="1:21" x14ac:dyDescent="0.3">
      <c r="A186" s="25">
        <v>185</v>
      </c>
      <c r="B186" s="26">
        <v>501</v>
      </c>
      <c r="C186" s="27" t="s">
        <v>623</v>
      </c>
      <c r="D186" s="26" t="s">
        <v>624</v>
      </c>
      <c r="E186" s="23" t="s">
        <v>1339</v>
      </c>
      <c r="F186" s="26" t="str">
        <f>VLOOKUP(Table36[[#This Row],[Picture_no]], [3]ENGLISH.txt!$1:$1048576, 2, 0)</f>
        <v>shield</v>
      </c>
      <c r="G186" s="22" t="s">
        <v>1054</v>
      </c>
      <c r="H186" s="26" t="s">
        <v>933</v>
      </c>
      <c r="I186" s="26">
        <f>LEN(Table36[[#This Row],[Spanish]])</f>
        <v>6</v>
      </c>
      <c r="J186" s="26">
        <f>VLOOKUP(Table36[[#This Row],[Spanish]], [1]Sheet1!$1:$1048576, 4, 0)</f>
        <v>6</v>
      </c>
      <c r="K186" s="26">
        <f>VLOOKUP(Table36[[#This Row],[Spanish]], [1]Sheet1!$1:$1048576, 5, 9)</f>
        <v>3</v>
      </c>
      <c r="L186" s="28">
        <f>VLOOKUP(Table36[[#This Row],[Spanish]], [2]Sheet1!$1:$1048576, 2, 0)</f>
        <v>43.769336000000003</v>
      </c>
      <c r="M186" s="28">
        <f>VLOOKUP(Table36[[#This Row],[Spanish]], [2]Sheet1!$1:$1048576, 3, 0)</f>
        <v>1.650981</v>
      </c>
      <c r="N186" s="28">
        <f>VLOOKUP(Table36[[#This Row],[Spanish]], [2]Sheet1!$1:$1048576, 6, 0)</f>
        <v>5.117</v>
      </c>
      <c r="O186" s="28">
        <v>0.141440543</v>
      </c>
      <c r="P186" s="29">
        <v>98</v>
      </c>
      <c r="Q186" s="26">
        <v>100</v>
      </c>
      <c r="R186" s="26">
        <v>2</v>
      </c>
      <c r="S186" s="26">
        <v>0</v>
      </c>
      <c r="T186" s="26">
        <v>0</v>
      </c>
      <c r="U186" s="28">
        <v>2.29</v>
      </c>
    </row>
    <row r="187" spans="1:21" x14ac:dyDescent="0.3">
      <c r="A187" s="25">
        <v>186</v>
      </c>
      <c r="B187" s="26">
        <v>502</v>
      </c>
      <c r="C187" s="27" t="s">
        <v>625</v>
      </c>
      <c r="D187" s="26" t="s">
        <v>626</v>
      </c>
      <c r="E187" s="23" t="s">
        <v>1340</v>
      </c>
      <c r="F187" s="26" t="str">
        <f>VLOOKUP(Table36[[#This Row],[Picture_no]], [3]ENGLISH.txt!$1:$1048576, 2, 0)</f>
        <v>farmer</v>
      </c>
      <c r="G187" s="22" t="s">
        <v>1341</v>
      </c>
      <c r="H187" s="26" t="s">
        <v>943</v>
      </c>
      <c r="I187" s="26">
        <f>LEN(Table36[[#This Row],[Spanish]])</f>
        <v>6</v>
      </c>
      <c r="J187" s="26">
        <f>VLOOKUP(Table36[[#This Row],[Spanish]], [1]Sheet1!$1:$1048576, 4, 0)</f>
        <v>6</v>
      </c>
      <c r="K187" s="26">
        <f>VLOOKUP(Table36[[#This Row],[Spanish]], [1]Sheet1!$1:$1048576, 5, 9)</f>
        <v>3</v>
      </c>
      <c r="L187" s="28">
        <f>VLOOKUP(Table36[[#This Row],[Spanish]], [2]Sheet1!$1:$1048576, 2, 0)</f>
        <v>23.286677000000001</v>
      </c>
      <c r="M187" s="28">
        <f>VLOOKUP(Table36[[#This Row],[Spanish]], [2]Sheet1!$1:$1048576, 3, 0)</f>
        <v>1.3853679999999999</v>
      </c>
      <c r="N187" s="28">
        <f>VLOOKUP(Table36[[#This Row],[Spanish]], [2]Sheet1!$1:$1048576, 6, 0)</f>
        <v>5.6479999999999997</v>
      </c>
      <c r="O187" s="28">
        <v>0.14372616999999999</v>
      </c>
      <c r="P187" s="28">
        <v>97.959183670000002</v>
      </c>
      <c r="Q187" s="26">
        <v>98</v>
      </c>
      <c r="R187" s="26">
        <v>2</v>
      </c>
      <c r="S187" s="26">
        <v>1</v>
      </c>
      <c r="T187" s="26">
        <v>1</v>
      </c>
      <c r="U187" s="28">
        <v>2.99</v>
      </c>
    </row>
    <row r="188" spans="1:21" x14ac:dyDescent="0.3">
      <c r="A188" s="25">
        <v>187</v>
      </c>
      <c r="B188" s="26">
        <v>503</v>
      </c>
      <c r="C188" s="27" t="s">
        <v>627</v>
      </c>
      <c r="D188" s="26" t="s">
        <v>628</v>
      </c>
      <c r="E188" s="23" t="s">
        <v>1342</v>
      </c>
      <c r="F188" s="26" t="str">
        <f>VLOOKUP(Table36[[#This Row],[Picture_no]], [3]ENGLISH.txt!$1:$1048576, 2, 0)</f>
        <v>tongue</v>
      </c>
      <c r="G188" s="22" t="s">
        <v>1055</v>
      </c>
      <c r="H188" s="26" t="s">
        <v>930</v>
      </c>
      <c r="I188" s="26">
        <f>LEN(Table36[[#This Row],[Spanish]])</f>
        <v>6</v>
      </c>
      <c r="J188" s="26">
        <f>VLOOKUP(Table36[[#This Row],[Spanish]], [1]Sheet1!$1:$1048576, 4, 0)</f>
        <v>6</v>
      </c>
      <c r="K188" s="26">
        <f>VLOOKUP(Table36[[#This Row],[Spanish]], [1]Sheet1!$1:$1048576, 5, 9)</f>
        <v>2</v>
      </c>
      <c r="L188" s="28">
        <f>VLOOKUP(Table36[[#This Row],[Spanish]], [2]Sheet1!$1:$1048576, 2, 0)</f>
        <v>119.43885299999999</v>
      </c>
      <c r="M188" s="28">
        <f>VLOOKUP(Table36[[#This Row],[Spanish]], [2]Sheet1!$1:$1048576, 3, 0)</f>
        <v>2.0807669999999998</v>
      </c>
      <c r="N188" s="28">
        <f>VLOOKUP(Table36[[#This Row],[Spanish]], [2]Sheet1!$1:$1048576, 6, 0)</f>
        <v>6.4059999999999997</v>
      </c>
      <c r="O188" s="29">
        <v>0</v>
      </c>
      <c r="P188" s="29">
        <v>100</v>
      </c>
      <c r="Q188" s="26">
        <v>99</v>
      </c>
      <c r="R188" s="26">
        <v>1</v>
      </c>
      <c r="S188" s="26">
        <v>0</v>
      </c>
      <c r="T188" s="26">
        <v>1</v>
      </c>
      <c r="U188" s="28">
        <v>1.59</v>
      </c>
    </row>
    <row r="189" spans="1:21" x14ac:dyDescent="0.3">
      <c r="A189" s="25">
        <v>188</v>
      </c>
      <c r="B189" s="26">
        <v>504</v>
      </c>
      <c r="C189" s="27" t="s">
        <v>629</v>
      </c>
      <c r="D189" s="26" t="s">
        <v>630</v>
      </c>
      <c r="E189" s="23" t="s">
        <v>1343</v>
      </c>
      <c r="F189" s="26" t="str">
        <f>VLOOKUP(Table36[[#This Row],[Picture_no]], [3]ENGLISH.txt!$1:$1048576, 2, 0)</f>
        <v>wheel</v>
      </c>
      <c r="G189" s="22" t="s">
        <v>1056</v>
      </c>
      <c r="H189" s="26" t="s">
        <v>933</v>
      </c>
      <c r="I189" s="26">
        <f>LEN(Table36[[#This Row],[Spanish]])</f>
        <v>5</v>
      </c>
      <c r="J189" s="26">
        <f>VLOOKUP(Table36[[#This Row],[Spanish]], [1]Sheet1!$1:$1048576, 4, 0)</f>
        <v>5</v>
      </c>
      <c r="K189" s="26">
        <v>2</v>
      </c>
      <c r="L189" s="28">
        <f>VLOOKUP(Table36[[#This Row],[Spanish]], [2]Sheet1!$1:$1048576, 2, 0)</f>
        <v>4.1686629999999996</v>
      </c>
      <c r="M189" s="28" t="str">
        <f>VLOOKUP(Table36[[#This Row],[Spanish]], [2]Sheet1!$1:$1048576, 3, 0)</f>
        <v>0.713378</v>
      </c>
      <c r="N189" s="28">
        <f>VLOOKUP(Table36[[#This Row],[Spanish]], [2]Sheet1!$1:$1048576, 6, 0)</f>
        <v>5.9329999999999998</v>
      </c>
      <c r="O189" s="28">
        <v>0.30217361799999998</v>
      </c>
      <c r="P189" s="28">
        <v>94.623655909999997</v>
      </c>
      <c r="Q189" s="26">
        <v>93</v>
      </c>
      <c r="R189" s="26">
        <v>2</v>
      </c>
      <c r="S189" s="26">
        <v>5</v>
      </c>
      <c r="T189" s="26">
        <v>2</v>
      </c>
      <c r="U189" s="28">
        <v>1.99</v>
      </c>
    </row>
    <row r="190" spans="1:21" x14ac:dyDescent="0.3">
      <c r="A190" s="25">
        <v>189</v>
      </c>
      <c r="B190" s="26">
        <v>505</v>
      </c>
      <c r="C190" s="27" t="s">
        <v>631</v>
      </c>
      <c r="D190" s="26" t="s">
        <v>632</v>
      </c>
      <c r="E190" s="23" t="s">
        <v>1344</v>
      </c>
      <c r="F190" s="26" t="str">
        <f>VLOOKUP(Table36[[#This Row],[Picture_no]], [3]ENGLISH.txt!$1:$1048576, 2, 0)</f>
        <v>book</v>
      </c>
      <c r="G190" s="22" t="s">
        <v>1057</v>
      </c>
      <c r="H190" s="26" t="s">
        <v>933</v>
      </c>
      <c r="I190" s="26">
        <f>LEN(Table36[[#This Row],[Spanish]])</f>
        <v>5</v>
      </c>
      <c r="J190" s="26">
        <f>VLOOKUP(Table36[[#This Row],[Spanish]], [1]Sheet1!$1:$1048576, 4, 0)</f>
        <v>5</v>
      </c>
      <c r="K190" s="26">
        <f>VLOOKUP(Table36[[#This Row],[Spanish]], [1]Sheet1!$1:$1048576, 5, 9)</f>
        <v>2</v>
      </c>
      <c r="L190" s="28">
        <f>VLOOKUP(Table36[[#This Row],[Spanish]], [2]Sheet1!$1:$1048576, 2, 0)</f>
        <v>210.866761</v>
      </c>
      <c r="M190" s="28">
        <f>VLOOKUP(Table36[[#This Row],[Spanish]], [2]Sheet1!$1:$1048576, 3, 0)</f>
        <v>2.326063</v>
      </c>
      <c r="N190" s="28">
        <f>VLOOKUP(Table36[[#This Row],[Spanish]], [2]Sheet1!$1:$1048576, 6, 0)</f>
        <v>6.2610000000000001</v>
      </c>
      <c r="O190" s="28">
        <v>0.28853851400000002</v>
      </c>
      <c r="P190" s="28">
        <v>94.949494950000002</v>
      </c>
      <c r="Q190" s="26">
        <v>99</v>
      </c>
      <c r="R190" s="26">
        <v>2</v>
      </c>
      <c r="S190" s="26">
        <v>0</v>
      </c>
      <c r="T190" s="26">
        <v>1</v>
      </c>
      <c r="U190" s="28">
        <v>2</v>
      </c>
    </row>
    <row r="191" spans="1:21" x14ac:dyDescent="0.3">
      <c r="A191" s="25">
        <v>190</v>
      </c>
      <c r="B191" s="26">
        <v>507</v>
      </c>
      <c r="C191" s="27" t="s">
        <v>633</v>
      </c>
      <c r="D191" s="30" t="s">
        <v>634</v>
      </c>
      <c r="E191" s="23" t="s">
        <v>1345</v>
      </c>
      <c r="F191" s="30" t="str">
        <f>VLOOKUP(Table36[[#This Row],[Picture_no]], [3]ENGLISH.txt!$1:$1048576, 2, 0)</f>
        <v>baby</v>
      </c>
      <c r="G191" s="22" t="s">
        <v>1346</v>
      </c>
      <c r="H191" s="26" t="s">
        <v>931</v>
      </c>
      <c r="I191" s="26">
        <f>LEN(Table36[[#This Row],[Spanish]])</f>
        <v>4</v>
      </c>
      <c r="J191" s="26">
        <f>VLOOKUP(Table36[[#This Row],[Spanish]], [1]Sheet1!$1:$1048576, 4, 0)</f>
        <v>4</v>
      </c>
      <c r="K191" s="26">
        <f>VLOOKUP(Table36[[#This Row],[Spanish]], [1]Sheet1!$1:$1048576, 5, 9)</f>
        <v>2</v>
      </c>
      <c r="L191" s="28">
        <f>VLOOKUP(Table36[[#This Row],[Spanish]], [2]Sheet1!$1:$1048576, 2, 0)</f>
        <v>13.243546</v>
      </c>
      <c r="M191" s="28">
        <f>VLOOKUP(Table36[[#This Row],[Spanish]], [2]Sheet1!$1:$1048576, 3, 0)</f>
        <v>1.153618</v>
      </c>
      <c r="N191" s="28">
        <f>VLOOKUP(Table36[[#This Row],[Spanish]], [2]Sheet1!$1:$1048576, 6, 0)</f>
        <v>6.8</v>
      </c>
      <c r="O191" s="28">
        <v>0.28639695700000001</v>
      </c>
      <c r="P191" s="29">
        <v>95</v>
      </c>
      <c r="Q191" s="26">
        <v>100</v>
      </c>
      <c r="R191" s="26">
        <v>2</v>
      </c>
      <c r="S191" s="26">
        <v>0</v>
      </c>
      <c r="T191" s="26">
        <v>0</v>
      </c>
      <c r="U191" s="28">
        <v>2.57</v>
      </c>
    </row>
    <row r="192" spans="1:21" x14ac:dyDescent="0.3">
      <c r="A192" s="25">
        <v>191</v>
      </c>
      <c r="B192" s="26">
        <v>508</v>
      </c>
      <c r="C192" s="27" t="s">
        <v>635</v>
      </c>
      <c r="D192" s="26" t="s">
        <v>636</v>
      </c>
      <c r="E192" s="23" t="s">
        <v>1347</v>
      </c>
      <c r="F192" s="26" t="str">
        <f>VLOOKUP(Table36[[#This Row],[Picture_no]], [3]ENGLISH.txt!$1:$1048576, 2, 0)</f>
        <v>box</v>
      </c>
      <c r="G192" s="22" t="s">
        <v>1058</v>
      </c>
      <c r="H192" s="26" t="s">
        <v>933</v>
      </c>
      <c r="I192" s="26">
        <f>LEN(Table36[[#This Row],[Spanish]])</f>
        <v>4</v>
      </c>
      <c r="J192" s="26">
        <f>VLOOKUP(Table36[[#This Row],[Spanish]], [1]Sheet1!$1:$1048576, 4, 0)</f>
        <v>4</v>
      </c>
      <c r="K192" s="26">
        <f>VLOOKUP(Table36[[#This Row],[Spanish]], [1]Sheet1!$1:$1048576, 5, 9)</f>
        <v>2</v>
      </c>
      <c r="L192" s="28">
        <f>VLOOKUP(Table36[[#This Row],[Spanish]], [2]Sheet1!$1:$1048576, 2, 0)</f>
        <v>51.499070000000003</v>
      </c>
      <c r="M192" s="28">
        <f>VLOOKUP(Table36[[#This Row],[Spanish]], [2]Sheet1!$1:$1048576, 3, 0)</f>
        <v>1.7201519999999999</v>
      </c>
      <c r="N192" s="28">
        <f>VLOOKUP(Table36[[#This Row],[Spanish]], [2]Sheet1!$1:$1048576, 6, 0)</f>
        <v>6.2320000000000002</v>
      </c>
      <c r="O192" s="29">
        <v>0</v>
      </c>
      <c r="P192" s="29">
        <v>100</v>
      </c>
      <c r="Q192" s="26">
        <v>100</v>
      </c>
      <c r="R192" s="26">
        <v>1</v>
      </c>
      <c r="S192" s="26">
        <v>0</v>
      </c>
      <c r="T192" s="26">
        <v>0</v>
      </c>
      <c r="U192" s="28">
        <v>1.56</v>
      </c>
    </row>
    <row r="193" spans="1:21" x14ac:dyDescent="0.3">
      <c r="A193" s="25">
        <v>192</v>
      </c>
      <c r="B193" s="26">
        <v>511</v>
      </c>
      <c r="C193" s="27" t="s">
        <v>639</v>
      </c>
      <c r="D193" s="26" t="s">
        <v>640</v>
      </c>
      <c r="E193" s="23" t="s">
        <v>1348</v>
      </c>
      <c r="F193" s="26" t="s">
        <v>1100</v>
      </c>
      <c r="G193" s="22" t="s">
        <v>1101</v>
      </c>
      <c r="H193" s="26" t="s">
        <v>934</v>
      </c>
      <c r="I193" s="26">
        <f>LEN(Table36[[#This Row],[Spanish]])</f>
        <v>5</v>
      </c>
      <c r="J193" s="26">
        <f>VLOOKUP(Table36[[#This Row],[Spanish]], [1]Sheet1!$1:$1048576, 4, 0)</f>
        <v>5</v>
      </c>
      <c r="K193" s="26">
        <f>VLOOKUP(Table36[[#This Row],[Spanish]], [1]Sheet1!$1:$1048576, 5, 9)</f>
        <v>2</v>
      </c>
      <c r="L193" s="28">
        <f>VLOOKUP(Table36[[#This Row],[Spanish]], [2]Sheet1!$1:$1048576, 2, 0)</f>
        <v>4.2141510000000002</v>
      </c>
      <c r="M193" s="28" t="str">
        <f>VLOOKUP(Table36[[#This Row],[Spanish]], [2]Sheet1!$1:$1048576, 3, 0)</f>
        <v>0.717184</v>
      </c>
      <c r="N193" s="28">
        <f>VLOOKUP(Table36[[#This Row],[Spanish]], [2]Sheet1!$1:$1048576, 6, 0)</f>
        <v>6.125</v>
      </c>
      <c r="O193" s="28">
        <v>0.14257333</v>
      </c>
      <c r="P193" s="28">
        <v>97.979797980000001</v>
      </c>
      <c r="Q193" s="26">
        <v>99</v>
      </c>
      <c r="R193" s="26">
        <v>2</v>
      </c>
      <c r="S193" s="26">
        <v>0</v>
      </c>
      <c r="T193" s="26">
        <v>1</v>
      </c>
      <c r="U193" s="28">
        <v>2.4900000000000002</v>
      </c>
    </row>
    <row r="194" spans="1:21" x14ac:dyDescent="0.3">
      <c r="A194" s="25">
        <v>193</v>
      </c>
      <c r="B194" s="26">
        <v>513</v>
      </c>
      <c r="C194" s="27" t="s">
        <v>643</v>
      </c>
      <c r="D194" s="26" t="s">
        <v>644</v>
      </c>
      <c r="E194" s="23" t="s">
        <v>1349</v>
      </c>
      <c r="F194" s="26" t="str">
        <f>VLOOKUP(Table36[[#This Row],[Picture_no]], [3]ENGLISH.txt!$1:$1048576, 2, 0)</f>
        <v>lips</v>
      </c>
      <c r="G194" s="22" t="s">
        <v>1059</v>
      </c>
      <c r="H194" s="26" t="s">
        <v>930</v>
      </c>
      <c r="I194" s="26">
        <f>LEN(Table36[[#This Row],[Spanish]])</f>
        <v>6</v>
      </c>
      <c r="J194" s="26">
        <f>VLOOKUP(Table36[[#This Row],[Spanish]], [1]Sheet1!$1:$1048576, 4, 0)</f>
        <v>6</v>
      </c>
      <c r="K194" s="26">
        <f>VLOOKUP(Table36[[#This Row],[Spanish]], [1]Sheet1!$1:$1048576, 5, 9)</f>
        <v>3</v>
      </c>
      <c r="L194" s="28">
        <f>VLOOKUP(Table36[[#This Row],[Spanish]], [2]Sheet1!$1:$1048576, 2, 0)</f>
        <v>36.650441999999998</v>
      </c>
      <c r="M194" s="28">
        <f>VLOOKUP(Table36[[#This Row],[Spanish]], [2]Sheet1!$1:$1048576, 3, 0)</f>
        <v>1.5757699999999999</v>
      </c>
      <c r="N194" s="28">
        <f>VLOOKUP(Table36[[#This Row],[Spanish]], [2]Sheet1!$1:$1048576, 6, 0)</f>
        <v>0</v>
      </c>
      <c r="O194" s="28">
        <v>0.40217919000000002</v>
      </c>
      <c r="P194" s="29">
        <v>92</v>
      </c>
      <c r="Q194" s="26">
        <v>100</v>
      </c>
      <c r="R194" s="26">
        <v>2</v>
      </c>
      <c r="S194" s="26">
        <v>0</v>
      </c>
      <c r="T194" s="26">
        <v>0</v>
      </c>
      <c r="U194" s="28">
        <v>2.04</v>
      </c>
    </row>
    <row r="195" spans="1:21" x14ac:dyDescent="0.3">
      <c r="A195" s="25">
        <v>194</v>
      </c>
      <c r="B195" s="26">
        <v>517</v>
      </c>
      <c r="C195" s="27" t="s">
        <v>649</v>
      </c>
      <c r="D195" s="26" t="s">
        <v>650</v>
      </c>
      <c r="E195" s="23" t="s">
        <v>1350</v>
      </c>
      <c r="F195" s="26" t="str">
        <f>VLOOKUP(Table36[[#This Row],[Picture_no]], [3]ENGLISH.txt!$1:$1048576, 2, 0)</f>
        <v>rope</v>
      </c>
      <c r="G195" s="22" t="s">
        <v>1060</v>
      </c>
      <c r="H195" s="26" t="s">
        <v>933</v>
      </c>
      <c r="I195" s="26">
        <f>LEN(Table36[[#This Row],[Spanish]])</f>
        <v>6</v>
      </c>
      <c r="J195" s="26">
        <f>VLOOKUP(Table36[[#This Row],[Spanish]], [1]Sheet1!$1:$1048576, 4, 0)</f>
        <v>6</v>
      </c>
      <c r="K195" s="26">
        <f>VLOOKUP(Table36[[#This Row],[Spanish]], [1]Sheet1!$1:$1048576, 5, 9)</f>
        <v>3</v>
      </c>
      <c r="L195" s="28">
        <f>VLOOKUP(Table36[[#This Row],[Spanish]], [2]Sheet1!$1:$1048576, 2, 0)</f>
        <v>21.879794</v>
      </c>
      <c r="M195" s="28">
        <f>VLOOKUP(Table36[[#This Row],[Spanish]], [2]Sheet1!$1:$1048576, 3, 0)</f>
        <v>1.3594520000000001</v>
      </c>
      <c r="N195" s="28">
        <f>VLOOKUP(Table36[[#This Row],[Spanish]], [2]Sheet1!$1:$1048576, 6, 0)</f>
        <v>6.5469999999999997</v>
      </c>
      <c r="O195" s="28">
        <v>0.57421419200000001</v>
      </c>
      <c r="P195" s="29">
        <v>91</v>
      </c>
      <c r="Q195" s="26">
        <v>100</v>
      </c>
      <c r="R195" s="26">
        <v>4</v>
      </c>
      <c r="S195" s="26">
        <v>0</v>
      </c>
      <c r="T195" s="26">
        <v>0</v>
      </c>
      <c r="U195" s="28">
        <v>1.94</v>
      </c>
    </row>
    <row r="196" spans="1:21" x14ac:dyDescent="0.3">
      <c r="A196" s="25">
        <v>195</v>
      </c>
      <c r="B196" s="26">
        <v>518</v>
      </c>
      <c r="C196" s="27" t="s">
        <v>651</v>
      </c>
      <c r="D196" s="26" t="s">
        <v>652</v>
      </c>
      <c r="E196" s="23" t="s">
        <v>1351</v>
      </c>
      <c r="F196" s="26" t="str">
        <f>VLOOKUP(Table36[[#This Row],[Picture_no]], [3]ENGLISH.txt!$1:$1048576, 2, 0)</f>
        <v>glass</v>
      </c>
      <c r="G196" s="22" t="s">
        <v>988</v>
      </c>
      <c r="H196" s="26" t="s">
        <v>933</v>
      </c>
      <c r="I196" s="26">
        <f>LEN(Table36[[#This Row],[Spanish]])</f>
        <v>4</v>
      </c>
      <c r="J196" s="26">
        <f>VLOOKUP(Table36[[#This Row],[Spanish]], [1]Sheet1!$1:$1048576, 4, 0)</f>
        <v>4</v>
      </c>
      <c r="K196" s="26">
        <f>VLOOKUP(Table36[[#This Row],[Spanish]], [1]Sheet1!$1:$1048576, 5, 9)</f>
        <v>3</v>
      </c>
      <c r="L196" s="28">
        <f>VLOOKUP(Table36[[#This Row],[Spanish]], [2]Sheet1!$1:$1048576, 2, 0)</f>
        <v>117.71030399999999</v>
      </c>
      <c r="M196" s="28">
        <f>VLOOKUP(Table36[[#This Row],[Spanish]], [2]Sheet1!$1:$1048576, 3, 0)</f>
        <v>2.0744880000000001</v>
      </c>
      <c r="N196" s="28">
        <f>VLOOKUP(Table36[[#This Row],[Spanish]], [2]Sheet1!$1:$1048576, 6, 0)</f>
        <v>6.3879999999999999</v>
      </c>
      <c r="O196" s="28">
        <v>0.141440543</v>
      </c>
      <c r="P196" s="29">
        <v>98</v>
      </c>
      <c r="Q196" s="26">
        <v>100</v>
      </c>
      <c r="R196" s="26">
        <v>2</v>
      </c>
      <c r="S196" s="26">
        <v>0</v>
      </c>
      <c r="T196" s="26">
        <v>0</v>
      </c>
      <c r="U196" s="28">
        <v>1.64</v>
      </c>
    </row>
    <row r="197" spans="1:21" x14ac:dyDescent="0.3">
      <c r="A197" s="25">
        <v>196</v>
      </c>
      <c r="B197" s="26">
        <v>523</v>
      </c>
      <c r="C197" s="27" t="s">
        <v>659</v>
      </c>
      <c r="D197" s="26" t="s">
        <v>660</v>
      </c>
      <c r="E197" s="23" t="s">
        <v>1352</v>
      </c>
      <c r="F197" s="26" t="str">
        <f>VLOOKUP(Table36[[#This Row],[Picture_no]], [3]ENGLISH.txt!$1:$1048576, 2, 0)</f>
        <v>wire</v>
      </c>
      <c r="G197" s="22" t="s">
        <v>1353</v>
      </c>
      <c r="H197" s="26" t="s">
        <v>933</v>
      </c>
      <c r="I197" s="26">
        <f>LEN(Table36[[#This Row],[Spanish]])</f>
        <v>5</v>
      </c>
      <c r="J197" s="26">
        <f>VLOOKUP(Table36[[#This Row],[Spanish]], [1]Sheet1!$1:$1048576, 4, 0)</f>
        <v>5</v>
      </c>
      <c r="K197" s="26">
        <f>VLOOKUP(Table36[[#This Row],[Spanish]], [1]Sheet1!$1:$1048576, 5, 9)</f>
        <v>2</v>
      </c>
      <c r="L197" s="28">
        <f>VLOOKUP(Table36[[#This Row],[Spanish]], [2]Sheet1!$1:$1048576, 2, 0)</f>
        <v>16.567430000000002</v>
      </c>
      <c r="M197" s="28">
        <f>VLOOKUP(Table36[[#This Row],[Spanish]], [2]Sheet1!$1:$1048576, 3, 0)</f>
        <v>1.2447079999999999</v>
      </c>
      <c r="N197" s="28">
        <f>VLOOKUP(Table36[[#This Row],[Spanish]], [2]Sheet1!$1:$1048576, 6, 0)</f>
        <v>5.7119999999999997</v>
      </c>
      <c r="O197" s="29">
        <v>0</v>
      </c>
      <c r="P197" s="29">
        <v>100</v>
      </c>
      <c r="Q197" s="26">
        <v>100</v>
      </c>
      <c r="R197" s="26">
        <v>1</v>
      </c>
      <c r="S197" s="26">
        <v>0</v>
      </c>
      <c r="T197" s="26">
        <v>0</v>
      </c>
      <c r="U197" s="28">
        <v>2.02</v>
      </c>
    </row>
    <row r="198" spans="1:21" x14ac:dyDescent="0.3">
      <c r="A198" s="25">
        <v>197</v>
      </c>
      <c r="B198" s="26">
        <v>524</v>
      </c>
      <c r="C198" s="27" t="s">
        <v>661</v>
      </c>
      <c r="D198" s="30" t="s">
        <v>662</v>
      </c>
      <c r="E198" s="23" t="s">
        <v>1354</v>
      </c>
      <c r="F198" s="30" t="str">
        <f>VLOOKUP(Table36[[#This Row],[Picture_no]], [3]ENGLISH.txt!$1:$1048576, 2, 0)</f>
        <v>indian</v>
      </c>
      <c r="G198" s="22" t="s">
        <v>1355</v>
      </c>
      <c r="H198" s="26" t="s">
        <v>936</v>
      </c>
      <c r="I198" s="26">
        <f>LEN(Table36[[#This Row],[Spanish]])</f>
        <v>5</v>
      </c>
      <c r="J198" s="26">
        <f>VLOOKUP(Table36[[#This Row],[Spanish]], [1]Sheet1!$1:$1048576, 4, 0)</f>
        <v>5</v>
      </c>
      <c r="K198" s="26">
        <f>VLOOKUP(Table36[[#This Row],[Spanish]], [1]Sheet1!$1:$1048576, 5, 9)</f>
        <v>2</v>
      </c>
      <c r="L198" s="28">
        <f>VLOOKUP(Table36[[#This Row],[Spanish]], [2]Sheet1!$1:$1048576, 2, 0)</f>
        <v>20.407927999999998</v>
      </c>
      <c r="M198" s="28">
        <f>VLOOKUP(Table36[[#This Row],[Spanish]], [2]Sheet1!$1:$1048576, 3, 0)</f>
        <v>1.3305750000000001</v>
      </c>
      <c r="N198" s="28">
        <f>VLOOKUP(Table36[[#This Row],[Spanish]], [2]Sheet1!$1:$1048576, 6, 0)</f>
        <v>6.5940000000000003</v>
      </c>
      <c r="O198" s="28">
        <v>0.14489961800000001</v>
      </c>
      <c r="P198" s="28">
        <v>97.93814433</v>
      </c>
      <c r="Q198" s="26">
        <v>97</v>
      </c>
      <c r="R198" s="26">
        <v>2</v>
      </c>
      <c r="S198" s="26">
        <v>1</v>
      </c>
      <c r="T198" s="26">
        <v>2</v>
      </c>
      <c r="U198" s="28">
        <v>3.42</v>
      </c>
    </row>
    <row r="199" spans="1:21" x14ac:dyDescent="0.3">
      <c r="A199" s="25">
        <v>198</v>
      </c>
      <c r="B199" s="26">
        <v>528</v>
      </c>
      <c r="C199" s="27" t="s">
        <v>665</v>
      </c>
      <c r="D199" s="26" t="s">
        <v>666</v>
      </c>
      <c r="E199" s="23" t="s">
        <v>1356</v>
      </c>
      <c r="F199" s="26" t="str">
        <f>VLOOKUP(Table36[[#This Row],[Picture_no]], [3]ENGLISH.txt!$1:$1048576, 2, 0)</f>
        <v>swan</v>
      </c>
      <c r="G199" s="22" t="s">
        <v>1061</v>
      </c>
      <c r="H199" s="26" t="s">
        <v>929</v>
      </c>
      <c r="I199" s="26">
        <f>LEN(Table36[[#This Row],[Spanish]])</f>
        <v>5</v>
      </c>
      <c r="J199" s="26">
        <f>VLOOKUP(Table36[[#This Row],[Spanish]], [1]Sheet1!$1:$1048576, 4, 0)</f>
        <v>5</v>
      </c>
      <c r="K199" s="26">
        <f>VLOOKUP(Table36[[#This Row],[Spanish]], [1]Sheet1!$1:$1048576, 5, 9)</f>
        <v>2</v>
      </c>
      <c r="L199" s="28">
        <f>VLOOKUP(Table36[[#This Row],[Spanish]], [2]Sheet1!$1:$1048576, 2, 0)</f>
        <v>11.115351</v>
      </c>
      <c r="M199" s="28">
        <f>VLOOKUP(Table36[[#This Row],[Spanish]], [2]Sheet1!$1:$1048576, 3, 0)</f>
        <v>1.0833360000000001</v>
      </c>
      <c r="N199" s="28">
        <f>VLOOKUP(Table36[[#This Row],[Spanish]], [2]Sheet1!$1:$1048576, 6, 0)</f>
        <v>6.3330000000000002</v>
      </c>
      <c r="O199" s="29">
        <v>0</v>
      </c>
      <c r="P199" s="29">
        <v>100</v>
      </c>
      <c r="Q199" s="26">
        <v>99</v>
      </c>
      <c r="R199" s="26">
        <v>1</v>
      </c>
      <c r="S199" s="26">
        <v>0</v>
      </c>
      <c r="T199" s="26">
        <v>1</v>
      </c>
      <c r="U199" s="28">
        <v>2.63</v>
      </c>
    </row>
    <row r="200" spans="1:21" x14ac:dyDescent="0.3">
      <c r="A200" s="25">
        <v>199</v>
      </c>
      <c r="B200" s="26">
        <v>531</v>
      </c>
      <c r="C200" s="27" t="s">
        <v>667</v>
      </c>
      <c r="D200" s="26" t="s">
        <v>668</v>
      </c>
      <c r="E200" s="23" t="s">
        <v>1357</v>
      </c>
      <c r="F200" s="26" t="str">
        <f>VLOOKUP(Table36[[#This Row],[Picture_no]], [3]ENGLISH.txt!$1:$1048576, 2, 0)</f>
        <v>turtle</v>
      </c>
      <c r="G200" s="22" t="s">
        <v>1358</v>
      </c>
      <c r="H200" s="26" t="s">
        <v>929</v>
      </c>
      <c r="I200" s="26">
        <f>LEN(Table36[[#This Row],[Spanish]])</f>
        <v>7</v>
      </c>
      <c r="J200" s="26">
        <f>VLOOKUP(Table36[[#This Row],[Spanish]], [1]Sheet1!$1:$1048576, 4, 0)</f>
        <v>7</v>
      </c>
      <c r="K200" s="26">
        <v>3</v>
      </c>
      <c r="L200" s="28">
        <f>VLOOKUP(Table36[[#This Row],[Spanish]], [2]Sheet1!$1:$1048576, 2, 0)</f>
        <v>5.6340310000000002</v>
      </c>
      <c r="M200" s="28" t="str">
        <f>VLOOKUP(Table36[[#This Row],[Spanish]], [2]Sheet1!$1:$1048576, 3, 0)</f>
        <v>0.821777</v>
      </c>
      <c r="N200" s="28">
        <f>VLOOKUP(Table36[[#This Row],[Spanish]], [2]Sheet1!$1:$1048576, 6, 0)</f>
        <v>6.4180000000000001</v>
      </c>
      <c r="O200" s="29">
        <v>0</v>
      </c>
      <c r="P200" s="29">
        <v>100</v>
      </c>
      <c r="Q200" s="26">
        <v>99</v>
      </c>
      <c r="R200" s="26">
        <v>1</v>
      </c>
      <c r="S200" s="26">
        <v>0</v>
      </c>
      <c r="T200" s="26">
        <v>1</v>
      </c>
      <c r="U200" s="28">
        <v>3</v>
      </c>
    </row>
    <row r="201" spans="1:21" x14ac:dyDescent="0.3">
      <c r="A201" s="25">
        <v>200</v>
      </c>
      <c r="B201" s="26">
        <v>532</v>
      </c>
      <c r="C201" s="27" t="s">
        <v>669</v>
      </c>
      <c r="D201" s="26" t="s">
        <v>670</v>
      </c>
      <c r="E201" s="23" t="s">
        <v>1359</v>
      </c>
      <c r="F201" s="26" t="str">
        <f>VLOOKUP(Table36[[#This Row],[Picture_no]], [3]ENGLISH.txt!$1:$1048576, 2, 0)</f>
        <v>clown</v>
      </c>
      <c r="G201" s="22" t="s">
        <v>1062</v>
      </c>
      <c r="H201" s="26" t="s">
        <v>943</v>
      </c>
      <c r="I201" s="26">
        <f>LEN(Table36[[#This Row],[Spanish]])</f>
        <v>6</v>
      </c>
      <c r="J201" s="26">
        <f>VLOOKUP(Table36[[#This Row],[Spanish]], [1]Sheet1!$1:$1048576, 4, 0)</f>
        <v>6</v>
      </c>
      <c r="K201" s="26">
        <f>VLOOKUP(Table36[[#This Row],[Spanish]], [1]Sheet1!$1:$1048576, 5, 9)</f>
        <v>3</v>
      </c>
      <c r="L201" s="28">
        <f>VLOOKUP(Table36[[#This Row],[Spanish]], [2]Sheet1!$1:$1048576, 2, 0)</f>
        <v>3.814505</v>
      </c>
      <c r="M201" s="28" t="str">
        <f>VLOOKUP(Table36[[#This Row],[Spanish]], [2]Sheet1!$1:$1048576, 3, 0)</f>
        <v>0.682552</v>
      </c>
      <c r="N201" s="28">
        <f>VLOOKUP(Table36[[#This Row],[Spanish]], [2]Sheet1!$1:$1048576, 6, 0)</f>
        <v>6.3310000000000004</v>
      </c>
      <c r="O201" s="29">
        <v>0</v>
      </c>
      <c r="P201" s="29">
        <v>100</v>
      </c>
      <c r="Q201" s="26">
        <v>100</v>
      </c>
      <c r="R201" s="26">
        <v>1</v>
      </c>
      <c r="S201" s="26">
        <v>0</v>
      </c>
      <c r="T201" s="26">
        <v>0</v>
      </c>
      <c r="U201" s="28">
        <v>2.94</v>
      </c>
    </row>
    <row r="202" spans="1:21" x14ac:dyDescent="0.3">
      <c r="A202" s="25">
        <v>201</v>
      </c>
      <c r="B202" s="26">
        <v>533</v>
      </c>
      <c r="C202" s="27" t="s">
        <v>671</v>
      </c>
      <c r="D202" s="26" t="s">
        <v>672</v>
      </c>
      <c r="E202" s="23" t="s">
        <v>1466</v>
      </c>
      <c r="F202" s="26" t="str">
        <f>VLOOKUP(Table36[[#This Row],[Picture_no]], [3]ENGLISH.txt!$1:$1048576, 2, 0)</f>
        <v>shark</v>
      </c>
      <c r="G202" s="22" t="s">
        <v>1063</v>
      </c>
      <c r="H202" s="26" t="s">
        <v>929</v>
      </c>
      <c r="I202" s="26">
        <f>LEN(Table36[[#This Row],[Spanish]])</f>
        <v>7</v>
      </c>
      <c r="J202" s="26">
        <f>VLOOKUP(Table36[[#This Row],[Spanish]], [1]Sheet1!$1:$1048576, 4, 0)</f>
        <v>7</v>
      </c>
      <c r="K202" s="26">
        <v>3</v>
      </c>
      <c r="L202" s="28">
        <f>VLOOKUP(Table36[[#This Row],[Spanish]], [2]Sheet1!$1:$1048576, 2, 0)</f>
        <v>3.4083610000000002</v>
      </c>
      <c r="M202" s="28" t="str">
        <f>VLOOKUP(Table36[[#This Row],[Spanish]], [2]Sheet1!$1:$1048576, 3, 0)</f>
        <v>0.644277</v>
      </c>
      <c r="N202" s="28">
        <f>VLOOKUP(Table36[[#This Row],[Spanish]], [2]Sheet1!$1:$1048576, 6, 0)</f>
        <v>0</v>
      </c>
      <c r="O202" s="29">
        <v>0</v>
      </c>
      <c r="P202" s="29">
        <v>100</v>
      </c>
      <c r="Q202" s="26">
        <v>100</v>
      </c>
      <c r="R202" s="26">
        <v>1</v>
      </c>
      <c r="S202" s="26">
        <v>0</v>
      </c>
      <c r="T202" s="26">
        <v>0</v>
      </c>
      <c r="U202" s="28">
        <v>2.63</v>
      </c>
    </row>
    <row r="203" spans="1:21" x14ac:dyDescent="0.3">
      <c r="A203" s="25">
        <v>202</v>
      </c>
      <c r="B203" s="26">
        <v>535</v>
      </c>
      <c r="C203" s="27" t="s">
        <v>673</v>
      </c>
      <c r="D203" s="26" t="s">
        <v>674</v>
      </c>
      <c r="E203" s="23" t="s">
        <v>1360</v>
      </c>
      <c r="F203" s="26" t="str">
        <f>VLOOKUP(Table36[[#This Row],[Picture_no]], [3]ENGLISH.txt!$1:$1048576, 2, 0)</f>
        <v>truck</v>
      </c>
      <c r="G203" s="22" t="s">
        <v>1064</v>
      </c>
      <c r="H203" s="26" t="s">
        <v>938</v>
      </c>
      <c r="I203" s="26">
        <f>LEN(Table36[[#This Row],[Spanish]])</f>
        <v>6</v>
      </c>
      <c r="J203" s="26">
        <f>VLOOKUP(Table36[[#This Row],[Spanish]], [1]Sheet1!$1:$1048576, 4, 0)</f>
        <v>6</v>
      </c>
      <c r="K203" s="26">
        <f>VLOOKUP(Table36[[#This Row],[Spanish]], [1]Sheet1!$1:$1048576, 5, 9)</f>
        <v>2</v>
      </c>
      <c r="L203" s="28">
        <f>VLOOKUP(Table36[[#This Row],[Spanish]], [2]Sheet1!$1:$1048576, 2, 0)</f>
        <v>11.154341000000001</v>
      </c>
      <c r="M203" s="28">
        <f>VLOOKUP(Table36[[#This Row],[Spanish]], [2]Sheet1!$1:$1048576, 3, 0)</f>
        <v>1.0847309999999999</v>
      </c>
      <c r="N203" s="28">
        <f>VLOOKUP(Table36[[#This Row],[Spanish]], [2]Sheet1!$1:$1048576, 6, 0)</f>
        <v>6.548</v>
      </c>
      <c r="O203" s="28">
        <v>0.14257333</v>
      </c>
      <c r="P203" s="28">
        <v>97.979797980000001</v>
      </c>
      <c r="Q203" s="26">
        <v>99</v>
      </c>
      <c r="R203" s="26">
        <v>2</v>
      </c>
      <c r="S203" s="26">
        <v>0</v>
      </c>
      <c r="T203" s="26">
        <v>1</v>
      </c>
      <c r="U203" s="28">
        <v>2.75</v>
      </c>
    </row>
    <row r="204" spans="1:21" x14ac:dyDescent="0.3">
      <c r="A204" s="25">
        <v>203</v>
      </c>
      <c r="B204" s="26">
        <v>536</v>
      </c>
      <c r="C204" s="27" t="s">
        <v>675</v>
      </c>
      <c r="D204" s="26" t="s">
        <v>676</v>
      </c>
      <c r="E204" s="23" t="s">
        <v>1361</v>
      </c>
      <c r="F204" s="26" t="str">
        <f>VLOOKUP(Table36[[#This Row],[Picture_no]], [3]ENGLISH.txt!$1:$1048576, 2, 0)</f>
        <v>branch</v>
      </c>
      <c r="G204" s="22" t="s">
        <v>1065</v>
      </c>
      <c r="H204" s="26" t="s">
        <v>935</v>
      </c>
      <c r="I204" s="26">
        <f>LEN(Table36[[#This Row],[Spanish]])</f>
        <v>4</v>
      </c>
      <c r="J204" s="26">
        <f>VLOOKUP(Table36[[#This Row],[Spanish]], [1]Sheet1!$1:$1048576, 4, 0)</f>
        <v>4</v>
      </c>
      <c r="K204" s="26">
        <v>2</v>
      </c>
      <c r="L204" s="28">
        <f>VLOOKUP(Table36[[#This Row],[Spanish]], [2]Sheet1!$1:$1048576, 2, 0)</f>
        <v>28.105170999999999</v>
      </c>
      <c r="M204" s="28">
        <f>VLOOKUP(Table36[[#This Row],[Spanish]], [2]Sheet1!$1:$1048576, 3, 0)</f>
        <v>1.46397</v>
      </c>
      <c r="N204" s="28">
        <f>VLOOKUP(Table36[[#This Row],[Spanish]], [2]Sheet1!$1:$1048576, 6, 0)</f>
        <v>6.1139999999999999</v>
      </c>
      <c r="O204" s="28">
        <v>0.33494448700000001</v>
      </c>
      <c r="P204" s="29">
        <v>95</v>
      </c>
      <c r="Q204" s="26">
        <v>100</v>
      </c>
      <c r="R204" s="26">
        <v>3</v>
      </c>
      <c r="S204" s="26">
        <v>0</v>
      </c>
      <c r="T204" s="26">
        <v>0</v>
      </c>
      <c r="U204" s="28">
        <v>1.898989899</v>
      </c>
    </row>
    <row r="205" spans="1:21" x14ac:dyDescent="0.3">
      <c r="A205" s="25">
        <v>204</v>
      </c>
      <c r="B205" s="26">
        <v>540</v>
      </c>
      <c r="C205" s="27" t="s">
        <v>679</v>
      </c>
      <c r="D205" s="26" t="s">
        <v>680</v>
      </c>
      <c r="E205" s="23" t="s">
        <v>1362</v>
      </c>
      <c r="F205" s="26" t="str">
        <f>VLOOKUP(Table36[[#This Row],[Picture_no]], [3]ENGLISH.txt!$1:$1048576, 2, 0)</f>
        <v>lighthouse</v>
      </c>
      <c r="G205" s="22" t="s">
        <v>1363</v>
      </c>
      <c r="H205" s="26" t="s">
        <v>932</v>
      </c>
      <c r="I205" s="26">
        <f>LEN(Table36[[#This Row],[Spanish]])</f>
        <v>4</v>
      </c>
      <c r="J205" s="26">
        <f>VLOOKUP(Table36[[#This Row],[Spanish]], [1]Sheet1!$1:$1048576, 4, 0)</f>
        <v>4</v>
      </c>
      <c r="K205" s="26">
        <f>VLOOKUP(Table36[[#This Row],[Spanish]], [1]Sheet1!$1:$1048576, 5, 9)</f>
        <v>3</v>
      </c>
      <c r="L205" s="28">
        <f>VLOOKUP(Table36[[#This Row],[Spanish]], [2]Sheet1!$1:$1048576, 2, 0)</f>
        <v>7.8921919999999997</v>
      </c>
      <c r="M205" s="28" t="str">
        <f>VLOOKUP(Table36[[#This Row],[Spanish]], [2]Sheet1!$1:$1048576, 3, 0)</f>
        <v>0.949009</v>
      </c>
      <c r="N205" s="28">
        <f>VLOOKUP(Table36[[#This Row],[Spanish]], [2]Sheet1!$1:$1048576, 6, 0)</f>
        <v>0</v>
      </c>
      <c r="O205" s="28">
        <v>0.141440543</v>
      </c>
      <c r="P205" s="29">
        <v>98</v>
      </c>
      <c r="Q205" s="26">
        <v>100</v>
      </c>
      <c r="R205" s="26">
        <v>2</v>
      </c>
      <c r="S205" s="26">
        <v>0</v>
      </c>
      <c r="T205" s="26">
        <v>0</v>
      </c>
      <c r="U205" s="28">
        <v>2.3199999999999998</v>
      </c>
    </row>
    <row r="206" spans="1:21" x14ac:dyDescent="0.3">
      <c r="A206" s="25">
        <v>205</v>
      </c>
      <c r="B206" s="26">
        <v>541</v>
      </c>
      <c r="C206" s="27" t="s">
        <v>681</v>
      </c>
      <c r="D206" s="26" t="s">
        <v>682</v>
      </c>
      <c r="E206" s="23" t="s">
        <v>1364</v>
      </c>
      <c r="F206" s="26" t="str">
        <f>VLOOKUP(Table36[[#This Row],[Picture_no]], [3]ENGLISH.txt!$1:$1048576, 2, 0)</f>
        <v>shoe</v>
      </c>
      <c r="G206" s="22" t="s">
        <v>1066</v>
      </c>
      <c r="H206" s="26" t="s">
        <v>940</v>
      </c>
      <c r="I206" s="26">
        <f>LEN(Table36[[#This Row],[Spanish]])</f>
        <v>6</v>
      </c>
      <c r="J206" s="26">
        <f>VLOOKUP(Table36[[#This Row],[Spanish]], [1]Sheet1!$1:$1048576, 4, 0)</f>
        <v>6</v>
      </c>
      <c r="K206" s="26">
        <v>3</v>
      </c>
      <c r="L206" s="28">
        <f>VLOOKUP(Table36[[#This Row],[Spanish]], [2]Sheet1!$1:$1048576, 2, 0)</f>
        <v>3.4181089999999998</v>
      </c>
      <c r="M206" s="28" t="str">
        <f>VLOOKUP(Table36[[#This Row],[Spanish]], [2]Sheet1!$1:$1048576, 3, 0)</f>
        <v>0.645236</v>
      </c>
      <c r="N206" s="28">
        <f>VLOOKUP(Table36[[#This Row],[Spanish]], [2]Sheet1!$1:$1048576, 6, 0)</f>
        <v>5.6360000000000001</v>
      </c>
      <c r="O206" s="29">
        <v>0</v>
      </c>
      <c r="P206" s="29">
        <v>100</v>
      </c>
      <c r="Q206" s="26">
        <v>100</v>
      </c>
      <c r="R206" s="26">
        <v>1</v>
      </c>
      <c r="S206" s="26">
        <v>0</v>
      </c>
      <c r="T206" s="26">
        <v>0</v>
      </c>
      <c r="U206" s="28">
        <v>2.48</v>
      </c>
    </row>
    <row r="207" spans="1:21" x14ac:dyDescent="0.3">
      <c r="A207" s="25">
        <v>206</v>
      </c>
      <c r="B207" s="26">
        <v>545</v>
      </c>
      <c r="C207" s="27" t="s">
        <v>685</v>
      </c>
      <c r="D207" s="26" t="s">
        <v>686</v>
      </c>
      <c r="E207" s="23" t="s">
        <v>1365</v>
      </c>
      <c r="F207" s="26" t="str">
        <f>VLOOKUP(Table36[[#This Row],[Picture_no]], [3]ENGLISH.txt!$1:$1048576, 2, 0)</f>
        <v>knickers</v>
      </c>
      <c r="G207" s="22" t="s">
        <v>1366</v>
      </c>
      <c r="H207" s="26" t="s">
        <v>940</v>
      </c>
      <c r="I207" s="26">
        <f>LEN(Table36[[#This Row],[Spanish]])</f>
        <v>5</v>
      </c>
      <c r="J207" s="26">
        <f>VLOOKUP(Table36[[#This Row],[Spanish]], [1]Sheet1!$1:$1048576, 4, 0)</f>
        <v>5</v>
      </c>
      <c r="K207" s="26">
        <f>VLOOKUP(Table36[[#This Row],[Spanish]], [1]Sheet1!$1:$1048576, 5, 9)</f>
        <v>2</v>
      </c>
      <c r="L207" s="28">
        <f>VLOOKUP(Table36[[#This Row],[Spanish]], [2]Sheet1!$1:$1048576, 2, 0)</f>
        <v>2.5180929999999999</v>
      </c>
      <c r="M207" s="28">
        <f>VLOOKUP(Table36[[#This Row],[Spanish]], [2]Sheet1!$1:$1048576, 3, 0)</f>
        <v>0.54630699999999999</v>
      </c>
      <c r="N207" s="28">
        <f>VLOOKUP(Table36[[#This Row],[Spanish]], [2]Sheet1!$1:$1048576, 6, 0)</f>
        <v>0</v>
      </c>
      <c r="O207" s="29">
        <v>0</v>
      </c>
      <c r="P207" s="29">
        <v>100</v>
      </c>
      <c r="Q207" s="26">
        <v>99</v>
      </c>
      <c r="R207" s="26">
        <v>1</v>
      </c>
      <c r="S207" s="26">
        <v>0</v>
      </c>
      <c r="T207" s="26">
        <v>1</v>
      </c>
      <c r="U207" s="28">
        <v>2.1800000000000002</v>
      </c>
    </row>
    <row r="208" spans="1:21" x14ac:dyDescent="0.3">
      <c r="A208" s="25">
        <v>207</v>
      </c>
      <c r="B208" s="26">
        <v>546</v>
      </c>
      <c r="C208" s="27" t="s">
        <v>687</v>
      </c>
      <c r="D208" s="26" t="s">
        <v>688</v>
      </c>
      <c r="E208" s="23" t="s">
        <v>1367</v>
      </c>
      <c r="F208" s="26" t="str">
        <f>VLOOKUP(Table36[[#This Row],[Picture_no]], [3]ENGLISH.txt!$1:$1048576, 2, 0)</f>
        <v>door</v>
      </c>
      <c r="G208" s="22" t="s">
        <v>1067</v>
      </c>
      <c r="H208" s="26" t="s">
        <v>933</v>
      </c>
      <c r="I208" s="26">
        <f>LEN(Table36[[#This Row],[Spanish]])</f>
        <v>6</v>
      </c>
      <c r="J208" s="26">
        <f>VLOOKUP(Table36[[#This Row],[Spanish]], [1]Sheet1!$1:$1048576, 4, 0)</f>
        <v>6</v>
      </c>
      <c r="K208" s="26">
        <f>VLOOKUP(Table36[[#This Row],[Spanish]], [1]Sheet1!$1:$1048576, 5, 9)</f>
        <v>3</v>
      </c>
      <c r="L208" s="28">
        <f>VLOOKUP(Table36[[#This Row],[Spanish]], [2]Sheet1!$1:$1048576, 2, 0)</f>
        <v>158.97779199999999</v>
      </c>
      <c r="M208" s="28">
        <f>VLOOKUP(Table36[[#This Row],[Spanish]], [2]Sheet1!$1:$1048576, 3, 0)</f>
        <v>2.2040600000000001</v>
      </c>
      <c r="N208" s="28">
        <f>VLOOKUP(Table36[[#This Row],[Spanish]], [2]Sheet1!$1:$1048576, 6, 0)</f>
        <v>5.8040000000000003</v>
      </c>
      <c r="O208" s="29">
        <v>0</v>
      </c>
      <c r="P208" s="29">
        <v>100</v>
      </c>
      <c r="Q208" s="26">
        <v>100</v>
      </c>
      <c r="R208" s="26">
        <v>1</v>
      </c>
      <c r="S208" s="26">
        <v>0</v>
      </c>
      <c r="T208" s="26">
        <v>0</v>
      </c>
      <c r="U208" s="28">
        <v>1.66</v>
      </c>
    </row>
    <row r="209" spans="1:21" x14ac:dyDescent="0.3">
      <c r="A209" s="25">
        <v>208</v>
      </c>
      <c r="B209" s="26">
        <v>552</v>
      </c>
      <c r="C209" s="27" t="s">
        <v>695</v>
      </c>
      <c r="D209" s="26" t="s">
        <v>696</v>
      </c>
      <c r="E209" s="23" t="s">
        <v>1368</v>
      </c>
      <c r="F209" s="26" t="str">
        <f>VLOOKUP(Table36[[#This Row],[Picture_no]], [3]ENGLISH.txt!$1:$1048576, 2, 0)</f>
        <v>apple</v>
      </c>
      <c r="G209" s="22" t="s">
        <v>1369</v>
      </c>
      <c r="H209" s="26" t="s">
        <v>934</v>
      </c>
      <c r="I209" s="26">
        <f>LEN(Table36[[#This Row],[Spanish]])</f>
        <v>7</v>
      </c>
      <c r="J209" s="26">
        <f>VLOOKUP(Table36[[#This Row],[Spanish]], [1]Sheet1!$1:$1048576, 4, 0)</f>
        <v>7</v>
      </c>
      <c r="K209" s="26">
        <f>VLOOKUP(Table36[[#This Row],[Spanish]], [1]Sheet1!$1:$1048576, 5, 9)</f>
        <v>3</v>
      </c>
      <c r="L209" s="28">
        <f>VLOOKUP(Table36[[#This Row],[Spanish]], [2]Sheet1!$1:$1048576, 2, 0)</f>
        <v>8.1261310000000009</v>
      </c>
      <c r="M209" s="28" t="str">
        <f>VLOOKUP(Table36[[#This Row],[Spanish]], [2]Sheet1!$1:$1048576, 3, 0)</f>
        <v>0.960287</v>
      </c>
      <c r="N209" s="28">
        <f>VLOOKUP(Table36[[#This Row],[Spanish]], [2]Sheet1!$1:$1048576, 6, 0)</f>
        <v>6.58</v>
      </c>
      <c r="O209" s="29">
        <v>0</v>
      </c>
      <c r="P209" s="29">
        <v>100</v>
      </c>
      <c r="Q209" s="26">
        <v>100</v>
      </c>
      <c r="R209" s="26">
        <v>1</v>
      </c>
      <c r="S209" s="26">
        <v>0</v>
      </c>
      <c r="T209" s="26">
        <v>0</v>
      </c>
      <c r="U209" s="28">
        <v>2.13</v>
      </c>
    </row>
    <row r="210" spans="1:21" x14ac:dyDescent="0.3">
      <c r="A210" s="25">
        <v>209</v>
      </c>
      <c r="B210" s="26">
        <v>557</v>
      </c>
      <c r="C210" s="27" t="s">
        <v>699</v>
      </c>
      <c r="D210" s="26" t="s">
        <v>700</v>
      </c>
      <c r="E210" s="23" t="s">
        <v>1370</v>
      </c>
      <c r="F210" s="26" t="str">
        <f>VLOOKUP(Table36[[#This Row],[Picture_no]], [3]ENGLISH.txt!$1:$1048576, 2, 0)</f>
        <v>wolf</v>
      </c>
      <c r="G210" s="22" t="s">
        <v>1068</v>
      </c>
      <c r="H210" s="26" t="s">
        <v>929</v>
      </c>
      <c r="I210" s="26">
        <f>LEN(Table36[[#This Row],[Spanish]])</f>
        <v>4</v>
      </c>
      <c r="J210" s="26">
        <f>VLOOKUP(Table36[[#This Row],[Spanish]], [1]Sheet1!$1:$1048576, 4, 0)</f>
        <v>4</v>
      </c>
      <c r="K210" s="26">
        <f>VLOOKUP(Table36[[#This Row],[Spanish]], [1]Sheet1!$1:$1048576, 5, 9)</f>
        <v>2</v>
      </c>
      <c r="L210" s="28">
        <f>VLOOKUP(Table36[[#This Row],[Spanish]], [2]Sheet1!$1:$1048576, 2, 0)</f>
        <v>18.474682000000001</v>
      </c>
      <c r="M210" s="28">
        <f>VLOOKUP(Table36[[#This Row],[Spanish]], [2]Sheet1!$1:$1048576, 3, 0)</f>
        <v>1.2894699999999999</v>
      </c>
      <c r="N210" s="28">
        <f>VLOOKUP(Table36[[#This Row],[Spanish]], [2]Sheet1!$1:$1048576, 6, 0)</f>
        <v>6.1029999999999998</v>
      </c>
      <c r="O210" s="28">
        <v>0.33757642300000001</v>
      </c>
      <c r="P210" s="28">
        <v>94.949494950000002</v>
      </c>
      <c r="Q210" s="26">
        <v>99</v>
      </c>
      <c r="R210" s="26">
        <v>3</v>
      </c>
      <c r="S210" s="26">
        <v>0</v>
      </c>
      <c r="T210" s="26">
        <v>1</v>
      </c>
      <c r="U210" s="28">
        <v>3.05</v>
      </c>
    </row>
    <row r="211" spans="1:21" x14ac:dyDescent="0.3">
      <c r="A211" s="25">
        <v>210</v>
      </c>
      <c r="B211" s="26">
        <v>560</v>
      </c>
      <c r="C211" s="27" t="s">
        <v>703</v>
      </c>
      <c r="D211" s="26" t="s">
        <v>704</v>
      </c>
      <c r="E211" s="23" t="s">
        <v>1371</v>
      </c>
      <c r="F211" s="26" t="str">
        <f>VLOOKUP(Table36[[#This Row],[Picture_no]], [3]ENGLISH.txt!$1:$1048576, 2, 0)</f>
        <v>watermelon</v>
      </c>
      <c r="G211" s="22" t="s">
        <v>1467</v>
      </c>
      <c r="H211" s="26" t="s">
        <v>934</v>
      </c>
      <c r="I211" s="26">
        <f>LEN(Table36[[#This Row],[Spanish]])</f>
        <v>6</v>
      </c>
      <c r="J211" s="26">
        <f>VLOOKUP(Table36[[#This Row],[Spanish]], [1]Sheet1!$1:$1048576, 4, 0)</f>
        <v>6</v>
      </c>
      <c r="K211" s="26">
        <v>3</v>
      </c>
      <c r="L211" s="28">
        <f>VLOOKUP(Table36[[#This Row],[Spanish]], [2]Sheet1!$1:$1048576, 2, 0)</f>
        <v>1.172944</v>
      </c>
      <c r="M211" s="28" t="str">
        <f>VLOOKUP(Table36[[#This Row],[Spanish]], [2]Sheet1!$1:$1048576, 3, 0)</f>
        <v>0.337049</v>
      </c>
      <c r="N211" s="28">
        <f>VLOOKUP(Table36[[#This Row],[Spanish]], [2]Sheet1!$1:$1048576, 6, 0)</f>
        <v>0</v>
      </c>
      <c r="O211" s="28">
        <v>0.327444919</v>
      </c>
      <c r="P211" s="29">
        <v>94</v>
      </c>
      <c r="Q211" s="26">
        <v>100</v>
      </c>
      <c r="R211" s="26">
        <v>2</v>
      </c>
      <c r="S211" s="26">
        <v>0</v>
      </c>
      <c r="T211" s="26">
        <v>0</v>
      </c>
      <c r="U211" s="28">
        <v>2.323232323</v>
      </c>
    </row>
    <row r="212" spans="1:21" x14ac:dyDescent="0.3">
      <c r="A212" s="25">
        <v>211</v>
      </c>
      <c r="B212" s="26">
        <v>565</v>
      </c>
      <c r="C212" s="27" t="s">
        <v>705</v>
      </c>
      <c r="D212" s="26" t="s">
        <v>706</v>
      </c>
      <c r="E212" s="23" t="s">
        <v>1372</v>
      </c>
      <c r="F212" s="26" t="str">
        <f>VLOOKUP(Table36[[#This Row],[Picture_no]], [3]ENGLISH.txt!$1:$1048576, 2, 0)</f>
        <v>bell</v>
      </c>
      <c r="G212" s="22" t="s">
        <v>1039</v>
      </c>
      <c r="H212" s="26" t="s">
        <v>933</v>
      </c>
      <c r="I212" s="26">
        <f>LEN(Table36[[#This Row],[Spanish]])</f>
        <v>7</v>
      </c>
      <c r="J212" s="26">
        <f>VLOOKUP(Table36[[#This Row],[Spanish]], [1]Sheet1!$1:$1048576, 4, 0)</f>
        <v>7</v>
      </c>
      <c r="K212" s="26">
        <f>VLOOKUP(Table36[[#This Row],[Spanish]], [1]Sheet1!$1:$1048576, 5, 9)</f>
        <v>2</v>
      </c>
      <c r="L212" s="28">
        <f>VLOOKUP(Table36[[#This Row],[Spanish]], [2]Sheet1!$1:$1048576, 2, 0)</f>
        <v>11.859406999999999</v>
      </c>
      <c r="M212" s="28">
        <f>VLOOKUP(Table36[[#This Row],[Spanish]], [2]Sheet1!$1:$1048576, 3, 0)</f>
        <v>1.109221</v>
      </c>
      <c r="N212" s="28">
        <f>VLOOKUP(Table36[[#This Row],[Spanish]], [2]Sheet1!$1:$1048576, 6, 0)</f>
        <v>6.4880000000000004</v>
      </c>
      <c r="O212" s="29">
        <v>0</v>
      </c>
      <c r="P212" s="29">
        <v>100</v>
      </c>
      <c r="Q212" s="26">
        <v>100</v>
      </c>
      <c r="R212" s="26">
        <v>1</v>
      </c>
      <c r="S212" s="26">
        <v>0</v>
      </c>
      <c r="T212" s="26">
        <v>0</v>
      </c>
      <c r="U212" s="28">
        <v>2.06</v>
      </c>
    </row>
    <row r="213" spans="1:21" x14ac:dyDescent="0.3">
      <c r="A213" s="25">
        <v>212</v>
      </c>
      <c r="B213" s="26">
        <v>566</v>
      </c>
      <c r="C213" s="27" t="s">
        <v>707</v>
      </c>
      <c r="D213" s="30" t="s">
        <v>708</v>
      </c>
      <c r="E213" s="23" t="s">
        <v>1373</v>
      </c>
      <c r="F213" s="30" t="str">
        <f>VLOOKUP(Table36[[#This Row],[Picture_no]], [3]ENGLISH.txt!$1:$1048576, 2, 0)</f>
        <v>violin</v>
      </c>
      <c r="G213" s="22" t="s">
        <v>1468</v>
      </c>
      <c r="H213" s="26" t="s">
        <v>939</v>
      </c>
      <c r="I213" s="26">
        <f>LEN(Table36[[#This Row],[Spanish]])</f>
        <v>6</v>
      </c>
      <c r="J213" s="26">
        <f>VLOOKUP(Table36[[#This Row],[Spanish]], [1]Sheet1!$1:$1048576, 4, 0)</f>
        <v>6</v>
      </c>
      <c r="K213" s="26">
        <v>2</v>
      </c>
      <c r="L213" s="28">
        <f>VLOOKUP(Table36[[#This Row],[Spanish]], [2]Sheet1!$1:$1048576, 2, 0)</f>
        <v>11.540990000000001</v>
      </c>
      <c r="M213" s="28">
        <f>VLOOKUP(Table36[[#This Row],[Spanish]], [2]Sheet1!$1:$1048576, 3, 0)</f>
        <v>1.0983320000000001</v>
      </c>
      <c r="N213" s="28">
        <f>VLOOKUP(Table36[[#This Row],[Spanish]], [2]Sheet1!$1:$1048576, 6, 0)</f>
        <v>6.3979999999999997</v>
      </c>
      <c r="O213" s="28">
        <v>0.38850882399999997</v>
      </c>
      <c r="P213" s="28">
        <v>93.877551019999999</v>
      </c>
      <c r="Q213" s="26">
        <v>98</v>
      </c>
      <c r="R213" s="26">
        <v>3</v>
      </c>
      <c r="S213" s="26">
        <v>0</v>
      </c>
      <c r="T213" s="26">
        <v>2</v>
      </c>
      <c r="U213" s="28">
        <v>2.58</v>
      </c>
    </row>
    <row r="214" spans="1:21" x14ac:dyDescent="0.3">
      <c r="A214" s="25">
        <v>213</v>
      </c>
      <c r="B214" s="26">
        <v>570</v>
      </c>
      <c r="C214" s="27" t="s">
        <v>711</v>
      </c>
      <c r="D214" s="26" t="s">
        <v>712</v>
      </c>
      <c r="E214" s="23" t="s">
        <v>1374</v>
      </c>
      <c r="F214" s="26" t="str">
        <f>VLOOKUP(Table36[[#This Row],[Picture_no]], [3]ENGLISH.txt!$1:$1048576, 2, 0)</f>
        <v>bull</v>
      </c>
      <c r="G214" s="22" t="s">
        <v>1069</v>
      </c>
      <c r="H214" s="26" t="s">
        <v>929</v>
      </c>
      <c r="I214" s="26">
        <f>LEN(Table36[[#This Row],[Spanish]])</f>
        <v>4</v>
      </c>
      <c r="J214" s="26">
        <f>VLOOKUP(Table36[[#This Row],[Spanish]], [1]Sheet1!$1:$1048576, 4, 0)</f>
        <v>4</v>
      </c>
      <c r="K214" s="26">
        <v>2</v>
      </c>
      <c r="L214" s="28">
        <f>VLOOKUP(Table36[[#This Row],[Spanish]], [2]Sheet1!$1:$1048576, 2, 0)</f>
        <v>31.074895999999999</v>
      </c>
      <c r="M214" s="28">
        <f>VLOOKUP(Table36[[#This Row],[Spanish]], [2]Sheet1!$1:$1048576, 3, 0)</f>
        <v>1.506165</v>
      </c>
      <c r="N214" s="28">
        <f>VLOOKUP(Table36[[#This Row],[Spanish]], [2]Sheet1!$1:$1048576, 6, 0)</f>
        <v>5.8579999999999997</v>
      </c>
      <c r="O214" s="29">
        <v>0</v>
      </c>
      <c r="P214" s="29">
        <v>100</v>
      </c>
      <c r="Q214" s="26">
        <v>99</v>
      </c>
      <c r="R214" s="26">
        <v>1</v>
      </c>
      <c r="S214" s="26">
        <v>0</v>
      </c>
      <c r="T214" s="26">
        <v>1</v>
      </c>
      <c r="U214" s="28">
        <v>2.5299999999999998</v>
      </c>
    </row>
    <row r="215" spans="1:21" x14ac:dyDescent="0.3">
      <c r="A215" s="25">
        <v>214</v>
      </c>
      <c r="B215" s="26">
        <v>575</v>
      </c>
      <c r="C215" s="27" t="s">
        <v>717</v>
      </c>
      <c r="D215" s="26" t="s">
        <v>718</v>
      </c>
      <c r="E215" s="23" t="s">
        <v>1375</v>
      </c>
      <c r="F215" s="26" t="str">
        <f>VLOOKUP(Table36[[#This Row],[Picture_no]], [3]ENGLISH.txt!$1:$1048576, 2, 0)</f>
        <v>beak</v>
      </c>
      <c r="G215" s="22" t="s">
        <v>1070</v>
      </c>
      <c r="H215" s="26" t="s">
        <v>930</v>
      </c>
      <c r="I215" s="26">
        <f>LEN(Table36[[#This Row],[Spanish]])</f>
        <v>4</v>
      </c>
      <c r="J215" s="26">
        <f>VLOOKUP(Table36[[#This Row],[Spanish]], [1]Sheet1!$1:$1048576, 4, 0)</f>
        <v>4</v>
      </c>
      <c r="K215" s="26">
        <f>VLOOKUP(Table36[[#This Row],[Spanish]], [1]Sheet1!$1:$1048576, 5, 9)</f>
        <v>3</v>
      </c>
      <c r="L215" s="28">
        <f>VLOOKUP(Table36[[#This Row],[Spanish]], [2]Sheet1!$1:$1048576, 2, 0)</f>
        <v>29.9117</v>
      </c>
      <c r="M215" s="28">
        <f>VLOOKUP(Table36[[#This Row],[Spanish]], [2]Sheet1!$1:$1048576, 3, 0)</f>
        <v>1.4901230000000001</v>
      </c>
      <c r="N215" s="28">
        <f>VLOOKUP(Table36[[#This Row],[Spanish]], [2]Sheet1!$1:$1048576, 6, 0)</f>
        <v>5.944</v>
      </c>
      <c r="O215" s="28">
        <v>0.141440543</v>
      </c>
      <c r="P215" s="29">
        <v>98</v>
      </c>
      <c r="Q215" s="26">
        <v>100</v>
      </c>
      <c r="R215" s="26">
        <v>2</v>
      </c>
      <c r="S215" s="26">
        <v>0</v>
      </c>
      <c r="T215" s="26">
        <v>0</v>
      </c>
      <c r="U215" s="28">
        <v>2.11</v>
      </c>
    </row>
    <row r="216" spans="1:21" x14ac:dyDescent="0.3">
      <c r="A216" s="25">
        <v>215</v>
      </c>
      <c r="B216" s="26">
        <v>576</v>
      </c>
      <c r="C216" s="27" t="s">
        <v>719</v>
      </c>
      <c r="D216" s="26" t="s">
        <v>528</v>
      </c>
      <c r="E216" s="23" t="s">
        <v>1376</v>
      </c>
      <c r="F216" s="26" t="str">
        <f>VLOOKUP(Table36[[#This Row],[Picture_no]], [3]ENGLISH.txt!$1:$1048576, 2, 0)</f>
        <v>glove</v>
      </c>
      <c r="G216" s="22" t="s">
        <v>1071</v>
      </c>
      <c r="H216" s="26" t="s">
        <v>940</v>
      </c>
      <c r="I216" s="26">
        <f>LEN(Table36[[#This Row],[Spanish]])</f>
        <v>6</v>
      </c>
      <c r="J216" s="26">
        <f>VLOOKUP(Table36[[#This Row],[Spanish]], [1]Sheet1!$1:$1048576, 4, 0)</f>
        <v>6</v>
      </c>
      <c r="K216" s="26">
        <f>VLOOKUP(Table36[[#This Row],[Spanish]], [1]Sheet1!$1:$1048576, 5, 9)</f>
        <v>2</v>
      </c>
      <c r="L216" s="28">
        <f>VLOOKUP(Table36[[#This Row],[Spanish]], [2]Sheet1!$1:$1048576, 2, 0)</f>
        <v>3.6942870000000001</v>
      </c>
      <c r="M216" s="28" t="str">
        <f>VLOOKUP(Table36[[#This Row],[Spanish]], [2]Sheet1!$1:$1048576, 3, 0)</f>
        <v>0.671570</v>
      </c>
      <c r="N216" s="28">
        <f>VLOOKUP(Table36[[#This Row],[Spanish]], [2]Sheet1!$1:$1048576, 6, 0)</f>
        <v>6.3280000000000003</v>
      </c>
      <c r="O216" s="29">
        <v>0</v>
      </c>
      <c r="P216" s="29">
        <v>100</v>
      </c>
      <c r="Q216" s="26">
        <v>100</v>
      </c>
      <c r="R216" s="26">
        <v>1</v>
      </c>
      <c r="S216" s="26">
        <v>0</v>
      </c>
      <c r="T216" s="26">
        <v>0</v>
      </c>
      <c r="U216" s="28">
        <v>1.92</v>
      </c>
    </row>
    <row r="217" spans="1:21" x14ac:dyDescent="0.3">
      <c r="A217" s="25">
        <v>216</v>
      </c>
      <c r="B217" s="26">
        <v>583</v>
      </c>
      <c r="C217" s="27" t="s">
        <v>728</v>
      </c>
      <c r="D217" s="26" t="s">
        <v>729</v>
      </c>
      <c r="E217" s="23" t="s">
        <v>1377</v>
      </c>
      <c r="F217" s="26" t="str">
        <f>VLOOKUP(Table36[[#This Row],[Picture_no]], [3]ENGLISH.txt!$1:$1048576, 2, 0)</f>
        <v>ship</v>
      </c>
      <c r="G217" s="22" t="s">
        <v>1072</v>
      </c>
      <c r="H217" s="26" t="s">
        <v>938</v>
      </c>
      <c r="I217" s="26">
        <f>LEN(Table36[[#This Row],[Spanish]])</f>
        <v>5</v>
      </c>
      <c r="J217" s="26">
        <f>VLOOKUP(Table36[[#This Row],[Spanish]], [1]Sheet1!$1:$1048576, 4, 0)</f>
        <v>5</v>
      </c>
      <c r="K217" s="26">
        <f>VLOOKUP(Table36[[#This Row],[Spanish]], [1]Sheet1!$1:$1048576, 5, 9)</f>
        <v>2</v>
      </c>
      <c r="L217" s="28">
        <f>VLOOKUP(Table36[[#This Row],[Spanish]], [2]Sheet1!$1:$1048576, 2, 0)</f>
        <v>42.739355000000003</v>
      </c>
      <c r="M217" s="28">
        <f>VLOOKUP(Table36[[#This Row],[Spanish]], [2]Sheet1!$1:$1048576, 3, 0)</f>
        <v>1.6408720000000001</v>
      </c>
      <c r="N217" s="28">
        <f>VLOOKUP(Table36[[#This Row],[Spanish]], [2]Sheet1!$1:$1048576, 6, 0)</f>
        <v>6.2930000000000001</v>
      </c>
      <c r="O217" s="28">
        <v>0.24229218899999999</v>
      </c>
      <c r="P217" s="29">
        <v>96</v>
      </c>
      <c r="Q217" s="26">
        <v>100</v>
      </c>
      <c r="R217" s="26">
        <v>2</v>
      </c>
      <c r="S217" s="26">
        <v>0</v>
      </c>
      <c r="T217" s="26">
        <v>0</v>
      </c>
      <c r="U217" s="28">
        <v>2.89</v>
      </c>
    </row>
    <row r="218" spans="1:21" x14ac:dyDescent="0.3">
      <c r="A218" s="25">
        <v>217</v>
      </c>
      <c r="B218" s="26">
        <v>588</v>
      </c>
      <c r="C218" s="27" t="s">
        <v>732</v>
      </c>
      <c r="D218" s="26" t="s">
        <v>733</v>
      </c>
      <c r="E218" s="23" t="s">
        <v>1378</v>
      </c>
      <c r="F218" s="26" t="str">
        <f>VLOOKUP(Table36[[#This Row],[Picture_no]], [3]ENGLISH.txt!$1:$1048576, 2, 0)</f>
        <v>bracelet</v>
      </c>
      <c r="G218" s="22" t="s">
        <v>1379</v>
      </c>
      <c r="H218" s="26" t="s">
        <v>933</v>
      </c>
      <c r="I218" s="26">
        <f>LEN(Table36[[#This Row],[Spanish]])</f>
        <v>7</v>
      </c>
      <c r="J218" s="26">
        <f>VLOOKUP(Table36[[#This Row],[Spanish]], [1]Sheet1!$1:$1048576, 4, 0)</f>
        <v>7</v>
      </c>
      <c r="K218" s="26">
        <f>VLOOKUP(Table36[[#This Row],[Spanish]], [1]Sheet1!$1:$1048576, 5, 9)</f>
        <v>3</v>
      </c>
      <c r="L218" s="28">
        <f>VLOOKUP(Table36[[#This Row],[Spanish]], [2]Sheet1!$1:$1048576, 2, 0)</f>
        <v>1.2346779999999999</v>
      </c>
      <c r="M218" s="28" t="str">
        <f>VLOOKUP(Table36[[#This Row],[Spanish]], [2]Sheet1!$1:$1048576, 3, 0)</f>
        <v>0.349215</v>
      </c>
      <c r="N218" s="28">
        <f>VLOOKUP(Table36[[#This Row],[Spanish]], [2]Sheet1!$1:$1048576, 6, 0)</f>
        <v>5.9539999999999997</v>
      </c>
      <c r="O218" s="28">
        <v>0.43646981699999998</v>
      </c>
      <c r="P218" s="29">
        <v>91</v>
      </c>
      <c r="Q218" s="26">
        <v>100</v>
      </c>
      <c r="R218" s="26">
        <v>2</v>
      </c>
      <c r="S218" s="26">
        <v>0</v>
      </c>
      <c r="T218" s="26">
        <v>0</v>
      </c>
      <c r="U218" s="28">
        <v>2.31</v>
      </c>
    </row>
    <row r="219" spans="1:21" x14ac:dyDescent="0.3">
      <c r="A219" s="25">
        <v>218</v>
      </c>
      <c r="B219" s="26">
        <v>590</v>
      </c>
      <c r="C219" s="27" t="s">
        <v>734</v>
      </c>
      <c r="D219" s="26" t="s">
        <v>735</v>
      </c>
      <c r="E219" s="23" t="s">
        <v>1380</v>
      </c>
      <c r="F219" s="26" t="str">
        <f>VLOOKUP(Table36[[#This Row],[Picture_no]], [3]ENGLISH.txt!$1:$1048576, 2, 0)</f>
        <v>broom</v>
      </c>
      <c r="G219" s="7" t="s">
        <v>1073</v>
      </c>
      <c r="H219" s="26" t="s">
        <v>933</v>
      </c>
      <c r="I219" s="26">
        <f>LEN(Table36[[#This Row],[Spanish]])</f>
        <v>6</v>
      </c>
      <c r="J219" s="26">
        <f>VLOOKUP(Table36[[#This Row],[Spanish]], [1]Sheet1!$1:$1048576, 4, 0)</f>
        <v>6</v>
      </c>
      <c r="K219" s="26">
        <f>VLOOKUP(Table36[[#This Row],[Spanish]], [1]Sheet1!$1:$1048576, 5, 9)</f>
        <v>3</v>
      </c>
      <c r="L219" s="28">
        <f>VLOOKUP(Table36[[#This Row],[Spanish]], [2]Sheet1!$1:$1048576, 2, 0)</f>
        <v>2.2159219999999999</v>
      </c>
      <c r="M219" s="28" t="str">
        <f>VLOOKUP(Table36[[#This Row],[Spanish]], [2]Sheet1!$1:$1048576, 3, 0)</f>
        <v>0.507306</v>
      </c>
      <c r="N219" s="28">
        <f>VLOOKUP(Table36[[#This Row],[Spanish]], [2]Sheet1!$1:$1048576, 6, 0)</f>
        <v>5.8490000000000002</v>
      </c>
      <c r="O219" s="29">
        <v>0</v>
      </c>
      <c r="P219" s="29">
        <v>100</v>
      </c>
      <c r="Q219" s="26">
        <v>100</v>
      </c>
      <c r="R219" s="26">
        <v>1</v>
      </c>
      <c r="S219" s="26">
        <v>0</v>
      </c>
      <c r="T219" s="26">
        <v>0</v>
      </c>
      <c r="U219" s="28">
        <v>2.1800000000000002</v>
      </c>
    </row>
    <row r="220" spans="1:21" x14ac:dyDescent="0.3">
      <c r="A220" s="25">
        <v>219</v>
      </c>
      <c r="B220" s="26">
        <v>595</v>
      </c>
      <c r="C220" s="27" t="s">
        <v>738</v>
      </c>
      <c r="D220" s="30" t="s">
        <v>739</v>
      </c>
      <c r="E220" s="23" t="s">
        <v>1381</v>
      </c>
      <c r="F220" s="30" t="str">
        <f>VLOOKUP(Table36[[#This Row],[Picture_no]], [3]ENGLISH.txt!$1:$1048576, 2, 0)</f>
        <v>cube</v>
      </c>
      <c r="G220" s="22" t="s">
        <v>1074</v>
      </c>
      <c r="H220" s="26" t="s">
        <v>941</v>
      </c>
      <c r="I220" s="26">
        <f>LEN(Table36[[#This Row],[Spanish]])</f>
        <v>4</v>
      </c>
      <c r="J220" s="26">
        <f>VLOOKUP(Table36[[#This Row],[Spanish]], [1]Sheet1!$1:$1048576, 4, 0)</f>
        <v>4</v>
      </c>
      <c r="K220" s="26">
        <f>VLOOKUP(Table36[[#This Row],[Spanish]], [1]Sheet1!$1:$1048576, 5, 9)</f>
        <v>3</v>
      </c>
      <c r="L220" s="28">
        <f>VLOOKUP(Table36[[#This Row],[Spanish]], [2]Sheet1!$1:$1048576, 2, 0)</f>
        <v>5.7445019999999998</v>
      </c>
      <c r="M220" s="28" t="str">
        <f>VLOOKUP(Table36[[#This Row],[Spanish]], [2]Sheet1!$1:$1048576, 3, 0)</f>
        <v>0.828950</v>
      </c>
      <c r="N220" s="28">
        <f>VLOOKUP(Table36[[#This Row],[Spanish]], [2]Sheet1!$1:$1048576, 6, 0)</f>
        <v>5.1289999999999996</v>
      </c>
      <c r="O220" s="28">
        <v>0.14372616999999999</v>
      </c>
      <c r="P220" s="28">
        <v>97.959183670000002</v>
      </c>
      <c r="Q220" s="26">
        <v>98</v>
      </c>
      <c r="R220" s="26">
        <v>2</v>
      </c>
      <c r="S220" s="26">
        <v>1</v>
      </c>
      <c r="T220" s="26">
        <v>1</v>
      </c>
      <c r="U220" s="28">
        <v>1.33</v>
      </c>
    </row>
    <row r="221" spans="1:21" x14ac:dyDescent="0.3">
      <c r="A221" s="25">
        <v>220</v>
      </c>
      <c r="B221" s="26">
        <v>596</v>
      </c>
      <c r="C221" s="27" t="s">
        <v>740</v>
      </c>
      <c r="D221" s="26" t="s">
        <v>741</v>
      </c>
      <c r="E221" s="23" t="s">
        <v>1382</v>
      </c>
      <c r="F221" s="26" t="str">
        <f>VLOOKUP(Table36[[#This Row],[Picture_no]], [3]ENGLISH.txt!$1:$1048576, 2, 0)</f>
        <v>folder</v>
      </c>
      <c r="G221" s="22" t="s">
        <v>1383</v>
      </c>
      <c r="H221" s="26" t="s">
        <v>933</v>
      </c>
      <c r="I221" s="26">
        <f>LEN(Table36[[#This Row],[Spanish]])</f>
        <v>7</v>
      </c>
      <c r="J221" s="26">
        <f>VLOOKUP(Table36[[#This Row],[Spanish]], [1]Sheet1!$1:$1048576, 4, 0)</f>
        <v>7</v>
      </c>
      <c r="K221" s="26">
        <f>VLOOKUP(Table36[[#This Row],[Spanish]], [1]Sheet1!$1:$1048576, 5, 9)</f>
        <v>2</v>
      </c>
      <c r="L221" s="28">
        <f>VLOOKUP(Table36[[#This Row],[Spanish]], [2]Sheet1!$1:$1048576, 2, 0)</f>
        <v>2.5668310000000001</v>
      </c>
      <c r="M221" s="28" t="str">
        <f>VLOOKUP(Table36[[#This Row],[Spanish]], [2]Sheet1!$1:$1048576, 3, 0)</f>
        <v>0.552282</v>
      </c>
      <c r="N221" s="28">
        <f>VLOOKUP(Table36[[#This Row],[Spanish]], [2]Sheet1!$1:$1048576, 6, 0)</f>
        <v>6.4690000000000003</v>
      </c>
      <c r="O221" s="28">
        <v>0.194391858</v>
      </c>
      <c r="P221" s="29">
        <v>97</v>
      </c>
      <c r="Q221" s="26">
        <v>100</v>
      </c>
      <c r="R221" s="26">
        <v>2</v>
      </c>
      <c r="S221" s="26">
        <v>0</v>
      </c>
      <c r="T221" s="26">
        <v>0</v>
      </c>
      <c r="U221" s="28">
        <v>1.63</v>
      </c>
    </row>
    <row r="222" spans="1:21" x14ac:dyDescent="0.3">
      <c r="A222" s="25">
        <v>221</v>
      </c>
      <c r="B222" s="26">
        <v>597</v>
      </c>
      <c r="C222" s="27" t="s">
        <v>742</v>
      </c>
      <c r="D222" s="26" t="s">
        <v>743</v>
      </c>
      <c r="E222" s="23" t="s">
        <v>1384</v>
      </c>
      <c r="F222" s="26" t="str">
        <f>VLOOKUP(Table36[[#This Row],[Picture_no]], [3]ENGLISH.txt!$1:$1048576, 2, 0)</f>
        <v>window</v>
      </c>
      <c r="G222" s="22" t="s">
        <v>1385</v>
      </c>
      <c r="H222" s="26" t="s">
        <v>933</v>
      </c>
      <c r="I222" s="26">
        <f>LEN(Table36[[#This Row],[Spanish]])</f>
        <v>7</v>
      </c>
      <c r="J222" s="26">
        <f>VLOOKUP(Table36[[#This Row],[Spanish]], [1]Sheet1!$1:$1048576, 4, 0)</f>
        <v>7</v>
      </c>
      <c r="K222" s="26">
        <v>3</v>
      </c>
      <c r="L222" s="28">
        <f>VLOOKUP(Table36[[#This Row],[Spanish]], [2]Sheet1!$1:$1048576, 2, 0)</f>
        <v>41.566409999999998</v>
      </c>
      <c r="M222" s="28">
        <f>VLOOKUP(Table36[[#This Row],[Spanish]], [2]Sheet1!$1:$1048576, 3, 0)</f>
        <v>1.629067</v>
      </c>
      <c r="N222" s="28">
        <f>VLOOKUP(Table36[[#This Row],[Spanish]], [2]Sheet1!$1:$1048576, 6, 0)</f>
        <v>6.5179999999999998</v>
      </c>
      <c r="O222" s="28">
        <v>0.14372616999999999</v>
      </c>
      <c r="P222" s="28">
        <v>97.959183670000002</v>
      </c>
      <c r="Q222" s="26">
        <v>98</v>
      </c>
      <c r="R222" s="26">
        <v>2</v>
      </c>
      <c r="S222" s="26">
        <v>0</v>
      </c>
      <c r="T222" s="26">
        <v>2</v>
      </c>
      <c r="U222" s="28">
        <v>2.5299999999999998</v>
      </c>
    </row>
    <row r="223" spans="1:21" x14ac:dyDescent="0.3">
      <c r="A223" s="25">
        <v>222</v>
      </c>
      <c r="B223" s="26">
        <v>598</v>
      </c>
      <c r="C223" s="27" t="s">
        <v>744</v>
      </c>
      <c r="D223" s="26" t="s">
        <v>745</v>
      </c>
      <c r="E223" s="23" t="s">
        <v>1386</v>
      </c>
      <c r="F223" s="26" t="str">
        <f>VLOOKUP(Table36[[#This Row],[Picture_no]], [3]ENGLISH.txt!$1:$1048576, 2, 0)</f>
        <v>dart board</v>
      </c>
      <c r="G223" s="22" t="s">
        <v>1075</v>
      </c>
      <c r="H223" s="26" t="s">
        <v>933</v>
      </c>
      <c r="I223" s="26">
        <f>LEN(Table36[[#This Row],[Spanish]])</f>
        <v>5</v>
      </c>
      <c r="J223" s="26">
        <f>VLOOKUP(Table36[[#This Row],[Spanish]], [1]Sheet1!$1:$1048576, 4, 0)</f>
        <v>5</v>
      </c>
      <c r="K223" s="26">
        <f>VLOOKUP(Table36[[#This Row],[Spanish]], [1]Sheet1!$1:$1048576, 5, 9)</f>
        <v>2</v>
      </c>
      <c r="L223" s="28">
        <f>VLOOKUP(Table36[[#This Row],[Spanish]], [2]Sheet1!$1:$1048576, 2, 0)</f>
        <v>10.855418999999999</v>
      </c>
      <c r="M223" s="28">
        <f>VLOOKUP(Table36[[#This Row],[Spanish]], [2]Sheet1!$1:$1048576, 3, 0)</f>
        <v>1.073917</v>
      </c>
      <c r="N223" s="28">
        <f>VLOOKUP(Table36[[#This Row],[Spanish]], [2]Sheet1!$1:$1048576, 6, 0)</f>
        <v>5.4539999999999997</v>
      </c>
      <c r="O223" s="29">
        <v>0</v>
      </c>
      <c r="P223" s="29">
        <v>100</v>
      </c>
      <c r="Q223" s="26">
        <v>99</v>
      </c>
      <c r="R223" s="26">
        <v>1</v>
      </c>
      <c r="S223" s="26">
        <v>0</v>
      </c>
      <c r="T223" s="26">
        <v>1</v>
      </c>
      <c r="U223" s="28">
        <v>2.0909090909999999</v>
      </c>
    </row>
    <row r="224" spans="1:21" x14ac:dyDescent="0.3">
      <c r="A224" s="25">
        <v>223</v>
      </c>
      <c r="B224" s="26">
        <v>599</v>
      </c>
      <c r="C224" s="27" t="s">
        <v>746</v>
      </c>
      <c r="D224" s="26" t="s">
        <v>747</v>
      </c>
      <c r="E224" s="23" t="s">
        <v>1387</v>
      </c>
      <c r="F224" s="26" t="str">
        <f>VLOOKUP(Table36[[#This Row],[Picture_no]], [3]ENGLISH.txt!$1:$1048576, 2, 0)</f>
        <v>cloud</v>
      </c>
      <c r="G224" s="22" t="s">
        <v>1076</v>
      </c>
      <c r="H224" s="31" t="s">
        <v>942</v>
      </c>
      <c r="I224" s="26">
        <f>LEN(Table36[[#This Row],[Spanish]])</f>
        <v>4</v>
      </c>
      <c r="J224" s="26">
        <f>VLOOKUP(Table36[[#This Row],[Spanish]], [1]Sheet1!$1:$1048576, 4, 0)</f>
        <v>4</v>
      </c>
      <c r="K224" s="26">
        <f>VLOOKUP(Table36[[#This Row],[Spanish]], [1]Sheet1!$1:$1048576, 5, 9)</f>
        <v>3</v>
      </c>
      <c r="L224" s="28">
        <f>VLOOKUP(Table36[[#This Row],[Spanish]], [2]Sheet1!$1:$1048576, 2, 0)</f>
        <v>15.043577000000001</v>
      </c>
      <c r="M224" s="28">
        <f>VLOOKUP(Table36[[#This Row],[Spanish]], [2]Sheet1!$1:$1048576, 3, 0)</f>
        <v>1.205301</v>
      </c>
      <c r="N224" s="28">
        <f>VLOOKUP(Table36[[#This Row],[Spanish]], [2]Sheet1!$1:$1048576, 6, 0)</f>
        <v>6.6180000000000003</v>
      </c>
      <c r="O224" s="29">
        <v>0</v>
      </c>
      <c r="P224" s="29">
        <v>100</v>
      </c>
      <c r="Q224" s="26">
        <v>100</v>
      </c>
      <c r="R224" s="26">
        <v>1</v>
      </c>
      <c r="S224" s="26">
        <v>0</v>
      </c>
      <c r="T224" s="26">
        <v>0</v>
      </c>
      <c r="U224" s="28">
        <v>1.37</v>
      </c>
    </row>
    <row r="225" spans="1:21" x14ac:dyDescent="0.3">
      <c r="A225" s="25">
        <v>224</v>
      </c>
      <c r="B225" s="26">
        <v>601</v>
      </c>
      <c r="C225" s="27" t="s">
        <v>748</v>
      </c>
      <c r="D225" s="30" t="s">
        <v>749</v>
      </c>
      <c r="E225" s="23" t="s">
        <v>749</v>
      </c>
      <c r="F225" s="30" t="str">
        <f>VLOOKUP(Table36[[#This Row],[Picture_no]], [3]ENGLISH.txt!$1:$1048576, 2, 0)</f>
        <v>koala</v>
      </c>
      <c r="G225" s="22" t="s">
        <v>1388</v>
      </c>
      <c r="H225" s="26" t="s">
        <v>929</v>
      </c>
      <c r="I225" s="26">
        <f>LEN(Table36[[#This Row],[Spanish]])</f>
        <v>5</v>
      </c>
      <c r="J225" s="26">
        <f>VLOOKUP(Table36[[#This Row],[Spanish]], [1]Sheet1!$1:$1048576, 4, 0)</f>
        <v>5</v>
      </c>
      <c r="K225" s="26">
        <f>VLOOKUP(Table36[[#This Row],[Spanish]], [1]Sheet1!$1:$1048576, 5, 9)</f>
        <v>3</v>
      </c>
      <c r="L225" s="28">
        <f>VLOOKUP(Table36[[#This Row],[Spanish]], [2]Sheet1!$1:$1048576, 2, 0)</f>
        <v>0.58159799999999995</v>
      </c>
      <c r="M225" s="28" t="str">
        <f>VLOOKUP(Table36[[#This Row],[Spanish]], [2]Sheet1!$1:$1048576, 3, 0)</f>
        <v>0.199096</v>
      </c>
      <c r="N225" s="28">
        <f>VLOOKUP(Table36[[#This Row],[Spanish]], [2]Sheet1!$1:$1048576, 6, 0)</f>
        <v>0</v>
      </c>
      <c r="O225" s="29">
        <v>0</v>
      </c>
      <c r="P225" s="29">
        <v>100</v>
      </c>
      <c r="Q225" s="26">
        <v>90</v>
      </c>
      <c r="R225" s="26">
        <v>1</v>
      </c>
      <c r="S225" s="26">
        <v>5</v>
      </c>
      <c r="T225" s="26">
        <v>5</v>
      </c>
      <c r="U225" s="28">
        <v>3.07</v>
      </c>
    </row>
    <row r="226" spans="1:21" x14ac:dyDescent="0.3">
      <c r="A226" s="25">
        <v>225</v>
      </c>
      <c r="B226" s="26">
        <v>605</v>
      </c>
      <c r="C226" s="27" t="s">
        <v>752</v>
      </c>
      <c r="D226" s="30" t="s">
        <v>753</v>
      </c>
      <c r="E226" s="23" t="s">
        <v>1389</v>
      </c>
      <c r="F226" s="30" t="str">
        <f>VLOOKUP(Table36[[#This Row],[Picture_no]], [3]ENGLISH.txt!$1:$1048576, 2, 0)</f>
        <v>harp</v>
      </c>
      <c r="G226" s="22" t="s">
        <v>1077</v>
      </c>
      <c r="H226" s="26" t="s">
        <v>939</v>
      </c>
      <c r="I226" s="26">
        <f>LEN(Table36[[#This Row],[Spanish]])</f>
        <v>4</v>
      </c>
      <c r="J226" s="26">
        <f>VLOOKUP(Table36[[#This Row],[Spanish]], [1]Sheet1!$1:$1048576, 4, 0)</f>
        <v>4</v>
      </c>
      <c r="K226" s="26">
        <f>VLOOKUP(Table36[[#This Row],[Spanish]], [1]Sheet1!$1:$1048576, 5, 9)</f>
        <v>2</v>
      </c>
      <c r="L226" s="28">
        <f>VLOOKUP(Table36[[#This Row],[Spanish]], [2]Sheet1!$1:$1048576, 2, 0)</f>
        <v>4.3148749999999998</v>
      </c>
      <c r="M226" s="28">
        <f>VLOOKUP(Table36[[#This Row],[Spanish]], [2]Sheet1!$1:$1048576, 3, 0)</f>
        <v>0.72549300000000005</v>
      </c>
      <c r="N226" s="28">
        <f>VLOOKUP(Table36[[#This Row],[Spanish]], [2]Sheet1!$1:$1048576, 6, 0)</f>
        <v>0</v>
      </c>
      <c r="O226" s="29">
        <v>0</v>
      </c>
      <c r="P226" s="29">
        <v>100</v>
      </c>
      <c r="Q226" s="26">
        <v>97</v>
      </c>
      <c r="R226" s="26">
        <v>1</v>
      </c>
      <c r="S226" s="26">
        <v>2</v>
      </c>
      <c r="T226" s="26">
        <v>1</v>
      </c>
      <c r="U226" s="28">
        <v>2.41</v>
      </c>
    </row>
    <row r="227" spans="1:21" x14ac:dyDescent="0.3">
      <c r="A227" s="25">
        <v>226</v>
      </c>
      <c r="B227" s="26">
        <v>606</v>
      </c>
      <c r="C227" s="27" t="s">
        <v>754</v>
      </c>
      <c r="D227" s="30" t="s">
        <v>755</v>
      </c>
      <c r="E227" s="23" t="s">
        <v>1390</v>
      </c>
      <c r="F227" s="30" t="str">
        <f>VLOOKUP(Table36[[#This Row],[Picture_no]], [3]ENGLISH.txt!$1:$1048576, 2, 0)</f>
        <v>cat</v>
      </c>
      <c r="G227" s="22" t="s">
        <v>1078</v>
      </c>
      <c r="H227" s="26" t="s">
        <v>929</v>
      </c>
      <c r="I227" s="26">
        <f>LEN(Table36[[#This Row],[Spanish]])</f>
        <v>4</v>
      </c>
      <c r="J227" s="26">
        <f>VLOOKUP(Table36[[#This Row],[Spanish]], [1]Sheet1!$1:$1048576, 4, 0)</f>
        <v>4</v>
      </c>
      <c r="K227" s="26">
        <f>VLOOKUP(Table36[[#This Row],[Spanish]], [1]Sheet1!$1:$1048576, 5, 9)</f>
        <v>2</v>
      </c>
      <c r="L227" s="28">
        <f>VLOOKUP(Table36[[#This Row],[Spanish]], [2]Sheet1!$1:$1048576, 2, 0)</f>
        <v>38.557695000000002</v>
      </c>
      <c r="M227" s="28">
        <f>VLOOKUP(Table36[[#This Row],[Spanish]], [2]Sheet1!$1:$1048576, 3, 0)</f>
        <v>1.5972310000000001</v>
      </c>
      <c r="N227" s="28">
        <f>VLOOKUP(Table36[[#This Row],[Spanish]], [2]Sheet1!$1:$1048576, 6, 0)</f>
        <v>0</v>
      </c>
      <c r="O227" s="29">
        <v>0</v>
      </c>
      <c r="P227" s="29">
        <v>100</v>
      </c>
      <c r="Q227" s="26">
        <v>100</v>
      </c>
      <c r="R227" s="26">
        <v>1</v>
      </c>
      <c r="S227" s="26">
        <v>0</v>
      </c>
      <c r="T227" s="26">
        <v>0</v>
      </c>
      <c r="U227" s="28">
        <v>2.96</v>
      </c>
    </row>
    <row r="228" spans="1:21" x14ac:dyDescent="0.3">
      <c r="A228" s="25">
        <v>227</v>
      </c>
      <c r="B228" s="26">
        <v>607</v>
      </c>
      <c r="C228" s="27" t="s">
        <v>756</v>
      </c>
      <c r="D228" s="26" t="s">
        <v>757</v>
      </c>
      <c r="E228" s="23" t="s">
        <v>1391</v>
      </c>
      <c r="F228" s="26" t="str">
        <f>VLOOKUP(Table36[[#This Row],[Picture_no]], [3]ENGLISH.txt!$1:$1048576, 2, 0)</f>
        <v>jumper</v>
      </c>
      <c r="G228" s="22" t="s">
        <v>1392</v>
      </c>
      <c r="H228" s="26" t="s">
        <v>940</v>
      </c>
      <c r="I228" s="26">
        <f>LEN(Table36[[#This Row],[Spanish]])</f>
        <v>6</v>
      </c>
      <c r="J228" s="26">
        <f>VLOOKUP(Table36[[#This Row],[Spanish]], [1]Sheet1!$1:$1048576, 4, 0)</f>
        <v>6</v>
      </c>
      <c r="K228" s="26">
        <f>VLOOKUP(Table36[[#This Row],[Spanish]], [1]Sheet1!$1:$1048576, 5, 9)</f>
        <v>2</v>
      </c>
      <c r="L228" s="28">
        <f>VLOOKUP(Table36[[#This Row],[Spanish]], [2]Sheet1!$1:$1048576, 2, 0)</f>
        <v>10.381043</v>
      </c>
      <c r="M228" s="28">
        <f>VLOOKUP(Table36[[#This Row],[Spanish]], [2]Sheet1!$1:$1048576, 3, 0)</f>
        <v>1.056182</v>
      </c>
      <c r="N228" s="28">
        <f>VLOOKUP(Table36[[#This Row],[Spanish]], [2]Sheet1!$1:$1048576, 6, 0)</f>
        <v>6.2119999999999997</v>
      </c>
      <c r="O228" s="28">
        <v>0.44505030400000001</v>
      </c>
      <c r="P228" s="28">
        <v>92.783505149999996</v>
      </c>
      <c r="Q228" s="26">
        <v>97</v>
      </c>
      <c r="R228" s="26">
        <v>3</v>
      </c>
      <c r="S228" s="26">
        <v>0</v>
      </c>
      <c r="T228" s="26">
        <v>3</v>
      </c>
      <c r="U228" s="28">
        <v>2.34</v>
      </c>
    </row>
    <row r="229" spans="1:21" x14ac:dyDescent="0.3">
      <c r="A229" s="25">
        <v>228</v>
      </c>
      <c r="B229" s="26">
        <v>610</v>
      </c>
      <c r="C229" s="27" t="s">
        <v>760</v>
      </c>
      <c r="D229" s="26" t="s">
        <v>761</v>
      </c>
      <c r="E229" s="23" t="s">
        <v>1393</v>
      </c>
      <c r="F229" s="26" t="str">
        <f>VLOOKUP(Table36[[#This Row],[Picture_no]], [3]ENGLISH.txt!$1:$1048576, 2, 0)</f>
        <v>honey</v>
      </c>
      <c r="G229" s="22" t="s">
        <v>1394</v>
      </c>
      <c r="H229" s="26" t="s">
        <v>934</v>
      </c>
      <c r="I229" s="26">
        <f>LEN(Table36[[#This Row],[Spanish]])</f>
        <v>4</v>
      </c>
      <c r="J229" s="26">
        <f>VLOOKUP(Table36[[#This Row],[Spanish]], [1]Sheet1!$1:$1048576, 4, 0)</f>
        <v>4</v>
      </c>
      <c r="K229" s="26">
        <f>VLOOKUP(Table36[[#This Row],[Spanish]], [1]Sheet1!$1:$1048576, 5, 9)</f>
        <v>3</v>
      </c>
      <c r="L229" s="28">
        <f>VLOOKUP(Table36[[#This Row],[Spanish]], [2]Sheet1!$1:$1048576, 2, 0)</f>
        <v>16.629162999999998</v>
      </c>
      <c r="M229" s="28">
        <f>VLOOKUP(Table36[[#This Row],[Spanish]], [2]Sheet1!$1:$1048576, 3, 0)</f>
        <v>1.246232</v>
      </c>
      <c r="N229" s="28">
        <f>VLOOKUP(Table36[[#This Row],[Spanish]], [2]Sheet1!$1:$1048576, 6, 0)</f>
        <v>5.4009999999999998</v>
      </c>
      <c r="O229" s="29">
        <v>0</v>
      </c>
      <c r="P229" s="29">
        <v>100</v>
      </c>
      <c r="Q229" s="26">
        <v>100</v>
      </c>
      <c r="R229" s="26">
        <v>1</v>
      </c>
      <c r="S229" s="26">
        <v>0</v>
      </c>
      <c r="T229" s="26">
        <v>0</v>
      </c>
      <c r="U229" s="28">
        <v>2.3838383840000001</v>
      </c>
    </row>
    <row r="230" spans="1:21" x14ac:dyDescent="0.3">
      <c r="A230" s="25">
        <v>229</v>
      </c>
      <c r="B230" s="26">
        <v>611</v>
      </c>
      <c r="C230" s="27" t="s">
        <v>762</v>
      </c>
      <c r="D230" s="30" t="s">
        <v>763</v>
      </c>
      <c r="E230" s="23" t="s">
        <v>763</v>
      </c>
      <c r="F230" s="30" t="str">
        <f>VLOOKUP(Table36[[#This Row],[Picture_no]], [3]ENGLISH.txt!$1:$1048576, 2, 0)</f>
        <v>plant</v>
      </c>
      <c r="G230" s="22" t="s">
        <v>1079</v>
      </c>
      <c r="H230" s="26" t="s">
        <v>935</v>
      </c>
      <c r="I230" s="26">
        <f>LEN(Table36[[#This Row],[Spanish]])</f>
        <v>6</v>
      </c>
      <c r="J230" s="26">
        <f>VLOOKUP(Table36[[#This Row],[Spanish]], [1]Sheet1!$1:$1048576, 4, 0)</f>
        <v>6</v>
      </c>
      <c r="K230" s="26">
        <f>VLOOKUP(Table36[[#This Row],[Spanish]], [1]Sheet1!$1:$1048576, 5, 9)</f>
        <v>2</v>
      </c>
      <c r="L230" s="28">
        <f>VLOOKUP(Table36[[#This Row],[Spanish]], [2]Sheet1!$1:$1048576, 2, 0)</f>
        <v>75.646772999999996</v>
      </c>
      <c r="M230" s="28">
        <f>VLOOKUP(Table36[[#This Row],[Spanish]], [2]Sheet1!$1:$1048576, 3, 0)</f>
        <v>1.8844939999999999</v>
      </c>
      <c r="N230" s="28">
        <f>VLOOKUP(Table36[[#This Row],[Spanish]], [2]Sheet1!$1:$1048576, 6, 0)</f>
        <v>5.9459999999999997</v>
      </c>
      <c r="O230" s="28">
        <v>0.626090653</v>
      </c>
      <c r="P230" s="29">
        <v>90</v>
      </c>
      <c r="Q230" s="26">
        <v>100</v>
      </c>
      <c r="R230" s="26">
        <v>4</v>
      </c>
      <c r="S230" s="26">
        <v>0</v>
      </c>
      <c r="T230" s="26">
        <v>0</v>
      </c>
      <c r="U230" s="28">
        <v>2.5299999999999998</v>
      </c>
    </row>
    <row r="231" spans="1:21" x14ac:dyDescent="0.3">
      <c r="A231" s="25">
        <v>230</v>
      </c>
      <c r="B231" s="26">
        <v>612</v>
      </c>
      <c r="C231" s="27" t="s">
        <v>764</v>
      </c>
      <c r="D231" s="26" t="s">
        <v>765</v>
      </c>
      <c r="E231" s="23" t="s">
        <v>1395</v>
      </c>
      <c r="F231" s="26" t="str">
        <f>VLOOKUP(Table36[[#This Row],[Picture_no]], [3]ENGLISH.txt!$1:$1048576, 2, 0)</f>
        <v>frog</v>
      </c>
      <c r="G231" s="22" t="s">
        <v>1080</v>
      </c>
      <c r="H231" s="26" t="s">
        <v>929</v>
      </c>
      <c r="I231" s="26">
        <f>LEN(Table36[[#This Row],[Spanish]])</f>
        <v>4</v>
      </c>
      <c r="J231" s="26">
        <f>VLOOKUP(Table36[[#This Row],[Spanish]], [1]Sheet1!$1:$1048576, 4, 0)</f>
        <v>4</v>
      </c>
      <c r="K231" s="26">
        <v>2</v>
      </c>
      <c r="L231" s="28">
        <f>VLOOKUP(Table36[[#This Row],[Spanish]], [2]Sheet1!$1:$1048576, 2, 0)</f>
        <v>8.5940089999999998</v>
      </c>
      <c r="M231" s="28">
        <f>VLOOKUP(Table36[[#This Row],[Spanish]], [2]Sheet1!$1:$1048576, 3, 0)</f>
        <v>0.98199999999999998</v>
      </c>
      <c r="N231" s="28">
        <f>VLOOKUP(Table36[[#This Row],[Spanish]], [2]Sheet1!$1:$1048576, 6, 0)</f>
        <v>6.2670000000000003</v>
      </c>
      <c r="O231" s="29">
        <v>0</v>
      </c>
      <c r="P231" s="29">
        <v>100</v>
      </c>
      <c r="Q231" s="26">
        <v>100</v>
      </c>
      <c r="R231" s="26">
        <v>1</v>
      </c>
      <c r="S231" s="26">
        <v>0</v>
      </c>
      <c r="T231" s="26">
        <v>0</v>
      </c>
      <c r="U231" s="28">
        <v>2.67</v>
      </c>
    </row>
    <row r="232" spans="1:21" x14ac:dyDescent="0.3">
      <c r="A232" s="25">
        <v>231</v>
      </c>
      <c r="B232" s="26">
        <v>614</v>
      </c>
      <c r="C232" s="27" t="s">
        <v>768</v>
      </c>
      <c r="D232" s="26" t="s">
        <v>769</v>
      </c>
      <c r="E232" s="23" t="s">
        <v>1396</v>
      </c>
      <c r="F232" s="26" t="str">
        <f>VLOOKUP(Table36[[#This Row],[Picture_no]], [3]ENGLISH.txt!$1:$1048576, 2, 0)</f>
        <v>queen</v>
      </c>
      <c r="G232" s="22" t="s">
        <v>1081</v>
      </c>
      <c r="H232" s="26" t="s">
        <v>931</v>
      </c>
      <c r="I232" s="26">
        <f>LEN(Table36[[#This Row],[Spanish]])</f>
        <v>5</v>
      </c>
      <c r="J232" s="26">
        <f>VLOOKUP(Table36[[#This Row],[Spanish]], [1]Sheet1!$1:$1048576, 4, 0)</f>
        <v>5</v>
      </c>
      <c r="K232" s="26">
        <v>2</v>
      </c>
      <c r="L232" s="28">
        <f>VLOOKUP(Table36[[#This Row],[Spanish]], [2]Sheet1!$1:$1048576, 2, 0)</f>
        <v>92.948510999999996</v>
      </c>
      <c r="M232" s="28">
        <f>VLOOKUP(Table36[[#This Row],[Spanish]], [2]Sheet1!$1:$1048576, 3, 0)</f>
        <v>1.97289</v>
      </c>
      <c r="N232" s="28">
        <f>VLOOKUP(Table36[[#This Row],[Spanish]], [2]Sheet1!$1:$1048576, 6, 0)</f>
        <v>6.3440000000000003</v>
      </c>
      <c r="O232" s="29">
        <v>0</v>
      </c>
      <c r="P232" s="29">
        <v>100</v>
      </c>
      <c r="Q232" s="26">
        <v>100</v>
      </c>
      <c r="R232" s="26">
        <v>1</v>
      </c>
      <c r="S232" s="26">
        <v>0</v>
      </c>
      <c r="T232" s="26">
        <v>0</v>
      </c>
      <c r="U232" s="28">
        <v>3.05</v>
      </c>
    </row>
    <row r="233" spans="1:21" x14ac:dyDescent="0.3">
      <c r="A233" s="25">
        <v>232</v>
      </c>
      <c r="B233" s="26">
        <v>619</v>
      </c>
      <c r="C233" s="27" t="s">
        <v>774</v>
      </c>
      <c r="D233" s="26" t="s">
        <v>775</v>
      </c>
      <c r="E233" s="23" t="s">
        <v>1397</v>
      </c>
      <c r="F233" s="26" t="str">
        <f>VLOOKUP(Table36[[#This Row],[Picture_no]], [3]ENGLISH.txt!$1:$1048576, 2, 0)</f>
        <v>soap</v>
      </c>
      <c r="G233" s="22" t="s">
        <v>1082</v>
      </c>
      <c r="H233" s="26" t="s">
        <v>933</v>
      </c>
      <c r="I233" s="26">
        <f>LEN(Table36[[#This Row],[Spanish]])</f>
        <v>5</v>
      </c>
      <c r="J233" s="26">
        <f>VLOOKUP(Table36[[#This Row],[Spanish]], [1]Sheet1!$1:$1048576, 4, 0)</f>
        <v>5</v>
      </c>
      <c r="K233" s="26">
        <f>VLOOKUP(Table36[[#This Row],[Spanish]], [1]Sheet1!$1:$1048576, 5, 9)</f>
        <v>2</v>
      </c>
      <c r="L233" s="28">
        <f>VLOOKUP(Table36[[#This Row],[Spanish]], [2]Sheet1!$1:$1048576, 2, 0)</f>
        <v>3.9314749999999998</v>
      </c>
      <c r="M233" s="28" t="str">
        <f>VLOOKUP(Table36[[#This Row],[Spanish]], [2]Sheet1!$1:$1048576, 3, 0)</f>
        <v>0.692977</v>
      </c>
      <c r="N233" s="28">
        <f>VLOOKUP(Table36[[#This Row],[Spanish]], [2]Sheet1!$1:$1048576, 6, 0)</f>
        <v>5.6479999999999997</v>
      </c>
      <c r="O233" s="28">
        <v>0.31468260399999998</v>
      </c>
      <c r="P233" s="28">
        <v>94.318181820000007</v>
      </c>
      <c r="Q233" s="26">
        <v>88</v>
      </c>
      <c r="R233" s="26">
        <v>2</v>
      </c>
      <c r="S233" s="26">
        <v>9</v>
      </c>
      <c r="T233" s="26">
        <v>3</v>
      </c>
      <c r="U233" s="28">
        <v>2.2929292929999998</v>
      </c>
    </row>
    <row r="234" spans="1:21" x14ac:dyDescent="0.3">
      <c r="A234" s="25">
        <v>233</v>
      </c>
      <c r="B234" s="26">
        <v>622</v>
      </c>
      <c r="C234" s="27" t="s">
        <v>778</v>
      </c>
      <c r="D234" s="26" t="s">
        <v>779</v>
      </c>
      <c r="E234" s="23" t="s">
        <v>1398</v>
      </c>
      <c r="F234" s="26" t="str">
        <f>VLOOKUP(Table36[[#This Row],[Picture_no]], [3]ENGLISH.txt!$1:$1048576, 2, 0)</f>
        <v>chalk</v>
      </c>
      <c r="G234" s="22" t="s">
        <v>1083</v>
      </c>
      <c r="H234" s="26" t="s">
        <v>933</v>
      </c>
      <c r="I234" s="26">
        <f>LEN(Table36[[#This Row],[Spanish]])</f>
        <v>4</v>
      </c>
      <c r="J234" s="26">
        <f>VLOOKUP(Table36[[#This Row],[Spanish]], [1]Sheet1!$1:$1048576, 4, 0)</f>
        <v>4</v>
      </c>
      <c r="K234" s="26">
        <v>2</v>
      </c>
      <c r="L234" s="28">
        <f>VLOOKUP(Table36[[#This Row],[Spanish]], [2]Sheet1!$1:$1048576, 2, 0)</f>
        <v>1.348398</v>
      </c>
      <c r="M234" s="28" t="str">
        <f>VLOOKUP(Table36[[#This Row],[Spanish]], [2]Sheet1!$1:$1048576, 3, 0)</f>
        <v>0.370772</v>
      </c>
      <c r="N234" s="28">
        <f>VLOOKUP(Table36[[#This Row],[Spanish]], [2]Sheet1!$1:$1048576, 6, 0)</f>
        <v>0</v>
      </c>
      <c r="O234" s="28">
        <v>0.28229218900000003</v>
      </c>
      <c r="P234" s="29">
        <v>96</v>
      </c>
      <c r="Q234" s="26">
        <v>100</v>
      </c>
      <c r="R234" s="26">
        <v>3</v>
      </c>
      <c r="S234" s="26">
        <v>0</v>
      </c>
      <c r="T234" s="26">
        <v>0</v>
      </c>
      <c r="U234" s="28">
        <v>2.06</v>
      </c>
    </row>
    <row r="235" spans="1:21" x14ac:dyDescent="0.3">
      <c r="A235" s="25">
        <v>234</v>
      </c>
      <c r="B235" s="26">
        <v>625</v>
      </c>
      <c r="C235" s="27" t="s">
        <v>780</v>
      </c>
      <c r="D235" s="26" t="s">
        <v>781</v>
      </c>
      <c r="E235" s="23" t="s">
        <v>1399</v>
      </c>
      <c r="F235" s="26" t="str">
        <f>VLOOKUP(Table36[[#This Row],[Picture_no]], [3]ENGLISH.txt!$1:$1048576, 2, 0)</f>
        <v>sledge</v>
      </c>
      <c r="G235" s="22" t="s">
        <v>1084</v>
      </c>
      <c r="H235" s="26" t="s">
        <v>938</v>
      </c>
      <c r="I235" s="26">
        <f>LEN(Table36[[#This Row],[Spanish]])</f>
        <v>6</v>
      </c>
      <c r="J235" s="26">
        <f>VLOOKUP(Table36[[#This Row],[Spanish]], [1]Sheet1!$1:$1048576, 4, 0)</f>
        <v>6</v>
      </c>
      <c r="K235" s="26">
        <v>3</v>
      </c>
      <c r="L235" s="28">
        <f>VLOOKUP(Table36[[#This Row],[Spanish]], [2]Sheet1!$1:$1048576, 2, 0)</f>
        <v>1.80328</v>
      </c>
      <c r="M235" s="28" t="str">
        <f>VLOOKUP(Table36[[#This Row],[Spanish]], [2]Sheet1!$1:$1048576, 3, 0)</f>
        <v>0.447666</v>
      </c>
      <c r="N235" s="28">
        <f>VLOOKUP(Table36[[#This Row],[Spanish]], [2]Sheet1!$1:$1048576, 6, 0)</f>
        <v>0</v>
      </c>
      <c r="O235" s="28">
        <v>0.14489961800000001</v>
      </c>
      <c r="P235" s="28">
        <v>97.93814433</v>
      </c>
      <c r="Q235" s="26">
        <v>97</v>
      </c>
      <c r="R235" s="26">
        <v>2</v>
      </c>
      <c r="S235" s="26">
        <v>2</v>
      </c>
      <c r="T235" s="26">
        <v>1</v>
      </c>
      <c r="U235" s="28">
        <v>2.15</v>
      </c>
    </row>
    <row r="236" spans="1:21" x14ac:dyDescent="0.3">
      <c r="A236" s="25">
        <v>235</v>
      </c>
      <c r="B236" s="26">
        <v>626</v>
      </c>
      <c r="C236" s="27" t="s">
        <v>782</v>
      </c>
      <c r="D236" s="30" t="s">
        <v>783</v>
      </c>
      <c r="E236" s="23" t="s">
        <v>1400</v>
      </c>
      <c r="F236" s="30" t="str">
        <f>VLOOKUP(Table36[[#This Row],[Picture_no]], [3]ENGLISH.txt!$1:$1048576, 2, 0)</f>
        <v>piano</v>
      </c>
      <c r="G236" s="7" t="s">
        <v>1401</v>
      </c>
      <c r="H236" s="26" t="s">
        <v>939</v>
      </c>
      <c r="I236" s="26">
        <f>LEN(Table36[[#This Row],[Spanish]])</f>
        <v>5</v>
      </c>
      <c r="J236" s="26">
        <f>VLOOKUP(Table36[[#This Row],[Spanish]], [1]Sheet1!$1:$1048576, 4, 0)</f>
        <v>5</v>
      </c>
      <c r="K236" s="26">
        <f>VLOOKUP(Table36[[#This Row],[Spanish]], [1]Sheet1!$1:$1048576, 5, 9)</f>
        <v>3</v>
      </c>
      <c r="L236" s="28">
        <f>VLOOKUP(Table36[[#This Row],[Spanish]], [2]Sheet1!$1:$1048576, 2, 0)</f>
        <v>35.406016999999999</v>
      </c>
      <c r="M236" s="28">
        <f>VLOOKUP(Table36[[#This Row],[Spanish]], [2]Sheet1!$1:$1048576, 3, 0)</f>
        <v>1.5611729999999999</v>
      </c>
      <c r="N236" s="28">
        <f>VLOOKUP(Table36[[#This Row],[Spanish]], [2]Sheet1!$1:$1048576, 6, 0)</f>
        <v>6.5650000000000004</v>
      </c>
      <c r="O236" s="29">
        <v>0</v>
      </c>
      <c r="P236" s="29">
        <v>100</v>
      </c>
      <c r="Q236" s="26">
        <v>100</v>
      </c>
      <c r="R236" s="26">
        <v>1</v>
      </c>
      <c r="S236" s="26">
        <v>0</v>
      </c>
      <c r="T236" s="26">
        <v>0</v>
      </c>
      <c r="U236" s="28">
        <v>2.85</v>
      </c>
    </row>
    <row r="237" spans="1:21" x14ac:dyDescent="0.3">
      <c r="A237" s="25">
        <v>236</v>
      </c>
      <c r="B237" s="26">
        <v>631</v>
      </c>
      <c r="C237" s="27" t="s">
        <v>786</v>
      </c>
      <c r="D237" s="26" t="s">
        <v>787</v>
      </c>
      <c r="E237" s="23" t="s">
        <v>1402</v>
      </c>
      <c r="F237" s="26" t="str">
        <f>VLOOKUP(Table36[[#This Row],[Picture_no]], [3]ENGLISH.txt!$1:$1048576, 2, 0)</f>
        <v>burglar</v>
      </c>
      <c r="G237" s="22" t="s">
        <v>1403</v>
      </c>
      <c r="H237" s="26" t="s">
        <v>931</v>
      </c>
      <c r="I237" s="26">
        <f>LEN(Table36[[#This Row],[Spanish]])</f>
        <v>6</v>
      </c>
      <c r="J237" s="26">
        <f>VLOOKUP(Table36[[#This Row],[Spanish]], [1]Sheet1!$1:$1048576, 4, 0)</f>
        <v>6</v>
      </c>
      <c r="K237" s="26">
        <f>VLOOKUP(Table36[[#This Row],[Spanish]], [1]Sheet1!$1:$1048576, 5, 9)</f>
        <v>3</v>
      </c>
      <c r="L237" s="28">
        <f>VLOOKUP(Table36[[#This Row],[Spanish]], [2]Sheet1!$1:$1048576, 2, 0)</f>
        <v>14.416491000000001</v>
      </c>
      <c r="M237" s="28">
        <f>VLOOKUP(Table36[[#This Row],[Spanish]], [2]Sheet1!$1:$1048576, 3, 0)</f>
        <v>1.187986</v>
      </c>
      <c r="N237" s="28">
        <f>VLOOKUP(Table36[[#This Row],[Spanish]], [2]Sheet1!$1:$1048576, 6, 0)</f>
        <v>5.4379999999999997</v>
      </c>
      <c r="O237" s="28">
        <v>0.141440543</v>
      </c>
      <c r="P237" s="29">
        <v>98</v>
      </c>
      <c r="Q237" s="26">
        <v>100</v>
      </c>
      <c r="R237" s="26">
        <v>2</v>
      </c>
      <c r="S237" s="26">
        <v>0</v>
      </c>
      <c r="T237" s="26">
        <v>0</v>
      </c>
      <c r="U237" s="28">
        <v>2.52</v>
      </c>
    </row>
    <row r="238" spans="1:21" x14ac:dyDescent="0.3">
      <c r="A238" s="25">
        <v>237</v>
      </c>
      <c r="B238" s="26">
        <v>633</v>
      </c>
      <c r="C238" s="27" t="s">
        <v>788</v>
      </c>
      <c r="D238" s="26" t="s">
        <v>789</v>
      </c>
      <c r="E238" s="23" t="s">
        <v>1404</v>
      </c>
      <c r="F238" s="26" t="str">
        <f>VLOOKUP(Table36[[#This Row],[Picture_no]], [3]ENGLISH.txt!$1:$1048576, 2, 0)</f>
        <v>funnel</v>
      </c>
      <c r="G238" s="22" t="s">
        <v>1405</v>
      </c>
      <c r="H238" s="26" t="s">
        <v>933</v>
      </c>
      <c r="I238" s="26">
        <f>LEN(Table36[[#This Row],[Spanish]])</f>
        <v>6</v>
      </c>
      <c r="J238" s="26">
        <f>VLOOKUP(Table36[[#This Row],[Spanish]], [1]Sheet1!$1:$1048576, 4, 0)</f>
        <v>6</v>
      </c>
      <c r="K238" s="26">
        <f>VLOOKUP(Table36[[#This Row],[Spanish]], [1]Sheet1!$1:$1048576, 5, 9)</f>
        <v>3</v>
      </c>
      <c r="L238" s="28">
        <f>VLOOKUP(Table36[[#This Row],[Spanish]], [2]Sheet1!$1:$1048576, 2, 0)</f>
        <v>1.3743920000000001</v>
      </c>
      <c r="M238" s="28" t="str">
        <f>VLOOKUP(Table36[[#This Row],[Spanish]], [2]Sheet1!$1:$1048576, 3, 0)</f>
        <v>0.375552</v>
      </c>
      <c r="N238" s="28">
        <f>VLOOKUP(Table36[[#This Row],[Spanish]], [2]Sheet1!$1:$1048576, 6, 0)</f>
        <v>0</v>
      </c>
      <c r="O238" s="28">
        <v>0.33729006700000003</v>
      </c>
      <c r="P238" s="28">
        <v>93.75</v>
      </c>
      <c r="Q238" s="26">
        <v>96</v>
      </c>
      <c r="R238" s="26">
        <v>2</v>
      </c>
      <c r="S238" s="26">
        <v>2</v>
      </c>
      <c r="T238" s="26">
        <v>2</v>
      </c>
      <c r="U238" s="28">
        <v>2</v>
      </c>
    </row>
    <row r="239" spans="1:21" x14ac:dyDescent="0.3">
      <c r="A239" s="25">
        <v>238</v>
      </c>
      <c r="B239" s="26">
        <v>635</v>
      </c>
      <c r="C239" s="27" t="s">
        <v>790</v>
      </c>
      <c r="D239" s="26" t="s">
        <v>791</v>
      </c>
      <c r="E239" s="23" t="s">
        <v>1469</v>
      </c>
      <c r="F239" s="26" t="str">
        <f>VLOOKUP(Table36[[#This Row],[Picture_no]], [3]ENGLISH.txt!$1:$1048576, 2, 0)</f>
        <v>pig</v>
      </c>
      <c r="G239" s="22" t="s">
        <v>1042</v>
      </c>
      <c r="H239" s="26" t="s">
        <v>929</v>
      </c>
      <c r="I239" s="26">
        <f>LEN(Table36[[#This Row],[Spanish]])</f>
        <v>6</v>
      </c>
      <c r="J239" s="26">
        <f>VLOOKUP(Table36[[#This Row],[Spanish]], [1]Sheet1!$1:$1048576, 4, 0)</f>
        <v>6</v>
      </c>
      <c r="K239" s="26">
        <f>VLOOKUP(Table36[[#This Row],[Spanish]], [1]Sheet1!$1:$1048576, 5, 9)</f>
        <v>2</v>
      </c>
      <c r="L239" s="28">
        <f>VLOOKUP(Table36[[#This Row],[Spanish]], [2]Sheet1!$1:$1048576, 2, 0)</f>
        <v>4.0451949999999997</v>
      </c>
      <c r="M239" s="28" t="str">
        <f>VLOOKUP(Table36[[#This Row],[Spanish]], [2]Sheet1!$1:$1048576, 3, 0)</f>
        <v>0.702878</v>
      </c>
      <c r="N239" s="28">
        <f>VLOOKUP(Table36[[#This Row],[Spanish]], [2]Sheet1!$1:$1048576, 6, 0)</f>
        <v>5.69</v>
      </c>
      <c r="O239" s="28">
        <v>0.416844196</v>
      </c>
      <c r="P239" s="28">
        <v>91.578947369999995</v>
      </c>
      <c r="Q239" s="26">
        <v>95</v>
      </c>
      <c r="R239" s="26">
        <v>2</v>
      </c>
      <c r="S239" s="26">
        <v>5</v>
      </c>
      <c r="T239" s="26">
        <v>0</v>
      </c>
      <c r="U239" s="28">
        <v>3.08</v>
      </c>
    </row>
    <row r="240" spans="1:21" x14ac:dyDescent="0.3">
      <c r="A240" s="25">
        <v>239</v>
      </c>
      <c r="B240" s="26">
        <v>636</v>
      </c>
      <c r="C240" s="27" t="s">
        <v>792</v>
      </c>
      <c r="D240" s="26" t="s">
        <v>793</v>
      </c>
      <c r="E240" s="23" t="s">
        <v>1406</v>
      </c>
      <c r="F240" s="26" t="str">
        <f>VLOOKUP(Table36[[#This Row],[Picture_no]], [3]ENGLISH.txt!$1:$1048576, 2, 0)</f>
        <v>sheep</v>
      </c>
      <c r="G240" s="22" t="s">
        <v>1085</v>
      </c>
      <c r="H240" s="26" t="s">
        <v>929</v>
      </c>
      <c r="I240" s="26">
        <f>LEN(Table36[[#This Row],[Spanish]])</f>
        <v>5</v>
      </c>
      <c r="J240" s="26">
        <f>VLOOKUP(Table36[[#This Row],[Spanish]], [1]Sheet1!$1:$1048576, 4, 0)</f>
        <v>5</v>
      </c>
      <c r="K240" s="26">
        <f>VLOOKUP(Table36[[#This Row],[Spanish]], [1]Sheet1!$1:$1048576, 5, 9)</f>
        <v>3</v>
      </c>
      <c r="L240" s="28">
        <f>VLOOKUP(Table36[[#This Row],[Spanish]], [2]Sheet1!$1:$1048576, 2, 0)</f>
        <v>20.924543</v>
      </c>
      <c r="M240" s="28">
        <f>VLOOKUP(Table36[[#This Row],[Spanish]], [2]Sheet1!$1:$1048576, 3, 0)</f>
        <v>1.3409310000000001</v>
      </c>
      <c r="N240" s="28">
        <f>VLOOKUP(Table36[[#This Row],[Spanish]], [2]Sheet1!$1:$1048576, 6, 0)</f>
        <v>6.3220000000000001</v>
      </c>
      <c r="O240" s="29">
        <v>0</v>
      </c>
      <c r="P240" s="29">
        <v>100</v>
      </c>
      <c r="Q240" s="26">
        <v>99</v>
      </c>
      <c r="R240" s="26">
        <v>1</v>
      </c>
      <c r="S240" s="26">
        <v>0</v>
      </c>
      <c r="T240" s="26">
        <v>1</v>
      </c>
      <c r="U240" s="28">
        <v>2.7777777779999999</v>
      </c>
    </row>
    <row r="241" spans="1:21" x14ac:dyDescent="0.3">
      <c r="A241" s="25">
        <v>240</v>
      </c>
      <c r="B241" s="26">
        <v>640</v>
      </c>
      <c r="C241" s="27" t="s">
        <v>796</v>
      </c>
      <c r="D241" s="30" t="s">
        <v>797</v>
      </c>
      <c r="E241" s="23" t="s">
        <v>1407</v>
      </c>
      <c r="F241" s="30" t="str">
        <f>VLOOKUP(Table36[[#This Row],[Picture_no]], [3]ENGLISH.txt!$1:$1048576, 2, 0)</f>
        <v>cactus</v>
      </c>
      <c r="G241" s="22" t="s">
        <v>1408</v>
      </c>
      <c r="H241" s="26" t="s">
        <v>935</v>
      </c>
      <c r="I241" s="26">
        <f>LEN(Table36[[#This Row],[Spanish]])</f>
        <v>6</v>
      </c>
      <c r="J241" s="26">
        <f>VLOOKUP(Table36[[#This Row],[Spanish]], [1]Sheet1!$1:$1048576, 4, 0)</f>
        <v>6</v>
      </c>
      <c r="K241" s="26">
        <f>VLOOKUP(Table36[[#This Row],[Spanish]], [1]Sheet1!$1:$1048576, 5, 9)</f>
        <v>2</v>
      </c>
      <c r="L241" s="28">
        <f>VLOOKUP(Table36[[#This Row],[Spanish]], [2]Sheet1!$1:$1048576, 2, 0)</f>
        <v>1.884509</v>
      </c>
      <c r="M241" s="28" t="str">
        <f>VLOOKUP(Table36[[#This Row],[Spanish]], [2]Sheet1!$1:$1048576, 3, 0)</f>
        <v>0.460072</v>
      </c>
      <c r="N241" s="28">
        <f>VLOOKUP(Table36[[#This Row],[Spanish]], [2]Sheet1!$1:$1048576, 6, 0)</f>
        <v>6.5090000000000003</v>
      </c>
      <c r="O241" s="29">
        <v>0</v>
      </c>
      <c r="P241" s="29">
        <v>100</v>
      </c>
      <c r="Q241" s="26">
        <v>97</v>
      </c>
      <c r="R241" s="26">
        <v>1</v>
      </c>
      <c r="S241" s="26">
        <v>3</v>
      </c>
      <c r="T241" s="26">
        <v>0</v>
      </c>
      <c r="U241" s="28">
        <v>2.676767677</v>
      </c>
    </row>
    <row r="242" spans="1:21" x14ac:dyDescent="0.3">
      <c r="A242" s="25">
        <v>241</v>
      </c>
      <c r="B242" s="26">
        <v>646</v>
      </c>
      <c r="C242" s="27" t="s">
        <v>802</v>
      </c>
      <c r="D242" s="26" t="s">
        <v>803</v>
      </c>
      <c r="E242" s="23" t="s">
        <v>1409</v>
      </c>
      <c r="F242" s="26" t="str">
        <f>VLOOKUP(Table36[[#This Row],[Picture_no]], [3]ENGLISH.txt!$1:$1048576, 2, 0)</f>
        <v>stump</v>
      </c>
      <c r="G242" s="22" t="s">
        <v>1086</v>
      </c>
      <c r="H242" s="26" t="s">
        <v>935</v>
      </c>
      <c r="I242" s="26">
        <f>LEN(Table36[[#This Row],[Spanish]])</f>
        <v>6</v>
      </c>
      <c r="J242" s="26">
        <f>VLOOKUP(Table36[[#This Row],[Spanish]], [1]Sheet1!$1:$1048576, 4, 0)</f>
        <v>6</v>
      </c>
      <c r="K242" s="26">
        <v>2</v>
      </c>
      <c r="L242" s="28">
        <f>VLOOKUP(Table36[[#This Row],[Spanish]], [2]Sheet1!$1:$1048576, 2, 0)</f>
        <v>12.564473</v>
      </c>
      <c r="M242" s="28">
        <f>VLOOKUP(Table36[[#This Row],[Spanish]], [2]Sheet1!$1:$1048576, 3, 0)</f>
        <v>1.132403</v>
      </c>
      <c r="N242" s="28">
        <f>VLOOKUP(Table36[[#This Row],[Spanish]], [2]Sheet1!$1:$1048576, 6, 0)</f>
        <v>5.9089999999999998</v>
      </c>
      <c r="O242" s="28">
        <v>0.28639695700000001</v>
      </c>
      <c r="P242" s="29">
        <v>95</v>
      </c>
      <c r="Q242" s="26">
        <v>100</v>
      </c>
      <c r="R242" s="26">
        <v>2</v>
      </c>
      <c r="S242" s="26">
        <v>0</v>
      </c>
      <c r="T242" s="26">
        <v>0</v>
      </c>
      <c r="U242" s="28">
        <v>2.86</v>
      </c>
    </row>
    <row r="243" spans="1:21" x14ac:dyDescent="0.3">
      <c r="A243" s="25">
        <v>242</v>
      </c>
      <c r="B243" s="26">
        <v>650</v>
      </c>
      <c r="C243" s="27" t="s">
        <v>806</v>
      </c>
      <c r="D243" s="30" t="s">
        <v>807</v>
      </c>
      <c r="E243" s="23" t="s">
        <v>1410</v>
      </c>
      <c r="F243" s="30" t="str">
        <f>VLOOKUP(Table36[[#This Row],[Picture_no]], [3]ENGLISH.txt!$1:$1048576, 2, 0)</f>
        <v>sponge</v>
      </c>
      <c r="G243" s="22" t="s">
        <v>1087</v>
      </c>
      <c r="H243" s="26" t="s">
        <v>933</v>
      </c>
      <c r="I243" s="26">
        <f>LEN(Table36[[#This Row],[Spanish]])</f>
        <v>7</v>
      </c>
      <c r="J243" s="26">
        <f>VLOOKUP(Table36[[#This Row],[Spanish]], [1]Sheet1!$1:$1048576, 4, 0)</f>
        <v>7</v>
      </c>
      <c r="K243" s="26">
        <f>VLOOKUP(Table36[[#This Row],[Spanish]], [1]Sheet1!$1:$1048576, 5, 9)</f>
        <v>3</v>
      </c>
      <c r="L243" s="28">
        <f>VLOOKUP(Table36[[#This Row],[Spanish]], [2]Sheet1!$1:$1048576, 2, 0)</f>
        <v>1.9040029999999999</v>
      </c>
      <c r="M243" s="28" t="str">
        <f>VLOOKUP(Table36[[#This Row],[Spanish]], [2]Sheet1!$1:$1048576, 3, 0)</f>
        <v>0.462997</v>
      </c>
      <c r="N243" s="28">
        <f>VLOOKUP(Table36[[#This Row],[Spanish]], [2]Sheet1!$1:$1048576, 6, 0)</f>
        <v>6.2119999999999997</v>
      </c>
      <c r="O243" s="28">
        <v>0.43587529699999999</v>
      </c>
      <c r="P243" s="28">
        <v>92.957746479999997</v>
      </c>
      <c r="Q243" s="26">
        <v>71</v>
      </c>
      <c r="R243" s="26">
        <v>3</v>
      </c>
      <c r="S243" s="26">
        <v>28</v>
      </c>
      <c r="T243" s="26">
        <v>1</v>
      </c>
      <c r="U243" s="28">
        <v>3.13</v>
      </c>
    </row>
    <row r="244" spans="1:21" x14ac:dyDescent="0.3">
      <c r="A244" s="25">
        <v>243</v>
      </c>
      <c r="B244" s="26">
        <v>652</v>
      </c>
      <c r="C244" s="27" t="s">
        <v>808</v>
      </c>
      <c r="D244" s="26" t="s">
        <v>809</v>
      </c>
      <c r="E244" s="23" t="s">
        <v>1411</v>
      </c>
      <c r="F244" s="26" t="str">
        <f>VLOOKUP(Table36[[#This Row],[Picture_no]], [3]ENGLISH.txt!$1:$1048576, 2, 0)</f>
        <v>ferris wheel</v>
      </c>
      <c r="G244" s="22" t="s">
        <v>1412</v>
      </c>
      <c r="H244" s="26" t="s">
        <v>933</v>
      </c>
      <c r="I244" s="26">
        <f>LEN(Table36[[#This Row],[Spanish]])</f>
        <v>5</v>
      </c>
      <c r="J244" s="26">
        <f>VLOOKUP(Table36[[#This Row],[Spanish]], [1]Sheet1!$1:$1048576, 4, 0)</f>
        <v>5</v>
      </c>
      <c r="K244" s="26">
        <f>VLOOKUP(Table36[[#This Row],[Spanish]], [1]Sheet1!$1:$1048576, 5, 9)</f>
        <v>3</v>
      </c>
      <c r="L244" s="28">
        <f>VLOOKUP(Table36[[#This Row],[Spanish]], [2]Sheet1!$1:$1048576, 2, 0)</f>
        <v>1.514105</v>
      </c>
      <c r="M244" s="28" t="str">
        <f>VLOOKUP(Table36[[#This Row],[Spanish]], [2]Sheet1!$1:$1048576, 3, 0)</f>
        <v>0.400383</v>
      </c>
      <c r="N244" s="28">
        <f>VLOOKUP(Table36[[#This Row],[Spanish]], [2]Sheet1!$1:$1048576, 6, 0)</f>
        <v>0</v>
      </c>
      <c r="O244" s="28">
        <v>0.14372616999999999</v>
      </c>
      <c r="P244" s="28">
        <v>97.959183670000002</v>
      </c>
      <c r="Q244" s="26">
        <v>98</v>
      </c>
      <c r="R244" s="26">
        <v>2</v>
      </c>
      <c r="S244" s="26">
        <v>0</v>
      </c>
      <c r="T244" s="26">
        <v>2</v>
      </c>
      <c r="U244" s="28">
        <v>3</v>
      </c>
    </row>
    <row r="245" spans="1:21" x14ac:dyDescent="0.3">
      <c r="A245" s="25">
        <v>244</v>
      </c>
      <c r="B245" s="26">
        <v>654</v>
      </c>
      <c r="C245" s="27" t="s">
        <v>812</v>
      </c>
      <c r="D245" s="26" t="s">
        <v>813</v>
      </c>
      <c r="E245" s="23" t="s">
        <v>1413</v>
      </c>
      <c r="F245" s="26" t="str">
        <f>VLOOKUP(Table36[[#This Row],[Picture_no]], [3]ENGLISH.txt!$1:$1048576, 2, 0)</f>
        <v>pencil</v>
      </c>
      <c r="G245" s="22" t="s">
        <v>1414</v>
      </c>
      <c r="H245" s="26" t="s">
        <v>933</v>
      </c>
      <c r="I245" s="26">
        <f>LEN(Table36[[#This Row],[Spanish]])</f>
        <v>5</v>
      </c>
      <c r="J245" s="26">
        <f>VLOOKUP(Table36[[#This Row],[Spanish]], [1]Sheet1!$1:$1048576, 4, 0)</f>
        <v>5</v>
      </c>
      <c r="K245" s="26">
        <f>VLOOKUP(Table36[[#This Row],[Spanish]], [1]Sheet1!$1:$1048576, 5, 9)</f>
        <v>3</v>
      </c>
      <c r="L245" s="28">
        <f>VLOOKUP(Table36[[#This Row],[Spanish]], [2]Sheet1!$1:$1048576, 2, 0)</f>
        <v>5.4455799999999996</v>
      </c>
      <c r="M245" s="28" t="str">
        <f>VLOOKUP(Table36[[#This Row],[Spanish]], [2]Sheet1!$1:$1048576, 3, 0)</f>
        <v>0.809262</v>
      </c>
      <c r="N245" s="28">
        <f>VLOOKUP(Table36[[#This Row],[Spanish]], [2]Sheet1!$1:$1048576, 6, 0)</f>
        <v>5.96</v>
      </c>
      <c r="O245" s="28">
        <v>0.194391858</v>
      </c>
      <c r="P245" s="29">
        <v>97</v>
      </c>
      <c r="Q245" s="26">
        <v>100</v>
      </c>
      <c r="R245" s="26">
        <v>2</v>
      </c>
      <c r="S245" s="26">
        <v>0</v>
      </c>
      <c r="T245" s="26">
        <v>0</v>
      </c>
      <c r="U245" s="28">
        <v>1.83</v>
      </c>
    </row>
    <row r="246" spans="1:21" x14ac:dyDescent="0.3">
      <c r="A246" s="25">
        <v>245</v>
      </c>
      <c r="B246" s="26">
        <v>656</v>
      </c>
      <c r="C246" s="27" t="s">
        <v>814</v>
      </c>
      <c r="D246" s="26" t="s">
        <v>815</v>
      </c>
      <c r="E246" s="23" t="s">
        <v>815</v>
      </c>
      <c r="F246" s="26" t="str">
        <f>VLOOKUP(Table36[[#This Row],[Picture_no]], [3]ENGLISH.txt!$1:$1048576, 2, 0)</f>
        <v>battery</v>
      </c>
      <c r="G246" s="22" t="s">
        <v>1415</v>
      </c>
      <c r="H246" s="26" t="s">
        <v>933</v>
      </c>
      <c r="I246" s="26">
        <f>LEN(Table36[[#This Row],[Spanish]])</f>
        <v>4</v>
      </c>
      <c r="J246" s="26">
        <f>VLOOKUP(Table36[[#This Row],[Spanish]], [1]Sheet1!$1:$1048576, 4, 0)</f>
        <v>4</v>
      </c>
      <c r="K246" s="26">
        <f>VLOOKUP(Table36[[#This Row],[Spanish]], [1]Sheet1!$1:$1048576, 5, 9)</f>
        <v>3</v>
      </c>
      <c r="L246" s="28">
        <f>VLOOKUP(Table36[[#This Row],[Spanish]], [2]Sheet1!$1:$1048576, 2, 0)</f>
        <v>8.8506920000000004</v>
      </c>
      <c r="M246" s="28">
        <f>VLOOKUP(Table36[[#This Row],[Spanish]], [2]Sheet1!$1:$1048576, 3, 0)</f>
        <v>0.99346699999999999</v>
      </c>
      <c r="N246" s="28">
        <f>VLOOKUP(Table36[[#This Row],[Spanish]], [2]Sheet1!$1:$1048576, 6, 0)</f>
        <v>6.0279999999999996</v>
      </c>
      <c r="O246" s="29">
        <v>0</v>
      </c>
      <c r="P246" s="29">
        <v>100</v>
      </c>
      <c r="Q246" s="26">
        <v>100</v>
      </c>
      <c r="R246" s="26">
        <v>1</v>
      </c>
      <c r="S246" s="26">
        <v>0</v>
      </c>
      <c r="T246" s="26">
        <v>0</v>
      </c>
      <c r="U246" s="28">
        <v>1.91</v>
      </c>
    </row>
    <row r="247" spans="1:21" x14ac:dyDescent="0.3">
      <c r="A247" s="25">
        <v>246</v>
      </c>
      <c r="B247" s="26">
        <v>661</v>
      </c>
      <c r="C247" s="27" t="s">
        <v>818</v>
      </c>
      <c r="D247" s="26" t="s">
        <v>819</v>
      </c>
      <c r="E247" s="23" t="s">
        <v>1416</v>
      </c>
      <c r="F247" s="26" t="str">
        <f>VLOOKUP(Table36[[#This Row],[Picture_no]], [3]ENGLISH.txt!$1:$1048576, 2, 0)</f>
        <v>drawer</v>
      </c>
      <c r="G247" s="7" t="s">
        <v>1417</v>
      </c>
      <c r="H247" s="26" t="s">
        <v>937</v>
      </c>
      <c r="I247" s="26">
        <f>LEN(Table36[[#This Row],[Spanish]])</f>
        <v>5</v>
      </c>
      <c r="J247" s="26">
        <f>VLOOKUP(Table36[[#This Row],[Spanish]], [1]Sheet1!$1:$1048576, 4, 0)</f>
        <v>5</v>
      </c>
      <c r="K247" s="26">
        <f>VLOOKUP(Table36[[#This Row],[Spanish]], [1]Sheet1!$1:$1048576, 5, 9)</f>
        <v>2</v>
      </c>
      <c r="L247" s="28">
        <f>VLOOKUP(Table36[[#This Row],[Spanish]], [2]Sheet1!$1:$1048576, 2, 0)</f>
        <v>8.145626</v>
      </c>
      <c r="M247" s="28">
        <f>VLOOKUP(Table36[[#This Row],[Spanish]], [2]Sheet1!$1:$1048576, 3, 0)</f>
        <v>0.96121299999999998</v>
      </c>
      <c r="N247" s="28">
        <f>VLOOKUP(Table36[[#This Row],[Spanish]], [2]Sheet1!$1:$1048576, 6, 0)</f>
        <v>6.3920000000000003</v>
      </c>
      <c r="O247" s="29">
        <v>0</v>
      </c>
      <c r="P247" s="29">
        <v>100</v>
      </c>
      <c r="Q247" s="26">
        <v>99</v>
      </c>
      <c r="R247" s="26">
        <v>1</v>
      </c>
      <c r="S247" s="26">
        <v>0</v>
      </c>
      <c r="T247" s="26">
        <v>1</v>
      </c>
      <c r="U247" s="28">
        <v>2.11</v>
      </c>
    </row>
    <row r="248" spans="1:21" x14ac:dyDescent="0.3">
      <c r="A248" s="25">
        <v>247</v>
      </c>
      <c r="B248" s="26">
        <v>663</v>
      </c>
      <c r="C248" s="27" t="s">
        <v>820</v>
      </c>
      <c r="D248" s="26" t="s">
        <v>821</v>
      </c>
      <c r="E248" s="23" t="s">
        <v>1418</v>
      </c>
      <c r="F248" s="26" t="str">
        <f>VLOOKUP(Table36[[#This Row],[Picture_no]], [3]ENGLISH.txt!$1:$1048576, 2, 0)</f>
        <v>pillar</v>
      </c>
      <c r="G248" s="22" t="s">
        <v>1419</v>
      </c>
      <c r="H248" s="26" t="s">
        <v>933</v>
      </c>
      <c r="I248" s="26">
        <f>LEN(Table36[[#This Row],[Spanish]])</f>
        <v>7</v>
      </c>
      <c r="J248" s="26">
        <f>VLOOKUP(Table36[[#This Row],[Spanish]], [1]Sheet1!$1:$1048576, 4, 0)</f>
        <v>7</v>
      </c>
      <c r="K248" s="26">
        <f>VLOOKUP(Table36[[#This Row],[Spanish]], [1]Sheet1!$1:$1048576, 5, 9)</f>
        <v>3</v>
      </c>
      <c r="L248" s="28">
        <f>VLOOKUP(Table36[[#This Row],[Spanish]], [2]Sheet1!$1:$1048576, 2, 0)</f>
        <v>26.948471999999999</v>
      </c>
      <c r="M248" s="28">
        <f>VLOOKUP(Table36[[#This Row],[Spanish]], [2]Sheet1!$1:$1048576, 3, 0)</f>
        <v>1.446358</v>
      </c>
      <c r="N248" s="28">
        <f>VLOOKUP(Table36[[#This Row],[Spanish]], [2]Sheet1!$1:$1048576, 6, 0)</f>
        <v>6.6449999999999996</v>
      </c>
      <c r="O248" s="28">
        <v>0.46206632800000003</v>
      </c>
      <c r="P248" s="28">
        <v>90.217391300000003</v>
      </c>
      <c r="Q248" s="26">
        <v>92</v>
      </c>
      <c r="R248" s="26">
        <v>2</v>
      </c>
      <c r="S248" s="26">
        <v>4</v>
      </c>
      <c r="T248" s="26">
        <v>4</v>
      </c>
      <c r="U248" s="28">
        <v>2.1</v>
      </c>
    </row>
    <row r="249" spans="1:21" x14ac:dyDescent="0.3">
      <c r="A249" s="25">
        <v>248</v>
      </c>
      <c r="B249" s="26">
        <v>664</v>
      </c>
      <c r="C249" s="27" t="s">
        <v>822</v>
      </c>
      <c r="D249" s="26" t="s">
        <v>823</v>
      </c>
      <c r="E249" s="23" t="s">
        <v>1420</v>
      </c>
      <c r="F249" s="26" t="str">
        <f>VLOOKUP(Table36[[#This Row],[Picture_no]], [3]ENGLISH.txt!$1:$1048576, 2, 0)</f>
        <v>dress</v>
      </c>
      <c r="G249" s="22" t="s">
        <v>1088</v>
      </c>
      <c r="H249" s="26" t="s">
        <v>940</v>
      </c>
      <c r="I249" s="26">
        <f>LEN(Table36[[#This Row],[Spanish]])</f>
        <v>7</v>
      </c>
      <c r="J249" s="26">
        <f>VLOOKUP(Table36[[#This Row],[Spanish]], [1]Sheet1!$1:$1048576, 4, 0)</f>
        <v>7</v>
      </c>
      <c r="K249" s="26">
        <v>3</v>
      </c>
      <c r="L249" s="28">
        <f>VLOOKUP(Table36[[#This Row],[Spanish]], [2]Sheet1!$1:$1048576, 2, 0)</f>
        <v>31.224357000000001</v>
      </c>
      <c r="M249" s="28">
        <f>VLOOKUP(Table36[[#This Row],[Spanish]], [2]Sheet1!$1:$1048576, 3, 0)</f>
        <v>1.508184</v>
      </c>
      <c r="N249" s="28">
        <f>VLOOKUP(Table36[[#This Row],[Spanish]], [2]Sheet1!$1:$1048576, 6, 0)</f>
        <v>0</v>
      </c>
      <c r="O249" s="29">
        <v>0</v>
      </c>
      <c r="P249" s="29">
        <v>100</v>
      </c>
      <c r="Q249" s="26">
        <v>98</v>
      </c>
      <c r="R249" s="26">
        <v>1</v>
      </c>
      <c r="S249" s="26">
        <v>0</v>
      </c>
      <c r="T249" s="26">
        <v>2</v>
      </c>
      <c r="U249" s="28">
        <v>2.17</v>
      </c>
    </row>
    <row r="250" spans="1:21" x14ac:dyDescent="0.3">
      <c r="A250" s="25">
        <v>249</v>
      </c>
      <c r="B250" s="26">
        <v>666</v>
      </c>
      <c r="C250" s="27" t="s">
        <v>824</v>
      </c>
      <c r="D250" s="30" t="s">
        <v>825</v>
      </c>
      <c r="E250" s="23" t="s">
        <v>1421</v>
      </c>
      <c r="F250" s="30" t="str">
        <f>VLOOKUP(Table36[[#This Row],[Picture_no]], [3]ENGLISH.txt!$1:$1048576, 2, 0)</f>
        <v>coffee</v>
      </c>
      <c r="G250" s="22" t="s">
        <v>1422</v>
      </c>
      <c r="H250" s="26" t="s">
        <v>934</v>
      </c>
      <c r="I250" s="26">
        <f>LEN(Table36[[#This Row],[Spanish]])</f>
        <v>4</v>
      </c>
      <c r="J250" s="26">
        <f>VLOOKUP(Table36[[#This Row],[Spanish]], [1]Sheet1!$1:$1048576, 4, 0)</f>
        <v>4</v>
      </c>
      <c r="K250" s="26">
        <f>VLOOKUP(Table36[[#This Row],[Spanish]], [1]Sheet1!$1:$1048576, 5, 9)</f>
        <v>2</v>
      </c>
      <c r="L250" s="28">
        <f>VLOOKUP(Table36[[#This Row],[Spanish]], [2]Sheet1!$1:$1048576, 2, 0)</f>
        <v>43.759588000000001</v>
      </c>
      <c r="M250" s="28">
        <f>VLOOKUP(Table36[[#This Row],[Spanish]], [2]Sheet1!$1:$1048576, 3, 0)</f>
        <v>1.6508860000000001</v>
      </c>
      <c r="N250" s="28">
        <f>VLOOKUP(Table36[[#This Row],[Spanish]], [2]Sheet1!$1:$1048576, 6, 0)</f>
        <v>0</v>
      </c>
      <c r="O250" s="29">
        <v>0</v>
      </c>
      <c r="P250" s="29">
        <v>100</v>
      </c>
      <c r="Q250" s="26">
        <v>100</v>
      </c>
      <c r="R250" s="26">
        <v>1</v>
      </c>
      <c r="S250" s="26">
        <v>0</v>
      </c>
      <c r="T250" s="26">
        <v>0</v>
      </c>
      <c r="U250" s="28">
        <v>2.83</v>
      </c>
    </row>
    <row r="251" spans="1:21" x14ac:dyDescent="0.3">
      <c r="A251" s="25">
        <v>250</v>
      </c>
      <c r="B251" s="26">
        <v>669</v>
      </c>
      <c r="C251" s="27" t="s">
        <v>828</v>
      </c>
      <c r="D251" s="30" t="s">
        <v>829</v>
      </c>
      <c r="E251" s="23" t="s">
        <v>829</v>
      </c>
      <c r="F251" s="30" t="str">
        <f>VLOOKUP(Table36[[#This Row],[Picture_no]], [3]ENGLISH.txt!$1:$1048576, 2, 0)</f>
        <v>pilot</v>
      </c>
      <c r="G251" s="22" t="s">
        <v>1423</v>
      </c>
      <c r="H251" s="26" t="s">
        <v>943</v>
      </c>
      <c r="I251" s="26">
        <f>LEN(Table36[[#This Row],[Spanish]])</f>
        <v>6</v>
      </c>
      <c r="J251" s="26">
        <f>VLOOKUP(Table36[[#This Row],[Spanish]], [1]Sheet1!$1:$1048576, 4, 0)</f>
        <v>6</v>
      </c>
      <c r="K251" s="26">
        <f>VLOOKUP(Table36[[#This Row],[Spanish]], [1]Sheet1!$1:$1048576, 5, 9)</f>
        <v>3</v>
      </c>
      <c r="L251" s="28">
        <f>VLOOKUP(Table36[[#This Row],[Spanish]], [2]Sheet1!$1:$1048576, 2, 0)</f>
        <v>34.502752000000001</v>
      </c>
      <c r="M251" s="28">
        <f>VLOOKUP(Table36[[#This Row],[Spanish]], [2]Sheet1!$1:$1048576, 3, 0)</f>
        <v>1.550262</v>
      </c>
      <c r="N251" s="28">
        <f>VLOOKUP(Table36[[#This Row],[Spanish]], [2]Sheet1!$1:$1048576, 6, 0)</f>
        <v>5.3890000000000002</v>
      </c>
      <c r="O251" s="28">
        <v>0.14489961800000001</v>
      </c>
      <c r="P251" s="28">
        <v>97.93814433</v>
      </c>
      <c r="Q251" s="26">
        <v>97</v>
      </c>
      <c r="R251" s="26">
        <v>2</v>
      </c>
      <c r="S251" s="26">
        <v>1</v>
      </c>
      <c r="T251" s="26">
        <v>2</v>
      </c>
      <c r="U251" s="28">
        <v>3.24</v>
      </c>
    </row>
    <row r="252" spans="1:21" x14ac:dyDescent="0.3">
      <c r="A252" s="25">
        <v>251</v>
      </c>
      <c r="B252" s="26">
        <v>673</v>
      </c>
      <c r="C252" s="27" t="s">
        <v>832</v>
      </c>
      <c r="D252" s="26" t="s">
        <v>833</v>
      </c>
      <c r="E252" s="23" t="s">
        <v>1470</v>
      </c>
      <c r="F252" s="26" t="str">
        <f>VLOOKUP(Table36[[#This Row],[Picture_no]], [3]ENGLISH.txt!$1:$1048576, 2, 0)</f>
        <v>fork</v>
      </c>
      <c r="G252" s="22" t="s">
        <v>1089</v>
      </c>
      <c r="H252" s="26" t="s">
        <v>933</v>
      </c>
      <c r="I252" s="26">
        <f>LEN(Table36[[#This Row],[Spanish]])</f>
        <v>7</v>
      </c>
      <c r="J252" s="26">
        <f>VLOOKUP(Table36[[#This Row],[Spanish]], [1]Sheet1!$1:$1048576, 4, 0)</f>
        <v>7</v>
      </c>
      <c r="K252" s="26">
        <v>3</v>
      </c>
      <c r="L252" s="28">
        <f>VLOOKUP(Table36[[#This Row],[Spanish]], [2]Sheet1!$1:$1048576, 2, 0)</f>
        <v>1.9040029999999999</v>
      </c>
      <c r="M252" s="28" t="str">
        <f>VLOOKUP(Table36[[#This Row],[Spanish]], [2]Sheet1!$1:$1048576, 3, 0)</f>
        <v>0.462997</v>
      </c>
      <c r="N252" s="28">
        <f>VLOOKUP(Table36[[#This Row],[Spanish]], [2]Sheet1!$1:$1048576, 6, 0)</f>
        <v>6.4130000000000003</v>
      </c>
      <c r="O252" s="29">
        <v>0</v>
      </c>
      <c r="P252" s="29">
        <v>100</v>
      </c>
      <c r="Q252" s="26">
        <v>100</v>
      </c>
      <c r="R252" s="26">
        <v>1</v>
      </c>
      <c r="S252" s="26">
        <v>0</v>
      </c>
      <c r="T252" s="26">
        <v>0</v>
      </c>
      <c r="U252" s="28">
        <v>1.35</v>
      </c>
    </row>
    <row r="253" spans="1:21" x14ac:dyDescent="0.3">
      <c r="A253" s="25">
        <v>252</v>
      </c>
      <c r="B253" s="26">
        <v>675</v>
      </c>
      <c r="C253" s="27" t="s">
        <v>834</v>
      </c>
      <c r="D253" s="26" t="s">
        <v>835</v>
      </c>
      <c r="E253" s="23" t="s">
        <v>835</v>
      </c>
      <c r="F253" s="26" t="str">
        <f>VLOOKUP(Table36[[#This Row],[Picture_no]], [3]ENGLISH.txt!$1:$1048576, 2, 0)</f>
        <v>windmill</v>
      </c>
      <c r="G253" s="22" t="s">
        <v>1424</v>
      </c>
      <c r="H253" s="26" t="s">
        <v>932</v>
      </c>
      <c r="I253" s="26">
        <f>LEN(Table36[[#This Row],[Spanish]])</f>
        <v>6</v>
      </c>
      <c r="J253" s="26">
        <f>VLOOKUP(Table36[[#This Row],[Spanish]], [1]Sheet1!$1:$1048576, 4, 0)</f>
        <v>6</v>
      </c>
      <c r="K253" s="26">
        <f>VLOOKUP(Table36[[#This Row],[Spanish]], [1]Sheet1!$1:$1048576, 5, 9)</f>
        <v>3</v>
      </c>
      <c r="L253" s="28">
        <f>VLOOKUP(Table36[[#This Row],[Spanish]], [2]Sheet1!$1:$1048576, 2, 0)</f>
        <v>9.6109939999999998</v>
      </c>
      <c r="M253" s="28">
        <f>VLOOKUP(Table36[[#This Row],[Spanish]], [2]Sheet1!$1:$1048576, 3, 0)</f>
        <v>1.0257559999999999</v>
      </c>
      <c r="N253" s="28">
        <f>VLOOKUP(Table36[[#This Row],[Spanish]], [2]Sheet1!$1:$1048576, 6, 0)</f>
        <v>6.0979999999999999</v>
      </c>
      <c r="O253" s="29">
        <v>0</v>
      </c>
      <c r="P253" s="29">
        <v>100</v>
      </c>
      <c r="Q253" s="26">
        <v>100</v>
      </c>
      <c r="R253" s="26">
        <v>1</v>
      </c>
      <c r="S253" s="26">
        <v>0</v>
      </c>
      <c r="T253" s="26">
        <v>0</v>
      </c>
      <c r="U253" s="28">
        <v>2.64</v>
      </c>
    </row>
    <row r="254" spans="1:21" x14ac:dyDescent="0.3">
      <c r="A254" s="25">
        <v>253</v>
      </c>
      <c r="B254" s="26">
        <v>676</v>
      </c>
      <c r="C254" s="27" t="s">
        <v>836</v>
      </c>
      <c r="D254" s="26" t="s">
        <v>837</v>
      </c>
      <c r="E254" s="23" t="s">
        <v>1425</v>
      </c>
      <c r="F254" s="26" t="str">
        <f>VLOOKUP(Table36[[#This Row],[Picture_no]], [3]ENGLISH.txt!$1:$1048576, 2, 0)</f>
        <v>walking stick</v>
      </c>
      <c r="G254" s="22" t="s">
        <v>1426</v>
      </c>
      <c r="H254" s="26" t="s">
        <v>933</v>
      </c>
      <c r="I254" s="26">
        <f>LEN(Table36[[#This Row],[Spanish]])</f>
        <v>6</v>
      </c>
      <c r="J254" s="26">
        <f>VLOOKUP(Table36[[#This Row],[Spanish]], [1]Sheet1!$1:$1048576, 4, 0)</f>
        <v>6</v>
      </c>
      <c r="K254" s="26">
        <f>VLOOKUP(Table36[[#This Row],[Spanish]], [1]Sheet1!$1:$1048576, 5, 9)</f>
        <v>2</v>
      </c>
      <c r="L254" s="28">
        <f>VLOOKUP(Table36[[#This Row],[Spanish]], [2]Sheet1!$1:$1048576, 2, 0)</f>
        <v>7.6355089999999999</v>
      </c>
      <c r="M254" s="28" t="str">
        <f>VLOOKUP(Table36[[#This Row],[Spanish]], [2]Sheet1!$1:$1048576, 3, 0)</f>
        <v>0.936288</v>
      </c>
      <c r="N254" s="28">
        <f>VLOOKUP(Table36[[#This Row],[Spanish]], [2]Sheet1!$1:$1048576, 6, 0)</f>
        <v>6.601</v>
      </c>
      <c r="O254" s="28">
        <v>0.327444919</v>
      </c>
      <c r="P254" s="29">
        <v>94</v>
      </c>
      <c r="Q254" s="26">
        <v>100</v>
      </c>
      <c r="R254" s="26">
        <v>2</v>
      </c>
      <c r="S254" s="26">
        <v>0</v>
      </c>
      <c r="T254" s="26">
        <v>0</v>
      </c>
      <c r="U254" s="28">
        <v>1.66</v>
      </c>
    </row>
    <row r="255" spans="1:21" x14ac:dyDescent="0.3">
      <c r="A255" s="25">
        <v>254</v>
      </c>
      <c r="B255" s="26">
        <v>678</v>
      </c>
      <c r="C255" s="27" t="s">
        <v>838</v>
      </c>
      <c r="D255" s="26" t="s">
        <v>839</v>
      </c>
      <c r="E255" s="23" t="s">
        <v>1427</v>
      </c>
      <c r="F255" s="26" t="str">
        <f>VLOOKUP(Table36[[#This Row],[Picture_no]], [3]ENGLISH.txt!$1:$1048576, 2, 0)</f>
        <v>horn</v>
      </c>
      <c r="G255" s="22" t="s">
        <v>1090</v>
      </c>
      <c r="H255" s="26" t="s">
        <v>939</v>
      </c>
      <c r="I255" s="26">
        <f>LEN(Table36[[#This Row],[Spanish]])</f>
        <v>6</v>
      </c>
      <c r="J255" s="26">
        <f>VLOOKUP(Table36[[#This Row],[Spanish]], [1]Sheet1!$1:$1048576, 4, 0)</f>
        <v>6</v>
      </c>
      <c r="K255" s="26">
        <f>VLOOKUP(Table36[[#This Row],[Spanish]], [1]Sheet1!$1:$1048576, 5, 9)</f>
        <v>3</v>
      </c>
      <c r="L255" s="28">
        <f>VLOOKUP(Table36[[#This Row],[Spanish]], [2]Sheet1!$1:$1048576, 2, 0)</f>
        <v>5.1921460000000002</v>
      </c>
      <c r="M255" s="28" t="str">
        <f>VLOOKUP(Table36[[#This Row],[Spanish]], [2]Sheet1!$1:$1048576, 3, 0)</f>
        <v>0.791841</v>
      </c>
      <c r="N255" s="28">
        <f>VLOOKUP(Table36[[#This Row],[Spanish]], [2]Sheet1!$1:$1048576, 6, 0)</f>
        <v>6.0540000000000003</v>
      </c>
      <c r="O255" s="28">
        <v>0.19745300399999999</v>
      </c>
      <c r="P255" s="28">
        <v>96.938775509999999</v>
      </c>
      <c r="Q255" s="26">
        <v>98</v>
      </c>
      <c r="R255" s="26">
        <v>2</v>
      </c>
      <c r="S255" s="26">
        <v>0</v>
      </c>
      <c r="T255" s="26">
        <v>2</v>
      </c>
      <c r="U255" s="28">
        <v>2.1818181820000002</v>
      </c>
    </row>
    <row r="256" spans="1:21" x14ac:dyDescent="0.3">
      <c r="A256" s="25">
        <v>255</v>
      </c>
      <c r="B256" s="26">
        <v>680</v>
      </c>
      <c r="C256" s="27" t="s">
        <v>840</v>
      </c>
      <c r="D256" s="26" t="s">
        <v>841</v>
      </c>
      <c r="E256" s="23" t="s">
        <v>1428</v>
      </c>
      <c r="F256" s="26" t="str">
        <f>VLOOKUP(Table36[[#This Row],[Picture_no]], [3]ENGLISH.txt!$1:$1048576, 2, 0)</f>
        <v>bow</v>
      </c>
      <c r="G256" s="7" t="s">
        <v>1091</v>
      </c>
      <c r="H256" s="26" t="s">
        <v>933</v>
      </c>
      <c r="I256" s="26">
        <f>LEN(Table36[[#This Row],[Spanish]])</f>
        <v>4</v>
      </c>
      <c r="J256" s="26">
        <f>VLOOKUP(Table36[[#This Row],[Spanish]], [1]Sheet1!$1:$1048576, 4, 0)</f>
        <v>4</v>
      </c>
      <c r="K256" s="26">
        <v>2</v>
      </c>
      <c r="L256" s="28">
        <f>VLOOKUP(Table36[[#This Row],[Spanish]], [2]Sheet1!$1:$1048576, 2, 0)</f>
        <v>35.373525000000001</v>
      </c>
      <c r="M256" s="28">
        <f>VLOOKUP(Table36[[#This Row],[Spanish]], [2]Sheet1!$1:$1048576, 3, 0)</f>
        <v>1.5607850000000001</v>
      </c>
      <c r="N256" s="28">
        <f>VLOOKUP(Table36[[#This Row],[Spanish]], [2]Sheet1!$1:$1048576, 6, 0)</f>
        <v>6.1630000000000003</v>
      </c>
      <c r="O256" s="28">
        <v>0.20390587600000001</v>
      </c>
      <c r="P256" s="28">
        <v>96.808510639999994</v>
      </c>
      <c r="Q256" s="26">
        <v>94</v>
      </c>
      <c r="R256" s="26">
        <v>2</v>
      </c>
      <c r="S256" s="26">
        <v>4</v>
      </c>
      <c r="T256" s="26">
        <v>2</v>
      </c>
      <c r="U256" s="28">
        <v>2.2000000000000002</v>
      </c>
    </row>
    <row r="257" spans="1:21" x14ac:dyDescent="0.3">
      <c r="A257" s="25">
        <v>256</v>
      </c>
      <c r="B257" s="26">
        <v>687</v>
      </c>
      <c r="C257" s="27" t="s">
        <v>852</v>
      </c>
      <c r="D257" s="26" t="s">
        <v>73</v>
      </c>
      <c r="E257" s="23" t="s">
        <v>1429</v>
      </c>
      <c r="F257" s="26" t="str">
        <f>VLOOKUP(Table36[[#This Row],[Picture_no]], [3]ENGLISH.txt!$1:$1048576, 2, 0)</f>
        <v>shirt</v>
      </c>
      <c r="G257" s="22" t="s">
        <v>1092</v>
      </c>
      <c r="H257" s="26" t="s">
        <v>940</v>
      </c>
      <c r="I257" s="26">
        <f>LEN(Table36[[#This Row],[Spanish]])</f>
        <v>6</v>
      </c>
      <c r="J257" s="26">
        <f>VLOOKUP(Table36[[#This Row],[Spanish]], [1]Sheet1!$1:$1048576, 4, 0)</f>
        <v>6</v>
      </c>
      <c r="K257" s="26">
        <f>VLOOKUP(Table36[[#This Row],[Spanish]], [1]Sheet1!$1:$1048576, 5, 9)</f>
        <v>2</v>
      </c>
      <c r="L257" s="28">
        <f>VLOOKUP(Table36[[#This Row],[Spanish]], [2]Sheet1!$1:$1048576, 2, 0)</f>
        <v>13.724421</v>
      </c>
      <c r="M257" s="28">
        <f>VLOOKUP(Table36[[#This Row],[Spanish]], [2]Sheet1!$1:$1048576, 3, 0)</f>
        <v>1.1680379999999999</v>
      </c>
      <c r="N257" s="28">
        <f>VLOOKUP(Table36[[#This Row],[Spanish]], [2]Sheet1!$1:$1048576, 6, 0)</f>
        <v>6.2809999999999997</v>
      </c>
      <c r="O257" s="29">
        <v>0</v>
      </c>
      <c r="P257" s="29">
        <v>100</v>
      </c>
      <c r="Q257" s="26">
        <v>99</v>
      </c>
      <c r="R257" s="26">
        <v>1</v>
      </c>
      <c r="S257" s="26">
        <v>0</v>
      </c>
      <c r="T257" s="26">
        <v>1</v>
      </c>
      <c r="U257" s="28">
        <v>1.86</v>
      </c>
    </row>
    <row r="258" spans="1:21" x14ac:dyDescent="0.3">
      <c r="A258" s="25">
        <v>257</v>
      </c>
      <c r="B258" s="26">
        <v>692</v>
      </c>
      <c r="C258" s="27" t="s">
        <v>855</v>
      </c>
      <c r="D258" s="26" t="s">
        <v>856</v>
      </c>
      <c r="E258" s="23" t="s">
        <v>1430</v>
      </c>
      <c r="F258" s="26" t="str">
        <f>VLOOKUP(Table36[[#This Row],[Picture_no]], [3]ENGLISH.txt!$1:$1048576, 2, 0)</f>
        <v>cherry</v>
      </c>
      <c r="G258" s="22" t="s">
        <v>1431</v>
      </c>
      <c r="H258" s="26" t="s">
        <v>934</v>
      </c>
      <c r="I258" s="26">
        <f>LEN(Table36[[#This Row],[Spanish]])</f>
        <v>6</v>
      </c>
      <c r="J258" s="26">
        <f>VLOOKUP(Table36[[#This Row],[Spanish]], [1]Sheet1!$1:$1048576, 4, 0)</f>
        <v>6</v>
      </c>
      <c r="K258" s="26">
        <f>VLOOKUP(Table36[[#This Row],[Spanish]], [1]Sheet1!$1:$1048576, 5, 9)</f>
        <v>2</v>
      </c>
      <c r="L258" s="28">
        <f>VLOOKUP(Table36[[#This Row],[Spanish]], [2]Sheet1!$1:$1048576, 2, 0)</f>
        <v>1.4101319999999999</v>
      </c>
      <c r="M258" s="28" t="str">
        <f>VLOOKUP(Table36[[#This Row],[Spanish]], [2]Sheet1!$1:$1048576, 3, 0)</f>
        <v>0.382041</v>
      </c>
      <c r="N258" s="28">
        <f>VLOOKUP(Table36[[#This Row],[Spanish]], [2]Sheet1!$1:$1048576, 6, 0)</f>
        <v>0</v>
      </c>
      <c r="O258" s="29">
        <v>0</v>
      </c>
      <c r="P258" s="29">
        <v>100</v>
      </c>
      <c r="Q258" s="26">
        <v>97</v>
      </c>
      <c r="R258" s="26">
        <v>1</v>
      </c>
      <c r="S258" s="26">
        <v>0</v>
      </c>
      <c r="T258" s="26">
        <v>3</v>
      </c>
      <c r="U258" s="28">
        <v>1.65</v>
      </c>
    </row>
    <row r="259" spans="1:21" x14ac:dyDescent="0.3">
      <c r="A259" s="25">
        <v>258</v>
      </c>
      <c r="B259" s="26">
        <v>693</v>
      </c>
      <c r="C259" s="27" t="s">
        <v>857</v>
      </c>
      <c r="D259" s="26" t="s">
        <v>858</v>
      </c>
      <c r="E259" s="23" t="s">
        <v>1432</v>
      </c>
      <c r="F259" s="26" t="str">
        <f>VLOOKUP(Table36[[#This Row],[Picture_no]], [3]ENGLISH.txt!$1:$1048576, 2, 0)</f>
        <v>tree</v>
      </c>
      <c r="G259" s="22" t="s">
        <v>1093</v>
      </c>
      <c r="H259" s="26" t="s">
        <v>935</v>
      </c>
      <c r="I259" s="26">
        <f>LEN(Table36[[#This Row],[Spanish]])</f>
        <v>5</v>
      </c>
      <c r="J259" s="26">
        <f>VLOOKUP(Table36[[#This Row],[Spanish]], [1]Sheet1!$1:$1048576, 4, 0)</f>
        <v>5</v>
      </c>
      <c r="K259" s="26">
        <v>2</v>
      </c>
      <c r="L259" s="28">
        <f>VLOOKUP(Table36[[#This Row],[Spanish]], [2]Sheet1!$1:$1048576, 2, 0)</f>
        <v>49.104444999999998</v>
      </c>
      <c r="M259" s="28">
        <f>VLOOKUP(Table36[[#This Row],[Spanish]], [2]Sheet1!$1:$1048576, 3, 0)</f>
        <v>1.6998759999999999</v>
      </c>
      <c r="N259" s="28">
        <f>VLOOKUP(Table36[[#This Row],[Spanish]], [2]Sheet1!$1:$1048576, 6, 0)</f>
        <v>6.2919999999999998</v>
      </c>
      <c r="O259" s="29">
        <v>0</v>
      </c>
      <c r="P259" s="29">
        <v>100</v>
      </c>
      <c r="Q259" s="26">
        <v>100</v>
      </c>
      <c r="R259" s="26">
        <v>1</v>
      </c>
      <c r="S259" s="26">
        <v>0</v>
      </c>
      <c r="T259" s="26">
        <v>0</v>
      </c>
      <c r="U259" s="28">
        <v>1.79</v>
      </c>
    </row>
    <row r="260" spans="1:21" x14ac:dyDescent="0.3">
      <c r="A260" s="25">
        <v>259</v>
      </c>
      <c r="B260" s="26">
        <v>694</v>
      </c>
      <c r="C260" s="27" t="s">
        <v>859</v>
      </c>
      <c r="D260" s="26" t="s">
        <v>860</v>
      </c>
      <c r="E260" s="23" t="s">
        <v>1433</v>
      </c>
      <c r="F260" s="26" t="str">
        <f>VLOOKUP(Table36[[#This Row],[Picture_no]], [3]ENGLISH.txt!$1:$1048576, 2, 0)</f>
        <v>hug</v>
      </c>
      <c r="G260" s="22" t="s">
        <v>1094</v>
      </c>
      <c r="H260" s="26" t="s">
        <v>936</v>
      </c>
      <c r="I260" s="26">
        <f>LEN(Table36[[#This Row],[Spanish]])</f>
        <v>6</v>
      </c>
      <c r="J260" s="26">
        <f>VLOOKUP(Table36[[#This Row],[Spanish]], [1]Sheet1!$1:$1048576, 4, 0)</f>
        <v>6</v>
      </c>
      <c r="K260" s="26">
        <v>3</v>
      </c>
      <c r="L260" s="28">
        <f>VLOOKUP(Table36[[#This Row],[Spanish]], [2]Sheet1!$1:$1048576, 2, 0)</f>
        <v>6.0011850000000004</v>
      </c>
      <c r="M260" s="28" t="str">
        <f>VLOOKUP(Table36[[#This Row],[Spanish]], [2]Sheet1!$1:$1048576, 3, 0)</f>
        <v>0.845172</v>
      </c>
      <c r="N260" s="28">
        <f>VLOOKUP(Table36[[#This Row],[Spanish]], [2]Sheet1!$1:$1048576, 6, 0)</f>
        <v>6.2089999999999996</v>
      </c>
      <c r="O260" s="29">
        <v>0</v>
      </c>
      <c r="P260" s="29">
        <v>100</v>
      </c>
      <c r="Q260" s="26">
        <v>97</v>
      </c>
      <c r="R260" s="26">
        <v>1</v>
      </c>
      <c r="S260" s="26">
        <v>0</v>
      </c>
      <c r="T260" s="26">
        <v>3</v>
      </c>
      <c r="U260" s="28">
        <v>2.52</v>
      </c>
    </row>
    <row r="261" spans="1:21" x14ac:dyDescent="0.3">
      <c r="A261" s="25">
        <v>260</v>
      </c>
      <c r="B261" s="26">
        <v>695</v>
      </c>
      <c r="C261" s="27" t="s">
        <v>861</v>
      </c>
      <c r="D261" s="30" t="s">
        <v>862</v>
      </c>
      <c r="E261" s="23" t="s">
        <v>1434</v>
      </c>
      <c r="F261" s="30" t="str">
        <f>VLOOKUP(Table36[[#This Row],[Picture_no]], [3]ENGLISH.txt!$1:$1048576, 2, 0)</f>
        <v>orange</v>
      </c>
      <c r="G261" s="22" t="s">
        <v>1435</v>
      </c>
      <c r="H261" s="26" t="s">
        <v>934</v>
      </c>
      <c r="I261" s="26">
        <f>LEN(Table36[[#This Row],[Spanish]])</f>
        <v>7</v>
      </c>
      <c r="J261" s="26">
        <f>VLOOKUP(Table36[[#This Row],[Spanish]], [1]Sheet1!$1:$1048576, 4, 0)</f>
        <v>7</v>
      </c>
      <c r="K261" s="26">
        <f>VLOOKUP(Table36[[#This Row],[Spanish]], [1]Sheet1!$1:$1048576, 5, 9)</f>
        <v>3</v>
      </c>
      <c r="L261" s="28">
        <f>VLOOKUP(Table36[[#This Row],[Spanish]], [2]Sheet1!$1:$1048576, 2, 0)</f>
        <v>14.959099</v>
      </c>
      <c r="M261" s="28">
        <f>VLOOKUP(Table36[[#This Row],[Spanish]], [2]Sheet1!$1:$1048576, 3, 0)</f>
        <v>1.2030080000000001</v>
      </c>
      <c r="N261" s="28">
        <f>VLOOKUP(Table36[[#This Row],[Spanish]], [2]Sheet1!$1:$1048576, 6, 0)</f>
        <v>6.0510000000000002</v>
      </c>
      <c r="O261" s="29">
        <v>0</v>
      </c>
      <c r="P261" s="29">
        <v>100</v>
      </c>
      <c r="Q261" s="26">
        <v>100</v>
      </c>
      <c r="R261" s="26">
        <v>1</v>
      </c>
      <c r="S261" s="26">
        <v>0</v>
      </c>
      <c r="T261" s="26">
        <v>0</v>
      </c>
      <c r="U261" s="28">
        <v>2.17</v>
      </c>
    </row>
    <row r="262" spans="1:21" x14ac:dyDescent="0.3">
      <c r="A262" s="25">
        <v>261</v>
      </c>
      <c r="B262" s="26">
        <v>706</v>
      </c>
      <c r="C262" s="27" t="s">
        <v>871</v>
      </c>
      <c r="D262" s="26" t="s">
        <v>872</v>
      </c>
      <c r="E262" s="23" t="s">
        <v>1436</v>
      </c>
      <c r="F262" s="26" t="str">
        <f>VLOOKUP(Table36[[#This Row],[Picture_no]], [3]ENGLISH.txt!$1:$1048576, 2, 0)</f>
        <v>drop</v>
      </c>
      <c r="G262" s="22" t="s">
        <v>1095</v>
      </c>
      <c r="H262" s="26" t="s">
        <v>936</v>
      </c>
      <c r="I262" s="26">
        <f>LEN(Table36[[#This Row],[Spanish]])</f>
        <v>4</v>
      </c>
      <c r="J262" s="26">
        <f>VLOOKUP(Table36[[#This Row],[Spanish]], [1]Sheet1!$1:$1048576, 4, 0)</f>
        <v>4</v>
      </c>
      <c r="K262" s="26">
        <f>VLOOKUP(Table36[[#This Row],[Spanish]], [1]Sheet1!$1:$1048576, 5, 9)</f>
        <v>2</v>
      </c>
      <c r="L262" s="28">
        <f>VLOOKUP(Table36[[#This Row],[Spanish]], [2]Sheet1!$1:$1048576, 2, 0)</f>
        <v>9.958653</v>
      </c>
      <c r="M262" s="28">
        <f>VLOOKUP(Table36[[#This Row],[Spanish]], [2]Sheet1!$1:$1048576, 3, 0)</f>
        <v>1.039757</v>
      </c>
      <c r="N262" s="28">
        <f>VLOOKUP(Table36[[#This Row],[Spanish]], [2]Sheet1!$1:$1048576, 6, 0)</f>
        <v>6.1769999999999996</v>
      </c>
      <c r="O262" s="28">
        <v>0.38850882399999997</v>
      </c>
      <c r="P262" s="28">
        <v>93.877551019999999</v>
      </c>
      <c r="Q262" s="26">
        <v>98</v>
      </c>
      <c r="R262" s="26">
        <v>3</v>
      </c>
      <c r="S262" s="26">
        <v>1</v>
      </c>
      <c r="T262" s="26">
        <v>1</v>
      </c>
      <c r="U262" s="28">
        <v>1.55</v>
      </c>
    </row>
    <row r="263" spans="1:21" x14ac:dyDescent="0.3">
      <c r="A263" s="25">
        <v>262</v>
      </c>
      <c r="B263" s="26">
        <v>709</v>
      </c>
      <c r="C263" s="27" t="s">
        <v>875</v>
      </c>
      <c r="D263" s="26" t="s">
        <v>876</v>
      </c>
      <c r="E263" s="23" t="s">
        <v>1471</v>
      </c>
      <c r="F263" s="26" t="str">
        <f>VLOOKUP(Table36[[#This Row],[Picture_no]], [3]ENGLISH.txt!$1:$1048576, 2, 0)</f>
        <v>swimming</v>
      </c>
      <c r="G263" s="22" t="s">
        <v>1437</v>
      </c>
      <c r="H263" s="26" t="s">
        <v>936</v>
      </c>
      <c r="I263" s="26">
        <f>LEN(Table36[[#This Row],[Spanish]])</f>
        <v>7</v>
      </c>
      <c r="J263" s="26">
        <f>VLOOKUP(Table36[[#This Row],[Spanish]], [1]Sheet1!$1:$1048576, 4, 0)</f>
        <v>7</v>
      </c>
      <c r="K263" s="26">
        <f>VLOOKUP(Table36[[#This Row],[Spanish]], [1]Sheet1!$1:$1048576, 5, 9)</f>
        <v>3</v>
      </c>
      <c r="L263" s="28">
        <f>VLOOKUP(Table36[[#This Row],[Spanish]], [2]Sheet1!$1:$1048576, 2, 0)</f>
        <v>1.6960580000000001</v>
      </c>
      <c r="M263" s="28" t="str">
        <f>VLOOKUP(Table36[[#This Row],[Spanish]], [2]Sheet1!$1:$1048576, 3, 0)</f>
        <v>0.430729</v>
      </c>
      <c r="N263" s="28">
        <f>VLOOKUP(Table36[[#This Row],[Spanish]], [2]Sheet1!$1:$1048576, 6, 0)</f>
        <v>0</v>
      </c>
      <c r="O263" s="29">
        <v>0</v>
      </c>
      <c r="P263" s="29">
        <v>100</v>
      </c>
      <c r="Q263" s="26">
        <v>99</v>
      </c>
      <c r="R263" s="26">
        <v>1</v>
      </c>
      <c r="S263" s="26">
        <v>0</v>
      </c>
      <c r="T263" s="26">
        <v>1</v>
      </c>
      <c r="U263" s="28">
        <v>2.8080808080000002</v>
      </c>
    </row>
    <row r="264" spans="1:21" x14ac:dyDescent="0.3">
      <c r="A264" s="25">
        <v>263</v>
      </c>
      <c r="B264" s="26">
        <v>719</v>
      </c>
      <c r="C264" s="27" t="s">
        <v>885</v>
      </c>
      <c r="D264" s="26" t="s">
        <v>886</v>
      </c>
      <c r="E264" s="23" t="s">
        <v>1438</v>
      </c>
      <c r="F264" s="26" t="str">
        <f>VLOOKUP(Table36[[#This Row],[Picture_no]], [3]ENGLISH.txt!$1:$1048576, 2, 0)</f>
        <v>bathroom</v>
      </c>
      <c r="G264" s="22" t="s">
        <v>1472</v>
      </c>
      <c r="H264" s="26" t="s">
        <v>932</v>
      </c>
      <c r="I264" s="26">
        <f>LEN(Table36[[#This Row],[Spanish]])</f>
        <v>4</v>
      </c>
      <c r="J264" s="26">
        <f>VLOOKUP(Table36[[#This Row],[Spanish]], [1]Sheet1!$1:$1048576, 4, 0)</f>
        <v>4</v>
      </c>
      <c r="K264" s="26">
        <f>VLOOKUP(Table36[[#This Row],[Spanish]], [1]Sheet1!$1:$1048576, 5, 9)</f>
        <v>2</v>
      </c>
      <c r="L264" s="28">
        <f>VLOOKUP(Table36[[#This Row],[Spanish]], [2]Sheet1!$1:$1048576, 2, 0)</f>
        <v>20.248719999999999</v>
      </c>
      <c r="M264" s="28">
        <f>VLOOKUP(Table36[[#This Row],[Spanish]], [2]Sheet1!$1:$1048576, 3, 0)</f>
        <v>1.3273330000000001</v>
      </c>
      <c r="N264" s="28">
        <f>VLOOKUP(Table36[[#This Row],[Spanish]], [2]Sheet1!$1:$1048576, 6, 0)</f>
        <v>6.3250000000000002</v>
      </c>
      <c r="O264" s="28">
        <v>0.20062232399999999</v>
      </c>
      <c r="P264" s="28">
        <v>96.875</v>
      </c>
      <c r="Q264" s="26">
        <v>96</v>
      </c>
      <c r="R264" s="26">
        <v>2</v>
      </c>
      <c r="S264" s="26">
        <v>0</v>
      </c>
      <c r="T264" s="26">
        <v>4</v>
      </c>
      <c r="U264" s="28">
        <v>2.8181818179999998</v>
      </c>
    </row>
    <row r="265" spans="1:21" x14ac:dyDescent="0.3">
      <c r="A265" s="25">
        <v>264</v>
      </c>
      <c r="B265" s="26">
        <v>720</v>
      </c>
      <c r="C265" s="27" t="s">
        <v>887</v>
      </c>
      <c r="D265" s="26" t="s">
        <v>888</v>
      </c>
      <c r="E265" s="23" t="s">
        <v>1439</v>
      </c>
      <c r="F265" s="26" t="str">
        <f>VLOOKUP(Table36[[#This Row],[Picture_no]], [3]ENGLISH.txt!$1:$1048576, 2, 0)</f>
        <v>kite</v>
      </c>
      <c r="G265" s="22" t="s">
        <v>1096</v>
      </c>
      <c r="H265" s="26" t="s">
        <v>933</v>
      </c>
      <c r="I265" s="26">
        <f>LEN(Table36[[#This Row],[Spanish]])</f>
        <v>6</v>
      </c>
      <c r="J265" s="26">
        <f>VLOOKUP(Table36[[#This Row],[Spanish]], [1]Sheet1!$1:$1048576, 4, 0)</f>
        <v>6</v>
      </c>
      <c r="K265" s="26">
        <f>VLOOKUP(Table36[[#This Row],[Spanish]], [1]Sheet1!$1:$1048576, 5, 9)</f>
        <v>3</v>
      </c>
      <c r="L265" s="28">
        <f>VLOOKUP(Table36[[#This Row],[Spanish]], [2]Sheet1!$1:$1048576, 2, 0)</f>
        <v>6.0434239999999999</v>
      </c>
      <c r="M265" s="28" t="str">
        <f>VLOOKUP(Table36[[#This Row],[Spanish]], [2]Sheet1!$1:$1048576, 3, 0)</f>
        <v>0.847784</v>
      </c>
      <c r="N265" s="28">
        <f>VLOOKUP(Table36[[#This Row],[Spanish]], [2]Sheet1!$1:$1048576, 6, 0)</f>
        <v>6.0659999999999998</v>
      </c>
      <c r="O265" s="29">
        <v>0</v>
      </c>
      <c r="P265" s="29">
        <v>100</v>
      </c>
      <c r="Q265" s="26">
        <v>98</v>
      </c>
      <c r="R265" s="26">
        <v>1</v>
      </c>
      <c r="S265" s="26">
        <v>2</v>
      </c>
      <c r="T265" s="26">
        <v>0</v>
      </c>
      <c r="U265" s="28">
        <v>2.65</v>
      </c>
    </row>
    <row r="266" spans="1:21" x14ac:dyDescent="0.3">
      <c r="A266" s="25">
        <v>265</v>
      </c>
      <c r="B266" s="26">
        <v>721</v>
      </c>
      <c r="C266" s="27" t="s">
        <v>889</v>
      </c>
      <c r="D266" s="30" t="s">
        <v>890</v>
      </c>
      <c r="E266" s="23" t="s">
        <v>1440</v>
      </c>
      <c r="F266" s="30" t="str">
        <f>VLOOKUP(Table36[[#This Row],[Picture_no]], [3]ENGLISH.txt!$1:$1048576, 2, 0)</f>
        <v>camera</v>
      </c>
      <c r="G266" s="22" t="s">
        <v>1441</v>
      </c>
      <c r="H266" s="26" t="s">
        <v>933</v>
      </c>
      <c r="I266" s="26">
        <f>LEN(Table36[[#This Row],[Spanish]])</f>
        <v>6</v>
      </c>
      <c r="J266" s="26">
        <f>VLOOKUP(Table36[[#This Row],[Spanish]], [1]Sheet1!$1:$1048576, 4, 0)</f>
        <v>6</v>
      </c>
      <c r="K266" s="26">
        <f>VLOOKUP(Table36[[#This Row],[Spanish]], [1]Sheet1!$1:$1048576, 5, 9)</f>
        <v>2</v>
      </c>
      <c r="L266" s="28">
        <f>VLOOKUP(Table36[[#This Row],[Spanish]], [2]Sheet1!$1:$1048576, 2, 0)</f>
        <v>134.49867599999999</v>
      </c>
      <c r="M266" s="28">
        <f>VLOOKUP(Table36[[#This Row],[Spanish]], [2]Sheet1!$1:$1048576, 3, 0)</f>
        <v>2.1319349999999999</v>
      </c>
      <c r="N266" s="28">
        <f>VLOOKUP(Table36[[#This Row],[Spanish]], [2]Sheet1!$1:$1048576, 6, 0)</f>
        <v>6.2569999999999997</v>
      </c>
      <c r="O266" s="29">
        <v>0</v>
      </c>
      <c r="P266" s="29">
        <v>100</v>
      </c>
      <c r="Q266" s="26">
        <v>99</v>
      </c>
      <c r="R266" s="26">
        <v>1</v>
      </c>
      <c r="S266" s="26">
        <v>0</v>
      </c>
      <c r="T266" s="26">
        <v>1</v>
      </c>
      <c r="U266" s="28">
        <v>2.37</v>
      </c>
    </row>
    <row r="267" spans="1:21" x14ac:dyDescent="0.3">
      <c r="A267" s="25">
        <v>266</v>
      </c>
      <c r="B267" s="26">
        <v>728</v>
      </c>
      <c r="C267" s="27" t="s">
        <v>895</v>
      </c>
      <c r="D267" s="26" t="s">
        <v>896</v>
      </c>
      <c r="E267" s="23" t="s">
        <v>896</v>
      </c>
      <c r="F267" s="26" t="str">
        <f>VLOOKUP(Table36[[#This Row],[Picture_no]], [3]ENGLISH.txt!$1:$1048576, 2, 0)</f>
        <v>octopus</v>
      </c>
      <c r="G267" s="22" t="s">
        <v>1442</v>
      </c>
      <c r="H267" s="26" t="s">
        <v>929</v>
      </c>
      <c r="I267" s="26">
        <f>LEN(Table36[[#This Row],[Spanish]])</f>
        <v>5</v>
      </c>
      <c r="J267" s="26">
        <f>VLOOKUP(Table36[[#This Row],[Spanish]], [1]Sheet1!$1:$1048576, 4, 0)</f>
        <v>5</v>
      </c>
      <c r="K267" s="26">
        <f>VLOOKUP(Table36[[#This Row],[Spanish]], [1]Sheet1!$1:$1048576, 5, 9)</f>
        <v>3</v>
      </c>
      <c r="L267" s="28">
        <f>VLOOKUP(Table36[[#This Row],[Spanish]], [2]Sheet1!$1:$1048576, 2, 0)</f>
        <v>1.445873</v>
      </c>
      <c r="M267" s="28" t="str">
        <f>VLOOKUP(Table36[[#This Row],[Spanish]], [2]Sheet1!$1:$1048576, 3, 0)</f>
        <v>0.388434</v>
      </c>
      <c r="N267" s="28">
        <f>VLOOKUP(Table36[[#This Row],[Spanish]], [2]Sheet1!$1:$1048576, 6, 0)</f>
        <v>0</v>
      </c>
      <c r="O267" s="28">
        <v>0.32984606999999999</v>
      </c>
      <c r="P267" s="28">
        <v>93.939393940000002</v>
      </c>
      <c r="Q267" s="26">
        <v>99</v>
      </c>
      <c r="R267" s="26">
        <v>2</v>
      </c>
      <c r="S267" s="26">
        <v>1</v>
      </c>
      <c r="T267" s="26">
        <v>0</v>
      </c>
      <c r="U267" s="28">
        <v>2.71</v>
      </c>
    </row>
    <row r="268" spans="1:21" x14ac:dyDescent="0.3">
      <c r="A268" s="25">
        <v>267</v>
      </c>
      <c r="B268" s="26">
        <v>730</v>
      </c>
      <c r="C268" s="27" t="s">
        <v>897</v>
      </c>
      <c r="D268" s="30" t="s">
        <v>898</v>
      </c>
      <c r="E268" s="23" t="s">
        <v>1443</v>
      </c>
      <c r="F268" s="30" t="str">
        <f>VLOOKUP(Table36[[#This Row],[Picture_no]], [3]ENGLISH.txt!$1:$1048576, 2, 0)</f>
        <v>kitchen</v>
      </c>
      <c r="G268" s="22" t="s">
        <v>1444</v>
      </c>
      <c r="H268" s="26" t="s">
        <v>932</v>
      </c>
      <c r="I268" s="26">
        <f>LEN(Table36[[#This Row],[Spanish]])</f>
        <v>6</v>
      </c>
      <c r="J268" s="26">
        <f>VLOOKUP(Table36[[#This Row],[Spanish]], [1]Sheet1!$1:$1048576, 4, 0)</f>
        <v>6</v>
      </c>
      <c r="K268" s="26">
        <f>VLOOKUP(Table36[[#This Row],[Spanish]], [1]Sheet1!$1:$1048576, 5, 9)</f>
        <v>3</v>
      </c>
      <c r="L268" s="28">
        <f>VLOOKUP(Table36[[#This Row],[Spanish]], [2]Sheet1!$1:$1048576, 2, 0)</f>
        <v>38.593435999999997</v>
      </c>
      <c r="M268" s="28">
        <f>VLOOKUP(Table36[[#This Row],[Spanish]], [2]Sheet1!$1:$1048576, 3, 0)</f>
        <v>1.597623</v>
      </c>
      <c r="N268" s="28">
        <f>VLOOKUP(Table36[[#This Row],[Spanish]], [2]Sheet1!$1:$1048576, 6, 0)</f>
        <v>6.0590000000000002</v>
      </c>
      <c r="O268" s="29">
        <v>0</v>
      </c>
      <c r="P268" s="29">
        <v>100</v>
      </c>
      <c r="Q268" s="26">
        <v>100</v>
      </c>
      <c r="R268" s="26">
        <v>1</v>
      </c>
      <c r="S268" s="26">
        <v>0</v>
      </c>
      <c r="T268" s="26">
        <v>0</v>
      </c>
      <c r="U268" s="28">
        <v>3.12</v>
      </c>
    </row>
    <row r="269" spans="1:21" x14ac:dyDescent="0.3">
      <c r="A269" s="25">
        <v>268</v>
      </c>
      <c r="B269" s="26">
        <v>733</v>
      </c>
      <c r="C269" s="27" t="s">
        <v>899</v>
      </c>
      <c r="D269" s="26" t="s">
        <v>900</v>
      </c>
      <c r="E269" s="23" t="s">
        <v>1445</v>
      </c>
      <c r="F269" s="26" t="str">
        <f>VLOOKUP(Table36[[#This Row],[Picture_no]], [3]ENGLISH.txt!$1:$1048576, 2, 0)</f>
        <v>glasses</v>
      </c>
      <c r="G269" s="22" t="s">
        <v>1446</v>
      </c>
      <c r="H269" s="26" t="s">
        <v>933</v>
      </c>
      <c r="I269" s="26">
        <f>LEN(Table36[[#This Row],[Spanish]])</f>
        <v>5</v>
      </c>
      <c r="J269" s="26">
        <f>VLOOKUP(Table36[[#This Row],[Spanish]], [1]Sheet1!$1:$1048576, 4, 0)</f>
        <v>5</v>
      </c>
      <c r="K269" s="26">
        <f>VLOOKUP(Table36[[#This Row],[Spanish]], [1]Sheet1!$1:$1048576, 5, 9)</f>
        <v>2</v>
      </c>
      <c r="L269" s="28">
        <f>VLOOKUP(Table36[[#This Row],[Spanish]], [2]Sheet1!$1:$1048576, 2, 0)</f>
        <v>6.4398210000000002</v>
      </c>
      <c r="M269" s="28" t="str">
        <f>VLOOKUP(Table36[[#This Row],[Spanish]], [2]Sheet1!$1:$1048576, 3, 0)</f>
        <v>0.871562</v>
      </c>
      <c r="N269" s="28">
        <f>VLOOKUP(Table36[[#This Row],[Spanish]], [2]Sheet1!$1:$1048576, 6, 0)</f>
        <v>5.8010000000000002</v>
      </c>
      <c r="O269" s="29">
        <v>0</v>
      </c>
      <c r="P269" s="29">
        <v>100</v>
      </c>
      <c r="Q269" s="26">
        <v>100</v>
      </c>
      <c r="R269" s="26">
        <v>1</v>
      </c>
      <c r="S269" s="26">
        <v>0</v>
      </c>
      <c r="T269" s="26">
        <v>0</v>
      </c>
      <c r="U269" s="28">
        <v>1.96</v>
      </c>
    </row>
    <row r="270" spans="1:21" x14ac:dyDescent="0.3">
      <c r="A270" s="25">
        <v>269</v>
      </c>
      <c r="B270" s="26">
        <v>745</v>
      </c>
      <c r="C270" s="27" t="s">
        <v>913</v>
      </c>
      <c r="D270" s="26" t="s">
        <v>914</v>
      </c>
      <c r="E270" s="23" t="s">
        <v>1447</v>
      </c>
      <c r="F270" s="26" t="str">
        <f>VLOOKUP(Table36[[#This Row],[Picture_no]], [3]ENGLISH.txt!$1:$1048576, 2, 0)</f>
        <v>well</v>
      </c>
      <c r="G270" s="22" t="s">
        <v>1097</v>
      </c>
      <c r="H270" s="26" t="s">
        <v>932</v>
      </c>
      <c r="I270" s="26">
        <f>LEN(Table36[[#This Row],[Spanish]])</f>
        <v>4</v>
      </c>
      <c r="J270" s="26">
        <f>VLOOKUP(Table36[[#This Row],[Spanish]], [1]Sheet1!$1:$1048576, 4, 0)</f>
        <v>4</v>
      </c>
      <c r="K270" s="26">
        <f>VLOOKUP(Table36[[#This Row],[Spanish]], [1]Sheet1!$1:$1048576, 5, 9)</f>
        <v>3</v>
      </c>
      <c r="L270" s="28">
        <f>VLOOKUP(Table36[[#This Row],[Spanish]], [2]Sheet1!$1:$1048576, 2, 0)</f>
        <v>16.996317999999999</v>
      </c>
      <c r="M270" s="28">
        <f>VLOOKUP(Table36[[#This Row],[Spanish]], [2]Sheet1!$1:$1048576, 3, 0)</f>
        <v>1.2551840000000001</v>
      </c>
      <c r="N270" s="28">
        <f>VLOOKUP(Table36[[#This Row],[Spanish]], [2]Sheet1!$1:$1048576, 6, 0)</f>
        <v>6.1689999999999996</v>
      </c>
      <c r="O270" s="29">
        <v>0</v>
      </c>
      <c r="P270" s="29">
        <v>100</v>
      </c>
      <c r="Q270" s="26">
        <v>99</v>
      </c>
      <c r="R270" s="26">
        <v>1</v>
      </c>
      <c r="S270" s="26">
        <v>1</v>
      </c>
      <c r="T270" s="26">
        <v>0</v>
      </c>
      <c r="U270" s="28">
        <v>2.87</v>
      </c>
    </row>
    <row r="271" spans="1:21" x14ac:dyDescent="0.3">
      <c r="A271" s="25">
        <v>270</v>
      </c>
      <c r="B271" s="26">
        <v>746</v>
      </c>
      <c r="C271" s="27" t="s">
        <v>915</v>
      </c>
      <c r="D271" s="26" t="s">
        <v>916</v>
      </c>
      <c r="E271" s="23" t="s">
        <v>916</v>
      </c>
      <c r="F271" s="26" t="str">
        <f>VLOOKUP(Table36[[#This Row],[Picture_no]], [3]ENGLISH.txt!$1:$1048576, 2, 0)</f>
        <v>bowling pin</v>
      </c>
      <c r="G271" s="22" t="s">
        <v>1448</v>
      </c>
      <c r="H271" s="26" t="s">
        <v>933</v>
      </c>
      <c r="I271" s="26">
        <f>LEN(Table36[[#This Row],[Spanish]])</f>
        <v>4</v>
      </c>
      <c r="J271" s="26">
        <f>VLOOKUP(Table36[[#This Row],[Spanish]], [1]Sheet1!$1:$1048576, 4, 0)</f>
        <v>4</v>
      </c>
      <c r="K271" s="26">
        <f>VLOOKUP(Table36[[#This Row],[Spanish]], [1]Sheet1!$1:$1048576, 5, 9)</f>
        <v>2</v>
      </c>
      <c r="L271" s="28">
        <f>VLOOKUP(Table36[[#This Row],[Spanish]], [2]Sheet1!$1:$1048576, 2, 0)</f>
        <v>1.4361250000000001</v>
      </c>
      <c r="M271" s="28">
        <f>VLOOKUP(Table36[[#This Row],[Spanish]], [2]Sheet1!$1:$1048576, 3, 0)</f>
        <v>0.38669999999999999</v>
      </c>
      <c r="N271" s="28">
        <f>VLOOKUP(Table36[[#This Row],[Spanish]], [2]Sheet1!$1:$1048576, 6, 0)</f>
        <v>0</v>
      </c>
      <c r="O271" s="29">
        <v>0</v>
      </c>
      <c r="P271" s="29">
        <v>100</v>
      </c>
      <c r="Q271" s="26">
        <v>100</v>
      </c>
      <c r="R271" s="26">
        <v>1</v>
      </c>
      <c r="S271" s="26">
        <v>0</v>
      </c>
      <c r="T271" s="26">
        <v>0</v>
      </c>
      <c r="U271" s="28">
        <v>1.52</v>
      </c>
    </row>
    <row r="272" spans="1:21" x14ac:dyDescent="0.3">
      <c r="A272" s="25">
        <v>271</v>
      </c>
      <c r="B272" s="26">
        <v>747</v>
      </c>
      <c r="C272" s="27" t="s">
        <v>917</v>
      </c>
      <c r="D272" s="26" t="s">
        <v>918</v>
      </c>
      <c r="E272" s="23" t="s">
        <v>1449</v>
      </c>
      <c r="F272" s="26" t="str">
        <f>VLOOKUP(Table36[[#This Row],[Picture_no]], [3]ENGLISH.txt!$1:$1048576, 2, 0)</f>
        <v>bath</v>
      </c>
      <c r="G272" s="22" t="s">
        <v>1098</v>
      </c>
      <c r="H272" s="26" t="s">
        <v>933</v>
      </c>
      <c r="I272" s="26">
        <f>LEN(Table36[[#This Row],[Spanish]])</f>
        <v>6</v>
      </c>
      <c r="J272" s="26">
        <f>VLOOKUP(Table36[[#This Row],[Spanish]], [1]Sheet1!$1:$1048576, 4, 0)</f>
        <v>6</v>
      </c>
      <c r="K272" s="26">
        <f>VLOOKUP(Table36[[#This Row],[Spanish]], [1]Sheet1!$1:$1048576, 5, 9)</f>
        <v>2</v>
      </c>
      <c r="L272" s="28">
        <f>VLOOKUP(Table36[[#This Row],[Spanish]], [2]Sheet1!$1:$1048576, 2, 0)</f>
        <v>1.8065290000000001</v>
      </c>
      <c r="M272" s="28" t="str">
        <f>VLOOKUP(Table36[[#This Row],[Spanish]], [2]Sheet1!$1:$1048576, 3, 0)</f>
        <v>0.448170</v>
      </c>
      <c r="N272" s="28">
        <f>VLOOKUP(Table36[[#This Row],[Spanish]], [2]Sheet1!$1:$1048576, 6, 0)</f>
        <v>6.6920000000000002</v>
      </c>
      <c r="O272" s="29">
        <v>0</v>
      </c>
      <c r="P272" s="29">
        <v>100</v>
      </c>
      <c r="Q272" s="26">
        <v>100</v>
      </c>
      <c r="R272" s="26">
        <v>1</v>
      </c>
      <c r="S272" s="26">
        <v>0</v>
      </c>
      <c r="T272" s="26">
        <v>0</v>
      </c>
      <c r="U272" s="28">
        <v>2.29</v>
      </c>
    </row>
    <row r="273" spans="1:21" x14ac:dyDescent="0.3">
      <c r="A273" s="25">
        <v>272</v>
      </c>
      <c r="B273" s="26">
        <v>749</v>
      </c>
      <c r="C273" s="27" t="s">
        <v>919</v>
      </c>
      <c r="D273" s="26" t="s">
        <v>920</v>
      </c>
      <c r="E273" s="23" t="s">
        <v>1450</v>
      </c>
      <c r="F273" s="26" t="str">
        <f>VLOOKUP(Table36[[#This Row],[Picture_no]], [3]ENGLISH.txt!$1:$1048576, 2, 0)</f>
        <v>bin</v>
      </c>
      <c r="G273" s="22" t="s">
        <v>1099</v>
      </c>
      <c r="H273" s="26" t="s">
        <v>933</v>
      </c>
      <c r="I273" s="26">
        <f>LEN(Table36[[#This Row],[Spanish]])</f>
        <v>6</v>
      </c>
      <c r="J273" s="26">
        <f>VLOOKUP(Table36[[#This Row],[Spanish]], [1]Sheet1!$1:$1048576, 4, 0)</f>
        <v>6</v>
      </c>
      <c r="K273" s="26">
        <f>VLOOKUP(Table36[[#This Row],[Spanish]], [1]Sheet1!$1:$1048576, 5, 9)</f>
        <v>2</v>
      </c>
      <c r="L273" s="28">
        <f>VLOOKUP(Table36[[#This Row],[Spanish]], [2]Sheet1!$1:$1048576, 2, 0)</f>
        <v>11.498751</v>
      </c>
      <c r="M273" s="28">
        <f>VLOOKUP(Table36[[#This Row],[Spanish]], [2]Sheet1!$1:$1048576, 3, 0)</f>
        <v>1.096867</v>
      </c>
      <c r="N273" s="28">
        <f>VLOOKUP(Table36[[#This Row],[Spanish]], [2]Sheet1!$1:$1048576, 6, 0)</f>
        <v>0</v>
      </c>
      <c r="O273" s="28">
        <v>0.24229218899999999</v>
      </c>
      <c r="P273" s="29">
        <v>96</v>
      </c>
      <c r="Q273" s="26">
        <v>100</v>
      </c>
      <c r="R273" s="26">
        <v>2</v>
      </c>
      <c r="S273" s="26">
        <v>0</v>
      </c>
      <c r="T273" s="26">
        <v>0</v>
      </c>
      <c r="U273" s="28">
        <v>2.71</v>
      </c>
    </row>
    <row r="274" spans="1:21" x14ac:dyDescent="0.3">
      <c r="D274" t="s">
        <v>963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Name_agreement</vt:lpstr>
      <vt:lpstr>Consistent_Ph-Gr</vt:lpstr>
      <vt:lpstr>Incons_Ph-Gr</vt:lpstr>
      <vt:lpstr>First_attempt</vt:lpstr>
    </vt:vector>
  </TitlesOfParts>
  <Company>BCBL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MULTIPIC</dc:creator>
  <dc:description/>
  <cp:lastModifiedBy>Katerina Tsaroucha</cp:lastModifiedBy>
  <cp:revision>1</cp:revision>
  <dcterms:created xsi:type="dcterms:W3CDTF">2015-05-31T18:03:27Z</dcterms:created>
  <dcterms:modified xsi:type="dcterms:W3CDTF">2023-05-02T12:43:15Z</dcterms:modified>
  <dc:language>el-GR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BCBL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