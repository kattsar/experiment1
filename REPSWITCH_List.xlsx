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"/>
    </mc:Choice>
  </mc:AlternateContent>
  <xr:revisionPtr revIDLastSave="0" documentId="13_ncr:1_{ABA144CF-588A-48F8-A311-72F0B6B46434}" xr6:coauthVersionLast="47" xr6:coauthVersionMax="47" xr10:uidLastSave="{00000000-0000-0000-0000-000000000000}"/>
  <bookViews>
    <workbookView xWindow="-108" yWindow="492" windowWidth="23256" windowHeight="12576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1" i="2" l="1"/>
  <c r="N51" i="2"/>
</calcChain>
</file>

<file path=xl/sharedStrings.xml><?xml version="1.0" encoding="utf-8"?>
<sst xmlns="http://schemas.openxmlformats.org/spreadsheetml/2006/main" count="279" uniqueCount="129">
  <si>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</si>
  <si>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</si>
  <si>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</si>
  <si>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</si>
  <si>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</si>
  <si>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</si>
  <si>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</si>
  <si>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</si>
  <si>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</si>
  <si>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</si>
  <si>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</si>
  <si>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</si>
  <si>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</si>
  <si>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</si>
  <si>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</si>
  <si>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</si>
  <si>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</si>
  <si>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</si>
  <si>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</si>
  <si>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</si>
  <si>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</si>
  <si>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</si>
  <si>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</si>
  <si>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</si>
  <si>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</si>
  <si>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</si>
  <si>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</si>
  <si>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</si>
  <si>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</si>
  <si>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</si>
  <si>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</si>
  <si>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</si>
  <si>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</si>
  <si>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</si>
  <si>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</si>
  <si>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</si>
  <si>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</si>
  <si>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</si>
  <si>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</si>
  <si>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</si>
  <si>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</si>
  <si>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</si>
  <si>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</si>
  <si>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</si>
  <si>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</si>
  <si>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</si>
  <si>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</si>
  <si>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</si>
  <si>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</si>
  <si>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</si>
  <si>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</si>
  <si>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</si>
  <si>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</si>
  <si>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</si>
  <si>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</si>
  <si>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</si>
  <si>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</si>
  <si>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</si>
  <si>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</si>
  <si>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</si>
  <si>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</si>
  <si>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</si>
  <si>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</si>
  <si>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</si>
  <si>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</si>
  <si>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</si>
  <si>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</si>
  <si>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</si>
  <si>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</si>
  <si>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</si>
  <si>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</si>
  <si>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</si>
  <si>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</si>
  <si>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</si>
  <si>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</si>
  <si>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</si>
  <si>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</si>
  <si>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</si>
  <si>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</si>
  <si>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</si>
  <si>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</si>
  <si>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</si>
  <si>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</si>
  <si>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</si>
  <si>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</si>
  <si>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</si>
  <si>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</si>
  <si>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</si>
  <si>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</si>
  <si>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</si>
  <si>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</si>
  <si>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</si>
  <si>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</si>
  <si>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</si>
  <si>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</si>
  <si>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</si>
  <si>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</si>
  <si>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</si>
  <si>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</si>
  <si>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</si>
  <si>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</si>
  <si>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</si>
  <si>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</si>
  <si>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</si>
  <si>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</si>
  <si>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</si>
  <si>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</si>
  <si>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</si>
  <si>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</si>
  <si>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</si>
  <si>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</si>
  <si>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</si>
  <si>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</si>
  <si>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</si>
  <si>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</si>
  <si>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</si>
  <si>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</si>
  <si>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</si>
  <si>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</si>
  <si>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</si>
  <si>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</si>
  <si>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</si>
  <si>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</si>
  <si>
    <t>has dots in the PsychoPy output file</t>
  </si>
  <si>
    <t xml:space="preserve">add an age column </t>
  </si>
  <si>
    <t>check sex for NR</t>
  </si>
  <si>
    <t>Age</t>
  </si>
  <si>
    <t>A bit sleepy. Can do the caja. Heavy breathing during typing trials. Many modality errors during typing trials.</t>
  </si>
  <si>
    <t>Used words from South American Spanish in the familliarisation. Slow Speak 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</si>
</sst>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14" fontId="0" fillId="2" borderId="0" xfId="0" applyNumberFormat="1" applyFill="1"/>
    <xf numFmtId="0" fontId="1" fillId="2" borderId="5" xfId="0" applyFont="1" applyFill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14" fontId="0" fillId="2" borderId="2" xfId="0" applyNumberFormat="1" applyFill="1" applyBorder="1"/>
    <xf numFmtId="0" fontId="1" fillId="2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3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33" dataDxfId="31" headerRowBorderDxfId="32" tableBorderDxfId="30">
  <autoFilter ref="A1:N3" xr:uid="{D7725C54-BC3C-4F16-BE30-EAEFD1E6A889}"/>
  <tableColumns count="14">
    <tableColumn id="1" xr3:uid="{7424B4AF-20BB-4956-A693-DA5C2E491F93}" name="Nº" dataDxfId="29"/>
    <tableColumn id="2" xr3:uid="{D26CEDE0-6675-4478-AE1C-23ABA5C453CA}" name="NOMBRE" dataDxfId="28"/>
    <tableColumn id="3" xr3:uid="{EFE7765A-783D-40C2-88ED-FBD03D4624CF}" name="ID" dataDxfId="27"/>
    <tableColumn id="4" xr3:uid="{44B7B9A7-3620-4B2C-AA1F-A445ABB5A4AB}" name="CODE" dataDxfId="26"/>
    <tableColumn id="5" xr3:uid="{53BF4CCF-E2C8-4075-828B-045D44DC2B5B}" name="DATE" dataDxfId="25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24"/>
    <tableColumn id="7" xr3:uid="{F0145F60-BB11-4B87-9FCD-BDAB0F3EDDB5}" name="LIST" dataDxfId="23"/>
    <tableColumn id="8" xr3:uid="{2F9D02AD-A101-4502-9045-CD9C9E13C48F}" name="CAB" dataDxfId="22"/>
    <tableColumn id="9" xr3:uid="{85FF814B-2A7B-432F-8DAE-5AB34249AEB5}" name="RA" dataDxfId="21"/>
    <tableColumn id="10" xr3:uid="{0FC227E0-1B27-4152-863B-2CB8F32204E6}" name="INCIDENCES" dataDxfId="20"/>
    <tableColumn id="12" xr3:uid="{503F2B95-E846-4929-AB22-0B04260E6C24}" name="Type_speed" dataDxfId="19"/>
    <tableColumn id="11" xr3:uid="{EDCB596B-12D3-4EB1-8CF7-AAF9A3093A4F}" name="Type_accuracy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O51" totalsRowCount="1">
  <autoFilter ref="A1:O50" xr:uid="{894C102C-C055-48F5-AE8E-D7DEA7C38926}"/>
  <tableColumns count="15">
    <tableColumn id="1" xr3:uid="{6A81B45A-EDC9-4FF5-8258-8648C067C16F}" name="Participant"/>
    <tableColumn id="5" xr3:uid="{23D0A20D-D062-4D9A-A44D-D77B8E1CBB39}" name="Name"/>
    <tableColumn id="10" xr3:uid="{706E71AC-2B72-418D-A17F-64B513C711DC}" name="ID" dataDxfId="17" totalsRowDxfId="16"/>
    <tableColumn id="4" xr3:uid="{7D21F159-CC51-40B5-A3A9-2FC35A1E3DC7}" name="Code" dataDxfId="15" totalsRowDxfId="14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13" totalsRowDxfId="12"/>
    <tableColumn id="9" xr3:uid="{89FF1955-3050-4A09-8388-44DB3C7BAF8D}" name="Date"/>
    <tableColumn id="13" xr3:uid="{0353A7A6-5360-4B04-A7A6-65360A0DB44E}" name="Notes"/>
    <tableColumn id="14" xr3:uid="{4580F522-AB7C-463E-B145-EBE3420458C5}" name="FechaNacimiento" dataDxfId="11" totalsRowDxfId="10"/>
    <tableColumn id="11" xr3:uid="{692F1DCA-E4E0-468B-99F8-ADCD8D7F70E7}" name="Age" dataDxfId="9" totalsRowDxfId="8"/>
    <tableColumn id="15" xr3:uid="{E351B0AB-595F-4765-9989-9C66FD2C2557}" name="Sexo" dataDxfId="7" totalsRowDxfId="6"/>
    <tableColumn id="16" xr3:uid="{C57334FC-C4FE-4E54-8FCF-DE2F9464D89B}" name="Supertecleador" dataDxfId="5" totalsRowDxfId="4"/>
    <tableColumn id="8" xr3:uid="{4C118AC6-F397-4959-8D77-72283767A378}" name="Type_speed" totalsRowFunction="custom" dataDxfId="3" totalsRowDxfId="2">
      <totalsRowFormula>AVERAGE(Table1[Type_speed])</totalsRowFormula>
    </tableColumn>
    <tableColumn id="7" xr3:uid="{298D1824-20FA-4582-B3FC-14618C8BA8DE}" name="Type_accuracy" totalsRowFunction="custom" dataDxfId="1" totalsRowDxfId="0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4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5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T54"/>
  <sheetViews>
    <sheetView tabSelected="1" zoomScale="80" zoomScaleNormal="80" workbookViewId="0">
      <selection activeCell="P9" sqref="P9"/>
    </sheetView>
  </sheetViews>
  <sheetFormatPr defaultRowHeight="14.4" x14ac:dyDescent="0.3"/>
  <cols>
    <col min="1" max="1" width="12" customWidth="1"/>
    <col min="2" max="2" width="25.88671875" bestFit="1" customWidth="1"/>
    <col min="3" max="3" width="12" style="16" customWidth="1"/>
    <col min="4" max="4" width="8.88671875" style="16"/>
    <col min="6" max="6" width="9.6640625" customWidth="1"/>
    <col min="7" max="7" width="8.88671875" style="16"/>
    <col min="8" max="8" width="10.5546875" bestFit="1" customWidth="1"/>
    <col min="9" max="9" width="31.88671875" customWidth="1"/>
    <col min="10" max="12" width="13.44140625" style="16" customWidth="1"/>
    <col min="13" max="13" width="10.77734375" style="16" customWidth="1"/>
    <col min="14" max="14" width="10.77734375" style="16" bestFit="1" customWidth="1"/>
    <col min="15" max="15" width="8.88671875" style="16"/>
    <col min="16" max="16" width="10.77734375" bestFit="1" customWidth="1"/>
    <col min="25" max="25" width="13.6640625" bestFit="1" customWidth="1"/>
    <col min="26" max="26" width="11.5546875" bestFit="1" customWidth="1"/>
    <col min="27" max="27" width="14.109375" bestFit="1" customWidth="1"/>
  </cols>
  <sheetData>
    <row r="1" spans="1:20" x14ac:dyDescent="0.3">
      <c r="A1" t="s">
        <v>0</v>
      </c>
      <c r="B1" t="s">
        <v>12</v>
      </c>
      <c r="C1" s="16" t="s">
        <v>14</v>
      </c>
      <c r="D1" s="16" t="s">
        <v>3</v>
      </c>
      <c r="E1" t="s">
        <v>1</v>
      </c>
      <c r="F1" t="s">
        <v>2</v>
      </c>
      <c r="G1" s="16" t="s">
        <v>13</v>
      </c>
      <c r="H1" t="s">
        <v>23</v>
      </c>
      <c r="I1" t="s">
        <v>44</v>
      </c>
      <c r="J1" s="16" t="s">
        <v>81</v>
      </c>
      <c r="K1" s="16" t="s">
        <v>126</v>
      </c>
      <c r="L1" s="16" t="s">
        <v>82</v>
      </c>
      <c r="M1" s="16" t="s">
        <v>116</v>
      </c>
      <c r="N1" s="16" t="s">
        <v>24</v>
      </c>
      <c r="O1" s="16" t="s">
        <v>25</v>
      </c>
    </row>
    <row r="2" spans="1:20" x14ac:dyDescent="0.3">
      <c r="A2" s="1">
        <v>1</v>
      </c>
      <c r="B2" s="2" t="s">
        <v>15</v>
      </c>
      <c r="C2" s="18">
        <v>9383</v>
      </c>
      <c r="D2" s="19" t="s">
        <v>4</v>
      </c>
      <c r="E2" s="1">
        <v>1</v>
      </c>
      <c r="F2" s="1">
        <v>1</v>
      </c>
      <c r="G2" s="19" t="s">
        <v>21</v>
      </c>
      <c r="H2" s="3">
        <v>45240</v>
      </c>
      <c r="I2" s="11"/>
      <c r="J2" s="23">
        <v>36910</v>
      </c>
      <c r="K2" s="23"/>
      <c r="L2" s="8" t="s">
        <v>85</v>
      </c>
      <c r="M2" s="16" t="s">
        <v>117</v>
      </c>
      <c r="N2" s="16">
        <v>38.72</v>
      </c>
      <c r="O2" s="16">
        <v>98.84</v>
      </c>
    </row>
    <row r="3" spans="1:20" x14ac:dyDescent="0.3">
      <c r="A3" s="1">
        <v>2</v>
      </c>
      <c r="B3" s="2" t="s">
        <v>16</v>
      </c>
      <c r="C3" s="18">
        <v>11777</v>
      </c>
      <c r="D3" s="19" t="s">
        <v>53</v>
      </c>
      <c r="E3" s="1">
        <v>2</v>
      </c>
      <c r="F3" s="1">
        <v>1</v>
      </c>
      <c r="G3" s="19" t="s">
        <v>21</v>
      </c>
      <c r="H3" s="3">
        <v>45240</v>
      </c>
      <c r="I3" s="11" t="s">
        <v>123</v>
      </c>
      <c r="J3" s="23">
        <v>36978</v>
      </c>
      <c r="K3" s="23"/>
      <c r="L3" s="8" t="s">
        <v>85</v>
      </c>
      <c r="M3" s="16" t="s">
        <v>117</v>
      </c>
      <c r="N3" s="16">
        <v>30.76</v>
      </c>
      <c r="O3" s="16">
        <v>98.76</v>
      </c>
    </row>
    <row r="4" spans="1:20" x14ac:dyDescent="0.3">
      <c r="A4" s="1">
        <v>3</v>
      </c>
      <c r="B4" s="2" t="s">
        <v>17</v>
      </c>
      <c r="C4" s="18">
        <v>8424</v>
      </c>
      <c r="D4" s="19" t="s">
        <v>5</v>
      </c>
      <c r="E4" s="1">
        <v>1</v>
      </c>
      <c r="F4" s="1">
        <v>2</v>
      </c>
      <c r="G4" s="19" t="s">
        <v>21</v>
      </c>
      <c r="H4" s="3">
        <v>45240</v>
      </c>
      <c r="I4" s="11" t="s">
        <v>123</v>
      </c>
      <c r="J4" s="23">
        <v>36484</v>
      </c>
      <c r="K4" s="23"/>
      <c r="L4" s="8" t="s">
        <v>85</v>
      </c>
      <c r="M4" s="16" t="s">
        <v>117</v>
      </c>
      <c r="N4" s="16">
        <v>33.520000000000003</v>
      </c>
      <c r="O4" s="16">
        <v>95.04</v>
      </c>
    </row>
    <row r="5" spans="1:20" x14ac:dyDescent="0.3">
      <c r="A5" s="1">
        <v>4</v>
      </c>
      <c r="B5" s="2" t="s">
        <v>18</v>
      </c>
      <c r="C5" s="18">
        <v>11787</v>
      </c>
      <c r="D5" s="19" t="s">
        <v>7</v>
      </c>
      <c r="E5" s="1">
        <v>2</v>
      </c>
      <c r="F5" s="1">
        <v>2</v>
      </c>
      <c r="G5" s="19" t="s">
        <v>22</v>
      </c>
      <c r="H5" s="3">
        <v>45246</v>
      </c>
      <c r="I5" s="11"/>
      <c r="J5" s="23">
        <v>36631</v>
      </c>
      <c r="K5" s="23"/>
      <c r="L5" s="8" t="s">
        <v>85</v>
      </c>
      <c r="M5" s="16" t="s">
        <v>118</v>
      </c>
      <c r="N5" s="16">
        <v>43.32</v>
      </c>
      <c r="O5" s="16">
        <v>95.94</v>
      </c>
    </row>
    <row r="6" spans="1:20" x14ac:dyDescent="0.3">
      <c r="A6" s="1">
        <v>5</v>
      </c>
      <c r="B6" s="2" t="s">
        <v>19</v>
      </c>
      <c r="C6" s="18">
        <v>8542</v>
      </c>
      <c r="D6" s="19" t="s">
        <v>6</v>
      </c>
      <c r="E6" s="1">
        <v>1</v>
      </c>
      <c r="F6" s="1">
        <v>3</v>
      </c>
      <c r="G6" s="19" t="s">
        <v>43</v>
      </c>
      <c r="H6" s="3">
        <v>45246</v>
      </c>
      <c r="I6" s="11" t="s">
        <v>45</v>
      </c>
      <c r="J6" s="23">
        <v>33073</v>
      </c>
      <c r="K6" s="23"/>
      <c r="L6" s="8" t="s">
        <v>85</v>
      </c>
      <c r="M6" s="16" t="s">
        <v>118</v>
      </c>
      <c r="N6" s="16">
        <v>35.6</v>
      </c>
      <c r="O6" s="16">
        <v>93.18</v>
      </c>
    </row>
    <row r="7" spans="1:20" x14ac:dyDescent="0.3">
      <c r="A7" s="1">
        <v>6</v>
      </c>
      <c r="B7" s="2" t="s">
        <v>20</v>
      </c>
      <c r="C7" s="18">
        <v>11587</v>
      </c>
      <c r="D7" s="19" t="s">
        <v>8</v>
      </c>
      <c r="E7" s="1">
        <v>2</v>
      </c>
      <c r="F7" s="1">
        <v>3</v>
      </c>
      <c r="G7" s="19" t="s">
        <v>46</v>
      </c>
      <c r="H7" s="3">
        <v>45246</v>
      </c>
      <c r="I7" s="11" t="s">
        <v>47</v>
      </c>
      <c r="J7" s="23">
        <v>38338</v>
      </c>
      <c r="K7" s="23"/>
      <c r="L7" s="8" t="s">
        <v>85</v>
      </c>
      <c r="M7" s="16" t="s">
        <v>117</v>
      </c>
      <c r="N7" s="16">
        <v>34.479999999999997</v>
      </c>
      <c r="O7" s="16">
        <v>89.92</v>
      </c>
    </row>
    <row r="8" spans="1:20" x14ac:dyDescent="0.3">
      <c r="A8" s="1">
        <v>7</v>
      </c>
      <c r="B8" s="1" t="s">
        <v>49</v>
      </c>
      <c r="C8" s="20">
        <v>11082</v>
      </c>
      <c r="D8" s="19" t="s">
        <v>9</v>
      </c>
      <c r="E8" s="1">
        <v>1</v>
      </c>
      <c r="F8" s="1">
        <v>4</v>
      </c>
      <c r="G8" s="19" t="s">
        <v>48</v>
      </c>
      <c r="H8" s="12">
        <v>45250</v>
      </c>
      <c r="I8" t="s">
        <v>50</v>
      </c>
      <c r="J8" s="24">
        <v>37166</v>
      </c>
      <c r="K8" s="24"/>
      <c r="L8" s="8" t="s">
        <v>85</v>
      </c>
      <c r="M8" s="16" t="s">
        <v>117</v>
      </c>
      <c r="N8" s="16">
        <v>34.479999999999997</v>
      </c>
      <c r="O8" s="16">
        <v>89.92</v>
      </c>
    </row>
    <row r="9" spans="1:20" x14ac:dyDescent="0.3">
      <c r="A9" s="1">
        <v>8</v>
      </c>
      <c r="B9" s="1" t="s">
        <v>52</v>
      </c>
      <c r="C9" s="20">
        <v>11000</v>
      </c>
      <c r="D9" s="19" t="s">
        <v>10</v>
      </c>
      <c r="E9" s="1">
        <v>2</v>
      </c>
      <c r="F9" s="1">
        <v>4</v>
      </c>
      <c r="G9" s="19" t="s">
        <v>22</v>
      </c>
      <c r="H9" s="12">
        <v>45251</v>
      </c>
      <c r="I9" t="s">
        <v>21</v>
      </c>
      <c r="J9" s="24">
        <v>37264</v>
      </c>
      <c r="K9" s="24"/>
      <c r="L9" s="8" t="s">
        <v>85</v>
      </c>
      <c r="M9" s="16" t="s">
        <v>117</v>
      </c>
      <c r="N9" s="16">
        <v>32.799999999999997</v>
      </c>
      <c r="O9" s="16">
        <v>93.48</v>
      </c>
    </row>
    <row r="10" spans="1:20" x14ac:dyDescent="0.3">
      <c r="A10" s="1">
        <v>9</v>
      </c>
      <c r="B10" s="1" t="s">
        <v>54</v>
      </c>
      <c r="C10" s="20">
        <v>11893</v>
      </c>
      <c r="D10" s="19" t="s">
        <v>11</v>
      </c>
      <c r="E10" s="1">
        <v>1</v>
      </c>
      <c r="F10" s="1">
        <v>1</v>
      </c>
      <c r="G10" s="19" t="s">
        <v>43</v>
      </c>
      <c r="H10" s="12">
        <v>45252</v>
      </c>
      <c r="I10" t="s">
        <v>59</v>
      </c>
      <c r="J10" s="24">
        <v>37200</v>
      </c>
      <c r="K10" s="24"/>
      <c r="L10" s="16" t="s">
        <v>83</v>
      </c>
      <c r="M10" s="16" t="s">
        <v>118</v>
      </c>
      <c r="N10" s="16">
        <v>38.6</v>
      </c>
      <c r="O10" s="16">
        <v>91.66</v>
      </c>
    </row>
    <row r="11" spans="1:20" x14ac:dyDescent="0.3">
      <c r="A11" s="1">
        <v>10</v>
      </c>
      <c r="B11" s="1" t="s">
        <v>55</v>
      </c>
      <c r="C11" s="20">
        <v>10439</v>
      </c>
      <c r="D11" s="19">
        <v>100201</v>
      </c>
      <c r="E11" s="1">
        <v>2</v>
      </c>
      <c r="F11" s="1">
        <v>1</v>
      </c>
      <c r="G11" s="19" t="s">
        <v>46</v>
      </c>
      <c r="H11" s="12">
        <v>45253</v>
      </c>
      <c r="I11" t="s">
        <v>65</v>
      </c>
      <c r="J11" s="24">
        <v>36893</v>
      </c>
      <c r="K11" s="24"/>
      <c r="L11" s="16" t="s">
        <v>85</v>
      </c>
      <c r="M11" s="16" t="s">
        <v>117</v>
      </c>
      <c r="N11" s="16">
        <v>32.6</v>
      </c>
      <c r="O11" s="16">
        <v>91.14</v>
      </c>
    </row>
    <row r="12" spans="1:20" x14ac:dyDescent="0.3">
      <c r="A12" s="1">
        <v>11</v>
      </c>
      <c r="B12" s="1" t="s">
        <v>56</v>
      </c>
      <c r="C12" s="20">
        <v>11570</v>
      </c>
      <c r="D12" s="19">
        <v>110102</v>
      </c>
      <c r="E12" s="1">
        <v>1</v>
      </c>
      <c r="F12" s="1">
        <v>2</v>
      </c>
      <c r="G12" s="19" t="s">
        <v>48</v>
      </c>
      <c r="H12" s="12">
        <v>45257</v>
      </c>
      <c r="J12" s="24">
        <v>37880</v>
      </c>
      <c r="K12" s="24"/>
      <c r="L12" s="16" t="s">
        <v>85</v>
      </c>
      <c r="M12" s="16" t="s">
        <v>117</v>
      </c>
      <c r="N12" s="16">
        <v>40.799999999999997</v>
      </c>
      <c r="O12" s="16">
        <v>98.18</v>
      </c>
    </row>
    <row r="13" spans="1:20" x14ac:dyDescent="0.3">
      <c r="A13" s="1">
        <v>12</v>
      </c>
      <c r="B13" s="1" t="s">
        <v>57</v>
      </c>
      <c r="C13" s="20">
        <v>9754</v>
      </c>
      <c r="D13" s="19">
        <v>120202</v>
      </c>
      <c r="E13" s="1">
        <v>2</v>
      </c>
      <c r="F13" s="1">
        <v>2</v>
      </c>
      <c r="G13" s="19" t="s">
        <v>22</v>
      </c>
      <c r="H13" s="12">
        <v>45257</v>
      </c>
      <c r="I13" t="s">
        <v>51</v>
      </c>
      <c r="J13" s="24">
        <v>37460</v>
      </c>
      <c r="K13" s="24"/>
      <c r="L13" s="16" t="s">
        <v>85</v>
      </c>
      <c r="M13" s="16" t="s">
        <v>117</v>
      </c>
      <c r="N13" s="16">
        <v>45.88</v>
      </c>
      <c r="O13" s="16">
        <v>95.66</v>
      </c>
    </row>
    <row r="14" spans="1:20" x14ac:dyDescent="0.3">
      <c r="A14" s="1">
        <v>13</v>
      </c>
      <c r="B14" s="1" t="s">
        <v>58</v>
      </c>
      <c r="C14" s="20">
        <v>10344</v>
      </c>
      <c r="D14" s="19">
        <v>130103</v>
      </c>
      <c r="E14" s="1">
        <v>1</v>
      </c>
      <c r="F14" s="1">
        <v>3</v>
      </c>
      <c r="G14" s="19" t="s">
        <v>43</v>
      </c>
      <c r="H14" s="12">
        <v>45257</v>
      </c>
      <c r="J14" s="24">
        <v>37504</v>
      </c>
      <c r="K14" s="24"/>
      <c r="L14" s="16" t="s">
        <v>85</v>
      </c>
      <c r="M14" s="16" t="s">
        <v>117</v>
      </c>
      <c r="N14" s="16">
        <v>40.32</v>
      </c>
      <c r="O14" s="16">
        <v>93.64</v>
      </c>
    </row>
    <row r="15" spans="1:20" x14ac:dyDescent="0.3">
      <c r="A15" s="1">
        <v>14</v>
      </c>
      <c r="B15" s="1" t="s">
        <v>60</v>
      </c>
      <c r="C15" s="20">
        <v>11614</v>
      </c>
      <c r="D15" s="19">
        <v>140203</v>
      </c>
      <c r="E15" s="1">
        <v>2</v>
      </c>
      <c r="F15" s="1">
        <v>3</v>
      </c>
      <c r="G15" s="19" t="s">
        <v>46</v>
      </c>
      <c r="H15" s="12">
        <v>45258</v>
      </c>
      <c r="J15" s="24">
        <v>38214</v>
      </c>
      <c r="K15" s="24"/>
      <c r="L15" s="16" t="s">
        <v>84</v>
      </c>
      <c r="M15" s="16" t="s">
        <v>117</v>
      </c>
      <c r="N15" s="16">
        <v>34.04</v>
      </c>
      <c r="O15" s="16">
        <v>95.1</v>
      </c>
      <c r="T15" t="s">
        <v>51</v>
      </c>
    </row>
    <row r="16" spans="1:20" x14ac:dyDescent="0.3">
      <c r="A16" s="1">
        <v>15</v>
      </c>
      <c r="B16" s="1" t="s">
        <v>61</v>
      </c>
      <c r="C16" s="20">
        <v>11782</v>
      </c>
      <c r="D16" s="19">
        <v>150104</v>
      </c>
      <c r="E16" s="1">
        <v>1</v>
      </c>
      <c r="F16" s="1">
        <v>4</v>
      </c>
      <c r="G16" s="19" t="s">
        <v>48</v>
      </c>
      <c r="H16" s="12">
        <v>45258</v>
      </c>
      <c r="J16" s="24">
        <v>37691</v>
      </c>
      <c r="K16" s="24"/>
      <c r="L16" s="16" t="s">
        <v>85</v>
      </c>
      <c r="M16" s="16" t="s">
        <v>117</v>
      </c>
      <c r="N16" s="16">
        <v>39.520000000000003</v>
      </c>
      <c r="O16" s="16">
        <v>94.88</v>
      </c>
    </row>
    <row r="17" spans="1:20" x14ac:dyDescent="0.3">
      <c r="A17" s="1">
        <v>16</v>
      </c>
      <c r="B17" s="1" t="s">
        <v>63</v>
      </c>
      <c r="C17" s="20">
        <v>11481</v>
      </c>
      <c r="D17" s="19">
        <v>160204</v>
      </c>
      <c r="E17" s="1">
        <v>2</v>
      </c>
      <c r="F17" s="1">
        <v>4</v>
      </c>
      <c r="G17" s="19" t="s">
        <v>22</v>
      </c>
      <c r="H17" s="12">
        <v>45259</v>
      </c>
      <c r="I17" t="s">
        <v>64</v>
      </c>
      <c r="J17" s="24">
        <v>34028</v>
      </c>
      <c r="K17" s="24"/>
      <c r="L17" s="16" t="s">
        <v>85</v>
      </c>
      <c r="M17" s="16" t="s">
        <v>118</v>
      </c>
      <c r="N17" s="16">
        <v>40.68</v>
      </c>
      <c r="O17" s="16">
        <v>93.42</v>
      </c>
    </row>
    <row r="18" spans="1:20" ht="15" thickBot="1" x14ac:dyDescent="0.35">
      <c r="A18" s="1">
        <v>17</v>
      </c>
      <c r="B18" s="1" t="s">
        <v>66</v>
      </c>
      <c r="C18" s="20">
        <v>11438</v>
      </c>
      <c r="D18" s="19">
        <v>170101</v>
      </c>
      <c r="E18" s="1">
        <v>1</v>
      </c>
      <c r="F18" s="1">
        <v>1</v>
      </c>
      <c r="G18" s="19" t="s">
        <v>43</v>
      </c>
      <c r="H18" s="12">
        <v>45260</v>
      </c>
      <c r="I18" s="9" t="s">
        <v>70</v>
      </c>
      <c r="J18" s="23">
        <v>38244</v>
      </c>
      <c r="K18" s="23"/>
      <c r="L18" s="16" t="s">
        <v>85</v>
      </c>
      <c r="M18" s="16" t="s">
        <v>117</v>
      </c>
      <c r="N18" s="16">
        <v>44.4</v>
      </c>
      <c r="O18" s="16">
        <v>94</v>
      </c>
    </row>
    <row r="19" spans="1:20" x14ac:dyDescent="0.3">
      <c r="A19" s="1">
        <v>18</v>
      </c>
      <c r="B19" s="13" t="s">
        <v>67</v>
      </c>
      <c r="C19" s="21">
        <v>2293</v>
      </c>
      <c r="D19" s="19">
        <v>180201</v>
      </c>
      <c r="E19" s="1">
        <v>2</v>
      </c>
      <c r="F19" s="1">
        <v>1</v>
      </c>
      <c r="G19" s="19" t="s">
        <v>46</v>
      </c>
      <c r="H19" s="12">
        <v>45260</v>
      </c>
      <c r="I19" t="s">
        <v>101</v>
      </c>
      <c r="J19" s="24">
        <v>32903</v>
      </c>
      <c r="K19" s="24"/>
      <c r="L19" s="16" t="s">
        <v>85</v>
      </c>
      <c r="M19" s="16" t="s">
        <v>117</v>
      </c>
      <c r="N19" s="16">
        <v>35.08</v>
      </c>
      <c r="O19" s="16">
        <v>96.42</v>
      </c>
    </row>
    <row r="20" spans="1:20" x14ac:dyDescent="0.3">
      <c r="A20" s="1">
        <v>19</v>
      </c>
      <c r="B20" s="2" t="s">
        <v>68</v>
      </c>
      <c r="C20" s="18">
        <v>9818</v>
      </c>
      <c r="D20" s="19">
        <v>190102</v>
      </c>
      <c r="E20" s="1">
        <v>1</v>
      </c>
      <c r="F20" s="1">
        <v>2</v>
      </c>
      <c r="G20" s="19" t="s">
        <v>48</v>
      </c>
      <c r="H20" s="12">
        <v>45260</v>
      </c>
      <c r="I20" t="s">
        <v>71</v>
      </c>
      <c r="J20" s="24">
        <v>37433</v>
      </c>
      <c r="K20" s="24"/>
      <c r="L20" s="16" t="s">
        <v>85</v>
      </c>
      <c r="M20" s="16" t="s">
        <v>117</v>
      </c>
      <c r="N20" s="16">
        <v>32.72</v>
      </c>
      <c r="O20" s="16">
        <v>81.86</v>
      </c>
    </row>
    <row r="21" spans="1:20" x14ac:dyDescent="0.3">
      <c r="A21" s="1">
        <v>20</v>
      </c>
      <c r="B21" s="2" t="s">
        <v>69</v>
      </c>
      <c r="C21" s="18">
        <v>10983</v>
      </c>
      <c r="D21" s="19">
        <v>200202</v>
      </c>
      <c r="E21" s="1">
        <v>2</v>
      </c>
      <c r="F21" s="1">
        <v>2</v>
      </c>
      <c r="G21" s="19" t="s">
        <v>22</v>
      </c>
      <c r="H21" s="12">
        <v>45260</v>
      </c>
      <c r="J21" s="24">
        <v>37936</v>
      </c>
      <c r="K21" s="24"/>
      <c r="L21" s="16" t="s">
        <v>85</v>
      </c>
      <c r="M21" s="16" t="s">
        <v>117</v>
      </c>
      <c r="N21" s="16">
        <v>38.159999999999997</v>
      </c>
      <c r="O21" s="16">
        <v>97.36</v>
      </c>
    </row>
    <row r="22" spans="1:20" x14ac:dyDescent="0.3">
      <c r="A22" s="1">
        <v>21</v>
      </c>
      <c r="B22" s="2" t="s">
        <v>72</v>
      </c>
      <c r="C22" s="18">
        <v>11478</v>
      </c>
      <c r="D22" s="19">
        <v>210103</v>
      </c>
      <c r="E22" s="1">
        <v>1</v>
      </c>
      <c r="F22" s="1">
        <v>3</v>
      </c>
      <c r="G22" s="19" t="s">
        <v>43</v>
      </c>
      <c r="H22" s="12">
        <v>45261</v>
      </c>
      <c r="I22" t="s">
        <v>76</v>
      </c>
      <c r="J22" s="24">
        <v>34393</v>
      </c>
      <c r="K22" s="24"/>
      <c r="L22" s="16" t="s">
        <v>83</v>
      </c>
      <c r="M22" s="16" t="s">
        <v>118</v>
      </c>
      <c r="N22" s="16">
        <v>55.64</v>
      </c>
      <c r="O22" s="16">
        <v>97.48</v>
      </c>
    </row>
    <row r="23" spans="1:20" x14ac:dyDescent="0.3">
      <c r="A23" s="1">
        <v>22</v>
      </c>
      <c r="B23" s="1" t="s">
        <v>73</v>
      </c>
      <c r="C23" s="20">
        <v>10464</v>
      </c>
      <c r="D23" s="19">
        <v>220203</v>
      </c>
      <c r="E23" s="1">
        <v>2</v>
      </c>
      <c r="F23" s="1">
        <v>3</v>
      </c>
      <c r="G23" s="19" t="s">
        <v>46</v>
      </c>
      <c r="H23" s="12">
        <v>45261</v>
      </c>
      <c r="J23" s="24">
        <v>35659</v>
      </c>
      <c r="K23" s="24"/>
      <c r="L23" s="16" t="s">
        <v>85</v>
      </c>
      <c r="M23" s="16" t="s">
        <v>118</v>
      </c>
      <c r="N23" s="16">
        <v>52.28</v>
      </c>
      <c r="O23" s="16">
        <v>91</v>
      </c>
    </row>
    <row r="24" spans="1:20" x14ac:dyDescent="0.3">
      <c r="A24" s="1">
        <v>23</v>
      </c>
      <c r="B24" s="1" t="s">
        <v>74</v>
      </c>
      <c r="C24" s="20">
        <v>10637</v>
      </c>
      <c r="D24" s="19">
        <v>230104</v>
      </c>
      <c r="E24" s="1">
        <v>1</v>
      </c>
      <c r="F24" s="1">
        <v>4</v>
      </c>
      <c r="G24" s="19" t="s">
        <v>48</v>
      </c>
      <c r="H24" s="12">
        <v>45261</v>
      </c>
      <c r="I24" t="s">
        <v>51</v>
      </c>
      <c r="J24" s="24">
        <v>37869</v>
      </c>
      <c r="K24" s="24"/>
      <c r="L24" s="16" t="s">
        <v>85</v>
      </c>
      <c r="M24" s="16" t="s">
        <v>117</v>
      </c>
      <c r="N24" s="16">
        <v>34.72</v>
      </c>
      <c r="O24" s="16">
        <v>90.66</v>
      </c>
    </row>
    <row r="25" spans="1:20" ht="15" thickBot="1" x14ac:dyDescent="0.35">
      <c r="A25" s="1">
        <v>24</v>
      </c>
      <c r="B25" s="1" t="s">
        <v>75</v>
      </c>
      <c r="C25" s="20">
        <v>10443</v>
      </c>
      <c r="D25" s="19">
        <v>240204</v>
      </c>
      <c r="E25" s="1">
        <v>2</v>
      </c>
      <c r="F25" s="1">
        <v>4</v>
      </c>
      <c r="G25" s="19" t="s">
        <v>22</v>
      </c>
      <c r="H25" s="12">
        <v>45261</v>
      </c>
      <c r="I25" t="s">
        <v>102</v>
      </c>
      <c r="J25" s="24">
        <v>37670</v>
      </c>
      <c r="K25" s="24"/>
      <c r="L25" s="16" t="s">
        <v>85</v>
      </c>
      <c r="M25" s="16" t="s">
        <v>118</v>
      </c>
      <c r="N25" s="16">
        <v>50.16</v>
      </c>
      <c r="O25" s="16">
        <v>97.14</v>
      </c>
      <c r="T25" t="s">
        <v>51</v>
      </c>
    </row>
    <row r="26" spans="1:20" x14ac:dyDescent="0.3">
      <c r="A26" s="1">
        <v>25</v>
      </c>
      <c r="B26" s="13" t="s">
        <v>77</v>
      </c>
      <c r="C26" s="21">
        <v>11512</v>
      </c>
      <c r="D26" s="19">
        <v>250101</v>
      </c>
      <c r="E26" s="1">
        <v>1</v>
      </c>
      <c r="F26" s="1">
        <v>1</v>
      </c>
      <c r="G26" s="19" t="s">
        <v>43</v>
      </c>
      <c r="H26" s="12">
        <v>45264</v>
      </c>
      <c r="J26" s="24">
        <v>37838</v>
      </c>
      <c r="K26" s="24"/>
      <c r="L26" s="16" t="s">
        <v>85</v>
      </c>
      <c r="M26" s="16" t="s">
        <v>117</v>
      </c>
      <c r="N26" s="16">
        <v>34.4</v>
      </c>
      <c r="O26" s="16">
        <v>95.88</v>
      </c>
    </row>
    <row r="27" spans="1:20" x14ac:dyDescent="0.3">
      <c r="A27" s="1">
        <v>26</v>
      </c>
      <c r="B27" s="2" t="s">
        <v>78</v>
      </c>
      <c r="C27" s="18">
        <v>11124</v>
      </c>
      <c r="D27" s="19">
        <v>260201</v>
      </c>
      <c r="E27" s="1">
        <v>2</v>
      </c>
      <c r="F27" s="1">
        <v>1</v>
      </c>
      <c r="G27" s="19" t="s">
        <v>46</v>
      </c>
      <c r="H27" s="12">
        <v>45264</v>
      </c>
      <c r="J27" s="24">
        <v>37040</v>
      </c>
      <c r="K27" s="24"/>
      <c r="L27" s="16" t="s">
        <v>84</v>
      </c>
      <c r="M27" s="16" t="s">
        <v>117</v>
      </c>
      <c r="N27" s="16">
        <v>40.72</v>
      </c>
      <c r="O27" s="16">
        <v>93.08</v>
      </c>
    </row>
    <row r="28" spans="1:20" x14ac:dyDescent="0.3">
      <c r="A28" s="1">
        <v>27</v>
      </c>
      <c r="B28" s="2" t="s">
        <v>79</v>
      </c>
      <c r="C28" s="18">
        <v>11600</v>
      </c>
      <c r="D28" s="19">
        <v>270102</v>
      </c>
      <c r="E28" s="1">
        <v>1</v>
      </c>
      <c r="F28" s="1">
        <v>2</v>
      </c>
      <c r="G28" s="19" t="s">
        <v>48</v>
      </c>
      <c r="H28" s="12">
        <v>45264</v>
      </c>
      <c r="I28" t="s">
        <v>121</v>
      </c>
      <c r="J28" s="24">
        <v>38142</v>
      </c>
      <c r="K28" s="24"/>
      <c r="L28" s="16" t="s">
        <v>85</v>
      </c>
      <c r="M28" s="16" t="s">
        <v>117</v>
      </c>
      <c r="N28" s="16">
        <v>41.68</v>
      </c>
      <c r="O28" s="16">
        <v>89.06</v>
      </c>
    </row>
    <row r="29" spans="1:20" x14ac:dyDescent="0.3">
      <c r="A29" s="1">
        <v>28</v>
      </c>
      <c r="B29" s="2" t="s">
        <v>80</v>
      </c>
      <c r="C29" s="18">
        <v>3061</v>
      </c>
      <c r="D29" s="19">
        <v>280202</v>
      </c>
      <c r="E29" s="1">
        <v>2</v>
      </c>
      <c r="F29" s="1">
        <v>2</v>
      </c>
      <c r="G29" s="19" t="s">
        <v>22</v>
      </c>
      <c r="H29" s="12">
        <v>45264</v>
      </c>
      <c r="I29" t="s">
        <v>120</v>
      </c>
      <c r="J29" s="24">
        <v>33365</v>
      </c>
      <c r="K29" s="24"/>
      <c r="L29" s="16" t="s">
        <v>85</v>
      </c>
      <c r="M29" s="16" t="s">
        <v>117</v>
      </c>
      <c r="N29" s="16">
        <v>33.6</v>
      </c>
      <c r="O29" s="16">
        <v>87.76</v>
      </c>
    </row>
    <row r="30" spans="1:20" x14ac:dyDescent="0.3">
      <c r="A30" s="1">
        <v>29</v>
      </c>
      <c r="B30" s="2" t="s">
        <v>86</v>
      </c>
      <c r="C30" s="18">
        <v>11527</v>
      </c>
      <c r="D30" s="19">
        <v>290103</v>
      </c>
      <c r="E30" s="1">
        <v>1</v>
      </c>
      <c r="F30" s="1">
        <v>3</v>
      </c>
      <c r="G30" s="19" t="s">
        <v>43</v>
      </c>
      <c r="H30" s="12">
        <v>45265</v>
      </c>
      <c r="I30" s="9" t="s">
        <v>90</v>
      </c>
      <c r="J30" s="24">
        <v>37810</v>
      </c>
      <c r="K30" s="24"/>
      <c r="L30" s="16" t="s">
        <v>85</v>
      </c>
      <c r="M30" s="16" t="s">
        <v>117</v>
      </c>
      <c r="N30" s="16">
        <v>43.68</v>
      </c>
      <c r="O30" s="16">
        <v>88.68</v>
      </c>
    </row>
    <row r="31" spans="1:20" x14ac:dyDescent="0.3">
      <c r="A31" s="1">
        <v>30</v>
      </c>
      <c r="B31" s="2" t="s">
        <v>87</v>
      </c>
      <c r="C31" s="18">
        <v>2317</v>
      </c>
      <c r="D31" s="19">
        <v>300203</v>
      </c>
      <c r="E31" s="1">
        <v>2</v>
      </c>
      <c r="F31" s="1">
        <v>3</v>
      </c>
      <c r="G31" s="19" t="s">
        <v>46</v>
      </c>
      <c r="H31" s="12">
        <v>45265</v>
      </c>
      <c r="I31" t="s">
        <v>119</v>
      </c>
      <c r="J31" s="24">
        <v>33146</v>
      </c>
      <c r="K31" s="24"/>
      <c r="L31" s="16" t="s">
        <v>85</v>
      </c>
      <c r="M31" s="16" t="s">
        <v>118</v>
      </c>
      <c r="N31" s="16">
        <v>50</v>
      </c>
      <c r="O31" s="16">
        <v>95.12</v>
      </c>
    </row>
    <row r="32" spans="1:20" x14ac:dyDescent="0.3">
      <c r="A32" s="1">
        <v>31</v>
      </c>
      <c r="B32" s="2" t="s">
        <v>88</v>
      </c>
      <c r="C32" s="18">
        <v>8175</v>
      </c>
      <c r="D32" s="19">
        <v>310104</v>
      </c>
      <c r="E32" s="1">
        <v>1</v>
      </c>
      <c r="F32" s="1">
        <v>4</v>
      </c>
      <c r="G32" s="19" t="s">
        <v>48</v>
      </c>
      <c r="H32" s="12">
        <v>45265</v>
      </c>
      <c r="J32" s="24">
        <v>32922</v>
      </c>
      <c r="K32" s="24"/>
      <c r="L32" s="16" t="s">
        <v>85</v>
      </c>
      <c r="M32" s="16" t="s">
        <v>117</v>
      </c>
      <c r="N32" s="16">
        <v>43.4</v>
      </c>
      <c r="O32" s="16">
        <v>90</v>
      </c>
    </row>
    <row r="33" spans="1:15" x14ac:dyDescent="0.3">
      <c r="A33" s="1">
        <v>32</v>
      </c>
      <c r="B33" s="2" t="s">
        <v>89</v>
      </c>
      <c r="C33" s="18">
        <v>1697</v>
      </c>
      <c r="D33" s="19">
        <v>320204</v>
      </c>
      <c r="E33" s="1">
        <v>2</v>
      </c>
      <c r="F33" s="1">
        <v>4</v>
      </c>
      <c r="G33" s="19" t="s">
        <v>22</v>
      </c>
      <c r="H33" s="12">
        <v>45265</v>
      </c>
      <c r="J33" s="24">
        <v>32661</v>
      </c>
      <c r="K33" s="24"/>
      <c r="L33" s="16" t="s">
        <v>85</v>
      </c>
      <c r="M33" s="16" t="s">
        <v>117</v>
      </c>
      <c r="N33" s="16">
        <v>55.92</v>
      </c>
      <c r="O33" s="16">
        <v>92.66</v>
      </c>
    </row>
    <row r="34" spans="1:15" x14ac:dyDescent="0.3">
      <c r="A34" s="1">
        <v>33</v>
      </c>
      <c r="B34" s="1" t="s">
        <v>91</v>
      </c>
      <c r="C34" s="20">
        <v>9039</v>
      </c>
      <c r="D34" s="19">
        <v>330101</v>
      </c>
      <c r="E34" s="1">
        <v>1</v>
      </c>
      <c r="F34" s="1">
        <v>1</v>
      </c>
      <c r="G34" s="19" t="s">
        <v>43</v>
      </c>
      <c r="H34" s="17">
        <v>45271</v>
      </c>
      <c r="J34" s="24">
        <v>35705</v>
      </c>
      <c r="K34" s="24"/>
      <c r="L34" s="16" t="s">
        <v>84</v>
      </c>
      <c r="M34" s="16" t="s">
        <v>118</v>
      </c>
      <c r="N34" s="16">
        <v>43.32</v>
      </c>
      <c r="O34" s="16">
        <v>95.3</v>
      </c>
    </row>
    <row r="35" spans="1:15" x14ac:dyDescent="0.3">
      <c r="A35" s="1">
        <v>34</v>
      </c>
      <c r="B35" s="2" t="s">
        <v>92</v>
      </c>
      <c r="C35" s="18">
        <v>10010</v>
      </c>
      <c r="D35" s="19">
        <v>340201</v>
      </c>
      <c r="E35" s="1">
        <v>2</v>
      </c>
      <c r="F35" s="1">
        <v>1</v>
      </c>
      <c r="G35" s="19" t="s">
        <v>46</v>
      </c>
      <c r="H35" s="3">
        <v>45272</v>
      </c>
      <c r="I35" t="s">
        <v>122</v>
      </c>
      <c r="J35" s="24">
        <v>37475</v>
      </c>
      <c r="K35" s="24"/>
      <c r="L35" s="16" t="s">
        <v>85</v>
      </c>
      <c r="M35" s="16" t="s">
        <v>117</v>
      </c>
      <c r="N35" s="16">
        <v>43.88</v>
      </c>
      <c r="O35" s="16">
        <v>95.3</v>
      </c>
    </row>
    <row r="36" spans="1:15" x14ac:dyDescent="0.3">
      <c r="A36" s="1">
        <v>35</v>
      </c>
      <c r="B36" s="2" t="s">
        <v>93</v>
      </c>
      <c r="C36" s="18">
        <v>10415</v>
      </c>
      <c r="D36" s="19">
        <v>350102</v>
      </c>
      <c r="E36" s="1">
        <v>1</v>
      </c>
      <c r="F36" s="1">
        <v>2</v>
      </c>
      <c r="G36" s="19" t="s">
        <v>48</v>
      </c>
      <c r="H36" s="3">
        <v>45272</v>
      </c>
      <c r="J36" s="24">
        <v>37515</v>
      </c>
      <c r="K36" s="24"/>
      <c r="L36" s="16" t="s">
        <v>85</v>
      </c>
      <c r="M36" s="16" t="s">
        <v>117</v>
      </c>
      <c r="N36" s="16">
        <v>45.76</v>
      </c>
      <c r="O36" s="16">
        <v>92.12</v>
      </c>
    </row>
    <row r="37" spans="1:15" x14ac:dyDescent="0.3">
      <c r="A37" s="1">
        <v>36</v>
      </c>
      <c r="B37" s="2" t="s">
        <v>94</v>
      </c>
      <c r="C37" s="18">
        <v>6729</v>
      </c>
      <c r="D37" s="19">
        <v>360202</v>
      </c>
      <c r="E37" s="1">
        <v>2</v>
      </c>
      <c r="F37" s="1">
        <v>2</v>
      </c>
      <c r="G37" s="19" t="s">
        <v>22</v>
      </c>
      <c r="H37" s="3">
        <v>45272</v>
      </c>
      <c r="J37" s="24">
        <v>34059</v>
      </c>
      <c r="K37" s="24"/>
      <c r="L37" s="16" t="s">
        <v>84</v>
      </c>
      <c r="M37" s="16" t="s">
        <v>117</v>
      </c>
      <c r="N37" s="16">
        <v>36.200000000000003</v>
      </c>
      <c r="O37" s="16">
        <v>98.38</v>
      </c>
    </row>
    <row r="38" spans="1:15" x14ac:dyDescent="0.3">
      <c r="A38" s="1">
        <v>37</v>
      </c>
      <c r="B38" s="2" t="s">
        <v>95</v>
      </c>
      <c r="C38" s="18">
        <v>11066</v>
      </c>
      <c r="D38" s="19">
        <v>370103</v>
      </c>
      <c r="E38" s="1">
        <v>1</v>
      </c>
      <c r="F38" s="1">
        <v>3</v>
      </c>
      <c r="G38" s="19" t="s">
        <v>43</v>
      </c>
      <c r="H38" s="12">
        <v>45273</v>
      </c>
      <c r="I38" t="s">
        <v>111</v>
      </c>
      <c r="J38" s="24">
        <v>37152</v>
      </c>
      <c r="K38" s="24"/>
      <c r="L38" s="16" t="s">
        <v>85</v>
      </c>
      <c r="M38" s="16" t="s">
        <v>117</v>
      </c>
      <c r="N38" s="16">
        <v>40.159999999999997</v>
      </c>
      <c r="O38" s="16">
        <v>90.36</v>
      </c>
    </row>
    <row r="39" spans="1:15" x14ac:dyDescent="0.3">
      <c r="A39" s="1">
        <v>38</v>
      </c>
      <c r="B39" s="1" t="s">
        <v>96</v>
      </c>
      <c r="C39" s="20">
        <v>9245</v>
      </c>
      <c r="D39" s="19">
        <v>380203</v>
      </c>
      <c r="E39" s="1">
        <v>2</v>
      </c>
      <c r="F39" s="1">
        <v>3</v>
      </c>
      <c r="G39" s="19" t="s">
        <v>46</v>
      </c>
      <c r="H39" s="12">
        <v>45273</v>
      </c>
      <c r="I39" t="s">
        <v>99</v>
      </c>
      <c r="J39" s="24">
        <v>36607</v>
      </c>
      <c r="K39" s="24"/>
      <c r="L39" s="16" t="s">
        <v>85</v>
      </c>
      <c r="M39" s="16" t="s">
        <v>117</v>
      </c>
      <c r="N39" s="16">
        <v>38.68</v>
      </c>
      <c r="O39" s="16">
        <v>95.02</v>
      </c>
    </row>
    <row r="40" spans="1:15" x14ac:dyDescent="0.3">
      <c r="A40" s="1">
        <v>39</v>
      </c>
      <c r="B40" s="1" t="s">
        <v>97</v>
      </c>
      <c r="C40" s="20">
        <v>11067</v>
      </c>
      <c r="D40" s="19">
        <v>390104</v>
      </c>
      <c r="E40" s="1">
        <v>1</v>
      </c>
      <c r="F40" s="1">
        <v>4</v>
      </c>
      <c r="G40" s="19" t="s">
        <v>48</v>
      </c>
      <c r="H40" s="12">
        <v>45273</v>
      </c>
      <c r="J40" s="24">
        <v>35101</v>
      </c>
      <c r="K40" s="24"/>
      <c r="L40" s="16" t="s">
        <v>85</v>
      </c>
      <c r="M40" s="16" t="s">
        <v>118</v>
      </c>
      <c r="N40" s="16">
        <v>66.52</v>
      </c>
      <c r="O40" s="16">
        <v>98</v>
      </c>
    </row>
    <row r="41" spans="1:15" ht="15" thickBot="1" x14ac:dyDescent="0.35">
      <c r="A41" s="1">
        <v>40</v>
      </c>
      <c r="B41" s="1" t="s">
        <v>98</v>
      </c>
      <c r="C41" s="20">
        <v>8819</v>
      </c>
      <c r="D41" s="19">
        <v>400204</v>
      </c>
      <c r="E41" s="1">
        <v>2</v>
      </c>
      <c r="F41" s="1">
        <v>4</v>
      </c>
      <c r="G41" s="19" t="s">
        <v>22</v>
      </c>
      <c r="H41" s="12">
        <v>45273</v>
      </c>
      <c r="J41" s="24">
        <v>35856</v>
      </c>
      <c r="K41" s="24"/>
      <c r="L41" s="16" t="s">
        <v>85</v>
      </c>
      <c r="M41" s="16" t="s">
        <v>118</v>
      </c>
      <c r="N41" s="16">
        <v>52.04</v>
      </c>
      <c r="O41" s="16">
        <v>98.58</v>
      </c>
    </row>
    <row r="42" spans="1:15" x14ac:dyDescent="0.3">
      <c r="A42" s="1">
        <v>41</v>
      </c>
      <c r="B42" s="13" t="s">
        <v>100</v>
      </c>
      <c r="C42" s="21">
        <v>6210</v>
      </c>
      <c r="D42" s="19">
        <v>410101</v>
      </c>
      <c r="E42" s="1">
        <v>1</v>
      </c>
      <c r="F42" s="1">
        <v>1</v>
      </c>
      <c r="G42" s="19" t="s">
        <v>43</v>
      </c>
      <c r="H42" s="12">
        <v>45274</v>
      </c>
      <c r="J42" s="24">
        <v>35934</v>
      </c>
      <c r="K42" s="24"/>
      <c r="L42" s="16" t="s">
        <v>84</v>
      </c>
      <c r="M42" s="16" t="s">
        <v>117</v>
      </c>
      <c r="N42" s="16">
        <v>53.68</v>
      </c>
      <c r="O42" s="16">
        <v>90.04</v>
      </c>
    </row>
    <row r="43" spans="1:15" x14ac:dyDescent="0.3">
      <c r="A43" s="1">
        <v>42</v>
      </c>
      <c r="B43" s="2" t="s">
        <v>103</v>
      </c>
      <c r="C43" s="18">
        <v>10275</v>
      </c>
      <c r="D43" s="19">
        <v>420201</v>
      </c>
      <c r="E43" s="1">
        <v>2</v>
      </c>
      <c r="F43" s="1">
        <v>1</v>
      </c>
      <c r="G43" s="19" t="s">
        <v>46</v>
      </c>
      <c r="H43" s="12">
        <v>45307</v>
      </c>
      <c r="I43" s="9" t="s">
        <v>128</v>
      </c>
      <c r="J43" s="24">
        <v>33061</v>
      </c>
      <c r="K43" s="24"/>
      <c r="L43" s="16" t="s">
        <v>84</v>
      </c>
      <c r="M43" s="16" t="s">
        <v>117</v>
      </c>
      <c r="N43" s="16">
        <v>40.200000000000003</v>
      </c>
      <c r="O43" s="16">
        <v>94.42</v>
      </c>
    </row>
    <row r="44" spans="1:15" ht="15" thickBot="1" x14ac:dyDescent="0.35">
      <c r="A44" s="1">
        <v>43</v>
      </c>
      <c r="B44" s="1" t="s">
        <v>104</v>
      </c>
      <c r="C44" s="20">
        <v>6835</v>
      </c>
      <c r="D44" s="19">
        <v>430102</v>
      </c>
      <c r="E44" s="1">
        <v>1</v>
      </c>
      <c r="F44" s="1">
        <v>2</v>
      </c>
      <c r="G44" s="19" t="s">
        <v>48</v>
      </c>
      <c r="H44" s="12">
        <v>45309</v>
      </c>
      <c r="I44" s="9" t="s">
        <v>105</v>
      </c>
      <c r="J44" s="24">
        <v>33718</v>
      </c>
      <c r="K44" s="24"/>
      <c r="L44" s="16" t="s">
        <v>83</v>
      </c>
      <c r="M44" s="16" t="s">
        <v>118</v>
      </c>
      <c r="N44" s="16">
        <v>41.4</v>
      </c>
      <c r="O44" s="16">
        <v>90.52</v>
      </c>
    </row>
    <row r="45" spans="1:15" x14ac:dyDescent="0.3">
      <c r="A45" s="1">
        <v>44</v>
      </c>
      <c r="B45" s="13" t="s">
        <v>106</v>
      </c>
      <c r="C45" s="21">
        <v>10964</v>
      </c>
      <c r="D45" s="19">
        <v>440202</v>
      </c>
      <c r="E45" s="1">
        <v>2</v>
      </c>
      <c r="F45" s="1">
        <v>2</v>
      </c>
      <c r="G45" s="19" t="s">
        <v>22</v>
      </c>
      <c r="H45" s="12">
        <v>45310</v>
      </c>
      <c r="J45" s="24">
        <v>37441</v>
      </c>
      <c r="K45" s="24"/>
      <c r="L45" s="16" t="s">
        <v>84</v>
      </c>
      <c r="M45" s="16" t="s">
        <v>117</v>
      </c>
      <c r="N45" s="16">
        <v>41.8</v>
      </c>
      <c r="O45" s="16">
        <v>98.06</v>
      </c>
    </row>
    <row r="46" spans="1:15" x14ac:dyDescent="0.3">
      <c r="A46" s="1">
        <v>45</v>
      </c>
      <c r="B46" s="1" t="s">
        <v>107</v>
      </c>
      <c r="C46" s="20">
        <v>7789</v>
      </c>
      <c r="D46" s="19">
        <v>450103</v>
      </c>
      <c r="E46" s="1">
        <v>1</v>
      </c>
      <c r="F46" s="1">
        <v>3</v>
      </c>
      <c r="G46" s="19" t="s">
        <v>43</v>
      </c>
      <c r="H46" s="12">
        <v>45314</v>
      </c>
      <c r="I46" t="s">
        <v>108</v>
      </c>
      <c r="J46" s="24">
        <v>35886</v>
      </c>
      <c r="K46" s="24"/>
      <c r="L46" s="16" t="s">
        <v>85</v>
      </c>
      <c r="M46" s="16" t="s">
        <v>118</v>
      </c>
      <c r="N46" s="16">
        <v>51.2</v>
      </c>
      <c r="O46" s="16">
        <v>97.62</v>
      </c>
    </row>
    <row r="47" spans="1:15" x14ac:dyDescent="0.3">
      <c r="A47" s="1">
        <v>46</v>
      </c>
      <c r="B47" s="1" t="s">
        <v>109</v>
      </c>
      <c r="C47" s="20">
        <v>10942</v>
      </c>
      <c r="D47" s="19">
        <v>460203</v>
      </c>
      <c r="E47" s="1">
        <v>2</v>
      </c>
      <c r="F47" s="1">
        <v>3</v>
      </c>
      <c r="G47" s="19" t="s">
        <v>46</v>
      </c>
      <c r="H47" s="12">
        <v>45315</v>
      </c>
      <c r="J47" s="24">
        <v>38070</v>
      </c>
      <c r="K47" s="24"/>
      <c r="L47" s="16" t="s">
        <v>84</v>
      </c>
      <c r="M47" s="16" t="s">
        <v>117</v>
      </c>
      <c r="N47" s="16">
        <v>35.72</v>
      </c>
      <c r="O47" s="16">
        <v>95.58</v>
      </c>
    </row>
    <row r="48" spans="1:15" x14ac:dyDescent="0.3">
      <c r="A48" s="1">
        <v>47</v>
      </c>
      <c r="B48" s="2" t="s">
        <v>112</v>
      </c>
      <c r="C48" s="18">
        <v>6020</v>
      </c>
      <c r="D48" s="19">
        <v>470104</v>
      </c>
      <c r="E48" s="1">
        <v>1</v>
      </c>
      <c r="F48" s="1">
        <v>4</v>
      </c>
      <c r="G48" s="19" t="s">
        <v>48</v>
      </c>
      <c r="H48" s="12">
        <v>45317</v>
      </c>
      <c r="I48" t="s">
        <v>127</v>
      </c>
      <c r="J48" s="24">
        <v>36284</v>
      </c>
      <c r="K48" s="24"/>
      <c r="L48" s="16" t="s">
        <v>85</v>
      </c>
      <c r="M48" s="16" t="s">
        <v>117</v>
      </c>
      <c r="N48" s="16">
        <v>44.48</v>
      </c>
      <c r="O48" s="16">
        <v>95.44</v>
      </c>
    </row>
    <row r="49" spans="1:15" x14ac:dyDescent="0.3">
      <c r="A49" s="1">
        <v>48</v>
      </c>
      <c r="B49" s="2" t="s">
        <v>113</v>
      </c>
      <c r="C49" s="18">
        <v>10038</v>
      </c>
      <c r="D49" s="19">
        <v>480204</v>
      </c>
      <c r="E49" s="1">
        <v>2</v>
      </c>
      <c r="F49" s="1">
        <v>4</v>
      </c>
      <c r="G49" s="19" t="s">
        <v>22</v>
      </c>
      <c r="H49" s="12">
        <v>45317</v>
      </c>
      <c r="I49" t="s">
        <v>115</v>
      </c>
      <c r="J49" s="24">
        <v>33386</v>
      </c>
      <c r="K49" s="24"/>
      <c r="L49" s="16" t="s">
        <v>85</v>
      </c>
      <c r="M49" s="16" t="s">
        <v>118</v>
      </c>
      <c r="N49" s="16">
        <v>61.56</v>
      </c>
      <c r="O49" s="16">
        <v>95.84</v>
      </c>
    </row>
    <row r="50" spans="1:15" x14ac:dyDescent="0.3">
      <c r="A50" s="1">
        <v>49</v>
      </c>
      <c r="B50" s="2" t="s">
        <v>114</v>
      </c>
      <c r="C50" s="18">
        <v>6477</v>
      </c>
      <c r="D50" s="19" t="s">
        <v>110</v>
      </c>
      <c r="E50" s="1">
        <v>1</v>
      </c>
      <c r="F50" s="1">
        <v>1</v>
      </c>
      <c r="G50" s="19" t="s">
        <v>43</v>
      </c>
      <c r="H50" s="12">
        <v>45317</v>
      </c>
      <c r="J50" s="24">
        <v>34470</v>
      </c>
      <c r="K50" s="24"/>
      <c r="L50" s="16" t="s">
        <v>83</v>
      </c>
      <c r="M50" s="16" t="s">
        <v>118</v>
      </c>
      <c r="N50" s="16">
        <v>45.46</v>
      </c>
      <c r="O50" s="16">
        <v>97.52</v>
      </c>
    </row>
    <row r="51" spans="1:15" x14ac:dyDescent="0.3">
      <c r="D51" s="22"/>
      <c r="G51" s="22"/>
      <c r="N51" s="25">
        <f>AVERAGE(Table1[Type_speed])</f>
        <v>42.137551020408168</v>
      </c>
      <c r="O51" s="16">
        <f>AVERAGE(Table1[Type_accuracy])</f>
        <v>93.98</v>
      </c>
    </row>
    <row r="53" spans="1:15" x14ac:dyDescent="0.3">
      <c r="J53" s="16" t="s">
        <v>124</v>
      </c>
    </row>
    <row r="54" spans="1:15" x14ac:dyDescent="0.3">
      <c r="J54" s="16" t="s">
        <v>125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2024-02-13T11:50:11Z</dcterms:modified>
</cp:coreProperties>
</file>