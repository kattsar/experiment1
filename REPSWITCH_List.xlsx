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experiment1\"/>
    </mc:Choice>
  </mc:AlternateContent>
  <xr:revisionPtr revIDLastSave="0" documentId="13_ncr:1_{CEE4475E-653B-40D2-AC5D-9EE8FEFE40E2}" xr6:coauthVersionLast="47" xr6:coauthVersionMax="47" xr10:uidLastSave="{00000000-0000-0000-0000-000000000000}"/>
  <bookViews>
    <workbookView xWindow="-108" yWindow="492" windowWidth="23256" windowHeight="12576" activeTab="1" xr2:uid="{00000000-000D-0000-FFFF-FFFF00000000}"/>
  </bookViews>
  <sheets>
    <sheet name="Pilots" sheetId="3" r:id="rId1"/>
    <sheet name="Participan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1" i="2" l="1"/>
  <c r="M51" i="2"/>
</calcChain>
</file>

<file path=xl/sharedStrings.xml><?xml version="1.0" encoding="utf-8"?>
<sst xmlns="http://schemas.openxmlformats.org/spreadsheetml/2006/main" count="278" uniqueCount="128">
  <si>
    <t>Participant</t>
  </si>
  <si>
    <t xml:space="preserve">Version </t>
  </si>
  <si>
    <t>List</t>
  </si>
  <si>
    <t>Code</t>
  </si>
  <si>
    <t>010101</t>
  </si>
  <si>
    <t>030102</t>
  </si>
  <si>
    <t>050103</t>
  </si>
  <si>
    <t>040202</t>
  </si>
  <si>
    <t>060203</t>
  </si>
  <si>
    <t>070104</t>
  </si>
  <si>
    <t>080204</t>
  </si>
  <si>
    <t>090101</t>
  </si>
  <si>
    <t>Name</t>
  </si>
  <si>
    <t>Language_test</t>
  </si>
  <si>
    <t>ID</t>
  </si>
  <si>
    <t>Erika Macancela Sánchez</t>
  </si>
  <si>
    <t>Elena García-Balibrea Sánchez</t>
  </si>
  <si>
    <t>María Giménez Prieto</t>
  </si>
  <si>
    <t>Idoia Torralba Suarez</t>
  </si>
  <si>
    <t>Itziar Morán Magariño</t>
  </si>
  <si>
    <t>Inés González Garrido</t>
  </si>
  <si>
    <t>-</t>
  </si>
  <si>
    <t>C01</t>
  </si>
  <si>
    <t>Date</t>
  </si>
  <si>
    <t>Type_speed</t>
  </si>
  <si>
    <t>Type_accuracy</t>
  </si>
  <si>
    <t>Nº</t>
  </si>
  <si>
    <t>NOMBRE</t>
  </si>
  <si>
    <t>CODE</t>
  </si>
  <si>
    <t>DATE</t>
  </si>
  <si>
    <t>VERSION</t>
  </si>
  <si>
    <t>LIST</t>
  </si>
  <si>
    <t>CAB</t>
  </si>
  <si>
    <t>RA</t>
  </si>
  <si>
    <t>INCIDENCES</t>
  </si>
  <si>
    <t>PILOTO 1</t>
  </si>
  <si>
    <t>00.01.01</t>
  </si>
  <si>
    <t>Katerina</t>
  </si>
  <si>
    <t>Repeated Familiarisation phase because he used Argentinian Spanish instead of Castellano for some words. He was familiar with the Caja test.</t>
  </si>
  <si>
    <t>PILOTO 2</t>
  </si>
  <si>
    <t>Leire Rodriguez</t>
  </si>
  <si>
    <t>00.02.01</t>
  </si>
  <si>
    <t>Had done caja before</t>
  </si>
  <si>
    <t>C02</t>
  </si>
  <si>
    <t>Notes</t>
  </si>
  <si>
    <t>back-up audio?</t>
  </si>
  <si>
    <t>C03</t>
  </si>
  <si>
    <t>I got confused and did first the caja and then the language tasks.</t>
  </si>
  <si>
    <t>C04</t>
  </si>
  <si>
    <t>Enara Ayala Pérez</t>
  </si>
  <si>
    <t>I didn't tell them about the ñ and they used /n/ instead in muñeca and baño.</t>
  </si>
  <si>
    <t xml:space="preserve"> </t>
  </si>
  <si>
    <t>Lucia Gomez Lopez</t>
  </si>
  <si>
    <t>020201</t>
  </si>
  <si>
    <t>Diego Zabala Juarez</t>
  </si>
  <si>
    <t>Catalina Platas Muñoz</t>
  </si>
  <si>
    <t>Irene Pereira López</t>
  </si>
  <si>
    <t>Ana Fernández Rubio</t>
  </si>
  <si>
    <t>Nerea Pérez Arriazu</t>
  </si>
  <si>
    <t>Speaks fast. Tends to ¨cut¨ syllables in the sense that they are not heard clearly at all times. Typed-said the colour instead of the word in the first couple of trials in Practice 1. I corrected him and he did the rest correctly.</t>
  </si>
  <si>
    <t>Haizea Lavega Torrado</t>
  </si>
  <si>
    <t>Clara Lorenzo Tabueña</t>
  </si>
  <si>
    <t>Juan Gabriel Llojilla</t>
  </si>
  <si>
    <t>Raquel Olmos Juste</t>
  </si>
  <si>
    <t>can do the caja!</t>
  </si>
  <si>
    <t>Spoke in many type trials. Has some very late Speak trials (responds after 1200ms). Was not very concentrated -- many mistakes in the colour-cue. Very long durations.</t>
  </si>
  <si>
    <t xml:space="preserve">Sofía Puerta Cabiró </t>
  </si>
  <si>
    <t>Tania Vidar Cascallar</t>
  </si>
  <si>
    <t>Marta Buendía Méndez</t>
  </si>
  <si>
    <t>Lucía Rodríguez Ezquerro</t>
  </si>
  <si>
    <t>Visual lexical decision task (C02) did not work to the end. After a few words the fixation cross appeared and then did not proceed to another word or task. We attempted it a second time, nothing. We completed the rest of the langauge tasks (without run non-stop) and I was in the room.</t>
  </si>
  <si>
    <t>Familiarisation: many hesitations, but did not repeat during Practices. She restarted the language tasks after having completed them. There are two output files for the written task.</t>
  </si>
  <si>
    <t>Gorka Zubizarreta Calvo</t>
  </si>
  <si>
    <t>Marta Pérez Verdugo</t>
  </si>
  <si>
    <t>Maria Garcia Revilla</t>
  </si>
  <si>
    <t>Mei Muñoz Ruiz</t>
  </si>
  <si>
    <t>Check his RTs. Seemed a bit slow during the Practice sessions.</t>
  </si>
  <si>
    <t>Beatriz Saiz Saiz</t>
  </si>
  <si>
    <t>Nerea Segura Saez</t>
  </si>
  <si>
    <t>Begoña Urrutia González</t>
  </si>
  <si>
    <t>Ana Trespalacios Rivera</t>
  </si>
  <si>
    <t>FechaNacimiento</t>
  </si>
  <si>
    <t>Sexo</t>
  </si>
  <si>
    <t>M</t>
  </si>
  <si>
    <t>NR</t>
  </si>
  <si>
    <t>F</t>
  </si>
  <si>
    <t>Leire Rodriguez Roman</t>
  </si>
  <si>
    <t>Amparo Gómez Cuevas</t>
  </si>
  <si>
    <t>Isabel García De las Cuevas</t>
  </si>
  <si>
    <t>Marina Vásquez Vicuña</t>
  </si>
  <si>
    <t>Typing questionnaire: I pressed enter before entering my code for the participant, so there is only the ID from Participa.</t>
  </si>
  <si>
    <t>Alvaro Alaba</t>
  </si>
  <si>
    <t>Elena Ruiz Sandoya</t>
  </si>
  <si>
    <t>Maider Ormaetxea Fernández</t>
  </si>
  <si>
    <t>Diego Garcia-Mercadal Mendicuti</t>
  </si>
  <si>
    <t>Eider Vazquez Garrido</t>
  </si>
  <si>
    <t>Irene Lopez Muro</t>
  </si>
  <si>
    <t>Elisa Sanchez Bayona</t>
  </si>
  <si>
    <t>Inés Martínez Ortega</t>
  </si>
  <si>
    <t>Super long nails</t>
  </si>
  <si>
    <t>Eider De la Torre Moreno</t>
  </si>
  <si>
    <t>Practice 1: She thought she had to name the colour. I corrected her and she got trials 5-12  right. Rather slow RTs. Speaks slowly.</t>
  </si>
  <si>
    <t>Speaks very fast. Short durations.</t>
  </si>
  <si>
    <t>Angelika Botero Montaña</t>
  </si>
  <si>
    <t>Used words from South American Spanish in the familliarisation.</t>
  </si>
  <si>
    <t>Alejandro Muñoz Pérez</t>
  </si>
  <si>
    <t>In Practice2 I wrote his code ID as 430201 instead of 430102.</t>
  </si>
  <si>
    <t>Patricia García Arenzana</t>
  </si>
  <si>
    <t>Leire Varela Aranguren</t>
  </si>
  <si>
    <t>She can do the caja.</t>
  </si>
  <si>
    <t>Lorena Muñoz Ruiz</t>
  </si>
  <si>
    <t>490101</t>
  </si>
  <si>
    <t xml:space="preserve">Can do the caja! She has said and typed ´fresa´ instead of ´manzana´for all instances of the latter word. I checked the lists I use on PsychoPy and the output file from PsychoPy for that participant and the image used for the apple is that of an apple. </t>
  </si>
  <si>
    <t>Naroa Borrajeros Elósegui</t>
  </si>
  <si>
    <t>Thais Garcia Sevilla</t>
  </si>
  <si>
    <t>Unai Roca</t>
  </si>
  <si>
    <t>A bit sleepy. Can do the caja.</t>
  </si>
  <si>
    <t>Has a cut on her right index. No issue in typing. Took off the bandage. Can do the caja.</t>
  </si>
  <si>
    <t>Supertecleador</t>
  </si>
  <si>
    <t>No</t>
  </si>
  <si>
    <t>Yes</t>
  </si>
  <si>
    <t>RTs Speak are relatively slow. Mostly between 1000-1400ms.</t>
  </si>
  <si>
    <t>Some RTs Speak are close to 1200-1500ms</t>
  </si>
  <si>
    <t>Long durations Speak</t>
  </si>
  <si>
    <t>Relatively slow RTs Speak -- between 1000 and 1500ms; some even close to 2sec. Long durations as well.</t>
  </si>
  <si>
    <t>has dots in the PsychoPy output file</t>
  </si>
  <si>
    <t xml:space="preserve">add an age column </t>
  </si>
  <si>
    <t>check sex for 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</si>
</sst>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1"/>
      <scheme val="minor"/>
    </font>
    <font>
      <sz val="11"/>
      <color rgb="FF000000"/>
      <name val="Calibri"/>
      <family val="2"/>
      <charset val="161"/>
      <scheme val="minor"/>
    </font>
    <font>
      <sz val="8"/>
      <name val="Calibri"/>
      <family val="2"/>
      <charset val="16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8EA9DB"/>
      </left>
      <right/>
      <top/>
      <bottom/>
      <diagonal/>
    </border>
    <border>
      <left/>
      <right/>
      <top/>
      <bottom style="medium">
        <color rgb="FF8EA9DB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8EA9DB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0" xfId="0" applyFill="1"/>
    <xf numFmtId="0" fontId="1" fillId="2" borderId="0" xfId="0" applyFont="1" applyFill="1"/>
    <xf numFmtId="14" fontId="1" fillId="2" borderId="2" xfId="0" applyNumberFormat="1" applyFont="1" applyFill="1" applyBorder="1"/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14" fontId="1" fillId="0" borderId="1" xfId="0" applyNumberFormat="1" applyFont="1" applyBorder="1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3" xfId="0" applyFont="1" applyBorder="1" applyAlignment="1">
      <alignment horizontal="center"/>
    </xf>
    <xf numFmtId="14" fontId="1" fillId="0" borderId="0" xfId="0" applyNumberFormat="1" applyFont="1"/>
    <xf numFmtId="14" fontId="0" fillId="2" borderId="0" xfId="0" applyNumberFormat="1" applyFill="1"/>
    <xf numFmtId="0" fontId="1" fillId="2" borderId="5" xfId="0" applyFont="1" applyFill="1" applyBorder="1"/>
    <xf numFmtId="14" fontId="0" fillId="0" borderId="0" xfId="0" applyNumberFormat="1"/>
    <xf numFmtId="0" fontId="1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4" fontId="0" fillId="2" borderId="2" xfId="0" applyNumberFormat="1" applyFill="1" applyBorder="1"/>
    <xf numFmtId="2" fontId="0" fillId="0" borderId="0" xfId="0" applyNumberFormat="1"/>
    <xf numFmtId="0" fontId="1" fillId="2" borderId="0" xfId="0" applyFont="1" applyFill="1" applyAlignment="1">
      <alignment horizontal="center"/>
    </xf>
    <xf numFmtId="49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1" fillId="2" borderId="5" xfId="0" applyFont="1" applyFill="1" applyBorder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25">
    <dxf>
      <numFmt numFmtId="2" formatCode="0.0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61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medium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61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medium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61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medium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61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medium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61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medium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61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medium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61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medium">
          <color rgb="FF000000"/>
        </top>
        <bottom/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61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medium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61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medium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61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medium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61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medium">
          <color rgb="FF000000"/>
        </top>
        <bottom/>
      </border>
    </dxf>
    <dxf>
      <border outline="0">
        <top style="medium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61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61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7725C54-BC3C-4F16-BE30-EAEFD1E6A889}" name="Table2" displayName="Table2" ref="A1:N3" totalsRowShown="0" headerRowDxfId="24" dataDxfId="22" headerRowBorderDxfId="23" tableBorderDxfId="21">
  <autoFilter ref="A1:N3" xr:uid="{D7725C54-BC3C-4F16-BE30-EAEFD1E6A889}"/>
  <tableColumns count="14">
    <tableColumn id="1" xr3:uid="{7424B4AF-20BB-4956-A693-DA5C2E491F93}" name="Nº" dataDxfId="20"/>
    <tableColumn id="2" xr3:uid="{D26CEDE0-6675-4478-AE1C-23ABA5C453CA}" name="NOMBRE" dataDxfId="19"/>
    <tableColumn id="3" xr3:uid="{EFE7765A-783D-40C2-88ED-FBD03D4624CF}" name="ID" dataDxfId="18"/>
    <tableColumn id="4" xr3:uid="{44B7B9A7-3620-4B2C-AA1F-A445ABB5A4AB}" name="CODE" dataDxfId="17"/>
    <tableColumn id="5" xr3:uid="{53BF4CCF-E2C8-4075-828B-045D44DC2B5B}" name="DATE" dataDxfId="16"/>
    <tableColumn id="13" xr3:uid="{1015A516-CB69-4FC3-87A7-C4A13E267A67}" name="FechaNacimiento"/>
    <tableColumn id="14" xr3:uid="{EA8F05D9-3EE2-477E-9DA0-F765608E29F0}" name="Sexo"/>
    <tableColumn id="6" xr3:uid="{1B290470-E23F-485F-AC08-FFFEAC9F056D}" name="VERSION" dataDxfId="15"/>
    <tableColumn id="7" xr3:uid="{F0145F60-BB11-4B87-9FCD-BDAB0F3EDDB5}" name="LIST" dataDxfId="14"/>
    <tableColumn id="8" xr3:uid="{2F9D02AD-A101-4502-9045-CD9C9E13C48F}" name="CAB" dataDxfId="13"/>
    <tableColumn id="9" xr3:uid="{85FF814B-2A7B-432F-8DAE-5AB34249AEB5}" name="RA" dataDxfId="12"/>
    <tableColumn id="10" xr3:uid="{0FC227E0-1B27-4152-863B-2CB8F32204E6}" name="INCIDENCES" dataDxfId="11"/>
    <tableColumn id="12" xr3:uid="{503F2B95-E846-4929-AB22-0B04260E6C24}" name="Type_speed" dataDxfId="10"/>
    <tableColumn id="11" xr3:uid="{EDCB596B-12D3-4EB1-8CF7-AAF9A3093A4F}" name="Type_accuracy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4C102C-C055-48F5-AE8E-D7DEA7C38926}" name="Table1" displayName="Table1" ref="A1:N51" totalsRowCount="1">
  <autoFilter ref="A1:N50" xr:uid="{894C102C-C055-48F5-AE8E-D7DEA7C38926}"/>
  <tableColumns count="14">
    <tableColumn id="1" xr3:uid="{6A81B45A-EDC9-4FF5-8258-8648C067C16F}" name="Participant"/>
    <tableColumn id="5" xr3:uid="{23D0A20D-D062-4D9A-A44D-D77B8E1CBB39}" name="Name"/>
    <tableColumn id="10" xr3:uid="{706E71AC-2B72-418D-A17F-64B513C711DC}" name="ID" dataDxfId="8" totalsRowDxfId="7"/>
    <tableColumn id="4" xr3:uid="{7D21F159-CC51-40B5-A3A9-2FC35A1E3DC7}" name="Code" dataDxfId="6" totalsRowDxfId="5"/>
    <tableColumn id="2" xr3:uid="{0F7B8E20-170E-4530-BD6F-052C78EE98C3}" name="Version "/>
    <tableColumn id="3" xr3:uid="{C9573F81-3819-423D-82CC-5ABB8EA301BD}" name="List"/>
    <tableColumn id="6" xr3:uid="{27B86DF5-6EF1-41B1-A9EC-9F0F5F275ADB}" name="Language_test" dataDxfId="4" totalsRowDxfId="3"/>
    <tableColumn id="9" xr3:uid="{89FF1955-3050-4A09-8388-44DB3C7BAF8D}" name="Date"/>
    <tableColumn id="13" xr3:uid="{0353A7A6-5360-4B04-A7A6-65360A0DB44E}" name="Notes"/>
    <tableColumn id="14" xr3:uid="{4580F522-AB7C-463E-B145-EBE3420458C5}" name="FechaNacimiento"/>
    <tableColumn id="15" xr3:uid="{E351B0AB-595F-4765-9989-9C66FD2C2557}" name="Sexo" dataDxfId="2" totalsRowDxfId="1"/>
    <tableColumn id="16" xr3:uid="{C57334FC-C4FE-4E54-8FCF-DE2F9464D89B}" name="Supertecleador"/>
    <tableColumn id="8" xr3:uid="{4C118AC6-F397-4959-8D77-72283767A378}" name="Type_speed" totalsRowFunction="custom" totalsRowDxfId="0">
      <totalsRowFormula>AVERAGE(Table1[Type_speed])</totalsRowFormula>
    </tableColumn>
    <tableColumn id="7" xr3:uid="{298D1824-20FA-4582-B3FC-14618C8BA8DE}" name="Type_accuracy" totalsRowFunction="custom">
      <totalsRowFormula>AVERAGE(Table1[Type_accuracy])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36CCB-2A52-4B66-B376-BBDF6C18D45E}">
  <dimension ref="A1:N3"/>
  <sheetViews>
    <sheetView workbookViewId="0">
      <selection activeCell="G9" sqref="G9"/>
    </sheetView>
  </sheetViews>
  <sheetFormatPr defaultRowHeight="14.4" x14ac:dyDescent="0.3"/>
  <cols>
    <col min="2" max="2" width="10.5546875" customWidth="1"/>
    <col min="5" max="5" width="10.5546875" bestFit="1" customWidth="1"/>
    <col min="6" max="7" width="10.5546875" customWidth="1"/>
    <col min="8" max="8" width="10.44140625" customWidth="1"/>
    <col min="14" max="14" width="13.109375" customWidth="1"/>
  </cols>
  <sheetData>
    <row r="1" spans="1:14" ht="15" thickBot="1" x14ac:dyDescent="0.35">
      <c r="A1" s="4" t="s">
        <v>26</v>
      </c>
      <c r="B1" s="4" t="s">
        <v>27</v>
      </c>
      <c r="C1" s="4" t="s">
        <v>14</v>
      </c>
      <c r="D1" s="4" t="s">
        <v>28</v>
      </c>
      <c r="E1" s="4" t="s">
        <v>29</v>
      </c>
      <c r="F1" s="4" t="s">
        <v>81</v>
      </c>
      <c r="G1" s="4" t="s">
        <v>82</v>
      </c>
      <c r="H1" s="4" t="s">
        <v>30</v>
      </c>
      <c r="I1" s="4" t="s">
        <v>31</v>
      </c>
      <c r="J1" s="4" t="s">
        <v>32</v>
      </c>
      <c r="K1" s="4" t="s">
        <v>33</v>
      </c>
      <c r="L1" s="4" t="s">
        <v>34</v>
      </c>
      <c r="M1" s="4" t="s">
        <v>24</v>
      </c>
      <c r="N1" s="4" t="s">
        <v>25</v>
      </c>
    </row>
    <row r="2" spans="1:14" x14ac:dyDescent="0.3">
      <c r="A2" s="5" t="s">
        <v>35</v>
      </c>
      <c r="B2" s="6" t="s">
        <v>62</v>
      </c>
      <c r="C2" s="6">
        <v>9028</v>
      </c>
      <c r="D2" s="5" t="s">
        <v>36</v>
      </c>
      <c r="E2" s="7">
        <v>45197</v>
      </c>
      <c r="F2" s="7">
        <v>36624</v>
      </c>
      <c r="G2" s="15" t="s">
        <v>83</v>
      </c>
      <c r="H2" s="5">
        <v>1</v>
      </c>
      <c r="I2" s="5">
        <v>1</v>
      </c>
      <c r="J2" s="5">
        <v>3</v>
      </c>
      <c r="K2" s="6" t="s">
        <v>37</v>
      </c>
      <c r="L2" s="6" t="s">
        <v>38</v>
      </c>
      <c r="M2">
        <v>28.48</v>
      </c>
      <c r="N2">
        <v>96.9</v>
      </c>
    </row>
    <row r="3" spans="1:14" ht="15" thickBot="1" x14ac:dyDescent="0.35">
      <c r="A3" s="8" t="s">
        <v>39</v>
      </c>
      <c r="B3" s="9" t="s">
        <v>40</v>
      </c>
      <c r="C3" s="9">
        <v>11527</v>
      </c>
      <c r="D3" s="10" t="s">
        <v>41</v>
      </c>
      <c r="E3" s="11">
        <v>45087</v>
      </c>
      <c r="F3" s="11">
        <v>37810</v>
      </c>
      <c r="G3" s="16" t="s">
        <v>85</v>
      </c>
      <c r="H3" s="8">
        <v>2</v>
      </c>
      <c r="I3" s="8">
        <v>1</v>
      </c>
      <c r="J3" s="8">
        <v>3</v>
      </c>
      <c r="K3" s="9" t="s">
        <v>37</v>
      </c>
      <c r="L3" s="9" t="s">
        <v>42</v>
      </c>
      <c r="M3">
        <v>28.48</v>
      </c>
      <c r="N3">
        <v>96.9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959F8-4BC5-4C1E-B558-7BF10E8FA50A}">
  <dimension ref="A1:S54"/>
  <sheetViews>
    <sheetView tabSelected="1" topLeftCell="A18" zoomScale="80" zoomScaleNormal="80" workbookViewId="0">
      <selection activeCell="G1" sqref="G1:G1048576"/>
    </sheetView>
  </sheetViews>
  <sheetFormatPr defaultRowHeight="14.4" x14ac:dyDescent="0.3"/>
  <cols>
    <col min="1" max="1" width="12" customWidth="1"/>
    <col min="2" max="2" width="25.88671875" bestFit="1" customWidth="1"/>
    <col min="3" max="3" width="12" style="17" customWidth="1"/>
    <col min="4" max="4" width="8.88671875" style="17"/>
    <col min="6" max="6" width="9.6640625" customWidth="1"/>
    <col min="7" max="7" width="8.88671875" style="17"/>
    <col min="8" max="8" width="10.5546875" bestFit="1" customWidth="1"/>
    <col min="9" max="9" width="31.88671875" customWidth="1"/>
    <col min="10" max="10" width="13.44140625" customWidth="1"/>
    <col min="11" max="11" width="13.44140625" style="17" customWidth="1"/>
    <col min="12" max="12" width="10.77734375" customWidth="1"/>
    <col min="13" max="13" width="10.77734375" bestFit="1" customWidth="1"/>
    <col min="15" max="15" width="10.77734375" bestFit="1" customWidth="1"/>
    <col min="24" max="24" width="13.6640625" bestFit="1" customWidth="1"/>
    <col min="25" max="25" width="11.5546875" bestFit="1" customWidth="1"/>
    <col min="26" max="26" width="14.109375" bestFit="1" customWidth="1"/>
  </cols>
  <sheetData>
    <row r="1" spans="1:19" x14ac:dyDescent="0.3">
      <c r="A1" t="s">
        <v>0</v>
      </c>
      <c r="B1" t="s">
        <v>12</v>
      </c>
      <c r="C1" s="17" t="s">
        <v>14</v>
      </c>
      <c r="D1" s="17" t="s">
        <v>3</v>
      </c>
      <c r="E1" t="s">
        <v>1</v>
      </c>
      <c r="F1" t="s">
        <v>2</v>
      </c>
      <c r="G1" s="17" t="s">
        <v>13</v>
      </c>
      <c r="H1" t="s">
        <v>23</v>
      </c>
      <c r="I1" t="s">
        <v>44</v>
      </c>
      <c r="J1" t="s">
        <v>81</v>
      </c>
      <c r="K1" s="18" t="s">
        <v>82</v>
      </c>
      <c r="L1" t="s">
        <v>118</v>
      </c>
      <c r="M1" t="s">
        <v>24</v>
      </c>
      <c r="N1" t="s">
        <v>25</v>
      </c>
    </row>
    <row r="2" spans="1:19" x14ac:dyDescent="0.3">
      <c r="A2" s="1">
        <v>1</v>
      </c>
      <c r="B2" s="2" t="s">
        <v>15</v>
      </c>
      <c r="C2" s="21">
        <v>9383</v>
      </c>
      <c r="D2" s="22" t="s">
        <v>4</v>
      </c>
      <c r="E2" s="1">
        <v>1</v>
      </c>
      <c r="F2" s="1">
        <v>1</v>
      </c>
      <c r="G2" s="22" t="s">
        <v>21</v>
      </c>
      <c r="H2" s="3">
        <v>45240</v>
      </c>
      <c r="I2" s="11"/>
      <c r="J2" s="11">
        <v>36910</v>
      </c>
      <c r="K2" s="8" t="s">
        <v>85</v>
      </c>
      <c r="L2" t="s">
        <v>119</v>
      </c>
      <c r="M2">
        <v>38.72</v>
      </c>
      <c r="N2">
        <v>98.84</v>
      </c>
    </row>
    <row r="3" spans="1:19" x14ac:dyDescent="0.3">
      <c r="A3" s="1">
        <v>2</v>
      </c>
      <c r="B3" s="2" t="s">
        <v>16</v>
      </c>
      <c r="C3" s="21">
        <v>11777</v>
      </c>
      <c r="D3" s="22" t="s">
        <v>53</v>
      </c>
      <c r="E3" s="1">
        <v>2</v>
      </c>
      <c r="F3" s="1">
        <v>1</v>
      </c>
      <c r="G3" s="22" t="s">
        <v>21</v>
      </c>
      <c r="H3" s="3">
        <v>45240</v>
      </c>
      <c r="I3" s="11" t="s">
        <v>125</v>
      </c>
      <c r="J3" s="11">
        <v>36978</v>
      </c>
      <c r="K3" s="8" t="s">
        <v>85</v>
      </c>
      <c r="L3" t="s">
        <v>119</v>
      </c>
      <c r="M3">
        <v>30.76</v>
      </c>
      <c r="N3">
        <v>98.76</v>
      </c>
    </row>
    <row r="4" spans="1:19" x14ac:dyDescent="0.3">
      <c r="A4" s="1">
        <v>3</v>
      </c>
      <c r="B4" s="2" t="s">
        <v>17</v>
      </c>
      <c r="C4" s="21">
        <v>8424</v>
      </c>
      <c r="D4" s="22" t="s">
        <v>5</v>
      </c>
      <c r="E4" s="1">
        <v>1</v>
      </c>
      <c r="F4" s="1">
        <v>2</v>
      </c>
      <c r="G4" s="22" t="s">
        <v>21</v>
      </c>
      <c r="H4" s="3">
        <v>45240</v>
      </c>
      <c r="I4" s="11" t="s">
        <v>125</v>
      </c>
      <c r="J4" s="11">
        <v>36484</v>
      </c>
      <c r="K4" s="8" t="s">
        <v>85</v>
      </c>
      <c r="L4" t="s">
        <v>119</v>
      </c>
      <c r="M4">
        <v>33.520000000000003</v>
      </c>
      <c r="N4">
        <v>95.04</v>
      </c>
    </row>
    <row r="5" spans="1:19" x14ac:dyDescent="0.3">
      <c r="A5" s="1">
        <v>4</v>
      </c>
      <c r="B5" s="2" t="s">
        <v>18</v>
      </c>
      <c r="C5" s="21">
        <v>11787</v>
      </c>
      <c r="D5" s="22" t="s">
        <v>7</v>
      </c>
      <c r="E5" s="1">
        <v>2</v>
      </c>
      <c r="F5" s="1">
        <v>2</v>
      </c>
      <c r="G5" s="22" t="s">
        <v>22</v>
      </c>
      <c r="H5" s="3">
        <v>45246</v>
      </c>
      <c r="I5" s="11"/>
      <c r="J5" s="11">
        <v>36631</v>
      </c>
      <c r="K5" s="8" t="s">
        <v>85</v>
      </c>
      <c r="L5" t="s">
        <v>120</v>
      </c>
      <c r="M5">
        <v>43.32</v>
      </c>
      <c r="N5">
        <v>95.94</v>
      </c>
    </row>
    <row r="6" spans="1:19" x14ac:dyDescent="0.3">
      <c r="A6" s="1">
        <v>5</v>
      </c>
      <c r="B6" s="2" t="s">
        <v>19</v>
      </c>
      <c r="C6" s="21">
        <v>8542</v>
      </c>
      <c r="D6" s="22" t="s">
        <v>6</v>
      </c>
      <c r="E6" s="1">
        <v>1</v>
      </c>
      <c r="F6" s="1">
        <v>3</v>
      </c>
      <c r="G6" s="22" t="s">
        <v>43</v>
      </c>
      <c r="H6" s="3">
        <v>45246</v>
      </c>
      <c r="I6" s="11" t="s">
        <v>45</v>
      </c>
      <c r="J6" s="11">
        <v>33073</v>
      </c>
      <c r="K6" s="8" t="s">
        <v>85</v>
      </c>
      <c r="L6" t="s">
        <v>120</v>
      </c>
      <c r="M6">
        <v>35.6</v>
      </c>
      <c r="N6">
        <v>93.18</v>
      </c>
    </row>
    <row r="7" spans="1:19" x14ac:dyDescent="0.3">
      <c r="A7" s="1">
        <v>6</v>
      </c>
      <c r="B7" s="2" t="s">
        <v>20</v>
      </c>
      <c r="C7" s="21">
        <v>11587</v>
      </c>
      <c r="D7" s="22" t="s">
        <v>8</v>
      </c>
      <c r="E7" s="1">
        <v>2</v>
      </c>
      <c r="F7" s="1">
        <v>3</v>
      </c>
      <c r="G7" s="22" t="s">
        <v>46</v>
      </c>
      <c r="H7" s="3">
        <v>45246</v>
      </c>
      <c r="I7" s="11" t="s">
        <v>47</v>
      </c>
      <c r="J7" s="11">
        <v>38338</v>
      </c>
      <c r="K7" s="8" t="s">
        <v>85</v>
      </c>
      <c r="L7" t="s">
        <v>119</v>
      </c>
      <c r="M7">
        <v>34.479999999999997</v>
      </c>
      <c r="N7">
        <v>89.92</v>
      </c>
    </row>
    <row r="8" spans="1:19" x14ac:dyDescent="0.3">
      <c r="A8" s="1">
        <v>7</v>
      </c>
      <c r="B8" s="1" t="s">
        <v>49</v>
      </c>
      <c r="C8" s="23">
        <v>11082</v>
      </c>
      <c r="D8" s="22" t="s">
        <v>9</v>
      </c>
      <c r="E8" s="1">
        <v>1</v>
      </c>
      <c r="F8" s="1">
        <v>4</v>
      </c>
      <c r="G8" s="22" t="s">
        <v>48</v>
      </c>
      <c r="H8" s="12">
        <v>45250</v>
      </c>
      <c r="I8" t="s">
        <v>50</v>
      </c>
      <c r="J8" s="14">
        <v>37166</v>
      </c>
      <c r="K8" s="8" t="s">
        <v>85</v>
      </c>
      <c r="L8" t="s">
        <v>119</v>
      </c>
      <c r="M8">
        <v>34.479999999999997</v>
      </c>
      <c r="N8">
        <v>89.92</v>
      </c>
    </row>
    <row r="9" spans="1:19" x14ac:dyDescent="0.3">
      <c r="A9" s="1">
        <v>8</v>
      </c>
      <c r="B9" s="1" t="s">
        <v>52</v>
      </c>
      <c r="C9" s="23">
        <v>11000</v>
      </c>
      <c r="D9" s="22" t="s">
        <v>10</v>
      </c>
      <c r="E9" s="1">
        <v>2</v>
      </c>
      <c r="F9" s="1">
        <v>4</v>
      </c>
      <c r="G9" s="22" t="s">
        <v>22</v>
      </c>
      <c r="H9" s="12">
        <v>45251</v>
      </c>
      <c r="I9" t="s">
        <v>21</v>
      </c>
      <c r="J9" s="14">
        <v>37264</v>
      </c>
      <c r="K9" s="8" t="s">
        <v>85</v>
      </c>
      <c r="L9" t="s">
        <v>119</v>
      </c>
      <c r="M9">
        <v>32.799999999999997</v>
      </c>
      <c r="N9">
        <v>93.48</v>
      </c>
    </row>
    <row r="10" spans="1:19" x14ac:dyDescent="0.3">
      <c r="A10" s="1">
        <v>9</v>
      </c>
      <c r="B10" s="1" t="s">
        <v>54</v>
      </c>
      <c r="C10" s="23">
        <v>11893</v>
      </c>
      <c r="D10" s="22" t="s">
        <v>11</v>
      </c>
      <c r="E10" s="1">
        <v>1</v>
      </c>
      <c r="F10" s="1">
        <v>1</v>
      </c>
      <c r="G10" s="22" t="s">
        <v>43</v>
      </c>
      <c r="H10" s="12">
        <v>45252</v>
      </c>
      <c r="I10" t="s">
        <v>59</v>
      </c>
      <c r="J10" s="14">
        <v>37200</v>
      </c>
      <c r="K10" s="17" t="s">
        <v>83</v>
      </c>
      <c r="L10" t="s">
        <v>120</v>
      </c>
      <c r="M10">
        <v>38.6</v>
      </c>
      <c r="N10">
        <v>91.66</v>
      </c>
    </row>
    <row r="11" spans="1:19" x14ac:dyDescent="0.3">
      <c r="A11" s="1">
        <v>10</v>
      </c>
      <c r="B11" s="1" t="s">
        <v>55</v>
      </c>
      <c r="C11" s="23">
        <v>10439</v>
      </c>
      <c r="D11" s="22">
        <v>100201</v>
      </c>
      <c r="E11" s="1">
        <v>2</v>
      </c>
      <c r="F11" s="1">
        <v>1</v>
      </c>
      <c r="G11" s="22" t="s">
        <v>46</v>
      </c>
      <c r="H11" s="12">
        <v>45253</v>
      </c>
      <c r="I11" t="s">
        <v>65</v>
      </c>
      <c r="J11" s="14">
        <v>36893</v>
      </c>
      <c r="K11" s="17" t="s">
        <v>85</v>
      </c>
      <c r="L11" t="s">
        <v>119</v>
      </c>
      <c r="M11">
        <v>32.6</v>
      </c>
      <c r="N11">
        <v>91.14</v>
      </c>
    </row>
    <row r="12" spans="1:19" x14ac:dyDescent="0.3">
      <c r="A12" s="1">
        <v>11</v>
      </c>
      <c r="B12" s="1" t="s">
        <v>56</v>
      </c>
      <c r="C12" s="23">
        <v>11570</v>
      </c>
      <c r="D12" s="22">
        <v>110102</v>
      </c>
      <c r="E12" s="1">
        <v>1</v>
      </c>
      <c r="F12" s="1">
        <v>2</v>
      </c>
      <c r="G12" s="22" t="s">
        <v>48</v>
      </c>
      <c r="H12" s="12">
        <v>45257</v>
      </c>
      <c r="J12" s="14">
        <v>37880</v>
      </c>
      <c r="K12" s="17" t="s">
        <v>85</v>
      </c>
      <c r="L12" t="s">
        <v>119</v>
      </c>
      <c r="M12">
        <v>40.799999999999997</v>
      </c>
      <c r="N12">
        <v>98.18</v>
      </c>
    </row>
    <row r="13" spans="1:19" x14ac:dyDescent="0.3">
      <c r="A13" s="1">
        <v>12</v>
      </c>
      <c r="B13" s="1" t="s">
        <v>57</v>
      </c>
      <c r="C13" s="23">
        <v>9754</v>
      </c>
      <c r="D13" s="22">
        <v>120202</v>
      </c>
      <c r="E13" s="1">
        <v>2</v>
      </c>
      <c r="F13" s="1">
        <v>2</v>
      </c>
      <c r="G13" s="22" t="s">
        <v>22</v>
      </c>
      <c r="H13" s="12">
        <v>45257</v>
      </c>
      <c r="I13" t="s">
        <v>51</v>
      </c>
      <c r="J13" s="14">
        <v>37460</v>
      </c>
      <c r="K13" s="17" t="s">
        <v>85</v>
      </c>
      <c r="L13" t="s">
        <v>119</v>
      </c>
      <c r="M13">
        <v>45.88</v>
      </c>
      <c r="N13">
        <v>95.66</v>
      </c>
    </row>
    <row r="14" spans="1:19" x14ac:dyDescent="0.3">
      <c r="A14" s="1">
        <v>13</v>
      </c>
      <c r="B14" s="1" t="s">
        <v>58</v>
      </c>
      <c r="C14" s="23">
        <v>10344</v>
      </c>
      <c r="D14" s="22">
        <v>130103</v>
      </c>
      <c r="E14" s="1">
        <v>1</v>
      </c>
      <c r="F14" s="1">
        <v>3</v>
      </c>
      <c r="G14" s="22" t="s">
        <v>43</v>
      </c>
      <c r="H14" s="12">
        <v>45257</v>
      </c>
      <c r="J14" s="14">
        <v>37504</v>
      </c>
      <c r="K14" s="17" t="s">
        <v>85</v>
      </c>
      <c r="L14" t="s">
        <v>119</v>
      </c>
      <c r="M14">
        <v>40.32</v>
      </c>
      <c r="N14">
        <v>93.64</v>
      </c>
    </row>
    <row r="15" spans="1:19" x14ac:dyDescent="0.3">
      <c r="A15" s="1">
        <v>14</v>
      </c>
      <c r="B15" s="1" t="s">
        <v>60</v>
      </c>
      <c r="C15" s="23">
        <v>11614</v>
      </c>
      <c r="D15" s="22">
        <v>140203</v>
      </c>
      <c r="E15" s="1">
        <v>2</v>
      </c>
      <c r="F15" s="1">
        <v>3</v>
      </c>
      <c r="G15" s="22" t="s">
        <v>46</v>
      </c>
      <c r="H15" s="12">
        <v>45258</v>
      </c>
      <c r="J15" s="14">
        <v>38214</v>
      </c>
      <c r="K15" s="17" t="s">
        <v>84</v>
      </c>
      <c r="L15" t="s">
        <v>119</v>
      </c>
      <c r="M15">
        <v>34.04</v>
      </c>
      <c r="N15">
        <v>95.1</v>
      </c>
      <c r="S15" t="s">
        <v>51</v>
      </c>
    </row>
    <row r="16" spans="1:19" x14ac:dyDescent="0.3">
      <c r="A16" s="1">
        <v>15</v>
      </c>
      <c r="B16" s="1" t="s">
        <v>61</v>
      </c>
      <c r="C16" s="23">
        <v>11782</v>
      </c>
      <c r="D16" s="22">
        <v>150104</v>
      </c>
      <c r="E16" s="1">
        <v>1</v>
      </c>
      <c r="F16" s="1">
        <v>4</v>
      </c>
      <c r="G16" s="22" t="s">
        <v>48</v>
      </c>
      <c r="H16" s="12">
        <v>45258</v>
      </c>
      <c r="J16" s="14">
        <v>37691</v>
      </c>
      <c r="K16" s="17" t="s">
        <v>85</v>
      </c>
      <c r="L16" t="s">
        <v>119</v>
      </c>
      <c r="M16">
        <v>39.520000000000003</v>
      </c>
      <c r="N16">
        <v>94.88</v>
      </c>
    </row>
    <row r="17" spans="1:19" x14ac:dyDescent="0.3">
      <c r="A17" s="1">
        <v>16</v>
      </c>
      <c r="B17" s="1" t="s">
        <v>63</v>
      </c>
      <c r="C17" s="23">
        <v>11481</v>
      </c>
      <c r="D17" s="22">
        <v>160204</v>
      </c>
      <c r="E17" s="1">
        <v>2</v>
      </c>
      <c r="F17" s="1">
        <v>4</v>
      </c>
      <c r="G17" s="22" t="s">
        <v>22</v>
      </c>
      <c r="H17" s="12">
        <v>45259</v>
      </c>
      <c r="I17" t="s">
        <v>64</v>
      </c>
      <c r="J17" s="14">
        <v>34028</v>
      </c>
      <c r="K17" s="17" t="s">
        <v>85</v>
      </c>
      <c r="L17" t="s">
        <v>120</v>
      </c>
      <c r="M17">
        <v>40.68</v>
      </c>
      <c r="N17">
        <v>93.42</v>
      </c>
    </row>
    <row r="18" spans="1:19" ht="15" thickBot="1" x14ac:dyDescent="0.35">
      <c r="A18" s="1">
        <v>17</v>
      </c>
      <c r="B18" s="1" t="s">
        <v>66</v>
      </c>
      <c r="C18" s="23">
        <v>11438</v>
      </c>
      <c r="D18" s="22">
        <v>170101</v>
      </c>
      <c r="E18" s="1">
        <v>1</v>
      </c>
      <c r="F18" s="1">
        <v>1</v>
      </c>
      <c r="G18" s="22" t="s">
        <v>43</v>
      </c>
      <c r="H18" s="12">
        <v>45260</v>
      </c>
      <c r="I18" s="9" t="s">
        <v>70</v>
      </c>
      <c r="J18" s="11">
        <v>38244</v>
      </c>
      <c r="K18" s="17" t="s">
        <v>85</v>
      </c>
      <c r="L18" t="s">
        <v>119</v>
      </c>
      <c r="M18">
        <v>44.4</v>
      </c>
      <c r="N18">
        <v>94</v>
      </c>
    </row>
    <row r="19" spans="1:19" x14ac:dyDescent="0.3">
      <c r="A19" s="1">
        <v>18</v>
      </c>
      <c r="B19" s="13" t="s">
        <v>67</v>
      </c>
      <c r="C19" s="24">
        <v>2293</v>
      </c>
      <c r="D19" s="22">
        <v>180201</v>
      </c>
      <c r="E19" s="1">
        <v>2</v>
      </c>
      <c r="F19" s="1">
        <v>1</v>
      </c>
      <c r="G19" s="22" t="s">
        <v>46</v>
      </c>
      <c r="H19" s="12">
        <v>45260</v>
      </c>
      <c r="I19" t="s">
        <v>101</v>
      </c>
      <c r="J19" s="14">
        <v>32903</v>
      </c>
      <c r="K19" s="17" t="s">
        <v>85</v>
      </c>
      <c r="L19" t="s">
        <v>119</v>
      </c>
      <c r="M19">
        <v>35.08</v>
      </c>
      <c r="N19">
        <v>96.42</v>
      </c>
    </row>
    <row r="20" spans="1:19" x14ac:dyDescent="0.3">
      <c r="A20" s="1">
        <v>19</v>
      </c>
      <c r="B20" s="2" t="s">
        <v>68</v>
      </c>
      <c r="C20" s="21">
        <v>9818</v>
      </c>
      <c r="D20" s="22">
        <v>190102</v>
      </c>
      <c r="E20" s="1">
        <v>1</v>
      </c>
      <c r="F20" s="1">
        <v>2</v>
      </c>
      <c r="G20" s="22" t="s">
        <v>48</v>
      </c>
      <c r="H20" s="12">
        <v>45260</v>
      </c>
      <c r="I20" t="s">
        <v>71</v>
      </c>
      <c r="J20" s="14">
        <v>37433</v>
      </c>
      <c r="K20" s="17" t="s">
        <v>85</v>
      </c>
      <c r="L20" t="s">
        <v>119</v>
      </c>
      <c r="M20">
        <v>32.72</v>
      </c>
      <c r="N20">
        <v>81.86</v>
      </c>
    </row>
    <row r="21" spans="1:19" x14ac:dyDescent="0.3">
      <c r="A21" s="1">
        <v>20</v>
      </c>
      <c r="B21" s="2" t="s">
        <v>69</v>
      </c>
      <c r="C21" s="21">
        <v>10983</v>
      </c>
      <c r="D21" s="22">
        <v>200202</v>
      </c>
      <c r="E21" s="1">
        <v>2</v>
      </c>
      <c r="F21" s="1">
        <v>2</v>
      </c>
      <c r="G21" s="22" t="s">
        <v>22</v>
      </c>
      <c r="H21" s="12">
        <v>45260</v>
      </c>
      <c r="J21" s="14">
        <v>37936</v>
      </c>
      <c r="K21" s="17" t="s">
        <v>85</v>
      </c>
      <c r="L21" t="s">
        <v>119</v>
      </c>
      <c r="M21">
        <v>38.159999999999997</v>
      </c>
      <c r="N21">
        <v>97.36</v>
      </c>
    </row>
    <row r="22" spans="1:19" x14ac:dyDescent="0.3">
      <c r="A22" s="1">
        <v>21</v>
      </c>
      <c r="B22" s="2" t="s">
        <v>72</v>
      </c>
      <c r="C22" s="21">
        <v>11478</v>
      </c>
      <c r="D22" s="22">
        <v>210103</v>
      </c>
      <c r="E22" s="1">
        <v>1</v>
      </c>
      <c r="F22" s="1">
        <v>3</v>
      </c>
      <c r="G22" s="22" t="s">
        <v>43</v>
      </c>
      <c r="H22" s="12">
        <v>45261</v>
      </c>
      <c r="I22" t="s">
        <v>76</v>
      </c>
      <c r="J22" s="14">
        <v>34393</v>
      </c>
      <c r="K22" s="17" t="s">
        <v>83</v>
      </c>
      <c r="L22" t="s">
        <v>120</v>
      </c>
      <c r="M22">
        <v>55.64</v>
      </c>
      <c r="N22">
        <v>97.48</v>
      </c>
    </row>
    <row r="23" spans="1:19" x14ac:dyDescent="0.3">
      <c r="A23" s="1">
        <v>22</v>
      </c>
      <c r="B23" s="1" t="s">
        <v>73</v>
      </c>
      <c r="C23" s="23">
        <v>10464</v>
      </c>
      <c r="D23" s="22">
        <v>220203</v>
      </c>
      <c r="E23" s="1">
        <v>2</v>
      </c>
      <c r="F23" s="1">
        <v>3</v>
      </c>
      <c r="G23" s="22" t="s">
        <v>46</v>
      </c>
      <c r="H23" s="12">
        <v>45261</v>
      </c>
      <c r="J23" s="14">
        <v>35659</v>
      </c>
      <c r="K23" s="17" t="s">
        <v>85</v>
      </c>
      <c r="L23" t="s">
        <v>120</v>
      </c>
      <c r="M23">
        <v>52.28</v>
      </c>
      <c r="N23">
        <v>91</v>
      </c>
    </row>
    <row r="24" spans="1:19" x14ac:dyDescent="0.3">
      <c r="A24" s="1">
        <v>23</v>
      </c>
      <c r="B24" s="1" t="s">
        <v>74</v>
      </c>
      <c r="C24" s="23">
        <v>10637</v>
      </c>
      <c r="D24" s="22">
        <v>230104</v>
      </c>
      <c r="E24" s="1">
        <v>1</v>
      </c>
      <c r="F24" s="1">
        <v>4</v>
      </c>
      <c r="G24" s="22" t="s">
        <v>48</v>
      </c>
      <c r="H24" s="12">
        <v>45261</v>
      </c>
      <c r="I24" t="s">
        <v>51</v>
      </c>
      <c r="J24" s="14">
        <v>37869</v>
      </c>
      <c r="K24" s="17" t="s">
        <v>85</v>
      </c>
      <c r="L24" t="s">
        <v>119</v>
      </c>
      <c r="M24">
        <v>34.72</v>
      </c>
      <c r="N24">
        <v>90.66</v>
      </c>
    </row>
    <row r="25" spans="1:19" ht="15" thickBot="1" x14ac:dyDescent="0.35">
      <c r="A25" s="1">
        <v>24</v>
      </c>
      <c r="B25" s="1" t="s">
        <v>75</v>
      </c>
      <c r="C25" s="23">
        <v>10443</v>
      </c>
      <c r="D25" s="22">
        <v>240204</v>
      </c>
      <c r="E25" s="1">
        <v>2</v>
      </c>
      <c r="F25" s="1">
        <v>4</v>
      </c>
      <c r="G25" s="22" t="s">
        <v>22</v>
      </c>
      <c r="H25" s="12">
        <v>45261</v>
      </c>
      <c r="I25" t="s">
        <v>102</v>
      </c>
      <c r="J25" s="14">
        <v>37670</v>
      </c>
      <c r="K25" s="17" t="s">
        <v>85</v>
      </c>
      <c r="L25" t="s">
        <v>120</v>
      </c>
      <c r="M25">
        <v>50.16</v>
      </c>
      <c r="N25">
        <v>97.14</v>
      </c>
      <c r="S25" t="s">
        <v>51</v>
      </c>
    </row>
    <row r="26" spans="1:19" x14ac:dyDescent="0.3">
      <c r="A26" s="1">
        <v>25</v>
      </c>
      <c r="B26" s="13" t="s">
        <v>77</v>
      </c>
      <c r="C26" s="24">
        <v>11512</v>
      </c>
      <c r="D26" s="22">
        <v>250101</v>
      </c>
      <c r="E26" s="1">
        <v>1</v>
      </c>
      <c r="F26" s="1">
        <v>1</v>
      </c>
      <c r="G26" s="22" t="s">
        <v>43</v>
      </c>
      <c r="H26" s="12">
        <v>45264</v>
      </c>
      <c r="J26" s="14">
        <v>37838</v>
      </c>
      <c r="K26" s="17" t="s">
        <v>85</v>
      </c>
      <c r="L26" t="s">
        <v>119</v>
      </c>
      <c r="M26">
        <v>34.4</v>
      </c>
      <c r="N26">
        <v>95.88</v>
      </c>
    </row>
    <row r="27" spans="1:19" x14ac:dyDescent="0.3">
      <c r="A27" s="1">
        <v>26</v>
      </c>
      <c r="B27" s="2" t="s">
        <v>78</v>
      </c>
      <c r="C27" s="21">
        <v>11124</v>
      </c>
      <c r="D27" s="22">
        <v>260201</v>
      </c>
      <c r="E27" s="1">
        <v>2</v>
      </c>
      <c r="F27" s="1">
        <v>1</v>
      </c>
      <c r="G27" s="22" t="s">
        <v>46</v>
      </c>
      <c r="H27" s="12">
        <v>45264</v>
      </c>
      <c r="J27" s="14">
        <v>37040</v>
      </c>
      <c r="K27" s="17" t="s">
        <v>84</v>
      </c>
      <c r="L27" t="s">
        <v>119</v>
      </c>
      <c r="M27">
        <v>40.72</v>
      </c>
      <c r="N27">
        <v>93.08</v>
      </c>
    </row>
    <row r="28" spans="1:19" x14ac:dyDescent="0.3">
      <c r="A28" s="1">
        <v>27</v>
      </c>
      <c r="B28" s="2" t="s">
        <v>79</v>
      </c>
      <c r="C28" s="21">
        <v>11600</v>
      </c>
      <c r="D28" s="22">
        <v>270102</v>
      </c>
      <c r="E28" s="1">
        <v>1</v>
      </c>
      <c r="F28" s="1">
        <v>2</v>
      </c>
      <c r="G28" s="22" t="s">
        <v>48</v>
      </c>
      <c r="H28" s="12">
        <v>45264</v>
      </c>
      <c r="I28" t="s">
        <v>123</v>
      </c>
      <c r="J28" s="14">
        <v>38142</v>
      </c>
      <c r="K28" s="17" t="s">
        <v>85</v>
      </c>
      <c r="L28" t="s">
        <v>119</v>
      </c>
      <c r="M28">
        <v>41.68</v>
      </c>
      <c r="N28">
        <v>89.06</v>
      </c>
    </row>
    <row r="29" spans="1:19" x14ac:dyDescent="0.3">
      <c r="A29" s="1">
        <v>28</v>
      </c>
      <c r="B29" s="2" t="s">
        <v>80</v>
      </c>
      <c r="C29" s="21">
        <v>3061</v>
      </c>
      <c r="D29" s="22">
        <v>280202</v>
      </c>
      <c r="E29" s="1">
        <v>2</v>
      </c>
      <c r="F29" s="1">
        <v>2</v>
      </c>
      <c r="G29" s="22" t="s">
        <v>22</v>
      </c>
      <c r="H29" s="12">
        <v>45264</v>
      </c>
      <c r="I29" t="s">
        <v>122</v>
      </c>
      <c r="J29" s="14">
        <v>33365</v>
      </c>
      <c r="K29" s="17" t="s">
        <v>85</v>
      </c>
      <c r="L29" t="s">
        <v>119</v>
      </c>
      <c r="M29">
        <v>33.6</v>
      </c>
      <c r="N29">
        <v>87.76</v>
      </c>
    </row>
    <row r="30" spans="1:19" x14ac:dyDescent="0.3">
      <c r="A30" s="1">
        <v>29</v>
      </c>
      <c r="B30" s="2" t="s">
        <v>86</v>
      </c>
      <c r="C30" s="21">
        <v>11527</v>
      </c>
      <c r="D30" s="22">
        <v>290103</v>
      </c>
      <c r="E30" s="1">
        <v>1</v>
      </c>
      <c r="F30" s="1">
        <v>3</v>
      </c>
      <c r="G30" s="22" t="s">
        <v>43</v>
      </c>
      <c r="H30" s="12">
        <v>45265</v>
      </c>
      <c r="I30" s="9" t="s">
        <v>90</v>
      </c>
      <c r="J30" s="14">
        <v>37810</v>
      </c>
      <c r="K30" s="17" t="s">
        <v>85</v>
      </c>
      <c r="L30" t="s">
        <v>119</v>
      </c>
      <c r="M30">
        <v>43.68</v>
      </c>
      <c r="N30">
        <v>88.68</v>
      </c>
    </row>
    <row r="31" spans="1:19" x14ac:dyDescent="0.3">
      <c r="A31" s="1">
        <v>30</v>
      </c>
      <c r="B31" s="2" t="s">
        <v>87</v>
      </c>
      <c r="C31" s="21">
        <v>2317</v>
      </c>
      <c r="D31" s="22">
        <v>300203</v>
      </c>
      <c r="E31" s="1">
        <v>2</v>
      </c>
      <c r="F31" s="1">
        <v>3</v>
      </c>
      <c r="G31" s="22" t="s">
        <v>46</v>
      </c>
      <c r="H31" s="12">
        <v>45265</v>
      </c>
      <c r="I31" t="s">
        <v>121</v>
      </c>
      <c r="J31" s="14">
        <v>33146</v>
      </c>
      <c r="K31" s="17" t="s">
        <v>85</v>
      </c>
      <c r="L31" t="s">
        <v>120</v>
      </c>
      <c r="M31">
        <v>50</v>
      </c>
      <c r="N31">
        <v>95.12</v>
      </c>
    </row>
    <row r="32" spans="1:19" x14ac:dyDescent="0.3">
      <c r="A32" s="1">
        <v>31</v>
      </c>
      <c r="B32" s="2" t="s">
        <v>88</v>
      </c>
      <c r="C32" s="21">
        <v>8175</v>
      </c>
      <c r="D32" s="22">
        <v>310104</v>
      </c>
      <c r="E32" s="1">
        <v>1</v>
      </c>
      <c r="F32" s="1">
        <v>4</v>
      </c>
      <c r="G32" s="22" t="s">
        <v>48</v>
      </c>
      <c r="H32" s="12">
        <v>45265</v>
      </c>
      <c r="J32" s="14">
        <v>32922</v>
      </c>
      <c r="K32" s="17" t="s">
        <v>85</v>
      </c>
      <c r="L32" t="s">
        <v>119</v>
      </c>
      <c r="M32">
        <v>43.4</v>
      </c>
      <c r="N32">
        <v>90</v>
      </c>
    </row>
    <row r="33" spans="1:14" x14ac:dyDescent="0.3">
      <c r="A33" s="1">
        <v>32</v>
      </c>
      <c r="B33" s="2" t="s">
        <v>89</v>
      </c>
      <c r="C33" s="21">
        <v>1697</v>
      </c>
      <c r="D33" s="22">
        <v>320204</v>
      </c>
      <c r="E33" s="1">
        <v>2</v>
      </c>
      <c r="F33" s="1">
        <v>4</v>
      </c>
      <c r="G33" s="22" t="s">
        <v>22</v>
      </c>
      <c r="H33" s="12">
        <v>45265</v>
      </c>
      <c r="J33" s="14">
        <v>32661</v>
      </c>
      <c r="K33" s="17" t="s">
        <v>85</v>
      </c>
      <c r="L33" t="s">
        <v>119</v>
      </c>
      <c r="M33">
        <v>55.92</v>
      </c>
      <c r="N33">
        <v>92.66</v>
      </c>
    </row>
    <row r="34" spans="1:14" x14ac:dyDescent="0.3">
      <c r="A34" s="1">
        <v>33</v>
      </c>
      <c r="B34" s="1" t="s">
        <v>91</v>
      </c>
      <c r="C34" s="23">
        <v>9039</v>
      </c>
      <c r="D34" s="22">
        <v>330101</v>
      </c>
      <c r="E34" s="1">
        <v>1</v>
      </c>
      <c r="F34" s="1">
        <v>1</v>
      </c>
      <c r="G34" s="22" t="s">
        <v>43</v>
      </c>
      <c r="H34" s="19">
        <v>45271</v>
      </c>
      <c r="J34" s="14">
        <v>35705</v>
      </c>
      <c r="K34" s="17" t="s">
        <v>84</v>
      </c>
      <c r="L34" t="s">
        <v>120</v>
      </c>
      <c r="M34">
        <v>43.32</v>
      </c>
      <c r="N34">
        <v>95.3</v>
      </c>
    </row>
    <row r="35" spans="1:14" x14ac:dyDescent="0.3">
      <c r="A35" s="1">
        <v>34</v>
      </c>
      <c r="B35" s="2" t="s">
        <v>92</v>
      </c>
      <c r="C35" s="21">
        <v>10010</v>
      </c>
      <c r="D35" s="22">
        <v>340201</v>
      </c>
      <c r="E35" s="1">
        <v>2</v>
      </c>
      <c r="F35" s="1">
        <v>1</v>
      </c>
      <c r="G35" s="22" t="s">
        <v>46</v>
      </c>
      <c r="H35" s="3">
        <v>45272</v>
      </c>
      <c r="I35" t="s">
        <v>124</v>
      </c>
      <c r="J35" s="14">
        <v>37475</v>
      </c>
      <c r="K35" s="17" t="s">
        <v>85</v>
      </c>
      <c r="L35" t="s">
        <v>119</v>
      </c>
      <c r="M35">
        <v>43.88</v>
      </c>
      <c r="N35">
        <v>95.3</v>
      </c>
    </row>
    <row r="36" spans="1:14" x14ac:dyDescent="0.3">
      <c r="A36" s="1">
        <v>35</v>
      </c>
      <c r="B36" s="2" t="s">
        <v>93</v>
      </c>
      <c r="C36" s="21">
        <v>10415</v>
      </c>
      <c r="D36" s="22">
        <v>350102</v>
      </c>
      <c r="E36" s="1">
        <v>1</v>
      </c>
      <c r="F36" s="1">
        <v>2</v>
      </c>
      <c r="G36" s="22" t="s">
        <v>48</v>
      </c>
      <c r="H36" s="3">
        <v>45272</v>
      </c>
      <c r="J36" s="14">
        <v>37515</v>
      </c>
      <c r="K36" s="17" t="s">
        <v>85</v>
      </c>
      <c r="L36" t="s">
        <v>119</v>
      </c>
      <c r="M36">
        <v>45.76</v>
      </c>
      <c r="N36">
        <v>92.12</v>
      </c>
    </row>
    <row r="37" spans="1:14" x14ac:dyDescent="0.3">
      <c r="A37" s="1">
        <v>36</v>
      </c>
      <c r="B37" s="2" t="s">
        <v>94</v>
      </c>
      <c r="C37" s="21">
        <v>6729</v>
      </c>
      <c r="D37" s="22">
        <v>360202</v>
      </c>
      <c r="E37" s="1">
        <v>2</v>
      </c>
      <c r="F37" s="1">
        <v>2</v>
      </c>
      <c r="G37" s="22" t="s">
        <v>22</v>
      </c>
      <c r="H37" s="3">
        <v>45272</v>
      </c>
      <c r="J37" s="14">
        <v>34059</v>
      </c>
      <c r="K37" s="17" t="s">
        <v>84</v>
      </c>
      <c r="L37" t="s">
        <v>119</v>
      </c>
      <c r="M37">
        <v>36.200000000000003</v>
      </c>
      <c r="N37">
        <v>98.38</v>
      </c>
    </row>
    <row r="38" spans="1:14" x14ac:dyDescent="0.3">
      <c r="A38" s="1">
        <v>37</v>
      </c>
      <c r="B38" s="2" t="s">
        <v>95</v>
      </c>
      <c r="C38" s="21">
        <v>11066</v>
      </c>
      <c r="D38" s="22">
        <v>370103</v>
      </c>
      <c r="E38" s="1">
        <v>1</v>
      </c>
      <c r="F38" s="1">
        <v>3</v>
      </c>
      <c r="G38" s="22" t="s">
        <v>43</v>
      </c>
      <c r="H38" s="12">
        <v>45273</v>
      </c>
      <c r="I38" t="s">
        <v>112</v>
      </c>
      <c r="J38" s="14">
        <v>37152</v>
      </c>
      <c r="K38" s="17" t="s">
        <v>85</v>
      </c>
      <c r="L38" t="s">
        <v>119</v>
      </c>
      <c r="M38">
        <v>40.159999999999997</v>
      </c>
      <c r="N38">
        <v>90.36</v>
      </c>
    </row>
    <row r="39" spans="1:14" x14ac:dyDescent="0.3">
      <c r="A39" s="1">
        <v>38</v>
      </c>
      <c r="B39" s="1" t="s">
        <v>96</v>
      </c>
      <c r="C39" s="23">
        <v>9245</v>
      </c>
      <c r="D39" s="22">
        <v>380203</v>
      </c>
      <c r="E39" s="1">
        <v>2</v>
      </c>
      <c r="F39" s="1">
        <v>3</v>
      </c>
      <c r="G39" s="22" t="s">
        <v>46</v>
      </c>
      <c r="H39" s="12">
        <v>45273</v>
      </c>
      <c r="I39" t="s">
        <v>99</v>
      </c>
      <c r="J39" s="14">
        <v>36607</v>
      </c>
      <c r="K39" s="17" t="s">
        <v>85</v>
      </c>
      <c r="L39" t="s">
        <v>119</v>
      </c>
      <c r="M39">
        <v>38.68</v>
      </c>
      <c r="N39">
        <v>95.02</v>
      </c>
    </row>
    <row r="40" spans="1:14" x14ac:dyDescent="0.3">
      <c r="A40" s="1">
        <v>39</v>
      </c>
      <c r="B40" s="1" t="s">
        <v>97</v>
      </c>
      <c r="C40" s="23">
        <v>11067</v>
      </c>
      <c r="D40" s="22">
        <v>390104</v>
      </c>
      <c r="E40" s="1">
        <v>1</v>
      </c>
      <c r="F40" s="1">
        <v>4</v>
      </c>
      <c r="G40" s="22" t="s">
        <v>48</v>
      </c>
      <c r="H40" s="12">
        <v>45273</v>
      </c>
      <c r="J40" s="14">
        <v>35101</v>
      </c>
      <c r="K40" s="17" t="s">
        <v>85</v>
      </c>
      <c r="L40" t="s">
        <v>120</v>
      </c>
      <c r="M40">
        <v>66.52</v>
      </c>
      <c r="N40">
        <v>98</v>
      </c>
    </row>
    <row r="41" spans="1:14" ht="15" thickBot="1" x14ac:dyDescent="0.35">
      <c r="A41" s="1">
        <v>40</v>
      </c>
      <c r="B41" s="1" t="s">
        <v>98</v>
      </c>
      <c r="C41" s="23">
        <v>8819</v>
      </c>
      <c r="D41" s="22">
        <v>400204</v>
      </c>
      <c r="E41" s="1">
        <v>2</v>
      </c>
      <c r="F41" s="1">
        <v>4</v>
      </c>
      <c r="G41" s="22" t="s">
        <v>22</v>
      </c>
      <c r="H41" s="12">
        <v>45273</v>
      </c>
      <c r="J41" s="14">
        <v>35856</v>
      </c>
      <c r="K41" s="17" t="s">
        <v>85</v>
      </c>
      <c r="L41" t="s">
        <v>120</v>
      </c>
      <c r="M41">
        <v>52.04</v>
      </c>
      <c r="N41">
        <v>98.58</v>
      </c>
    </row>
    <row r="42" spans="1:14" x14ac:dyDescent="0.3">
      <c r="A42" s="1">
        <v>41</v>
      </c>
      <c r="B42" s="13" t="s">
        <v>100</v>
      </c>
      <c r="C42" s="24">
        <v>6210</v>
      </c>
      <c r="D42" s="22">
        <v>410101</v>
      </c>
      <c r="E42" s="1">
        <v>1</v>
      </c>
      <c r="F42" s="1">
        <v>1</v>
      </c>
      <c r="G42" s="22" t="s">
        <v>43</v>
      </c>
      <c r="H42" s="12">
        <v>45274</v>
      </c>
      <c r="J42" s="14">
        <v>35934</v>
      </c>
      <c r="K42" s="17" t="s">
        <v>84</v>
      </c>
      <c r="L42" t="s">
        <v>119</v>
      </c>
      <c r="M42">
        <v>53.68</v>
      </c>
      <c r="N42">
        <v>90.04</v>
      </c>
    </row>
    <row r="43" spans="1:14" x14ac:dyDescent="0.3">
      <c r="A43" s="1">
        <v>42</v>
      </c>
      <c r="B43" s="2" t="s">
        <v>103</v>
      </c>
      <c r="C43" s="21">
        <v>10275</v>
      </c>
      <c r="D43" s="22">
        <v>420201</v>
      </c>
      <c r="E43" s="1">
        <v>2</v>
      </c>
      <c r="F43" s="1">
        <v>1</v>
      </c>
      <c r="G43" s="22" t="s">
        <v>46</v>
      </c>
      <c r="H43" s="12">
        <v>45307</v>
      </c>
      <c r="I43" s="9" t="s">
        <v>104</v>
      </c>
      <c r="J43" s="14">
        <v>33061</v>
      </c>
      <c r="K43" s="17" t="s">
        <v>84</v>
      </c>
      <c r="L43" t="s">
        <v>119</v>
      </c>
      <c r="M43">
        <v>40.200000000000003</v>
      </c>
      <c r="N43">
        <v>94.42</v>
      </c>
    </row>
    <row r="44" spans="1:14" ht="15" thickBot="1" x14ac:dyDescent="0.35">
      <c r="A44" s="1">
        <v>43</v>
      </c>
      <c r="B44" s="1" t="s">
        <v>105</v>
      </c>
      <c r="C44" s="23">
        <v>6835</v>
      </c>
      <c r="D44" s="22">
        <v>430102</v>
      </c>
      <c r="E44" s="1">
        <v>1</v>
      </c>
      <c r="F44" s="1">
        <v>2</v>
      </c>
      <c r="G44" s="22" t="s">
        <v>48</v>
      </c>
      <c r="H44" s="12">
        <v>45309</v>
      </c>
      <c r="I44" s="9" t="s">
        <v>106</v>
      </c>
      <c r="J44" s="14">
        <v>33718</v>
      </c>
      <c r="K44" s="17" t="s">
        <v>83</v>
      </c>
      <c r="L44" t="s">
        <v>120</v>
      </c>
      <c r="M44">
        <v>41.4</v>
      </c>
      <c r="N44">
        <v>90.52</v>
      </c>
    </row>
    <row r="45" spans="1:14" x14ac:dyDescent="0.3">
      <c r="A45" s="1">
        <v>44</v>
      </c>
      <c r="B45" s="13" t="s">
        <v>107</v>
      </c>
      <c r="C45" s="24">
        <v>10964</v>
      </c>
      <c r="D45" s="22">
        <v>440202</v>
      </c>
      <c r="E45" s="1">
        <v>2</v>
      </c>
      <c r="F45" s="1">
        <v>2</v>
      </c>
      <c r="G45" s="22" t="s">
        <v>22</v>
      </c>
      <c r="H45" s="12">
        <v>45310</v>
      </c>
      <c r="J45" s="14">
        <v>37441</v>
      </c>
      <c r="K45" s="17" t="s">
        <v>84</v>
      </c>
      <c r="L45" t="s">
        <v>119</v>
      </c>
      <c r="M45">
        <v>41.8</v>
      </c>
      <c r="N45">
        <v>98.06</v>
      </c>
    </row>
    <row r="46" spans="1:14" x14ac:dyDescent="0.3">
      <c r="A46" s="1">
        <v>45</v>
      </c>
      <c r="B46" s="1" t="s">
        <v>108</v>
      </c>
      <c r="C46" s="23">
        <v>7789</v>
      </c>
      <c r="D46" s="22">
        <v>450103</v>
      </c>
      <c r="E46" s="1">
        <v>1</v>
      </c>
      <c r="F46" s="1">
        <v>3</v>
      </c>
      <c r="G46" s="22" t="s">
        <v>43</v>
      </c>
      <c r="H46" s="12">
        <v>45314</v>
      </c>
      <c r="I46" t="s">
        <v>109</v>
      </c>
      <c r="J46" s="14">
        <v>35886</v>
      </c>
      <c r="K46" s="17" t="s">
        <v>85</v>
      </c>
      <c r="L46" t="s">
        <v>120</v>
      </c>
      <c r="M46">
        <v>51.2</v>
      </c>
      <c r="N46">
        <v>97.62</v>
      </c>
    </row>
    <row r="47" spans="1:14" x14ac:dyDescent="0.3">
      <c r="A47" s="1">
        <v>46</v>
      </c>
      <c r="B47" s="1" t="s">
        <v>110</v>
      </c>
      <c r="C47" s="23">
        <v>10942</v>
      </c>
      <c r="D47" s="22">
        <v>460203</v>
      </c>
      <c r="E47" s="1">
        <v>2</v>
      </c>
      <c r="F47" s="1">
        <v>3</v>
      </c>
      <c r="G47" s="22" t="s">
        <v>46</v>
      </c>
      <c r="H47" s="12">
        <v>45315</v>
      </c>
      <c r="J47" s="14">
        <v>38070</v>
      </c>
      <c r="K47" s="17" t="s">
        <v>84</v>
      </c>
      <c r="L47" t="s">
        <v>119</v>
      </c>
      <c r="M47">
        <v>35.72</v>
      </c>
      <c r="N47">
        <v>95.58</v>
      </c>
    </row>
    <row r="48" spans="1:14" x14ac:dyDescent="0.3">
      <c r="A48" s="1">
        <v>47</v>
      </c>
      <c r="B48" s="2" t="s">
        <v>113</v>
      </c>
      <c r="C48" s="21">
        <v>6020</v>
      </c>
      <c r="D48" s="22">
        <v>470104</v>
      </c>
      <c r="E48" s="1">
        <v>1</v>
      </c>
      <c r="F48" s="1">
        <v>4</v>
      </c>
      <c r="G48" s="22" t="s">
        <v>48</v>
      </c>
      <c r="H48" s="12">
        <v>45317</v>
      </c>
      <c r="I48" t="s">
        <v>116</v>
      </c>
      <c r="J48" s="14">
        <v>36284</v>
      </c>
      <c r="K48" s="17" t="s">
        <v>85</v>
      </c>
      <c r="L48" t="s">
        <v>119</v>
      </c>
      <c r="M48">
        <v>44.48</v>
      </c>
      <c r="N48">
        <v>95.44</v>
      </c>
    </row>
    <row r="49" spans="1:14" x14ac:dyDescent="0.3">
      <c r="A49" s="1">
        <v>48</v>
      </c>
      <c r="B49" s="2" t="s">
        <v>114</v>
      </c>
      <c r="C49" s="21">
        <v>10038</v>
      </c>
      <c r="D49" s="22">
        <v>480204</v>
      </c>
      <c r="E49" s="1">
        <v>2</v>
      </c>
      <c r="F49" s="1">
        <v>4</v>
      </c>
      <c r="G49" s="22" t="s">
        <v>22</v>
      </c>
      <c r="H49" s="12">
        <v>45317</v>
      </c>
      <c r="I49" t="s">
        <v>117</v>
      </c>
      <c r="J49" s="14">
        <v>33386</v>
      </c>
      <c r="K49" s="17" t="s">
        <v>85</v>
      </c>
      <c r="L49" t="s">
        <v>120</v>
      </c>
      <c r="M49">
        <v>61.56</v>
      </c>
      <c r="N49">
        <v>95.84</v>
      </c>
    </row>
    <row r="50" spans="1:14" x14ac:dyDescent="0.3">
      <c r="A50" s="1">
        <v>49</v>
      </c>
      <c r="B50" s="2" t="s">
        <v>115</v>
      </c>
      <c r="C50" s="21">
        <v>6477</v>
      </c>
      <c r="D50" s="22" t="s">
        <v>111</v>
      </c>
      <c r="E50" s="1">
        <v>1</v>
      </c>
      <c r="F50" s="1">
        <v>1</v>
      </c>
      <c r="G50" s="22" t="s">
        <v>43</v>
      </c>
      <c r="H50" s="12">
        <v>45317</v>
      </c>
      <c r="J50" s="14">
        <v>34470</v>
      </c>
      <c r="K50" s="17" t="s">
        <v>83</v>
      </c>
      <c r="L50" t="s">
        <v>120</v>
      </c>
      <c r="M50">
        <v>45.46</v>
      </c>
      <c r="N50">
        <v>97.52</v>
      </c>
    </row>
    <row r="51" spans="1:14" x14ac:dyDescent="0.3">
      <c r="D51" s="25"/>
      <c r="G51" s="25"/>
      <c r="M51" s="20">
        <f>AVERAGE(Table1[Type_speed])</f>
        <v>42.137551020408168</v>
      </c>
      <c r="N51">
        <f>AVERAGE(Table1[Type_accuracy])</f>
        <v>93.98</v>
      </c>
    </row>
    <row r="53" spans="1:14" x14ac:dyDescent="0.3">
      <c r="J53" t="s">
        <v>126</v>
      </c>
    </row>
    <row r="54" spans="1:14" x14ac:dyDescent="0.3">
      <c r="J54" t="s">
        <v>127</v>
      </c>
    </row>
  </sheetData>
  <pageMargins left="0.7" right="0.7" top="0.75" bottom="0.75" header="0.3" footer="0.3"/>
  <pageSetup paperSize="9" orientation="portrait" horizontalDpi="360" verticalDpi="360" r:id="rId1"/>
  <ignoredErrors>
    <ignoredError sqref="D2 D5:D10 D4" numberStoredAsText="1"/>
  </ignoredError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Pilots</vt:lpstr>
      <vt:lpstr>Participants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Katerina Tsaroucha</dc:creator>
  <cp:lastModifiedBy>Katerina Tsaroucha</cp:lastModifiedBy>
  <dcterms:created xsi:type="dcterms:W3CDTF">2023-06-21T08:22:09Z</dcterms:created>
  <dcterms:modified xsi:type="dcterms:W3CDTF">2024-01-30T15:23:50Z</dcterms:modified>
</cp:coreProperties>
</file>