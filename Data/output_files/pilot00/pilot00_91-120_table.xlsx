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DB77349D-0F51-4AE9-B6EB-079526F10177}" xr6:coauthVersionLast="47" xr6:coauthVersionMax="47" xr10:uidLastSave="{00000000-0000-0000-0000-000000000000}"/>
  <bookViews>
    <workbookView xWindow="1536" yWindow="600" windowWidth="16032" windowHeight="12360"/>
  </bookViews>
  <sheets>
    <sheet name="pilot00_91-120_table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</calcChain>
</file>

<file path=xl/sharedStrings.xml><?xml version="1.0" encoding="utf-8"?>
<sst xmlns="http://schemas.openxmlformats.org/spreadsheetml/2006/main" count="246" uniqueCount="42">
  <si>
    <t>tmin</t>
  </si>
  <si>
    <t>tier</t>
  </si>
  <si>
    <t>text</t>
  </si>
  <si>
    <t>tmax</t>
  </si>
  <si>
    <t>silences</t>
  </si>
  <si>
    <t>sounding</t>
  </si>
  <si>
    <t>transcription</t>
  </si>
  <si>
    <t>[type]</t>
  </si>
  <si>
    <t>silent</t>
  </si>
  <si>
    <t>[tongue sound]</t>
  </si>
  <si>
    <t>bombero</t>
  </si>
  <si>
    <t>?</t>
  </si>
  <si>
    <t>[type_tongue sound]</t>
  </si>
  <si>
    <t>0.941939</t>
  </si>
  <si>
    <t>iglesia</t>
  </si>
  <si>
    <t>muñeca</t>
  </si>
  <si>
    <t>[articulation sound]</t>
  </si>
  <si>
    <t>[breath in]</t>
  </si>
  <si>
    <t>[type_breath]</t>
  </si>
  <si>
    <t>[tongue]</t>
  </si>
  <si>
    <t>traje</t>
  </si>
  <si>
    <t>[swallows]</t>
  </si>
  <si>
    <t>0.504379</t>
  </si>
  <si>
    <t>0.975176</t>
  </si>
  <si>
    <t>cazador</t>
  </si>
  <si>
    <t>0.872000</t>
  </si>
  <si>
    <t>taza</t>
  </si>
  <si>
    <t>[articulation]</t>
  </si>
  <si>
    <t>vaso</t>
  </si>
  <si>
    <t>0.735349</t>
  </si>
  <si>
    <t>puente</t>
  </si>
  <si>
    <t>[breath]</t>
  </si>
  <si>
    <t>[type_/ts/_breath]</t>
  </si>
  <si>
    <t>baño</t>
  </si>
  <si>
    <t>regalo</t>
  </si>
  <si>
    <t>[tongue, breath]</t>
  </si>
  <si>
    <t>[breath out]</t>
  </si>
  <si>
    <t>line</t>
  </si>
  <si>
    <t>trial_count</t>
  </si>
  <si>
    <t>RT</t>
  </si>
  <si>
    <t>Duration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</si>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</sst>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" formatCode="#,##0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7" totalsRowShown="0">
  <autoFilter ref="A1:H117">
    <filterColumn colId="0">
      <filters>
        <filter val="2"/>
      </filters>
    </filterColumn>
  </autoFilter>
  <tableColumns count="8">
    <tableColumn id="1" name="line"/>
    <tableColumn id="2" name="trial_count"/>
    <tableColumn id="3" name="RT" dataDxfId="1">
      <calculatedColumnFormula>Table1[[#This Row],[tmin]]</calculatedColumnFormula>
    </tableColumn>
    <tableColumn id="4" name="Duration" dataDxfId="0">
      <calculatedColumnFormula>Table1[[#This Row],[tmax]]-Table1[[#This Row],[tmin]]</calculatedColumnFormula>
    </tableColumn>
    <tableColumn id="5" name="tmin"/>
    <tableColumn id="6" name="tier"/>
    <tableColumn id="7" name="text"/>
    <tableColumn id="8" name="t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tabSelected="1" workbookViewId="0">
      <selection activeCell="C3" sqref="C3:D117"/>
    </sheetView>
  </sheetViews>
  <sheetFormatPr defaultRowHeight="14.4" x14ac:dyDescent="0.3"/>
  <cols>
    <col min="2" max="2" width="12" customWidth="1"/>
    <col min="3" max="3" width="8.88671875" style="2"/>
    <col min="4" max="4" width="10.21875" style="2" customWidth="1"/>
    <col min="5" max="5" width="9.109375" style="2" bestFit="1" customWidth="1"/>
    <col min="8" max="8" width="9.109375" style="2" bestFit="1" customWidth="1"/>
  </cols>
  <sheetData>
    <row r="1" spans="1:8" x14ac:dyDescent="0.3">
      <c r="A1" t="s">
        <v>37</v>
      </c>
      <c r="B1" t="s">
        <v>38</v>
      </c>
      <c r="C1" s="2" t="s">
        <v>39</v>
      </c>
      <c r="D1" s="2" t="s">
        <v>40</v>
      </c>
      <c r="E1" s="2" t="s">
        <v>0</v>
      </c>
      <c r="F1" t="s">
        <v>1</v>
      </c>
      <c r="G1" t="s">
        <v>2</v>
      </c>
      <c r="H1" s="2" t="s">
        <v>3</v>
      </c>
    </row>
    <row r="2" spans="1:8" hidden="1" x14ac:dyDescent="0.3">
      <c r="A2">
        <v>1</v>
      </c>
      <c r="B2">
        <v>1</v>
      </c>
      <c r="C2">
        <f>Table1[[#This Row],[tmin]]</f>
        <v>0</v>
      </c>
      <c r="D2" s="1">
        <f>Table1[[#This Row],[tmax]]-Table1[[#This Row],[tmin]]</f>
        <v>3.01</v>
      </c>
      <c r="E2">
        <v>0</v>
      </c>
      <c r="F2" t="s">
        <v>4</v>
      </c>
      <c r="G2" t="s">
        <v>5</v>
      </c>
      <c r="H2" s="1">
        <v>3.01</v>
      </c>
    </row>
    <row r="3" spans="1:8" x14ac:dyDescent="0.3">
      <c r="A3">
        <v>2</v>
      </c>
      <c r="C3" s="2">
        <f>Table1[[#This Row],[tmin]]</f>
        <v>0</v>
      </c>
      <c r="D3" s="2">
        <f>Table1[[#This Row],[tmax]]-Table1[[#This Row],[tmin]]</f>
        <v>3.01</v>
      </c>
      <c r="E3" s="2">
        <v>0</v>
      </c>
      <c r="F3" t="s">
        <v>6</v>
      </c>
      <c r="G3" t="s">
        <v>7</v>
      </c>
      <c r="H3" s="2">
        <v>3.01</v>
      </c>
    </row>
    <row r="4" spans="1:8" hidden="1" x14ac:dyDescent="0.3">
      <c r="A4">
        <v>1</v>
      </c>
      <c r="B4">
        <v>2</v>
      </c>
      <c r="C4">
        <f>Table1[[#This Row],[tmin]]</f>
        <v>0</v>
      </c>
      <c r="D4" s="1">
        <f>Table1[[#This Row],[tmax]]-Table1[[#This Row],[tmin]]</f>
        <v>1.4241969999999999</v>
      </c>
      <c r="E4">
        <v>0</v>
      </c>
      <c r="F4" t="s">
        <v>4</v>
      </c>
      <c r="G4" t="s">
        <v>8</v>
      </c>
      <c r="H4" s="1">
        <v>1.4241969999999999</v>
      </c>
    </row>
    <row r="5" spans="1:8" hidden="1" x14ac:dyDescent="0.3">
      <c r="A5">
        <v>4</v>
      </c>
      <c r="C5">
        <f>Table1[[#This Row],[tmin]]</f>
        <v>0</v>
      </c>
      <c r="D5" s="1">
        <f>Table1[[#This Row],[tmax]]-Table1[[#This Row],[tmin]]</f>
        <v>1.4241969999999999</v>
      </c>
      <c r="E5">
        <v>0</v>
      </c>
      <c r="F5" t="s">
        <v>6</v>
      </c>
      <c r="G5" t="s">
        <v>9</v>
      </c>
      <c r="H5" s="1">
        <v>1.4241969999999999</v>
      </c>
    </row>
    <row r="6" spans="1:8" x14ac:dyDescent="0.3">
      <c r="A6">
        <v>2</v>
      </c>
      <c r="C6" s="2">
        <f>Table1[[#This Row],[tmin]]</f>
        <v>1.4241969999999999</v>
      </c>
      <c r="D6" s="2">
        <f>Table1[[#This Row],[tmax]]-Table1[[#This Row],[tmin]]</f>
        <v>0.59236300000000019</v>
      </c>
      <c r="E6" s="2">
        <v>1.4241969999999999</v>
      </c>
      <c r="F6" t="s">
        <v>4</v>
      </c>
      <c r="G6" t="s">
        <v>5</v>
      </c>
      <c r="H6" s="2">
        <v>2.0165600000000001</v>
      </c>
    </row>
    <row r="7" spans="1:8" hidden="1" x14ac:dyDescent="0.3">
      <c r="A7">
        <v>5</v>
      </c>
      <c r="C7">
        <f>Table1[[#This Row],[tmin]]</f>
        <v>1.4241969999999999</v>
      </c>
      <c r="D7" s="1">
        <f>Table1[[#This Row],[tmax]]-Table1[[#This Row],[tmin]]</f>
        <v>0.59236300000000019</v>
      </c>
      <c r="E7" s="1">
        <v>1.4241969999999999</v>
      </c>
      <c r="F7" t="s">
        <v>6</v>
      </c>
      <c r="G7" t="s">
        <v>10</v>
      </c>
      <c r="H7" s="1">
        <v>2.0165600000000001</v>
      </c>
    </row>
    <row r="8" spans="1:8" hidden="1" x14ac:dyDescent="0.3">
      <c r="A8">
        <v>3</v>
      </c>
      <c r="C8">
        <f>Table1[[#This Row],[tmin]]</f>
        <v>2.0165600000000001</v>
      </c>
      <c r="D8" s="1">
        <f>Table1[[#This Row],[tmax]]-Table1[[#This Row],[tmin]]</f>
        <v>1.0234399999999999</v>
      </c>
      <c r="E8" s="1">
        <v>2.0165600000000001</v>
      </c>
      <c r="F8" t="s">
        <v>4</v>
      </c>
      <c r="G8" t="s">
        <v>8</v>
      </c>
      <c r="H8" s="1">
        <v>3.04</v>
      </c>
    </row>
    <row r="9" spans="1:8" hidden="1" x14ac:dyDescent="0.3">
      <c r="A9">
        <v>6</v>
      </c>
      <c r="C9">
        <f>Table1[[#This Row],[tmin]]</f>
        <v>2.0165600000000001</v>
      </c>
      <c r="D9" s="1">
        <f>Table1[[#This Row],[tmax]]-Table1[[#This Row],[tmin]]</f>
        <v>1.0234399999999999</v>
      </c>
      <c r="E9" s="1">
        <v>2.0165600000000001</v>
      </c>
      <c r="F9" t="s">
        <v>6</v>
      </c>
      <c r="G9" t="s">
        <v>11</v>
      </c>
      <c r="H9" s="1">
        <v>3.04</v>
      </c>
    </row>
    <row r="10" spans="1:8" hidden="1" x14ac:dyDescent="0.3">
      <c r="A10">
        <v>1</v>
      </c>
      <c r="B10">
        <v>3</v>
      </c>
      <c r="C10">
        <f>Table1[[#This Row],[tmin]]</f>
        <v>0</v>
      </c>
      <c r="D10" s="1">
        <f>Table1[[#This Row],[tmax]]-Table1[[#This Row],[tmin]]</f>
        <v>3</v>
      </c>
      <c r="E10">
        <v>0</v>
      </c>
      <c r="F10" t="s">
        <v>4</v>
      </c>
      <c r="G10" t="s">
        <v>5</v>
      </c>
      <c r="H10" s="1">
        <v>3</v>
      </c>
    </row>
    <row r="11" spans="1:8" x14ac:dyDescent="0.3">
      <c r="A11">
        <v>2</v>
      </c>
      <c r="C11" s="2">
        <f>Table1[[#This Row],[tmin]]</f>
        <v>0</v>
      </c>
      <c r="D11" s="2">
        <f>Table1[[#This Row],[tmax]]-Table1[[#This Row],[tmin]]</f>
        <v>3</v>
      </c>
      <c r="E11" s="2">
        <v>0</v>
      </c>
      <c r="F11" t="s">
        <v>6</v>
      </c>
      <c r="G11" t="s">
        <v>12</v>
      </c>
      <c r="H11" s="2">
        <v>3</v>
      </c>
    </row>
    <row r="12" spans="1:8" hidden="1" x14ac:dyDescent="0.3">
      <c r="A12">
        <v>1</v>
      </c>
      <c r="B12">
        <v>4</v>
      </c>
      <c r="C12">
        <f>Table1[[#This Row],[tmin]]</f>
        <v>0</v>
      </c>
      <c r="D12" s="1">
        <f>Table1[[#This Row],[tmax]]-Table1[[#This Row],[tmin]]</f>
        <v>0.94193899999999997</v>
      </c>
      <c r="E12">
        <v>0</v>
      </c>
      <c r="F12" t="s">
        <v>4</v>
      </c>
      <c r="G12" t="s">
        <v>8</v>
      </c>
      <c r="H12">
        <v>0.94193899999999997</v>
      </c>
    </row>
    <row r="13" spans="1:8" hidden="1" x14ac:dyDescent="0.3">
      <c r="A13">
        <v>4</v>
      </c>
      <c r="C13">
        <f>Table1[[#This Row],[tmin]]</f>
        <v>0</v>
      </c>
      <c r="D13" s="1" t="e">
        <f>Table1[[#This Row],[tmax]]-Table1[[#This Row],[tmin]]</f>
        <v>#VALUE!</v>
      </c>
      <c r="E13">
        <v>0</v>
      </c>
      <c r="F13" t="s">
        <v>6</v>
      </c>
      <c r="G13" t="s">
        <v>9</v>
      </c>
      <c r="H13" t="s">
        <v>13</v>
      </c>
    </row>
    <row r="14" spans="1:8" x14ac:dyDescent="0.3">
      <c r="A14">
        <v>2</v>
      </c>
      <c r="C14" s="2">
        <f>Table1[[#This Row],[tmin]]</f>
        <v>0.94193899999999997</v>
      </c>
      <c r="D14" s="2">
        <f>Table1[[#This Row],[tmax]]-Table1[[#This Row],[tmin]]</f>
        <v>0.63649900000000004</v>
      </c>
      <c r="E14" s="2">
        <v>0.94193899999999997</v>
      </c>
      <c r="F14" t="s">
        <v>4</v>
      </c>
      <c r="G14" t="s">
        <v>5</v>
      </c>
      <c r="H14" s="2">
        <v>1.578438</v>
      </c>
    </row>
    <row r="15" spans="1:8" hidden="1" x14ac:dyDescent="0.3">
      <c r="A15">
        <v>5</v>
      </c>
      <c r="C15">
        <f>Table1[[#This Row],[tmin]]</f>
        <v>0.94193899999999997</v>
      </c>
      <c r="D15" s="1">
        <f>Table1[[#This Row],[tmax]]-Table1[[#This Row],[tmin]]</f>
        <v>0.63649900000000004</v>
      </c>
      <c r="E15">
        <v>0.94193899999999997</v>
      </c>
      <c r="F15" t="s">
        <v>6</v>
      </c>
      <c r="G15" t="s">
        <v>14</v>
      </c>
      <c r="H15" s="1">
        <v>1.578438</v>
      </c>
    </row>
    <row r="16" spans="1:8" hidden="1" x14ac:dyDescent="0.3">
      <c r="A16">
        <v>3</v>
      </c>
      <c r="C16">
        <f>Table1[[#This Row],[tmin]]</f>
        <v>1.578438</v>
      </c>
      <c r="D16" s="1">
        <f>Table1[[#This Row],[tmax]]-Table1[[#This Row],[tmin]]</f>
        <v>1.4315619999999998</v>
      </c>
      <c r="E16" s="1">
        <v>1.578438</v>
      </c>
      <c r="F16" t="s">
        <v>4</v>
      </c>
      <c r="G16" t="s">
        <v>8</v>
      </c>
      <c r="H16" s="1">
        <v>3.01</v>
      </c>
    </row>
    <row r="17" spans="1:13" hidden="1" x14ac:dyDescent="0.3">
      <c r="A17">
        <v>6</v>
      </c>
      <c r="C17">
        <f>Table1[[#This Row],[tmin]]</f>
        <v>1.578438</v>
      </c>
      <c r="D17" s="1">
        <f>Table1[[#This Row],[tmax]]-Table1[[#This Row],[tmin]]</f>
        <v>1.4315619999999998</v>
      </c>
      <c r="E17" s="1">
        <v>1.578438</v>
      </c>
      <c r="F17" t="s">
        <v>6</v>
      </c>
      <c r="G17" t="s">
        <v>11</v>
      </c>
      <c r="H17" s="1">
        <v>3.01</v>
      </c>
    </row>
    <row r="18" spans="1:13" hidden="1" x14ac:dyDescent="0.3">
      <c r="A18">
        <v>1</v>
      </c>
      <c r="B18">
        <v>5</v>
      </c>
      <c r="C18">
        <f>Table1[[#This Row],[tmin]]</f>
        <v>0</v>
      </c>
      <c r="D18" s="1">
        <f>Table1[[#This Row],[tmax]]-Table1[[#This Row],[tmin]]</f>
        <v>3.04</v>
      </c>
      <c r="E18">
        <v>0</v>
      </c>
      <c r="F18" t="s">
        <v>4</v>
      </c>
      <c r="G18" t="s">
        <v>5</v>
      </c>
      <c r="H18" s="1">
        <v>3.04</v>
      </c>
    </row>
    <row r="19" spans="1:13" x14ac:dyDescent="0.3">
      <c r="A19">
        <v>2</v>
      </c>
      <c r="C19" s="2">
        <f>Table1[[#This Row],[tmin]]</f>
        <v>0</v>
      </c>
      <c r="D19" s="2">
        <f>Table1[[#This Row],[tmax]]-Table1[[#This Row],[tmin]]</f>
        <v>3.04</v>
      </c>
      <c r="E19" s="2">
        <v>0</v>
      </c>
      <c r="F19" t="s">
        <v>6</v>
      </c>
      <c r="G19" t="s">
        <v>7</v>
      </c>
      <c r="H19" s="2">
        <v>3.04</v>
      </c>
    </row>
    <row r="20" spans="1:13" hidden="1" x14ac:dyDescent="0.3">
      <c r="A20">
        <v>1</v>
      </c>
      <c r="B20">
        <v>6</v>
      </c>
      <c r="C20">
        <f>Table1[[#This Row],[tmin]]</f>
        <v>0</v>
      </c>
      <c r="D20" s="1">
        <f>Table1[[#This Row],[tmax]]-Table1[[#This Row],[tmin]]</f>
        <v>3</v>
      </c>
      <c r="E20">
        <v>0</v>
      </c>
      <c r="F20" t="s">
        <v>4</v>
      </c>
      <c r="G20" t="s">
        <v>5</v>
      </c>
      <c r="H20" s="1">
        <v>3</v>
      </c>
    </row>
    <row r="21" spans="1:13" x14ac:dyDescent="0.3">
      <c r="A21">
        <v>2</v>
      </c>
      <c r="C21" s="2">
        <f>Table1[[#This Row],[tmin]]</f>
        <v>0</v>
      </c>
      <c r="D21" s="2">
        <f>Table1[[#This Row],[tmax]]-Table1[[#This Row],[tmin]]</f>
        <v>3</v>
      </c>
      <c r="E21" s="2">
        <v>0</v>
      </c>
      <c r="F21" t="s">
        <v>6</v>
      </c>
      <c r="G21" t="s">
        <v>7</v>
      </c>
      <c r="H21" s="2">
        <v>3</v>
      </c>
    </row>
    <row r="22" spans="1:13" hidden="1" x14ac:dyDescent="0.3">
      <c r="A22">
        <v>1</v>
      </c>
      <c r="B22">
        <v>7</v>
      </c>
      <c r="C22">
        <f>Table1[[#This Row],[tmin]]</f>
        <v>0</v>
      </c>
      <c r="D22" s="1">
        <f>Table1[[#This Row],[tmax]]-Table1[[#This Row],[tmin]]</f>
        <v>1.027955</v>
      </c>
      <c r="E22">
        <v>0</v>
      </c>
      <c r="F22" t="s">
        <v>4</v>
      </c>
      <c r="G22" t="s">
        <v>8</v>
      </c>
      <c r="H22" s="1">
        <v>1.027955</v>
      </c>
    </row>
    <row r="23" spans="1:13" hidden="1" x14ac:dyDescent="0.3">
      <c r="A23">
        <v>4</v>
      </c>
      <c r="C23">
        <f>Table1[[#This Row],[tmin]]</f>
        <v>0</v>
      </c>
      <c r="D23" s="1">
        <f>Table1[[#This Row],[tmax]]-Table1[[#This Row],[tmin]]</f>
        <v>1.027955</v>
      </c>
      <c r="E23">
        <v>0</v>
      </c>
      <c r="F23" t="s">
        <v>6</v>
      </c>
      <c r="G23" t="s">
        <v>9</v>
      </c>
      <c r="H23" s="1">
        <v>1.027955</v>
      </c>
    </row>
    <row r="24" spans="1:13" x14ac:dyDescent="0.3">
      <c r="A24">
        <v>2</v>
      </c>
      <c r="C24" s="2">
        <f>Table1[[#This Row],[tmin]]</f>
        <v>1.027955</v>
      </c>
      <c r="D24" s="2">
        <f>Table1[[#This Row],[tmax]]-Table1[[#This Row],[tmin]]</f>
        <v>0.63952200000000015</v>
      </c>
      <c r="E24" s="2">
        <v>1.027955</v>
      </c>
      <c r="F24" t="s">
        <v>4</v>
      </c>
      <c r="G24" t="s">
        <v>5</v>
      </c>
      <c r="H24" s="2">
        <v>1.6674770000000001</v>
      </c>
    </row>
    <row r="25" spans="1:13" hidden="1" x14ac:dyDescent="0.3">
      <c r="A25">
        <v>5</v>
      </c>
      <c r="C25">
        <f>Table1[[#This Row],[tmin]]</f>
        <v>1.027955</v>
      </c>
      <c r="D25" s="1">
        <f>Table1[[#This Row],[tmax]]-Table1[[#This Row],[tmin]]</f>
        <v>0.63952200000000015</v>
      </c>
      <c r="E25" s="1">
        <v>1.027955</v>
      </c>
      <c r="F25" t="s">
        <v>6</v>
      </c>
      <c r="G25" t="s">
        <v>15</v>
      </c>
      <c r="H25" s="1">
        <v>1.6674770000000001</v>
      </c>
    </row>
    <row r="26" spans="1:13" hidden="1" x14ac:dyDescent="0.3">
      <c r="A26">
        <v>3</v>
      </c>
      <c r="C26">
        <f>Table1[[#This Row],[tmin]]</f>
        <v>1.6674770000000001</v>
      </c>
      <c r="D26" s="1">
        <f>Table1[[#This Row],[tmax]]-Table1[[#This Row],[tmin]]</f>
        <v>1.3325229999999999</v>
      </c>
      <c r="E26" s="1">
        <v>1.6674770000000001</v>
      </c>
      <c r="F26" t="s">
        <v>4</v>
      </c>
      <c r="G26" t="s">
        <v>8</v>
      </c>
      <c r="H26" s="1">
        <v>3</v>
      </c>
    </row>
    <row r="27" spans="1:13" hidden="1" x14ac:dyDescent="0.3">
      <c r="A27">
        <v>6</v>
      </c>
      <c r="C27">
        <f>Table1[[#This Row],[tmin]]</f>
        <v>1.6674770000000001</v>
      </c>
      <c r="D27" s="1">
        <f>Table1[[#This Row],[tmax]]-Table1[[#This Row],[tmin]]</f>
        <v>1.3325229999999999</v>
      </c>
      <c r="E27" s="1">
        <v>1.6674770000000001</v>
      </c>
      <c r="F27" t="s">
        <v>6</v>
      </c>
      <c r="G27" t="s">
        <v>11</v>
      </c>
      <c r="H27" s="1">
        <v>3</v>
      </c>
    </row>
    <row r="28" spans="1:13" hidden="1" x14ac:dyDescent="0.3">
      <c r="A28">
        <v>1</v>
      </c>
      <c r="B28">
        <v>8</v>
      </c>
      <c r="C28">
        <f>Table1[[#This Row],[tmin]]</f>
        <v>0</v>
      </c>
      <c r="D28" s="1">
        <f>Table1[[#This Row],[tmax]]-Table1[[#This Row],[tmin]]</f>
        <v>0.62124500000000005</v>
      </c>
      <c r="E28">
        <v>0</v>
      </c>
      <c r="F28" t="s">
        <v>4</v>
      </c>
      <c r="G28" t="s">
        <v>8</v>
      </c>
      <c r="H28">
        <v>0.62124500000000005</v>
      </c>
    </row>
    <row r="29" spans="1:13" hidden="1" x14ac:dyDescent="0.3">
      <c r="A29">
        <v>4</v>
      </c>
      <c r="C29">
        <f>Table1[[#This Row],[tmin]]</f>
        <v>0</v>
      </c>
      <c r="D29" s="1">
        <f>Table1[[#This Row],[tmax]]-Table1[[#This Row],[tmin]]</f>
        <v>0.62124500000000005</v>
      </c>
      <c r="E29">
        <v>0</v>
      </c>
      <c r="F29" t="s">
        <v>6</v>
      </c>
      <c r="G29" t="s">
        <v>16</v>
      </c>
      <c r="H29">
        <v>0.62124500000000005</v>
      </c>
    </row>
    <row r="30" spans="1:13" x14ac:dyDescent="0.3">
      <c r="A30">
        <v>2</v>
      </c>
      <c r="C30" s="2">
        <f>Table1[[#This Row],[tmin]]</f>
        <v>0.62124500000000005</v>
      </c>
      <c r="D30" s="2">
        <f>Table1[[#This Row],[tmax]]-Table1[[#This Row],[tmin]]</f>
        <v>0.63436199999999987</v>
      </c>
      <c r="E30" s="2">
        <v>0.62124500000000005</v>
      </c>
      <c r="F30" t="s">
        <v>4</v>
      </c>
      <c r="G30" t="s">
        <v>5</v>
      </c>
      <c r="H30" s="2">
        <v>1.2556069999999999</v>
      </c>
    </row>
    <row r="31" spans="1:13" hidden="1" x14ac:dyDescent="0.3">
      <c r="A31">
        <v>5</v>
      </c>
      <c r="C31">
        <f>Table1[[#This Row],[tmin]]</f>
        <v>0.62124500000000005</v>
      </c>
      <c r="D31" s="1">
        <f>Table1[[#This Row],[tmax]]-Table1[[#This Row],[tmin]]</f>
        <v>0.63436199999999987</v>
      </c>
      <c r="E31">
        <v>0.62124500000000005</v>
      </c>
      <c r="F31" t="s">
        <v>6</v>
      </c>
      <c r="G31" t="s">
        <v>15</v>
      </c>
      <c r="H31" s="1">
        <v>1.2556069999999999</v>
      </c>
      <c r="M31" t="s">
        <v>41</v>
      </c>
    </row>
    <row r="32" spans="1:13" hidden="1" x14ac:dyDescent="0.3">
      <c r="A32">
        <v>3</v>
      </c>
      <c r="C32">
        <f>Table1[[#This Row],[tmin]]</f>
        <v>1.2556069999999999</v>
      </c>
      <c r="D32" s="1">
        <f>Table1[[#This Row],[tmax]]-Table1[[#This Row],[tmin]]</f>
        <v>1.7443930000000001</v>
      </c>
      <c r="E32" s="1">
        <v>1.2556069999999999</v>
      </c>
      <c r="F32" t="s">
        <v>4</v>
      </c>
      <c r="G32" t="s">
        <v>8</v>
      </c>
      <c r="H32" s="1">
        <v>3</v>
      </c>
    </row>
    <row r="33" spans="1:8" hidden="1" x14ac:dyDescent="0.3">
      <c r="A33">
        <v>6</v>
      </c>
      <c r="C33">
        <f>Table1[[#This Row],[tmin]]</f>
        <v>1.2556069999999999</v>
      </c>
      <c r="D33" s="1">
        <f>Table1[[#This Row],[tmax]]-Table1[[#This Row],[tmin]]</f>
        <v>1.7443930000000001</v>
      </c>
      <c r="E33" s="1">
        <v>1.2556069999999999</v>
      </c>
      <c r="F33" t="s">
        <v>6</v>
      </c>
      <c r="G33" t="s">
        <v>17</v>
      </c>
      <c r="H33" s="1">
        <v>3</v>
      </c>
    </row>
    <row r="34" spans="1:8" hidden="1" x14ac:dyDescent="0.3">
      <c r="A34">
        <v>1</v>
      </c>
      <c r="B34">
        <v>9</v>
      </c>
      <c r="C34">
        <f>Table1[[#This Row],[tmin]]</f>
        <v>0</v>
      </c>
      <c r="D34" s="1">
        <f>Table1[[#This Row],[tmax]]-Table1[[#This Row],[tmin]]</f>
        <v>3</v>
      </c>
      <c r="E34">
        <v>0</v>
      </c>
      <c r="F34" t="s">
        <v>4</v>
      </c>
      <c r="G34" t="s">
        <v>5</v>
      </c>
      <c r="H34" s="1">
        <v>3</v>
      </c>
    </row>
    <row r="35" spans="1:8" x14ac:dyDescent="0.3">
      <c r="A35">
        <v>2</v>
      </c>
      <c r="C35" s="2">
        <f>Table1[[#This Row],[tmin]]</f>
        <v>0</v>
      </c>
      <c r="D35" s="2">
        <f>Table1[[#This Row],[tmax]]-Table1[[#This Row],[tmin]]</f>
        <v>3</v>
      </c>
      <c r="E35" s="2">
        <v>0</v>
      </c>
      <c r="F35" t="s">
        <v>6</v>
      </c>
      <c r="G35" t="s">
        <v>18</v>
      </c>
      <c r="H35" s="2">
        <v>3</v>
      </c>
    </row>
    <row r="36" spans="1:8" hidden="1" x14ac:dyDescent="0.3">
      <c r="A36">
        <v>1</v>
      </c>
      <c r="B36">
        <v>10</v>
      </c>
      <c r="C36">
        <f>Table1[[#This Row],[tmin]]</f>
        <v>0</v>
      </c>
      <c r="D36" s="1">
        <f>Table1[[#This Row],[tmax]]-Table1[[#This Row],[tmin]]</f>
        <v>3</v>
      </c>
      <c r="E36">
        <v>0</v>
      </c>
      <c r="F36" t="s">
        <v>4</v>
      </c>
      <c r="G36" t="s">
        <v>5</v>
      </c>
      <c r="H36" s="1">
        <v>3</v>
      </c>
    </row>
    <row r="37" spans="1:8" x14ac:dyDescent="0.3">
      <c r="A37">
        <v>2</v>
      </c>
      <c r="C37" s="2">
        <f>Table1[[#This Row],[tmin]]</f>
        <v>0</v>
      </c>
      <c r="D37" s="2">
        <f>Table1[[#This Row],[tmax]]-Table1[[#This Row],[tmin]]</f>
        <v>3</v>
      </c>
      <c r="E37" s="2">
        <v>0</v>
      </c>
      <c r="F37" t="s">
        <v>6</v>
      </c>
      <c r="G37" t="s">
        <v>18</v>
      </c>
      <c r="H37" s="2">
        <v>3</v>
      </c>
    </row>
    <row r="38" spans="1:8" hidden="1" x14ac:dyDescent="0.3">
      <c r="A38">
        <v>1</v>
      </c>
      <c r="B38">
        <v>11</v>
      </c>
      <c r="C38">
        <f>Table1[[#This Row],[tmin]]</f>
        <v>0</v>
      </c>
      <c r="D38" s="1">
        <f>Table1[[#This Row],[tmax]]-Table1[[#This Row],[tmin]]</f>
        <v>0.91766700000000001</v>
      </c>
      <c r="E38">
        <v>0</v>
      </c>
      <c r="F38" t="s">
        <v>4</v>
      </c>
      <c r="G38" t="s">
        <v>8</v>
      </c>
      <c r="H38">
        <v>0.91766700000000001</v>
      </c>
    </row>
    <row r="39" spans="1:8" hidden="1" x14ac:dyDescent="0.3">
      <c r="A39">
        <v>4</v>
      </c>
      <c r="C39">
        <f>Table1[[#This Row],[tmin]]</f>
        <v>0</v>
      </c>
      <c r="D39" s="1">
        <f>Table1[[#This Row],[tmax]]-Table1[[#This Row],[tmin]]</f>
        <v>0.91766700000000001</v>
      </c>
      <c r="E39">
        <v>0</v>
      </c>
      <c r="F39" t="s">
        <v>6</v>
      </c>
      <c r="G39" t="s">
        <v>19</v>
      </c>
      <c r="H39">
        <v>0.91766700000000001</v>
      </c>
    </row>
    <row r="40" spans="1:8" x14ac:dyDescent="0.3">
      <c r="A40">
        <v>2</v>
      </c>
      <c r="C40" s="2">
        <f>Table1[[#This Row],[tmin]]</f>
        <v>0.91766700000000001</v>
      </c>
      <c r="D40" s="2">
        <f>Table1[[#This Row],[tmax]]-Table1[[#This Row],[tmin]]</f>
        <v>0.41237400000000002</v>
      </c>
      <c r="E40" s="2">
        <v>0.91766700000000001</v>
      </c>
      <c r="F40" t="s">
        <v>4</v>
      </c>
      <c r="G40" t="s">
        <v>5</v>
      </c>
      <c r="H40" s="2">
        <v>1.330041</v>
      </c>
    </row>
    <row r="41" spans="1:8" hidden="1" x14ac:dyDescent="0.3">
      <c r="A41">
        <v>5</v>
      </c>
      <c r="C41">
        <f>Table1[[#This Row],[tmin]]</f>
        <v>0.91766700000000001</v>
      </c>
      <c r="D41" s="1">
        <f>Table1[[#This Row],[tmax]]-Table1[[#This Row],[tmin]]</f>
        <v>0.41237400000000002</v>
      </c>
      <c r="E41">
        <v>0.91766700000000001</v>
      </c>
      <c r="F41" t="s">
        <v>6</v>
      </c>
      <c r="G41" t="s">
        <v>20</v>
      </c>
      <c r="H41" s="1">
        <v>1.330041</v>
      </c>
    </row>
    <row r="42" spans="1:8" hidden="1" x14ac:dyDescent="0.3">
      <c r="A42">
        <v>3</v>
      </c>
      <c r="C42">
        <f>Table1[[#This Row],[tmin]]</f>
        <v>1.330041</v>
      </c>
      <c r="D42" s="1">
        <f>Table1[[#This Row],[tmax]]-Table1[[#This Row],[tmin]]</f>
        <v>1.669959</v>
      </c>
      <c r="E42" s="1">
        <v>1.330041</v>
      </c>
      <c r="F42" t="s">
        <v>4</v>
      </c>
      <c r="G42" t="s">
        <v>8</v>
      </c>
      <c r="H42" s="1">
        <v>3</v>
      </c>
    </row>
    <row r="43" spans="1:8" hidden="1" x14ac:dyDescent="0.3">
      <c r="A43">
        <v>6</v>
      </c>
      <c r="C43">
        <f>Table1[[#This Row],[tmin]]</f>
        <v>1.330041</v>
      </c>
      <c r="D43" s="1">
        <f>Table1[[#This Row],[tmax]]-Table1[[#This Row],[tmin]]</f>
        <v>1.669959</v>
      </c>
      <c r="E43" s="1">
        <v>1.330041</v>
      </c>
      <c r="F43" t="s">
        <v>6</v>
      </c>
      <c r="G43" t="s">
        <v>21</v>
      </c>
      <c r="H43" s="1">
        <v>3</v>
      </c>
    </row>
    <row r="44" spans="1:8" hidden="1" x14ac:dyDescent="0.3">
      <c r="A44">
        <v>1</v>
      </c>
      <c r="B44">
        <v>12</v>
      </c>
      <c r="C44">
        <f>Table1[[#This Row],[tmin]]</f>
        <v>0</v>
      </c>
      <c r="D44" s="1">
        <f>Table1[[#This Row],[tmax]]-Table1[[#This Row],[tmin]]</f>
        <v>0.50437900000000002</v>
      </c>
      <c r="E44">
        <v>0</v>
      </c>
      <c r="F44" t="s">
        <v>4</v>
      </c>
      <c r="G44" t="s">
        <v>8</v>
      </c>
      <c r="H44">
        <v>0.50437900000000002</v>
      </c>
    </row>
    <row r="45" spans="1:8" hidden="1" x14ac:dyDescent="0.3">
      <c r="A45">
        <v>4</v>
      </c>
      <c r="C45">
        <f>Table1[[#This Row],[tmin]]</f>
        <v>0</v>
      </c>
      <c r="D45" s="1" t="e">
        <f>Table1[[#This Row],[tmax]]-Table1[[#This Row],[tmin]]</f>
        <v>#VALUE!</v>
      </c>
      <c r="E45">
        <v>0</v>
      </c>
      <c r="F45" t="s">
        <v>6</v>
      </c>
      <c r="G45" t="s">
        <v>19</v>
      </c>
      <c r="H45" t="s">
        <v>22</v>
      </c>
    </row>
    <row r="46" spans="1:8" x14ac:dyDescent="0.3">
      <c r="A46">
        <v>2</v>
      </c>
      <c r="C46" s="2">
        <f>Table1[[#This Row],[tmin]]</f>
        <v>0.50437900000000002</v>
      </c>
      <c r="D46" s="2">
        <f>Table1[[#This Row],[tmax]]-Table1[[#This Row],[tmin]]</f>
        <v>0.47079700000000002</v>
      </c>
      <c r="E46" s="2">
        <v>0.50437900000000002</v>
      </c>
      <c r="F46" t="s">
        <v>4</v>
      </c>
      <c r="G46" t="s">
        <v>5</v>
      </c>
      <c r="H46" s="2">
        <v>0.97517600000000004</v>
      </c>
    </row>
    <row r="47" spans="1:8" hidden="1" x14ac:dyDescent="0.3">
      <c r="A47">
        <v>5</v>
      </c>
      <c r="C47">
        <f>Table1[[#This Row],[tmin]]</f>
        <v>0.50437900000000002</v>
      </c>
      <c r="D47" s="1" t="e">
        <f>Table1[[#This Row],[tmax]]-Table1[[#This Row],[tmin]]</f>
        <v>#VALUE!</v>
      </c>
      <c r="E47">
        <v>0.50437900000000002</v>
      </c>
      <c r="F47" t="s">
        <v>6</v>
      </c>
      <c r="G47" t="s">
        <v>20</v>
      </c>
      <c r="H47" t="s">
        <v>23</v>
      </c>
    </row>
    <row r="48" spans="1:8" hidden="1" x14ac:dyDescent="0.3">
      <c r="A48">
        <v>3</v>
      </c>
      <c r="C48">
        <f>Table1[[#This Row],[tmin]]</f>
        <v>0.97517600000000004</v>
      </c>
      <c r="D48" s="1">
        <f>Table1[[#This Row],[tmax]]-Table1[[#This Row],[tmin]]</f>
        <v>2.0248239999999997</v>
      </c>
      <c r="E48">
        <v>0.97517600000000004</v>
      </c>
      <c r="F48" t="s">
        <v>4</v>
      </c>
      <c r="G48" t="s">
        <v>8</v>
      </c>
      <c r="H48" s="1">
        <v>3</v>
      </c>
    </row>
    <row r="49" spans="1:8" hidden="1" x14ac:dyDescent="0.3">
      <c r="A49">
        <v>6</v>
      </c>
      <c r="C49">
        <f>Table1[[#This Row],[tmin]]</f>
        <v>0.97517600000000004</v>
      </c>
      <c r="D49" s="1">
        <f>Table1[[#This Row],[tmax]]-Table1[[#This Row],[tmin]]</f>
        <v>2.0248239999999997</v>
      </c>
      <c r="E49">
        <v>0.97517600000000004</v>
      </c>
      <c r="F49" t="s">
        <v>6</v>
      </c>
      <c r="G49" t="s">
        <v>17</v>
      </c>
      <c r="H49" s="1">
        <v>3</v>
      </c>
    </row>
    <row r="50" spans="1:8" hidden="1" x14ac:dyDescent="0.3">
      <c r="A50">
        <v>1</v>
      </c>
      <c r="B50">
        <v>13</v>
      </c>
      <c r="C50">
        <f>Table1[[#This Row],[tmin]]</f>
        <v>0</v>
      </c>
      <c r="D50" s="1">
        <f>Table1[[#This Row],[tmax]]-Table1[[#This Row],[tmin]]</f>
        <v>0.90248300000000004</v>
      </c>
      <c r="E50">
        <v>0</v>
      </c>
      <c r="F50" t="s">
        <v>4</v>
      </c>
      <c r="G50" t="s">
        <v>8</v>
      </c>
      <c r="H50">
        <v>0.90248300000000004</v>
      </c>
    </row>
    <row r="51" spans="1:8" hidden="1" x14ac:dyDescent="0.3">
      <c r="A51">
        <v>4</v>
      </c>
      <c r="C51">
        <f>Table1[[#This Row],[tmin]]</f>
        <v>0</v>
      </c>
      <c r="D51" s="1">
        <f>Table1[[#This Row],[tmax]]-Table1[[#This Row],[tmin]]</f>
        <v>0.90248300000000004</v>
      </c>
      <c r="E51">
        <v>0</v>
      </c>
      <c r="F51" t="s">
        <v>6</v>
      </c>
      <c r="G51" t="s">
        <v>19</v>
      </c>
      <c r="H51">
        <v>0.90248300000000004</v>
      </c>
    </row>
    <row r="52" spans="1:8" x14ac:dyDescent="0.3">
      <c r="A52">
        <v>2</v>
      </c>
      <c r="C52" s="2">
        <f>Table1[[#This Row],[tmin]]</f>
        <v>0.90248300000000004</v>
      </c>
      <c r="D52" s="2">
        <f>Table1[[#This Row],[tmax]]-Table1[[#This Row],[tmin]]</f>
        <v>0.56650299999999987</v>
      </c>
      <c r="E52" s="2">
        <v>0.90248300000000004</v>
      </c>
      <c r="F52" t="s">
        <v>4</v>
      </c>
      <c r="G52" t="s">
        <v>5</v>
      </c>
      <c r="H52" s="2">
        <v>1.4689859999999999</v>
      </c>
    </row>
    <row r="53" spans="1:8" hidden="1" x14ac:dyDescent="0.3">
      <c r="A53">
        <v>5</v>
      </c>
      <c r="C53">
        <f>Table1[[#This Row],[tmin]]</f>
        <v>0.90248300000000004</v>
      </c>
      <c r="D53" s="1">
        <f>Table1[[#This Row],[tmax]]-Table1[[#This Row],[tmin]]</f>
        <v>0.56650299999999987</v>
      </c>
      <c r="E53">
        <v>0.90248300000000004</v>
      </c>
      <c r="F53" t="s">
        <v>6</v>
      </c>
      <c r="G53" t="s">
        <v>24</v>
      </c>
      <c r="H53" s="1">
        <v>1.4689859999999999</v>
      </c>
    </row>
    <row r="54" spans="1:8" hidden="1" x14ac:dyDescent="0.3">
      <c r="A54">
        <v>3</v>
      </c>
      <c r="C54">
        <f>Table1[[#This Row],[tmin]]</f>
        <v>1.4689859999999999</v>
      </c>
      <c r="D54" s="1">
        <f>Table1[[#This Row],[tmax]]-Table1[[#This Row],[tmin]]</f>
        <v>1.5310140000000001</v>
      </c>
      <c r="E54" s="1">
        <v>1.4689859999999999</v>
      </c>
      <c r="F54" t="s">
        <v>4</v>
      </c>
      <c r="G54" t="s">
        <v>8</v>
      </c>
      <c r="H54" s="1">
        <v>3</v>
      </c>
    </row>
    <row r="55" spans="1:8" hidden="1" x14ac:dyDescent="0.3">
      <c r="A55">
        <v>6</v>
      </c>
      <c r="C55">
        <f>Table1[[#This Row],[tmin]]</f>
        <v>1.4689859999999999</v>
      </c>
      <c r="D55" s="1">
        <f>Table1[[#This Row],[tmax]]-Table1[[#This Row],[tmin]]</f>
        <v>1.5310140000000001</v>
      </c>
      <c r="E55" s="1">
        <v>1.4689859999999999</v>
      </c>
      <c r="F55" t="s">
        <v>6</v>
      </c>
      <c r="G55" t="s">
        <v>11</v>
      </c>
      <c r="H55" s="1">
        <v>3</v>
      </c>
    </row>
    <row r="56" spans="1:8" hidden="1" x14ac:dyDescent="0.3">
      <c r="A56">
        <v>1</v>
      </c>
      <c r="B56">
        <v>14</v>
      </c>
      <c r="C56">
        <f>Table1[[#This Row],[tmin]]</f>
        <v>0</v>
      </c>
      <c r="D56" s="1">
        <f>Table1[[#This Row],[tmax]]-Table1[[#This Row],[tmin]]</f>
        <v>3.01</v>
      </c>
      <c r="E56">
        <v>0</v>
      </c>
      <c r="F56" t="s">
        <v>4</v>
      </c>
      <c r="G56" t="s">
        <v>5</v>
      </c>
      <c r="H56" s="1">
        <v>3.01</v>
      </c>
    </row>
    <row r="57" spans="1:8" x14ac:dyDescent="0.3">
      <c r="A57">
        <v>2</v>
      </c>
      <c r="C57" s="2">
        <f>Table1[[#This Row],[tmin]]</f>
        <v>0</v>
      </c>
      <c r="D57" s="2">
        <f>Table1[[#This Row],[tmax]]-Table1[[#This Row],[tmin]]</f>
        <v>3.01</v>
      </c>
      <c r="E57" s="2">
        <v>0</v>
      </c>
      <c r="F57" t="s">
        <v>6</v>
      </c>
      <c r="G57" t="s">
        <v>7</v>
      </c>
      <c r="H57" s="2">
        <v>3.01</v>
      </c>
    </row>
    <row r="58" spans="1:8" hidden="1" x14ac:dyDescent="0.3">
      <c r="A58">
        <v>1</v>
      </c>
      <c r="B58">
        <v>15</v>
      </c>
      <c r="C58">
        <f>Table1[[#This Row],[tmin]]</f>
        <v>0</v>
      </c>
      <c r="D58" s="1">
        <f>Table1[[#This Row],[tmax]]-Table1[[#This Row],[tmin]]</f>
        <v>0.872</v>
      </c>
      <c r="E58">
        <v>0</v>
      </c>
      <c r="F58" t="s">
        <v>4</v>
      </c>
      <c r="G58" t="s">
        <v>8</v>
      </c>
      <c r="H58">
        <v>0.872</v>
      </c>
    </row>
    <row r="59" spans="1:8" hidden="1" x14ac:dyDescent="0.3">
      <c r="A59">
        <v>4</v>
      </c>
      <c r="C59">
        <f>Table1[[#This Row],[tmin]]</f>
        <v>0</v>
      </c>
      <c r="D59" s="1" t="e">
        <f>Table1[[#This Row],[tmax]]-Table1[[#This Row],[tmin]]</f>
        <v>#VALUE!</v>
      </c>
      <c r="E59">
        <v>0</v>
      </c>
      <c r="F59" t="s">
        <v>6</v>
      </c>
      <c r="G59" t="s">
        <v>19</v>
      </c>
      <c r="H59" t="s">
        <v>25</v>
      </c>
    </row>
    <row r="60" spans="1:8" x14ac:dyDescent="0.3">
      <c r="A60">
        <v>2</v>
      </c>
      <c r="C60" s="2">
        <f>Table1[[#This Row],[tmin]]</f>
        <v>0.872</v>
      </c>
      <c r="D60" s="2">
        <f>Table1[[#This Row],[tmax]]-Table1[[#This Row],[tmin]]</f>
        <v>0.39144100000000004</v>
      </c>
      <c r="E60" s="2">
        <v>0.872</v>
      </c>
      <c r="F60" t="s">
        <v>4</v>
      </c>
      <c r="G60" t="s">
        <v>5</v>
      </c>
      <c r="H60" s="2">
        <v>1.263441</v>
      </c>
    </row>
    <row r="61" spans="1:8" hidden="1" x14ac:dyDescent="0.3">
      <c r="A61">
        <v>5</v>
      </c>
      <c r="C61">
        <f>Table1[[#This Row],[tmin]]</f>
        <v>0.872</v>
      </c>
      <c r="D61" s="1">
        <f>Table1[[#This Row],[tmax]]-Table1[[#This Row],[tmin]]</f>
        <v>0.39144100000000004</v>
      </c>
      <c r="E61">
        <v>0.872</v>
      </c>
      <c r="F61" t="s">
        <v>6</v>
      </c>
      <c r="G61" t="s">
        <v>26</v>
      </c>
      <c r="H61" s="1">
        <v>1.263441</v>
      </c>
    </row>
    <row r="62" spans="1:8" hidden="1" x14ac:dyDescent="0.3">
      <c r="A62">
        <v>3</v>
      </c>
      <c r="C62">
        <f>Table1[[#This Row],[tmin]]</f>
        <v>1.263441</v>
      </c>
      <c r="D62" s="1">
        <f>Table1[[#This Row],[tmax]]-Table1[[#This Row],[tmin]]</f>
        <v>1.776559</v>
      </c>
      <c r="E62" s="1">
        <v>1.263441</v>
      </c>
      <c r="F62" t="s">
        <v>4</v>
      </c>
      <c r="G62" t="s">
        <v>8</v>
      </c>
      <c r="H62" s="1">
        <v>3.04</v>
      </c>
    </row>
    <row r="63" spans="1:8" hidden="1" x14ac:dyDescent="0.3">
      <c r="A63">
        <v>6</v>
      </c>
      <c r="C63">
        <f>Table1[[#This Row],[tmin]]</f>
        <v>1.263441</v>
      </c>
      <c r="D63" s="1">
        <f>Table1[[#This Row],[tmax]]-Table1[[#This Row],[tmin]]</f>
        <v>1.776559</v>
      </c>
      <c r="E63" s="1">
        <v>1.263441</v>
      </c>
      <c r="F63" t="s">
        <v>6</v>
      </c>
      <c r="G63" t="s">
        <v>11</v>
      </c>
      <c r="H63" s="1">
        <v>3.04</v>
      </c>
    </row>
    <row r="64" spans="1:8" hidden="1" x14ac:dyDescent="0.3">
      <c r="A64">
        <v>1</v>
      </c>
      <c r="B64">
        <v>16</v>
      </c>
      <c r="C64">
        <f>Table1[[#This Row],[tmin]]</f>
        <v>0</v>
      </c>
      <c r="D64" s="1">
        <f>Table1[[#This Row],[tmax]]-Table1[[#This Row],[tmin]]</f>
        <v>3</v>
      </c>
      <c r="E64">
        <v>0</v>
      </c>
      <c r="F64" t="s">
        <v>4</v>
      </c>
      <c r="G64" t="s">
        <v>5</v>
      </c>
      <c r="H64" s="1">
        <v>3</v>
      </c>
    </row>
    <row r="65" spans="1:8" x14ac:dyDescent="0.3">
      <c r="A65">
        <v>2</v>
      </c>
      <c r="C65" s="2">
        <f>Table1[[#This Row],[tmin]]</f>
        <v>0</v>
      </c>
      <c r="D65" s="2">
        <f>Table1[[#This Row],[tmax]]-Table1[[#This Row],[tmin]]</f>
        <v>3</v>
      </c>
      <c r="E65" s="2">
        <v>0</v>
      </c>
      <c r="F65" t="s">
        <v>6</v>
      </c>
      <c r="G65" t="s">
        <v>18</v>
      </c>
      <c r="H65" s="2">
        <v>3</v>
      </c>
    </row>
    <row r="66" spans="1:8" hidden="1" x14ac:dyDescent="0.3">
      <c r="A66">
        <v>1</v>
      </c>
      <c r="B66">
        <v>17</v>
      </c>
      <c r="C66">
        <f>Table1[[#This Row],[tmin]]</f>
        <v>0</v>
      </c>
      <c r="D66" s="1">
        <f>Table1[[#This Row],[tmax]]-Table1[[#This Row],[tmin]]</f>
        <v>0.66653899999999999</v>
      </c>
      <c r="E66">
        <v>0</v>
      </c>
      <c r="F66" t="s">
        <v>4</v>
      </c>
      <c r="G66" t="s">
        <v>8</v>
      </c>
      <c r="H66">
        <v>0.66653899999999999</v>
      </c>
    </row>
    <row r="67" spans="1:8" hidden="1" x14ac:dyDescent="0.3">
      <c r="A67">
        <v>4</v>
      </c>
      <c r="C67">
        <f>Table1[[#This Row],[tmin]]</f>
        <v>0</v>
      </c>
      <c r="D67" s="1">
        <f>Table1[[#This Row],[tmax]]-Table1[[#This Row],[tmin]]</f>
        <v>0.66653899999999999</v>
      </c>
      <c r="E67">
        <v>0</v>
      </c>
      <c r="F67" t="s">
        <v>6</v>
      </c>
      <c r="G67" t="s">
        <v>27</v>
      </c>
      <c r="H67">
        <v>0.66653899999999999</v>
      </c>
    </row>
    <row r="68" spans="1:8" x14ac:dyDescent="0.3">
      <c r="A68">
        <v>2</v>
      </c>
      <c r="C68" s="2">
        <f>Table1[[#This Row],[tmin]]</f>
        <v>0.66653899999999999</v>
      </c>
      <c r="D68" s="2">
        <f>Table1[[#This Row],[tmax]]-Table1[[#This Row],[tmin]]</f>
        <v>0.41013100000000002</v>
      </c>
      <c r="E68" s="2">
        <v>0.66653899999999999</v>
      </c>
      <c r="F68" t="s">
        <v>4</v>
      </c>
      <c r="G68" t="s">
        <v>5</v>
      </c>
      <c r="H68" s="2">
        <v>1.07667</v>
      </c>
    </row>
    <row r="69" spans="1:8" hidden="1" x14ac:dyDescent="0.3">
      <c r="A69">
        <v>5</v>
      </c>
      <c r="C69">
        <f>Table1[[#This Row],[tmin]]</f>
        <v>0.66653899999999999</v>
      </c>
      <c r="D69" s="1">
        <f>Table1[[#This Row],[tmax]]-Table1[[#This Row],[tmin]]</f>
        <v>0.41013100000000002</v>
      </c>
      <c r="E69">
        <v>0.66653899999999999</v>
      </c>
      <c r="F69" t="s">
        <v>6</v>
      </c>
      <c r="G69" t="s">
        <v>28</v>
      </c>
      <c r="H69" s="1">
        <v>1.07667</v>
      </c>
    </row>
    <row r="70" spans="1:8" hidden="1" x14ac:dyDescent="0.3">
      <c r="A70">
        <v>3</v>
      </c>
      <c r="C70">
        <f>Table1[[#This Row],[tmin]]</f>
        <v>1.07667</v>
      </c>
      <c r="D70" s="1">
        <f>Table1[[#This Row],[tmax]]-Table1[[#This Row],[tmin]]</f>
        <v>1.9333299999999998</v>
      </c>
      <c r="E70" s="1">
        <v>1.07667</v>
      </c>
      <c r="F70" t="s">
        <v>4</v>
      </c>
      <c r="G70" t="s">
        <v>8</v>
      </c>
      <c r="H70" s="1">
        <v>3.01</v>
      </c>
    </row>
    <row r="71" spans="1:8" hidden="1" x14ac:dyDescent="0.3">
      <c r="A71">
        <v>6</v>
      </c>
      <c r="C71">
        <f>Table1[[#This Row],[tmin]]</f>
        <v>1.07667</v>
      </c>
      <c r="D71" s="1">
        <f>Table1[[#This Row],[tmax]]-Table1[[#This Row],[tmin]]</f>
        <v>1.9333299999999998</v>
      </c>
      <c r="E71" s="1">
        <v>1.07667</v>
      </c>
      <c r="F71" t="s">
        <v>6</v>
      </c>
      <c r="G71" t="s">
        <v>11</v>
      </c>
      <c r="H71" s="1">
        <v>3.01</v>
      </c>
    </row>
    <row r="72" spans="1:8" hidden="1" x14ac:dyDescent="0.3">
      <c r="A72">
        <v>1</v>
      </c>
      <c r="B72">
        <v>18</v>
      </c>
      <c r="C72">
        <f>Table1[[#This Row],[tmin]]</f>
        <v>0</v>
      </c>
      <c r="D72" s="1">
        <f>Table1[[#This Row],[tmax]]-Table1[[#This Row],[tmin]]</f>
        <v>0.73534900000000003</v>
      </c>
      <c r="E72">
        <v>0</v>
      </c>
      <c r="F72" t="s">
        <v>4</v>
      </c>
      <c r="G72" t="s">
        <v>8</v>
      </c>
      <c r="H72">
        <v>0.73534900000000003</v>
      </c>
    </row>
    <row r="73" spans="1:8" hidden="1" x14ac:dyDescent="0.3">
      <c r="A73">
        <v>4</v>
      </c>
      <c r="C73">
        <f>Table1[[#This Row],[tmin]]</f>
        <v>0</v>
      </c>
      <c r="D73" s="1" t="e">
        <f>Table1[[#This Row],[tmax]]-Table1[[#This Row],[tmin]]</f>
        <v>#VALUE!</v>
      </c>
      <c r="E73">
        <v>0</v>
      </c>
      <c r="F73" t="s">
        <v>6</v>
      </c>
      <c r="G73" t="s">
        <v>27</v>
      </c>
      <c r="H73" t="s">
        <v>29</v>
      </c>
    </row>
    <row r="74" spans="1:8" x14ac:dyDescent="0.3">
      <c r="A74">
        <v>2</v>
      </c>
      <c r="C74" s="2">
        <f>Table1[[#This Row],[tmin]]</f>
        <v>0.73534900000000003</v>
      </c>
      <c r="D74" s="2">
        <f>Table1[[#This Row],[tmax]]-Table1[[#This Row],[tmin]]</f>
        <v>0.50682899999999997</v>
      </c>
      <c r="E74" s="2">
        <v>0.73534900000000003</v>
      </c>
      <c r="F74" t="s">
        <v>4</v>
      </c>
      <c r="G74" t="s">
        <v>5</v>
      </c>
      <c r="H74" s="2">
        <v>1.242178</v>
      </c>
    </row>
    <row r="75" spans="1:8" hidden="1" x14ac:dyDescent="0.3">
      <c r="A75">
        <v>5</v>
      </c>
      <c r="C75">
        <f>Table1[[#This Row],[tmin]]</f>
        <v>0.73534900000000003</v>
      </c>
      <c r="D75" s="1">
        <f>Table1[[#This Row],[tmax]]-Table1[[#This Row],[tmin]]</f>
        <v>0.50682899999999997</v>
      </c>
      <c r="E75">
        <v>0.73534900000000003</v>
      </c>
      <c r="F75" t="s">
        <v>6</v>
      </c>
      <c r="G75" t="s">
        <v>30</v>
      </c>
      <c r="H75" s="1">
        <v>1.242178</v>
      </c>
    </row>
    <row r="76" spans="1:8" hidden="1" x14ac:dyDescent="0.3">
      <c r="A76">
        <v>3</v>
      </c>
      <c r="C76">
        <f>Table1[[#This Row],[tmin]]</f>
        <v>1.242178</v>
      </c>
      <c r="D76" s="1">
        <f>Table1[[#This Row],[tmax]]-Table1[[#This Row],[tmin]]</f>
        <v>1.797822</v>
      </c>
      <c r="E76" s="1">
        <v>1.242178</v>
      </c>
      <c r="F76" t="s">
        <v>4</v>
      </c>
      <c r="G76" t="s">
        <v>8</v>
      </c>
      <c r="H76" s="1">
        <v>3.04</v>
      </c>
    </row>
    <row r="77" spans="1:8" hidden="1" x14ac:dyDescent="0.3">
      <c r="A77">
        <v>6</v>
      </c>
      <c r="C77">
        <f>Table1[[#This Row],[tmin]]</f>
        <v>1.242178</v>
      </c>
      <c r="D77" s="1">
        <f>Table1[[#This Row],[tmax]]-Table1[[#This Row],[tmin]]</f>
        <v>1.797822</v>
      </c>
      <c r="E77" s="1">
        <v>1.242178</v>
      </c>
      <c r="F77" t="s">
        <v>6</v>
      </c>
      <c r="G77" t="s">
        <v>31</v>
      </c>
      <c r="H77" s="1">
        <v>3.04</v>
      </c>
    </row>
    <row r="78" spans="1:8" hidden="1" x14ac:dyDescent="0.3">
      <c r="A78">
        <v>1</v>
      </c>
      <c r="B78">
        <v>19</v>
      </c>
      <c r="C78">
        <f>Table1[[#This Row],[tmin]]</f>
        <v>0</v>
      </c>
      <c r="D78" s="1">
        <f>Table1[[#This Row],[tmax]]-Table1[[#This Row],[tmin]]</f>
        <v>3.01</v>
      </c>
      <c r="E78">
        <v>0</v>
      </c>
      <c r="F78" t="s">
        <v>4</v>
      </c>
      <c r="G78" t="s">
        <v>5</v>
      </c>
      <c r="H78" s="1">
        <v>3.01</v>
      </c>
    </row>
    <row r="79" spans="1:8" x14ac:dyDescent="0.3">
      <c r="A79">
        <v>2</v>
      </c>
      <c r="C79" s="2">
        <f>Table1[[#This Row],[tmin]]</f>
        <v>0</v>
      </c>
      <c r="D79" s="2">
        <f>Table1[[#This Row],[tmax]]-Table1[[#This Row],[tmin]]</f>
        <v>3.01</v>
      </c>
      <c r="E79" s="2">
        <v>0</v>
      </c>
      <c r="F79" t="s">
        <v>6</v>
      </c>
      <c r="G79" t="s">
        <v>32</v>
      </c>
      <c r="H79" s="2">
        <v>3.01</v>
      </c>
    </row>
    <row r="80" spans="1:8" hidden="1" x14ac:dyDescent="0.3">
      <c r="A80">
        <v>1</v>
      </c>
      <c r="B80">
        <v>20</v>
      </c>
      <c r="C80">
        <f>Table1[[#This Row],[tmin]]</f>
        <v>0</v>
      </c>
      <c r="D80" s="1">
        <f>Table1[[#This Row],[tmax]]-Table1[[#This Row],[tmin]]</f>
        <v>0.84995799999999999</v>
      </c>
      <c r="E80">
        <v>0</v>
      </c>
      <c r="F80" t="s">
        <v>4</v>
      </c>
      <c r="G80" t="s">
        <v>8</v>
      </c>
      <c r="H80">
        <v>0.84995799999999999</v>
      </c>
    </row>
    <row r="81" spans="1:8" hidden="1" x14ac:dyDescent="0.3">
      <c r="A81">
        <v>4</v>
      </c>
      <c r="C81">
        <f>Table1[[#This Row],[tmin]]</f>
        <v>0</v>
      </c>
      <c r="D81" s="1">
        <f>Table1[[#This Row],[tmax]]-Table1[[#This Row],[tmin]]</f>
        <v>0.84995799999999999</v>
      </c>
      <c r="E81">
        <v>0</v>
      </c>
      <c r="F81" t="s">
        <v>6</v>
      </c>
      <c r="G81" t="s">
        <v>11</v>
      </c>
      <c r="H81">
        <v>0.84995799999999999</v>
      </c>
    </row>
    <row r="82" spans="1:8" x14ac:dyDescent="0.3">
      <c r="A82">
        <v>2</v>
      </c>
      <c r="C82" s="2">
        <f>Table1[[#This Row],[tmin]]</f>
        <v>0.84995799999999999</v>
      </c>
      <c r="D82" s="2">
        <f>Table1[[#This Row],[tmax]]-Table1[[#This Row],[tmin]]</f>
        <v>0.46261799999999997</v>
      </c>
      <c r="E82" s="2">
        <v>0.84995799999999999</v>
      </c>
      <c r="F82" t="s">
        <v>4</v>
      </c>
      <c r="G82" t="s">
        <v>5</v>
      </c>
      <c r="H82" s="2">
        <v>1.312576</v>
      </c>
    </row>
    <row r="83" spans="1:8" hidden="1" x14ac:dyDescent="0.3">
      <c r="A83">
        <v>5</v>
      </c>
      <c r="C83">
        <f>Table1[[#This Row],[tmin]]</f>
        <v>0.84995799999999999</v>
      </c>
      <c r="D83" s="1">
        <f>Table1[[#This Row],[tmax]]-Table1[[#This Row],[tmin]]</f>
        <v>0.46261799999999997</v>
      </c>
      <c r="E83">
        <v>0.84995799999999999</v>
      </c>
      <c r="F83" t="s">
        <v>6</v>
      </c>
      <c r="G83" t="s">
        <v>33</v>
      </c>
      <c r="H83" s="1">
        <v>1.312576</v>
      </c>
    </row>
    <row r="84" spans="1:8" hidden="1" x14ac:dyDescent="0.3">
      <c r="A84">
        <v>3</v>
      </c>
      <c r="C84">
        <f>Table1[[#This Row],[tmin]]</f>
        <v>1.312576</v>
      </c>
      <c r="D84" s="1">
        <f>Table1[[#This Row],[tmax]]-Table1[[#This Row],[tmin]]</f>
        <v>1.7274240000000001</v>
      </c>
      <c r="E84" s="1">
        <v>1.312576</v>
      </c>
      <c r="F84" t="s">
        <v>4</v>
      </c>
      <c r="G84" t="s">
        <v>8</v>
      </c>
      <c r="H84" s="1">
        <v>3.04</v>
      </c>
    </row>
    <row r="85" spans="1:8" hidden="1" x14ac:dyDescent="0.3">
      <c r="A85">
        <v>6</v>
      </c>
      <c r="C85">
        <f>Table1[[#This Row],[tmin]]</f>
        <v>1.312576</v>
      </c>
      <c r="D85" s="1">
        <f>Table1[[#This Row],[tmax]]-Table1[[#This Row],[tmin]]</f>
        <v>1.7274240000000001</v>
      </c>
      <c r="E85" s="1">
        <v>1.312576</v>
      </c>
      <c r="F85" t="s">
        <v>6</v>
      </c>
      <c r="G85" t="s">
        <v>31</v>
      </c>
      <c r="H85" s="1">
        <v>3.04</v>
      </c>
    </row>
    <row r="86" spans="1:8" hidden="1" x14ac:dyDescent="0.3">
      <c r="A86">
        <v>1</v>
      </c>
      <c r="B86">
        <v>21</v>
      </c>
      <c r="C86">
        <f>Table1[[#This Row],[tmin]]</f>
        <v>0</v>
      </c>
      <c r="D86" s="1">
        <f>Table1[[#This Row],[tmax]]-Table1[[#This Row],[tmin]]</f>
        <v>3.01</v>
      </c>
      <c r="E86">
        <v>0</v>
      </c>
      <c r="F86" t="s">
        <v>4</v>
      </c>
      <c r="G86" t="s">
        <v>5</v>
      </c>
      <c r="H86" s="1">
        <v>3.01</v>
      </c>
    </row>
    <row r="87" spans="1:8" x14ac:dyDescent="0.3">
      <c r="A87">
        <v>2</v>
      </c>
      <c r="C87" s="2">
        <f>Table1[[#This Row],[tmin]]</f>
        <v>0</v>
      </c>
      <c r="D87" s="2">
        <f>Table1[[#This Row],[tmax]]-Table1[[#This Row],[tmin]]</f>
        <v>3.01</v>
      </c>
      <c r="E87" s="2">
        <v>0</v>
      </c>
      <c r="F87" t="s">
        <v>6</v>
      </c>
      <c r="G87" t="s">
        <v>18</v>
      </c>
      <c r="H87" s="2">
        <v>3.01</v>
      </c>
    </row>
    <row r="88" spans="1:8" hidden="1" x14ac:dyDescent="0.3">
      <c r="A88">
        <v>1</v>
      </c>
      <c r="B88">
        <v>22</v>
      </c>
      <c r="C88">
        <f>Table1[[#This Row],[tmin]]</f>
        <v>0</v>
      </c>
      <c r="D88" s="1">
        <f>Table1[[#This Row],[tmax]]-Table1[[#This Row],[tmin]]</f>
        <v>3.04</v>
      </c>
      <c r="E88">
        <v>0</v>
      </c>
      <c r="F88" t="s">
        <v>4</v>
      </c>
      <c r="G88" t="s">
        <v>5</v>
      </c>
      <c r="H88" s="1">
        <v>3.04</v>
      </c>
    </row>
    <row r="89" spans="1:8" x14ac:dyDescent="0.3">
      <c r="A89">
        <v>2</v>
      </c>
      <c r="C89" s="2">
        <f>Table1[[#This Row],[tmin]]</f>
        <v>0</v>
      </c>
      <c r="D89" s="2">
        <f>Table1[[#This Row],[tmax]]-Table1[[#This Row],[tmin]]</f>
        <v>3.04</v>
      </c>
      <c r="E89" s="2">
        <v>0</v>
      </c>
      <c r="F89" t="s">
        <v>6</v>
      </c>
      <c r="G89" t="s">
        <v>18</v>
      </c>
      <c r="H89" s="2">
        <v>3.04</v>
      </c>
    </row>
    <row r="90" spans="1:8" hidden="1" x14ac:dyDescent="0.3">
      <c r="A90">
        <v>1</v>
      </c>
      <c r="B90">
        <v>23</v>
      </c>
      <c r="C90">
        <f>Table1[[#This Row],[tmin]]</f>
        <v>0</v>
      </c>
      <c r="D90" s="1">
        <f>Table1[[#This Row],[tmax]]-Table1[[#This Row],[tmin]]</f>
        <v>0.98574099999999998</v>
      </c>
      <c r="E90">
        <v>0</v>
      </c>
      <c r="F90" t="s">
        <v>4</v>
      </c>
      <c r="G90" t="s">
        <v>8</v>
      </c>
      <c r="H90">
        <v>0.98574099999999998</v>
      </c>
    </row>
    <row r="91" spans="1:8" hidden="1" x14ac:dyDescent="0.3">
      <c r="A91">
        <v>4</v>
      </c>
      <c r="C91">
        <f>Table1[[#This Row],[tmin]]</f>
        <v>0</v>
      </c>
      <c r="D91" s="1">
        <f>Table1[[#This Row],[tmax]]-Table1[[#This Row],[tmin]]</f>
        <v>0.98574099999999998</v>
      </c>
      <c r="E91">
        <v>0</v>
      </c>
      <c r="F91" t="s">
        <v>6</v>
      </c>
      <c r="G91" t="s">
        <v>19</v>
      </c>
      <c r="H91">
        <v>0.98574099999999998</v>
      </c>
    </row>
    <row r="92" spans="1:8" x14ac:dyDescent="0.3">
      <c r="A92">
        <v>2</v>
      </c>
      <c r="C92" s="2">
        <f>Table1[[#This Row],[tmin]]</f>
        <v>0.98574099999999998</v>
      </c>
      <c r="D92" s="2">
        <f>Table1[[#This Row],[tmax]]-Table1[[#This Row],[tmin]]</f>
        <v>0.59489600000000009</v>
      </c>
      <c r="E92" s="2">
        <v>0.98574099999999998</v>
      </c>
      <c r="F92" t="s">
        <v>4</v>
      </c>
      <c r="G92" t="s">
        <v>5</v>
      </c>
      <c r="H92" s="2">
        <v>1.5806370000000001</v>
      </c>
    </row>
    <row r="93" spans="1:8" hidden="1" x14ac:dyDescent="0.3">
      <c r="A93">
        <v>5</v>
      </c>
      <c r="C93">
        <f>Table1[[#This Row],[tmin]]</f>
        <v>0.98574099999999998</v>
      </c>
      <c r="D93" s="1">
        <f>Table1[[#This Row],[tmax]]-Table1[[#This Row],[tmin]]</f>
        <v>0.59489600000000009</v>
      </c>
      <c r="E93">
        <v>0.98574099999999998</v>
      </c>
      <c r="F93" t="s">
        <v>6</v>
      </c>
      <c r="G93" t="s">
        <v>10</v>
      </c>
      <c r="H93" s="1">
        <v>1.5806370000000001</v>
      </c>
    </row>
    <row r="94" spans="1:8" hidden="1" x14ac:dyDescent="0.3">
      <c r="A94">
        <v>3</v>
      </c>
      <c r="C94">
        <f>Table1[[#This Row],[tmin]]</f>
        <v>1.5806370000000001</v>
      </c>
      <c r="D94" s="1">
        <f>Table1[[#This Row],[tmax]]-Table1[[#This Row],[tmin]]</f>
        <v>1.4193629999999999</v>
      </c>
      <c r="E94" s="1">
        <v>1.5806370000000001</v>
      </c>
      <c r="F94" t="s">
        <v>4</v>
      </c>
      <c r="G94" t="s">
        <v>8</v>
      </c>
      <c r="H94" s="1">
        <v>3</v>
      </c>
    </row>
    <row r="95" spans="1:8" hidden="1" x14ac:dyDescent="0.3">
      <c r="A95">
        <v>6</v>
      </c>
      <c r="C95">
        <f>Table1[[#This Row],[tmin]]</f>
        <v>1.5806370000000001</v>
      </c>
      <c r="D95" s="1">
        <f>Table1[[#This Row],[tmax]]-Table1[[#This Row],[tmin]]</f>
        <v>1.4193629999999999</v>
      </c>
      <c r="E95" s="1">
        <v>1.5806370000000001</v>
      </c>
      <c r="F95" t="s">
        <v>6</v>
      </c>
      <c r="G95" t="s">
        <v>11</v>
      </c>
      <c r="H95" s="1">
        <v>3</v>
      </c>
    </row>
    <row r="96" spans="1:8" hidden="1" x14ac:dyDescent="0.3">
      <c r="A96">
        <v>1</v>
      </c>
      <c r="B96">
        <v>24</v>
      </c>
      <c r="C96">
        <f>Table1[[#This Row],[tmin]]</f>
        <v>0</v>
      </c>
      <c r="D96" s="1">
        <f>Table1[[#This Row],[tmax]]-Table1[[#This Row],[tmin]]</f>
        <v>3.01</v>
      </c>
      <c r="E96">
        <v>0</v>
      </c>
      <c r="F96" t="s">
        <v>4</v>
      </c>
      <c r="G96" t="s">
        <v>5</v>
      </c>
      <c r="H96" s="1">
        <v>3.01</v>
      </c>
    </row>
    <row r="97" spans="1:8" x14ac:dyDescent="0.3">
      <c r="A97">
        <v>2</v>
      </c>
      <c r="C97" s="2">
        <f>Table1[[#This Row],[tmin]]</f>
        <v>0</v>
      </c>
      <c r="D97" s="2">
        <f>Table1[[#This Row],[tmax]]-Table1[[#This Row],[tmin]]</f>
        <v>3.01</v>
      </c>
      <c r="E97" s="2">
        <v>0</v>
      </c>
      <c r="F97" t="s">
        <v>6</v>
      </c>
      <c r="G97" t="s">
        <v>18</v>
      </c>
      <c r="H97" s="2">
        <v>3.01</v>
      </c>
    </row>
    <row r="98" spans="1:8" hidden="1" x14ac:dyDescent="0.3">
      <c r="A98">
        <v>1</v>
      </c>
      <c r="B98">
        <v>25</v>
      </c>
      <c r="C98">
        <f>Table1[[#This Row],[tmin]]</f>
        <v>0</v>
      </c>
      <c r="D98" s="1">
        <f>Table1[[#This Row],[tmax]]-Table1[[#This Row],[tmin]]</f>
        <v>3.05</v>
      </c>
      <c r="E98">
        <v>0</v>
      </c>
      <c r="F98" t="s">
        <v>4</v>
      </c>
      <c r="G98" t="s">
        <v>5</v>
      </c>
      <c r="H98" s="1">
        <v>3.05</v>
      </c>
    </row>
    <row r="99" spans="1:8" x14ac:dyDescent="0.3">
      <c r="A99">
        <v>2</v>
      </c>
      <c r="C99" s="2">
        <f>Table1[[#This Row],[tmin]]</f>
        <v>0</v>
      </c>
      <c r="D99" s="2">
        <f>Table1[[#This Row],[tmax]]-Table1[[#This Row],[tmin]]</f>
        <v>3.05</v>
      </c>
      <c r="E99" s="2">
        <v>0</v>
      </c>
      <c r="F99" t="s">
        <v>6</v>
      </c>
      <c r="G99" t="s">
        <v>7</v>
      </c>
      <c r="H99" s="2">
        <v>3.05</v>
      </c>
    </row>
    <row r="100" spans="1:8" hidden="1" x14ac:dyDescent="0.3">
      <c r="A100">
        <v>1</v>
      </c>
      <c r="B100">
        <v>26</v>
      </c>
      <c r="C100">
        <f>Table1[[#This Row],[tmin]]</f>
        <v>0</v>
      </c>
      <c r="D100" s="1">
        <f>Table1[[#This Row],[tmax]]-Table1[[#This Row],[tmin]]</f>
        <v>3.04</v>
      </c>
      <c r="E100">
        <v>0</v>
      </c>
      <c r="F100" t="s">
        <v>4</v>
      </c>
      <c r="G100" t="s">
        <v>5</v>
      </c>
      <c r="H100" s="1">
        <v>3.04</v>
      </c>
    </row>
    <row r="101" spans="1:8" x14ac:dyDescent="0.3">
      <c r="A101">
        <v>2</v>
      </c>
      <c r="C101" s="2">
        <f>Table1[[#This Row],[tmin]]</f>
        <v>0</v>
      </c>
      <c r="D101" s="2">
        <f>Table1[[#This Row],[tmax]]-Table1[[#This Row],[tmin]]</f>
        <v>3.04</v>
      </c>
      <c r="E101" s="2">
        <v>0</v>
      </c>
      <c r="F101" t="s">
        <v>6</v>
      </c>
      <c r="G101" t="s">
        <v>7</v>
      </c>
      <c r="H101" s="2">
        <v>3.04</v>
      </c>
    </row>
    <row r="102" spans="1:8" hidden="1" x14ac:dyDescent="0.3">
      <c r="A102">
        <v>1</v>
      </c>
      <c r="B102">
        <v>27</v>
      </c>
      <c r="C102">
        <f>Table1[[#This Row],[tmin]]</f>
        <v>0</v>
      </c>
      <c r="D102" s="1">
        <f>Table1[[#This Row],[tmax]]-Table1[[#This Row],[tmin]]</f>
        <v>0.64886900000000003</v>
      </c>
      <c r="E102">
        <v>0</v>
      </c>
      <c r="F102" t="s">
        <v>4</v>
      </c>
      <c r="G102" t="s">
        <v>8</v>
      </c>
      <c r="H102">
        <v>0.64886900000000003</v>
      </c>
    </row>
    <row r="103" spans="1:8" hidden="1" x14ac:dyDescent="0.3">
      <c r="A103">
        <v>4</v>
      </c>
      <c r="C103">
        <f>Table1[[#This Row],[tmin]]</f>
        <v>0</v>
      </c>
      <c r="D103" s="1">
        <f>Table1[[#This Row],[tmax]]-Table1[[#This Row],[tmin]]</f>
        <v>0.64886900000000003</v>
      </c>
      <c r="E103">
        <v>0</v>
      </c>
      <c r="F103" t="s">
        <v>6</v>
      </c>
      <c r="G103" t="s">
        <v>19</v>
      </c>
      <c r="H103">
        <v>0.64886900000000003</v>
      </c>
    </row>
    <row r="104" spans="1:8" x14ac:dyDescent="0.3">
      <c r="A104">
        <v>2</v>
      </c>
      <c r="C104" s="2">
        <f>Table1[[#This Row],[tmin]]</f>
        <v>0.64886900000000003</v>
      </c>
      <c r="D104" s="2">
        <f>Table1[[#This Row],[tmax]]-Table1[[#This Row],[tmin]]</f>
        <v>0.60303699999999993</v>
      </c>
      <c r="E104" s="2">
        <v>0.64886900000000003</v>
      </c>
      <c r="F104" t="s">
        <v>4</v>
      </c>
      <c r="G104" t="s">
        <v>5</v>
      </c>
      <c r="H104" s="2">
        <v>1.251906</v>
      </c>
    </row>
    <row r="105" spans="1:8" hidden="1" x14ac:dyDescent="0.3">
      <c r="A105">
        <v>5</v>
      </c>
      <c r="C105">
        <f>Table1[[#This Row],[tmin]]</f>
        <v>0.64886900000000003</v>
      </c>
      <c r="D105" s="1">
        <f>Table1[[#This Row],[tmax]]-Table1[[#This Row],[tmin]]</f>
        <v>0.60303699999999993</v>
      </c>
      <c r="E105">
        <v>0.64886900000000003</v>
      </c>
      <c r="F105" t="s">
        <v>6</v>
      </c>
      <c r="G105" t="s">
        <v>34</v>
      </c>
      <c r="H105" s="1">
        <v>1.251906</v>
      </c>
    </row>
    <row r="106" spans="1:8" hidden="1" x14ac:dyDescent="0.3">
      <c r="A106">
        <v>3</v>
      </c>
      <c r="C106">
        <f>Table1[[#This Row],[tmin]]</f>
        <v>1.251906</v>
      </c>
      <c r="D106" s="1">
        <f>Table1[[#This Row],[tmax]]-Table1[[#This Row],[tmin]]</f>
        <v>1.7580939999999998</v>
      </c>
      <c r="E106" s="1">
        <v>1.251906</v>
      </c>
      <c r="F106" t="s">
        <v>4</v>
      </c>
      <c r="G106" t="s">
        <v>8</v>
      </c>
      <c r="H106" s="1">
        <v>3.01</v>
      </c>
    </row>
    <row r="107" spans="1:8" hidden="1" x14ac:dyDescent="0.3">
      <c r="A107">
        <v>6</v>
      </c>
      <c r="C107">
        <f>Table1[[#This Row],[tmin]]</f>
        <v>1.251906</v>
      </c>
      <c r="D107" s="1">
        <f>Table1[[#This Row],[tmax]]-Table1[[#This Row],[tmin]]</f>
        <v>1.7580939999999998</v>
      </c>
      <c r="E107" s="1">
        <v>1.251906</v>
      </c>
      <c r="F107" t="s">
        <v>6</v>
      </c>
      <c r="G107" t="s">
        <v>31</v>
      </c>
      <c r="H107" s="1">
        <v>3.01</v>
      </c>
    </row>
    <row r="108" spans="1:8" hidden="1" x14ac:dyDescent="0.3">
      <c r="A108">
        <v>1</v>
      </c>
      <c r="B108">
        <v>28</v>
      </c>
      <c r="C108">
        <f>Table1[[#This Row],[tmin]]</f>
        <v>0</v>
      </c>
      <c r="D108" s="1">
        <f>Table1[[#This Row],[tmax]]-Table1[[#This Row],[tmin]]</f>
        <v>3.04</v>
      </c>
      <c r="E108">
        <v>0</v>
      </c>
      <c r="F108" t="s">
        <v>4</v>
      </c>
      <c r="G108" t="s">
        <v>5</v>
      </c>
      <c r="H108" s="1">
        <v>3.04</v>
      </c>
    </row>
    <row r="109" spans="1:8" x14ac:dyDescent="0.3">
      <c r="A109">
        <v>2</v>
      </c>
      <c r="C109" s="2">
        <f>Table1[[#This Row],[tmin]]</f>
        <v>0</v>
      </c>
      <c r="D109" s="2">
        <f>Table1[[#This Row],[tmax]]-Table1[[#This Row],[tmin]]</f>
        <v>3.04</v>
      </c>
      <c r="E109" s="2">
        <v>0</v>
      </c>
      <c r="F109" t="s">
        <v>6</v>
      </c>
      <c r="G109" t="s">
        <v>18</v>
      </c>
      <c r="H109" s="2">
        <v>3.04</v>
      </c>
    </row>
    <row r="110" spans="1:8" hidden="1" x14ac:dyDescent="0.3">
      <c r="A110">
        <v>1</v>
      </c>
      <c r="B110">
        <v>29</v>
      </c>
      <c r="C110">
        <f>Table1[[#This Row],[tmin]]</f>
        <v>0</v>
      </c>
      <c r="D110" s="1">
        <f>Table1[[#This Row],[tmax]]-Table1[[#This Row],[tmin]]</f>
        <v>0.68339499999999997</v>
      </c>
      <c r="E110">
        <v>0</v>
      </c>
      <c r="F110" t="s">
        <v>4</v>
      </c>
      <c r="G110" t="s">
        <v>8</v>
      </c>
      <c r="H110">
        <v>0.68339499999999997</v>
      </c>
    </row>
    <row r="111" spans="1:8" hidden="1" x14ac:dyDescent="0.3">
      <c r="A111">
        <v>4</v>
      </c>
      <c r="C111">
        <f>Table1[[#This Row],[tmin]]</f>
        <v>0</v>
      </c>
      <c r="D111" s="1">
        <f>Table1[[#This Row],[tmax]]-Table1[[#This Row],[tmin]]</f>
        <v>0.68339499999999997</v>
      </c>
      <c r="E111">
        <v>0</v>
      </c>
      <c r="F111" t="s">
        <v>6</v>
      </c>
      <c r="G111" t="s">
        <v>35</v>
      </c>
      <c r="H111">
        <v>0.68339499999999997</v>
      </c>
    </row>
    <row r="112" spans="1:8" x14ac:dyDescent="0.3">
      <c r="A112">
        <v>2</v>
      </c>
      <c r="C112" s="2">
        <f>Table1[[#This Row],[tmin]]</f>
        <v>0.68339499999999997</v>
      </c>
      <c r="D112" s="2">
        <f>Table1[[#This Row],[tmax]]-Table1[[#This Row],[tmin]]</f>
        <v>0.47065400000000013</v>
      </c>
      <c r="E112" s="2">
        <v>0.68339499999999997</v>
      </c>
      <c r="F112" t="s">
        <v>4</v>
      </c>
      <c r="G112" t="s">
        <v>5</v>
      </c>
      <c r="H112" s="2">
        <v>1.1540490000000001</v>
      </c>
    </row>
    <row r="113" spans="1:8" hidden="1" x14ac:dyDescent="0.3">
      <c r="A113">
        <v>5</v>
      </c>
      <c r="C113">
        <f>Table1[[#This Row],[tmin]]</f>
        <v>0.68339499999999997</v>
      </c>
      <c r="D113" s="1">
        <f>Table1[[#This Row],[tmax]]-Table1[[#This Row],[tmin]]</f>
        <v>0.47065400000000013</v>
      </c>
      <c r="E113">
        <v>0.68339499999999997</v>
      </c>
      <c r="F113" t="s">
        <v>6</v>
      </c>
      <c r="G113" t="s">
        <v>28</v>
      </c>
      <c r="H113" s="1">
        <v>1.1540490000000001</v>
      </c>
    </row>
    <row r="114" spans="1:8" hidden="1" x14ac:dyDescent="0.3">
      <c r="A114">
        <v>3</v>
      </c>
      <c r="C114">
        <f>Table1[[#This Row],[tmin]]</f>
        <v>1.1540490000000001</v>
      </c>
      <c r="D114" s="1">
        <f>Table1[[#This Row],[tmax]]-Table1[[#This Row],[tmin]]</f>
        <v>1.8559509999999997</v>
      </c>
      <c r="E114" s="1">
        <v>1.1540490000000001</v>
      </c>
      <c r="F114" t="s">
        <v>4</v>
      </c>
      <c r="G114" t="s">
        <v>8</v>
      </c>
      <c r="H114" s="1">
        <v>3.01</v>
      </c>
    </row>
    <row r="115" spans="1:8" hidden="1" x14ac:dyDescent="0.3">
      <c r="A115">
        <v>6</v>
      </c>
      <c r="C115">
        <f>Table1[[#This Row],[tmin]]</f>
        <v>1.1540490000000001</v>
      </c>
      <c r="D115" s="1">
        <f>Table1[[#This Row],[tmax]]-Table1[[#This Row],[tmin]]</f>
        <v>1.8559509999999997</v>
      </c>
      <c r="E115" s="1">
        <v>1.1540490000000001</v>
      </c>
      <c r="F115" t="s">
        <v>6</v>
      </c>
      <c r="G115" t="s">
        <v>36</v>
      </c>
      <c r="H115" s="1">
        <v>3.01</v>
      </c>
    </row>
    <row r="116" spans="1:8" hidden="1" x14ac:dyDescent="0.3">
      <c r="A116">
        <v>1</v>
      </c>
      <c r="B116">
        <v>30</v>
      </c>
      <c r="C116">
        <f>Table1[[#This Row],[tmin]]</f>
        <v>0</v>
      </c>
      <c r="D116" s="1">
        <f>Table1[[#This Row],[tmax]]-Table1[[#This Row],[tmin]]</f>
        <v>3.05</v>
      </c>
      <c r="E116">
        <v>0</v>
      </c>
      <c r="F116" t="s">
        <v>4</v>
      </c>
      <c r="G116" t="s">
        <v>5</v>
      </c>
      <c r="H116" s="1">
        <v>3.05</v>
      </c>
    </row>
    <row r="117" spans="1:8" x14ac:dyDescent="0.3">
      <c r="A117">
        <v>2</v>
      </c>
      <c r="C117" s="2">
        <f>Table1[[#This Row],[tmin]]</f>
        <v>0</v>
      </c>
      <c r="D117" s="2">
        <f>Table1[[#This Row],[tmax]]-Table1[[#This Row],[tmin]]</f>
        <v>3.05</v>
      </c>
      <c r="E117" s="2">
        <v>0</v>
      </c>
      <c r="F117" t="s">
        <v>6</v>
      </c>
      <c r="G117" t="s">
        <v>7</v>
      </c>
      <c r="H117" s="2">
        <v>3.05</v>
      </c>
    </row>
  </sheetData>
  <pageMargins left="0.7" right="0.7" top="0.75" bottom="0.75" header="0.3" footer="0.3"/>
  <tableParts count="1">
    <tablePart r:id="rId1"/>
  </tableParts>
</worksheet>
</file>